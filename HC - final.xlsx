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sifovaaaz\Desktop\ŞTAT-YEKUN\"/>
    </mc:Choice>
  </mc:AlternateContent>
  <xr:revisionPtr revIDLastSave="0" documentId="13_ncr:1_{41D88097-E9B5-45DD-84DB-E6DE798ACEDD}" xr6:coauthVersionLast="47" xr6:coauthVersionMax="47" xr10:uidLastSave="{00000000-0000-0000-0000-000000000000}"/>
  <bookViews>
    <workbookView xWindow="-108" yWindow="-108" windowWidth="23256" windowHeight="13896" xr2:uid="{A72C8CE5-7AA3-4478-A8CE-D5C8B0B405E1}"/>
  </bookViews>
  <sheets>
    <sheet name="Birbank Ştat" sheetId="2" r:id="rId1"/>
    <sheet name="baza-04.10.2026" sheetId="1" r:id="rId2"/>
    <sheet name="İxtisar" sheetId="4" r:id="rId3"/>
    <sheet name="HR" sheetId="22" r:id="rId4"/>
    <sheet name="Pashapay ştat" sheetId="15" r:id="rId5"/>
    <sheet name="birmarket ştat" sheetId="18" r:id="rId6"/>
    <sheet name="Pashapay işçi siyahısı" sheetId="6" r:id="rId7"/>
    <sheet name="Birmarket-local labor" sheetId="24" r:id="rId8"/>
    <sheet name="Birmarket-Local service" sheetId="25" r:id="rId9"/>
    <sheet name="Birmarket-service expat" sheetId="26" r:id="rId10"/>
  </sheets>
  <definedNames>
    <definedName name="_xlnm._FilterDatabase" localSheetId="1" hidden="1">'baza-04.10.2026'!$A$1:$M$6317</definedName>
    <definedName name="_xlnm._FilterDatabase" localSheetId="0" hidden="1">'Birbank Ştat'!$A$1:$L$93</definedName>
    <definedName name="_xlnm._FilterDatabase" localSheetId="7" hidden="1">'Birmarket-local labor'!$A$1:$I$639</definedName>
    <definedName name="_xlnm._FilterDatabase" localSheetId="6" hidden="1">'Pashapay işçi siyahısı'!$A$1:$AI$592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4" l="1"/>
  <c r="E7" i="4"/>
  <c r="F2" i="4"/>
  <c r="F3" i="4"/>
  <c r="F4" i="4"/>
  <c r="F5" i="4"/>
  <c r="F6" i="4"/>
  <c r="C94" i="2"/>
  <c r="D94" i="2" l="1"/>
  <c r="D7" i="4" l="1"/>
  <c r="C6" i="4"/>
  <c r="B78" i="2"/>
  <c r="B66" i="2"/>
  <c r="B73" i="2"/>
  <c r="D5" i="22" l="1"/>
  <c r="D4" i="22"/>
  <c r="E2" i="22" l="1"/>
  <c r="B77" i="2" l="1"/>
  <c r="B69" i="2"/>
  <c r="E40" i="18"/>
  <c r="F40" i="18"/>
  <c r="D40" i="18"/>
  <c r="C40" i="18"/>
  <c r="B40" i="18"/>
  <c r="C23" i="15" l="1"/>
  <c r="B23" i="15"/>
  <c r="B94" i="2" l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M68" i="2" s="1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3" i="2"/>
  <c r="I64" i="2"/>
  <c r="I65" i="2"/>
  <c r="I66" i="2"/>
  <c r="I67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2" i="2"/>
  <c r="M5" i="2" l="1"/>
  <c r="M64" i="2"/>
  <c r="M63" i="2"/>
  <c r="M34" i="2"/>
  <c r="M20" i="2"/>
  <c r="M6" i="2"/>
  <c r="M47" i="2"/>
  <c r="M33" i="2"/>
  <c r="M19" i="2"/>
  <c r="M61" i="2"/>
  <c r="M60" i="2"/>
  <c r="M46" i="2"/>
  <c r="M32" i="2"/>
  <c r="M18" i="2"/>
  <c r="M4" i="2"/>
  <c r="M50" i="2"/>
  <c r="M36" i="2"/>
  <c r="M22" i="2"/>
  <c r="M8" i="2"/>
  <c r="M48" i="2"/>
  <c r="M65" i="2"/>
  <c r="M81" i="2"/>
  <c r="M66" i="2"/>
  <c r="M51" i="2"/>
  <c r="M37" i="2"/>
  <c r="M23" i="2"/>
  <c r="M9" i="2"/>
  <c r="M93" i="2"/>
  <c r="M92" i="2"/>
  <c r="M15" i="2"/>
  <c r="M79" i="2"/>
  <c r="M78" i="2"/>
  <c r="M57" i="2"/>
  <c r="M43" i="2"/>
  <c r="M29" i="2"/>
  <c r="M86" i="2"/>
  <c r="M72" i="2"/>
  <c r="M85" i="2"/>
  <c r="M71" i="2"/>
  <c r="M55" i="2"/>
  <c r="M82" i="2"/>
  <c r="M67" i="2"/>
  <c r="M52" i="2"/>
  <c r="M38" i="2"/>
  <c r="M24" i="2"/>
  <c r="M10" i="2"/>
  <c r="M2" i="2"/>
  <c r="M80" i="2"/>
  <c r="M49" i="2"/>
  <c r="M35" i="2"/>
  <c r="M21" i="2"/>
  <c r="M7" i="2"/>
  <c r="M89" i="2"/>
  <c r="M75" i="2"/>
  <c r="M59" i="2"/>
  <c r="M45" i="2"/>
  <c r="M31" i="2"/>
  <c r="M17" i="2"/>
  <c r="M3" i="2"/>
  <c r="M77" i="2"/>
  <c r="M90" i="2"/>
  <c r="M88" i="2"/>
  <c r="M74" i="2"/>
  <c r="M58" i="2"/>
  <c r="M44" i="2"/>
  <c r="M30" i="2"/>
  <c r="M16" i="2"/>
  <c r="M91" i="2"/>
  <c r="M76" i="2"/>
  <c r="M87" i="2"/>
  <c r="M73" i="2"/>
  <c r="M56" i="2"/>
  <c r="M42" i="2"/>
  <c r="M28" i="2"/>
  <c r="M14" i="2"/>
  <c r="M27" i="2"/>
  <c r="M62" i="2"/>
  <c r="M84" i="2"/>
  <c r="M26" i="2"/>
  <c r="M41" i="2"/>
  <c r="M13" i="2"/>
  <c r="M70" i="2"/>
  <c r="M54" i="2"/>
  <c r="M40" i="2"/>
  <c r="M12" i="2"/>
  <c r="M83" i="2"/>
  <c r="M69" i="2"/>
  <c r="M53" i="2"/>
  <c r="M39" i="2"/>
  <c r="M25" i="2"/>
  <c r="M11" i="2"/>
  <c r="E88" i="2"/>
  <c r="J94" i="2"/>
  <c r="L94" i="2"/>
  <c r="I94" i="2"/>
  <c r="K94" i="2"/>
  <c r="E15" i="2"/>
  <c r="E32" i="2"/>
  <c r="E24" i="2"/>
  <c r="E6" i="2"/>
  <c r="E70" i="2"/>
  <c r="E45" i="2"/>
  <c r="E50" i="2"/>
  <c r="E11" i="2"/>
  <c r="E17" i="2"/>
  <c r="E41" i="2"/>
  <c r="E75" i="2"/>
  <c r="E56" i="2"/>
  <c r="E10" i="2"/>
  <c r="E52" i="2"/>
  <c r="E4" i="2"/>
  <c r="E46" i="2"/>
  <c r="E55" i="2"/>
  <c r="E61" i="2"/>
  <c r="E36" i="2"/>
  <c r="E81" i="2"/>
  <c r="E87" i="2"/>
  <c r="E67" i="2"/>
  <c r="E42" i="2"/>
  <c r="E80" i="2"/>
  <c r="E86" i="2"/>
  <c r="E31" i="2"/>
  <c r="E2" i="2"/>
  <c r="E72" i="2"/>
  <c r="E66" i="2"/>
  <c r="E19" i="2"/>
  <c r="E89" i="2"/>
  <c r="E71" i="2"/>
  <c r="E65" i="2"/>
  <c r="E20" i="2"/>
  <c r="E30" i="2"/>
  <c r="E13" i="2"/>
  <c r="E34" i="2"/>
  <c r="E5" i="2"/>
  <c r="E62" i="2"/>
  <c r="E16" i="2"/>
  <c r="E85" i="2"/>
  <c r="E49" i="2"/>
  <c r="E76" i="2"/>
  <c r="E22" i="2"/>
  <c r="E79" i="2"/>
  <c r="E90" i="2"/>
  <c r="E43" i="2"/>
  <c r="E37" i="2"/>
  <c r="E60" i="2"/>
  <c r="E51" i="2"/>
  <c r="E73" i="2"/>
  <c r="E84" i="2"/>
  <c r="E78" i="2"/>
  <c r="E39" i="2"/>
  <c r="E33" i="2"/>
  <c r="E23" i="2"/>
  <c r="E83" i="2"/>
  <c r="E44" i="2"/>
  <c r="E38" i="2"/>
  <c r="E54" i="2"/>
  <c r="E48" i="2"/>
  <c r="E53" i="2"/>
  <c r="E69" i="2"/>
  <c r="E58" i="2"/>
  <c r="E3" i="2"/>
  <c r="E74" i="2"/>
  <c r="E63" i="2"/>
  <c r="E8" i="2"/>
  <c r="E18" i="2"/>
  <c r="E93" i="2"/>
  <c r="E59" i="2"/>
  <c r="E64" i="2"/>
  <c r="E68" i="2"/>
  <c r="E57" i="2"/>
  <c r="E29" i="2"/>
  <c r="E7" i="2"/>
  <c r="E92" i="2"/>
  <c r="E82" i="2"/>
  <c r="E77" i="2"/>
  <c r="E12" i="2"/>
  <c r="E47" i="2"/>
  <c r="E91" i="2"/>
  <c r="E40" i="2"/>
  <c r="E35" i="2"/>
  <c r="E9" i="2"/>
  <c r="E14" i="2"/>
  <c r="E21" i="2"/>
  <c r="E94" i="2" l="1"/>
  <c r="M9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tc={35D355BF-C164-4497-A4A9-9AC803115B17}</author>
    <author>tc={5440EB6C-6E12-4273-BB8D-3BD8FB7DE88C}</author>
    <author>tc={8C574241-528D-4D33-8BF0-FB4BBDFAA385}</author>
    <author>tc={CFE461B8-D730-4E1C-92F4-1C2B6C86817D}</author>
    <author>tc={03F51531-05AF-4963-8885-75201DE6B5F3}</author>
    <author>tc={233D3FC9-D247-4C1F-9A56-114412F56DE4}</author>
    <author>tc={272E4A70-C3C2-4F60-B066-5602FFDEE8C9}</author>
    <author>tc={6264DA9D-14AB-4716-8E33-94981B27B87E}</author>
    <author>tc={233D3FC9-D247-4C20-9A56-114412F56DE4}</author>
    <author>tc={233D3FC9-D247-4C22-9A56-114412F56DE4}</author>
    <author>tc={233D3FC9-D247-4C23-9A56-114412F56DE4}</author>
    <author>tc={233D3FC9-D247-4C24-9A56-114412F56DE4}</author>
    <author>tc={233D3FC9-D247-4C25-9A56-114412F56DE4}</author>
    <author>tc={233D3FC9-D247-4C26-9A56-114412F56DE4}</author>
    <author>tc={53940440-7CE3-4C98-B13B-EEB21B0246FE}</author>
    <author>tc={22A9E683-9308-412D-83D3-66D5F2A31CBD}</author>
    <author>tc={233D3FC9-D247-4C27-9A56-114412F56DE4}</author>
    <author>tc={233D3FC9-D247-4C28-9A56-114412F56DE4}</author>
    <author>tc={233D3FC9-D247-4C29-9A56-114412F56DE4}</author>
    <author>tc={233D3FC9-D247-4C2A-9A56-114412F56DE4}</author>
    <author>tc={233D3FC9-D247-4C2C-9A56-114412F56DE4}</author>
    <author>tc={B895DA86-1A24-4D08-B8E0-E9D726F972BC}</author>
    <author>tc={25C029CE-C6EF-44B3-80EB-46FCEFB0FEA9}</author>
    <author>tc={9AE3405E-7043-4F46-9347-BEC5E1EA67BB}</author>
    <author>tc={233D3FC9-D247-4C2D-9A56-114412F56DE4}</author>
    <author>Ilaha Shahbazova</author>
    <author>tc={233D3FC9-D247-4C2E-9A56-114412F56DE4}</author>
    <author>tc={91ACC5AE-E0E9-4FBA-85AF-F0A34C6388F8}</author>
    <author>tc={1E00ABD9-E264-4820-BD84-A383C7F6A7F6}</author>
    <author>tc={572A0758-DD30-4288-8CF8-A1383AF87B48}</author>
    <author>tc={B8AA0F8C-D955-4973-8944-6ACEA7E8CD5C}</author>
  </authors>
  <commentList>
    <comment ref="A8" authorId="0" shapeId="0" xr:uid="{0B2FD749-AAE2-4D88-9CF7-0E4E908CEDF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1-ci qrup, İşə gəlir</t>
        </r>
      </text>
    </comment>
    <comment ref="A26" authorId="1" shapeId="0" xr:uid="{F757083F-99B7-4EDF-BFA1-91F4010FF1A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2-ci qrup, İşə gəlmir</t>
        </r>
      </text>
    </comment>
    <comment ref="A28" authorId="2" shapeId="0" xr:uid="{BBD0648B-C841-40E4-AA8E-70CA7BA89AC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2-ci qrup, İşə gəlmir</t>
        </r>
      </text>
    </comment>
    <comment ref="A48" authorId="3" shapeId="0" xr:uid="{A361C6DD-390E-45DE-BD5A-3C48840C6F0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3-cü Qrup. İşə gəlir</t>
        </r>
      </text>
    </comment>
    <comment ref="A111" authorId="4" shapeId="0" xr:uid="{411EF3D7-6512-4B54-A9BF-3FD4F06CC2E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3-cü qrup, İşə gəlmit</t>
        </r>
      </text>
    </comment>
    <comment ref="AI127" authorId="5" shapeId="0" xr:uid="{88EDF547-5517-45D4-AA16-DB617402A24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W206" authorId="6" shapeId="0" xr:uid="{0227E961-684C-4EB3-8C76-38E2E325A20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08:00-17:00</t>
        </r>
      </text>
    </comment>
    <comment ref="J213" authorId="7" shapeId="0" xr:uid="{611DA1D9-9D31-433C-8B09-3BEDAA3BE92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29.10.2025</t>
        </r>
      </text>
    </comment>
    <comment ref="AI240" authorId="8" shapeId="0" xr:uid="{168982B3-E3E2-420F-9671-AF1B2B332D2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253" authorId="9" shapeId="0" xr:uid="{238745E0-1283-498A-86BF-43C4F7CEF38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255" authorId="10" shapeId="0" xr:uid="{F4A822D0-C203-42BD-80BF-C80F686013D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256" authorId="11" shapeId="0" xr:uid="{54E86E13-B804-4E4A-B625-CF027B25F24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257" authorId="12" shapeId="0" xr:uid="{B483A9E7-5972-4604-A1EA-7F139AEB26B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267" authorId="13" shapeId="0" xr:uid="{01C4985B-4D5B-4495-9ADD-736A34C34E7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269" authorId="14" shapeId="0" xr:uid="{D4A0BE69-671F-4C52-8FA0-E8702218E93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2-ci qrup, İşə gəlir</t>
        </r>
      </text>
    </comment>
    <comment ref="A287" authorId="15" shapeId="0" xr:uid="{6144BD02-F846-40D6-88D8-E099EC3638D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3-cü Qrup, İşə gəlir</t>
        </r>
      </text>
    </comment>
    <comment ref="AI297" authorId="16" shapeId="0" xr:uid="{F98300CB-0F33-4689-A2FA-76FE58FA81F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305" authorId="17" shapeId="0" xr:uid="{08F31915-9998-423B-9146-095863C49E9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316" authorId="18" shapeId="0" xr:uid="{2D9D3D0C-88D0-4726-BC45-688771D966E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326" authorId="19" shapeId="0" xr:uid="{BB469B2C-689D-47FD-86F6-972CB1DC6AD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AI357" authorId="20" shapeId="0" xr:uid="{9AD5DCCF-C032-4B50-AC9D-C0DD1E481F4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W374" authorId="21" shapeId="0" xr:uid="{DB807437-1CDF-4AA0-9143-5165D0AAF23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Əlavə iş yeri</t>
        </r>
      </text>
    </comment>
    <comment ref="W376" authorId="22" shapeId="0" xr:uid="{67F8B6D1-93E8-4CA5-940F-25F186726D4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Əsas iş yeri - KB</t>
        </r>
      </text>
    </comment>
    <comment ref="W422" authorId="23" shapeId="0" xr:uid="{8D4EEF94-8D31-4119-8127-BD42ACB9A51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08:00-17:00</t>
        </r>
      </text>
    </comment>
    <comment ref="AI435" authorId="24" shapeId="0" xr:uid="{9916F021-87D2-4244-8A1C-86228D04D1B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W512" authorId="25" shapeId="0" xr:uid="{9AF77F17-42A3-4587-80E8-CCA17FB7D1CA}">
      <text>
        <r>
          <rPr>
            <b/>
            <sz val="9"/>
            <color indexed="81"/>
            <rFont val="Tahoma"/>
            <family val="2"/>
          </rPr>
          <t>Ilaha Shahbazova:</t>
        </r>
        <r>
          <rPr>
            <sz val="9"/>
            <color indexed="81"/>
            <rFont val="Tahoma"/>
            <family val="2"/>
          </rPr>
          <t xml:space="preserve">
Əsas iş yeri-KB</t>
        </r>
      </text>
    </comment>
    <comment ref="AI521" authorId="26" shapeId="0" xr:uid="{1F5CF382-C53D-415F-9632-37CB87A75DE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Beyləqan ərazisi üzrə çalışır</t>
        </r>
      </text>
    </comment>
    <comment ref="W542" authorId="27" shapeId="0" xr:uid="{FC4222FA-83EE-44BA-BC60-3B5F4E77733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Əsas iş yeri-KB</t>
        </r>
      </text>
    </comment>
    <comment ref="W545" authorId="28" shapeId="0" xr:uid="{1459D7F5-C2CA-4505-9DEF-A10CDA3C725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Əsas iş yeri - KB</t>
        </r>
      </text>
    </comment>
    <comment ref="W546" authorId="29" shapeId="0" xr:uid="{E8AA18FD-9E95-49CE-BF4C-61651158B2A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Əsas iş yeri - KB</t>
        </r>
      </text>
    </comment>
    <comment ref="W555" authorId="30" shapeId="0" xr:uid="{A3C11115-5854-404E-990E-D3C3B18FD465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Əlavə iş yeri
</t>
        </r>
      </text>
    </comment>
  </commentList>
</comments>
</file>

<file path=xl/sharedStrings.xml><?xml version="1.0" encoding="utf-8"?>
<sst xmlns="http://schemas.openxmlformats.org/spreadsheetml/2006/main" count="77002" uniqueCount="17045">
  <si>
    <t>Personal kod</t>
  </si>
  <si>
    <t>Soyadı, adı və ata adı
(Surname, name, father name)</t>
  </si>
  <si>
    <t>Departament
(Department)</t>
  </si>
  <si>
    <t>Şöbə
(Section)</t>
  </si>
  <si>
    <t>Bölmə 
(Subsection)</t>
  </si>
  <si>
    <t>Vəzifə
(Position)</t>
  </si>
  <si>
    <t>Aktiv, Passiv, HX, SM (Active, Passive,Social vacation)</t>
  </si>
  <si>
    <t>Kapital Banka işə qəbul olunduğu tarix 
(Hire date)</t>
  </si>
  <si>
    <t>Qeyd</t>
  </si>
  <si>
    <t>Non agile filial</t>
  </si>
  <si>
    <t>Məmmədov Fərid Usad oğlu</t>
  </si>
  <si>
    <t>Həsənov Oqtay Arif oğlu</t>
  </si>
  <si>
    <t>Hüseynov Fərid Arif oğlu</t>
  </si>
  <si>
    <t>Mirzəyev Cavid Akif oğlu</t>
  </si>
  <si>
    <t>Hidayətzadə Fərid Səbuhi oğlu</t>
  </si>
  <si>
    <t>Orucov Calal Cümşüd oğlu</t>
  </si>
  <si>
    <t>Məmmədov Yaşar Zeynalabdı oğlu</t>
  </si>
  <si>
    <t>Abdullayev Kamal Nadir oğlu</t>
  </si>
  <si>
    <t>Baxşiyev Ağarza Yaşar oğlu</t>
  </si>
  <si>
    <t>Atakişiyev Rauf Surxay oğlu</t>
  </si>
  <si>
    <t>Məmmədov Emin Ağaverdi oğlu</t>
  </si>
  <si>
    <t xml:space="preserve">SZCZEPANSKI LUKASZ </t>
  </si>
  <si>
    <t>Qulaməliyev Rauf İlham oğlu</t>
  </si>
  <si>
    <t>Məmmədov Samir Sabir oğlu</t>
  </si>
  <si>
    <t>Aslanov Mehti İsfəndiyar oğlu</t>
  </si>
  <si>
    <t>İslamov Fərid Abbas oğlu</t>
  </si>
  <si>
    <t xml:space="preserve">VASILEVA EVGENIIA </t>
  </si>
  <si>
    <t>GROMOV MIKHAIL</t>
  </si>
  <si>
    <t>EVDOKIMOV MAKSIM</t>
  </si>
  <si>
    <t>Nəbiyev Valeh Valeh oğlu</t>
  </si>
  <si>
    <t>Məmmədov Ruslan Nəsir oğlu</t>
  </si>
  <si>
    <t>İbrahimov Məhəmməd Əhməd oğlu</t>
  </si>
  <si>
    <t>Xan-Məmmədov Zakir Akif oğlu</t>
  </si>
  <si>
    <t>Səmədov Fərid Sirac oğlu</t>
  </si>
  <si>
    <t>Məmmədov Pərvin Zahid oğlu</t>
  </si>
  <si>
    <t>Mahmudxanov Xıdır Asif oğlu</t>
  </si>
  <si>
    <t>IAKUBOV AIRAT</t>
  </si>
  <si>
    <t>Şükürov Elvin Elçin oğlu</t>
  </si>
  <si>
    <t>İbrahimxanlı Murad Zeynal oğlu</t>
  </si>
  <si>
    <t>Məmmədzadə Samir Səfər oğlu</t>
  </si>
  <si>
    <t>Əhmədov Kənan Fəxrəddin oğlu</t>
  </si>
  <si>
    <t>Lətifov Fariz Məmməd oğlu</t>
  </si>
  <si>
    <t>Məmmədov İlqar Camal oğlu</t>
  </si>
  <si>
    <t>Əlizadə Teymur Vladimiroviç</t>
  </si>
  <si>
    <t>SHATUNOV MAKSIM</t>
  </si>
  <si>
    <t>Rəcəbova Samirə Fuad qızı</t>
  </si>
  <si>
    <t>Seyfullayev Şahmar Asəf oğlu</t>
  </si>
  <si>
    <t>Mustafayev Kamran Çingiz oğlu</t>
  </si>
  <si>
    <t>RIZVANOV RUSTAM</t>
  </si>
  <si>
    <t>Ağayeva Aysel Babakişi qızı</t>
  </si>
  <si>
    <t>Bayramova Aynur Zirəddin qızı</t>
  </si>
  <si>
    <t>Qasımlı Nəsibə Etibar qızı</t>
  </si>
  <si>
    <t>Vəliyeva Nəsrin İsmayıl qızı</t>
  </si>
  <si>
    <t>Əliyeva Lalə Sənan qızı</t>
  </si>
  <si>
    <t>Ağayeva Xanım Çingiz qızı</t>
  </si>
  <si>
    <t>Teymurzadə Səma Bəylər qızı</t>
  </si>
  <si>
    <t>Abdullayeva Leyla Rüstəm qızı</t>
  </si>
  <si>
    <t>Mehdiyeva Fərəh Şahin qızı</t>
  </si>
  <si>
    <t>Hacıyev Anar Nadir oğlu</t>
  </si>
  <si>
    <t>Tağıyeva Elnarə Əli qızı</t>
  </si>
  <si>
    <t>Sadıqova Ləman Əsəd qızı</t>
  </si>
  <si>
    <t>Allahverdiyeva Femida Rafael qızı</t>
  </si>
  <si>
    <t>Hümmətli Ramizə Ramiz qızı</t>
  </si>
  <si>
    <t>Məmmədova Şəhanə Şahin qızı</t>
  </si>
  <si>
    <t>İsmayılova Şükufə Muxalif qızı</t>
  </si>
  <si>
    <t>Məmmədova Xumar Elşən qızı</t>
  </si>
  <si>
    <t>Yahyayeva Emiliya Rasim qızı</t>
  </si>
  <si>
    <t>Məmmədova Nərgiz Aydın qızı</t>
  </si>
  <si>
    <t>Vəlili İranə İlmas qızı</t>
  </si>
  <si>
    <t>Məmmədova Fidan Tahir qızı</t>
  </si>
  <si>
    <t>Kərimova Mehparə Məmmədsadıq qızı</t>
  </si>
  <si>
    <t>Rzayeva Ülkər Bəhram qızı</t>
  </si>
  <si>
    <t>Məmmədova Ramilə Vaqif qızı</t>
  </si>
  <si>
    <t>Səfərli Vüsalə Novruz qızı</t>
  </si>
  <si>
    <t>Aslanlı Tərlan Yusif oğlu</t>
  </si>
  <si>
    <t>İsmayılova Aysel Qələmdar qızı</t>
  </si>
  <si>
    <t>Şeydayeva Ceyla Zəki qızı</t>
  </si>
  <si>
    <t>Raşimov Süleyman Rafik oğlu</t>
  </si>
  <si>
    <t>Əlizadə Aytac Şahbaz qızı</t>
  </si>
  <si>
    <t>Həsənzadə Aynur Abasqulu qızı</t>
  </si>
  <si>
    <t>İmanova Nigar Rövşən qızı</t>
  </si>
  <si>
    <t>Tağiyeva Şahidə Namiq qızı</t>
  </si>
  <si>
    <t>Əhmədova Kəmalə Calalətdin qızı</t>
  </si>
  <si>
    <t>Hümmətova Aytən Şamil qızı</t>
  </si>
  <si>
    <t>Abdullazadə Fidan Bəxtiyar qızı</t>
  </si>
  <si>
    <t>Qasımzadə Nigar Asif qızı</t>
  </si>
  <si>
    <t>İsayeva Fəridə Seymur qızı</t>
  </si>
  <si>
    <t>Poladov Yusif Canəli oğlu</t>
  </si>
  <si>
    <t>Əli Fəxrəddin Fuad oğlu</t>
  </si>
  <si>
    <t>Əhmədova Nərmin Həsən qızı</t>
  </si>
  <si>
    <t>İsayev Maksim Maarif oğlu</t>
  </si>
  <si>
    <t>Əliyev Səttar Bayram oğlu</t>
  </si>
  <si>
    <t>Əfəndiyev Fərid Məcid oğlu</t>
  </si>
  <si>
    <t>Tivrizov Rəcəb Məmməd oğlu</t>
  </si>
  <si>
    <t>Tağıyev Orxan Rafael oğlu</t>
  </si>
  <si>
    <t>Cəbrayılzadə Vüsal Rəfail oğlu</t>
  </si>
  <si>
    <t>Qasımov Emin Tahir oğlu</t>
  </si>
  <si>
    <t>Əminzadə Nicat İlqar oğlu</t>
  </si>
  <si>
    <t>Məhərrəmli Elnur Firdovsi oğlu</t>
  </si>
  <si>
    <t>Kazımov Rauf Sabir oğlu</t>
  </si>
  <si>
    <t>Əhmədov Abil Mirqabil oğlu</t>
  </si>
  <si>
    <t>Əhmədzadə Elvin İlqar oğlu</t>
  </si>
  <si>
    <t>Novruzov Yalçın Əzizağa oğlu</t>
  </si>
  <si>
    <t>Namazov Elxan Sarıbəy oğlu</t>
  </si>
  <si>
    <t>Abbasov Ruslan Mətləb oğlu</t>
  </si>
  <si>
    <t>Eminzadə Məhəmməd Emin oğlu</t>
  </si>
  <si>
    <t>Həmzəliyev Əkbər Məmmədağa oğlu</t>
  </si>
  <si>
    <t>Yaqubzadə Ülvi Hikmət oğlu</t>
  </si>
  <si>
    <t>Cəfərov Azər Aydın oğlu</t>
  </si>
  <si>
    <t>Mərdanov Emil Ehtiram oğlu</t>
  </si>
  <si>
    <t>Babayev Tərxan Qismət oğlu</t>
  </si>
  <si>
    <t>Əsgərova Gülarə Aydın qızı</t>
  </si>
  <si>
    <t>Hacıyev Vüqar Sulduz oğlu</t>
  </si>
  <si>
    <t>Əliyev Elçin Əlövsət oğlu</t>
  </si>
  <si>
    <t>Qüdrətli Aysel Elbrus qızı</t>
  </si>
  <si>
    <t>Musayev Elşad Dilman oğlu</t>
  </si>
  <si>
    <t>Nəcəfova İlahə Vüqar qızı</t>
  </si>
  <si>
    <t>Hacıyev Mətin Ramiz oğlu</t>
  </si>
  <si>
    <t>Kərimov Orxan Teymur oğlu</t>
  </si>
  <si>
    <t>Rüstəmov Balabəy Elçin oğlu</t>
  </si>
  <si>
    <t>Bağırzadə Cəlil İlqar oğlu</t>
  </si>
  <si>
    <t>Əhmədov Nurlan Elman oğlu</t>
  </si>
  <si>
    <t>Həsənov Turqay Oktay oğlu</t>
  </si>
  <si>
    <t>İsmayılova Ləman İbrahim qızı</t>
  </si>
  <si>
    <t>Pirişov Əliyar Yaşar oğlu</t>
  </si>
  <si>
    <t>Ağamirzəyev Yalçın Emin oğlu</t>
  </si>
  <si>
    <t>Tağıyeva Tahirə Samir qızı</t>
  </si>
  <si>
    <t>Yahyayeva Aysel Bəhrəm qızı</t>
  </si>
  <si>
    <t>Ələsgərov Elnur Polad oğlu</t>
  </si>
  <si>
    <t>Əfəndiyeva Məltəm Tərlan qızı</t>
  </si>
  <si>
    <t>Soltanova Rəna Pərviz qızı</t>
  </si>
  <si>
    <t>Süleymanlı Səxavət Nemət oğlu</t>
  </si>
  <si>
    <t>Bolayev Nurlan Nurəddin oğlu</t>
  </si>
  <si>
    <t>Nəcəfov Sənan Eldar oğlu</t>
  </si>
  <si>
    <t>Məmmədzadə Faiq Ramiz oğlu</t>
  </si>
  <si>
    <t>Əmirov Rəfail Rafiq oğlu</t>
  </si>
  <si>
    <t>Mirələmov Bəhruz Müşviq oğlu</t>
  </si>
  <si>
    <t>Ruşanov Nihat Arif oğlu</t>
  </si>
  <si>
    <t>Əsgərova Şəbnəm Zaur qızı</t>
  </si>
  <si>
    <t>Quliyeva Şəfa İlqar qızı</t>
  </si>
  <si>
    <t>Məmmədov Rəşad Teymur oğlu</t>
  </si>
  <si>
    <t>Mehdiyev Arif Kamal oğlu</t>
  </si>
  <si>
    <t>Məmmədli Zaur Rasim oğlu</t>
  </si>
  <si>
    <t>Nəbizadə Ümid Edil oğlu</t>
  </si>
  <si>
    <t>Həsənov Qüdrət Həsən oğlu</t>
  </si>
  <si>
    <t>Tarverdiyeva Fərqamə Qəzənfər qızı</t>
  </si>
  <si>
    <t>Atayeva Nəzakət İsmət qızı</t>
  </si>
  <si>
    <t>Həsənova Afaq Dilbazin qızı</t>
  </si>
  <si>
    <t>Gözəlova Fatimə Firdovsi qızı</t>
  </si>
  <si>
    <t>Paşayeva Elnurə Eyvaz qızı</t>
  </si>
  <si>
    <t>Məmmədli Nailə Eldar qızı</t>
  </si>
  <si>
    <t>Abdullayev Rafiq Nimət oğlu</t>
  </si>
  <si>
    <t>Hacıyev Cavidan Natiq oğlu</t>
  </si>
  <si>
    <t>Əhmədzadə Orxan Fərman oğlu</t>
  </si>
  <si>
    <t>Şirəliyeva Şəms Əsgər qızı</t>
  </si>
  <si>
    <t>Nəsirova Könül Məzahir qızı</t>
  </si>
  <si>
    <t>Məmişova Elnarə Cəfər qızı</t>
  </si>
  <si>
    <t>Məhərrəmova İlahə Vaqif qızı</t>
  </si>
  <si>
    <t>Muradova Nərgiz Fəxrəddin qızı</t>
  </si>
  <si>
    <t>Rzayeva Gülnar Fazil qızı</t>
  </si>
  <si>
    <t xml:space="preserve">Pirqasimova Esmira Alxanovna </t>
  </si>
  <si>
    <t>Ağasərkari Selcan Naqif qızı</t>
  </si>
  <si>
    <t>Ağamedov Nadir Nizamoviç oğlu</t>
  </si>
  <si>
    <t>Qarayev Anar Çingiz oğlu</t>
  </si>
  <si>
    <t>Ömərli Turxan Müsəllim oğlu</t>
  </si>
  <si>
    <t>Tağiyeva Zahidə Əli qızı</t>
  </si>
  <si>
    <t>Aslanova Tamara Mehman qızı</t>
  </si>
  <si>
    <t>Cabbarli Ləman İlqar qızı</t>
  </si>
  <si>
    <t>Səfərəliyeva Tahirə Mahmud qızı</t>
  </si>
  <si>
    <t>Xəlilova Şəhanə Natiq qızı</t>
  </si>
  <si>
    <t>Ağayev Nicat İlqar oğlu</t>
  </si>
  <si>
    <t>Misirova Nuranə Daşqın qızı</t>
  </si>
  <si>
    <t>Zeynalova Azadə Fərrux qızı</t>
  </si>
  <si>
    <t>Yusifov Fərid Yaşar oğlu</t>
  </si>
  <si>
    <t>Hüseynova Münəvvər Ceyhun qızı</t>
  </si>
  <si>
    <t>Fərzəliyev Natiq Namiq oğlu</t>
  </si>
  <si>
    <t>Kərimli Sədaqət Musa qızı</t>
  </si>
  <si>
    <t>Ələsgərli Elşən Kamil oğlu</t>
  </si>
  <si>
    <t>Abbasova Afər Müşür qızı</t>
  </si>
  <si>
    <t>Əlimərdanova Şəhri İsmayıl qızı</t>
  </si>
  <si>
    <t>Mürşüdzadə Ruslan Qərib oğlu</t>
  </si>
  <si>
    <t>Surxaylı Gülxanım Faiq qızı</t>
  </si>
  <si>
    <t>Abbaszadə Gülnar Yusif qızı</t>
  </si>
  <si>
    <t>Hüseynova Günay Şahin qızı</t>
  </si>
  <si>
    <t>Ələkbərov Ələsgər İlham oğlu</t>
  </si>
  <si>
    <t>Quliyev Üzeyir İlham oğlu</t>
  </si>
  <si>
    <t>Kərimli Jalə Rüstəm qızı</t>
  </si>
  <si>
    <t>Bəbirli Fidan Azər qızı</t>
  </si>
  <si>
    <t>Əmrah Nuranə İlqar qızı</t>
  </si>
  <si>
    <t>Mustafayeva Nərmin Elşad qızı</t>
  </si>
  <si>
    <t>İsazadə Nadirə Şöyüf qızı</t>
  </si>
  <si>
    <t>Nəsirulla Farid Elşən oğlu</t>
  </si>
  <si>
    <t>Mürşüdzadə Nuranə Yusif qızı</t>
  </si>
  <si>
    <t>Məmmədova Nərmin Namiq qızı</t>
  </si>
  <si>
    <t>Novruzlu Lalə Nazim qızı</t>
  </si>
  <si>
    <t>Hüseynli Elgün Səadət oğlu</t>
  </si>
  <si>
    <t>Nəsirov Tural Əlixan oğlu</t>
  </si>
  <si>
    <t>Sadıqzadə Elmira Əli qızı</t>
  </si>
  <si>
    <t>Quluzadə Toğrul Fədai oğlu</t>
  </si>
  <si>
    <t>Qayıbova Fidan Ramiz qızı</t>
  </si>
  <si>
    <t>Xəlilov Samir Əlisabəli oğlu</t>
  </si>
  <si>
    <t>Camalova Leyli Fərhad qızı</t>
  </si>
  <si>
    <t>Hüseynov Orxan Novruz oğlu</t>
  </si>
  <si>
    <t>İslam-zadə Aysel Adil qızı</t>
  </si>
  <si>
    <t>Hüseynova Nigar Nizami qızı</t>
  </si>
  <si>
    <t>İslahlı Könül Fərman qızı</t>
  </si>
  <si>
    <t>Əhmədzadə Qızyetər Abdurahman qızı</t>
  </si>
  <si>
    <t>Hüseynova Ülkər Oktay qızı</t>
  </si>
  <si>
    <t>İbrahimov Elşad Moğbil oğlu</t>
  </si>
  <si>
    <t>Bayramlı Anar Şahin oğlu</t>
  </si>
  <si>
    <t>Abdullayev Zaid Arzu oğlu</t>
  </si>
  <si>
    <t>Fərəcli Rauf Həşim oğlu</t>
  </si>
  <si>
    <t>İmanov Şamxal Ehtibar oğlu</t>
  </si>
  <si>
    <t>Əhmədov Nəsimi Yaşar oğlu</t>
  </si>
  <si>
    <t>Orucov Ramil Ramin oğlu</t>
  </si>
  <si>
    <t>Ağayeva Fərəh Ramiz qızı</t>
  </si>
  <si>
    <t>Hacızadə Səbinə Nazim qızı</t>
  </si>
  <si>
    <t>Əliyeva Nərminə Yaşar qızı</t>
  </si>
  <si>
    <t>Əkbərova Zəminə Müşfiq qızı</t>
  </si>
  <si>
    <t>Nuriyev Xəyyam Rövşən oğlu</t>
  </si>
  <si>
    <t>Bədəlov Azər Akim oğlu</t>
  </si>
  <si>
    <t>Mehdiyev Müseyyib Arif oğlu</t>
  </si>
  <si>
    <t>Ləmbəranskiy Elmar İbrahim oğlu</t>
  </si>
  <si>
    <t>Quliyeva Nuranə Rəcəb qızı</t>
  </si>
  <si>
    <t>Mehrabov Abdulla İlqar oğlu</t>
  </si>
  <si>
    <t>Musayeva İlahə Elçin qızı</t>
  </si>
  <si>
    <t>Nadirova Nigar İlham qızı</t>
  </si>
  <si>
    <t>Abdullayev Emil Rauf oğlu</t>
  </si>
  <si>
    <t>Məmmədov Bəşir Mais oğlu</t>
  </si>
  <si>
    <t>Kərimov Ceyhun Əhəd oğlu</t>
  </si>
  <si>
    <t>Məmmədov Cavid Mehman oğlu</t>
  </si>
  <si>
    <t>Salmanov Məlik Şakir oğlu</t>
  </si>
  <si>
    <t>Babayeva Günel Rizvan qızı</t>
  </si>
  <si>
    <t>Ştayeva Stella Nikolayevna</t>
  </si>
  <si>
    <t>Sadıqova Durna Əlixan qızı</t>
  </si>
  <si>
    <t>Əliyeva Fatma Rəşid qızı</t>
  </si>
  <si>
    <t>Qurbanova Gülüş Qəndəfər qızı</t>
  </si>
  <si>
    <t>Məmmədova Aytən Firuz qızı</t>
  </si>
  <si>
    <t>Mehdiyeva Xuraman Ramazan qızı</t>
  </si>
  <si>
    <t>İsmixanova Ruminə Şahbaz qızı</t>
  </si>
  <si>
    <t>Məmmədova Xanım Zeynal qızı</t>
  </si>
  <si>
    <t>Əliquluyeva Zərnişan Oruc qızı</t>
  </si>
  <si>
    <t>Həsənova Validə İmran qızı</t>
  </si>
  <si>
    <t>Qurbanova Hilal Abbas qızı</t>
  </si>
  <si>
    <t>Əliyarova Səadət Zahid qızı</t>
  </si>
  <si>
    <t>Bəbirova Xuraman Eldar qızı</t>
  </si>
  <si>
    <t>Quliyeva Mədinə Baba qızı</t>
  </si>
  <si>
    <t>Bənnayeva Sevinc Əli Ağa qızı</t>
  </si>
  <si>
    <t>Hüseynova Fatma Müzəffər qızı</t>
  </si>
  <si>
    <t>Bayramova Simuzər Mövlud qızı</t>
  </si>
  <si>
    <t>Baxışeva Aygün Hüseynağa qızı</t>
  </si>
  <si>
    <t>Novruzova Məhfuzə Naməd qızı</t>
  </si>
  <si>
    <t>Ağayeva Samirə Şamil qızı</t>
  </si>
  <si>
    <t>Aydınova Gülşanə Qismət qızı</t>
  </si>
  <si>
    <t>Baxşiyeva Nailə Şahvələd qızı</t>
  </si>
  <si>
    <t>Mikayılova Sevda Şamil qızı</t>
  </si>
  <si>
    <t>Hacıyeva Məlahət Məmmədəli qızı</t>
  </si>
  <si>
    <t>Səfərova Maksudə Məmmədvəli qızı</t>
  </si>
  <si>
    <t>Süleymanova Yazgül İkram qızı</t>
  </si>
  <si>
    <t>Məmmədova Sevinc Barat qızı</t>
  </si>
  <si>
    <t>Dibirova Rəqsanə Elxan qızı</t>
  </si>
  <si>
    <t>Bəbişova Arzu Balasəməd qızı</t>
  </si>
  <si>
    <t>Mehtiyeva Nuranə Yusif qızı</t>
  </si>
  <si>
    <t>Namazova Sevda Bəhlul qızı</t>
  </si>
  <si>
    <t>Əsədova Təranə Təhməz qızı</t>
  </si>
  <si>
    <t>Kərimova Cəvahir Sabir qızı</t>
  </si>
  <si>
    <t>Fərəcova Qətibə Arif qızı</t>
  </si>
  <si>
    <t>Abdullayeva Fərqanə Zeynalabdi qızı</t>
  </si>
  <si>
    <t>Həsənova Ruhiyyə Hüseyn qızı</t>
  </si>
  <si>
    <t>Kazımova Şölə Allahverdi qızı</t>
  </si>
  <si>
    <t>Rəcəbova Elmira Ələskərovna</t>
  </si>
  <si>
    <t>Əliheydərova Mehriban Tofiq qızı</t>
  </si>
  <si>
    <t>Hətəmova Nahidə Məhəmmədəli qızı</t>
  </si>
  <si>
    <t>Ağayeva Zahirə Balayar qızı</t>
  </si>
  <si>
    <t>Əsədova Aynur Rasim qızı</t>
  </si>
  <si>
    <t>Rəhimova Günel Azad qızı</t>
  </si>
  <si>
    <t>İsmayılova Ceyhunə Tofik qızı</t>
  </si>
  <si>
    <t>Gərayeva Səadət Mirsəyyaf qızı</t>
  </si>
  <si>
    <t>Ağayeva Səbinə Sabir qızı</t>
  </si>
  <si>
    <t>Hacıyeva Zülfiyyə Qurban qızı</t>
  </si>
  <si>
    <t>Mövlamova Nailə Ramiz qızı</t>
  </si>
  <si>
    <t>İsayeva Gülnarə Vahid qızı</t>
  </si>
  <si>
    <t>Məmmədova Aynurə Yasir qızı</t>
  </si>
  <si>
    <t>Ağayeva İradə Bəşir qızı</t>
  </si>
  <si>
    <t>Əhmədova İlhamə İspəndiyar qızı</t>
  </si>
  <si>
    <t>Səfərova Rəfiqə Vaqif qızı</t>
  </si>
  <si>
    <t>Qurbanova Xəyalə İlqar qızı</t>
  </si>
  <si>
    <t>Məmmədalıyeva Yasəmən Möhübbət qızı</t>
  </si>
  <si>
    <t>Süleymanova Samirə Süleyman qızı</t>
  </si>
  <si>
    <t>Bayramova Təranə Ağasəf qızı</t>
  </si>
  <si>
    <t>Ağayeva Gülşən Mirhabil qızı</t>
  </si>
  <si>
    <t>Abasova Elnurə Əzizağa qızı</t>
  </si>
  <si>
    <t>Saadova İntizar Şabiddin qızı</t>
  </si>
  <si>
    <t>Sultanova Samirə Balaqadaş qızı</t>
  </si>
  <si>
    <t>Məmmədli Samir Vaqif oğlu</t>
  </si>
  <si>
    <t>Əliyev Azad Nəriman oğlu</t>
  </si>
  <si>
    <t>Muradov Asif Arif oğlu</t>
  </si>
  <si>
    <t>Frolov Denis Aleksandroviç</t>
  </si>
  <si>
    <t>Səfərov Azad Rasim oğlu</t>
  </si>
  <si>
    <t>Zeynalov Bəxtiyar Fuad oğlu</t>
  </si>
  <si>
    <t>Vahabov İlqar Məməti oğlu</t>
  </si>
  <si>
    <t>Əhmədov İlqar Əli oğlu</t>
  </si>
  <si>
    <t>Nəzərov Fizuli Raqib oğlu</t>
  </si>
  <si>
    <t>Qasımzadə Tural Rafiq oğlu</t>
  </si>
  <si>
    <t>Cəlalov Namiq Maarif oğlu</t>
  </si>
  <si>
    <t>Cahangirov Yalçın İdris oğlu</t>
  </si>
  <si>
    <t>Kazımov Kamal Arif oğlu</t>
  </si>
  <si>
    <t>Məmmədov Nazim Əlif oğlu</t>
  </si>
  <si>
    <t>Əfəndiyev Müşfiq Rauf oğlu</t>
  </si>
  <si>
    <t>İmanov Ruslan Sevdiyar oğlu</t>
  </si>
  <si>
    <t>Alışov Tahir Mamed oğlu</t>
  </si>
  <si>
    <t>Babayev Cabir Müqabil oğlu</t>
  </si>
  <si>
    <t>Alai Elçin Məmməd oğlu</t>
  </si>
  <si>
    <t>Allahverdiyev Faiq Osman oğlu</t>
  </si>
  <si>
    <t>Kərimov Fazil Yusif oğlu</t>
  </si>
  <si>
    <t>Məsiyev Habil İsgəndər oğlu</t>
  </si>
  <si>
    <t>Əjdərov Ramiz Ənvər oğlu</t>
  </si>
  <si>
    <t>Qayıbov Azər Faiq oğlu</t>
  </si>
  <si>
    <t>Həsənov Firuz Fərrux oğlu</t>
  </si>
  <si>
    <t>Fətullayev Xalid Cəfər oğlu</t>
  </si>
  <si>
    <t>Zahidov Ramin Divanxan oğlu</t>
  </si>
  <si>
    <t>Babayev Rafiq Baba oğlu</t>
  </si>
  <si>
    <t>Əzizov Namiq Arif oğlu</t>
  </si>
  <si>
    <t>Quliyev İlqar Soltan oğlu</t>
  </si>
  <si>
    <t>Əliyev Cavad Natiq oğlu</t>
  </si>
  <si>
    <t>Budaqov Elxan Spartak oğlu</t>
  </si>
  <si>
    <t>Ayvazov Zaur Elmar oğlu</t>
  </si>
  <si>
    <t>Əhmədov Anar Məmiş oğlu</t>
  </si>
  <si>
    <t>Əliyev Kəvakib Qarçıqay oğlu</t>
  </si>
  <si>
    <t>Novruzov Hakim Arif oğlu</t>
  </si>
  <si>
    <t>Rzayev Rza Əli oğlu</t>
  </si>
  <si>
    <t>Axundova Aygün Şahin qızı</t>
  </si>
  <si>
    <t>Mirsiyabova Kubra Namiq qızı</t>
  </si>
  <si>
    <t>Ayvazov Əli Tofiq oğlu</t>
  </si>
  <si>
    <t>Əliyeva Aynur Natiq qızı</t>
  </si>
  <si>
    <t>Qacarova Əfsanə Hümbət qızı</t>
  </si>
  <si>
    <t>Mustafayev Ruslan Yavər oğlu</t>
  </si>
  <si>
    <t>İdayətova Səbinə İlham qızı</t>
  </si>
  <si>
    <t>Hudulova Lamiyə Kamalddin qızı</t>
  </si>
  <si>
    <t>Hacıyeva Gülnarə Maarif qızı</t>
  </si>
  <si>
    <t>Zeynalova Firəngiz Anar qızı</t>
  </si>
  <si>
    <t>Bədirxanova Səbinə İsmiyat qızı</t>
  </si>
  <si>
    <t>Quliyev Tural Alay oğlu</t>
  </si>
  <si>
    <t>Ağcabəyova Qiyafət Zaur qızı</t>
  </si>
  <si>
    <t>Təvəkkülova Nəzakət Nizami qızı</t>
  </si>
  <si>
    <t>Nağızadə Xəyalə Vilayət qızı</t>
  </si>
  <si>
    <t>Rəşidov Murad Mir Yaşar oğlu</t>
  </si>
  <si>
    <t>Qaharmanova Zeynəb Əlişir qızı</t>
  </si>
  <si>
    <t>Xammədli Aydan Kamran qızı</t>
  </si>
  <si>
    <t>Abbasov Şamxal Asif oğlu</t>
  </si>
  <si>
    <t>Əlvani Aydan Əlirza qızı</t>
  </si>
  <si>
    <t>Əhmədova Zərinə Mirmayis qızı</t>
  </si>
  <si>
    <t>Hüseynov Məhəmməd Məmməd oğlu</t>
  </si>
  <si>
    <t>Sadıxzadə Şəmsi Elçin oğlu</t>
  </si>
  <si>
    <t>Rzayeva Fəridə Tofiq qızı</t>
  </si>
  <si>
    <t>Hümbətova Vəfa Faiq qızı</t>
  </si>
  <si>
    <t>Cəfərov İlkin Firidun oğlu</t>
  </si>
  <si>
    <t>Məmmədli Cavid Şakir oğlu</t>
  </si>
  <si>
    <t>Hacıyev Bəxtiyar Rauf oğlu</t>
  </si>
  <si>
    <t>Qaraçobanova Aybəniz İlham qızı</t>
  </si>
  <si>
    <t>Mustafayev Ramil Rauf oğlu</t>
  </si>
  <si>
    <t>Hüseynov Sərxan Mehman oğlu</t>
  </si>
  <si>
    <t>Cahangirov Əzizxan Bəxtiyar oğlu</t>
  </si>
  <si>
    <t>Nəsibova Cəmilə Tahir qızı</t>
  </si>
  <si>
    <t>İslamzadə Gülşən Mehman qızı</t>
  </si>
  <si>
    <t>Nəsirov Məhəmməd Yadigar oğlu</t>
  </si>
  <si>
    <t>Əlizadə Anar Natiq oğlu</t>
  </si>
  <si>
    <t>İsmayılzadə Validə Muxtar qızı</t>
  </si>
  <si>
    <t>Əliyev Elvin Oqtay oğlu</t>
  </si>
  <si>
    <t>Şahveranov Yusif Yurin oğlu</t>
  </si>
  <si>
    <t>Eminov Mübariz Ağaməlik oğlu</t>
  </si>
  <si>
    <t>Ağayeva Fidan Rasim qızı</t>
  </si>
  <si>
    <t>Məmmədov Elmir Mübariz oğlu</t>
  </si>
  <si>
    <t>Həbilova Elza Faiq qızı</t>
  </si>
  <si>
    <t>Minetullayeva Zamina Minetulla qızı</t>
  </si>
  <si>
    <t>İbrahimov Rasim Qəzənfər oğlu</t>
  </si>
  <si>
    <t>Hikmət Elnur Hikmət oğlu</t>
  </si>
  <si>
    <t>Qüdrətov Adil İntiqam oğlu</t>
  </si>
  <si>
    <t>Adıgözəlov Ədalət Ədalət oğlu</t>
  </si>
  <si>
    <t>Bayramov Aydın Ramil oğlu</t>
  </si>
  <si>
    <t>Əsgərov Əliheydər Namdar oğlu</t>
  </si>
  <si>
    <t>İbrahimov Emil Arif oğlu</t>
  </si>
  <si>
    <t>Hacıyev Samir Ramiz oğlu</t>
  </si>
  <si>
    <t>Qurbanəliyev Rahim Məhərrəm oğlu</t>
  </si>
  <si>
    <t>Məlikzadə Bəhruz Arzuman oğlu</t>
  </si>
  <si>
    <t>Fərzəliyev Alıxan İsmayil oğlu</t>
  </si>
  <si>
    <t>Musayeva Aygün Sahiddin qızı</t>
  </si>
  <si>
    <t xml:space="preserve">GONCHAROV BORIS </t>
  </si>
  <si>
    <t>Məmmədova Səbinə Akif qızı</t>
  </si>
  <si>
    <t xml:space="preserve">	Rüstəmova Vəfa Elbrus qızı</t>
  </si>
  <si>
    <t>Məmmədrəsulzadə Günay Şərakət qızı</t>
  </si>
  <si>
    <t>Cəbrayılov Fehruz Nizami oğlu</t>
  </si>
  <si>
    <t>Sultanova Fəridə Arzuman qızı</t>
  </si>
  <si>
    <t>Səfərli Aytən Məzahir qızı</t>
  </si>
  <si>
    <t>Mustafazadə Nigar Ceyhun qızı</t>
  </si>
  <si>
    <t>Hacıyeva Səmra Elşad qızı</t>
  </si>
  <si>
    <t>Babayeva Mədinə Natiq qızı</t>
  </si>
  <si>
    <t>Zəkəryəzadə Aylin Mehman qızı</t>
  </si>
  <si>
    <t>Əkbərova Pərvin Elçin qızı</t>
  </si>
  <si>
    <t>Əliyeva Fidan Elmar qızı</t>
  </si>
  <si>
    <t>Şəfiyeva Nəzrin Fikrət qızı</t>
  </si>
  <si>
    <t>Novruzova Mədinə Natiq qızı</t>
  </si>
  <si>
    <t>Hüseynova Alsu Müşfiq qızı</t>
  </si>
  <si>
    <t>Mehdiyeva Sevil Taleh qızı</t>
  </si>
  <si>
    <t>Qəribova Lalə Təbriz qızı</t>
  </si>
  <si>
    <t>Axundova Rimma Seymur qızı</t>
  </si>
  <si>
    <t>Tahirov Nizami Bəylər oğlu</t>
  </si>
  <si>
    <t>Cəfərova Aida İdrət qızı</t>
  </si>
  <si>
    <t>Hacıyeva Aytən Sərkər qızı</t>
  </si>
  <si>
    <t>Cavadova Aytən Rəhim qızı</t>
  </si>
  <si>
    <t>Cəlilova Elmira Şirin qızı</t>
  </si>
  <si>
    <t>Aliyeva Kamilə Əhəd qızı</t>
  </si>
  <si>
    <t>Şahbazova İlahə İsa qızı</t>
  </si>
  <si>
    <t>Babazadə Şahin Rəhman oğlu</t>
  </si>
  <si>
    <t>Həsənova Xuraman Əkbər qızı</t>
  </si>
  <si>
    <t>Dəvrişova Aygül Akif qızı</t>
  </si>
  <si>
    <t>Həmzəyev Rüstəm Bayram oğlu</t>
  </si>
  <si>
    <t>Məlikov Ülvi Nəcəf oğlu</t>
  </si>
  <si>
    <t>Musaxanova Svetlana Allahverən qızı</t>
  </si>
  <si>
    <t>Tehranlı Ağaəli Cahid oğlu</t>
  </si>
  <si>
    <t>Cavadlı Orxan Rauf oğlu</t>
  </si>
  <si>
    <t>Cəlilov Hüseyn İlyas oğlu</t>
  </si>
  <si>
    <t>Abasova Fəridə Ələddin qızı</t>
  </si>
  <si>
    <t>Cəbrayılova Ülkər Vidadi qızı</t>
  </si>
  <si>
    <t>Kamılova Milana Babək qızı</t>
  </si>
  <si>
    <t>Namazova Zümrüd Bahadur qızı</t>
  </si>
  <si>
    <t>Alzamanova Nərmin Sübhan qızı</t>
  </si>
  <si>
    <t>Mehdiquliyeva Zümrüd Qadir qızı</t>
  </si>
  <si>
    <t>Yusifova Aysel Azər qızı</t>
  </si>
  <si>
    <t>Nağıyeva Dərya İsmixan qızı</t>
  </si>
  <si>
    <t>Nəfəsova Gülnar Siyasət qızı</t>
  </si>
  <si>
    <t>Məmmədova Fəridə Fariz qızı</t>
  </si>
  <si>
    <t>Hüseynova Mədinə Rövşən qızı</t>
  </si>
  <si>
    <t>Hüseynova Tamilla Kamal qızı</t>
  </si>
  <si>
    <t>Ələkbərova Ləman Fətullah qızı</t>
  </si>
  <si>
    <t>Qurbanlı Elmi Fikrət oğlu</t>
  </si>
  <si>
    <t>Əliyeva Ləman Faiq qızı</t>
  </si>
  <si>
    <t>Qəhrəmanova Aydan Zaur qızı</t>
  </si>
  <si>
    <t>Xəlilli Gülməmməd Ziyadxan oğlu</t>
  </si>
  <si>
    <t>Arifzadə Firuzə İman qızı</t>
  </si>
  <si>
    <t>Məmmədli Çinarə Mətləb qızı</t>
  </si>
  <si>
    <t>Həmidli Sona Səbahəddin qızı</t>
  </si>
  <si>
    <t>Vahabov Rövşən Məzahir oğlu</t>
  </si>
  <si>
    <t>Ələkbərli Şəfiqə Elbrus qızı</t>
  </si>
  <si>
    <t>Əzimova Nərgiz Ağamirzə qızı</t>
  </si>
  <si>
    <t>Hüseynova Qönçə Mehman qızı</t>
  </si>
  <si>
    <t>Əsədov Əsəd Elşən oğlu</t>
  </si>
  <si>
    <t>Əliyeva Səfurə Nadir qızı</t>
  </si>
  <si>
    <t>Quliyeva Leyli Rauf qızı</t>
  </si>
  <si>
    <t>Sadıqova Ayşən Razi qızı</t>
  </si>
  <si>
    <t>Şalbuzova Aynur İlqar qızı</t>
  </si>
  <si>
    <t>Məmmədova Ruhəngiz Rauf qızı</t>
  </si>
  <si>
    <t>Məmmədli Səltənət Xaqani qızı</t>
  </si>
  <si>
    <t>Məsimzadə Sitarə Ələkbər qızı</t>
  </si>
  <si>
    <t>Məmmədxanlı Aytac Mehman qızı</t>
  </si>
  <si>
    <t>Rasimli Günay Rasim qızı</t>
  </si>
  <si>
    <t>Rüstəmli Səbinə Arif qızı</t>
  </si>
  <si>
    <t>İbrahimli Aynur Ömər qızı</t>
  </si>
  <si>
    <t>İbrahimova Fəxriyyə İlqar qızı</t>
  </si>
  <si>
    <t>İsrayılova Səbinə Ceyhun qızı</t>
  </si>
  <si>
    <t>Mədətova Töhfə Qurban qızı</t>
  </si>
  <si>
    <t>Cavidan İnanlu Elnaz Moctəba qızı</t>
  </si>
  <si>
    <t>Gasımova Tukazban</t>
  </si>
  <si>
    <t>Heydərova Günay Şirzad qızı</t>
  </si>
  <si>
    <t>Paşayeva Şəfiqə Azər qızı</t>
  </si>
  <si>
    <t>Rəfibəyli Höküməxanım Şahin qızı</t>
  </si>
  <si>
    <t>Zeynalova Həmidə Gülağa qızı</t>
  </si>
  <si>
    <t>Axundzadə Nərmin Nazim qızı</t>
  </si>
  <si>
    <t>Quliyeva Nigar Rafiq qızı</t>
  </si>
  <si>
    <t>Hümbətov Məhəmməd Əsəd oğlu</t>
  </si>
  <si>
    <t>Hüseynova İradə Tofiq qızı</t>
  </si>
  <si>
    <t>Mustafayev Sabir Mustafa oğlu</t>
  </si>
  <si>
    <t>Salahova Aysel Müzəffər qızı</t>
  </si>
  <si>
    <t>İsayeva Aydan İlham qızı</t>
  </si>
  <si>
    <t>Xasiyev Nəsimi Mais oğlu</t>
  </si>
  <si>
    <t>Mustafayev Elçin Əkrəm oğlu</t>
  </si>
  <si>
    <t>Mürsəlov Orxan Fikrət oğlu</t>
  </si>
  <si>
    <t>Məmmədquliyev Fərhad Süleyman oğlu</t>
  </si>
  <si>
    <t>Axundzadə Vüsal Şakir oğlu</t>
  </si>
  <si>
    <t>Nəcəfov Şahəddin Mənsur oğlu</t>
  </si>
  <si>
    <t>Əliyev Kainat Ağalar oğlu</t>
  </si>
  <si>
    <t>Hüseynov Orxan Fikrət oğlu</t>
  </si>
  <si>
    <t>Quliyev Ayaz Araz oğlu</t>
  </si>
  <si>
    <t>Əhmədov Fəxri Babək oğlu</t>
  </si>
  <si>
    <t>Rəfibəyli Türkel Oqtay oğlu</t>
  </si>
  <si>
    <t>Həsənov Oruc İlqar oğlu</t>
  </si>
  <si>
    <t>Əhmədli Əsgər Cavanşir oğlu</t>
  </si>
  <si>
    <t>Quliyeva Fəridə Rauf qızı</t>
  </si>
  <si>
    <t>Səmədova Əminə Elxan qızı</t>
  </si>
  <si>
    <t>Hüseynov Emin Rəhim oğlu</t>
  </si>
  <si>
    <t>Hüseynzadə Kamil Əvdil oğlu</t>
  </si>
  <si>
    <t>Nəbizadə Məhəmməd Hüseyn oğlu</t>
  </si>
  <si>
    <t>Yaqubov Süleyman Elman oğlu</t>
  </si>
  <si>
    <t>Qəhrəmanlı Ülvi Akif oğlu</t>
  </si>
  <si>
    <t>Xasıyev Natiq Xalis oğlu</t>
  </si>
  <si>
    <t>İsmayılov Tural Qadir oğlu</t>
  </si>
  <si>
    <t>Atakişiyev Qurban Rafis oğlu</t>
  </si>
  <si>
    <t>Beydullayeva Sədəfxanım Elşən qızı</t>
  </si>
  <si>
    <t>Xankişiyeva Süsən Nazim qızı</t>
  </si>
  <si>
    <t>Əzimov Nihad Fuad oğlu</t>
  </si>
  <si>
    <t>Nürəddinli Elçin Natiq oğlu</t>
  </si>
  <si>
    <t>Osmanlı Kamran Mehralı oğlu</t>
  </si>
  <si>
    <t>Əzimov Nicat Samir oğlu</t>
  </si>
  <si>
    <t>Tahirova Aytən Bayandur qızı</t>
  </si>
  <si>
    <t>Baratov Səbuhi Kənan oğlu</t>
  </si>
  <si>
    <t>Məmmədli Nadir Zəlimxan oğlu</t>
  </si>
  <si>
    <t>Aslanov Mirfazil Mirəziz oğlu</t>
  </si>
  <si>
    <t>Orucov Emin Sabir oğlu</t>
  </si>
  <si>
    <t>Zeynallı Rəşad Namiq oğlu</t>
  </si>
  <si>
    <t>Məmmədov Orxan Mehman oğlu</t>
  </si>
  <si>
    <t>Rəhimli Cavid Gülağa oğlu</t>
  </si>
  <si>
    <t>Fətəliyev Elmir Fətəli oğlu</t>
  </si>
  <si>
    <t>Ağayev Zöhrab Gülbala oğlu</t>
  </si>
  <si>
    <t>Qarayev İlkin Mətləb oğlu</t>
  </si>
  <si>
    <t>Dəmirov Həbib Böyükkişi oğlu</t>
  </si>
  <si>
    <t>Qocazadə Rəhim Xosrov oğlu</t>
  </si>
  <si>
    <t>Talıblı Lətif Rəfail oğlu</t>
  </si>
  <si>
    <t>Səfərəliyev Samir Kamil oğlu</t>
  </si>
  <si>
    <t>Əsgərov Vüsal Çingiz oğlu</t>
  </si>
  <si>
    <t>Rəsulov Toğrul Mikayıl oğlu</t>
  </si>
  <si>
    <t>Məmmədov Rauf Aydın oğlu</t>
  </si>
  <si>
    <t>Seydəlizadə Nurlan Elxan oğlu</t>
  </si>
  <si>
    <t>Seyidov Məhəmməd Said oğlu</t>
  </si>
  <si>
    <t>Quliyev Seymur Tofiq oğlu</t>
  </si>
  <si>
    <t>Babayev Firuddin Fikrət oğlu</t>
  </si>
  <si>
    <t>Bəşirli Yusif Vüqar oğlu</t>
  </si>
  <si>
    <t>Kosayev Həmid Cahandar oğlu</t>
  </si>
  <si>
    <t>Məmmədov Cabir Sabir oğlu</t>
  </si>
  <si>
    <t>Hümbətov Bilal Vidadi oğlu</t>
  </si>
  <si>
    <t>Abdullayev Müşfiq Şahin oğlu</t>
  </si>
  <si>
    <t>Əliyev Sadiq Adil oğlu</t>
  </si>
  <si>
    <t>Məcidzadə Məcid Siyavuş oğlu</t>
  </si>
  <si>
    <t>Həsənov Baxşeyiş İmamqulu oğlu</t>
  </si>
  <si>
    <t>Layıcova Xədicə Eyvaz qızı</t>
  </si>
  <si>
    <t>Zeynallı Allahşükür Ərrəhman oğlu</t>
  </si>
  <si>
    <t>Musayev İbrahim Natiq oğlu</t>
  </si>
  <si>
    <t>Qurbanzadə Fidan Əhəd qızı</t>
  </si>
  <si>
    <t>Abdulkərimov Tamerlan Ramiz oğlu</t>
  </si>
  <si>
    <t>Nəhmətov Cavid Qabil oğlu</t>
  </si>
  <si>
    <t>Həsənov Ziya Sabir oğlu</t>
  </si>
  <si>
    <t>Yusifli Elgün Telman oğlu</t>
  </si>
  <si>
    <t>Məmmədli Lətafət Yadigar qızı</t>
  </si>
  <si>
    <t>Səfərov Vurğun Əliş oğlu</t>
  </si>
  <si>
    <t>İbrahimov Habil Fəxrəddin oğlu</t>
  </si>
  <si>
    <t>Məmmədli İlkin Əfqan oğlu</t>
  </si>
  <si>
    <t>Cəfərova Həmayə Rasim qızı</t>
  </si>
  <si>
    <t>İsmayılov Elvin Bəşir oğlu</t>
  </si>
  <si>
    <t>Əliyev Elşən Kamandar oğlu</t>
  </si>
  <si>
    <t>Xankişiyev Ülvi Habil oğlu</t>
  </si>
  <si>
    <t>Məmmədbağırova Jalə Zaur qızı</t>
  </si>
  <si>
    <t>Şirzadov Firuz Əfqan oğlu</t>
  </si>
  <si>
    <t>Muradlı Mətin Vahid oğlu</t>
  </si>
  <si>
    <t>Quliyev Böyükağa Rəhman oğlu</t>
  </si>
  <si>
    <t>Xosuzadə Cəlil Mikayıl oğlu</t>
  </si>
  <si>
    <t>Babayev İbrahim Hikmət oğlu</t>
  </si>
  <si>
    <t>Abasquliyev Toğrul Zaməddin oğlu</t>
  </si>
  <si>
    <t>Xudiyeva Aygül Fətulla qızı</t>
  </si>
  <si>
    <t>Səmədov Kamran Hidayət oğlu</t>
  </si>
  <si>
    <t>Həsənzadə Lalə Mobil qızı</t>
  </si>
  <si>
    <t>Səfiyev Əli Samir oğlu</t>
  </si>
  <si>
    <t>Hüseynov Tofiq Rüfət oğlu</t>
  </si>
  <si>
    <t>Musayeva Almaz Cavad qızı</t>
  </si>
  <si>
    <t>Kərimov Rauf Arif oğlu</t>
  </si>
  <si>
    <t>Cəfərov Şəhriyar Şahmar oğlu</t>
  </si>
  <si>
    <t>Əhmədova Nailə Rəşid qızı</t>
  </si>
  <si>
    <t>Qulizadə Sahilə İlyas qızı</t>
  </si>
  <si>
    <t>Yusifov Emin Natiq oğlu</t>
  </si>
  <si>
    <t>Süleymanlı Kənan Rasim oğlu</t>
  </si>
  <si>
    <t>Məmmədova Gülnar Mustafa qızı</t>
  </si>
  <si>
    <t>Zülfüqarov Cavid Zahid oğlu</t>
  </si>
  <si>
    <t>Niyazova Leyla Vaqif qızı</t>
  </si>
  <si>
    <t>Qəhrəmanova Sevinc Pənah qızı</t>
  </si>
  <si>
    <t>Həsənli Nailə Hikmət qızı</t>
  </si>
  <si>
    <t>Qafulova Zərifə Məhərrəm qızı</t>
  </si>
  <si>
    <t>Nifdullayev Cəmil Adil oğlu</t>
  </si>
  <si>
    <t>Vəliyeva Günel Murad qızı</t>
  </si>
  <si>
    <t>Rəsulov Kənan Rəcəb oğlu</t>
  </si>
  <si>
    <t>Şabanova Sevinc Famil qızı</t>
  </si>
  <si>
    <t>Şirinov Nihad Oktay oğlu</t>
  </si>
  <si>
    <t>Talıbova Pəri Zahir qızı</t>
  </si>
  <si>
    <t>Güləliyev Sadiq Xanoğlan oğlu</t>
  </si>
  <si>
    <t>Piriyev Elmar Akifoviç</t>
  </si>
  <si>
    <t>Poladzadə Məmməd Saleh oğlu</t>
  </si>
  <si>
    <t>Yusifli Ülvi Eyyub oğlu</t>
  </si>
  <si>
    <t>Əzimova Sevinc Şahin qızı</t>
  </si>
  <si>
    <t>Sadıqov Fərid Elnur oğlu</t>
  </si>
  <si>
    <t>Mehdiyeva Nazpəri Mehman qızı</t>
  </si>
  <si>
    <t>Əzizli Fəhmin Vaqif oğlu</t>
  </si>
  <si>
    <t>Qasımova Aynur Rauf qızı</t>
  </si>
  <si>
    <t>Abbaslı Alyona Oleqovna</t>
  </si>
  <si>
    <t>Muradəliyeva Sülhiyyə Nadir qızı</t>
  </si>
  <si>
    <t>Əsgərova Leyla Ramil qızı</t>
  </si>
  <si>
    <t>Bəyməmmədov Sahil Yunis oğlu</t>
  </si>
  <si>
    <t>Hüseynzadə Gülnar Məzahir qızı</t>
  </si>
  <si>
    <t>Ədilzadə Türkay Rövşən qızı</t>
  </si>
  <si>
    <t>Məlikməmmədova Ofelya Telman qızı</t>
  </si>
  <si>
    <t>Ağayeva Aytac Ağasəməd qızı</t>
  </si>
  <si>
    <t>İsmayılov İsrafil Bilal oğlu</t>
  </si>
  <si>
    <t>Hüseynova Nuranə Elçin qızı</t>
  </si>
  <si>
    <t>Şabanov Vüqar Ayaz oğlu</t>
  </si>
  <si>
    <t>Cəbiyeva Türkay Əjdər qızı</t>
  </si>
  <si>
    <t>Orucova Gülnar Arzuman qızı</t>
  </si>
  <si>
    <t>Mirzaliyev Mirzalı Taryel oğlu</t>
  </si>
  <si>
    <t>Quliyev Abbas Sabir oğlu</t>
  </si>
  <si>
    <t>Hüseynzadə Fuad Ceyhun oğlu</t>
  </si>
  <si>
    <t xml:space="preserve">PASHAEV ANAR </t>
  </si>
  <si>
    <t>Məmmədov Eldar Elbrus oğlu</t>
  </si>
  <si>
    <t>Mikayılova Səbinə Şahbaz qızı</t>
  </si>
  <si>
    <t xml:space="preserve">	Həmidov İsrafil Şirxan oğlu</t>
  </si>
  <si>
    <t>Rüstəmzadə Xanım Fuad qızı</t>
  </si>
  <si>
    <t>Zeynalova Günay Zəlumxan qızı</t>
  </si>
  <si>
    <t>Babayev Nemət Rafət oğlu</t>
  </si>
  <si>
    <t>Hüseynli Əli Nizami oğlu</t>
  </si>
  <si>
    <t>Quliyev İlkin Nizami oğlu</t>
  </si>
  <si>
    <t>Səttarova Ruqiyə Vəli qızı</t>
  </si>
  <si>
    <t>Abdulrəhmanov Qara Fuad oğlu</t>
  </si>
  <si>
    <t>Əliyev Nicat Mahir oğlu</t>
  </si>
  <si>
    <t>Sadıxov Fərid Rauf oğlu</t>
  </si>
  <si>
    <t>Kərimzadə Ziyad Sənan oğlu</t>
  </si>
  <si>
    <t>Mirzadə İman Rza oğlu</t>
  </si>
  <si>
    <t>İsayeva Nərmin Camaləddin qızı</t>
  </si>
  <si>
    <t>Sevdimalıyev Murad Şəmsəddin oğlu</t>
  </si>
  <si>
    <t>Məmmədov Ülvi Azər oğlu</t>
  </si>
  <si>
    <t>Hüseynova Aidə İlqar qızı</t>
  </si>
  <si>
    <t>Əhmədov Sənan İlham oğlu</t>
  </si>
  <si>
    <t>Mahmudov Məhəmməd Əhməd oğlu</t>
  </si>
  <si>
    <t>Hüseynov Vasif Yaşar oğlu</t>
  </si>
  <si>
    <t>Fətalıbəyli Şəhriyar Şaiq oğlu</t>
  </si>
  <si>
    <t>Nadirov Nurlan Elçin oğlu</t>
  </si>
  <si>
    <t>Bağırzadə Xanbala Şaxbala oğlu</t>
  </si>
  <si>
    <t>Məmmədov Seymur Sabir oğlu</t>
  </si>
  <si>
    <t>Teymurlu Tural Davud oğlu</t>
  </si>
  <si>
    <t>İslamov Nazim Fazil oğlu</t>
  </si>
  <si>
    <t>Xalidli Kənan Tahir oğlu</t>
  </si>
  <si>
    <t>Məlik-Yeganlı Cavad Abbas oğlu</t>
  </si>
  <si>
    <t>Mirismayıllı Mirhəşim Mirbəşir oğlu</t>
  </si>
  <si>
    <t>Məmmədov Əmirxan Tahir oğlu</t>
  </si>
  <si>
    <t>Bəndalıyev Ülvi Qürbət oğlu</t>
  </si>
  <si>
    <t>Şumalova Nilgün Natiq qızı</t>
  </si>
  <si>
    <t>Bədəlov Ənvər Yusub oğlu</t>
  </si>
  <si>
    <t>Həsənli Elsevər Ceyhun oğlu</t>
  </si>
  <si>
    <t>Musayev Zaur Adil oğlu</t>
  </si>
  <si>
    <t>Məmmədyarov Şakir Nazim oğlu</t>
  </si>
  <si>
    <t>Eyvazov Ülvi Sahib oğlu</t>
  </si>
  <si>
    <t>Yadigarov Fariz Məhəmməd oğlu</t>
  </si>
  <si>
    <t>Axundov Hüseyn Bəxtiyar oğlu</t>
  </si>
  <si>
    <t>Məhərrəmov Adil İnşalla oğlu</t>
  </si>
  <si>
    <t>Muradov Fərhad Rizvan oğlu</t>
  </si>
  <si>
    <t>Hüseynova Səidə Adil qızı</t>
  </si>
  <si>
    <t>Məmmədova Humay Arif qızı</t>
  </si>
  <si>
    <t>Əkbərova Xəyalə Taftıq qızı</t>
  </si>
  <si>
    <t>Muradova Lətifə Şükür qızı</t>
  </si>
  <si>
    <t>Tahirli Nəzrin Elşad qızı</t>
  </si>
  <si>
    <t>Əliyev Rəşad Fərman oğlu</t>
  </si>
  <si>
    <t>Ağazadə Elşad Elçin oğlu</t>
  </si>
  <si>
    <t>Əbilova Səbinə Şahvələt qızı</t>
  </si>
  <si>
    <t>Mirzəyev Vüsal İlqar oğlu</t>
  </si>
  <si>
    <t>Əmirli Günel Valeh qızı</t>
  </si>
  <si>
    <t>Şəfiyev Hüseyn Fədai oğlu</t>
  </si>
  <si>
    <t>Mirzəyeva Gülnar Elçin qızı</t>
  </si>
  <si>
    <t>Həsənov İlkin Arzu oğlu</t>
  </si>
  <si>
    <t>Əlizadə Nəzrin Cavid qızı</t>
  </si>
  <si>
    <t>Məmmədova Aygün Rauf qızı</t>
  </si>
  <si>
    <t>Məmmədova Elnarə İsmixan qızı</t>
  </si>
  <si>
    <t>Əliyev Samir Yaşa oğlu</t>
  </si>
  <si>
    <t>Əsədullayeva Səbinə Oktay qızı</t>
  </si>
  <si>
    <t>Kərimova Gülzar Qadir qızı</t>
  </si>
  <si>
    <t>Əliyev Bəxtiyar Elşad oğlu</t>
  </si>
  <si>
    <t>Verdiyeva Nilufar Yaşar qızı</t>
  </si>
  <si>
    <t>İbadova Fatimə Tofiq qızı</t>
  </si>
  <si>
    <t>Əliyev Azər Azad oğlu</t>
  </si>
  <si>
    <t>Rəfiyeva Rəna İmrəddinovna</t>
  </si>
  <si>
    <t>Mustafazadə Novruz Anatoliy oğlu</t>
  </si>
  <si>
    <t>Abdullayev Rauf Həsənağa oğlu</t>
  </si>
  <si>
    <t>Məmmədov Şahin Hümmət oğlu</t>
  </si>
  <si>
    <t>İskəndərova Səma Müsədin qızı</t>
  </si>
  <si>
    <t>Axundova Mayya Fuad qızı</t>
  </si>
  <si>
    <t>Qurbanov Tural Salam oğlu</t>
  </si>
  <si>
    <t>Zeynalov Nurlan Əzizağa oğlu</t>
  </si>
  <si>
    <t>Əlizadə Ləman Rəşad qızı</t>
  </si>
  <si>
    <t>Hüseynova Fidan Ziyəddin qızı</t>
  </si>
  <si>
    <t>Süleymanzadə Rəşad Süleyman oğlu</t>
  </si>
  <si>
    <t>Rəsulov Valeh Rövşən oğlu</t>
  </si>
  <si>
    <t>Hacıyev Arif Rövşən oğlu</t>
  </si>
  <si>
    <t>Sadıqov Nurlan Taleh oğlu</t>
  </si>
  <si>
    <t>Xəlilov Hüseyn Ələkbər oğlu</t>
  </si>
  <si>
    <t>İbrahimli Aydan Əfqan qızı</t>
  </si>
  <si>
    <t>İbrahimli Şəms İbrahim qızı</t>
  </si>
  <si>
    <t>Akifli Anar Akif oğlu</t>
  </si>
  <si>
    <t>Vəliyeva Aynur Saleh qızı</t>
  </si>
  <si>
    <t>Kərim Elmir Qorxmaz oğlu</t>
  </si>
  <si>
    <t>Hacıyeva Nərgiz Hüseyn qızı</t>
  </si>
  <si>
    <t>Məmmədova Cəmilə Vaqif qızı</t>
  </si>
  <si>
    <t>Qocayeva Vəfa Afis qızı</t>
  </si>
  <si>
    <t>Abasova Nigar Tofiq qızı</t>
  </si>
  <si>
    <t>Rüstəmova Fəridə Nemət qızı</t>
  </si>
  <si>
    <t>Nəbizadə Şahmar Mehman oğlu</t>
  </si>
  <si>
    <t>Kərimov Rəhim Emil oğlu</t>
  </si>
  <si>
    <t>İsmayılzadə Elxan Tariyel oğlu</t>
  </si>
  <si>
    <t>Məmmədov Kamil Rauf oğlu</t>
  </si>
  <si>
    <t>Qurbanova Gülbacı Eldar qızı</t>
  </si>
  <si>
    <t>Həsənova Aysel Arzu qızı</t>
  </si>
  <si>
    <t>Şirinov Vüqar Fuad oğlu</t>
  </si>
  <si>
    <t>Bulud Ayxan Polad oğlu</t>
  </si>
  <si>
    <t>Mecidli Nail Möhsün oğlu</t>
  </si>
  <si>
    <t>Əşrəfova Günel Arif qızı</t>
  </si>
  <si>
    <t>Rzazadə Kamran Vasif oğlu</t>
  </si>
  <si>
    <t>Rəcəbov Rəcəb Məmməd oğlu</t>
  </si>
  <si>
    <t>Əmirova Könül Əzizağa qızı</t>
  </si>
  <si>
    <t>Cavadov Kamran Nazim oğlu</t>
  </si>
  <si>
    <t>İsmayılova Mələk Məmməd qızı</t>
  </si>
  <si>
    <t>Əmiraslanova Nigar Azad qızı</t>
  </si>
  <si>
    <t>Hacızadə Lamiyə Zahir qızı</t>
  </si>
  <si>
    <t>Göyçayeva Xanım Şahin qızı</t>
  </si>
  <si>
    <t>Əliyev Vüqar Elçin oğlu</t>
  </si>
  <si>
    <t>Namazov Samir Nazim oğlu</t>
  </si>
  <si>
    <t>Kərimova Ləman Rəhman qızı</t>
  </si>
  <si>
    <t>Süleymanova Kəmalə Şikar qızı</t>
  </si>
  <si>
    <t>Eyvazov Elturan Sarvan oğlu</t>
  </si>
  <si>
    <t>Səfərov Ayaz Vidadi oğlu</t>
  </si>
  <si>
    <t>Qiyasov Akif Sədi oğlu</t>
  </si>
  <si>
    <t>Ağamalıyeva Gülay Əlisahab qızı</t>
  </si>
  <si>
    <t>Abdullayeva Fidan İlqar qızı</t>
  </si>
  <si>
    <t>İbrəhimli İrşad Nazim oğlu</t>
  </si>
  <si>
    <t>Kərimli Fərid Vasif oğlu</t>
  </si>
  <si>
    <t>Qənbərli Əli Ceyhun oğlu</t>
  </si>
  <si>
    <t>Abuzərli Fərid Zaid oğlu</t>
  </si>
  <si>
    <t>Şahbazova Nigar Vüqar qızı</t>
  </si>
  <si>
    <t>Məmmədli Şəhriyar Böyükağa oğlu</t>
  </si>
  <si>
    <t>Abbasov Tural Asif oğlu</t>
  </si>
  <si>
    <t>Kərimli Leyla Novruz qızı</t>
  </si>
  <si>
    <t>Eminova İzzət İnqilab qızı</t>
  </si>
  <si>
    <t>Həsənov Novruz Hacı oğlu</t>
  </si>
  <si>
    <t>Hüseynova Nərminə Elman qızı</t>
  </si>
  <si>
    <t>Nəcəfov Əmrah Əvsər oğlu</t>
  </si>
  <si>
    <t>Novruzova Fərəh Vüqar qızı</t>
  </si>
  <si>
    <t>Şıxəliyev Kamil Mərdan oğlu</t>
  </si>
  <si>
    <t>Abbasova Fidan Abbas qızı</t>
  </si>
  <si>
    <t>Rzayeva Mədinə Sarvan qızı</t>
  </si>
  <si>
    <t>Quliyeva Mətanət Elçin qızı</t>
  </si>
  <si>
    <t>Fərəcova Şərqiyyə Araz qızı</t>
  </si>
  <si>
    <t>Məmmədsadiqov İbrahim Vasif oğlu</t>
  </si>
  <si>
    <t>Həsənov Nail Hikmət oğlu</t>
  </si>
  <si>
    <t>Həsənquliyeva Nübar Novruz qızı</t>
  </si>
  <si>
    <t>Rəsulov Bəxtiyar Eynulla oğlu</t>
  </si>
  <si>
    <t>Həsənov Zaur Akif oğlu</t>
  </si>
  <si>
    <t>Seyidov Miribrahim Mirməhəmməd oğlu</t>
  </si>
  <si>
    <t>Qəribova Nərgiz Pərviz qızı</t>
  </si>
  <si>
    <t>Nurəliyeva Günay Yadigar qızı</t>
  </si>
  <si>
    <t>Muradova Günay Süleyman qızı</t>
  </si>
  <si>
    <t>Tağızadə Fidan Habil qızı</t>
  </si>
  <si>
    <t>Seyidov İqbal Vüqar oğlu</t>
  </si>
  <si>
    <t>Əsədullayeva Elmira Nazim qızı</t>
  </si>
  <si>
    <t>Abdullayeva Gülnisə İlham qızı</t>
  </si>
  <si>
    <t>Mehdiyev Sənan Süleyman oğlu</t>
  </si>
  <si>
    <t>Quliyeva Humay Kamal qızı</t>
  </si>
  <si>
    <t>Qənbərli Aliyə Söhrab qızı</t>
  </si>
  <si>
    <t>Əliyeva Nərmin Nazim qızı</t>
  </si>
  <si>
    <t>Əzizova Səbinə Qoşqarovna</t>
  </si>
  <si>
    <t>İskəndərov Nicat Namik oğlu</t>
  </si>
  <si>
    <t>Qasımova Səkinə Məcnun qızı</t>
  </si>
  <si>
    <t>Hüseynova Ləman Həsi qızı</t>
  </si>
  <si>
    <t>Əhmədova Nuray Rahim qızı</t>
  </si>
  <si>
    <t>Hafizova Məryəm Ənvər qızı</t>
  </si>
  <si>
    <t>Rəhimova Aynur Qalası qızı</t>
  </si>
  <si>
    <t>Həsənov Rəvan Teymur oğlu</t>
  </si>
  <si>
    <t>Qədirli Asif Həşim oğlu</t>
  </si>
  <si>
    <t>Zeynalov Pənah Zülfi oğlu</t>
  </si>
  <si>
    <t>Rüstəmova Reyhan Qalib qızı</t>
  </si>
  <si>
    <t>Sultanov Cahangir Aydın oğlu</t>
  </si>
  <si>
    <t>Oruclu Selcan Nazim qızı</t>
  </si>
  <si>
    <t>Məmmədova Aynurə Mahir qızı</t>
  </si>
  <si>
    <t>Ağayeva Nübar Rüfət qızı</t>
  </si>
  <si>
    <t>Balaşzadə Nərmin Ramil qızı</t>
  </si>
  <si>
    <t>Yaqubov Ruslan Ehtiramoviç</t>
  </si>
  <si>
    <t>Məmmədova Fidan İlyas qızı</t>
  </si>
  <si>
    <t>Dostaliyeva Asiman Zöhrab qızı</t>
  </si>
  <si>
    <t>Zeynəlzadə Nərmin Ceyhun qızı</t>
  </si>
  <si>
    <t>Mehdiyeva Nərmin Namiq qızı</t>
  </si>
  <si>
    <t>Həsənova Əsmər Süleyman qızı</t>
  </si>
  <si>
    <t>Həsənova Şahyamən Vüqar qızı</t>
  </si>
  <si>
    <t>Şirinova Ləman Ağasət qızı</t>
  </si>
  <si>
    <t>Kazımova Lalə Rəşad qızı</t>
  </si>
  <si>
    <t>Əkbərova Verdiyeva Ləman Əlsalam qızı</t>
  </si>
  <si>
    <t>Mikayılzadə Nigar Elçin qızı</t>
  </si>
  <si>
    <t>Mirzəzadə Röya Firidun qızı</t>
  </si>
  <si>
    <t>Əhmədova Aytac Calalovna</t>
  </si>
  <si>
    <t>İbrahimov Əliyullah Dağlar oğlu</t>
  </si>
  <si>
    <t>Hüseynova Arzu Anar qızı</t>
  </si>
  <si>
    <t>Məcidova Səbinə Arif qızı</t>
  </si>
  <si>
    <t>Əliyev Şamil Raqif oğlu</t>
  </si>
  <si>
    <t>Muradova Yeganə Murad qızı</t>
  </si>
  <si>
    <t>Quliyeva Aynur Şaiq qızı</t>
  </si>
  <si>
    <t>Məmmədova Pərvanə Qabil qızı</t>
  </si>
  <si>
    <t>Məmmədova Nərmin Abbas qızı</t>
  </si>
  <si>
    <t>Hüseynov İlkin Rəfail oğlu</t>
  </si>
  <si>
    <t>Dadiyev Elçin İlham oğlu</t>
  </si>
  <si>
    <t>Kərimov Nicat İlqar oğlu</t>
  </si>
  <si>
    <t>Zeynalov Tamirlan Eldar oğlu</t>
  </si>
  <si>
    <t>Abışov Fərid Fikrət oğlu</t>
  </si>
  <si>
    <t>Əlizadə Xanım Nafiq qızı</t>
  </si>
  <si>
    <t>Rzayev Bəhruz Qənimət oğlu</t>
  </si>
  <si>
    <t>Qasımov Emil Musa oğlu</t>
  </si>
  <si>
    <t>Talıbov Rövşən Məmməd oğlu</t>
  </si>
  <si>
    <t>Cabbarov Vüsal Güldəmir oğlu</t>
  </si>
  <si>
    <t>Vəliyev Vüqar Vaqif oğlu</t>
  </si>
  <si>
    <t>Abdullayev Ariz Fariz oğlu</t>
  </si>
  <si>
    <t>İsmayılov Üzeyir İlqar oğlu</t>
  </si>
  <si>
    <t>İsmayılov Elmar Nazim oğlu</t>
  </si>
  <si>
    <t>Bayramov Rəhman Hüseyn oğlu</t>
  </si>
  <si>
    <t>Süleymanlı Orxan Qəhrəman oğlu</t>
  </si>
  <si>
    <t>Kazımov Fərid Xeyrəddin oğlu</t>
  </si>
  <si>
    <t>Osmanov Ceyhun Mehman oğlu</t>
  </si>
  <si>
    <t>Səfiyev Fərid Əli oğlu</t>
  </si>
  <si>
    <t>Muradov Kamran Tofiq oğlu</t>
  </si>
  <si>
    <t>Qasımzadə Anar Fəxrəddin oğlu</t>
  </si>
  <si>
    <t>Bəndəliyev Ramal Nağdəli oğlu</t>
  </si>
  <si>
    <t>Süleymanov Nəsib Tərbiz oğlu</t>
  </si>
  <si>
    <t>İbrahimli Kamran Elşən oğlu</t>
  </si>
  <si>
    <t>Cəlilova Günel Nadir qızı</t>
  </si>
  <si>
    <t>Ələkbərov Əzizağa Faiq oğlu</t>
  </si>
  <si>
    <t>İbrahimov Ruslan Vaqif oğlu</t>
  </si>
  <si>
    <t>Talıblı Mirqasım Aqil oğlu</t>
  </si>
  <si>
    <t>Mustafayev Ceyhun Elşən oğlu</t>
  </si>
  <si>
    <t>Məmmədova Nigar Əli qızı</t>
  </si>
  <si>
    <t>Nəsibli Məhəmməd Namiq oğlu</t>
  </si>
  <si>
    <t>Hüseynov Polad Rafiq oğlu</t>
  </si>
  <si>
    <t>Qurbanov Yaqub Fazil oğlu</t>
  </si>
  <si>
    <t>Həmidzadə Rəhimə Rəhman qızı</t>
  </si>
  <si>
    <t>Qasımova Xədicə Akif qızı</t>
  </si>
  <si>
    <t>Sariyev Nizami Hakim oğlu</t>
  </si>
  <si>
    <t>Quluzadə Riyad İlham oğlu</t>
  </si>
  <si>
    <t>Balabəyli Abdulla Aqşin oğlu</t>
  </si>
  <si>
    <t>İsgəndərli Rüstəm Zöhrab oğlu</t>
  </si>
  <si>
    <t>Nağıyev Aydın Kazım oğlu</t>
  </si>
  <si>
    <t>Bayramova Ayşən Xaliq qızı</t>
  </si>
  <si>
    <t>Cəfərli Gülnar Kamil qızı</t>
  </si>
  <si>
    <t>Səfərov Rəsul Vahid oğlu</t>
  </si>
  <si>
    <t>Məmmədov Rüfət Asif oğlu</t>
  </si>
  <si>
    <t>Məmmədov Azər İsrafil oğlu</t>
  </si>
  <si>
    <t>Rüstəmov Emil Səməd oğlu</t>
  </si>
  <si>
    <t>Əhmədov Samir Mirzəqalib oğlu</t>
  </si>
  <si>
    <t>Əfəndiyev İlham Nadir oğlu</t>
  </si>
  <si>
    <t>Əzimov Cavid Etibar oğlu</t>
  </si>
  <si>
    <t>Hacılı Azər Nəsib oğlu</t>
  </si>
  <si>
    <t>Behbudov Elşən Vahid oğlu</t>
  </si>
  <si>
    <t>İsmayılzadə Nuranə Ramiz qızı</t>
  </si>
  <si>
    <t>Baxşiyeva Əminə Çingiz qızı</t>
  </si>
  <si>
    <t>Sofiyev Elçin Dursun oğlu</t>
  </si>
  <si>
    <t>Əliyev Kamran Nurməhəmməd oğlu</t>
  </si>
  <si>
    <t>Hacıyev Orxan Elxan oğlu</t>
  </si>
  <si>
    <t>Babayev Zaur Hüseynağa oğlu</t>
  </si>
  <si>
    <t>Qədirov Tural Rəcəb oğlu</t>
  </si>
  <si>
    <t>Hüseyn-zadə Natiq Ramiz oğlu</t>
  </si>
  <si>
    <t>İsrafilov Murad İsrafil oğlu</t>
  </si>
  <si>
    <t>Məmmədov Orxan Mahir oğlu</t>
  </si>
  <si>
    <t>Şixməmmədov Anar Afər oğlu</t>
  </si>
  <si>
    <t>Duniyev Şahin Yusif oğlu</t>
  </si>
  <si>
    <t>Mehdiyev Rövşən Vaqif oğlu</t>
  </si>
  <si>
    <t>Məmmədov Fərid Nazim oğlu</t>
  </si>
  <si>
    <t>Məmmədov Elçin Vladimir oğlu</t>
  </si>
  <si>
    <t>Quliyev Orxan Xanlar oğlu</t>
  </si>
  <si>
    <t>Bağırov Yunis Yusub oğlu</t>
  </si>
  <si>
    <t>Ağayev Ruslan Nizami oğlu</t>
  </si>
  <si>
    <t>Xudiyev İlqar Mehman oğlu</t>
  </si>
  <si>
    <t>Məmiyev Rəhman Rafael oğlu</t>
  </si>
  <si>
    <t>Əzizli İbrahim Şahin oğlu</t>
  </si>
  <si>
    <t>Quliyev Elxan Elşən oğlu</t>
  </si>
  <si>
    <t>İbrahimov Samir Emil oğlu</t>
  </si>
  <si>
    <t>Quluzadə Bayram Elmar oğlu</t>
  </si>
  <si>
    <t>Muradlı Rəfayıl Nurməmməd oğlu</t>
  </si>
  <si>
    <t>Dibirov Tahir Adilxan oğlu</t>
  </si>
  <si>
    <t>Məmmədov Pərvin Firdovsi oğlu</t>
  </si>
  <si>
    <t>Quliyev Kamil Nizami oğlu</t>
  </si>
  <si>
    <t>Mirzəzadə Nahid Mirzə oğlu</t>
  </si>
  <si>
    <t>Əlili Günel Çingiz qızı</t>
  </si>
  <si>
    <t>Nuri Şahnaz Səməd qızı</t>
  </si>
  <si>
    <t>Səidova Samirə Balasultan qızı</t>
  </si>
  <si>
    <t>Qurbanova Fatma Xasməmməd qızı</t>
  </si>
  <si>
    <t>BARANOVSKAYA SVETLANA</t>
  </si>
  <si>
    <t>Əlizadə Turqut Elşən oğlu</t>
  </si>
  <si>
    <t>Adilzadə Aysu Elnur qızı</t>
  </si>
  <si>
    <t xml:space="preserve">FOMINA MARIIA </t>
  </si>
  <si>
    <t>Əhmədov Azər Qabil oğlu</t>
  </si>
  <si>
    <t>Musayeva Səmanə Kəmaləddin qızı</t>
  </si>
  <si>
    <t>Qafarov Rüstəm Qadir oğlu</t>
  </si>
  <si>
    <t>Əlizadə Elnarə Eldar qızı</t>
  </si>
  <si>
    <t>IUSUBOVA GULNARA</t>
  </si>
  <si>
    <t>Hüseynli Nərminə Çingiz qızı</t>
  </si>
  <si>
    <t>Əkbərova Vəsilə Vidadi qızı</t>
  </si>
  <si>
    <t>Məmmədova Türkanə Şakir qızı</t>
  </si>
  <si>
    <t>Şirinov Azər Qafar oğlu</t>
  </si>
  <si>
    <t>Həsənov Ramin Cabir oğlu</t>
  </si>
  <si>
    <t>Fərəcova Sevinc Taleh qızı</t>
  </si>
  <si>
    <t>Surxayzadə Leyla Nizami qızı</t>
  </si>
  <si>
    <t>İsmayılova Səbinə Ramis qızı</t>
  </si>
  <si>
    <t>Ağayeva Mənsurə Şahmalı qızı</t>
  </si>
  <si>
    <t>İslamova Zərifə Elçin qızı</t>
  </si>
  <si>
    <t>Səmədzadə Günel Səyavuş qızı</t>
  </si>
  <si>
    <t>Məlikov Seyid Avtandil oğlu</t>
  </si>
  <si>
    <t>İsgəndərova Aysel Xəyyam qızı</t>
  </si>
  <si>
    <t>Qasımzadə Aydın Məmmədhəsən oğlu</t>
  </si>
  <si>
    <t>Salmanova Ruqiyyə Azad qızı</t>
  </si>
  <si>
    <t>Məlikov Rüstəm Ədalət oğlu</t>
  </si>
  <si>
    <t>Rəhimov Beyrək Söhbət oğlu</t>
  </si>
  <si>
    <t>Alcanov Cavidan Elşən oğlu</t>
  </si>
  <si>
    <t>İsmayılova Nərgiz Ağakərim qızı</t>
  </si>
  <si>
    <t>Şixəliyeva Vüsalə Vüqar qızı</t>
  </si>
  <si>
    <t>Teymurova Təranə Namik qızı</t>
  </si>
  <si>
    <t>Eryılmaz Nəzifə Azər qızı</t>
  </si>
  <si>
    <t>Cəfərova Səbinə Əmrah qızı</t>
  </si>
  <si>
    <t>Mirzəyev Muradxan Səməd oğlu</t>
  </si>
  <si>
    <t>Səlimova Aytən Şəmsəddin qızı</t>
  </si>
  <si>
    <t>Səlimova Günel Şikar qızı</t>
  </si>
  <si>
    <t>Səfixanov Elşən Mustafa oğlu</t>
  </si>
  <si>
    <t>Məmmədova Ülkər Valeh qızı</t>
  </si>
  <si>
    <t>Quliyeva Lalə Nizaməddin qızı</t>
  </si>
  <si>
    <t>Gərəkməzli Leyla Kamran qızı</t>
  </si>
  <si>
    <t>Zeynalova Sayalı Nazim qızı</t>
  </si>
  <si>
    <t>Stryukova Olqa Vasilyevna</t>
  </si>
  <si>
    <t>Aslanova Pəri Kərim qızı</t>
  </si>
  <si>
    <t>Quliyeva Lamiyə Mətanət qızı</t>
  </si>
  <si>
    <t>Məmmədova Gültəkin Əli qızı</t>
  </si>
  <si>
    <t>Mustafayeva Nazilə Ağarza qızı</t>
  </si>
  <si>
    <t>Şevçenko Alina Vladimirovna</t>
  </si>
  <si>
    <t>İbrahimova Laləzər İlham qızı</t>
  </si>
  <si>
    <t>Quluyev Əbülfəz Canpolad oğlu</t>
  </si>
  <si>
    <t>Şıxıyeva Təranə Həbib qızı</t>
  </si>
  <si>
    <t>Həşimova Aynur Asif qızı</t>
  </si>
  <si>
    <t>Əhmədzadə Aytac Fikrət qızı</t>
  </si>
  <si>
    <t>İravanlı Kamran Babək oğlu</t>
  </si>
  <si>
    <t>Məmmədov Kamran Zahid oğlu</t>
  </si>
  <si>
    <t>Ağamalıyev Rövşən Hacıbəy oğlu</t>
  </si>
  <si>
    <t>Həsənov Afər Ramiz oğlu</t>
  </si>
  <si>
    <t>Kazımov Roman Fazil oğlu</t>
  </si>
  <si>
    <t>Əsgərov Oruc Hafiz oğlu</t>
  </si>
  <si>
    <t>Niftəliyev Tural Hikmət oğlu</t>
  </si>
  <si>
    <t>Cəfərzadə Emin Cəfər oğlu</t>
  </si>
  <si>
    <t>Mahmudov Arif Nizami oğlu</t>
  </si>
  <si>
    <t>Quluzadə Fərid Vüqar oğlu</t>
  </si>
  <si>
    <t>Nağıyev Mirelnur Mirnağı oğlu</t>
  </si>
  <si>
    <t>Allahverdiyeva Türkan Rauf qızı</t>
  </si>
  <si>
    <t>Süleymanlı Aytən Qalib qızı</t>
  </si>
  <si>
    <t>Məmmədli Aysel Tərlan qızı</t>
  </si>
  <si>
    <t>Qasımlı Məsim Mehman oğlu</t>
  </si>
  <si>
    <t>Hüseynov Elxan Əzizağa oğlu</t>
  </si>
  <si>
    <t>Novruzlu Əli Elçin oğlu</t>
  </si>
  <si>
    <t>Şiriyev Vüqar İlqar oğlu</t>
  </si>
  <si>
    <t>Əliyev Elamin Vahid oğlu</t>
  </si>
  <si>
    <t>Qasımov İlkin Vahid oğlu</t>
  </si>
  <si>
    <t>Həsənov Əyyub Sabir oğlu</t>
  </si>
  <si>
    <t>Abbasova Suada Ramiz qızı</t>
  </si>
  <si>
    <t>Hüseynalızadə Seltac Qurban qızı</t>
  </si>
  <si>
    <t>Baxşəliyev Elnur Mütəllim oğlu</t>
  </si>
  <si>
    <t>Kərimli Erkin İlqar oğlu</t>
  </si>
  <si>
    <t>Əskərov Tural Nazim oğlu</t>
  </si>
  <si>
    <t>Davudova Günel Telman qızı</t>
  </si>
  <si>
    <t>Daşdəmirli Aygün İlqar qızı</t>
  </si>
  <si>
    <t>Məmmədzadə Samina Tofiq qızı</t>
  </si>
  <si>
    <t>Şəfiyeva Nərmin Etiqad qızı</t>
  </si>
  <si>
    <t>Cabbarova Günay İlyas qızı</t>
  </si>
  <si>
    <t>Mütəllimova Leyla Eldar qızı</t>
  </si>
  <si>
    <t>Mamedova Malaykhanym</t>
  </si>
  <si>
    <t>Mustafayeva Leyla Əfqan qızı</t>
  </si>
  <si>
    <t>Nəbiyeva Nəzrin Razim qızı</t>
  </si>
  <si>
    <t>Axundova Nigar Sabir qızı</t>
  </si>
  <si>
    <t>Əzimova Nərmin İlqar qızı</t>
  </si>
  <si>
    <t>Zeynalova Nuray Əli qızı</t>
  </si>
  <si>
    <t>Nurməmmədov İlqar İmran oğlu</t>
  </si>
  <si>
    <t>Ələkbərova Gülnarə Məmmədxan qızı</t>
  </si>
  <si>
    <t>Vəliyeva Aydan Məzahir qızı</t>
  </si>
  <si>
    <t>Ağayeva Fidan Əfqan qızı</t>
  </si>
  <si>
    <t>Qəribova Rəna Nazim qızı</t>
  </si>
  <si>
    <t>İsgəndərli Cavid Camaləddin oğlu</t>
  </si>
  <si>
    <t>Hüseynova Elmira Elyas qızı</t>
  </si>
  <si>
    <t>Rəisli Almaz Tofiq qızı</t>
  </si>
  <si>
    <t>Mirzəyeva Vəfa Arif qızı</t>
  </si>
  <si>
    <t>Bayramova Sevinc Cabir qızı</t>
  </si>
  <si>
    <t>İmanzadə Hüseyn Əli oğlu</t>
  </si>
  <si>
    <t>Cəfərova Leyla Aydın qızı</t>
  </si>
  <si>
    <t>Əmrahova Aynur Əliağa qızı</t>
  </si>
  <si>
    <t>Bahadurov Baxış Mərdan oğlu</t>
  </si>
  <si>
    <t>Əkbərli Nigar Nüsrət qızı</t>
  </si>
  <si>
    <t>Həsənov Firdovsi İlqar oğlu</t>
  </si>
  <si>
    <t>İmanova Aytən Aqil qızı</t>
  </si>
  <si>
    <t>Əsgərov Kamran Zakir oğlu</t>
  </si>
  <si>
    <t>Mütəllibova Nailə Habil qızı</t>
  </si>
  <si>
    <t>Məmmədova Səbinə Əlövsəd qızı</t>
  </si>
  <si>
    <t>Bayramova Cahan Malik qızı</t>
  </si>
  <si>
    <t>İsmayılova Roza Rafiq qızı</t>
  </si>
  <si>
    <t>Həsənova Dilbər Ələkbər qızı</t>
  </si>
  <si>
    <t>Yunuslu Sahilə Şükür qızı</t>
  </si>
  <si>
    <t>Məmişov Murad Hidayət oğlu</t>
  </si>
  <si>
    <t>Bağırzadə Ziyafət İsa qızı</t>
  </si>
  <si>
    <t>Bayramova Səltənət Azər qızı</t>
  </si>
  <si>
    <t>Hacıyev Mirazər Mirsahib oğlu</t>
  </si>
  <si>
    <t>Xıdırov Nihat Mübariz oğlu</t>
  </si>
  <si>
    <t>Rüstəmova Çinarə Tofiq qızı</t>
  </si>
  <si>
    <t>Teymurova Səbinə Nizami qızı</t>
  </si>
  <si>
    <t>Calalov Fərid İlqar oğlu</t>
  </si>
  <si>
    <t>Məmmədli Nuray İsmayıl qızı</t>
  </si>
  <si>
    <t>Hüseynova Günaydın Hüseyn qızı</t>
  </si>
  <si>
    <t>Rəhimli Mirmusa Nuru oğlu</t>
  </si>
  <si>
    <t>Süleymanzadə Ofelya Babək qızı</t>
  </si>
  <si>
    <t>Kazımova Gülnar Tahir qızı</t>
  </si>
  <si>
    <t>Məmmədov Vaqif Rişad oğlu</t>
  </si>
  <si>
    <t>Məmmədrəsulova Nəzrin Rəşad qızı</t>
  </si>
  <si>
    <t>İsmayılov Rəşad İlqar oğlu</t>
  </si>
  <si>
    <t>İmaməliyeva Asimə Hidayət qızı</t>
  </si>
  <si>
    <t>Qarayev Tural Eyub oğlu</t>
  </si>
  <si>
    <t>Biryuçkova Cəmilə Elşən qızı</t>
  </si>
  <si>
    <t>Alıyeva Gülnar Xəlil qızı</t>
  </si>
  <si>
    <t>Məmmədli Səma Əli qızı</t>
  </si>
  <si>
    <t>Qiyaslı Ülkər Osman qızı</t>
  </si>
  <si>
    <t>Abdullazadə Leyla Adil qızı</t>
  </si>
  <si>
    <t>Cabbarzadə İlkin Vüsal oğlu</t>
  </si>
  <si>
    <t>Osmanlı Şəfayət Rəfayıl qızı</t>
  </si>
  <si>
    <t>Hüseynzadə Fidan Şahin qızı</t>
  </si>
  <si>
    <t>Əlizadə Zəminə Cavanşir qızı</t>
  </si>
  <si>
    <t>Əlizadə Bəhrəm Elman oğlu</t>
  </si>
  <si>
    <t>Həsənov Erlan Mahir oğlu</t>
  </si>
  <si>
    <t>Nəbili Azadə Şəfi qızı</t>
  </si>
  <si>
    <t>Rəsulova Nigar Cəbrayıl qızı</t>
  </si>
  <si>
    <t>Əsgərova Sənəm Azər qızı</t>
  </si>
  <si>
    <t>Əlizadə Tavad Elyar qızı</t>
  </si>
  <si>
    <t>Vəlizadə Gülnar Baloğlan qızı</t>
  </si>
  <si>
    <t>Əkbərova Səadət Bahadur qızı</t>
  </si>
  <si>
    <t>Əliyeva Xədicə Allahverən qızı</t>
  </si>
  <si>
    <t>Məmmədova Nigar Mövsüm qızı</t>
  </si>
  <si>
    <t>Məmmədova Aytən Elman qızı</t>
  </si>
  <si>
    <t>Mehrəliyeva Gülsüm Məmmədrəhim qızı</t>
  </si>
  <si>
    <t>Yusifova Ayan Hafiz qızı</t>
  </si>
  <si>
    <t>Əhmədli Əli Natiq oğlu</t>
  </si>
  <si>
    <t>Turabova Günel Əlibəy qızı</t>
  </si>
  <si>
    <t>Rəhimova Günel Gümrah qızı</t>
  </si>
  <si>
    <t>Nəsirova Lalə Lətif qızı</t>
  </si>
  <si>
    <t>Axundova Zeynəb Cəfər qızı</t>
  </si>
  <si>
    <t>Məhərrəmova-Məmmədbəyli Pərvin Tahir qızı</t>
  </si>
  <si>
    <t>Rəhmanova Sənəm Bəxtiyar qızı</t>
  </si>
  <si>
    <t>Kərimova Zəhra Nizami qızı</t>
  </si>
  <si>
    <t>Zeynalova Nigar Eldar qızı</t>
  </si>
  <si>
    <t>Əliyeva Nəzrin Fikrət qızı</t>
  </si>
  <si>
    <t>Manafova Simuzər Asif qızı</t>
  </si>
  <si>
    <t>Tarverdiyeva Nigar Əli qızı</t>
  </si>
  <si>
    <t>Nəbizadə Şamxal Şəmsi oğlu</t>
  </si>
  <si>
    <t>Qurbanlı Rəhman Mirzə Ağa oğlu</t>
  </si>
  <si>
    <t>Hüseynova Nurlana Həsənovna</t>
  </si>
  <si>
    <t>Əhmədova Aytac Rahib qızı</t>
  </si>
  <si>
    <t>Süleymanov Süleyman Mehman oğlu</t>
  </si>
  <si>
    <t>Abasova Rəna Nadir qızı</t>
  </si>
  <si>
    <t>Dünyamaliyeva Mələk Məhərrəm qızı</t>
  </si>
  <si>
    <t>Tapdıqzadə Ayla Heybət qızı</t>
  </si>
  <si>
    <t>Rəşidov Zakir Fizuli oğlu</t>
  </si>
  <si>
    <t>YETIK TAYLAN</t>
  </si>
  <si>
    <t>Əsgərova Səyyarə Etibar qızı</t>
  </si>
  <si>
    <t>Çələbi Allahverdi Rasim oğlu</t>
  </si>
  <si>
    <t>Zeynalov Vüsal Rafiq oğlu</t>
  </si>
  <si>
    <t>Yusifova Afət Kamal qızı</t>
  </si>
  <si>
    <t>Cəbrayıllı Sahib Niyətxan oğlu</t>
  </si>
  <si>
    <t>Bayramov Talıb Ağaəli oğlu</t>
  </si>
  <si>
    <t>Beydullayev Abdulla Ömürşah oğlu</t>
  </si>
  <si>
    <t>Əzimov Nadir Adil oğlu</t>
  </si>
  <si>
    <t>Allahverənzadə Fərəmərz Məhərrəm oğlu</t>
  </si>
  <si>
    <t>Məmmədzadə İlkin Fariz oğlu</t>
  </si>
  <si>
    <t>Cəfərzadə Cəfər Tofiq oğlu</t>
  </si>
  <si>
    <t>Hüseynov Sabir Vaqif oğlu</t>
  </si>
  <si>
    <t>Lətifov Həmid Fazil oğlu</t>
  </si>
  <si>
    <t>Əliyeva Təhminə Rafiq qızı</t>
  </si>
  <si>
    <t>Şahverdiyeva Gövhər Azər qızı</t>
  </si>
  <si>
    <t>Gülməmmədov Murad Mikayıl oğlu</t>
  </si>
  <si>
    <t>Allahverdiyev Vahid Elnur oğlu</t>
  </si>
  <si>
    <t>Əlizadə Ayaz Azər oğlu</t>
  </si>
  <si>
    <t>Əliyev Tural Bəhruz oğlu</t>
  </si>
  <si>
    <t>Ağazadə Kamran Elşən oğlu</t>
  </si>
  <si>
    <t>Zeynalov Süleyman Sahib oğlu</t>
  </si>
  <si>
    <t>Hüseynov Elvin Namik oğlu</t>
  </si>
  <si>
    <t>Hüseynzadə Xamis İlham oğlu</t>
  </si>
  <si>
    <t>Qaraisayev Orxan Firudin oğlu</t>
  </si>
  <si>
    <t>İmanova Samaya Vüqar qızı</t>
  </si>
  <si>
    <t>Ağayev İlham Rəsul oğlu</t>
  </si>
  <si>
    <t>Saramanova Muslimat Nərmanovna</t>
  </si>
  <si>
    <t>Əsgərova Günay Hüseyn qızı</t>
  </si>
  <si>
    <t>Qəribova Günay Fərhad qızı</t>
  </si>
  <si>
    <t>Məmmədov İlkin Səməd oğlu</t>
  </si>
  <si>
    <t>Nurəliyeva Nərgiz Ələddin qızı</t>
  </si>
  <si>
    <t>Aslanov Rüstəm Ramazan oğlu</t>
  </si>
  <si>
    <t>Abbaslı Könül Nizami qızı</t>
  </si>
  <si>
    <t>Rüstəmova Yaqubə İlqar qızı</t>
  </si>
  <si>
    <t>Hacıyeva Nərmin Tehran qızı</t>
  </si>
  <si>
    <t>Məmmədova Nərmin Mürvətağa qızı</t>
  </si>
  <si>
    <t>Həsənov Abasağa Paşa oğlu</t>
  </si>
  <si>
    <t>Musazadə Sevinc İlqar qızı</t>
  </si>
  <si>
    <t>Muradova Solmaz Farik qızı</t>
  </si>
  <si>
    <t>Hacımirzəyev İlham Hamlet oğlu</t>
  </si>
  <si>
    <t>Abbasova Məleykə Mehman qızı</t>
  </si>
  <si>
    <t>Mahmudzadə Dürnisə Rövşən qızı</t>
  </si>
  <si>
    <t>Nağıyev Məhəmməd Osman oğlu</t>
  </si>
  <si>
    <t>Sultanov Ülfət Fikrət oğlu</t>
  </si>
  <si>
    <t>İbrahimli Aydan Əbülfət qızı</t>
  </si>
  <si>
    <t>Adıgözəlov Rüfət İntiqam oğlu</t>
  </si>
  <si>
    <t>İlyasov Məhəmməd Ramiz oğlu</t>
  </si>
  <si>
    <t>Qarayeva Aynur Alı qızı</t>
  </si>
  <si>
    <t>Şirinova Böyükxanım Nazim qızı</t>
  </si>
  <si>
    <t>Muxtarova Rəfiqə Faiq qızı</t>
  </si>
  <si>
    <t>Hidayətzadə Aysel Adil qızı</t>
  </si>
  <si>
    <t>Əkbərova Nazəndə Namiq qızı</t>
  </si>
  <si>
    <t>Şahməmmədov Haldun Etibar oğlu</t>
  </si>
  <si>
    <t>İsmayılov Araz Murad oğlu</t>
  </si>
  <si>
    <t>Dəmirova Ləman İlham qızı</t>
  </si>
  <si>
    <t>Yəhyayev Ramin Kitabulla oğlu</t>
  </si>
  <si>
    <t>Şahmirzəyeva Nərmin Aydın qızı</t>
  </si>
  <si>
    <t>Aslanov Murad Hikmət oğlu</t>
  </si>
  <si>
    <t>İsmayılzadə Nəzrin İsmayıl qızı</t>
  </si>
  <si>
    <t>Qəribova Roza Asəf qızı</t>
  </si>
  <si>
    <t>Muradova Nərmin Asif qızı</t>
  </si>
  <si>
    <t>Məmmədov Məmməd Ceyhun oğlu</t>
  </si>
  <si>
    <t>Əsədzadə Nərgiz Elçin qızı</t>
  </si>
  <si>
    <t>Pənahov Emin Səbuhi oğlu</t>
  </si>
  <si>
    <t>Abdullayeva Nəzrin Rahim qızı</t>
  </si>
  <si>
    <t>Bakiyeva Lamiə Kinyas qızı</t>
  </si>
  <si>
    <t>Alyasova Brilyant Malik qızı</t>
  </si>
  <si>
    <t>Rəhimli İslam Kamran oğlu</t>
  </si>
  <si>
    <t>Hüseynzadə Elmir Elvin oğlu</t>
  </si>
  <si>
    <t>Əsədzadə Gülüzar Samil qızı</t>
  </si>
  <si>
    <t>Qocayeva Nigar İlqar qızı</t>
  </si>
  <si>
    <t>Hüseynov Cavid Səyyar oğlu</t>
  </si>
  <si>
    <t>Əhmədova Aynur Ədalət qızı</t>
  </si>
  <si>
    <t>Məmmədova Aytac Cahangir qızı</t>
  </si>
  <si>
    <t>Əliyev Rəcəb Ədalət oğlu</t>
  </si>
  <si>
    <t>Hüseynova Aytac Mahir qızı</t>
  </si>
  <si>
    <t>Məcidov Ülvi Oqtay oğlu</t>
  </si>
  <si>
    <t>Köçəriyev Rabil İlham oğlu</t>
  </si>
  <si>
    <t>Atayeva Rəfiqə Ələddin qızı</t>
  </si>
  <si>
    <t>Hacıyeva Aysu Elsevər qızı</t>
  </si>
  <si>
    <t>Bəkirli Sərxan İsmət oğlu</t>
  </si>
  <si>
    <t>Məmmədzadə Ruslan Şirəli oğlu</t>
  </si>
  <si>
    <t>Həsənova Ülkər Məmmədağa qızı</t>
  </si>
  <si>
    <t>İbrahimov Amir Gündüz oğlu</t>
  </si>
  <si>
    <t>Əmirova Almaz Tahir qızı</t>
  </si>
  <si>
    <t>Məhəmmədli Cavid Vüqar oğlu</t>
  </si>
  <si>
    <t>Məmmədova Elmira Xanlar qızı</t>
  </si>
  <si>
    <t>İlyasova Zümrüd İlyas qızı</t>
  </si>
  <si>
    <t>Ağaquliyeva Ülviyyə Vaqif qızı</t>
  </si>
  <si>
    <t>Bəkirov Rövşən Taftıq oğlu</t>
  </si>
  <si>
    <t>Babayev Rəhim Məzahim oğlu</t>
  </si>
  <si>
    <t>Kiçibəyov Fərid Fərhad oğlu</t>
  </si>
  <si>
    <t>Həsənli Aysel Mahir qızı</t>
  </si>
  <si>
    <t>Əliyev Hikmət Süleyman oğlu</t>
  </si>
  <si>
    <t>Alıyev Murad Vidadi oğlu</t>
  </si>
  <si>
    <t>Hümbətov Tural Rövşən oğlu</t>
  </si>
  <si>
    <t>Səfərov Hüseyn Şahlar oğlu</t>
  </si>
  <si>
    <t>Hüseynli Cavid Mərdan oğlu</t>
  </si>
  <si>
    <t>Məmmədova Fidan Zaur qızı</t>
  </si>
  <si>
    <t>Yusubov Cəfərsadiq Həsrət oğlu</t>
  </si>
  <si>
    <t>Ələsgərli Aysu Firdovsi qızı</t>
  </si>
  <si>
    <t>Abbasov Kazım Əli oğlu</t>
  </si>
  <si>
    <t>Abdullayev Sənan Məzahir oğlu</t>
  </si>
  <si>
    <t>Əlizadə Şəfiqə İlkin qızı</t>
  </si>
  <si>
    <t>Rəhimova Aynur Səlim qızı</t>
  </si>
  <si>
    <t>İsmayılov Məhəmməd Zakir oğlu</t>
  </si>
  <si>
    <t>Bağırova Xumar Gündüz qızı</t>
  </si>
  <si>
    <t>Axundova Aytən Elçin qızı</t>
  </si>
  <si>
    <t>Səmədova Aysel Mais qızı</t>
  </si>
  <si>
    <t>Baxışov Tunar Çingiz oğlu</t>
  </si>
  <si>
    <t>Aslanlı Cavid Möhübbət oğlu</t>
  </si>
  <si>
    <t>Süleymanov Rəşad İraddin oğlu</t>
  </si>
  <si>
    <t>Abasquliyev Məmmədəli Zöhrab oğlu</t>
  </si>
  <si>
    <t>İbadov Sahib Azər oğlu</t>
  </si>
  <si>
    <t>Hüseynova Nərmin Vahid qızı</t>
  </si>
  <si>
    <t>Feyziyev Nihad Cəmil oğlu</t>
  </si>
  <si>
    <t>Əhmədova Günay Nemət qızı</t>
  </si>
  <si>
    <t>Əlizadə Ellada Ramiz qızı</t>
  </si>
  <si>
    <t>Abbasova Səbinə Yaşar qızı</t>
  </si>
  <si>
    <t>Həşimzadə Sevinc Rüstəm qızı</t>
  </si>
  <si>
    <t>Verdiyeva Nəzrin Ümüd qızı</t>
  </si>
  <si>
    <t>Qəmbərova Ləman İsmayıl qızı</t>
  </si>
  <si>
    <t>Əlizadə Sədaqət Natiq qızı</t>
  </si>
  <si>
    <t>Ramazanova Dəniz İbrahim qızı</t>
  </si>
  <si>
    <t>Məmmədli Lamiə Araz qızı</t>
  </si>
  <si>
    <t>Zaidova Aidə Müzəffər qızı</t>
  </si>
  <si>
    <t>Hacıyeva Aytən Nadir qızı</t>
  </si>
  <si>
    <t>Səfərəliyeva Nərmin Baləmi qızı</t>
  </si>
  <si>
    <t>Kərimzadə Nanə Xəlil qızı</t>
  </si>
  <si>
    <t>Əfəndiyeva Leyla Polad qızı</t>
  </si>
  <si>
    <t>Əliyeva Aytən Elçin qızı</t>
  </si>
  <si>
    <t>Həsənova Günel Ramiz qızı</t>
  </si>
  <si>
    <t>Əliyev Rəşid Pərviz oğlu</t>
  </si>
  <si>
    <t>Əliyev Vüsal Qorxmaz oğlu</t>
  </si>
  <si>
    <t>Tahirli İlham Heybət oğlu</t>
  </si>
  <si>
    <t>Nağıyev Samiq Əlişirin oğlu</t>
  </si>
  <si>
    <t>Şirinov Muxtar Şirin oğlu</t>
  </si>
  <si>
    <t>Hacı Elvin Sübhan oğlu</t>
  </si>
  <si>
    <t>Əliyev Anar İslamxan oğlu</t>
  </si>
  <si>
    <t>İmamverdiyev Emil Bədəl oğlu</t>
  </si>
  <si>
    <t>Zamanov Yaşar Adil oğlu</t>
  </si>
  <si>
    <t>Nəzərov Vüqar Əlövsət oğlu</t>
  </si>
  <si>
    <t>Səmədova Leyla Soltan qızı</t>
  </si>
  <si>
    <t>Kərimzadə Aliyə Vilayət qızı</t>
  </si>
  <si>
    <t>Əzizov Tural Mirəlif oğlu</t>
  </si>
  <si>
    <t>Rzayev Osman Ələkbər oğlu</t>
  </si>
  <si>
    <t>Nəcəfov Tural Əminağa oğlu</t>
  </si>
  <si>
    <t>Məmmədli Kənan Zəkəriyyə oğlu</t>
  </si>
  <si>
    <t>Nuriyev Anar Əvəz oğlu</t>
  </si>
  <si>
    <t>Cəfərov Qabil Əli oğlu</t>
  </si>
  <si>
    <t>Adgözəlov Nahid Şahin oğlu</t>
  </si>
  <si>
    <t>Məmmədov Seymur Rasin oğlu</t>
  </si>
  <si>
    <t>Ağaşirinov Şöhrət Baba oğlu</t>
  </si>
  <si>
    <t>İsgəndərov Orxan Xan oğlu</t>
  </si>
  <si>
    <t>Hüseynov Samir Davud oğlu</t>
  </si>
  <si>
    <t>Hüseynov Zamin Nurəddin oğlu</t>
  </si>
  <si>
    <t>Süleymanov Adəm Sevindik oğlu</t>
  </si>
  <si>
    <t>Məmmədli Zakir Rəfail oğlu</t>
  </si>
  <si>
    <t>Hüseynov Tural Səfər oğlu</t>
  </si>
  <si>
    <t>İbrahimov Əli Şaban oğlu</t>
  </si>
  <si>
    <t>Mirzəyev Elnur Araz oğlu</t>
  </si>
  <si>
    <t>Novruzov Emil Fuad oğlu</t>
  </si>
  <si>
    <t>Şıxıyev Tərlan Faiq oğlu</t>
  </si>
  <si>
    <t>Qəmbərli Əli Nizami oğlu</t>
  </si>
  <si>
    <t>Südgülzadə Elvin Rafael oğlu</t>
  </si>
  <si>
    <t>Tahirmirzəzadə İlkin Ələskər oğlu</t>
  </si>
  <si>
    <t>Mustafayev Elçin Kamran oğlu</t>
  </si>
  <si>
    <t>Həkimov Nazim Namiq oğlu</t>
  </si>
  <si>
    <t>Zeynallı Elşən Əziz oğlu</t>
  </si>
  <si>
    <t>Məmmədov Hacı Rakif oğlu</t>
  </si>
  <si>
    <t>Həsənov Elxan Xəqani oğlu</t>
  </si>
  <si>
    <t>Mayorov Dmitriy Aleksandroviç</t>
  </si>
  <si>
    <t>Nağıyev Ceyhun Nazim oğlu</t>
  </si>
  <si>
    <t>Ayvazov Orxan Mayıl oğlu</t>
  </si>
  <si>
    <t>Bayramlı Ramil Ravil oğlu</t>
  </si>
  <si>
    <t>Hüseynov Kamal İbrahim oğlu</t>
  </si>
  <si>
    <t>Həsənov Zəfər Əliağa oğlu</t>
  </si>
  <si>
    <t>Quluyev Rəşad Cəfər oğlu</t>
  </si>
  <si>
    <t>Əliyev Şahin Əkrəm oğlu</t>
  </si>
  <si>
    <t>Manafov Emil Cavid oğlu</t>
  </si>
  <si>
    <t>İbrahimzadə Elməddin Ələddin oğlu</t>
  </si>
  <si>
    <t>Mirzəyev Əziz Rza oğlu</t>
  </si>
  <si>
    <t>Abbasov Vüqar Nizami oğlu</t>
  </si>
  <si>
    <t>Əhədov Araz Ehtibar oğlu</t>
  </si>
  <si>
    <t>Qaragözov Vüqar Arif oğlu</t>
  </si>
  <si>
    <t>Ələkbərov Fuad Buludxan oğlu</t>
  </si>
  <si>
    <t>Əhmədov Şövqi Oktay oğlu</t>
  </si>
  <si>
    <t>Abbasov Xudabaxış İlqar oğlu</t>
  </si>
  <si>
    <t>Musayev Rəfail Nurəddin oğlu</t>
  </si>
  <si>
    <t>Mirzəyev Məhəmməd Xosaxan oğlu</t>
  </si>
  <si>
    <t>Tahirov Cəmil Ehtibar oğlu</t>
  </si>
  <si>
    <t>Bağırov Fərid Üzeyir oğlu</t>
  </si>
  <si>
    <t>Rəcəbov Aleksandr Zakiroviç</t>
  </si>
  <si>
    <t>Məmmədov Ramil Müslüm oğlu</t>
  </si>
  <si>
    <t>Ağayev Ülvi Pənah oğlu</t>
  </si>
  <si>
    <t>Eyvazov Məhəmməd Elşən oğlu</t>
  </si>
  <si>
    <t>Mahmudov Mustafa İlham oğlu</t>
  </si>
  <si>
    <t>Həsənov Samir Cəlal oğlu</t>
  </si>
  <si>
    <t>Hüseynov Qoşqar Xanlar oğlu</t>
  </si>
  <si>
    <t>Hüseynov Ziya Nadir oğlu</t>
  </si>
  <si>
    <t>Quliyev Ənvər Əli oğlu</t>
  </si>
  <si>
    <t>Mürşüdov İlqar Mürşüd oğlu</t>
  </si>
  <si>
    <t>Vəliyev Rəşid Sənan oğlu</t>
  </si>
  <si>
    <t>Məmmədov Vüqar İlqar oğlu</t>
  </si>
  <si>
    <t>İsmayılov Elvin Ramiz oğlu</t>
  </si>
  <si>
    <t>Məmmədzadə Bəhruz Səfaddin oğlu</t>
  </si>
  <si>
    <t>Gülməmmədov Xətai Məmməd oğlu</t>
  </si>
  <si>
    <t>Nuriyev Fuad Tahir oğlu</t>
  </si>
  <si>
    <t>Əliyev Bəhruz Novruz oğlu</t>
  </si>
  <si>
    <t>Məmmədov Elşən Vaqif oğlu</t>
  </si>
  <si>
    <t>Nağıyev Sərdar Adil oğlu</t>
  </si>
  <si>
    <t>Rzayev Nurlan Polad oğlu</t>
  </si>
  <si>
    <t>Hüseynov Hüseyn Əliqara oğlu</t>
  </si>
  <si>
    <t>Hüseynov Məhəmməd Yavər oğlu</t>
  </si>
  <si>
    <t>Alıyev Fuad Nazim oğlu</t>
  </si>
  <si>
    <t>Hüseynov İlqar Rasim oğlu</t>
  </si>
  <si>
    <t>Mirzəyev Xəyal Aqil oğlu</t>
  </si>
  <si>
    <t>Şükürov Rəşad İmran oğlu</t>
  </si>
  <si>
    <t>Nəsirov Elnur Əbülfəz oğlu</t>
  </si>
  <si>
    <t>Əliyev Elməddin Cəbrayil oğlu</t>
  </si>
  <si>
    <t>Məmmədov Sabir Qabil oğlu</t>
  </si>
  <si>
    <t>İbadov Elşən Bülbül oğlu</t>
  </si>
  <si>
    <t>Məmmədov Rza Şahmirzə oğlu</t>
  </si>
  <si>
    <t>Oruczadə Vahid Dəryaqulu oğlu</t>
  </si>
  <si>
    <t>İmanov Sadiq Möhübbət oğlu</t>
  </si>
  <si>
    <t>Əhmədov Səbuhi İltifat oğlu</t>
  </si>
  <si>
    <t>Rzayev Elvin Ənvər oğlu</t>
  </si>
  <si>
    <t>Təhməzov Səbuhi Məhəmməd oğlu</t>
  </si>
  <si>
    <t>Məsimov Əmir Yaqub oğlu</t>
  </si>
  <si>
    <t>Əlövsətli Əfqan Qabil oğlu</t>
  </si>
  <si>
    <t>Cəbiyev Vüsal Eynulla oğlu</t>
  </si>
  <si>
    <t>Musazadə Ceyhun Famil oğlu</t>
  </si>
  <si>
    <t>Əskərli İlyas Şaiq oğlu</t>
  </si>
  <si>
    <t>Şükürov Bəhram Hidayət oğlu</t>
  </si>
  <si>
    <t>İmanov Kənan Şakir oğlu</t>
  </si>
  <si>
    <t>Abbasova Lalə Cavanşir qızı</t>
  </si>
  <si>
    <t>Tağıyeva Əntiqə Nəriman qızı</t>
  </si>
  <si>
    <t>Behbudov Fariz Fərhad oğlu</t>
  </si>
  <si>
    <t>Manafov Rəşad İsrafil oğlu</t>
  </si>
  <si>
    <t>Nəbiyev Şahbəddin Hümbət oğlu</t>
  </si>
  <si>
    <t>Hüseynov Aqil Vaqif oğlu</t>
  </si>
  <si>
    <t>Cəfərov Ramil Akif oğlu</t>
  </si>
  <si>
    <t>Həsənov Vurğun İlham oğlu</t>
  </si>
  <si>
    <t>Novruzov Vüqar İlham oğlu</t>
  </si>
  <si>
    <t>Həsənov Raul Rəfael oğlu</t>
  </si>
  <si>
    <t>Əliyev Rafiq Yunus oğlu</t>
  </si>
  <si>
    <t>Ağayev Nofəl Əmiraslan oğlu</t>
  </si>
  <si>
    <t>Rəfili Səbuhi İkram oğlu</t>
  </si>
  <si>
    <t>Nəbiyev Saqir İlham oğlu</t>
  </si>
  <si>
    <t>Abdullayev Seymur Şaiq oğlu</t>
  </si>
  <si>
    <t>Hüseynli Mirseyid Hüseyn oğlu</t>
  </si>
  <si>
    <t>Ömərov Səbuhi Abdullayeviç</t>
  </si>
  <si>
    <t>Kaşiyev Seymur Təyyar oğlu</t>
  </si>
  <si>
    <t>Ağaç Natəvan Zülfiqar qızı</t>
  </si>
  <si>
    <t>Həmzəyeva Günel Niyazi qızı</t>
  </si>
  <si>
    <t>Qüdrətzadə Tamilla Bəhruz qızı</t>
  </si>
  <si>
    <t>Cəfərova Fatimə Sozalı qızı</t>
  </si>
  <si>
    <t>Ağayeva Nigar Kamal qızı</t>
  </si>
  <si>
    <t>Xuduyeva Pərvin Elsevər qızı</t>
  </si>
  <si>
    <t>Abbasova Fərqanə Tarverdi qızı</t>
  </si>
  <si>
    <t>Paşazadə Zeynəb Nahib qızı</t>
  </si>
  <si>
    <t>Hacıyeva Aytən Allahşükür qızı</t>
  </si>
  <si>
    <t>Həsənova Selcan İlqar qızı</t>
  </si>
  <si>
    <t>Abdullayeva Nərmin Natiq qızı</t>
  </si>
  <si>
    <t>Cəfərova Gülşən Nəbi qızı</t>
  </si>
  <si>
    <t>Mirzəyeva Könül Əsəd qızı</t>
  </si>
  <si>
    <t>Kazımova Aysel Kərim qızı</t>
  </si>
  <si>
    <t>Məmmədov Güvən Əfqan oğlu</t>
  </si>
  <si>
    <t>Abbaslı Cavid Vidadi oğlu</t>
  </si>
  <si>
    <t>Abbasov Rüstəm İlqar oğlu</t>
  </si>
  <si>
    <t>Rüstəmov Teymur Qurban oğlu</t>
  </si>
  <si>
    <t>Bağırov Əlisafa Şahin oğlu</t>
  </si>
  <si>
    <t>Məmmədov Rauf Kamil oğlu</t>
  </si>
  <si>
    <t>Heydərov Elşən Əlövsət oğlu</t>
  </si>
  <si>
    <t>Quliyev Namiq Nemət oğlu</t>
  </si>
  <si>
    <t>Səfərov Pərvin Xancan oğlu</t>
  </si>
  <si>
    <t>Məmmədov Rövşən Sahib oğlu</t>
  </si>
  <si>
    <t>Bəşirov Əziz Oqtay oğlu</t>
  </si>
  <si>
    <t>Mehdiyev Fuad Fazil oğlu</t>
  </si>
  <si>
    <t>Namazov Coşqun Mahir oğlu</t>
  </si>
  <si>
    <t>Cəbrayılov Aydın Mühiddin oğlu</t>
  </si>
  <si>
    <t>Süleymanzadə Tural Eynulla oğlu</t>
  </si>
  <si>
    <t>Osmanlı Tural Qorxmaz oğlu</t>
  </si>
  <si>
    <t>Hüseynov Nicat Şakir oğlu</t>
  </si>
  <si>
    <t>Abdullayev Hacağa Fərman oğlu</t>
  </si>
  <si>
    <t>Ağayev Əflatun Ərəstun oğlu</t>
  </si>
  <si>
    <t>Quliyeva Nəzakət Cümşüd qızı</t>
  </si>
  <si>
    <t>Quliyev Cavid Arif oğlu</t>
  </si>
  <si>
    <t>Səlimov Firdovsi Cəfər oğlu</t>
  </si>
  <si>
    <t>Rzayev Vəli Səhlədər oğlu</t>
  </si>
  <si>
    <t>Xankişiyev Elçin Firidun oğlu</t>
  </si>
  <si>
    <t>Yusifli Taleh Həsən oğlu</t>
  </si>
  <si>
    <t>Yaqubov Seymur Nizami oğlu</t>
  </si>
  <si>
    <t>Fərəcov Fərhad Fərəc oğlu</t>
  </si>
  <si>
    <t>Nəcəfov Səfdər Paşa oğlu</t>
  </si>
  <si>
    <t>İmanov Səməndər Canpolad oğlu</t>
  </si>
  <si>
    <t>Kazımov Rəşad Yadulla oğlu</t>
  </si>
  <si>
    <t>Əfəndiyev Feyruz Rauf oğlu</t>
  </si>
  <si>
    <t>Salmanov Tural Səməd oğlu</t>
  </si>
  <si>
    <t>Məmmədzadə Ellada Adil qızı</t>
  </si>
  <si>
    <t>Mikayılov Cavid Əhməd oğlu</t>
  </si>
  <si>
    <t>Məmmədov Mehman Məmməd oğlu</t>
  </si>
  <si>
    <t>Aqeyev Ruslan Vladimiroviç</t>
  </si>
  <si>
    <t>Mərdəliyev Əfqan Məmmədsultan oğlu</t>
  </si>
  <si>
    <t>Hüseynov Şakir Həsən oğlu</t>
  </si>
  <si>
    <t>Əzimov Vüqar Akif oğlu</t>
  </si>
  <si>
    <t>İlyaslı Ayaz Gülbala oğlu</t>
  </si>
  <si>
    <t>Mehdiyev İslam Yaqub oğlu</t>
  </si>
  <si>
    <t>Səlimov Oqtay Hacı Ağa oğlu</t>
  </si>
  <si>
    <t>Maxsudov Yasin Həmid oğlu</t>
  </si>
  <si>
    <t>Əliyev İlham Vidadi oğlu</t>
  </si>
  <si>
    <t>Hüseynov Rəşad Elşən oğlu</t>
  </si>
  <si>
    <t>Zeynallı Xalıq Rəşid oğlu</t>
  </si>
  <si>
    <t>Əmiraslanov Calal Fəxrəddin oğlu</t>
  </si>
  <si>
    <t>Zamanov Ruslan Saleh oğlu</t>
  </si>
  <si>
    <t>Əliyev Vahid Qabil oğlu</t>
  </si>
  <si>
    <t>İsmayılov Rauf Zeyqəm oğlu</t>
  </si>
  <si>
    <t>Hüseynov Əvəz Kamil oğlu</t>
  </si>
  <si>
    <t>Qafarov Ağahüseyn Mirqafar oğlu</t>
  </si>
  <si>
    <t>İsmayılov Zaur Sarı oğlu</t>
  </si>
  <si>
    <t>Məmmədov Asif Salam oğlu</t>
  </si>
  <si>
    <t>Əliyev Vahid Vaqif oğlu</t>
  </si>
  <si>
    <t>Qasımov Orxan Ramiz oğlu</t>
  </si>
  <si>
    <t>Cəlilov Namaz İlham oğlu</t>
  </si>
  <si>
    <t>Xəlilzadə Rəşid Mirzə oğlu</t>
  </si>
  <si>
    <t>Şixəliyev Aydın Cümşüd oğlu</t>
  </si>
  <si>
    <t>Şıxızadə İlkin Əlisahib oğlu</t>
  </si>
  <si>
    <t>Ağayev Hikmət Mirdamət oğlu</t>
  </si>
  <si>
    <t>Əhmədov Gündüz Rauf oğlu</t>
  </si>
  <si>
    <t>Salahov İlqar Əmirşah oğlu</t>
  </si>
  <si>
    <t>Cəfərov Qasım Adiloviç</t>
  </si>
  <si>
    <t>Qurbanov Samir Hüseyn oğlu</t>
  </si>
  <si>
    <t>Kərimov İlham Zülfüqar oğlu</t>
  </si>
  <si>
    <t>Sadıqov Tale Həsənağa oğlu</t>
  </si>
  <si>
    <t>Səmədli Rəhim Hüseyn oğlu</t>
  </si>
  <si>
    <t>Məmmədov Aydın Səməd oğlu</t>
  </si>
  <si>
    <t>Nəcəfov Kənan Habil oğlu</t>
  </si>
  <si>
    <t>Rüstəmzadə Kənan Vahid oğlu</t>
  </si>
  <si>
    <t>Həsənov Vaqif Əbülfət oğlu</t>
  </si>
  <si>
    <t>Dünyamalıyev Elman Ramis oğlu</t>
  </si>
  <si>
    <t>Ağayev Elxan Muxtar oğlu</t>
  </si>
  <si>
    <t>Verdiyev İlyas Qüdrət oğlu</t>
  </si>
  <si>
    <t>Hacıyev Rövşən Şahsəf oğlu</t>
  </si>
  <si>
    <t>Misirov Tərlan Bəşir oğlu</t>
  </si>
  <si>
    <t>Əliyev Mahir Müzəffər oğlu</t>
  </si>
  <si>
    <t>Bayramov Faiq Nizami oğlu</t>
  </si>
  <si>
    <t>Nüsrətov Rəşad Seyran oğlu</t>
  </si>
  <si>
    <t>Osmanov Rövşən Maarif oğlu</t>
  </si>
  <si>
    <t>Tanriverdiyev Pünhan Rizvan oğlu</t>
  </si>
  <si>
    <t>Camalov Kamran Kamil oğlu</t>
  </si>
  <si>
    <t>Hüseynov Murad İlqar oğlu</t>
  </si>
  <si>
    <t>Məcidov Rza Namiq oğlu</t>
  </si>
  <si>
    <t>Muxtarov Elvin Yaqub oğlu</t>
  </si>
  <si>
    <t>Muradov Orxan İsmayil oğlu</t>
  </si>
  <si>
    <t>Abdullayev Kənan Musa oğlu</t>
  </si>
  <si>
    <t>Nərimanov Ravin Daxil oğlu</t>
  </si>
  <si>
    <t>Rəhimov Fuad Rəhim oğlu</t>
  </si>
  <si>
    <t>Nadirov Elnur Haxverdi oğlu</t>
  </si>
  <si>
    <t>Aslanov Ülvi Nəsib oğlu</t>
  </si>
  <si>
    <t>Əzizov Toğrul Mütəlib oğlu</t>
  </si>
  <si>
    <t>Baxışov Xaqani Qubat oğlu</t>
  </si>
  <si>
    <t>Bayramov Rəvan İlham oğlu</t>
  </si>
  <si>
    <t>Qubadov Yusif Eldar oğlu</t>
  </si>
  <si>
    <t>Məmmədov Nicat Azər oğlu</t>
  </si>
  <si>
    <t>Nuruyev Eldar Məhəmmədəli oğlu</t>
  </si>
  <si>
    <t>Mirzəyev Sulduz Balaxan oğlu</t>
  </si>
  <si>
    <t>Həmidov Vaqif Eldar oğlu</t>
  </si>
  <si>
    <t>Məmmədov Emin Tahir oğlu</t>
  </si>
  <si>
    <t>Həsilov Emil Şahinoviç</t>
  </si>
  <si>
    <t>Bəşirov Kamran Şahlar oğlu</t>
  </si>
  <si>
    <t>Qazixanov Şamil Şahin oğlu</t>
  </si>
  <si>
    <t>Məmmədov Mirsaleh Elçin oğlu</t>
  </si>
  <si>
    <t>Müstəcəbzadə Məhəbbət Yolçu oğlu</t>
  </si>
  <si>
    <t>Əliyev Elcan Səbuhi oğlu</t>
  </si>
  <si>
    <t>Məhəmmədov Elvin Elçin oğlu</t>
  </si>
  <si>
    <t>Sadıqov Orxan Hüseyn oğlu</t>
  </si>
  <si>
    <t>Kərimov İsa Nazir oğlu</t>
  </si>
  <si>
    <t>Məmmədov Murad Sarı oğlu</t>
  </si>
  <si>
    <t>Əliyev Elnur Mövlan oğlu</t>
  </si>
  <si>
    <t>Kərimov Adil Səbuhi oğlu</t>
  </si>
  <si>
    <t>Məmmədli Emin Dağıstan oğlu</t>
  </si>
  <si>
    <t>Əmirov Samir Vaqif oğlu</t>
  </si>
  <si>
    <t>Musayev Rəşad Əbülfət oğlu</t>
  </si>
  <si>
    <t>Ağayev Fuad Əlimuxtar oğlu</t>
  </si>
  <si>
    <t>Məmmədov Qismət Əli oğlu</t>
  </si>
  <si>
    <t>Mikayilov Namiq Əlirza oğlu</t>
  </si>
  <si>
    <t>Nuruyev Ramil Qasim oğlu</t>
  </si>
  <si>
    <t>Məmmədov Murad Əlövsət oğlu</t>
  </si>
  <si>
    <t>Əliyev Əbəlfəz Fuad oğlu</t>
  </si>
  <si>
    <t>Səfərov Habil Əbil oğlu</t>
  </si>
  <si>
    <t>Manafov Yusif Əli oğlu</t>
  </si>
  <si>
    <t>Babayev Xəyal Elyar oğlu</t>
  </si>
  <si>
    <t>İsmayilov Pərvin Ənvər oğlu</t>
  </si>
  <si>
    <t>Əliyev Novruz Qardaşxan oğlu</t>
  </si>
  <si>
    <t>Əliyev Gündüz Faiq oğlu</t>
  </si>
  <si>
    <t>Tağıyev Xəyal Rəfaddin oğlu</t>
  </si>
  <si>
    <t>Hacıyev Ruhin Vəli oğlu</t>
  </si>
  <si>
    <t>Allahverdiyev Sədi Zahid oğlu</t>
  </si>
  <si>
    <t>Əliyev Vüqar Atakişi oğlu</t>
  </si>
  <si>
    <t>Nəcəfov Habil Rəhim oğlu</t>
  </si>
  <si>
    <t>Qurbanov Ramin Əkbər oğlu</t>
  </si>
  <si>
    <t>Alıyev Xalid Xəlil oğlu</t>
  </si>
  <si>
    <t>Rüstəmov Rasim Cavid oğlu</t>
  </si>
  <si>
    <t>Abdullayev Mirvahab Camaləddin oğlu</t>
  </si>
  <si>
    <t>Həziyev İlham İlham oğlu</t>
  </si>
  <si>
    <t>Şirinov Rasim Tofiq oğlu</t>
  </si>
  <si>
    <t>Məmmədov Ruslan İsrail oğlu</t>
  </si>
  <si>
    <t>Şirinov Tural Şəmi oğlu</t>
  </si>
  <si>
    <t>Mustafayev Kamil Yusif oğlu</t>
  </si>
  <si>
    <t>Dadaşov Rüstəm Həmid oğlu</t>
  </si>
  <si>
    <t>İbrahimov Əli Tərlan oğlu</t>
  </si>
  <si>
    <t>Vahidov Sakit Akif oğlu</t>
  </si>
  <si>
    <t>Məmmədov Tapdıq Füzuli oğlu</t>
  </si>
  <si>
    <t>Məsimov Buludxan Söybət oğlu</t>
  </si>
  <si>
    <t>Səmədov Səmid Sarbala oğlu</t>
  </si>
  <si>
    <t>Ələkbərli Ülvi Arif oğlu</t>
  </si>
  <si>
    <t>İbrahimov Rüstəm Zakir oğlu</t>
  </si>
  <si>
    <t>Muradov Ruslan Yaqub oğlu</t>
  </si>
  <si>
    <t>Əzizov Rafik Namiq oğlu</t>
  </si>
  <si>
    <t>Həsənov Ramil Elbrus oğlu</t>
  </si>
  <si>
    <t>Allahverdiyev Elçin Əli oğlu</t>
  </si>
  <si>
    <t>Şahmuradov Şahmurad İqraməddin oğlu</t>
  </si>
  <si>
    <t>İsrafilzadə İsmayıl Tahir oğlu</t>
  </si>
  <si>
    <t>Əkbərov Seymur Fərhad oğlu</t>
  </si>
  <si>
    <t>Dadaşova Gülxanim Nuhbala qızı</t>
  </si>
  <si>
    <t>Əliyeva Xanım Tahir qızı</t>
  </si>
  <si>
    <t>Malik Əsmər Malik qızı</t>
  </si>
  <si>
    <t>Məmmədov Vəli Şahin oğlu</t>
  </si>
  <si>
    <t>Gülməmmədov Əli Məmməd oğlu</t>
  </si>
  <si>
    <t>Həmidova Təranə Rəhman qızı</t>
  </si>
  <si>
    <t>Bədirxanov Tural İmran oğlu</t>
  </si>
  <si>
    <t>Cəbrayılov Elvin Elşad oğlu</t>
  </si>
  <si>
    <t>Qəmbərova Rühəngiz Fərhad qızı</t>
  </si>
  <si>
    <t>Ağazadə Əli İlham oğlu</t>
  </si>
  <si>
    <t>Hüseynov Mahir Həsən oğlu</t>
  </si>
  <si>
    <t>Bəşirova Səmayə Ələsgər qızı</t>
  </si>
  <si>
    <t>Hüseynli Fatma Natiq qızı</t>
  </si>
  <si>
    <t>Məmmədov Adəm Sarı oğlu</t>
  </si>
  <si>
    <t>Süleymanov Röyal Rəhim oğlu</t>
  </si>
  <si>
    <t>Mustafazadə Razi Atamoğlan oğlu</t>
  </si>
  <si>
    <t>Tahirov Xanlar Barat oğlu</t>
  </si>
  <si>
    <t>Xanalıyev Fazil Famil oğlu</t>
  </si>
  <si>
    <t>Cəfərov Anar Malik oğlu</t>
  </si>
  <si>
    <t>Mustafayev Əhiya Rəhim oğlu</t>
  </si>
  <si>
    <t>Səfərov Seyhun Yurik oğlu</t>
  </si>
  <si>
    <t>Abbasov Rizvan Rizman oğlu</t>
  </si>
  <si>
    <t>Mamedov Yusif Rəhim oğlu</t>
  </si>
  <si>
    <t>Səfərəliyev İbrahim Məmməd oğlu</t>
  </si>
  <si>
    <t>Məmmədli Orxan Qasım oğlu</t>
  </si>
  <si>
    <t>Həsənli Ruslan Aslan oğlu</t>
  </si>
  <si>
    <t>Hüseynov Ramil Şəmsəddin oğlu</t>
  </si>
  <si>
    <t>Cəfərov Hüseyn Böyükağa oğlu</t>
  </si>
  <si>
    <t>Məmmədov Nazim Kamil oğlu</t>
  </si>
  <si>
    <t>Kazımov Bayram Faiq oğlu</t>
  </si>
  <si>
    <t>Umudov Rəşad Nizami oğlu</t>
  </si>
  <si>
    <t>Quliyev Elşən Ramiz oğlu</t>
  </si>
  <si>
    <t>Rəhimov Şamil Azad oğlu</t>
  </si>
  <si>
    <t>Abdullayev Hüseynalı Təvəkkül oğlu</t>
  </si>
  <si>
    <t>Abdullayev Rafiq Əliağa oğlu</t>
  </si>
  <si>
    <t>Pənahəliyev Aşur Novruz oğlu</t>
  </si>
  <si>
    <t>Əliyev Vüsal Alxan oğlu</t>
  </si>
  <si>
    <t>Məmmədov Tural İlham oğlu</t>
  </si>
  <si>
    <t>Yusifov Elvin Aydın oğlu</t>
  </si>
  <si>
    <t>Əzizov Habil Şaumyan oğlu</t>
  </si>
  <si>
    <t>Hacıyev Seymur Azər oğlu</t>
  </si>
  <si>
    <t>Baxşalıyev Arzu Rəsul oğlu</t>
  </si>
  <si>
    <t xml:space="preserve">	İbrahimova Leyla Zakir qızı</t>
  </si>
  <si>
    <t>Nəzirli Anar Nazim oğlu</t>
  </si>
  <si>
    <t>Qəhrəmanov Əli Yusif oğlu</t>
  </si>
  <si>
    <t>Əsədov İsmayıl Əsəd oğlu</t>
  </si>
  <si>
    <t>Tağıyeva Sara Türkan qızı</t>
  </si>
  <si>
    <t>Məmmədov Zahid Faxrəddin oğlu</t>
  </si>
  <si>
    <t>Piriyev Mikayıl Rakif oğlu</t>
  </si>
  <si>
    <t>Məmmədov Allahverdi Əli oğlu</t>
  </si>
  <si>
    <t>Məmmədov Şahin Məmməd oğlu</t>
  </si>
  <si>
    <t>Məmmədov Ceyhun İlqar oğlu</t>
  </si>
  <si>
    <t>Hüseynov Emil Vaqif oğlu</t>
  </si>
  <si>
    <t>Əliyev İsmayıl Həsən oğlu</t>
  </si>
  <si>
    <t>Abdullayev Turan Qalib oğlu</t>
  </si>
  <si>
    <t>Əliyev Azər Fizuli oğlu</t>
  </si>
  <si>
    <t>Sofuyev Hüseyn Rafiq oğlu</t>
  </si>
  <si>
    <t>Cümşüdov Elşən Şahin oğlu</t>
  </si>
  <si>
    <t>İsmayılov Turqay Zahir oğlu</t>
  </si>
  <si>
    <t>Rəşidov Rüfət Qalib oğlu</t>
  </si>
  <si>
    <t>Musayev Süleyman Nizami oğlu</t>
  </si>
  <si>
    <t>Məmmədov Zaur Qoca oğlu</t>
  </si>
  <si>
    <t>Abbasov Kənan Eldar oğlu</t>
  </si>
  <si>
    <t>Cəfərov Faiq Elçin oğlu</t>
  </si>
  <si>
    <t>Hüseynov Elnur Araz oğlu</t>
  </si>
  <si>
    <t>Hüseynov İsmayıl Məmməd oğlu</t>
  </si>
  <si>
    <t>Babayev Bayram Qərib oğlu</t>
  </si>
  <si>
    <t>Abdullayev Nuran Nurpaşa oğlu</t>
  </si>
  <si>
    <t>Musayev Musa Saqif oğlu</t>
  </si>
  <si>
    <t>Bağırov Taryel Əlizamin oğlu</t>
  </si>
  <si>
    <t>Rüstəmov Vüqar Xanlar oğlu</t>
  </si>
  <si>
    <t>Rzayev Elnur Famil oğlu</t>
  </si>
  <si>
    <t>İbrahimov Xəlil Qaçay oğlu</t>
  </si>
  <si>
    <t>Paşayev Fərhad Məmmədbağır oğlu</t>
  </si>
  <si>
    <t>Kərimov Teyfur Abiddinoviç</t>
  </si>
  <si>
    <t>Qasımov Vəli Rufulla oğlu</t>
  </si>
  <si>
    <t>Alammədov Fərman Balahməd oğlu</t>
  </si>
  <si>
    <t>Həmidov Tural Ağaseyid oğlu</t>
  </si>
  <si>
    <t>İsayev Bəhruz Müstəcəb oğlu</t>
  </si>
  <si>
    <t>Əhmədov Vüqar Məzahir oğlu</t>
  </si>
  <si>
    <t>Şahmərdanov Mehman Mirbaba oğlu</t>
  </si>
  <si>
    <t>Səfərov Orxan Ağamirzə oğlu</t>
  </si>
  <si>
    <t>Əsədov Azad Əlibəy oğlu</t>
  </si>
  <si>
    <t>Məmmədov Rəvan Kamran oğlu</t>
  </si>
  <si>
    <t>Sultanov Aqil Azər oğlu</t>
  </si>
  <si>
    <t>Hacıbəyov Vüsal İsa oğlu</t>
  </si>
  <si>
    <t>Nəsirov Emin Əlihüseyn oğlu</t>
  </si>
  <si>
    <t>Əhmədov Ənvər Murad oğlu</t>
  </si>
  <si>
    <t>Ucayev Mirmövsüm Mirmövsüm oğlu</t>
  </si>
  <si>
    <t>Hüseynov Toğrul İldırım oğlu</t>
  </si>
  <si>
    <t>Məsimov Qədir Qniyaz oğlu</t>
  </si>
  <si>
    <t>Məmmədov Rəşad Rahib oğlu</t>
  </si>
  <si>
    <t>Mütəllimov Elçin Eyvaz oğlu</t>
  </si>
  <si>
    <t>Eminov Coşqun İlqar oğlu</t>
  </si>
  <si>
    <t>Mahmudzadə Cavidan Rafiq oğlu</t>
  </si>
  <si>
    <t>Yamənzadə Vüqar Fərrux oğlu</t>
  </si>
  <si>
    <t>Nuri Kənan Mirzağa oğlu</t>
  </si>
  <si>
    <t>Hümbətov Murad Adil oğlu</t>
  </si>
  <si>
    <t>Rəhimov Veysəl Kərəm oğlu</t>
  </si>
  <si>
    <t>Qabilov Şamil Ağaəli oğlu</t>
  </si>
  <si>
    <t>Mustafayev Fərahim Məhəmmədəli oğlu</t>
  </si>
  <si>
    <t>Rəşidov İlqar Xaləddin oğlu</t>
  </si>
  <si>
    <t>Abdullayev Nurlan Qulam oğlu</t>
  </si>
  <si>
    <t>Hacəmmədov Vüqar Bəxtiyar oğlu</t>
  </si>
  <si>
    <t>Vəliyev Fərid Vidman oğlu</t>
  </si>
  <si>
    <t>Mirzəli Bəhruz Sücəddin oğlu</t>
  </si>
  <si>
    <t>Əliyev Vüsal Xanməd oğlu</t>
  </si>
  <si>
    <t xml:space="preserve">	Həsənli Elşən Etibar oğlu</t>
  </si>
  <si>
    <t>Bəşirov İlqar Allahyar oğlu</t>
  </si>
  <si>
    <t>Şəmmədli Teymur Ağakərim oğlu</t>
  </si>
  <si>
    <t>Axundov İldırım Hüseynəli oğlu</t>
  </si>
  <si>
    <t>Cəfərli Radik Akif oğlu</t>
  </si>
  <si>
    <t>Əzimov İsa Hacı oğlu</t>
  </si>
  <si>
    <t>Quliyev Əhmədağa Əbülfəz oğlu</t>
  </si>
  <si>
    <t>Mustafayev Hüseyn Telman oğlu</t>
  </si>
  <si>
    <t>Fərəcli İmran Kamil oğlu</t>
  </si>
  <si>
    <t>Məmmədli Ümid Əhədağa oğlu</t>
  </si>
  <si>
    <t>Mirzəyev Şaiq Mehman oğlu</t>
  </si>
  <si>
    <t>Qardaşlı Murad Qüdrət oğlu</t>
  </si>
  <si>
    <t>Əliyev İqbal Baxşəli oğlu</t>
  </si>
  <si>
    <t>Mustafayev Elvin Elşən oğlu</t>
  </si>
  <si>
    <t>Paşayev Qədir Əvəz oğlu</t>
  </si>
  <si>
    <t>Novruzov Ədalət Hakim oğlu</t>
  </si>
  <si>
    <t>Cəlilov Hümbət İsmayil oğlu</t>
  </si>
  <si>
    <t>Bağışlı Sarkan Vətən oğlu</t>
  </si>
  <si>
    <t>Seyidov Sahib Hüseyn oğlu</t>
  </si>
  <si>
    <t>Bayramov Nihad Namiq oğlu</t>
  </si>
  <si>
    <t>Rəhimov Raiq Vasif oğlu</t>
  </si>
  <si>
    <t>Salahov Kənan Ramiz oğlu</t>
  </si>
  <si>
    <t>Rüstəmov Azər Sabir oğlu</t>
  </si>
  <si>
    <t>Bayramov Namiq Rəcəb oğlu</t>
  </si>
  <si>
    <t>Abbasov Rafael Yusif oğlu</t>
  </si>
  <si>
    <t>Baxşıyev Hüseyn Həsən oğlu</t>
  </si>
  <si>
    <t>Əliyev Elşən Ənvər oğlu</t>
  </si>
  <si>
    <t>Allahverdiyev Kazım Hüseyn oğlu</t>
  </si>
  <si>
    <t>İbrahimli Azər Sultan oğlu</t>
  </si>
  <si>
    <t>Mehdiyev Ayxan Saleh oğlu</t>
  </si>
  <si>
    <t>Əliyev Kənan Nizami oğlu</t>
  </si>
  <si>
    <t>Quliyev Kənan Valeh oğlu</t>
  </si>
  <si>
    <t>Abdullayev Qubad Səfər oğlu</t>
  </si>
  <si>
    <t>Yusifli Qənbər Tofiq oğlu</t>
  </si>
  <si>
    <t>Məhərrəmov Vüsal Əsəd oğlu</t>
  </si>
  <si>
    <t>Ramazanov Fuad Xalid oğlu</t>
  </si>
  <si>
    <t>Əliyev Altay Qoşqar oğlu</t>
  </si>
  <si>
    <t>İbrahimov İkram Həmid oğlu</t>
  </si>
  <si>
    <t>Şirinov Məmmədseyid Rəsul oğlu</t>
  </si>
  <si>
    <t>Mahmudov Cavidan Fərrux oğlu</t>
  </si>
  <si>
    <t>Bağırlı Loğman Şöhləddin oğlu</t>
  </si>
  <si>
    <t>Abuşov Camal Razim oğlu</t>
  </si>
  <si>
    <t>Ağababayev Maqsud Rəşid oğlu</t>
  </si>
  <si>
    <t>Heydərov Zaur Namiq oğlu</t>
  </si>
  <si>
    <t>Davudov Fuad Şahin oğlu</t>
  </si>
  <si>
    <t>Yusubov Əyyub Etibar oğlu</t>
  </si>
  <si>
    <t>Quliyev Ramiz Ağamoğlan oğlu</t>
  </si>
  <si>
    <t>Rəhimov Ülvi Nəsimi oğlu</t>
  </si>
  <si>
    <t>Mehraliyev Məhəmməd Həşim oğlu</t>
  </si>
  <si>
    <t>Şahbazov Elnur Əvəzağa oğlu</t>
  </si>
  <si>
    <t>Kərimov Elnur Fərahim oğlu</t>
  </si>
  <si>
    <t>Hüseynov Pirhüseyn Əbülfəz oğlu</t>
  </si>
  <si>
    <t>Əmirbəyov Əliyar Azad oğlu</t>
  </si>
  <si>
    <t>Əskərov Cahandar Rövşən oğlu</t>
  </si>
  <si>
    <t>Umudov Hüseynağa İlqar oğlu</t>
  </si>
  <si>
    <t>Cavadov Amid İslam oğlu</t>
  </si>
  <si>
    <t>Əsədov Müşfiq Rəşid oğlu</t>
  </si>
  <si>
    <t>Quliyev Elman Soltan oğlu</t>
  </si>
  <si>
    <t>Məmmədov Faiq Hafis oğlu</t>
  </si>
  <si>
    <t>İmanov Şahin Beydulla oğlu</t>
  </si>
  <si>
    <t>Şükürov Müşfiq Əlidamit oğlu</t>
  </si>
  <si>
    <t>Süleymanov İlkin Nizami oğlu</t>
  </si>
  <si>
    <t>Piriyev Vüsal Əskər oğlu</t>
  </si>
  <si>
    <t>Abışzadə Qüdrət Rövşən oğlu</t>
  </si>
  <si>
    <t>Əkbərov Bəxtiyar Bəhrəm oğlu</t>
  </si>
  <si>
    <t>Şərifzadə Sağı Zabit oğlu</t>
  </si>
  <si>
    <t>Bağırov Rauf Əlizaman oğlu</t>
  </si>
  <si>
    <t>Əlizadə Cavanşir Rahim oğlu</t>
  </si>
  <si>
    <t>Aslanov Zaur Elbrus oğlu</t>
  </si>
  <si>
    <t>Hüseynli Tural Oktay oğlu</t>
  </si>
  <si>
    <t>Kərimov Gündüz Kərim oğlu</t>
  </si>
  <si>
    <t>Həsənov Gündüz Akif oğlu</t>
  </si>
  <si>
    <t>Mərdanov Elçin Abbas oğlu</t>
  </si>
  <si>
    <t>İbrahimov Malik Camal oğlu</t>
  </si>
  <si>
    <t>Nağıyev Camal Kamıl oğlu</t>
  </si>
  <si>
    <t>Bayramov Nemət Nazim oğlu</t>
  </si>
  <si>
    <t>Abbasov Aqşin Ağakişi oğlu</t>
  </si>
  <si>
    <t>Həsənov Arzu Hümbət oğlu</t>
  </si>
  <si>
    <t>Əsgərov Zaur Aydin oğlu</t>
  </si>
  <si>
    <t>Qulioğlu Talıb Avdal oğlu</t>
  </si>
  <si>
    <t>Məmmədzadə Ülfət Faxrəddin oğlu</t>
  </si>
  <si>
    <t>Ələkbərov Vidadi İlham oğlu</t>
  </si>
  <si>
    <t>Nəsrullayev İbrahim Amil oğlu</t>
  </si>
  <si>
    <t>Qasımlı Fərid Vüqar oğlu</t>
  </si>
  <si>
    <t>Məmmədov Yusif Hümmət oğlu</t>
  </si>
  <si>
    <t>Allahverdiyev Rəşad Felman oğlu</t>
  </si>
  <si>
    <t>Həsənzadə Əli İlqar oğlu</t>
  </si>
  <si>
    <t>Kazımov İsmayıl Habil oğlu</t>
  </si>
  <si>
    <t>Əşrəfov Rüstəm Rafiq oğlu</t>
  </si>
  <si>
    <t>Həsənov Adil Sədrəddin oğlu</t>
  </si>
  <si>
    <t>Qasımov Elturan Ayaz oğlu</t>
  </si>
  <si>
    <t>Fərziyev Rəfail Cəfər oğlu</t>
  </si>
  <si>
    <t>Məmmədov Tural Sadıx oğlu</t>
  </si>
  <si>
    <t>Nuriyev Nicat Zaməddin oğlu</t>
  </si>
  <si>
    <t>Cabbarov Abbas Xaliq oğlu</t>
  </si>
  <si>
    <t>Əhmədov Təbriz Mütəllim oğlu</t>
  </si>
  <si>
    <t>Sadıqov Elgiz Elçin oğlu</t>
  </si>
  <si>
    <t>Hüseynov Fəxri Fikrət oğlu</t>
  </si>
  <si>
    <t>Abbasov Elşad Vaqif oğlu</t>
  </si>
  <si>
    <t>Məmmədov Xəqani Polad oğlu</t>
  </si>
  <si>
    <t>Hacıyev Vüsal Aydın oğlu</t>
  </si>
  <si>
    <t>Aslanlı Ramazan Zahid oğlu</t>
  </si>
  <si>
    <t>Poladov Zaur Zöhrab oğlu</t>
  </si>
  <si>
    <t>Süleymanlı Ceyhun Əli oğlu</t>
  </si>
  <si>
    <t>Axundzadə Əbdülkərim Nazir oğlu</t>
  </si>
  <si>
    <t>Rüstəmova Günel Etibar qızı</t>
  </si>
  <si>
    <t>Ələsgərov Məhəmməd Ələsgər oğlu</t>
  </si>
  <si>
    <t>Qüdrətova Arzu Tahir qızı</t>
  </si>
  <si>
    <t>Mansurov Vaqif Nəsib oğlu</t>
  </si>
  <si>
    <t>Abdullayev Murad Akif oğlu</t>
  </si>
  <si>
    <t>Məmmədov Eynar Şahin oğlu</t>
  </si>
  <si>
    <t>Süleymanlı Aydan Kamil qızı</t>
  </si>
  <si>
    <t>Nəcəfova Aysel Arif qızı</t>
  </si>
  <si>
    <t>Şərifova Ruhiyyə Rasim qızı</t>
  </si>
  <si>
    <t>Səmədli Əli Fəqan oğlu</t>
  </si>
  <si>
    <t>Cənnətova Aynurə Azər qızı</t>
  </si>
  <si>
    <t>Muradov Əzim Vahid oğlu</t>
  </si>
  <si>
    <t>Umudlu Cəmaləddin Fariz oğlu</t>
  </si>
  <si>
    <t>Vəlizadə Tərxan Mehman oğlu</t>
  </si>
  <si>
    <t>Cəfərov Bahadur Mahir oğlu</t>
  </si>
  <si>
    <t>Daşdiyev Qoşqar Ramiz oğlu</t>
  </si>
  <si>
    <t>Daşdəmirov Orxan Mahir oğlu</t>
  </si>
  <si>
    <t>Cəfərov Emin Əbülfət oğlu</t>
  </si>
  <si>
    <t>Qurbanəliyev Elçin Məhəmməd oğlu</t>
  </si>
  <si>
    <t>Abdullayev Taleh Cavanşir oğlu</t>
  </si>
  <si>
    <t>Məmmədov Xaləddin Balası oğlu</t>
  </si>
  <si>
    <t>Rəhimov Etibar Norman oğlu</t>
  </si>
  <si>
    <t>Əsgərov Elcan Asif oğlu</t>
  </si>
  <si>
    <t>Məmmədov Yusif Ramin oğlu</t>
  </si>
  <si>
    <t>Əliyev Arif Asəm oğlu</t>
  </si>
  <si>
    <t>İsmayılov Eşqin Ənvər oğlu</t>
  </si>
  <si>
    <t>Məmmədli Rəvan Pərviz oğlu</t>
  </si>
  <si>
    <t>Cabarov Əskər Ələskər oğlu</t>
  </si>
  <si>
    <t>Talıblı Murad Malik oğlu</t>
  </si>
  <si>
    <t>Qənizadə Binnət Elşən oğlu</t>
  </si>
  <si>
    <t>Əsgərov Pərviz Fəhrad oğlu</t>
  </si>
  <si>
    <t>Məmmədov Rəhman Məmmədəli oğlu</t>
  </si>
  <si>
    <t>Rəsulov Mərrahim Məhərrəm oğlu</t>
  </si>
  <si>
    <t>Əliyev İlqar Səfiyar oğlu</t>
  </si>
  <si>
    <t>Məmmədli Əmrah İntizam oğlu</t>
  </si>
  <si>
    <t>Quliyev Nicat Rəsul oğlu</t>
  </si>
  <si>
    <t>Şükürlü Nurlan Mahir oğlu</t>
  </si>
  <si>
    <t>Rəşidli Rəşid Müşviq oğlu</t>
  </si>
  <si>
    <t>Qarayev Kənan Qoşqar oğlu</t>
  </si>
  <si>
    <t>Əhmədov Emin Vüqar oğlu</t>
  </si>
  <si>
    <t>Rəsulov Aydın İlham oğlu</t>
  </si>
  <si>
    <t>Dəmirov Ramil Yaşar oğlu</t>
  </si>
  <si>
    <t>Qaffarov Cabbar Hilal oğlu</t>
  </si>
  <si>
    <t>Abbaszadə Nahid Natiq oğlu</t>
  </si>
  <si>
    <t>Məmmədov Elşən Balanməd oğlu</t>
  </si>
  <si>
    <t>Abdullazadə Əvəzağa Şahin oğlu</t>
  </si>
  <si>
    <t xml:space="preserve">Hüseynov Kərəm Ramiloviç </t>
  </si>
  <si>
    <t>Sultanov Emil Əbil oğlu</t>
  </si>
  <si>
    <t>Nəsirov Rza Səttar oğlu</t>
  </si>
  <si>
    <t>Davudoğlu Elmin Davud oğlu</t>
  </si>
  <si>
    <t>Ələmov Sədi Vüqaroviç</t>
  </si>
  <si>
    <t>Mirzəliyev Məhəmməd Arif oğlu</t>
  </si>
  <si>
    <t>Abdullayev Mircəlal Elxan oğlu</t>
  </si>
  <si>
    <t>Nurlu Sərxan Valeh oğlu</t>
  </si>
  <si>
    <t>Paşayev Elçin Namiq oğlu</t>
  </si>
  <si>
    <t>Kazımov Museyib Kazım oğlu</t>
  </si>
  <si>
    <t>Kərimov Süleyman Tofiq oğlu</t>
  </si>
  <si>
    <t>Eyvazov Ceyhun Ariz oğlu</t>
  </si>
  <si>
    <t>Şikarov Tərlan Mahir oğlu</t>
  </si>
  <si>
    <t>Cəbrayılzadə Elvin Rövşən oğlu</t>
  </si>
  <si>
    <t>Mahmudov Atəş Arzu oğlu</t>
  </si>
  <si>
    <t>Cəlilov Elman Kamal oğlu</t>
  </si>
  <si>
    <t>Quliyev Elvin Rizvan oğlu</t>
  </si>
  <si>
    <t>Babayev Camal Cavid oğlu</t>
  </si>
  <si>
    <t>Tağıyev Fariz Bakir oğlu</t>
  </si>
  <si>
    <t>Hüseynzadə Nəcməddin Firudin oğlu</t>
  </si>
  <si>
    <t>Qasımov Anar Rauf oğlu</t>
  </si>
  <si>
    <t>Əzizli Zamin Famil oğlu</t>
  </si>
  <si>
    <t>Şükürzadə Şükür Rəsul oğlu</t>
  </si>
  <si>
    <t>İsrafilov Emin İntiqam oğlu</t>
  </si>
  <si>
    <t>Abbasov Rövşən Əflatun oğlu</t>
  </si>
  <si>
    <t>Salehova Səbinə Əhməd qızı</t>
  </si>
  <si>
    <t>Əhmədova Səbinə Şirzad qızı</t>
  </si>
  <si>
    <t>Quliyev Emil Əsgər oğlu</t>
  </si>
  <si>
    <t>Yaqubova Səbinə Natiq qızı</t>
  </si>
  <si>
    <t>Ağayev Aiyət Sakit oğlu</t>
  </si>
  <si>
    <t>Hüseynov Sahil Surxay oğlu</t>
  </si>
  <si>
    <t>Salahov Bəymurad Xudaverdi oğlu</t>
  </si>
  <si>
    <t>Ələkbərov Zeynal Rasim oğlu</t>
  </si>
  <si>
    <t>Əhmədova Roza Təvəkgül qızı</t>
  </si>
  <si>
    <t>Babazadə Qəmər Seyfəddin qızı</t>
  </si>
  <si>
    <t>Səmədov İxtiyar Vüqar oğlu</t>
  </si>
  <si>
    <t>Əlizadə Ziya Şükrəm oğlu</t>
  </si>
  <si>
    <t>Dayıyev Xəyal İslam oğlu</t>
  </si>
  <si>
    <t>Şamilov Kənan Vidadi oğlu</t>
  </si>
  <si>
    <t>Mikayılov Abbas Arçil oğlu</t>
  </si>
  <si>
    <t>Aslanov Namiq Azər oğlu</t>
  </si>
  <si>
    <t>Abasova Aygün Rafail qızı</t>
  </si>
  <si>
    <t>Mənəfli Nərmin Rəşad qızı</t>
  </si>
  <si>
    <t>Əhmədova Şəhla Ruslan qızı</t>
  </si>
  <si>
    <t>Səfərova Röya Niyaməddin qızı</t>
  </si>
  <si>
    <t>Nəzərova Havva Sahib qızı</t>
  </si>
  <si>
    <t>Salmanzadə Nuray İntiqam qızı</t>
  </si>
  <si>
    <t>Quliyeva Duyğu Anar qızı</t>
  </si>
  <si>
    <t>Hümbətova Gülər Natiq qızı</t>
  </si>
  <si>
    <t>Əsgərov Sabir Məzahir oğlu</t>
  </si>
  <si>
    <t>Əliyev Anar Elçin oğlu</t>
  </si>
  <si>
    <t>Məmmədov Tahir Taleh oğlu</t>
  </si>
  <si>
    <t>Məmmədova Nurcan Eldar qızı</t>
  </si>
  <si>
    <t>Əzizova Nəzrin Təhsin qızı</t>
  </si>
  <si>
    <t>Əlizadə Səbinə Nizami qızı</t>
  </si>
  <si>
    <t>Əlili Aytac Nemət qızı</t>
  </si>
  <si>
    <t>Qasımov Samir Səxavət oğlu</t>
  </si>
  <si>
    <t>Rəhimli Fatimə Azər qızı</t>
  </si>
  <si>
    <t>Mahmudova Fatimə Əli qızı</t>
  </si>
  <si>
    <t>Aslanova Nigar Elnur qızı</t>
  </si>
  <si>
    <t>Alcanova Ummahanı Hikmət qızı</t>
  </si>
  <si>
    <t>Qurbanlı Arif Ceyhun oğlu</t>
  </si>
  <si>
    <t>Qənbərov Pənah İdris oğlu</t>
  </si>
  <si>
    <t>Yediyarova Arzu Murad qızı</t>
  </si>
  <si>
    <t>Qorçuyeva Səlmi Yolçu qızı</t>
  </si>
  <si>
    <t>İbrahimli Tural Şahin oğlu</t>
  </si>
  <si>
    <t>Məhərrəmova Hacıyeva Səidə Mürvət qızı</t>
  </si>
  <si>
    <t>Bayramlı Sərxan Zaur oğlu</t>
  </si>
  <si>
    <t>Musayeva Nəzrin Elxan qızı</t>
  </si>
  <si>
    <t>Məmmədov Elçin Tahir oğlu</t>
  </si>
  <si>
    <t>Əliyev Seymur Əkbər oğlu</t>
  </si>
  <si>
    <t>Səfərli Məhyəddin Oktay oğlu</t>
  </si>
  <si>
    <t>Əliyev İlham Sədaqət oğlu</t>
  </si>
  <si>
    <t>Qətəati Elvin Sirus oğlu</t>
  </si>
  <si>
    <t>Quliyeva Əsmər Aqşin qızı</t>
  </si>
  <si>
    <t>Yusifov Nicat Azər oğlu</t>
  </si>
  <si>
    <t>Qarayusifova Svetlana Əzizxan qızı</t>
  </si>
  <si>
    <t>Kərimzadə Rəvan Rövşən oğlu</t>
  </si>
  <si>
    <t>Vəlizadə Anar Allahverdi oğlu</t>
  </si>
  <si>
    <t>Yusubova Günay Kamil qızı</t>
  </si>
  <si>
    <t>Rzayeva Ayşən Maşallah qızı</t>
  </si>
  <si>
    <t>Musayev Ülvi Füzuli oğlu</t>
  </si>
  <si>
    <t>Mustafayeva Sultanə Namiq qızı</t>
  </si>
  <si>
    <t>Camalov Məhəmməd Qibləli oğlu</t>
  </si>
  <si>
    <t>Əli Zadə Sənan Fuad oğlu</t>
  </si>
  <si>
    <t>Musazadə Ülvi Mahir oğlu</t>
  </si>
  <si>
    <t>Ağayev Ceyhun Vaqif oğlu</t>
  </si>
  <si>
    <t>Mehdiyeva Töhfə Nazim qızı</t>
  </si>
  <si>
    <t>Səlimli Aydan Aydın qızı</t>
  </si>
  <si>
    <t>Əzimov Elvin Şadulla oğlu</t>
  </si>
  <si>
    <t>Haşımov Telman Ağarəfi oğlu</t>
  </si>
  <si>
    <t>Məsimov Xəyal Əmrullah oğlu</t>
  </si>
  <si>
    <t>Niyazlı Rəşad Mehman oğlu</t>
  </si>
  <si>
    <t>İsmayılzadə Tural Böyükkişi oğlu</t>
  </si>
  <si>
    <t>Abbasova Raya Zahid qızı</t>
  </si>
  <si>
    <t>Əliyeva Süsən Tahir qızı</t>
  </si>
  <si>
    <t>Qurbanzadə Nərmin Qara qızı</t>
  </si>
  <si>
    <t>Yaqublu Günay Kamil qızı</t>
  </si>
  <si>
    <t>Vəliyev Nicat Bəymirzə oğlu</t>
  </si>
  <si>
    <t>Əliyeva Çinarə Zaur qızı</t>
  </si>
  <si>
    <t>İsmayılov Murad Raiz oğlu</t>
  </si>
  <si>
    <t>Hüseynov İlkin Vüsal oğlu</t>
  </si>
  <si>
    <t>Çərkəsova Bikəxanım Nizami qızı</t>
  </si>
  <si>
    <t>Məmmədov Rauf İlham oğlu</t>
  </si>
  <si>
    <t>Ağayeva Jalə Rauf qızı</t>
  </si>
  <si>
    <t>Balayeva Əfsanə Paşa qızı</t>
  </si>
  <si>
    <t>Hətəmova Bami Məhəmməd qızı</t>
  </si>
  <si>
    <t>Davudlu Aytən Bəhmən qızı</t>
  </si>
  <si>
    <t>Səlimli Fidan Gündüz qızı</t>
  </si>
  <si>
    <t>Çobanzadə Elçin Oruc oğlu</t>
  </si>
  <si>
    <t>Quluzadə-Hacızadə Günel Etibar qızı</t>
  </si>
  <si>
    <t>Hüseynova Sevda Elşən qızı</t>
  </si>
  <si>
    <t>Əhmədzadə Təhminə Natiq qızı</t>
  </si>
  <si>
    <t>Carçiyeva Ülviyyə Əziz qızı</t>
  </si>
  <si>
    <t>Bədəlova Aysel Səyyad qızı</t>
  </si>
  <si>
    <t>Əliyeva Ayşən Paşa qızı</t>
  </si>
  <si>
    <t>Xanlarova Çimnaz İlqar qızı</t>
  </si>
  <si>
    <t>Zeynalabdinova Nigar Bəxtiyar qızı</t>
  </si>
  <si>
    <t>Tağıyeva Nərmin Rüfət qızı</t>
  </si>
  <si>
    <t>Salmanov Salman Zöhrab oğlu</t>
  </si>
  <si>
    <t>Məmmədova Nigar Eldar qızı</t>
  </si>
  <si>
    <t>Bayramova Şirin Namiq qızı</t>
  </si>
  <si>
    <t>Tamazova Münəvvər Şərif qızı</t>
  </si>
  <si>
    <t>Əsgərova Səidə Zahid qızı</t>
  </si>
  <si>
    <t>Səttarlı Lalə Vilayət qızı</t>
  </si>
  <si>
    <t>Mikayılova Nigar Aslan qızı</t>
  </si>
  <si>
    <t>Hənifəyeva Samirə Hüseyn qızı</t>
  </si>
  <si>
    <t>Xankişiyeva Fidan Seymur qızı</t>
  </si>
  <si>
    <t>Aslanova Şəhla Faiq qızı</t>
  </si>
  <si>
    <t>Ağazadə Eldar Ceyhun oğlu</t>
  </si>
  <si>
    <t>Məmmədov Elçin Fərhad oğlu</t>
  </si>
  <si>
    <t>Şirinova Nərgiz Fərman qızı</t>
  </si>
  <si>
    <t>Cəbrayılova Fidan Heydar qızı</t>
  </si>
  <si>
    <t>Ağayarova Səbinə Azad qızı</t>
  </si>
  <si>
    <t>Abdullayeva Məryəm Elşən qızı</t>
  </si>
  <si>
    <t>Məmmədova Jalə İsa qızı</t>
  </si>
  <si>
    <t>Səlimli Namiq Natiq oğlu</t>
  </si>
  <si>
    <t>Qəniyeva Sərvinaz Natiq qızı</t>
  </si>
  <si>
    <t>Cabbarova Gülarə Nizami qızı</t>
  </si>
  <si>
    <t>Salamzadə Jalə Fariz qızı</t>
  </si>
  <si>
    <t>Qarayev Murad Polad oğlu</t>
  </si>
  <si>
    <t>Aboyeva Dilarə Akif qızı</t>
  </si>
  <si>
    <t>Teymurlu Nərmin Ceyhun qızı</t>
  </si>
  <si>
    <t>Yaqubova Dilarə Yaşar qızı</t>
  </si>
  <si>
    <t>Fəttayeva Lamiyə Rafiq qızı</t>
  </si>
  <si>
    <t>Quliyeva Sevinc Hətəmxan qızı</t>
  </si>
  <si>
    <t>Nurəliyev Rəşad Azad oğlu</t>
  </si>
  <si>
    <t>Hacıyev Murad Əli oğlu</t>
  </si>
  <si>
    <t>Misirova Aysel Azər qızı</t>
  </si>
  <si>
    <t>Bədəlov Orxan Eldar oğlu</t>
  </si>
  <si>
    <t>Əhmədova Nərmin Yusif qızı</t>
  </si>
  <si>
    <t>Həmzəbəyova Züleyxa Həmzəbəy qızı</t>
  </si>
  <si>
    <t>Ağabəyov Elman Ceyhun oğlu</t>
  </si>
  <si>
    <t>Zeynalova Aytən Əkrəm qızı</t>
  </si>
  <si>
    <t>Səmədova Təhminə Davud qızı</t>
  </si>
  <si>
    <t>Hacıyeva Şəfiqə Mahir qızı</t>
  </si>
  <si>
    <t>Quvalov Nurlan Həsən oğlu</t>
  </si>
  <si>
    <t>Qurbanlı Fatimə Seymur qızı</t>
  </si>
  <si>
    <t>Məmmədova Nigar Rəsul qızı</t>
  </si>
  <si>
    <t>Yusupova Anaxanım Azər qızı</t>
  </si>
  <si>
    <t>Adıgözəlov Cəlal Nadir oğlu</t>
  </si>
  <si>
    <t>Abdullazadə Aytac Vəfa qızı</t>
  </si>
  <si>
    <t>Xakiyeva Sayalı Vaqif qızı</t>
  </si>
  <si>
    <t>Bayramova Nərmin Fəti qızı</t>
  </si>
  <si>
    <t>Süleymanlı Kamran Sənan oğlu</t>
  </si>
  <si>
    <t>Ağaməmmədova Lalə Əhməd qızı</t>
  </si>
  <si>
    <t>Məmmədova Fatimə Rövşən qızı</t>
  </si>
  <si>
    <t>Səmədova Natəvan Bəyyar qızı</t>
  </si>
  <si>
    <t>Vahabova Amaliya Azad qızı</t>
  </si>
  <si>
    <t>Kazımlı Ülvü Eldəniz oğlu</t>
  </si>
  <si>
    <t>Məmmədova Günel Habil qızı</t>
  </si>
  <si>
    <t>Müseyibli Telli İlham qızı</t>
  </si>
  <si>
    <t>Verdiyev Yusif Azad oğlu</t>
  </si>
  <si>
    <t>Rzazadə Əkrəm Rəşid oğlu</t>
  </si>
  <si>
    <t>Hacıyev Dadaş İntiqam oğlu</t>
  </si>
  <si>
    <t>Məstanov Fərid İsmayıl oğlu</t>
  </si>
  <si>
    <t>Bünyət Zadə Orxan İlqar oğlu</t>
  </si>
  <si>
    <t>Qurbanov Cahandar Arzu oğlu</t>
  </si>
  <si>
    <t>Vəlizadə Gülşən Elşən qızı</t>
  </si>
  <si>
    <t>Mirzəyev Ənvər Ağamirzə oğlu</t>
  </si>
  <si>
    <t>Əlizadə Saleh Zaur oğlu</t>
  </si>
  <si>
    <t>Kərimli Xavər Rauf qızı</t>
  </si>
  <si>
    <t>İbrahimova Aydan Ağa Mehdi qızı</t>
  </si>
  <si>
    <t>Hüseynova Şəbnəm Əliqismət qızı</t>
  </si>
  <si>
    <t>Seyidova Əsmər Səbuhi qızı</t>
  </si>
  <si>
    <t>Əliyeva Tangiz Fizuli qızı</t>
  </si>
  <si>
    <t>Allahverdiyev Sənan Məhərrəm oğlu</t>
  </si>
  <si>
    <t>Mehdiyeva Günay Musa qızı</t>
  </si>
  <si>
    <t>Mübarizli Firuzə Vüqar qızı</t>
  </si>
  <si>
    <t>İsgəndərli Əli Budaq oğlu</t>
  </si>
  <si>
    <t>İsrafilova Nərmin Əvəz qızı</t>
  </si>
  <si>
    <t>Səlimova Lalə Kərim qızı</t>
  </si>
  <si>
    <t>İbrahimli Xeyrulla Məhəmməd oğlu</t>
  </si>
  <si>
    <t>Eyyubova Şəhanə Ərəstun qızı</t>
  </si>
  <si>
    <t>İsmayılova Aytəkin Barat qızı</t>
  </si>
  <si>
    <t>İsayev Əli Zaur oğlu</t>
  </si>
  <si>
    <t>Eldarzadə Jalə İlham qızı</t>
  </si>
  <si>
    <t>Paşayeva Könül Hüseyn qızı</t>
  </si>
  <si>
    <t>Rzalı Nərgiz İlham qızı</t>
  </si>
  <si>
    <t>Əhmədova Ləman Əli qızı</t>
  </si>
  <si>
    <t>Bənnayeva Mehriban Ramiz qızı</t>
  </si>
  <si>
    <t>Ağayeva Vüsalə Fizuli qızı</t>
  </si>
  <si>
    <t>Qasımova Məxluqə Eldəniz qızı</t>
  </si>
  <si>
    <t>İsmayılzadə Rəşid İsmayıl oğlu</t>
  </si>
  <si>
    <t>Qasımova Aytən Elçin qızı</t>
  </si>
  <si>
    <t>Həsənova Dinarə Nurəddin qızı</t>
  </si>
  <si>
    <t>Nağıyeva İlkanə Həsrət qızı</t>
  </si>
  <si>
    <t>Novruzova Leyla Əzizağa qızı</t>
  </si>
  <si>
    <t>Əliyeva Rəvanə Kamran qızı</t>
  </si>
  <si>
    <t>Məmmədli Arzu Calal qızı</t>
  </si>
  <si>
    <t>Sarıyeva Sona Elşad qızı</t>
  </si>
  <si>
    <t>Əliyev Ülvi Şöhrət oğlu</t>
  </si>
  <si>
    <t>İbrahimli Zərifə Sərdar qızı</t>
  </si>
  <si>
    <t>Əliyeva Aytac İlqar qızı</t>
  </si>
  <si>
    <t>Xudiyeva Aydan Azadi qızı</t>
  </si>
  <si>
    <t>Əliyeva Jalə İlcan qızı</t>
  </si>
  <si>
    <t>Əhmədova Lalə Rasim qızı</t>
  </si>
  <si>
    <t>Hüseynova Gülşən Rövşən qızı</t>
  </si>
  <si>
    <t>Həsənova Şəhla Vüqar qızı</t>
  </si>
  <si>
    <t>Fərzəliyeva Lamiyə Şahin qızı</t>
  </si>
  <si>
    <t>Qurbanova Sevinc Qurban qızı</t>
  </si>
  <si>
    <t>Süleymanzadə Ülkər Süleyman qızı</t>
  </si>
  <si>
    <t>İsmayılzadə Abdullah Rafiq oğlu</t>
  </si>
  <si>
    <t>Məmmədova Fatimə Urfan qızı</t>
  </si>
  <si>
    <t>Yaqubzadə Nigar Mübariz qızı</t>
  </si>
  <si>
    <t>Nəsibov Şahmar Məmməd oğlu</t>
  </si>
  <si>
    <t>Əsgərova Zəhra Cəbrayıl qızı</t>
  </si>
  <si>
    <t>Rüstəmov İlkin Sabir oğlu</t>
  </si>
  <si>
    <t>Abasov Ramin Nazim oğlu</t>
  </si>
  <si>
    <t>Cabbarlı Aysel Dilqəm qızı</t>
  </si>
  <si>
    <t>Piriyeva Nəzrin Niyazi qızı</t>
  </si>
  <si>
    <t>El-oğlu Fidan Azər qızı</t>
  </si>
  <si>
    <t>Aslanlı Fatimə Ramil qızı</t>
  </si>
  <si>
    <t>Murquzov Bəxtiyar Habil oğlu</t>
  </si>
  <si>
    <t>Sadıqova Şəms Salman qızı</t>
  </si>
  <si>
    <t>Pənahova Ləman Fərzayıl qızı</t>
  </si>
  <si>
    <t>Əsgərov Oruc Aslan oğlu</t>
  </si>
  <si>
    <t>Məmmədova Firuzə Mehrac qızı</t>
  </si>
  <si>
    <t>Rəcəbova Nuranə Sabir qızı</t>
  </si>
  <si>
    <t>Şıxızadə Hülya Vüqar qızı</t>
  </si>
  <si>
    <t>Carçıyeva Nazilə Xaliq qızı</t>
  </si>
  <si>
    <t>Yarıyev Murad Polad oğlu</t>
  </si>
  <si>
    <t>İsmayılzadə Təranə Qiyas qızı</t>
  </si>
  <si>
    <t>İsayeva Leyla Xəzər qızı</t>
  </si>
  <si>
    <t>Şəkərova Fidan Fuad qızı</t>
  </si>
  <si>
    <t>Aslanova Nərgiz Fərhad qızı</t>
  </si>
  <si>
    <t>Hüseynova Şəbnəm Mayıl qızı</t>
  </si>
  <si>
    <t>Hüseynova Niyar Nurəddin qızı</t>
  </si>
  <si>
    <t>Mürsəlova Nərmin Vitali qızı</t>
  </si>
  <si>
    <t>Məmmədzadə Orxan Sahib oğlu</t>
  </si>
  <si>
    <t>Qasımova Səma Valeh qızı</t>
  </si>
  <si>
    <t>Eyvazova Aytac Kamranovna</t>
  </si>
  <si>
    <t>Alməmmədova Rəna Akif qızı</t>
  </si>
  <si>
    <t>Bəşirova Səma Rauf qızı</t>
  </si>
  <si>
    <t>Xanlarov Natiq Elbrus oğlu</t>
  </si>
  <si>
    <t>Bayramov Semral Elşən oğlu</t>
  </si>
  <si>
    <t>Muradova Könül Tahir qızı</t>
  </si>
  <si>
    <t>Dadaşzadə Zibeydə Emil qızı</t>
  </si>
  <si>
    <t>Əliyeva Fazilə Nazim qızı</t>
  </si>
  <si>
    <t>Abbasova Fidan Rövşən qızı</t>
  </si>
  <si>
    <t>Alcanov Nemət Fuad oğlu</t>
  </si>
  <si>
    <t>Mayılova Validə Mehman qızı</t>
  </si>
  <si>
    <t>Paşayeva Rahilə Qəhrəman qızı</t>
  </si>
  <si>
    <t>Musayeva Nərmin Nöhbala qızı</t>
  </si>
  <si>
    <t>Cavadzadə Xədicə Cavad qızı</t>
  </si>
  <si>
    <t>Əliyeva Leyla Elçin qızı</t>
  </si>
  <si>
    <t>Cavadlı Gülnar Mütalib qızı</t>
  </si>
  <si>
    <t>Əsgərova Nəzrin Azər qızı</t>
  </si>
  <si>
    <t>Əliyeva Nəzrin Yalçın qızı</t>
  </si>
  <si>
    <t>Məmmədova Şəms Elçin qızı</t>
  </si>
  <si>
    <t>Zeynalova Aygün Namiq qızı</t>
  </si>
  <si>
    <t>Hüseynzadə Aytən Rüfət qızı</t>
  </si>
  <si>
    <t>Rəhimov Mirsahib Hikmət oğlu</t>
  </si>
  <si>
    <t>Rzalı Yusif Anar oğlu</t>
  </si>
  <si>
    <t>Mehrabova Kəmalə Tofiq qızı</t>
  </si>
  <si>
    <t>Həsənzadə Bənövşə Allahverən qızı</t>
  </si>
  <si>
    <t>Məlikov Fuad Rəhman oğlu</t>
  </si>
  <si>
    <t>Alıyeva Ayna Telman qızı</t>
  </si>
  <si>
    <t>Məmmədov Sevlan Rövşən oğlu</t>
  </si>
  <si>
    <t>Talıblı Səkinə İlham qızı</t>
  </si>
  <si>
    <t>Bayramova Günay Hafiz qızı</t>
  </si>
  <si>
    <t>Məmmədova Fidan Mansur qızı</t>
  </si>
  <si>
    <t>Nuriyeva Aysel Ərziman qızı</t>
  </si>
  <si>
    <t>Kərimova Günel Sənan qızı</t>
  </si>
  <si>
    <t>Bədurayeva Aydan Vidadi qızı</t>
  </si>
  <si>
    <t>Tağıyeva Gülnar Seydağa qızı</t>
  </si>
  <si>
    <t>Həşimov Nadir İlqar oğlu</t>
  </si>
  <si>
    <t>Cəfərli Sadiq Nəsib oğlu</t>
  </si>
  <si>
    <t>Yunis Fatimə Vüqar qızı</t>
  </si>
  <si>
    <t>Aşurova Günəş Novruz qızı</t>
  </si>
  <si>
    <t>Kərimova Səbinə Sarxan qızı</t>
  </si>
  <si>
    <t>Zeynallı Pərvin Pərviz qızı</t>
  </si>
  <si>
    <t>Muradova Gülarə Vəlixan qızı</t>
  </si>
  <si>
    <t>Mahmudova Nuray Rasim qızı</t>
  </si>
  <si>
    <t>Heydərova Aygün Elçin qızı</t>
  </si>
  <si>
    <t>Zariyeva Aynur Zari qızı</t>
  </si>
  <si>
    <t>İsgəndərova Fidan Hüseyn qızı</t>
  </si>
  <si>
    <t>Atayeva Aysun Muxtar qızı</t>
  </si>
  <si>
    <t>Qurbanova Nərminə Əli qızı</t>
  </si>
  <si>
    <t>Ələskərova Aytən Həyyam qızı</t>
  </si>
  <si>
    <t>Bəyalıyev Ülvi Xanəhməd oğlu</t>
  </si>
  <si>
    <t>Hacıyeva Jalə Pərviz qızı</t>
  </si>
  <si>
    <t>Niyazova-Fərəməzli Aytac Şahbaz qızı</t>
  </si>
  <si>
    <t>Məmmədli İmran Ülfət oğlu</t>
  </si>
  <si>
    <t>Ramazanlı Zibeydə Dəyanət qızı</t>
  </si>
  <si>
    <t>İsgəndərova Günel Samir qızı</t>
  </si>
  <si>
    <t>Məmmədəliyev Toğrul Elçin oğlu</t>
  </si>
  <si>
    <t>Alışzadə Raul Səbuhi oğlu</t>
  </si>
  <si>
    <t>İsgəndərova Nigar Şahvələt qızı</t>
  </si>
  <si>
    <t>Əhmədli Aysel Anar qızı</t>
  </si>
  <si>
    <t>Bağırova Ləman Kamil qızı</t>
  </si>
  <si>
    <t>Ələsgərova Nəzrin İkram qızı</t>
  </si>
  <si>
    <t>İsmayılova Nigar Ziyad qızı</t>
  </si>
  <si>
    <t>Şükürov Samir Mikayıl oğlu</t>
  </si>
  <si>
    <t>Cavadova Gülüstan Aləddin qızı</t>
  </si>
  <si>
    <t>Rəhimova Səriyyəxanım Azər qızı</t>
  </si>
  <si>
    <t>Beybalayeva Günel Yusif qızı</t>
  </si>
  <si>
    <t>Əzimova Emilla Əhməd qızı</t>
  </si>
  <si>
    <t>İsrəfili Günay Elçin qızı</t>
  </si>
  <si>
    <t>Ramazanova Xədicə Qulu qızı</t>
  </si>
  <si>
    <t>Mustafayeva Rəvanə Əbdurəhman qızı</t>
  </si>
  <si>
    <t>Gözəlova Mayya Firdovsi qızı</t>
  </si>
  <si>
    <t>Hidayətova Nuranə Nail qızı</t>
  </si>
  <si>
    <t>Səfərov Anar Məhəmməd oğlu</t>
  </si>
  <si>
    <t>Məmmədova Leyla Vüqar qızı</t>
  </si>
  <si>
    <t>Əliəkbərova Sevinc Rüfət qızı</t>
  </si>
  <si>
    <t>İsmayılova Nəzrin İmran qızı</t>
  </si>
  <si>
    <t>Xanalizadə Səfiyyə Vuqar qızı</t>
  </si>
  <si>
    <t>Həmzətova Rəhilə Tahir qızı</t>
  </si>
  <si>
    <t>Hüseynova Arzu Aydın qızı</t>
  </si>
  <si>
    <t>Hüseynova Nigar Elxan qızı</t>
  </si>
  <si>
    <t>Mirzəyeva Aytən Qəşəm qızı</t>
  </si>
  <si>
    <t>Abdullazadə Arzu Mübariz qızı</t>
  </si>
  <si>
    <t>Həsənzadə Fəridə Elşad qızı</t>
  </si>
  <si>
    <t>Telmanlı Bahar Eyvaz qızı</t>
  </si>
  <si>
    <t>Cabbarlı Aysu Elçin qızı</t>
  </si>
  <si>
    <t>Qafarlı Gülnar Calal qızı</t>
  </si>
  <si>
    <t>Məmmədova Kamilla Rüstəm qızı</t>
  </si>
  <si>
    <t>Nəsirov Əkbər Balakişi oğlu</t>
  </si>
  <si>
    <t>Elməddinzadə Ziynət Nəzər qızı</t>
  </si>
  <si>
    <t>Əlizadə Şəhla Abdulhüseyn qızı</t>
  </si>
  <si>
    <t>Kərimova Aysel Mirdamət qızı</t>
  </si>
  <si>
    <t>Qasımov Ramil Eldar oğlu</t>
  </si>
  <si>
    <t>Yaqubzadə Göyçək Ehtiram qızı</t>
  </si>
  <si>
    <t>Əskərova Fidan Əskər qızı</t>
  </si>
  <si>
    <t>Vəliyeva Günel Elçin qızı</t>
  </si>
  <si>
    <t>Əliyeva Aysel Arif qızı</t>
  </si>
  <si>
    <t>Məmmədli Roza Nurəddin qızı</t>
  </si>
  <si>
    <t>Hüseynli Elturan Elbar oğlu</t>
  </si>
  <si>
    <t>Muxtarzadə Kamil Rauf oğlu</t>
  </si>
  <si>
    <t>Abuşova Mühanə Mehman qızı</t>
  </si>
  <si>
    <t>Əliyeva Ləman Şəmsi qızı</t>
  </si>
  <si>
    <t>Dadaşlı Türkan Sucayət qızı</t>
  </si>
  <si>
    <t>Kazımova Həsənli Xeyransə Mikayıl qızı</t>
  </si>
  <si>
    <t>Həşimova Zöhrə Yaşar qızı</t>
  </si>
  <si>
    <t>Abdinova Zərifə Elçin qızı</t>
  </si>
  <si>
    <t>Teymurova Sevinc Musa qızı</t>
  </si>
  <si>
    <t>Əkbərzadə Şəms Rəhman qızı</t>
  </si>
  <si>
    <t>Seyidli Fidan Bəyoğlan qızı</t>
  </si>
  <si>
    <t>Əlizadə Səbinə Eminağa qızı</t>
  </si>
  <si>
    <t>Hüseynov Fərrux Elxan oğlu</t>
  </si>
  <si>
    <t>Əliyeva Rəna İmaməddin qızı</t>
  </si>
  <si>
    <t>Musayev Rüstəm Kazım oğlu</t>
  </si>
  <si>
    <t>Fətəliyeva Aytac Azər qızı</t>
  </si>
  <si>
    <t>Pirverdiyeva Könül Nazim qızı</t>
  </si>
  <si>
    <t>Musayeva Aygün Nurəddin qızı</t>
  </si>
  <si>
    <t>Məhərrəmov Saleh Mehman oğlu</t>
  </si>
  <si>
    <t>Qasımova Nailə Vüqar qızı</t>
  </si>
  <si>
    <t>Hüseynova Əfşan Tofiq qızı</t>
  </si>
  <si>
    <t>Quluzadə Aybəniz Səbuhi qızı</t>
  </si>
  <si>
    <t>Məmmədov Oruc Şair oğlu</t>
  </si>
  <si>
    <t>Məmmədli Elşən Ülfət oğlu</t>
  </si>
  <si>
    <t>Qurbanzadə Filurə Faiq qızı</t>
  </si>
  <si>
    <t>Məmmədli Vəfa Ağamalı qızı</t>
  </si>
  <si>
    <t>Hacıyev Nazim İftixar oğlu</t>
  </si>
  <si>
    <t>Xanbəyli Səidə Vüqar qızı</t>
  </si>
  <si>
    <t>Kərimli Qönçə Mahmud qızı</t>
  </si>
  <si>
    <t>Tahirov Əbdülhüseyn Vüqar oğlu</t>
  </si>
  <si>
    <t>Cəbrayıllı Viktoriya Nikolayevna</t>
  </si>
  <si>
    <t>Ağayeva Aliyə Tahir qızı</t>
  </si>
  <si>
    <t>İbadova Jalə Mehman qızı</t>
  </si>
  <si>
    <t>Kərimli Samirə Zaur qızı</t>
  </si>
  <si>
    <t>Məmmədova Müslümə Elman qızı</t>
  </si>
  <si>
    <t>İsmayılova Jalə Hidayət qızı</t>
  </si>
  <si>
    <t>İbrahimova Aysaba Ehtibar qızı</t>
  </si>
  <si>
    <t>Sayılova Aygün Əsəd qızı</t>
  </si>
  <si>
    <t>Cəlilova Nilufər Ayxan qızı</t>
  </si>
  <si>
    <t>Məmmədova Gülnar İslam qızı</t>
  </si>
  <si>
    <t>Hacıyeva Məryəm Mehmanovna</t>
  </si>
  <si>
    <t>İsmayılova Aysel Daşdəmir qızı</t>
  </si>
  <si>
    <t>Tağızadə Məsumə Valeh qızı</t>
  </si>
  <si>
    <t>Məmmədzadə Rahimə Qara qızı</t>
  </si>
  <si>
    <t>Kazımov Aqil Mayis oğlu</t>
  </si>
  <si>
    <t>Quluzadə Gül Rövşən qızı</t>
  </si>
  <si>
    <t>Kərimov Elmar Şahin oğlu</t>
  </si>
  <si>
    <t>Şükürova Əzizə Rabil qızı</t>
  </si>
  <si>
    <t>Kürdova İliana Bəhrəm qızı</t>
  </si>
  <si>
    <t>Baxşəliyeva Əfsanə Aqşin qızı</t>
  </si>
  <si>
    <t>Məlikova Nigar Çingiz qızı</t>
  </si>
  <si>
    <t>Nəsirova Fərqanə Musa qızı</t>
  </si>
  <si>
    <t>Kazımov Fuad Kazım oğlu</t>
  </si>
  <si>
    <t>Sadıqova Yasəmən Faiq qızı</t>
  </si>
  <si>
    <t>Zalova Xanımana Həsənağa qızı</t>
  </si>
  <si>
    <t>Məhyəddinova Fatimə Əhmədiyyə qızı</t>
  </si>
  <si>
    <t>Kərimova Sevda Fuad qızı</t>
  </si>
  <si>
    <t>Zülfüqarova Xədicə Fəxrəddin qızı</t>
  </si>
  <si>
    <t>Qurbanov Xəyal Eldar oğlu</t>
  </si>
  <si>
    <t>Ağazadə Əfsanə Mehman qızı</t>
  </si>
  <si>
    <t>Əli-zadə Leyla İbadulla qızı</t>
  </si>
  <si>
    <t>Çəltikova Nərmin Nəsimi qızı</t>
  </si>
  <si>
    <t>Xəlilova Leyla Arif qızı</t>
  </si>
  <si>
    <t>Məmmədova Nərmin Zakir qızı</t>
  </si>
  <si>
    <t>Tağı-zadə Ləman Ağası qızı</t>
  </si>
  <si>
    <t>Cəfərli Kəmalə Mir Kamal qızı</t>
  </si>
  <si>
    <t>Yusupova Aynurə Rahim qızı</t>
  </si>
  <si>
    <t>İsakova Kubra İlyas qızı</t>
  </si>
  <si>
    <t>Haqverdiyeva Məhbubə Samir qızı</t>
  </si>
  <si>
    <t>Qasımov Vüqar Qulam oğlu</t>
  </si>
  <si>
    <t>Abdullayev Coşqun Eyvaz oğlu</t>
  </si>
  <si>
    <t>Bədəlzadə Nailə İlham qızı</t>
  </si>
  <si>
    <t>Arzumanlı Arzuman Nofəl oğlu</t>
  </si>
  <si>
    <t>Sadiqov Fərid Rəhim oğlu</t>
  </si>
  <si>
    <t>Cəfərova Gülər İlqar qızı</t>
  </si>
  <si>
    <t>İsrəfilzadə Gülay Ələddin qızı</t>
  </si>
  <si>
    <t>Əmiraslanova Nərmin Rizvan qızı</t>
  </si>
  <si>
    <t>Məmmədova Rufanə Fərmayıl qızı</t>
  </si>
  <si>
    <t>Həsənova Fidan Məhəbbət qızı</t>
  </si>
  <si>
    <t>Həsənova Qəmzə Saleh qızı</t>
  </si>
  <si>
    <t>Hüseynova Nigar Şahin qızı</t>
  </si>
  <si>
    <t>Namazova Şəhla Rasim qızı</t>
  </si>
  <si>
    <t>Babayeva Firuzə Utarid qızı</t>
  </si>
  <si>
    <t>Əlizadə Tamerlan Mayis oğlu</t>
  </si>
  <si>
    <t>Ataşova Əzizə Niyazi qızı</t>
  </si>
  <si>
    <t>Seyidova Aydan Mübariz qızı</t>
  </si>
  <si>
    <t>Nadirli Nadir Zahid oğlu</t>
  </si>
  <si>
    <t>Bəşirov Burhan Əmrah oğlu</t>
  </si>
  <si>
    <t>Bayramov Niyazi Bayram oğlu</t>
  </si>
  <si>
    <t>Hüseynli Həsən Elşən oğlu</t>
  </si>
  <si>
    <t>Məmmədli Rabil Qabil oğlu</t>
  </si>
  <si>
    <t>Vəlibəyova Əfsanə Ramiz qızı</t>
  </si>
  <si>
    <t>Qaragözov Vahid Nemət oğlu</t>
  </si>
  <si>
    <t>Əliyev İbrahim Rasim oğlu</t>
  </si>
  <si>
    <t>Səmədova Aksana Dadaş qızı</t>
  </si>
  <si>
    <t>Teymurlu Elmira Nəriman qızı</t>
  </si>
  <si>
    <t>Musalı Ebru Musa qızı</t>
  </si>
  <si>
    <t>Fətullayeva Sunay İlham qızı</t>
  </si>
  <si>
    <t>Qurbanlı Pərviz Balarza oğlu</t>
  </si>
  <si>
    <t>İsazadə Tural Elsevər oğlu</t>
  </si>
  <si>
    <t>Mamedov Firdus Ədalət oğlu</t>
  </si>
  <si>
    <t>Bədəlbəyli Həsən Əfsər oğlu</t>
  </si>
  <si>
    <t>Qədəşova Aygül Feyruz qızı</t>
  </si>
  <si>
    <t>Tağıyev Orxan Əliş oğlu</t>
  </si>
  <si>
    <t>Vəliyeva Nargilə Bəhram qızı</t>
  </si>
  <si>
    <t>Rüstəmli Firudin Rəşad oğlu</t>
  </si>
  <si>
    <t>Gülmalıyeva Rəqsanə İlyas qızı</t>
  </si>
  <si>
    <t>Abbasov Fərid Teymur oğlu</t>
  </si>
  <si>
    <t>Hacıyeva Ləman Vidadi qızı</t>
  </si>
  <si>
    <t>Nəsirli Abdulla Anar oğlu</t>
  </si>
  <si>
    <t>Rəhimli Sənan Akif oğlu</t>
  </si>
  <si>
    <t>Vəliyeva Qızqayıt Şahin qızı</t>
  </si>
  <si>
    <t>Nəsirli Ramin Ehtibar oğlu</t>
  </si>
  <si>
    <t>Mirzəyev Adil Rafik oğlu</t>
  </si>
  <si>
    <t>Məmmədova Elnarə Barat qızı</t>
  </si>
  <si>
    <t>Nəbiyeva Gülnisə Bəhruz qızı</t>
  </si>
  <si>
    <t>Veysəlov Rüfət İlqar oğlu</t>
  </si>
  <si>
    <t>Əliyev Tural Əli oğlu</t>
  </si>
  <si>
    <t>Səfərov Yahya Səyavuş oğlu</t>
  </si>
  <si>
    <t>Hacıyeva Nilufər Tacəddin qızı</t>
  </si>
  <si>
    <t>Talıblı Aynur Fərəc qızı</t>
  </si>
  <si>
    <t>Məmmədova Nüşabə Rasim qızı</t>
  </si>
  <si>
    <t>Hacıyeva Aygün Sahib qızı</t>
  </si>
  <si>
    <t>İbrahimov Oqtay Samir oğlu</t>
  </si>
  <si>
    <t>Əfəndiyeva Sara Şakir qızı</t>
  </si>
  <si>
    <t>Sadıxova Minəvər Əhmədağa qızı</t>
  </si>
  <si>
    <t>Hüseynova Aytac Əkbər qızı</t>
  </si>
  <si>
    <t>Alıyeva Xədicə Yasin qızı</t>
  </si>
  <si>
    <t>Musayev İlqar Aslan oğlu</t>
  </si>
  <si>
    <t>Mikayılova Çinarə Yusubəli qızı</t>
  </si>
  <si>
    <t>Fərəcli Murad Mirqasım oğlu</t>
  </si>
  <si>
    <t>Zeynalov Əli Aydın oğlu</t>
  </si>
  <si>
    <t>Əliyev Fəqan Vaqif oğlu</t>
  </si>
  <si>
    <t>Hacıyev Savalan Famil oğlu</t>
  </si>
  <si>
    <t>Cənnətov Şöhrət Rafiq oğlu</t>
  </si>
  <si>
    <t>Quluzadə Cavid Tofiq oğlu</t>
  </si>
  <si>
    <t>Rasulova İradə Rəfael qızı</t>
  </si>
  <si>
    <t>Kərimova Türkanə Bayram qızı</t>
  </si>
  <si>
    <t>Zülfüqarova Aysel Zülfüqar qızı</t>
  </si>
  <si>
    <t>Babayeva Aysel Şamil qızı</t>
  </si>
  <si>
    <t>İmanova Günel Yasin qızı</t>
  </si>
  <si>
    <t>Ağayev Orxan Elxan oğlu</t>
  </si>
  <si>
    <t>Acalova Səbinə Mövlud qızı</t>
  </si>
  <si>
    <t>Hüseynov Kamil Samir oğlu</t>
  </si>
  <si>
    <t>Ağaxanlı Məlik Əlövsət oğlu</t>
  </si>
  <si>
    <t>Həmidova Hədiyyə Musa qızı</t>
  </si>
  <si>
    <t>Qurbanzadə Mahid Qurban oğlu</t>
  </si>
  <si>
    <t>Cəbrayılov Nicat Kamran oğlu</t>
  </si>
  <si>
    <t>Quluzadə Əfsanə Vüqar qızı</t>
  </si>
  <si>
    <t>Elləzov Bəxtiyar Səbuhi oğlu</t>
  </si>
  <si>
    <t>Cəfərova Zərifə İlham qızı</t>
  </si>
  <si>
    <t>Əliyev Tural Rizvan oğlu</t>
  </si>
  <si>
    <t>Əliyev Fuad Faiq oğlu</t>
  </si>
  <si>
    <t>Məmmədova Ləman Vüqar qızı</t>
  </si>
  <si>
    <t>Ağazadə Fidan İsmayıl qızı</t>
  </si>
  <si>
    <t>Əliyeva Nərmin Arus qızı</t>
  </si>
  <si>
    <t>Hüseynli Aytac Qələndər qızı</t>
  </si>
  <si>
    <t>Ələkbərova Könül Mütəllim qızı</t>
  </si>
  <si>
    <t>Paşazadə Aytən Vüqar qızı</t>
  </si>
  <si>
    <t>Süleymanova Fatimə Vidadi qızı</t>
  </si>
  <si>
    <t>Rəhimova Təranə Vaqif qızı</t>
  </si>
  <si>
    <t>Bağırova Turanə İsa qızı</t>
  </si>
  <si>
    <t>Salam-zadə Aygün Samir qızı</t>
  </si>
  <si>
    <t>Baxışlı Ramilə Vaqif qızı</t>
  </si>
  <si>
    <t>Məmmədova Ləman Əmrah qızı</t>
  </si>
  <si>
    <t>Məhərrəmli Nərgiz Rövşən qızı</t>
  </si>
  <si>
    <t>Əbilov Xəyyam Ələskər oğlu</t>
  </si>
  <si>
    <t>Mirsalahova Samirə Samir qızı</t>
  </si>
  <si>
    <t>Həsənova Nərgiz Famil qızı</t>
  </si>
  <si>
    <t>Atakişiyeva Fidan İsgəndər qızı</t>
  </si>
  <si>
    <t>Məmmədov Kənan Rövşən oğlu</t>
  </si>
  <si>
    <t>Həsənov Teymur Rövşən oğlu</t>
  </si>
  <si>
    <t>Bağırova Nəzrin Rəşad qızı</t>
  </si>
  <si>
    <t>Həşimova Samirə Əlikömək qızı</t>
  </si>
  <si>
    <t>Həbibullayeva Gözəl Bəhruz qızı</t>
  </si>
  <si>
    <t>Muxtarova Gözəl Ağabala qızı</t>
  </si>
  <si>
    <t>Xoçberov Həmzət Mübarizoviç</t>
  </si>
  <si>
    <t>Mehdiyeva Ləman Vilayət qızı</t>
  </si>
  <si>
    <t>Yaqubova Günel Araz qızı</t>
  </si>
  <si>
    <t>Məmmədova Aydan Rasim qızı</t>
  </si>
  <si>
    <t>Axundova Həyat Bəxtiyar qızı</t>
  </si>
  <si>
    <t>Əlizadə Məryəm Rövşən qızı</t>
  </si>
  <si>
    <t>Hüseynova Aytac Qədir qızı</t>
  </si>
  <si>
    <t>Rəhimli Nərminə Vüqar qızı</t>
  </si>
  <si>
    <t>Məmmədova Ləman Abdulla qızı</t>
  </si>
  <si>
    <t>Qənbərova Şəfa Ziyadxan qızı</t>
  </si>
  <si>
    <t>Kərimova Lalə Cavanşir qızı</t>
  </si>
  <si>
    <t>Əbilov Həzrət Rasim oğlu</t>
  </si>
  <si>
    <t>Qardaşov Elnur Elşad oğlu</t>
  </si>
  <si>
    <t>Hüseynzadə Kübra Nurəddin qızı</t>
  </si>
  <si>
    <t>Həmzəyeva Zahidə Səyavuş qızı</t>
  </si>
  <si>
    <t>ISMAILOVA SABINA</t>
  </si>
  <si>
    <t>Abdullazadə Firidun Müşviq oğlu</t>
  </si>
  <si>
    <t>Aydınova Zərqələm Tərlan qızı</t>
  </si>
  <si>
    <t>Həsənov Cəlal Kənan oğlu</t>
  </si>
  <si>
    <t>Murğuzova Ülkər Nifdi qızı</t>
  </si>
  <si>
    <t>Mustafayeva Gülhəyat Müşviq qızı</t>
  </si>
  <si>
    <t>Şərifova Firəngiz Ceyhun qızı</t>
  </si>
  <si>
    <t>Əhmədov Ceyhun Nizami oğlu</t>
  </si>
  <si>
    <t>Pənahova Nurcan Mustafa qızı</t>
  </si>
  <si>
    <t>Əsədullayeva Ayşəgül Taleh qızı</t>
  </si>
  <si>
    <t>Vəliyeva Nəzrin Fərid qızı</t>
  </si>
  <si>
    <t>Quliyeva İlqarə Aqil qızı</t>
  </si>
  <si>
    <t>Əzimov Murad Asif oğlu</t>
  </si>
  <si>
    <t>Alıyeva Aysu Surac qızı</t>
  </si>
  <si>
    <t>Əsgərova Adilə İlham qızı</t>
  </si>
  <si>
    <t>Mədətov İbrahim Samir oğlu</t>
  </si>
  <si>
    <t>Atakişiyev Hüseyn Malik oğlu</t>
  </si>
  <si>
    <t>Əsgərov Mövsüm Ələkbər oğlu</t>
  </si>
  <si>
    <t>Qarayeva Günay Vəli qızı</t>
  </si>
  <si>
    <t>Məmmədova İnarə Vidadi qızı</t>
  </si>
  <si>
    <t>Həzərova Lima Nizamiyevna</t>
  </si>
  <si>
    <t>Məmmədova Maya Rafiq qızı</t>
  </si>
  <si>
    <t>Maqsudova Əminə Etibar qızı</t>
  </si>
  <si>
    <t>Həsənova Aysel Ruslan qızı</t>
  </si>
  <si>
    <t>Səmədzadə Nərgiz Hamlet qızı</t>
  </si>
  <si>
    <t>Alpanayev Tural Yaşar oğlu</t>
  </si>
  <si>
    <t>Bəşirova Aygül Arif qızı</t>
  </si>
  <si>
    <t>Əlizadə Nərgiz İslam qızı</t>
  </si>
  <si>
    <t>Hüseynova Ayşən Vəfadar qızı</t>
  </si>
  <si>
    <t>Məmmədov Kazım Oqtay oğlu</t>
  </si>
  <si>
    <t>Hüseynova İnci Akif qızı</t>
  </si>
  <si>
    <t>Məmmədov Elvin Abbas oğlu</t>
  </si>
  <si>
    <t>Veysəlova Məhbubə Aydəmir qızı</t>
  </si>
  <si>
    <t>Nədiyeva Günel Habil qızı</t>
  </si>
  <si>
    <t>Rəhimova Gülnar Şəfaqət qızı</t>
  </si>
  <si>
    <t>Abbasova Arzu Sadiq qızı</t>
  </si>
  <si>
    <t>Qubadov Mirpaşa İbad oğlu</t>
  </si>
  <si>
    <t>Abbasov Emin Aydın oğlu</t>
  </si>
  <si>
    <t>Kərimov Orxan Ələkbər oğlu</t>
  </si>
  <si>
    <t>Tağıyev Elbəy Fikrət oğlu</t>
  </si>
  <si>
    <t>Vahabzadə Mirələm Mirsəid oğlu</t>
  </si>
  <si>
    <t>Musazadə Kamran Abdin oğlu</t>
  </si>
  <si>
    <t>Kazımov Orxan Sahib oğlu</t>
  </si>
  <si>
    <t>Hüseynzadə İmamverdi Lətif oğlu</t>
  </si>
  <si>
    <t>Məmmədov Murad Vəli oğlu</t>
  </si>
  <si>
    <t>İsmayılzadə Adəm Seyyub oğlu</t>
  </si>
  <si>
    <t>Əfəndiyeva Nərgiz Adil qızı</t>
  </si>
  <si>
    <t>Həsənova Nərminə Teyyub qızı</t>
  </si>
  <si>
    <t>Nemətli Aydan Xəqani qızı</t>
  </si>
  <si>
    <t>Mamedov Anar Bəkir oğlu</t>
  </si>
  <si>
    <t>Məmmədli Tural Naib oğlu</t>
  </si>
  <si>
    <t>Yüzbaşov Murad Rasim oğlu</t>
  </si>
  <si>
    <t>Həsənova Səbinə Ələmdar qızı</t>
  </si>
  <si>
    <t>Cəfərli Babək Məhəmmədəli oğlu</t>
  </si>
  <si>
    <t>Əliyeva Pərvinə Qeysud qızı</t>
  </si>
  <si>
    <t>Qarayev Elcan Elçin oğlu</t>
  </si>
  <si>
    <t>Cabbarova Nigar Seyidağa qızı</t>
  </si>
  <si>
    <t>Şahbazova Kamilə Fərzulla qızı</t>
  </si>
  <si>
    <t>Alıyeva Tahirə Mehman qızı</t>
  </si>
  <si>
    <t>Əlili Ləman Ceyhun qızı</t>
  </si>
  <si>
    <t>Tağızadə Səbinə Vidadi qızı</t>
  </si>
  <si>
    <t>Kazımova Saidə Fuad qızı</t>
  </si>
  <si>
    <t>Nəcəfov Nail Namiq oğlu</t>
  </si>
  <si>
    <t>Ocaqov İlqar Zakir oğlu</t>
  </si>
  <si>
    <t>Kəlbəliyev Əli Zöhrab oğlu</t>
  </si>
  <si>
    <t>Abbaszadə Elçin Nazim oğlu</t>
  </si>
  <si>
    <t>Qaracayeva Fəridə Əlləz qızı</t>
  </si>
  <si>
    <t>Əliyev Emil Eldar oğlu</t>
  </si>
  <si>
    <t>Xəlilov Emin Aydin oğlu</t>
  </si>
  <si>
    <t>Məlikli Fərid Aydın oğlu</t>
  </si>
  <si>
    <t>Vəliyeva Əminə Ceyhun qızı</t>
  </si>
  <si>
    <t>Əlizadə İlyas İbrahim oğlu</t>
  </si>
  <si>
    <t>Abdıyev Mübariz Azər oğlu</t>
  </si>
  <si>
    <t>Nuruyev Amid Amil oğlu</t>
  </si>
  <si>
    <t>Ağayev Yusif Famil oğlu</t>
  </si>
  <si>
    <t>İsmayılov Adil Elşad oğlu</t>
  </si>
  <si>
    <t>Məmmədov Tahir Mətləb oğlu</t>
  </si>
  <si>
    <t>Bəxtiyarov Bəxtiyar Teymur oğlu</t>
  </si>
  <si>
    <t>Eyvazova Nur Hüseyn qızı</t>
  </si>
  <si>
    <t>Qocayev Ayxan Ramiz oğlu</t>
  </si>
  <si>
    <t>Bağırlı Nicat Bəhruz oğlu</t>
  </si>
  <si>
    <t>Ağazadə Bəhmən Zeynal oğlu</t>
  </si>
  <si>
    <t>Məmmədov Rinat Mahir oğlu</t>
  </si>
  <si>
    <t>Həsənli Aybəniz Fərhad qızı</t>
  </si>
  <si>
    <t>Məmmədova Lətifə Vüqar qızı</t>
  </si>
  <si>
    <t xml:space="preserve">	Hüseynova Şəbnəm Niyazi qızı</t>
  </si>
  <si>
    <t>Qasımov Cavid Oqtay oğlu</t>
  </si>
  <si>
    <t>Abdullayev Hümbət Nəcəfqulu oğlu</t>
  </si>
  <si>
    <t>Əliyev Tamerlan İlqar oğlu</t>
  </si>
  <si>
    <t>İbrahimov Tərlan Allahverdi oğlu</t>
  </si>
  <si>
    <t>Gülmalova Sabina Albertovna</t>
  </si>
  <si>
    <t>Şükürov Vüsal Cavid oğlu</t>
  </si>
  <si>
    <t>Əzizli Yunis Adil oğlu</t>
  </si>
  <si>
    <t>Quluzadə Aynur Seymur qızı</t>
  </si>
  <si>
    <t>Tağıyev Eyvaz Hafiz oğlu</t>
  </si>
  <si>
    <t>Quliyev Ələkbər Rəşid oğlu</t>
  </si>
  <si>
    <t>Hüseynli Mətin Mətləb oğlu</t>
  </si>
  <si>
    <t>Bədirova Kazımova Ruqiyyə Rəsul qızı</t>
  </si>
  <si>
    <t>Əzimova Nərmin Calal qızı</t>
  </si>
  <si>
    <t>Əhmədli Nicat Dadaş oğlu</t>
  </si>
  <si>
    <t>Qarayev Teyyub Xəzər oğlu</t>
  </si>
  <si>
    <t>Salayeva Nigar Araz qızı</t>
  </si>
  <si>
    <t>Mehralı Üzeyir Vidadi oğlu</t>
  </si>
  <si>
    <t>Muradov Ramin Rayik oğlu</t>
  </si>
  <si>
    <t>Fərəci İsmayıl Mehman oğlu</t>
  </si>
  <si>
    <t>Söhbətov Rəfail Elmar oğlu</t>
  </si>
  <si>
    <t>Həsənov Xəlil Elsevər oğlu</t>
  </si>
  <si>
    <t>Kazımova Əminə Nizami qızı</t>
  </si>
  <si>
    <t>Həsənzadə Nigar Əkbər qızı</t>
  </si>
  <si>
    <t>Bədəlov Əhməd Şöhrət oğlu</t>
  </si>
  <si>
    <t>Dadaşova Ülviyyə Fikrət qızı</t>
  </si>
  <si>
    <t>Məmmədov Naxid Nadir oğlu</t>
  </si>
  <si>
    <t>Hüseynova Firəngiz Rauf qızı</t>
  </si>
  <si>
    <t>Rəsullu Xatirə Habil qızı</t>
  </si>
  <si>
    <t>KOSHMAN DMITRY</t>
  </si>
  <si>
    <t>Qurbanov Elvin Muzahim oğlu</t>
  </si>
  <si>
    <t>Məlikova Əhədli Könül Faiq qızı</t>
  </si>
  <si>
    <t>Şahbazova Şəbnəm Balabəy qızı</t>
  </si>
  <si>
    <t>Vahubova Adilə Vidadi qızı</t>
  </si>
  <si>
    <t>Namazov Orxan İlham oğlu</t>
  </si>
  <si>
    <t>Mehdizadə Mirvahid Rövşən oğlu</t>
  </si>
  <si>
    <t>Kərimov Kamran Şahmar oğlu</t>
  </si>
  <si>
    <t>Vəlizadə Hüseyn İsmayıl oğlu</t>
  </si>
  <si>
    <t>Həmidli Nərmin Arif qızı</t>
  </si>
  <si>
    <t>Səmədova Nuranə Hüseyn qızı</t>
  </si>
  <si>
    <t>Ələkbərova Solmaz Bulud qızı</t>
  </si>
  <si>
    <t>İsgəndərova Rəna Famil qızı</t>
  </si>
  <si>
    <t>Şükürlü Nərmin Əmiraslan qızı</t>
  </si>
  <si>
    <t>Qənbərova Nurgün Şaiq qızı</t>
  </si>
  <si>
    <t>Məmmədov Seyfəddin Elman oğlu</t>
  </si>
  <si>
    <t>Sərdarov Elçin İsrayıl oğlu</t>
  </si>
  <si>
    <t>Kazımova Ayxanə Əkbər qızı</t>
  </si>
  <si>
    <t>İsmayılova Səidə Fuad qızı</t>
  </si>
  <si>
    <t>Qaracayev Tuncay Hacıməmməd oğlu</t>
  </si>
  <si>
    <t>Hacıyev Sənan Babək oğlu</t>
  </si>
  <si>
    <t>Muradova Nigar Ələkbər qızı</t>
  </si>
  <si>
    <t>İsayev İsa Hafiz oğlu</t>
  </si>
  <si>
    <t>Məmmədzadə Elnarə Vüqar qızı</t>
  </si>
  <si>
    <t>Süleymanova Lalə Baxış qızı</t>
  </si>
  <si>
    <t>XXX Aygül Fəxrəddin qızı</t>
  </si>
  <si>
    <t>Əliyev Tofiq Araz oğlu</t>
  </si>
  <si>
    <t>Abbasov Nahid Rauf oğlu</t>
  </si>
  <si>
    <t>Məmmədov Toğrul Məhərrəm oğlu</t>
  </si>
  <si>
    <t>Hüseynzadə Elvin Rzaqulu oğlu</t>
  </si>
  <si>
    <t>Ramazanova Faina Faiq qızı</t>
  </si>
  <si>
    <t>Məmmədova Nigar Əhməd qızı</t>
  </si>
  <si>
    <t>Xəlilov Kənan Murtuz oğlu</t>
  </si>
  <si>
    <t>İbrahimli Nigar Əfqan qızı</t>
  </si>
  <si>
    <t>Əhmədzadə Cavidan Əli oğlu</t>
  </si>
  <si>
    <t>Aşırov Maarif Yusif oğlu</t>
  </si>
  <si>
    <t>Muradov Əli Müşfiq oğlu</t>
  </si>
  <si>
    <t>Əfəndiyeva Arifə Arif qızı</t>
  </si>
  <si>
    <t>Səmədov Namiq Asim oğlu</t>
  </si>
  <si>
    <t>Məhəmmədli Aqil Ramazan oğlu</t>
  </si>
  <si>
    <t>Zeynalov Elvin Müşfiq oğlu</t>
  </si>
  <si>
    <t>Adışova Gülşən Nail qızı</t>
  </si>
  <si>
    <t>Mirzəyeva Elmira Yaqub qızı</t>
  </si>
  <si>
    <t>Asayeva Gülxanım Yaşar qızı</t>
  </si>
  <si>
    <t>Məmmədli Türkan Elşən qızı</t>
  </si>
  <si>
    <t>Mahmudova Nərmin Şıxəli qızı</t>
  </si>
  <si>
    <t>Həsənov Fizuli Vidadi oğlu</t>
  </si>
  <si>
    <t>Ələkbərli Rüstəm Şahmalı oğlu</t>
  </si>
  <si>
    <t>Zeynalov Nicat İlqar oğlu</t>
  </si>
  <si>
    <t>Əliyev Hüseyn Məqsud oğlu</t>
  </si>
  <si>
    <t>Babayev Elçin İlqar oğlu</t>
  </si>
  <si>
    <t>Dəmirova Aysel Şakir qızı</t>
  </si>
  <si>
    <t>Əlizadə Malik Məqsəd oğlu</t>
  </si>
  <si>
    <t>Bağırova Ceyran Natiq qızı</t>
  </si>
  <si>
    <t>Zeynal Bayramova Aysel Mahir qızı</t>
  </si>
  <si>
    <t>Zakirov Nicat Azər oğlu</t>
  </si>
  <si>
    <t>İsmayılzadə Ucar Surxay oğlu</t>
  </si>
  <si>
    <t>Hüseynova Xumar Natiq qızı</t>
  </si>
  <si>
    <t>Mehdiyeva Samirə Osman qızı</t>
  </si>
  <si>
    <t>Nəbiyeva Nərmin Nail qızı</t>
  </si>
  <si>
    <t>Quluzadə Əkbər Camal oğlu</t>
  </si>
  <si>
    <t>Əskərova Nigar Malikovna</t>
  </si>
  <si>
    <t>Kərimov Fərid Səmid oğlu</t>
  </si>
  <si>
    <t>Əliyeva Nigarxanım Ələkbər qızı</t>
  </si>
  <si>
    <t>Əliyeva Aslanə Əmiraslan qızı</t>
  </si>
  <si>
    <t>Sahibli Nihad İdrak oğlu</t>
  </si>
  <si>
    <t>Məmmədəliyeva Tahirə Elxan qızı</t>
  </si>
  <si>
    <t>Həmidova Aydan Elxan qızı</t>
  </si>
  <si>
    <t>Əliyeva Aygün Nəbi qızı</t>
  </si>
  <si>
    <t>Nəbiyeva Nigar Namiq qızı</t>
  </si>
  <si>
    <t>Abbaslı Təbrik Rafail oğlu</t>
  </si>
  <si>
    <t>Yusifov Rəşad Elman oğlu</t>
  </si>
  <si>
    <t>Əliyev Kənan Asif oğlu</t>
  </si>
  <si>
    <t>Babayeva Afaq Yusif qızı</t>
  </si>
  <si>
    <t>Həsənli Araz Rəfail oğlu</t>
  </si>
  <si>
    <t>Fərzəliyev Cavid Məzahir oğlu</t>
  </si>
  <si>
    <t>Babazadə Lamiyə İsrafil qızı</t>
  </si>
  <si>
    <t>Əlizadə Sərvi İsmayıl qızı</t>
  </si>
  <si>
    <t>Qurbanov Toğrul Rasim oğlu</t>
  </si>
  <si>
    <t>Qədirov Çingiz İsaq oğlu</t>
  </si>
  <si>
    <t>Əhmədova Sara İlham qızı</t>
  </si>
  <si>
    <t>Hüseynov Rəsul Vilayət oğlu</t>
  </si>
  <si>
    <t>Məmmədova Röya Pənah qızı</t>
  </si>
  <si>
    <t>Qurbanlı Nəzrin Rəşad qızı</t>
  </si>
  <si>
    <t>Cəlilli Aysel Yusif qızı</t>
  </si>
  <si>
    <t>Şərifi Məmmədhüseyn Abbas oğlu</t>
  </si>
  <si>
    <t>İsmayılova Aynur Rafiq qızı</t>
  </si>
  <si>
    <t>Həsənova Surahi Azad qızı</t>
  </si>
  <si>
    <t>Yusifova Fəridə Yusif qızı</t>
  </si>
  <si>
    <t>Belousova Viktoriya Yuryevna</t>
  </si>
  <si>
    <t>Şəfiyeva Nəzrin Bilal qızı</t>
  </si>
  <si>
    <t>Əkbərov Fərid Məhəmməd oğlu</t>
  </si>
  <si>
    <t>Məmmədli Aysu Yasin qızı</t>
  </si>
  <si>
    <t>Şıxəliyev Hikmət Şıxəli oğlu</t>
  </si>
  <si>
    <t>Bayramzadə Xəyalə Elnur qızı</t>
  </si>
  <si>
    <t>Quliyeva Dilarə İman qızı</t>
  </si>
  <si>
    <t>Tağıyev Əli Baba oğlu</t>
  </si>
  <si>
    <t>Nadirzadə Könül Cavid qızı</t>
  </si>
  <si>
    <t>Təhməzov Abbasəli Ayaz oğlu</t>
  </si>
  <si>
    <t>Qaraxanlı Orxan Yusif oğlu</t>
  </si>
  <si>
    <t>Yusifov Emil Fərrux oğlu</t>
  </si>
  <si>
    <t>Məmmədov Araz Ramiz oğlu</t>
  </si>
  <si>
    <t>Kərimli Məhəmməd Elşən oğlu</t>
  </si>
  <si>
    <t>Seyidli Dolunay Cavid oğlu</t>
  </si>
  <si>
    <t>Xəlilli Məhsəti Nemət qızı</t>
  </si>
  <si>
    <t>Abasova Səbinə Aydın qızı</t>
  </si>
  <si>
    <t>Bağırov Fərhad Rəhim oğlu</t>
  </si>
  <si>
    <t>Manafov Etibar İftixar oğlu</t>
  </si>
  <si>
    <t>Bağırov Tənzil Kazım oğlu</t>
  </si>
  <si>
    <t>Hacımirzəyeva Aysel Hamlet qızı</t>
  </si>
  <si>
    <t>Qazıyev İlkin Anar oğlu</t>
  </si>
  <si>
    <t>Orucov Ruslan Mayis oğlu</t>
  </si>
  <si>
    <t>Hüseynov Samir Əli oğlu</t>
  </si>
  <si>
    <t>SEN BUGRA</t>
  </si>
  <si>
    <t>Səlimov Qismət Hüseyn oğlu</t>
  </si>
  <si>
    <t>Həsənzadə Azər Anar oğlu</t>
  </si>
  <si>
    <t>Əliyeva Mehriban Malik qızı</t>
  </si>
  <si>
    <t>Gözəlov Təbriz Eldar oğlu</t>
  </si>
  <si>
    <t>Rəhimov Əmir Rafail oğlu</t>
  </si>
  <si>
    <t>Aslanova Firəngiz Musa qızı</t>
  </si>
  <si>
    <t>Quliyev Cavid Müşviq oğlu</t>
  </si>
  <si>
    <t>Muradlı Kamil Anar oğlu</t>
  </si>
  <si>
    <t>Dadaşov Əhməd Əlihörmət oğlu</t>
  </si>
  <si>
    <t xml:space="preserve">	İskəndərov Rəvan Asif oğlu</t>
  </si>
  <si>
    <t>Abbasov Bəxtiyar Nazir oğlu</t>
  </si>
  <si>
    <t>İsmayıllı Ülvi Samir oğlu</t>
  </si>
  <si>
    <t>İsgəndərli Ülvi Maarif oğlu</t>
  </si>
  <si>
    <t>Nicat Şahin İlqar oğlu</t>
  </si>
  <si>
    <t>Muradov Eltun Rövşən oğlu</t>
  </si>
  <si>
    <t>Səfərov Aslan Rahib oğlu</t>
  </si>
  <si>
    <t>Haqverdiyev Ceyhun Nəzər oğlu</t>
  </si>
  <si>
    <t>Şahbəndəyeva Lalə Səhrad qızı</t>
  </si>
  <si>
    <t>Vəliyev Qasım Adil oğlu</t>
  </si>
  <si>
    <t>JAFAROVA SEVIL</t>
  </si>
  <si>
    <t>Əhmədli Fərda Namiq oğlu</t>
  </si>
  <si>
    <t>Abasov Şahmar Vasif oğlu</t>
  </si>
  <si>
    <t>Rəhmanov Cəlal İlham oğlu</t>
  </si>
  <si>
    <t>Bağırov Elşən Oruc oğlu</t>
  </si>
  <si>
    <t>Əlibəyov Ənvər Eldar oğlu</t>
  </si>
  <si>
    <t>Hacısoy Çilənay Rövşən qızı</t>
  </si>
  <si>
    <t>İbrahimova Vəfa Adgözəl qızı</t>
  </si>
  <si>
    <t>Hüseynov Cavid Rəhman oğlu</t>
  </si>
  <si>
    <t>Məmmədov Sənan Sərvər oğlu</t>
  </si>
  <si>
    <t>Zülfüqarov Heydər Elman oğlu</t>
  </si>
  <si>
    <t>İbazadə Müşfiq Əflatun oğlu</t>
  </si>
  <si>
    <t>Məmmədov Emil Elçin oğlu</t>
  </si>
  <si>
    <t>Cəfərli Qasım Əli oğlu</t>
  </si>
  <si>
    <t>Ramazanov Namin Fəqan oğlu</t>
  </si>
  <si>
    <t>Abdullayeva Xəyalə Rauf qızı</t>
  </si>
  <si>
    <t>Zeynalov Rəhim Namiq oğlu</t>
  </si>
  <si>
    <t>Süleymanov Şamil Tofik oğlu</t>
  </si>
  <si>
    <t>Kərimov Tural Məqsud oğlu</t>
  </si>
  <si>
    <t>Məmmədli Ləman Rafael qızı</t>
  </si>
  <si>
    <t>Şükürov Şamil Barat oğlu</t>
  </si>
  <si>
    <t>Haqverdiyev Ramiz Arif oğlu</t>
  </si>
  <si>
    <t>Babayev Həmid Şahin oğlu</t>
  </si>
  <si>
    <t>Quliyeva Nigar Kərəm qızı</t>
  </si>
  <si>
    <t>Cəfərov Mirzə Eldar oğlu</t>
  </si>
  <si>
    <t>Qasımov Elmin Vahid oğlu</t>
  </si>
  <si>
    <t>Mustafayeva Vəfa Bəhrəm qızı</t>
  </si>
  <si>
    <t>Rəhimli Ləman Əzəmət qızı</t>
  </si>
  <si>
    <t>Hüseynova Təhminə Namiq qızı</t>
  </si>
  <si>
    <t>Əliyev Nurhan Novruz oğlu</t>
  </si>
  <si>
    <t>Həsənzadə Ülkər Nadir qızı</t>
  </si>
  <si>
    <t>Süleymanova Rübabə Azər qızı</t>
  </si>
  <si>
    <t>Cəbrayılov Orxan Tərxan oğlu</t>
  </si>
  <si>
    <t>Hüseynli Minayə Arif qızı</t>
  </si>
  <si>
    <t>Məmmədov Hüseyn Cəfər oğlu</t>
  </si>
  <si>
    <t>ISSABAYEV NURSULTAN</t>
  </si>
  <si>
    <t>Ələsgərov Emil Ramiz oğlu</t>
  </si>
  <si>
    <t>Həsənov Asif Haxverdi oğlu</t>
  </si>
  <si>
    <t>Kərimli Leyla Qələmşah qızı</t>
  </si>
  <si>
    <t>Əliyev Rəsul Tofiq oğlu</t>
  </si>
  <si>
    <t>Ələkbərova Aytən Mübariz qızı</t>
  </si>
  <si>
    <t>Əsgərov Samir Abdulla oğlu</t>
  </si>
  <si>
    <t>Kərimli Musa İzzət oğlu</t>
  </si>
  <si>
    <t>Haciyev Rəşid Elmar oğlu</t>
  </si>
  <si>
    <t>Mehdiyeva Gülşən Vilayət qızı</t>
  </si>
  <si>
    <t>Cəfərov Renad Feyzulla oğlu</t>
  </si>
  <si>
    <t>Lətifova Fidan Rüfət qızı</t>
  </si>
  <si>
    <t>Hacıyeva Aytən Firdovsi qızı</t>
  </si>
  <si>
    <t>Bağirov Azər Məzahir oğlu</t>
  </si>
  <si>
    <t>Qasımzadə Murad İlham oğlu</t>
  </si>
  <si>
    <t>Müzəffərli Tural Zakir oğlu</t>
  </si>
  <si>
    <t>Sərkarov Ayxan Məhəmməd oğlu</t>
  </si>
  <si>
    <t>Ağayeva Möhtərəm Sədrəddin qızı</t>
  </si>
  <si>
    <t>Fərzali Güllər Sadiq qızı</t>
  </si>
  <si>
    <t>Eyvazlı Xavər İntiqam qızı</t>
  </si>
  <si>
    <t xml:space="preserve">ONYSHCHENKO ANASTASIIA </t>
  </si>
  <si>
    <t xml:space="preserve">Panova Yekaterina Vladislavovna </t>
  </si>
  <si>
    <t>Zeynallı Rəisə Uğur qızı</t>
  </si>
  <si>
    <t>Abbasov Devid Yavər oğlu</t>
  </si>
  <si>
    <t>Asayev Camal Artur oğlu</t>
  </si>
  <si>
    <t>Qasımova Zülqadə Aslan qızı</t>
  </si>
  <si>
    <t>Əsgərova Şəbnəm Ramil qızı</t>
  </si>
  <si>
    <t>Süleymanova Nuranə Şikar qızı</t>
  </si>
  <si>
    <t>Qurbanzadə Aysel Elçin qızı</t>
  </si>
  <si>
    <t>Nurmətova Hənifə Nurmət qızı</t>
  </si>
  <si>
    <t>Rüstəmova Xanım İlham qızı</t>
  </si>
  <si>
    <t>Misirli Təhminə Azər qızı</t>
  </si>
  <si>
    <t>Misrixanov Raidin Əliağa oğlu</t>
  </si>
  <si>
    <t>Səfquluzadə Sovet Nemət oğlu</t>
  </si>
  <si>
    <t>Şahnazarov Nurlan Nazim oğlu</t>
  </si>
  <si>
    <t>Babazadə Sabir Xanlar oğlu</t>
  </si>
  <si>
    <t>Rəhimli Günel Kamran qızı</t>
  </si>
  <si>
    <t>Əkbərov Elçin Yaşar oğlu</t>
  </si>
  <si>
    <t>TALANIN MIKHAIL</t>
  </si>
  <si>
    <t>Əliyeva Əminə Aslan qızı</t>
  </si>
  <si>
    <t>BULGAKOV DENIS</t>
  </si>
  <si>
    <t>USKOV MIKHAIL</t>
  </si>
  <si>
    <t>KOSTENKO ILIA</t>
  </si>
  <si>
    <t>NIKOLENKO TIMOFEI</t>
  </si>
  <si>
    <t>Kərimova Nəzrin Eldəniz qızı</t>
  </si>
  <si>
    <t>Məmmədli Elşən Mayıl oğlu</t>
  </si>
  <si>
    <t>Şirinov Qorxmaz Əmrah oğlu</t>
  </si>
  <si>
    <t>Bayramov Samir Talıb oğlu</t>
  </si>
  <si>
    <t>Xudaquliyev Hüseyn Arif oğlu</t>
  </si>
  <si>
    <t>Əliyev Mehti Famil oğlu</t>
  </si>
  <si>
    <t>Süleymanlı Yusif Adgözəl oğlu</t>
  </si>
  <si>
    <t>Həsənov Zaur Nəsir oğlu</t>
  </si>
  <si>
    <t>Aslanov Fərid Həsən oğlu</t>
  </si>
  <si>
    <t>Əhmədov Eynar Eyvaz oğlu</t>
  </si>
  <si>
    <t>Əhmədov Tamerlan Mehti oğlu</t>
  </si>
  <si>
    <t>İsrafilov Racib Telman oğlu</t>
  </si>
  <si>
    <t>Muradi Murad Ehtibar oğlu</t>
  </si>
  <si>
    <t>Mustafayev Sahib Rövşən oğlu</t>
  </si>
  <si>
    <t>Qədirli Qədir Əfqan oğlu</t>
  </si>
  <si>
    <t>Məmmədov Rəşad Oqtay oğlu</t>
  </si>
  <si>
    <t>Əhmədov Rəşad Ələkbər oğlu</t>
  </si>
  <si>
    <t>Seyidzadə Rəşadət Fazil oğlu</t>
  </si>
  <si>
    <t>Kiçibəyov Nahid Namiq oğlu</t>
  </si>
  <si>
    <t>Haqverdiyev İlqar Habil oğlu</t>
  </si>
  <si>
    <t>Nağdiyev Şahin Atabəy oğlu</t>
  </si>
  <si>
    <t>Yusibov Binnət Sadiq oğlu</t>
  </si>
  <si>
    <t>Hüseynov Fərid Fikrət oğlu</t>
  </si>
  <si>
    <t>Sadıqova Rəna İlqar qızı</t>
  </si>
  <si>
    <t>Rüstəmli Məsim Çingiz oğlu</t>
  </si>
  <si>
    <t>Yermolayev Dmitriy Vitalyeviç</t>
  </si>
  <si>
    <t>Vəliyev Arzu Ülfət oğlu</t>
  </si>
  <si>
    <t>İbrahimli Qoşqar Rövşən oğlu</t>
  </si>
  <si>
    <t>Məmmədov Toğrul İbrahim oğlu</t>
  </si>
  <si>
    <t>Ramazanova Çinarə Elşad qızı</t>
  </si>
  <si>
    <t>Məmmədli Sona Naseh qızı</t>
  </si>
  <si>
    <t>Mehdiyev Elmir Niyazi oğlu</t>
  </si>
  <si>
    <t>Salamlı Şəms Şərif qızı</t>
  </si>
  <si>
    <t>Əhmədzadə Tehranə İsmayıl qızı</t>
  </si>
  <si>
    <t>Səlimova Jalə Həsənağa qızı</t>
  </si>
  <si>
    <t>Nuriyev Aydın Məhərrəməli oğlu</t>
  </si>
  <si>
    <t>Muradlı Lütviyyə Zavur qızı</t>
  </si>
  <si>
    <t>Tağıyev Əli Vilayət oğlu</t>
  </si>
  <si>
    <t>Zülfüqarov Tural Telman oğlu</t>
  </si>
  <si>
    <t>Məmmədov Azər Vidadi oğlu</t>
  </si>
  <si>
    <t>Vəliyeva Arzu Bilal qızı</t>
  </si>
  <si>
    <t>İsmayılzadə Vüqar Rasim oğlu</t>
  </si>
  <si>
    <t>Vəliyev Süleyman Sabir oğlu</t>
  </si>
  <si>
    <t>Ağayev Rafiq Riad oğlu</t>
  </si>
  <si>
    <t>Cəfərov Əfqan Tağı oğlu</t>
  </si>
  <si>
    <t>Kişiyev Arif Nadir oğlu</t>
  </si>
  <si>
    <t>Nəsirov Fərid Mirteyyub oğlu</t>
  </si>
  <si>
    <t>Həsənli Murad Əprayıl oğlu</t>
  </si>
  <si>
    <t>İsayev Şamo Musa oğlu</t>
  </si>
  <si>
    <t>Həmidov Musa Səməd oğlu</t>
  </si>
  <si>
    <t>Ələkbərli Mirhüseyn Ehtibar oğlu</t>
  </si>
  <si>
    <t>Quluzadə Emil Rza oğlu</t>
  </si>
  <si>
    <t>Muradalı Kamandar Yaşar oğlu</t>
  </si>
  <si>
    <t>Qəniyev Səid Səyavuş oğlu</t>
  </si>
  <si>
    <t>Mehdiyev Anar Rza oğlu</t>
  </si>
  <si>
    <t>Məhəmmədli Nihad Ədalət oğlu</t>
  </si>
  <si>
    <t>İsmayılova Nuray Fərid qızı</t>
  </si>
  <si>
    <t>Zeynallı Nurlan Halay oğlu</t>
  </si>
  <si>
    <t>Zeynalov Fuad Qafar oğlu</t>
  </si>
  <si>
    <t>Cəfərzadə Araz Zaur oğlu</t>
  </si>
  <si>
    <t>Hacıyev Aydin Rüstəm oğlu</t>
  </si>
  <si>
    <t>Fəttayev Aydın Rauf oğlu</t>
  </si>
  <si>
    <t>Ocaqova Nuhran Əfqan qızı</t>
  </si>
  <si>
    <t>Kişiyeva Nərgiz Zamin qızı</t>
  </si>
  <si>
    <t>Cəfərov Sabir Məzahir oğlu</t>
  </si>
  <si>
    <t>Süleymanova Fidan Mehman qızı</t>
  </si>
  <si>
    <t>Xudayarov Ağarza Vaqif oğlu</t>
  </si>
  <si>
    <t>Məhərrəmov Fərhad Vüqar oğlu</t>
  </si>
  <si>
    <t>Cerial Surac Bharat oğlu</t>
  </si>
  <si>
    <t>Ağazadə Əmrah Nazim oğlu</t>
  </si>
  <si>
    <t>Sultanov Ruslan Osman oğlu</t>
  </si>
  <si>
    <t>Mustafayev Kamran Vladimiroviç</t>
  </si>
  <si>
    <t>Mehdiyev Mehdi Namiq oğlu</t>
  </si>
  <si>
    <t>Namazov Nizami Namaz oğlu</t>
  </si>
  <si>
    <t>İsazadə Hacı Bəhram oğlu</t>
  </si>
  <si>
    <t>Qasımov Anar Hafiz oğlu</t>
  </si>
  <si>
    <t>Ataxanov Vüsal Elxan oğlu</t>
  </si>
  <si>
    <t>Məmmədzadə Cəlal Elxan oğlu</t>
  </si>
  <si>
    <t>Geyuşova Fidan Fazil qızı</t>
  </si>
  <si>
    <t>Mustafazadə Fərid Xalid oğlu</t>
  </si>
  <si>
    <t>Daşdəmirov Asim Simran oğlu</t>
  </si>
  <si>
    <t>Babayev Elmar Elyar oğlu</t>
  </si>
  <si>
    <t>Orucov Tərlan Nasir oğlu</t>
  </si>
  <si>
    <t>Vəliyev Adil Vəli oğlu</t>
  </si>
  <si>
    <t>Elifov Məhəmməd İbramoviç</t>
  </si>
  <si>
    <t>Dadayev Ruslan Abdulla oğlu</t>
  </si>
  <si>
    <t>ZIIADKHANLY ZAUR</t>
  </si>
  <si>
    <t>Əliyev Sərxan Zahid oğlu</t>
  </si>
  <si>
    <t>Qreçnev Vadim Aleksandroviç</t>
  </si>
  <si>
    <t>Əkbərov Əli Rauf oğlu</t>
  </si>
  <si>
    <t>Əzimov Emil Yalçın oğlu</t>
  </si>
  <si>
    <t>Həsənov Zamin İlham oğlu</t>
  </si>
  <si>
    <t>Əliyev Zamiq Əliağa oğlu</t>
  </si>
  <si>
    <t>Qasımov Kamran Bəxtiyar oğlu</t>
  </si>
  <si>
    <t>İsrafilov Aqşin Ramiz oğlu</t>
  </si>
  <si>
    <t>Quliyev Əli Raquf oğlu</t>
  </si>
  <si>
    <t>ZHASLAN BAYGASKIN</t>
  </si>
  <si>
    <t>Hüseynzadə Emin İlqar oğlu</t>
  </si>
  <si>
    <t>Quliyev Elçin Xosrov oğlu</t>
  </si>
  <si>
    <t>Haşımzadə Ramin Rasim oğlu</t>
  </si>
  <si>
    <t>Alyasov Əşrəf Tofiq oğlu</t>
  </si>
  <si>
    <t>Yeroşin Anton Mixayloviç</t>
  </si>
  <si>
    <t>Məmmədov Babək Qalib oğlu</t>
  </si>
  <si>
    <t>Əfəndiyev Rəşad Məhəmməd oğlu</t>
  </si>
  <si>
    <t>Qurbanov Elnur Tofiq oğlu</t>
  </si>
  <si>
    <t>Səlimli Asim Muxtar oğlu</t>
  </si>
  <si>
    <t>Əsgərov Əsgər Səməd oğlu</t>
  </si>
  <si>
    <t>Bayramov İlham Nəriman oğlu</t>
  </si>
  <si>
    <t>Qabullu Murad Səməd oğlu</t>
  </si>
  <si>
    <t>Dəmirov Nicat İmran oğlu</t>
  </si>
  <si>
    <t>Məmmədov İnad Sahib oğlu</t>
  </si>
  <si>
    <t>Teymurov Ərşad Etibar oğlu</t>
  </si>
  <si>
    <t>Əliyev Elvin Elçin oğlu</t>
  </si>
  <si>
    <t>Qazıyev Həmid Samir oğlu</t>
  </si>
  <si>
    <t>Köçərli Fərhad Nazim oğlu</t>
  </si>
  <si>
    <t>Nurəliyev Fərid Kamran oğlu</t>
  </si>
  <si>
    <t>Əliyev İbrahim Hüseyn oğlu</t>
  </si>
  <si>
    <t>Kərimli Məmmədrza Aslan oğlu</t>
  </si>
  <si>
    <t>FEDOROVA OLGA</t>
  </si>
  <si>
    <t>Həmidzadə Qəşəm Rövşən oğlu</t>
  </si>
  <si>
    <t>Əmrahlı Tərlan Bəxtəvər oğlu</t>
  </si>
  <si>
    <t>Əliyev Ruslan Novruzəli oğlu</t>
  </si>
  <si>
    <t>Bağırov İsmi Qabil oğlu</t>
  </si>
  <si>
    <t>İsayev Nicat Elşən oğlu</t>
  </si>
  <si>
    <t>Piriyev Azər Lətif oğlu</t>
  </si>
  <si>
    <t>Umudov Həsən Hafiz oğlu</t>
  </si>
  <si>
    <t>LUGAMANOV ROMAN</t>
  </si>
  <si>
    <t>Qədirov Ceyhun Çərkəz oğlu</t>
  </si>
  <si>
    <t>Əfrasiyab Hüseyn Xaqani oğlu</t>
  </si>
  <si>
    <t>Panyuşev Sergey Borisoviç</t>
  </si>
  <si>
    <t>Paşayev Fərid Qabil oğlu</t>
  </si>
  <si>
    <t>Süleymanov Qurban Şaban oğlu</t>
  </si>
  <si>
    <t>İsmayılova Məryəm Faiq qızı</t>
  </si>
  <si>
    <t>Əliyev Aslan Asif oğlu</t>
  </si>
  <si>
    <t>Dursunova Səidə Əfqan qızı</t>
  </si>
  <si>
    <t>Vəliyev Məharət Ələddin oğlu</t>
  </si>
  <si>
    <t>Zeynalov Səməd Rövşən oğlu</t>
  </si>
  <si>
    <t>Səmədov Murad Zahir oğlu</t>
  </si>
  <si>
    <t>Xəlilov Ceyhun Cəsarət oğlu</t>
  </si>
  <si>
    <t>Babayev Saiq Səyavuş oğlu</t>
  </si>
  <si>
    <t>Bayramov Fərid Telman oğlu</t>
  </si>
  <si>
    <t>Hüseynov Etibar Vüqar oğlu</t>
  </si>
  <si>
    <t>Ələkbərov Vüsal Eldar oğlu</t>
  </si>
  <si>
    <t>Məmmədov Kənan Mahur oğlu</t>
  </si>
  <si>
    <t>Heydərov Murad Cəfər oğlu</t>
  </si>
  <si>
    <t>Əliyev Çinar Adil oğlu</t>
  </si>
  <si>
    <t>Mahmudov Elvin Mədəd oğlu</t>
  </si>
  <si>
    <t>Seyidli Səyyad Oktay oğlu</t>
  </si>
  <si>
    <t>Ağalarlı Yusif Elmar oğlu</t>
  </si>
  <si>
    <t>Qurbanlı Şamil Mətləb oğlu</t>
  </si>
  <si>
    <t>AKHMETSHIN FARKHAD</t>
  </si>
  <si>
    <t>Abdullayev Fəxrəddin Səttar oğlu</t>
  </si>
  <si>
    <t>Abdullayev Abdulla Rafiq oğlu</t>
  </si>
  <si>
    <t>Cəfərli Saleh Ayaz oğlu</t>
  </si>
  <si>
    <t>Saruxanov Polad Əliyar oğlu</t>
  </si>
  <si>
    <t>Süleymanov Murad Eldəniz oğlu</t>
  </si>
  <si>
    <t>Məmmədrzayeva Arzu Alyar qızı</t>
  </si>
  <si>
    <t>İsmayılov Samir Səbuhi oğlu</t>
  </si>
  <si>
    <t>Babayev Əkbər Əlvan oğlu</t>
  </si>
  <si>
    <t>Adıgözəlov Orxan İlqar oğlu</t>
  </si>
  <si>
    <t>Mustafayeva Elnarə Elxan qızı</t>
  </si>
  <si>
    <t>Məmmədli Şəhriyar Həmid oğlu</t>
  </si>
  <si>
    <t>Xəlilbəyli Nizami Cəmil oğlu</t>
  </si>
  <si>
    <t>Rəhmanova Zümrüd İmran qızı</t>
  </si>
  <si>
    <t>Səmədzadə Səməd Süleyman oğlu</t>
  </si>
  <si>
    <t>Hüseynova Gülzar Rizvan qızı</t>
  </si>
  <si>
    <t>İbrahimov Yusif Samir oğlu</t>
  </si>
  <si>
    <t>Məhərrəmli Günay Əkrəm qızı</t>
  </si>
  <si>
    <t>Əliyeva Məryəm Pəhlivan qızı</t>
  </si>
  <si>
    <t>DAVYDOV GEORGIY</t>
  </si>
  <si>
    <t>Şirinov Rövşən Nizami oğlu</t>
  </si>
  <si>
    <t>Məmmədov Xəzri Fazil oğlu</t>
  </si>
  <si>
    <t>Ağazadə Aidə İbrahim qızı</t>
  </si>
  <si>
    <t>IAREMCHENKO ALEKSANDR</t>
  </si>
  <si>
    <t>Əfəndiyev Camaləddin Vasif oğlu</t>
  </si>
  <si>
    <t>İsmayılova Fidan İlkin qızı</t>
  </si>
  <si>
    <t>Şükürov Zaur Məhəmməd oğlu</t>
  </si>
  <si>
    <t>Nağıyev Həsən Vahid oğlu</t>
  </si>
  <si>
    <t>Əmrahov Ayxan Azər oğlu</t>
  </si>
  <si>
    <t>KULIKOV ANDREI</t>
  </si>
  <si>
    <t>PEROV IVAN</t>
  </si>
  <si>
    <t>MUMINOV TIMUR MARATOVICH</t>
  </si>
  <si>
    <t xml:space="preserve">MURZIN SVIATOSLAV </t>
  </si>
  <si>
    <t>Qasımov Elçin Yusif oğlu</t>
  </si>
  <si>
    <t>Süleymanlı Elşad Süleyman oğlu</t>
  </si>
  <si>
    <t>Paşayev Hüseyn Gündüz oğlu</t>
  </si>
  <si>
    <t>Quliyev Həbib Şahin oğlu</t>
  </si>
  <si>
    <t>Şirinov İbrahim Şeyix oğlu</t>
  </si>
  <si>
    <t>Ağakişiyeva Günel Samir qızı</t>
  </si>
  <si>
    <t>Əliyev Rüfət Sadıx oğlu</t>
  </si>
  <si>
    <t>Rəhimov Rəfi Zakir oğlu</t>
  </si>
  <si>
    <t>Nəzərov Cavid Mehman oğlu</t>
  </si>
  <si>
    <t>Cəlilzadə Hafisə Natiq qızı</t>
  </si>
  <si>
    <t>Hüseynəliyev Əli Nazim oğlu</t>
  </si>
  <si>
    <t>Hüseynov Vildan Yaşar oğlu</t>
  </si>
  <si>
    <t>Rəsulzadə İmran Telman oğlu</t>
  </si>
  <si>
    <t>Hacımuradov Üzeyir Nazim oğlu</t>
  </si>
  <si>
    <t>Təhmasib Şəfiq Məmmədhüseyn oğlu</t>
  </si>
  <si>
    <t>Əliyev Samir Vüsal oğlu</t>
  </si>
  <si>
    <t>Mahmudov Musa Fuad oğlu</t>
  </si>
  <si>
    <t>Balabəyli Həmid Balabəy oğlu</t>
  </si>
  <si>
    <t>Əliyev Zülfüqar Tofiq oğlu</t>
  </si>
  <si>
    <t>Mikayılova Nərgiz Rövşən qızı</t>
  </si>
  <si>
    <t>Quluzadə Namiq Müvəkkil oğlu</t>
  </si>
  <si>
    <t>Həsənov Tahir Nazim oğlu</t>
  </si>
  <si>
    <t>Süleymanlı Nəzrin Niyazi qızı</t>
  </si>
  <si>
    <t>Zeynallı Şəfa İbrahim qızı</t>
  </si>
  <si>
    <t>Məmmədli Şəhriyar Ələsgər oğlu</t>
  </si>
  <si>
    <t>SADIGOV AKHMED</t>
  </si>
  <si>
    <t>İbrahimov Fuad Ziya oğlu</t>
  </si>
  <si>
    <t>Bəşirzadə Ömər Arif oğlu</t>
  </si>
  <si>
    <t>İsmayılov İsmayıl Həsənağa oğlu</t>
  </si>
  <si>
    <t>Ağayev Ağa Polad oğlu</t>
  </si>
  <si>
    <t>İsmayılov Adil Qabil oğlu</t>
  </si>
  <si>
    <t xml:space="preserve">Hüseynzadə Aytən Rufatovna </t>
  </si>
  <si>
    <t>Babayev Əsgər Salman oğlu</t>
  </si>
  <si>
    <t>Abdullayev Xaqani Bəkulla oğlu</t>
  </si>
  <si>
    <t>Rəhimov Vüsal Mahir oğlu</t>
  </si>
  <si>
    <t>Fərəcli Şəms Ziyafət qızı</t>
  </si>
  <si>
    <t>İskəndərov İsrafil Fikrət oğlu</t>
  </si>
  <si>
    <t>Abdullayev Murad Dadaş oğlu</t>
  </si>
  <si>
    <t>Qədirov Murad Kamran oğlu</t>
  </si>
  <si>
    <t>Əliyev Murad Rza oğlu</t>
  </si>
  <si>
    <t>İsmayılova Nərminə Elxan qızı</t>
  </si>
  <si>
    <t>Xan-zadə Aynurə Əsədağa qızı</t>
  </si>
  <si>
    <t>Hümbətova Bahar Fəxrəddin qızı</t>
  </si>
  <si>
    <t>Həsənov Rəşad Əlövsət oğlu</t>
  </si>
  <si>
    <t>İsmayılov İlkin Fuad oğlu</t>
  </si>
  <si>
    <t>Nəcəfov Fərhad İlham oğlu</t>
  </si>
  <si>
    <t>Bayramova Nübar Faiq qızı</t>
  </si>
  <si>
    <t>Kərimli Məmməd İzzət oğlu</t>
  </si>
  <si>
    <t>Əliyev Sahib Arif oğlu</t>
  </si>
  <si>
    <t>Axundova Ləman Ramin qızı</t>
  </si>
  <si>
    <t>Təhməzli Təhmasib Təhməz oğlu</t>
  </si>
  <si>
    <t>Qeybullayev Murad Qiyaməddin oğlu</t>
  </si>
  <si>
    <t>Qədiməliyev Yusif Sahib oğlu</t>
  </si>
  <si>
    <t>Yusibov Nadir Bəxtiyar oğlu</t>
  </si>
  <si>
    <t>Manafov Nicat Elçin oğlu</t>
  </si>
  <si>
    <t>Saçkov Ruslan Vitalyeviç</t>
  </si>
  <si>
    <t>Əliyev Tural Fikrət oğlu</t>
  </si>
  <si>
    <t>Tağıyeva Aysu Habil qızı</t>
  </si>
  <si>
    <t>Bəkirova Vüsalə Hamlet qızı</t>
  </si>
  <si>
    <t>RADZEVIL ANDRII</t>
  </si>
  <si>
    <t>Xalıqov Rəşad Mayıl oğlu</t>
  </si>
  <si>
    <t>İbrahimov Elxan Səfər oğlu</t>
  </si>
  <si>
    <t>Zeynalov Ümid Rafət oğlu</t>
  </si>
  <si>
    <t>Hüseynov Fərid Kamil oğlu</t>
  </si>
  <si>
    <t>Ağayeva Fidan Sabir qızı</t>
  </si>
  <si>
    <t>Bəbirov Emin Allahyar oğlu</t>
  </si>
  <si>
    <t>Əliyeva Leyla Sabutay qızı</t>
  </si>
  <si>
    <t>Rüstəmov Elvin Bahadır oğlu</t>
  </si>
  <si>
    <t>Vəliyeva Solmaz Həsən qızı</t>
  </si>
  <si>
    <t>Orucov Oruc Müslüm oğlu</t>
  </si>
  <si>
    <t>Məhərrəmov Samir Babəli oğlu</t>
  </si>
  <si>
    <t>Yarəhmədov Vüqar Vüqar oğlu</t>
  </si>
  <si>
    <t>Hüseynov İlqar Xanlar oğlu</t>
  </si>
  <si>
    <t>Tahirov Məhərrəm Dövlət oğlu</t>
  </si>
  <si>
    <t>Cavadov Vüsal Roman oğlu</t>
  </si>
  <si>
    <t>Nəbiyev İlqar Vaqif oğlu</t>
  </si>
  <si>
    <t>Tariquliyev Aqşin Asəf oğlu</t>
  </si>
  <si>
    <t>Klimaşev Aleksandr Sergeyeviç</t>
  </si>
  <si>
    <t>Yermolayev Mixail Konstantinoviç</t>
  </si>
  <si>
    <t xml:space="preserve">Zeynalova Violetta Tofikovna </t>
  </si>
  <si>
    <t>Hüseynli İsaq Ramiz oğlu</t>
  </si>
  <si>
    <t>Burlov İqor Andreyeviç</t>
  </si>
  <si>
    <t>Xəlilov Fərid Fəxrəddin oğlu</t>
  </si>
  <si>
    <t>Əsədullayeva Firəngiz Kamran qızı</t>
  </si>
  <si>
    <t>Annenko Vadim Mixayloviç</t>
  </si>
  <si>
    <t>Süleymanzadə Sara Əli qızı</t>
  </si>
  <si>
    <t>Əliyev Xasay Niftalı oğlu</t>
  </si>
  <si>
    <t>Xankişiyeva Gülnar Əliqismət qızı</t>
  </si>
  <si>
    <t>Kərimova Sona Ələddin qızı</t>
  </si>
  <si>
    <t>Jinaidov Rüfət Rüstəm oğlu</t>
  </si>
  <si>
    <t>Mustafayev Natiq Hamlet oğlu</t>
  </si>
  <si>
    <t>Əlili Kamran Niyaməddin oğlu</t>
  </si>
  <si>
    <t>Mehtizadə Nurlan Yaşar oğlu</t>
  </si>
  <si>
    <t>Sadıqov Mirsadiq Yasər oğlu</t>
  </si>
  <si>
    <t>Əliyev Fuad Rüstəm oğlu</t>
  </si>
  <si>
    <t>TROSHIN SERGEI</t>
  </si>
  <si>
    <t>Bədəlov Qulu Rauf oğlu</t>
  </si>
  <si>
    <t>Rəsulzadə Rəsul Elman oğlu</t>
  </si>
  <si>
    <t>Hacızadə Rüfət Zaur oğlu</t>
  </si>
  <si>
    <t>Əhmədli Səməd Fikrət oğlu</t>
  </si>
  <si>
    <t>Mirzəzadə Allahşükür Ələsgər oğlu</t>
  </si>
  <si>
    <t>Məmmədli Vüqar Sahib oğlu</t>
  </si>
  <si>
    <t>Hüseynli Orxan Kazım oğlu</t>
  </si>
  <si>
    <t>Vəliyev Teymur Əzizağa oğlu</t>
  </si>
  <si>
    <t xml:space="preserve">Hacıəliyev Aleksey Aleksandroviç </t>
  </si>
  <si>
    <t>Əhədov Hüseyn Elman</t>
  </si>
  <si>
    <t>Bəylərli Babək Hüseyn oğlu</t>
  </si>
  <si>
    <t>Məmmədov Ramil Elxan oğlu</t>
  </si>
  <si>
    <t>Yusifov Məhəmməd Azər oğlu</t>
  </si>
  <si>
    <t>Qasımzadə Elgün Əli oğlu</t>
  </si>
  <si>
    <t>Fəsadov Rəşid Rəhim oğlu</t>
  </si>
  <si>
    <t>Gülməmmədli Füzuli Rüfət oğlu</t>
  </si>
  <si>
    <t>Zeynalov Sabir Xalıq oğlu</t>
  </si>
  <si>
    <t>Şükürov Valeh Pənah oğlu</t>
  </si>
  <si>
    <t>Musayev Samir Mayıl oğlu</t>
  </si>
  <si>
    <t>Sucayev Şahin Mehman oğlu</t>
  </si>
  <si>
    <t>Abasov Tərlan Eldar oğlu</t>
  </si>
  <si>
    <t>Mahmudova Şəhanə Natiq qızı</t>
  </si>
  <si>
    <t>DRESVIANNIKOV IGOR</t>
  </si>
  <si>
    <t>Eminov Nihad İlqar oğlu</t>
  </si>
  <si>
    <t>Nəbi Elsun İlqar oğlu</t>
  </si>
  <si>
    <t>JAMALOV SHAMIL</t>
  </si>
  <si>
    <t>Zodorova Aytən Məhəmməd qızı</t>
  </si>
  <si>
    <t>Mustafayev Mustafa Ceyhun oğlu</t>
  </si>
  <si>
    <t>Kərimli Sadiq Şahin oğlu</t>
  </si>
  <si>
    <t>Quliyev Turqud Firudun oğlu</t>
  </si>
  <si>
    <t>Baxşızadə Nicat Elşad oğlu</t>
  </si>
  <si>
    <t>Mehtiyev Cəfər Laçın oğlu</t>
  </si>
  <si>
    <t>Şibliyev Murad Əliyar oğlu</t>
  </si>
  <si>
    <t>Lətifli Rəvan Ənvər oğlu</t>
  </si>
  <si>
    <t>Ağayev Asiman Arzu oğlu</t>
  </si>
  <si>
    <t>Hacı Sənan Eldar oğlu</t>
  </si>
  <si>
    <t>Hüseynli Elvin Arif oğlu</t>
  </si>
  <si>
    <t>Cəfərli İsmət Natiq oğlu</t>
  </si>
  <si>
    <t>Həsənov Seymur Xəqani oğlu</t>
  </si>
  <si>
    <t>İbrahimzadə Samir Nemət oğlu</t>
  </si>
  <si>
    <t>Eyyubov Nəsib Qürbət oğlu</t>
  </si>
  <si>
    <t>Əliyev Murad Rəşad oğlu</t>
  </si>
  <si>
    <t>Seyidzadə Miribrahim Mirzəli oğlu</t>
  </si>
  <si>
    <t>Mikayılov Hikmət Xıdır oğlu</t>
  </si>
  <si>
    <t>Rəsulzadə Yunis Rəsul oğlu</t>
  </si>
  <si>
    <t>Hacıyeva Rübabə Bəxtiyar qızı</t>
  </si>
  <si>
    <t>Abaszadə Tərlan Səməd oğlu</t>
  </si>
  <si>
    <t>Dadaşov Əli Etibar oğlu</t>
  </si>
  <si>
    <t>Əliyev Murad Azər oğlu</t>
  </si>
  <si>
    <t>Səlimli Orxan Xəqani oğlu</t>
  </si>
  <si>
    <t>Yunuslu Miryunus Anar oğlu</t>
  </si>
  <si>
    <t>İslamzadə İsmayıl Fuad oğlu</t>
  </si>
  <si>
    <t>İbrahimli Kənan Vidadi oğlu</t>
  </si>
  <si>
    <t>İsrafilov Mehdi Müşviq oğlu</t>
  </si>
  <si>
    <t>Xan-zadə Hacıbala Şirxan oğlu</t>
  </si>
  <si>
    <t>Əhməd-zadə İnam Gəray oğlu</t>
  </si>
  <si>
    <t>Cəfərov Əli Tələt oğlu</t>
  </si>
  <si>
    <t>Qurbanova Natavan Əhməd qızı</t>
  </si>
  <si>
    <t>İbrahimli Elmar Nəriman oğlu</t>
  </si>
  <si>
    <t>Məmmədova Nəzrin Tahir qızı</t>
  </si>
  <si>
    <t>Dəvrişov Roman Saqif oğlu</t>
  </si>
  <si>
    <t>Seyidov Əliağa Əliağa oğlu</t>
  </si>
  <si>
    <t>Dolxanova Nəzrin İmamverdi qızı</t>
  </si>
  <si>
    <t>Rzazadə Zəhra Elşad qızı</t>
  </si>
  <si>
    <t>Abbasəliyev Cavid Anar oğlu</t>
  </si>
  <si>
    <t>Qədirli Babək İlham oğlu</t>
  </si>
  <si>
    <t>Əmrahov Əsgər Faiq oğlu</t>
  </si>
  <si>
    <t>Babazadə Elnur İslam oğlu</t>
  </si>
  <si>
    <t>Pirizadə Bəxtiyar İmamxan oğlu</t>
  </si>
  <si>
    <t>Kərimli Orxan Namiq oğlu</t>
  </si>
  <si>
    <t>Əlizadə Kənan Nəsimi oğlu</t>
  </si>
  <si>
    <t>Vəliyeva Natəvan Qismət qızı</t>
  </si>
  <si>
    <t>Ağakərimov Yusif Xalid oğlu</t>
  </si>
  <si>
    <t>Qafarov Kənan Emin oğlu</t>
  </si>
  <si>
    <t>Şirizadə Rəşad Mehman oğlu</t>
  </si>
  <si>
    <t>Ağayev Aydın Adilşah oğlu</t>
  </si>
  <si>
    <t>Cəfərli Məhəmməd Lütviyar oğlu</t>
  </si>
  <si>
    <t>Əmiraslanlı Ərkan Fərhad oğlu</t>
  </si>
  <si>
    <t>Bəşirov Ülvi Samir oğlu</t>
  </si>
  <si>
    <t>Qasımov Bayram Sübhanoviç</t>
  </si>
  <si>
    <t>Vəliyev Tərxan Mahir oğlu</t>
  </si>
  <si>
    <t>Ayvazova Aytən Elmar qızı</t>
  </si>
  <si>
    <t>Əlişov Məhəmməd Vüqar oğlu</t>
  </si>
  <si>
    <t>Xəlilov Murad Azər oğlu</t>
  </si>
  <si>
    <t>Qəhrəmanov Araz Sultan oğlu</t>
  </si>
  <si>
    <t>ERMOLAEV MIKHAIL</t>
  </si>
  <si>
    <t>Əzizov Elnur Rövşən oğlu</t>
  </si>
  <si>
    <t>Tahirli Tahir Elşad oğlu</t>
  </si>
  <si>
    <t>Şıxəliyev Anar Səfaqəddin oğlu</t>
  </si>
  <si>
    <t>Yusifova Aysel Mübariz qızı</t>
  </si>
  <si>
    <t>Mirzəyev Murad Vüqar oğlu</t>
  </si>
  <si>
    <t>Əliyeva Nərmin Xəyyam qızı</t>
  </si>
  <si>
    <t>İsmayılov Vüsal Arif oğlu</t>
  </si>
  <si>
    <t>İsmayılova Gülər Salman qızı</t>
  </si>
  <si>
    <t>Əhmədov Məhəmməd Azəroviç</t>
  </si>
  <si>
    <t>Babayev İlkin Şahin oğlu</t>
  </si>
  <si>
    <t>Hüseynli Nərmin Vasif qızı</t>
  </si>
  <si>
    <t>Salayev İlyaz Mahir oğlu</t>
  </si>
  <si>
    <t>Qəzvini Fərid Talıb oğlu</t>
  </si>
  <si>
    <t>Kərimov Bəxtiyar Vahid oğlu</t>
  </si>
  <si>
    <t>Popov Vladislav Sergeyeviç</t>
  </si>
  <si>
    <t>Quluzadə Ülvi Yalçın oğlu</t>
  </si>
  <si>
    <t>Allahverdiyev Elmin Rafiq oğlu</t>
  </si>
  <si>
    <t>Novruzov Eldar Rafiq oğlu</t>
  </si>
  <si>
    <t>Hüseynov Nurlan Ədalət oğlu</t>
  </si>
  <si>
    <t>Məmmədov Nurlan Əli oğlu</t>
  </si>
  <si>
    <t>Alqayev Taleh Tahir oğlu</t>
  </si>
  <si>
    <t>Qazıxanov Ceyhun Gülməhəmməd oğlu</t>
  </si>
  <si>
    <t>Şükürov Elgün Saleh oğlu</t>
  </si>
  <si>
    <t>Zeynalov Elgiz Hafiz oğlu</t>
  </si>
  <si>
    <t>Cəfərov Rəsul Şahin oğlu</t>
  </si>
  <si>
    <t>Nəsirov İlqar Rəsul oğlu</t>
  </si>
  <si>
    <t>Həsənli Musa Böyükağa oğlu</t>
  </si>
  <si>
    <t>Vəlibəyli İdris Firdovsi oğlu</t>
  </si>
  <si>
    <t>Qəhrəmanov Rüstəm Zalış oğlu</t>
  </si>
  <si>
    <t>Xəlilov Elnur Hakim oğlu</t>
  </si>
  <si>
    <t>Hüseynova Aytac İmam qızı</t>
  </si>
  <si>
    <t>İsaxanlı Kənan İsaxan oğlu</t>
  </si>
  <si>
    <t>Mehdiyev Süleyman Elxan oğlu</t>
  </si>
  <si>
    <t>Kərimzadə Abuzər Əbülfət oğlu</t>
  </si>
  <si>
    <t>Abbasov Mirəli Elman oğlu</t>
  </si>
  <si>
    <t>Hüseynzadə Əlşan Əlizamin oğlu</t>
  </si>
  <si>
    <t>Əliağayev Rahil Rahim oğlu</t>
  </si>
  <si>
    <t>Mahmudov Hikmət Lətif oğlu</t>
  </si>
  <si>
    <t>Süleymanlı Emil Qəhrəman oğlu</t>
  </si>
  <si>
    <t>Süleymanov Asiman Zakir oğlu</t>
  </si>
  <si>
    <t>Ağayeva Nərgiz Vüqar qızı</t>
  </si>
  <si>
    <t>Rəhmanov Həsən Zahir oğlu</t>
  </si>
  <si>
    <t>Quluzadə Fərid Arif oğlu</t>
  </si>
  <si>
    <t>Eminov Pərviz İman oğlu</t>
  </si>
  <si>
    <t>Əsədzadə Cümşüd Məhəbbət oğlu</t>
  </si>
  <si>
    <t>Mahmudov Elgün Mədəd oğlu</t>
  </si>
  <si>
    <t>Əhmədli Kənan Fazil oğlu</t>
  </si>
  <si>
    <t>İsgəndərov Nadir Rüfət oğlu</t>
  </si>
  <si>
    <t>Abbaslı Əli İlham oğlu</t>
  </si>
  <si>
    <t>Nəsirli Əbülfət Faiq oğlu</t>
  </si>
  <si>
    <t>Ələkbərov Ələkbər Saqif oğlu</t>
  </si>
  <si>
    <t>Seyfullayev Emin Şəmsəddin oğlu</t>
  </si>
  <si>
    <t>Siracov Ümid Aydın oğlu</t>
  </si>
  <si>
    <t>Rəhimli Pərvin Vaqif oğlu</t>
  </si>
  <si>
    <t>İsmayılov Bahad Niyazi oğlu</t>
  </si>
  <si>
    <t>Əhmədov Musa Tərlan oğlu</t>
  </si>
  <si>
    <t>Mahmudova Nigar Elxan qızı</t>
  </si>
  <si>
    <t>Abdullayev Yunis Vidadi oğlu</t>
  </si>
  <si>
    <t>Yunusov Etibar Bəxtiyar oğlu</t>
  </si>
  <si>
    <t>Orucov Asif Arif oğlu</t>
  </si>
  <si>
    <t>Şahbazov Məmmədəli Azad oğlu</t>
  </si>
  <si>
    <t>Abdullayeva Ülviyyə Dilqəm qızı</t>
  </si>
  <si>
    <t>Hacıyev Elnur Elçin oğlu</t>
  </si>
  <si>
    <t>Məhərrəmov Rövşən Vaqif oğlu</t>
  </si>
  <si>
    <t>Balıyev Fərid Telman oğlu</t>
  </si>
  <si>
    <t>Hacıyev Yusif Cavanşir oğlu</t>
  </si>
  <si>
    <t>Səlimzadə Natiq Xurşud oğlu</t>
  </si>
  <si>
    <t>Kazımov Yunus Şahin oğlu</t>
  </si>
  <si>
    <t>Abdullayev Rüfan İsmayıl oğlu</t>
  </si>
  <si>
    <t>Təhməzov Əsgər Vüqar oğlu</t>
  </si>
  <si>
    <t>Məmmədov Xətai Qalib oğlu</t>
  </si>
  <si>
    <t>Əhmədov Anar Nasir oğlu</t>
  </si>
  <si>
    <t>Zeynallı İlkin Tehran oğlu</t>
  </si>
  <si>
    <t>Novruzov Məlik Rüfət oğlu</t>
  </si>
  <si>
    <t>Əliyev Əli Cavanşir oğlu</t>
  </si>
  <si>
    <t>GULIEV GUSEIN</t>
  </si>
  <si>
    <t>Sabitov Rauf Faikoviç</t>
  </si>
  <si>
    <t>İsayev Aydın İlqar oğlu</t>
  </si>
  <si>
    <t>Süleymanov Ülvü Pərviz oğlu</t>
  </si>
  <si>
    <t>Misirli Müslüm Yaqub oğlu</t>
  </si>
  <si>
    <t>Salahov Cavid Adil oğlu</t>
  </si>
  <si>
    <t>Bayramov Namiq Vaqif oğlu</t>
  </si>
  <si>
    <t>Məmmədli Nigar Utarid qızı</t>
  </si>
  <si>
    <t>Fərəcov Xəyal Mübariz oğlu</t>
  </si>
  <si>
    <t>Hacıyev Pənah Rəhman oğlu</t>
  </si>
  <si>
    <t>Səmədov Orxan Telman oğlu</t>
  </si>
  <si>
    <t>Əsədzadə Rahəddin Natiq oğlu</t>
  </si>
  <si>
    <t>Bağırov Murad Rasim oğlu</t>
  </si>
  <si>
    <t>Kərimov Emil Mahir oğlu</t>
  </si>
  <si>
    <t>Quluzadə Şahmar Elmar oğlu</t>
  </si>
  <si>
    <t>Ələkbərli Əli Həsən oğlu</t>
  </si>
  <si>
    <t>Yunusova Pərvanə Rahib qızı</t>
  </si>
  <si>
    <t>Heydəroğlu İsa Heydər oğlu</t>
  </si>
  <si>
    <t>Həsənov Vüqar Laçın oğlu</t>
  </si>
  <si>
    <t>Məmmədov Cavid İlqar oğlu</t>
  </si>
  <si>
    <t>Cavadov Cavad Aydın oğlu</t>
  </si>
  <si>
    <t>Xəlilova Zəhraxanım Zahir qızı</t>
  </si>
  <si>
    <t>CAGLAYAN AHMET</t>
  </si>
  <si>
    <t>Məmmədov Elmin Nizami oğlu</t>
  </si>
  <si>
    <t>Qədirli Cavidan İlham oğlu</t>
  </si>
  <si>
    <t>Əliyev Pərviz Həsən oğlu</t>
  </si>
  <si>
    <t>Qurbanov Qurban Aydəmir oğlu</t>
  </si>
  <si>
    <t>Məmmədova Səfixanova Sevinc Şəfali qızı</t>
  </si>
  <si>
    <t>Məmmədov Aslan Maarif oğlu</t>
  </si>
  <si>
    <t>Nəsrullayev Əli Çingiz oğlu</t>
  </si>
  <si>
    <t>Əliyev Kamran Zöhrab oğlu</t>
  </si>
  <si>
    <t>Babazadə İbrahim Malik oğlu</t>
  </si>
  <si>
    <t>Həmzəyev Fərid Davudoviç</t>
  </si>
  <si>
    <t>Quliyev Orxan Vilayət oğlu</t>
  </si>
  <si>
    <t>Şirinov Cahangir Etibar oğlu</t>
  </si>
  <si>
    <t>Əliyev Rahil Ədalət oğlu</t>
  </si>
  <si>
    <t>Hüseynov Anar Ceyhun oğlu</t>
  </si>
  <si>
    <t>Bağırov Seyid-Kənan Mir Kamal oğlu</t>
  </si>
  <si>
    <t>Bədirxanlı Cavad Zahid oğlu</t>
  </si>
  <si>
    <t>Yusifli Tural Nazim oğlu</t>
  </si>
  <si>
    <t>Həsənov Zaur Saleh oğlu</t>
  </si>
  <si>
    <t>Məmmədzadə Kərim Xəliyəddin oğlu</t>
  </si>
  <si>
    <t>Həbibov Nahid Fikrət oğlu</t>
  </si>
  <si>
    <t>Əşrəfov Tağı Məzahir oğlu</t>
  </si>
  <si>
    <t>Ağayev Aydın Zöhrab oğlu</t>
  </si>
  <si>
    <t>Adaşov Fərid Zeynal oğlu</t>
  </si>
  <si>
    <t>İslamzadə Vüsal Sabit oğlu</t>
  </si>
  <si>
    <t>Məmmədli Həmzə Tofik oğlu</t>
  </si>
  <si>
    <t>Kərimli Şahmar Fəxrəddin oğlu</t>
  </si>
  <si>
    <t>Aslanlı Fəqan Ərəstun oğlu</t>
  </si>
  <si>
    <t>Quliyeva Ləman Rüfət qızı</t>
  </si>
  <si>
    <t>Məmmədov Elnur Firudin oğlu</t>
  </si>
  <si>
    <t>Həsənli Xəyalə Asəf qızı</t>
  </si>
  <si>
    <t>Rəsulzadə Cavidan Kazım oğlu</t>
  </si>
  <si>
    <t>Mustafayev Cavidan Elçin oğlu</t>
  </si>
  <si>
    <t>Mədinəli Aqil İlqar oğlu</t>
  </si>
  <si>
    <t>Babayev Ramil Eldar oğlu</t>
  </si>
  <si>
    <t>İsmayılov Murad Arzu oğlu</t>
  </si>
  <si>
    <t>Əsədov Nazim Babək oğlu</t>
  </si>
  <si>
    <t>Babayev Kamran Vüqar oğlu</t>
  </si>
  <si>
    <t>Mustafayev Üzeyir Hidayət oğlu</t>
  </si>
  <si>
    <t>Tağıyev Ziyadxan Bektur oğlu</t>
  </si>
  <si>
    <t>Paşazadə Müzəffər Azər oğlu</t>
  </si>
  <si>
    <t>Abdullayev İlkin Teyfur oğlu</t>
  </si>
  <si>
    <t>BAKHTIAROV NOVRUZ</t>
  </si>
  <si>
    <t>Göyüşov Zaur Kamran oğlu</t>
  </si>
  <si>
    <t>SAFARLI LALA</t>
  </si>
  <si>
    <t>Səfərov Asim Gülməmməd oğlu</t>
  </si>
  <si>
    <t>Xəlilova Şəbnəm Daməd qızı</t>
  </si>
  <si>
    <t>Hüseynli Əkbər Mülatif oğlu</t>
  </si>
  <si>
    <t>Şirməmmədli Əlisahib Quzeir oğlu</t>
  </si>
  <si>
    <t>Vəliyev Pərviz Feruz oğlu</t>
  </si>
  <si>
    <t>Qədirli Qismət Əliağa oğlu</t>
  </si>
  <si>
    <t>Əşrəfov Ülvi Mirkazım oğlu</t>
  </si>
  <si>
    <t>Mikayılov Orxan Etibar oğlu</t>
  </si>
  <si>
    <t>İbrahimzadə İbrahim Mayis oğlu</t>
  </si>
  <si>
    <t>Əsədzadə Vüqar Afət oğlu</t>
  </si>
  <si>
    <t>Vəlizadə Kamran Nazim oğlu</t>
  </si>
  <si>
    <t>Məmmədov Amin Güloğlan oğlu</t>
  </si>
  <si>
    <t>Vəliyev Murad Mirzə oğlu</t>
  </si>
  <si>
    <t>Əlizadə Qurban Elxan oğlu</t>
  </si>
  <si>
    <t>Nəcəfov Ülvi Eldəniz oğlu</t>
  </si>
  <si>
    <t>Əliyev Qismət Mehman oğlu</t>
  </si>
  <si>
    <t>Nağıyev Dərya Tofiq oğlu</t>
  </si>
  <si>
    <t>Şixiyev İlqar Həbib oğlu</t>
  </si>
  <si>
    <t>Hacıxanov Ehtiram Hacıxan oğlu</t>
  </si>
  <si>
    <t>Hüseynov Ülvi Vüqar oğlu</t>
  </si>
  <si>
    <t>Məmmədli Əbdülrəhman Süleyman oğlu</t>
  </si>
  <si>
    <t>Əhmədov Kamil Bəxtiyar oğlu</t>
  </si>
  <si>
    <t>Məmmədəliyev Elfaq Kərim oğlu</t>
  </si>
  <si>
    <t>Appayev Sahil Təhməz oğlu</t>
  </si>
  <si>
    <t>İslamov Rüstəm Niyazi oğlu</t>
  </si>
  <si>
    <t>Əhmədova Arzu Hüseyn qızı</t>
  </si>
  <si>
    <t>Rəhimova Aydan Aydın qızı</t>
  </si>
  <si>
    <t>Süleymanova Nərminə Behruz qızı</t>
  </si>
  <si>
    <t>Bəkirzadə Nicat Seyfəddin oğlu</t>
  </si>
  <si>
    <t>Qənbərov Eltunc Qulu oğlu</t>
  </si>
  <si>
    <t>Şükür-zadə Azər Məclum oğlu</t>
  </si>
  <si>
    <t>Paşayev Rauf Ramazan oğlu</t>
  </si>
  <si>
    <t>Nəbizadə Natavan Cəmil qızı</t>
  </si>
  <si>
    <t>Sədirxanova Nəzrin Aqşin qızı</t>
  </si>
  <si>
    <t>GRIGOREV PAVEL</t>
  </si>
  <si>
    <t>Ağamalıyeva Nahidə Elçin qızı</t>
  </si>
  <si>
    <t>Quluzadə Nəzrin Ceyhun qızı</t>
  </si>
  <si>
    <t>Həsənli Mədinə Hikmət qızı</t>
  </si>
  <si>
    <t>Əhmədov Əli İlham oğlu</t>
  </si>
  <si>
    <t>Hacıyev Cavid Cabir oğlu</t>
  </si>
  <si>
    <t>Abbaslı Təhminə Mahir qızı</t>
  </si>
  <si>
    <t>Məmmədrzayev Aslan Elçin oğlu</t>
  </si>
  <si>
    <t>Həşimov Rəşad Ramazan oğlu</t>
  </si>
  <si>
    <t>Emçiyev Abdulla Hacımurad oğlu</t>
  </si>
  <si>
    <t>Xəlilova Sürayyə Mais qızı</t>
  </si>
  <si>
    <t>Kərimli Gülnisə Şahin qızı</t>
  </si>
  <si>
    <t>Səfərəli Aysu Vüqar qızı</t>
  </si>
  <si>
    <t>Əliyev Eldar Şirəli oğlu</t>
  </si>
  <si>
    <t>Mazayev Timur Robertoviç</t>
  </si>
  <si>
    <t>Məmmədov Natiq Zülfüqar oğlu</t>
  </si>
  <si>
    <t>Nəsibli Murad İlqar oğlu</t>
  </si>
  <si>
    <t>Məmmədov Kərim Marks oğlu</t>
  </si>
  <si>
    <t>İbrahimzadə Aysel İlqar qızı</t>
  </si>
  <si>
    <t>Qurbanov Amin Tehran oğlu</t>
  </si>
  <si>
    <t>Kalujnikov Vladimir İvanoviç</t>
  </si>
  <si>
    <t>Həsənov Cavid Müşfiq oğlu</t>
  </si>
  <si>
    <t>Əliyev Rauf Arif oğlu</t>
  </si>
  <si>
    <t>Məmmədli Cümşüd Mais oğlu</t>
  </si>
  <si>
    <t>Rzayeva Ayşən Şakir qızı</t>
  </si>
  <si>
    <t>Əliyev Ramil Elçin oğlu</t>
  </si>
  <si>
    <t>Həşimova Günay Mübariz qızı</t>
  </si>
  <si>
    <t>Cəbiyev Cavid Sabit oğlu</t>
  </si>
  <si>
    <t>Şıxəlizadə Amin Hamil oğlu</t>
  </si>
  <si>
    <t>Hüseynov Səbuhi Samir oğlu</t>
  </si>
  <si>
    <t>Məsiyev Anar Araz oğlu</t>
  </si>
  <si>
    <t>Camalov Elvin Aqil oğlu</t>
  </si>
  <si>
    <t>Əliəsgərli Ələkbər İsmayıl oğlu</t>
  </si>
  <si>
    <t>Şükürbəyli Turan Mövlan oğlu</t>
  </si>
  <si>
    <t>Həmidbəyli Həmid Sərxan oğlu</t>
  </si>
  <si>
    <t>Xələfov Elvin Şəfaqət oğlu</t>
  </si>
  <si>
    <t>Dəmirli Zəka Zahid oğlu</t>
  </si>
  <si>
    <t>Qasımov Rəşad Elburus oğlu</t>
  </si>
  <si>
    <t>Əmirov Amil Araz oğlu</t>
  </si>
  <si>
    <t>Əmirov Cəsarət Tahir oğlu</t>
  </si>
  <si>
    <t>Teymurlu Rəşid Rafiq oğlu</t>
  </si>
  <si>
    <t>Hacıyev Asif Bəxtiyar oğlu</t>
  </si>
  <si>
    <t>Əliyev Novruz Fikrət oğlu</t>
  </si>
  <si>
    <t>Məmmədəliyev Nadir Niyar oğlu</t>
  </si>
  <si>
    <t>Əhmədova Nigar Vüqar qızı</t>
  </si>
  <si>
    <t>Lixmanova Kamila Tahir qızı</t>
  </si>
  <si>
    <t>Qurbanzadə Fidan Cövdət qızı</t>
  </si>
  <si>
    <t>Mahmudov Emil Zakir oğlu</t>
  </si>
  <si>
    <t>Həşimov Rauf Malik oğlu</t>
  </si>
  <si>
    <t>Kərimli Tərlan Abdulxalıq oğlu</t>
  </si>
  <si>
    <t>Hüseynova Sürəyya Həzrətbulud qızı</t>
  </si>
  <si>
    <t>İslamlı Tural İslam oğlu</t>
  </si>
  <si>
    <t>Kərimli Rüfət Fazil oğlu</t>
  </si>
  <si>
    <t>Quliyev Aydın Kazım oğlu</t>
  </si>
  <si>
    <t>Əsədov Valeh Oqtay oğlu</t>
  </si>
  <si>
    <t>Ağayev Əşrəf Azər oğlu</t>
  </si>
  <si>
    <t>Mürsəliyeva Şəlalə Eldəniz qızı</t>
  </si>
  <si>
    <t>Kərimov Eldar Valeh oğlu</t>
  </si>
  <si>
    <t>Umuxanov Şahin Tağı oğlu</t>
  </si>
  <si>
    <t>Məmmədov Məhəmməd Şahin oğlu</t>
  </si>
  <si>
    <t>Mehdiyev Elşad Sərvər oğlu</t>
  </si>
  <si>
    <t>Məmmədli Gürşad Məhəmməd oğlu</t>
  </si>
  <si>
    <t>Abasov Səxavət Nəcasil oğlu</t>
  </si>
  <si>
    <t>Mehmandarova Nərmin Azər qızı</t>
  </si>
  <si>
    <t>Qurbanlı Aysu Azər qızı</t>
  </si>
  <si>
    <t>Əsədova Ləman Sərkar qızı</t>
  </si>
  <si>
    <t>Ağayeva Vüsalə Tərlan qızı</t>
  </si>
  <si>
    <t>MURADOV RUSLAN</t>
  </si>
  <si>
    <t>Cəfərov Vüqar Qəzənfər oğlu</t>
  </si>
  <si>
    <t>Əliyev Elmdar Yadigar oğlu</t>
  </si>
  <si>
    <t>Hüseynzadə Qalib Nicat oğlu</t>
  </si>
  <si>
    <t>GRIGOREV ALEKSANDR</t>
  </si>
  <si>
    <t>Kərimov Ülvi Söhbət oğlu</t>
  </si>
  <si>
    <t>Ağayev Kamal Şahin oğlu</t>
  </si>
  <si>
    <t>Yusifli Mahmud Yusif oğlu</t>
  </si>
  <si>
    <t>MIRZOYEV RAUF</t>
  </si>
  <si>
    <t>Cavadov Ayxan Nofəl oğlu</t>
  </si>
  <si>
    <t>Qurbanbəyov Tələt Ehtibar oğlu</t>
  </si>
  <si>
    <t>Yusifli Pərvin Bəhruz oğlu</t>
  </si>
  <si>
    <t>SAPHAROVA LAMIA</t>
  </si>
  <si>
    <t>İsgəndərli Rəsul Qabil oğlu</t>
  </si>
  <si>
    <t>Novruzova Samirə Ceyhun qızı</t>
  </si>
  <si>
    <t>Əliağayeva Türkan Sadiq qızı</t>
  </si>
  <si>
    <t>Məmmədova Qumral Hamlet qızı</t>
  </si>
  <si>
    <t>Zeynallı Zöhrab Zeynal oğlu</t>
  </si>
  <si>
    <t>İbrahimova Aytac Ramiz qızı</t>
  </si>
  <si>
    <t>Güləliyev Elnur Füzuli oğlu</t>
  </si>
  <si>
    <t>Asdanlı Vüqar Mərdan oğlu</t>
  </si>
  <si>
    <t>Tağıyev İsmayıl Qurban oğlu</t>
  </si>
  <si>
    <t>Eyvazov Teymur Dəmir oğlu</t>
  </si>
  <si>
    <t>Alverdiyev Nicat Saleh oğlu</t>
  </si>
  <si>
    <t>Vahidli Ceyran Xanım Mehman qızı</t>
  </si>
  <si>
    <t>Qasımov İskəndər Marif oğlu</t>
  </si>
  <si>
    <t>Gülüşov Xəyal Kifayət oğlu</t>
  </si>
  <si>
    <t>Məmmədov Rafail Fariz oğlu</t>
  </si>
  <si>
    <t>Sazonov Denis Dmitriyeviç</t>
  </si>
  <si>
    <t>Həşimov Əlvan Tərlan oğlu</t>
  </si>
  <si>
    <t>Rəhimova Sahilə Çapay qızı</t>
  </si>
  <si>
    <t>Həşimzadə Şəbnəm Rza qızı</t>
  </si>
  <si>
    <t>Şirəli Şəms Şirin qızı</t>
  </si>
  <si>
    <t>Həbibova Elnarə İlqar qızı</t>
  </si>
  <si>
    <t>Mirzəyev İdrak Müslüm oğlu</t>
  </si>
  <si>
    <t>Alıyev Yusif Adil oğlu</t>
  </si>
  <si>
    <t>Paşayev Ümidadil Ceyhun oğlu</t>
  </si>
  <si>
    <t>Ağayev Aydın Nasir oğlu</t>
  </si>
  <si>
    <t>Xəlilzadə Valeh Tahir oğlu</t>
  </si>
  <si>
    <t>Abbasov Qəhrəman Zahid oğlu</t>
  </si>
  <si>
    <t>Hacızadə Nərmin Əlövsəd qızı</t>
  </si>
  <si>
    <t>MAMEDOV SHAKHRIARI</t>
  </si>
  <si>
    <t>Şərifzadə Yaqut Rəcəb qızı</t>
  </si>
  <si>
    <t>Əhmədova Kəmalə Vüqar qızı</t>
  </si>
  <si>
    <t>Babayeva Məryam Ağabəy qızı</t>
  </si>
  <si>
    <t>Əliyev Aqil Həsən oğlu</t>
  </si>
  <si>
    <t xml:space="preserve">ZEYNALOV RUSLAN </t>
  </si>
  <si>
    <t>Məmmədov Emil Məmməd oğlu</t>
  </si>
  <si>
    <t>Qurbanlı Elçin Fezulla oğlu</t>
  </si>
  <si>
    <t>Gülməmmədova Nərmin Bəxtiyar qızı</t>
  </si>
  <si>
    <t>İsmayılov Ehtimad Ehtiram oğlu</t>
  </si>
  <si>
    <t>Gözəlova Leyla Rasim qızı</t>
  </si>
  <si>
    <t>Abdullayev Murad Sabit oğlu</t>
  </si>
  <si>
    <t xml:space="preserve">	Əliyeva Nəzrin Elsevər qızı</t>
  </si>
  <si>
    <t>Hümmətov Asif Asəf oğlu</t>
  </si>
  <si>
    <t>Mehdizadə Afiq Nazim oğlu</t>
  </si>
  <si>
    <t>Quliyeva Fatma Natiq qızı</t>
  </si>
  <si>
    <t>Ələkbərli Nihad Nəsimi oğlu</t>
  </si>
  <si>
    <t>Ərəbov Əhməd İlham oğlu</t>
  </si>
  <si>
    <t>Məmmədova Səidə Fərman qızı</t>
  </si>
  <si>
    <t>Hüseynzadə Türkan Hikmət qızı</t>
  </si>
  <si>
    <t xml:space="preserve">	AGAEV KIAMRAN  </t>
  </si>
  <si>
    <t>İsmayıl-Həsən-zadə Səma Tofiq qızı</t>
  </si>
  <si>
    <t>Qarayeva Ülviyyə Valeh qızı</t>
  </si>
  <si>
    <t>Bəkirova Elmira Rasim qızı</t>
  </si>
  <si>
    <t>Abbasova Günay Cəlil qızı</t>
  </si>
  <si>
    <t>Əli-zadə Aidə Ulduz qızı</t>
  </si>
  <si>
    <t>Quliyeva Səbinə Ülfət qızı</t>
  </si>
  <si>
    <t>Süleymanov Azər Abbas oğlu</t>
  </si>
  <si>
    <t>GAMIDOV ILGAR</t>
  </si>
  <si>
    <t>Güləhmədzadə Bayram Rasim oğlu</t>
  </si>
  <si>
    <t>Səlimov Murad Pərviz oğlu</t>
  </si>
  <si>
    <t>Süleymanov Orxan Rəfail oğlu</t>
  </si>
  <si>
    <t>Nəcəfov Vedat Sadiq oğlu</t>
  </si>
  <si>
    <t>Gülməmmədli Elvin Çingiz oğlu</t>
  </si>
  <si>
    <t>Əhmədzadə Nuray Rasim qızı</t>
  </si>
  <si>
    <t>Mirzəyev Murad Ramiz oğlu</t>
  </si>
  <si>
    <t>Muradov Cavad Arzu oğlu</t>
  </si>
  <si>
    <t>Novruzova Nərmin Sahib qızı</t>
  </si>
  <si>
    <t>Məmmədova Elnarə Eldar qızı</t>
  </si>
  <si>
    <t>Əliyev Tərlan Tofiq oğlu</t>
  </si>
  <si>
    <t>Məmmədova Şəhla Elşən qızı</t>
  </si>
  <si>
    <t>Əlizadə Zaur Nazim oğlu</t>
  </si>
  <si>
    <t>Mahmudova Aynur Xaqani qızı</t>
  </si>
  <si>
    <t>Rzayev Mahir Orucəli oğlu</t>
  </si>
  <si>
    <t>Hümbətova Aynur Tərlan qızı</t>
  </si>
  <si>
    <t>Orucova Nigar Elşad qızı</t>
  </si>
  <si>
    <t>Səlimov Tural Şahin oğlu</t>
  </si>
  <si>
    <t>Əliyeva Aynur Sədaqət qızı</t>
  </si>
  <si>
    <t>Rəsulzadə Şəms Müzəffər qızı</t>
  </si>
  <si>
    <t>Axundova Mədinə Nizami qızı</t>
  </si>
  <si>
    <t>Əbdülrəhmanova Aytac Mərahim qızı</t>
  </si>
  <si>
    <t>Məmmədova Ləman Afik qızı</t>
  </si>
  <si>
    <t>Paşazadə Natəvan Toğrul qızı</t>
  </si>
  <si>
    <t>Novruzova Günay Altay qızı</t>
  </si>
  <si>
    <t>Əlizadə Ayşə Xəlil qızı</t>
  </si>
  <si>
    <t>Aslanlı Arzu Zülfüqar qızı</t>
  </si>
  <si>
    <t>Babayev Ayaz Gündüz oğlu</t>
  </si>
  <si>
    <t>Hacıyev Elmin Qurban oğlu</t>
  </si>
  <si>
    <t>Abbaszadə Nicat Arzuman oğlu</t>
  </si>
  <si>
    <t>Bayramov Asif Yusif oğlu</t>
  </si>
  <si>
    <t>Daşdəmirova Nərmin Simran qızı</t>
  </si>
  <si>
    <t>Qasımova Çinarə Xəyal qızı</t>
  </si>
  <si>
    <t>Ağayev Məhəmməd Ramiz oğlu</t>
  </si>
  <si>
    <t>Arıxov Cuma Abdulla oğlu</t>
  </si>
  <si>
    <t>Mehtizadə Səfurə Aqşin qızı</t>
  </si>
  <si>
    <t>Zeynalov Nicat Elçin oğlu</t>
  </si>
  <si>
    <t>Rəhimli Fikrət Məhərrəm oğlu</t>
  </si>
  <si>
    <t>Mahmudlu Mirzə Etibar oğlu</t>
  </si>
  <si>
    <t>Ağazadə Azər Şahin oğlu</t>
  </si>
  <si>
    <t>Abdullayeva Əminə Ramin qızı</t>
  </si>
  <si>
    <t>Məmmədova Aytac Seymur qızı</t>
  </si>
  <si>
    <t>Əliyev Orxan Vüqar oğlu</t>
  </si>
  <si>
    <t>Babayev Nicat Vüqar oğlu</t>
  </si>
  <si>
    <t>Əli-zadə Səbinə Surxay qızı</t>
  </si>
  <si>
    <t>Qəhrəmanova Gülüzü Məsim qızı</t>
  </si>
  <si>
    <t>Həsənova Aytac Fədai qızı</t>
  </si>
  <si>
    <t>Nəsirli Günay Faiq qızı</t>
  </si>
  <si>
    <t>İbrahimli Valeh Əli oğlu</t>
  </si>
  <si>
    <t>Cabbarlı Ülviyyə Cavanşir qızı</t>
  </si>
  <si>
    <t>Ələkbərov Rəşid Bulud oğlu</t>
  </si>
  <si>
    <t>Bayramova Elnarə Vilayət qızı</t>
  </si>
  <si>
    <t>Canbaxşiyev Teymur Əbil oğlu</t>
  </si>
  <si>
    <t>Talıbzadə Toğrul Mirzə Ağa oğlu</t>
  </si>
  <si>
    <t>Novruzova Aysel Aydın qızı</t>
  </si>
  <si>
    <t>Əliyeva Kamila Nailovna</t>
  </si>
  <si>
    <t>Məmmədli Kərəm Lətif oğlu</t>
  </si>
  <si>
    <t>Paşayeva Şəhla Nuraf qızı</t>
  </si>
  <si>
    <t>Allahverdiyeva Nərmin Azər qızı</t>
  </si>
  <si>
    <t>Feyzullazadə İbrahim Ziyad oğlu</t>
  </si>
  <si>
    <t>Fərzullasoy Tengiz Qəyyum oğlu</t>
  </si>
  <si>
    <t>Vahidov Vahid Ağamustafa oğlu</t>
  </si>
  <si>
    <t>Vəliyev Rüfət Rahim oğlu</t>
  </si>
  <si>
    <t>Hümmətli Vəfa Əfrayıl qızı</t>
  </si>
  <si>
    <t>İbrahimov İbrahim Rəfail oğlu</t>
  </si>
  <si>
    <t>Eyubova Aynur Arzuman qızı</t>
  </si>
  <si>
    <t>Əhmədzadə Murad Talibzadə oğlu</t>
  </si>
  <si>
    <t>İbrahimova Günel İsrəfil qızı</t>
  </si>
  <si>
    <t>Cəbiyeva Aytəkin Valeh qızı</t>
  </si>
  <si>
    <t>Mehdiyeva Gülnar Mənsurlı İdris qızı</t>
  </si>
  <si>
    <t>Bəşirova Sona Saleh qızı</t>
  </si>
  <si>
    <t>İsmayılova Ləman İlqar qızı</t>
  </si>
  <si>
    <t>Kərimov Rauf Azər oğlu</t>
  </si>
  <si>
    <t xml:space="preserve">MIKHEEVA ALEKSANDRA </t>
  </si>
  <si>
    <t>Məmmədzadə Cəmilə Fədail qızı</t>
  </si>
  <si>
    <t>Ağayev Ənvər Samir oğlu</t>
  </si>
  <si>
    <t>Mirzəyeva İnara Ruslan qızı</t>
  </si>
  <si>
    <t>Rəhimli Gülnar Mübariz qızı</t>
  </si>
  <si>
    <t>Qayıbov Nicat Samir oğlu</t>
  </si>
  <si>
    <t>Eminbəyli Süleyman Şakir oğlu</t>
  </si>
  <si>
    <t>Rəhmanova Rəşidə Əbülfət qızı</t>
  </si>
  <si>
    <t>Sadıqova Nilufər İzzət qızı</t>
  </si>
  <si>
    <t>Ağayev Qulam Ağa oğlu</t>
  </si>
  <si>
    <t>Əlizadə Sürayyə Şəmsi qızı</t>
  </si>
  <si>
    <t>Əsgərli Azadə Araz qızı</t>
  </si>
  <si>
    <t>Məhərrəmli Aynurə Nazim qızı</t>
  </si>
  <si>
    <t>KASAVETS NATALIYA</t>
  </si>
  <si>
    <t>Fərzəliyeva Nərgiz Azər qızı</t>
  </si>
  <si>
    <t>Abbasova Əsmər Vaqif qızı</t>
  </si>
  <si>
    <t>Səməndər-Zadə Nigar-Xanım Mir-Məhəmməd qızı</t>
  </si>
  <si>
    <t>Əliyeva Fəridə Məmməd qızı</t>
  </si>
  <si>
    <t>Xankişiyeva Vüsalə Rüstəm qızı</t>
  </si>
  <si>
    <t>Quliyev Nurlan Dadaş oğlu</t>
  </si>
  <si>
    <t>Məmmədzadə Kənan Hacı oğlu</t>
  </si>
  <si>
    <t>Tağıyev Ceyhun Allahverdi oğlu</t>
  </si>
  <si>
    <t>Mirzəli Fidan Ramis qızı</t>
  </si>
  <si>
    <t>Əlfidatlı Aynur Teyyub qızı</t>
  </si>
  <si>
    <t xml:space="preserve">Gülməhəmmədov Nurlan Ələddinoviç </t>
  </si>
  <si>
    <t>İsmayılova Şövkət Qabil qızı</t>
  </si>
  <si>
    <t>Məmmədova Nərmin Sabir qızı</t>
  </si>
  <si>
    <t>Əlişova Gülşən Kərim qızı</t>
  </si>
  <si>
    <t>Rəisli Ülvi Həsən oğlu</t>
  </si>
  <si>
    <t>Mustafayev Haqverdi Azər oğlu</t>
  </si>
  <si>
    <t>Nəsirov Babək Ənvər oğlu</t>
  </si>
  <si>
    <t>Kərimli Kərim Qalib oğlu</t>
  </si>
  <si>
    <t>Qasımxanova Səidə Xanlar qızı</t>
  </si>
  <si>
    <t>Ağayeva Aysel Şərafət qızı</t>
  </si>
  <si>
    <t>Bayramova Pərişan İlham qızı</t>
  </si>
  <si>
    <t>Məlikzadə Bahar Bəybala qızı</t>
  </si>
  <si>
    <t>Paşayev Yusif Bəxtiyar oğlu</t>
  </si>
  <si>
    <t>Nağıyeva Lamiyə Gündüz qızı</t>
  </si>
  <si>
    <t>Rəhimova Leyla Cəfər qızı</t>
  </si>
  <si>
    <t>Şabanov Kamran Fizuli oğlu</t>
  </si>
  <si>
    <t>Hacıyeva Nigar Nəvai qızı</t>
  </si>
  <si>
    <t>Əhmədov Nəriman Ayaz oğlu</t>
  </si>
  <si>
    <t>Əliyev Emin Təmkin oğlu</t>
  </si>
  <si>
    <t>Şirinov Fariz Malik oğlu</t>
  </si>
  <si>
    <t>Rzayeva Günay Rauf qızı</t>
  </si>
  <si>
    <t>Ağayeva Aysel Teymur qızı</t>
  </si>
  <si>
    <t>Cəfərov Emil Habil oğlu</t>
  </si>
  <si>
    <t>Məmmədov Fuad Bəxtiyar oğlu</t>
  </si>
  <si>
    <t>Cabbarov Murad Tofiq oğlu</t>
  </si>
  <si>
    <t>Vəlizadə Fəridə Zahid qızı</t>
  </si>
  <si>
    <t>Musayev Rüstəm Rüfət oğlu</t>
  </si>
  <si>
    <t>Məmmədov Qoşqar Hamlet oğlu</t>
  </si>
  <si>
    <t>Əzimova Fəridə Əyyub qızı</t>
  </si>
  <si>
    <t>Əzizov Asim Vəzir oğlu</t>
  </si>
  <si>
    <t>İbrahimova Aliyə Toğrul qızı</t>
  </si>
  <si>
    <t>Kazımova Ruziyə Elbrus qızı</t>
  </si>
  <si>
    <t>Kazımov Arif Sədrəddin oğlu</t>
  </si>
  <si>
    <t>İsayev Məmmədəli Səfail oğlu</t>
  </si>
  <si>
    <t>Kazımov Murad Akif oğlu</t>
  </si>
  <si>
    <t>Əliyev Elvin Əbülfət oğlu</t>
  </si>
  <si>
    <t>Sadıqov Zakir Rahib oğlu</t>
  </si>
  <si>
    <t>Qasımova Ayşən Nazim qızı</t>
  </si>
  <si>
    <t>Hüseynova Elnarə Ramiz qızı</t>
  </si>
  <si>
    <t>Sulxayeva Nərmin Mübariz qızı</t>
  </si>
  <si>
    <t>Muradov Kamil Əhmədəli oğlu</t>
  </si>
  <si>
    <t>Quliyeva Sərfinaz Zeynal qızı</t>
  </si>
  <si>
    <t>Məmmədov Nicat İlqar oğlu</t>
  </si>
  <si>
    <t>Şxiyev Məhəmməd Bayram oğlu</t>
  </si>
  <si>
    <t>Ağazadə Naidə Zaur qızı</t>
  </si>
  <si>
    <t>Əjdərov Orxan Hafis oğlu</t>
  </si>
  <si>
    <t>Quluyev Nicat Rahib oğlu</t>
  </si>
  <si>
    <t>Nəbiyeva Firuzə Ataş qızı</t>
  </si>
  <si>
    <t>Abdullayeva Aygün Hidayət qızı</t>
  </si>
  <si>
    <t>Gözəlova Mehri Mehdi qızı</t>
  </si>
  <si>
    <t>Əmiraslanova Könül Salman qızı</t>
  </si>
  <si>
    <t>Tuzov Vladislav Yuryeviç</t>
  </si>
  <si>
    <t>Vəlixanova Cəmilə Amil qızı</t>
  </si>
  <si>
    <t>Səlimova Gülarə Kərim qızı</t>
  </si>
  <si>
    <t xml:space="preserve">	Xalıqov Rövşən Elşən oğlu</t>
  </si>
  <si>
    <t>Əhmədova Şirinxanum Ələkbər qızı</t>
  </si>
  <si>
    <t>Nəbiyev Mirfeyzi Əsgər oğlu</t>
  </si>
  <si>
    <t>Nağıyeva Aytəm Əmir qızı</t>
  </si>
  <si>
    <t>Şibliyeva Nigar Mustafa qızı</t>
  </si>
  <si>
    <t>Babayeva Arzu Qiyas qızı</t>
  </si>
  <si>
    <t>Məmmədova Səbinə Elmar qızı</t>
  </si>
  <si>
    <t>Məhərrəmli Elnarə Nazim qızı</t>
  </si>
  <si>
    <t>Dənziyev Mircüneyd Akif oğlu</t>
  </si>
  <si>
    <t>Cəfərli Aysel Arif qızı</t>
  </si>
  <si>
    <t>Əkbərova Sifayə Hacıbaba qızı</t>
  </si>
  <si>
    <t>Sucayeva Pərvin Adıgözəl qızı</t>
  </si>
  <si>
    <t>Qurbanzadə İlahə Mənsur qızı</t>
  </si>
  <si>
    <t>Əlizadə Elvin Asiman oğlu</t>
  </si>
  <si>
    <t>Kərim Əli Paşa oğlu</t>
  </si>
  <si>
    <t>Məhərrəmova Aysun Canpolad qızı</t>
  </si>
  <si>
    <t>Yusifova Ülviyyə Cəlil qızı</t>
  </si>
  <si>
    <t>Şirəliyeva Aytəkin Vüqar qızı</t>
  </si>
  <si>
    <t>Mehdiyeva Aygül Natiq qızı</t>
  </si>
  <si>
    <t>Əlizadə Mehriban Bakir qızı</t>
  </si>
  <si>
    <t>Əliyeva Aidə Əli qızı</t>
  </si>
  <si>
    <t>Vəliyev Heydər Rafik oğlu</t>
  </si>
  <si>
    <t>Paşayeva Nərgiz İlham qızı</t>
  </si>
  <si>
    <t>Quliyev Məhəmməd Şakir oğlu</t>
  </si>
  <si>
    <t>Əliyeva Türkanə Adil qızı</t>
  </si>
  <si>
    <t>Məmmədzadə Ülvi İlham oğlu</t>
  </si>
  <si>
    <t>Əhmədov Qalib Muraz oğlu</t>
  </si>
  <si>
    <t>Kərimov Fuad Azad oğlu</t>
  </si>
  <si>
    <t>Qasımov Emil İlhamoviç</t>
  </si>
  <si>
    <t>Hacı-Həsənzadə Gülistan Rafik qızı</t>
  </si>
  <si>
    <t>Maqsudov Seyfəddin Davud oğlu</t>
  </si>
  <si>
    <t>Muradov Alı Ədalət oğlu</t>
  </si>
  <si>
    <t>Abdullayev Fərid Fəxrəddin oğlu</t>
  </si>
  <si>
    <t>Şıxılı Elmin Mirəli oğlu</t>
  </si>
  <si>
    <t>Hacıyeva Fatimə Eldəniz qızı</t>
  </si>
  <si>
    <t>İsmayılov Nicat Bəxdiyar oğlu</t>
  </si>
  <si>
    <t>Rəcəbova Zöhrə Hikmət qızı</t>
  </si>
  <si>
    <t>Lətifli Elmira Qalib qızı</t>
  </si>
  <si>
    <t>Əhədov Qərib Lazım oğlu</t>
  </si>
  <si>
    <t>Quliyev Ruslan Etibar oğlu</t>
  </si>
  <si>
    <t>Məmmədov Amil Aley oğlu</t>
  </si>
  <si>
    <t>Abbasov Fuad İsmayıl oğlu</t>
  </si>
  <si>
    <t>Sərdarlı Aysel Rauf qızı</t>
  </si>
  <si>
    <t>Əliyeva Afaq Konfrans qızı</t>
  </si>
  <si>
    <t>Mehdiyev Rəşad Rafael oğlu</t>
  </si>
  <si>
    <t>Əliyeva Ləman Zümrat qızı</t>
  </si>
  <si>
    <t>Bəndəliyev Sərxan Faiq oğlu</t>
  </si>
  <si>
    <t>Hacıyeva Könül Zahid qızı</t>
  </si>
  <si>
    <t>Həsənov Bəhruz Rza oğlu</t>
  </si>
  <si>
    <t>Heydərov Vahid Vəli oğlu</t>
  </si>
  <si>
    <t>İsmayılov Elmar Rövşən oğlu</t>
  </si>
  <si>
    <t>Mehdiyev Kənan Kamil oğlu</t>
  </si>
  <si>
    <t>Rəhimov Sabir Elçin oğlu</t>
  </si>
  <si>
    <t>Həsənov Cavad Süleyman oğlu</t>
  </si>
  <si>
    <t>Alməmmədov Ruslan Sabir oğlu</t>
  </si>
  <si>
    <t>Hafizov Zaur Xəyyam oğlu</t>
  </si>
  <si>
    <t>Həsənov Həsən Sərdar oğlu</t>
  </si>
  <si>
    <t>Talıbova Mədinə Rafiq qızı</t>
  </si>
  <si>
    <t>Cavadova Nigar Balaəmi qızı</t>
  </si>
  <si>
    <t>Kərimov Cəlil Eldar oğlu</t>
  </si>
  <si>
    <t>Abdulrəhmanova Gülüş Məhərrəm qızı</t>
  </si>
  <si>
    <t>Mürsəlli Beyrək Vəzir oğlu</t>
  </si>
  <si>
    <t>Eminov Fuad Nazim oğlu</t>
  </si>
  <si>
    <t>Mamedov İlham Məzahir oğlu</t>
  </si>
  <si>
    <t>İsmayılzadə Pərviz Firuz oğlu</t>
  </si>
  <si>
    <t>Şahbazlı Cabir Rafiq oğlu</t>
  </si>
  <si>
    <t>Heydərova Zeynəb Mayil qızı</t>
  </si>
  <si>
    <t>Qarayeva Şəbnəm Eldar qızı</t>
  </si>
  <si>
    <t>Hacıyeva Leyla Ağahüseyn qızı</t>
  </si>
  <si>
    <t>Hacıyev Elçin Asif oğlu</t>
  </si>
  <si>
    <t>Mustafazadə Nicat Nasir oğlu</t>
  </si>
  <si>
    <t>Manaşirov Faiq İsakoviç</t>
  </si>
  <si>
    <t>Həmzəyev Səbuhi Rahil oğlu</t>
  </si>
  <si>
    <t>Əliyev Kənan Gülağa oğlu</t>
  </si>
  <si>
    <t>Məmmədova Esmira Yusif qızı</t>
  </si>
  <si>
    <t>Mustafazadə Ceyhun Sahib oğlu</t>
  </si>
  <si>
    <t>Hüseynova Nazpəri Rafiq qızı</t>
  </si>
  <si>
    <t>Hacızadə Xavər Rauf qızı</t>
  </si>
  <si>
    <t>Sadıqov Qaraş Yaşar oğlu</t>
  </si>
  <si>
    <t>Şəmmədli Aysu Samir qızı</t>
  </si>
  <si>
    <t>Bağırzadə Uğur İbrahim oğlu</t>
  </si>
  <si>
    <t>Qafarov Əşrəf Faiq oğlu</t>
  </si>
  <si>
    <t>Həsənov Həmid Füzuli oğlu</t>
  </si>
  <si>
    <t>Məmmədov Vüsal Mədəd oğlu</t>
  </si>
  <si>
    <t>Çərkəzov Həmidulla Abdulla oğlu</t>
  </si>
  <si>
    <t>Hüseynov Nail Nazim oğlu</t>
  </si>
  <si>
    <t>Cəfərov Paşa Hikmət oğlu</t>
  </si>
  <si>
    <t>Əliyev Nicat Valeh oğlu</t>
  </si>
  <si>
    <t>Niftəliyev Sultan Qurban oğlu</t>
  </si>
  <si>
    <t>Əşrəfov Elmar Eldar oğlu</t>
  </si>
  <si>
    <t>Kərimov Turqut Atik oğlu</t>
  </si>
  <si>
    <t>Məmmədov Murad Zəfər oğlu</t>
  </si>
  <si>
    <t>Məcidov Rəvan Cavanşir oğlu</t>
  </si>
  <si>
    <t>Rzayev Heydər Vəli oğlu</t>
  </si>
  <si>
    <t>Süleyman Kamil Süleyman oğlu</t>
  </si>
  <si>
    <t>Məmmədov Rauf Arif oğlu</t>
  </si>
  <si>
    <t>Dilavərov Fərid Alıcı oğlu</t>
  </si>
  <si>
    <t>Sadıqov Yusif Razim oğlu</t>
  </si>
  <si>
    <t>Əlizadə Sadiq Əfqan oğlu</t>
  </si>
  <si>
    <t>Şabanov Anar Zahid oğlu</t>
  </si>
  <si>
    <t>Mehdizadə Nurlan Hüseynağa oğlu</t>
  </si>
  <si>
    <t>İsmayılzadə Fərid Xalid oğlu</t>
  </si>
  <si>
    <t>Nəsibli Bəxtiyar Elbrus oğlu</t>
  </si>
  <si>
    <t>Əlili Səddam Gündüz oğlu</t>
  </si>
  <si>
    <t>Həsənov Eyyub Səbuhi oğlu</t>
  </si>
  <si>
    <t>Əzizzadə Yusif Samiq oğlu</t>
  </si>
  <si>
    <t>Alızadə İslam Müşviq oğlu</t>
  </si>
  <si>
    <t>Mikayılov Məmməd Vilayət oğlu</t>
  </si>
  <si>
    <t>Əzizov Məhəmməd Vidadi oğlu</t>
  </si>
  <si>
    <t>Dünyamalıyev Vəli Azər oğlu</t>
  </si>
  <si>
    <t>Nağızadə Abbas Piri oğlu</t>
  </si>
  <si>
    <t>Əliyeva Ülkər Mahir qızı</t>
  </si>
  <si>
    <t>Quliyev Aydın Nəsimi oğlu</t>
  </si>
  <si>
    <t>Məmmədova Nəzrin İlham qızı</t>
  </si>
  <si>
    <t>Eminov Rəşad Natiq oğlu</t>
  </si>
  <si>
    <t>Süleymanova Fəridə Rüfət qızı</t>
  </si>
  <si>
    <t>Məmmədova Ceyla Nazim qızı</t>
  </si>
  <si>
    <t>Mustafayeva Fatimə Cəlil qızı</t>
  </si>
  <si>
    <t>Hacıyev Rövşən Ələkbər oğlu</t>
  </si>
  <si>
    <t>Rəsulova Nərgiz Rövşən qızı</t>
  </si>
  <si>
    <t>Hafizova Nigar Mübariz qızı</t>
  </si>
  <si>
    <t>Abdullayeva Nuranə Həsən qızı</t>
  </si>
  <si>
    <t>Ağayeva Əfsanə Yaşar qızı</t>
  </si>
  <si>
    <t>Nuri Kənan Eldəniz oğlu</t>
  </si>
  <si>
    <t>Hacıyeva Nərmin Tofiq qızı</t>
  </si>
  <si>
    <t>Süleymanova Ayşən Tofikovna</t>
  </si>
  <si>
    <t>Qənbərli Afət Rafiq qızı</t>
  </si>
  <si>
    <t>Babayeva Natəvan İlham qızı</t>
  </si>
  <si>
    <t>Aşurova Nigar Rafail qızı</t>
  </si>
  <si>
    <t>Mirzəyeva Aysu Mehman qızı</t>
  </si>
  <si>
    <t>Valehqızı Nərmin Valeh qızı</t>
  </si>
  <si>
    <t>Qədimova Mərziyə Elzar qızı</t>
  </si>
  <si>
    <t>Quluyev Elnur Hüseynbala oğlu</t>
  </si>
  <si>
    <t>Məmmədov Fərid Fikrət oğlu</t>
  </si>
  <si>
    <t>Mirzəyev Murad Mahir oğlu</t>
  </si>
  <si>
    <t>Səfərov Rüfət İlqar oğlu</t>
  </si>
  <si>
    <t>Nəbizadə Elvin Nəbi oğlu</t>
  </si>
  <si>
    <t>Cəfərli Sənan İlham oğlu</t>
  </si>
  <si>
    <t>Ağaməmmədov Şəhriyar Bəxtiyar oğlu</t>
  </si>
  <si>
    <t>Qənbərli Əli Telman oğlu</t>
  </si>
  <si>
    <t>Əliyeva Nurlanə Nazim qızı</t>
  </si>
  <si>
    <t>Hüseynzadə Nigar Natiq qızı</t>
  </si>
  <si>
    <t>Allahverdi Oruc Natiq oğlu</t>
  </si>
  <si>
    <t>Heydərova Fidan Rüfət qızı</t>
  </si>
  <si>
    <t>Əhmədov Ramal Məmməd oğlu</t>
  </si>
  <si>
    <t>Nəsirli Anar Yaşar oğlu</t>
  </si>
  <si>
    <t>Əliyev Oktay İlqar oğlu</t>
  </si>
  <si>
    <t>Yusifzadə Mir Yusif Seyidəhməd oğlu</t>
  </si>
  <si>
    <t>Möhsünlü Rəfail Rasim oğlu</t>
  </si>
  <si>
    <t>Hüseynov Sadiq Faiq oğlu</t>
  </si>
  <si>
    <t>Həsənov Murad Vüsal oğlu</t>
  </si>
  <si>
    <t>Bilallı İlkin Məmməd oğlu</t>
  </si>
  <si>
    <t>ULUS EYLEM</t>
  </si>
  <si>
    <t>Məmmədov Zaur Arif oğlu</t>
  </si>
  <si>
    <t>Həsənov Məmməd İslam oğlu</t>
  </si>
  <si>
    <t>ALGUL YUNUS</t>
  </si>
  <si>
    <t>Muxtarov Beyrək Qəhrəman oğlu</t>
  </si>
  <si>
    <t>Şirinov Murad Faiq oğlu</t>
  </si>
  <si>
    <t>Şükürov Hacıkişi Əhliman oğlu</t>
  </si>
  <si>
    <t>Sadıqov Rufulla Rövşən oğlu</t>
  </si>
  <si>
    <t>Qaffarlı Elvin Əli oğlu</t>
  </si>
  <si>
    <t>Umudov Taleh Hikmət oğlu</t>
  </si>
  <si>
    <t>Məmmədli İbrahim Əli oğlu</t>
  </si>
  <si>
    <t>Piriyeva Sevinc Azər qızı</t>
  </si>
  <si>
    <t>Kərimli Kənan Rza oğlu</t>
  </si>
  <si>
    <t>Qasımov Elçin Əziz Ağa oğlu</t>
  </si>
  <si>
    <t>Əliyev Rüstəm Məzahir oğlu</t>
  </si>
  <si>
    <t>Həsənli Nərmin Kəramət qızı</t>
  </si>
  <si>
    <t>Quluyev Sadik Sənan oğlu</t>
  </si>
  <si>
    <t>Abdullayeva Xanımana Ağamirzə qızı</t>
  </si>
  <si>
    <t>Babaşlı Ceyhun Pənah oğlu</t>
  </si>
  <si>
    <t>Abdullayeva Sevinc Səyyad qızı</t>
  </si>
  <si>
    <t>Əhmədzadə Elçin Elman oğlu</t>
  </si>
  <si>
    <t>Əliyev Aqil İmran oğlu</t>
  </si>
  <si>
    <t>Əkbərov Elvin Nuhbala oğlu</t>
  </si>
  <si>
    <t>Həsənov Orxan Elxan oğlu</t>
  </si>
  <si>
    <t>Səlimov Müşfiq Cəlal oğlu</t>
  </si>
  <si>
    <t>Cəbrayılov Fuad Azadəli oğlu</t>
  </si>
  <si>
    <t>Bağırova Ülkər Afər qızı</t>
  </si>
  <si>
    <t>Hüseynov Fəraid Oqtay oğlu</t>
  </si>
  <si>
    <t>Quluzadə Kamal İsmayil oğlu</t>
  </si>
  <si>
    <t>Səmədov Anar Yaşar oğlu</t>
  </si>
  <si>
    <t>Həsənova Mirvari Şahin qızı</t>
  </si>
  <si>
    <t>Səfərov Nurlan Abış oğlu</t>
  </si>
  <si>
    <t>Yaqubov Rövşən Elman oğlu</t>
  </si>
  <si>
    <t>Əmiraslanov Musa Natiq oğlu</t>
  </si>
  <si>
    <t>Qaralı Bahadır Xankərəm oğlu</t>
  </si>
  <si>
    <t>Tuayev Maksud Soslanbek oğlu</t>
  </si>
  <si>
    <t>Hüseynli Emil Amil oğlu</t>
  </si>
  <si>
    <t>Qənbərli Elmira Ramiz qızı</t>
  </si>
  <si>
    <t>MAKHMUDOV ELMAR</t>
  </si>
  <si>
    <t>Qarayeva Ülkər Anar qızı</t>
  </si>
  <si>
    <t>Mehdiyeva Cəmilə Əlizadə qızı</t>
  </si>
  <si>
    <t>Süleymanlı Səid Kamran oğlu</t>
  </si>
  <si>
    <t>Nağıyev Məmməd Eldar oğlu</t>
  </si>
  <si>
    <t>Əsədzadə Ülvi Ramil oğlu</t>
  </si>
  <si>
    <t>Quliyev İbrahim Taleh oğlu</t>
  </si>
  <si>
    <t>Cəfərov Muğatil Rüstəm oğlu</t>
  </si>
  <si>
    <t>BRAUER ANTON</t>
  </si>
  <si>
    <t>Quliyev Ruslan Rafiq oğlu</t>
  </si>
  <si>
    <t>Paşayev Məhəmmədəli Əmirxan oğlu</t>
  </si>
  <si>
    <t>Məmmədov Malik Malik oğlu</t>
  </si>
  <si>
    <t>Sofiyev Murad Şahin oğlu</t>
  </si>
  <si>
    <t>Mustafazadə Günay Rizvan qızı</t>
  </si>
  <si>
    <t>Ağazadə İbrahim Aqibət oğlu</t>
  </si>
  <si>
    <t>Ağayev Nicat İlham oğlu</t>
  </si>
  <si>
    <t>Muradlı Nigar Şahin qızı</t>
  </si>
  <si>
    <t>Kazımova Nigar İlham qızı</t>
  </si>
  <si>
    <t>Məmmədova Nigar Cövdət qızı</t>
  </si>
  <si>
    <t xml:space="preserve">	Hacıyev Rəhim Emil oğlu</t>
  </si>
  <si>
    <t>Məmmədova Pəri Elxan qızı</t>
  </si>
  <si>
    <t>Velmiskin Mark Valeryeviç</t>
  </si>
  <si>
    <t>Əliyev Nurlan Mövlud oğlu</t>
  </si>
  <si>
    <t>Əliyev Faiq Əli oğlu</t>
  </si>
  <si>
    <t>Muradova Aygün Xanlar qızı</t>
  </si>
  <si>
    <t>Quluzadə Vahid Aydin oğlu</t>
  </si>
  <si>
    <t>Yusifzadə Nigar Anar qızı</t>
  </si>
  <si>
    <t>Müslümzadə Vilayət Əli oğlu</t>
  </si>
  <si>
    <t>İbrahimov Murad İsmayıl oğlu</t>
  </si>
  <si>
    <t>Qənbərova Aysel Əfsər qızı</t>
  </si>
  <si>
    <t>Quliyev Əli Barat oğlu</t>
  </si>
  <si>
    <t>Məmmədova Xalidə Qədir qızı</t>
  </si>
  <si>
    <t>Bağırova Nilufər Tərlan qızı</t>
  </si>
  <si>
    <t>Ağasiyeva Nigar Hacı qızı</t>
  </si>
  <si>
    <t>Ələsgərov Rəvan Vaqif oğlu</t>
  </si>
  <si>
    <t>Hüseynov Cavid Samir oğlu</t>
  </si>
  <si>
    <t>İsayeva Fəridə Azad qızı</t>
  </si>
  <si>
    <t>Mirzəyev Ruslan Fikrət oğlu</t>
  </si>
  <si>
    <t>Əliyev Mirzə Rasim oğlu</t>
  </si>
  <si>
    <t>Talıbova Nərminə Eldəniz qızı</t>
  </si>
  <si>
    <t>Həsənzadə Jalə Behbud qızı</t>
  </si>
  <si>
    <t>Muradov Fərid Mübariz oğlu</t>
  </si>
  <si>
    <t>Hüseynli Gövhər Rüstəm qızı</t>
  </si>
  <si>
    <t>İsmayılov Emil Məhəmməd oğlu</t>
  </si>
  <si>
    <t>Musayev Emil Elman oğlu</t>
  </si>
  <si>
    <t>Neymətov Elşən Rövşən oğlu</t>
  </si>
  <si>
    <t>Paşazadə Nigar Vüqar qızı</t>
  </si>
  <si>
    <t>Yusifli Ceyhun İlham oğlu</t>
  </si>
  <si>
    <t>Babayev Pərviz Məhərrəm oğlu</t>
  </si>
  <si>
    <t>Əliyev Hüseyn Vilayətoviç</t>
  </si>
  <si>
    <t>Abasov Anar Abasqulu oğlu</t>
  </si>
  <si>
    <t>Novruzov Vüsal Azər oğlu</t>
  </si>
  <si>
    <t>Dənyarov Səbuhi Zahid oğlu</t>
  </si>
  <si>
    <t>Səlimli İlqar Vüqar oğlu</t>
  </si>
  <si>
    <t>Rəhimli Bilal Fuad oğlu</t>
  </si>
  <si>
    <t>Əliyev Şahin Şakir oğlu</t>
  </si>
  <si>
    <t>İsmayılova Tahirə Fuad qızı</t>
  </si>
  <si>
    <t>İsmayılov Zaur Şaiq oğlu</t>
  </si>
  <si>
    <t>Mahmudlu Xəyal Əlibaba oğlu</t>
  </si>
  <si>
    <t>Nağıyeva Rüqayyə Mirəli qızı</t>
  </si>
  <si>
    <t>Muradov Tural Vaqif oğlu</t>
  </si>
  <si>
    <t>Məmiyev Toğrul Fədayi oğlu</t>
  </si>
  <si>
    <t>Həmidova Tamara Yusif qızı</t>
  </si>
  <si>
    <t>KAMZAEVI GUNASH</t>
  </si>
  <si>
    <t>Bağırov Pərviz Elnur oğlu</t>
  </si>
  <si>
    <t>İbrahimova Günay Oqtay qızı</t>
  </si>
  <si>
    <t>BELIANUSHKINA IULIIA</t>
  </si>
  <si>
    <t>Babayeva Rüxsarə İlyas qızı</t>
  </si>
  <si>
    <t>Hüseynov Teymur Asif oğlu</t>
  </si>
  <si>
    <t>Hüseynov Aslan Teymuraz oğlu</t>
  </si>
  <si>
    <t>Eyvazzadə Aydan Zahid qızı</t>
  </si>
  <si>
    <t>Əmirli Fatimə Orucalı qızı</t>
  </si>
  <si>
    <t>Şükürova Aytən Əmiraslan qızı</t>
  </si>
  <si>
    <t>Əkbərova Çiçək Babək qızı</t>
  </si>
  <si>
    <t>Məmmədov Fuad Tariyel oğlu</t>
  </si>
  <si>
    <t>Əhədzadə Qəmər Cəlal qızı</t>
  </si>
  <si>
    <t>Hüseynli Səbinə Fuad qızı</t>
  </si>
  <si>
    <t>Qədirov Nicat Məhərrəm oğlu</t>
  </si>
  <si>
    <t>Əfəndiyeva Suad Elmar qızı</t>
  </si>
  <si>
    <t>Nəzərli Fərqanə Rasim qızı</t>
  </si>
  <si>
    <t>Mahmudov Həsən Lazim oğlu</t>
  </si>
  <si>
    <t>Əlizadə Mələk Asəf qızı</t>
  </si>
  <si>
    <t>Nəbiyeva Fəridə Camal qızı</t>
  </si>
  <si>
    <t>Allahverdiyeva Əsmər Eldar qızı</t>
  </si>
  <si>
    <t>Quliyeva Gülarə Oktay qızı</t>
  </si>
  <si>
    <t>Əzimova Aida İlqar qızı</t>
  </si>
  <si>
    <t>Camalova Nərmin Bayram qızı</t>
  </si>
  <si>
    <t>Cəfərli Sunaxanım Novruzovna</t>
  </si>
  <si>
    <t>Vəliyev Nicat Elsevər oğlu</t>
  </si>
  <si>
    <t xml:space="preserve">KANDYBA OLGA </t>
  </si>
  <si>
    <t>Əsədov Tural Saləddin oğlu</t>
  </si>
  <si>
    <t>Babaşov Kamran Adil oğlu</t>
  </si>
  <si>
    <t>İbrahimov Asim Xanlar oğlu</t>
  </si>
  <si>
    <t>Əliyeva Arzu Məhərrəm qızı</t>
  </si>
  <si>
    <t>Qədirova Nərgiz Cəfər qızı</t>
  </si>
  <si>
    <t>Allahverdiyeva Ülviyyə Abbas qızı</t>
  </si>
  <si>
    <t>Məmmədova Nigar Mübariz qızı</t>
  </si>
  <si>
    <t>Əliyeva Püstə Heydər qızı</t>
  </si>
  <si>
    <t>Hüseynov Tural Hüseyn oğlu</t>
  </si>
  <si>
    <t>Əliyeva Afaq Rasim qızı</t>
  </si>
  <si>
    <t>Muxtarova Şəbnəm Bəhruz qızı</t>
  </si>
  <si>
    <t>Osmanov Elçin Maarif oğlu</t>
  </si>
  <si>
    <t>Kazımova Fatma İsmayıl qızı</t>
  </si>
  <si>
    <t>Xəlilova Xatirə Niyazi qızı</t>
  </si>
  <si>
    <t>Məmmədova Fərqanə Elsevər qızı</t>
  </si>
  <si>
    <t>Abdullazadə Nigar Tahir qızı</t>
  </si>
  <si>
    <t>Qasımova-Əliyeva Səmirə Camaləddin qızı</t>
  </si>
  <si>
    <t>Babayeva Mahirə Maarif qızı</t>
  </si>
  <si>
    <t>Sofiyev Nəcbəddin Miqdad oğlu</t>
  </si>
  <si>
    <t>Səhətbəyli Elvin Əbülfət oğlu</t>
  </si>
  <si>
    <t>Hüseynova Zərifə Çingiz qızı</t>
  </si>
  <si>
    <t xml:space="preserve">KASATKIN PAVEL </t>
  </si>
  <si>
    <t xml:space="preserve">Gözəlova Lyusiya Faatovna </t>
  </si>
  <si>
    <t>Əkbərzadə Amir Fəramərz oğlu</t>
  </si>
  <si>
    <t>Məmmədli Nəzrin Murad qızı</t>
  </si>
  <si>
    <t xml:space="preserve">Kamayeva Vlada Leonidovna </t>
  </si>
  <si>
    <t>Lətifova Ülviyyə Elşən qızı</t>
  </si>
  <si>
    <t>Məlikzadə Aysel İntiqam qızı</t>
  </si>
  <si>
    <t>Əliyeva Həcər Fizuli qızı</t>
  </si>
  <si>
    <t>Rüstəmli Firəngiz Zahid qızı</t>
  </si>
  <si>
    <t>Həsənov Murad Rafiq oğlu</t>
  </si>
  <si>
    <t>Qarayeva Aygül Mir qızı</t>
  </si>
  <si>
    <t>Hacıyeva Heyran Sabir qızı</t>
  </si>
  <si>
    <t>Hacılı Nərmin Xalid qızı</t>
  </si>
  <si>
    <t>Süleymanov Fərid Nizami oğlu</t>
  </si>
  <si>
    <t>Xalıqov Elvin Nurəddin oğlu</t>
  </si>
  <si>
    <t>Salmanova Arzu Akif qızı</t>
  </si>
  <si>
    <t>Quliyev Emil İsmayıl oğlu</t>
  </si>
  <si>
    <t>Mehdizadə Nərminə Ehtiram qızı</t>
  </si>
  <si>
    <t>Qənizadə Pərviz Xaləddin oğlu</t>
  </si>
  <si>
    <t>Rəcəbov Abbas Vaqif oğlu</t>
  </si>
  <si>
    <t>Abdurahmanov Elgün Sabit oğlu</t>
  </si>
  <si>
    <t>Göyüşlü Əkbər İbrahim oğlu</t>
  </si>
  <si>
    <t>Nəzərli Kazım Nazim oğlu</t>
  </si>
  <si>
    <t>Ələsgərova Aygül İslam qızı</t>
  </si>
  <si>
    <t>Abdiyev Azad Cəmil oğlu</t>
  </si>
  <si>
    <t>Əsgərov Fərid Vüqar oğlu</t>
  </si>
  <si>
    <t>Mirzəyeva Günel Yasin qızı</t>
  </si>
  <si>
    <t>Hüseynov Məhəmmədəli Namik oğlu</t>
  </si>
  <si>
    <t>Ağayev Sənan Elman oğlu</t>
  </si>
  <si>
    <t>Mehdiyeva Röya Etibar qızı</t>
  </si>
  <si>
    <t>Cəlalov Ruzi Məmmədcəfər oğlu</t>
  </si>
  <si>
    <t>OSKOLKOVA KSENIIA</t>
  </si>
  <si>
    <t>Cəbiyeva Selcan Əjdər qızı</t>
  </si>
  <si>
    <t>Əliyev Kənan Mehman oğlu</t>
  </si>
  <si>
    <t>Həmidli Elnur Hafiz oğlu</t>
  </si>
  <si>
    <t>Sadixova Fərəh Abdulla qızı</t>
  </si>
  <si>
    <t>İbrahimov Eşqin Namizəd oğlu</t>
  </si>
  <si>
    <t>Qurbanov Əfran Əsgər oğlu</t>
  </si>
  <si>
    <t>Əliyeva Aynurə Əbülfət qızı</t>
  </si>
  <si>
    <t>Süleymanlı Telli Kərim qızı</t>
  </si>
  <si>
    <t>Şahbazova Rəxşəndə Rafail qızı</t>
  </si>
  <si>
    <t>Həsənova Aynurə Laçın qızı</t>
  </si>
  <si>
    <t>Məmmədli Tərlan Rahim oğlu</t>
  </si>
  <si>
    <t>Bayramov Ülvi İlqar oğlu</t>
  </si>
  <si>
    <t>Zeynalli Taleh Ceyhun oğlu</t>
  </si>
  <si>
    <t>Məmmədli Cavid Mürvət oğlu</t>
  </si>
  <si>
    <t>Abbasova Nəzifə İslam qızı</t>
  </si>
  <si>
    <t>Cabbarov İsrafil Fəxrəddin oğlu</t>
  </si>
  <si>
    <t>Xasiyeva Gülay Nəsimi qızı</t>
  </si>
  <si>
    <t>Ağayeva Məsməxanım Sərvər qızı</t>
  </si>
  <si>
    <t>Nəsirov Həsən Vaqif oğlu</t>
  </si>
  <si>
    <t>Alızadə Nihad Namiq oğlu</t>
  </si>
  <si>
    <t>Qulizadə Qaratel Fəzayıl qızı</t>
  </si>
  <si>
    <t>Əhmədov Ülvi Qurban oğlu</t>
  </si>
  <si>
    <t>Əliyev Nicat Nizami oğlu</t>
  </si>
  <si>
    <t>İsmayılova Emilya Müşfiq qızı</t>
  </si>
  <si>
    <t>Bağırova Oksana İqoryevna</t>
  </si>
  <si>
    <t>İsayev Şəhriyar Zöhrab oğlu</t>
  </si>
  <si>
    <t>Əliyeva Xəyalə Çingiz qızı</t>
  </si>
  <si>
    <t>Rəcəbova Leyla Rufət qızı</t>
  </si>
  <si>
    <t>Məmmədova Alidə Bəşir qızı</t>
  </si>
  <si>
    <t>Ağazadə Taryel İsa oğlu</t>
  </si>
  <si>
    <t>Məmmədov Pünhan İntiqam oğlu</t>
  </si>
  <si>
    <t>Aslanova Emel Zülfüqar qızı</t>
  </si>
  <si>
    <t>Həmidova Fidan Vahab qızı</t>
  </si>
  <si>
    <t>Məmmədova Mina Ayaz qızı</t>
  </si>
  <si>
    <t>Şükürova Naina Telman qızı</t>
  </si>
  <si>
    <t>Qədimov Bəxtiyar Müzəfər oğlu</t>
  </si>
  <si>
    <t>Şükürov Vahid Adil oğlu</t>
  </si>
  <si>
    <t>Əliyeva Leyla Eldar qızı</t>
  </si>
  <si>
    <t>Əliyev Adil Zaur oğlu</t>
  </si>
  <si>
    <t>Drokin Timur Vladimiroviç</t>
  </si>
  <si>
    <t>Xəlilova Aygün İman qızı</t>
  </si>
  <si>
    <t>Abbasov Samir Aqif oğlu</t>
  </si>
  <si>
    <t>Məmmədli Gülər Nemət qızı</t>
  </si>
  <si>
    <t>Ağayeva Göyçək Fərid qızı</t>
  </si>
  <si>
    <t>Temirli Bəşarət Elnur qızı</t>
  </si>
  <si>
    <t>Əliyev Fariz İlqar oğlu</t>
  </si>
  <si>
    <t>Ələkbərov Nazim Ramiz oğlu</t>
  </si>
  <si>
    <t>Məmmədov Elnur İlham oğlu</t>
  </si>
  <si>
    <t>Mustafazadə Sabir Akif oğlu</t>
  </si>
  <si>
    <t>Rəcəbli Aytən Çingiz qızı</t>
  </si>
  <si>
    <t>Qaracayev Həmid Məharət oğlu</t>
  </si>
  <si>
    <t>Hacı-Qurbanlı Salman Samit oğlu</t>
  </si>
  <si>
    <t>Gəbəybəyov Mirzağa Akif oğlu</t>
  </si>
  <si>
    <t>Quliyev Zakir Salman oğlu</t>
  </si>
  <si>
    <t>Əkbərov Orxan Şahid oğlu</t>
  </si>
  <si>
    <t>Məmmədova Nərgiz Seyfəddin qızı</t>
  </si>
  <si>
    <t>Məsmalıyeva Fidan Rafiq qızı</t>
  </si>
  <si>
    <t>Cəmilov Muxtar Elman oğlu</t>
  </si>
  <si>
    <t xml:space="preserve">	Hacıbəyli Fərid Nofəl oğlu</t>
  </si>
  <si>
    <t>Ağayarlı Anar Avtandil oğlu</t>
  </si>
  <si>
    <t>Babasoy Günay Allahverdi qızı</t>
  </si>
  <si>
    <t>Mamedova Zəhra Vidadi qızı</t>
  </si>
  <si>
    <t>Əhmədov Rəsul Etibar oğlu</t>
  </si>
  <si>
    <t>Məmiyeva Firuzə Afər qızı</t>
  </si>
  <si>
    <t>Mahmudov Mahmud Vidadi oğlu</t>
  </si>
  <si>
    <t>Qasımov Sultan Elşən oğlu</t>
  </si>
  <si>
    <t>Rzayeva Nəzrin İlham qızı</t>
  </si>
  <si>
    <t>Hacıbəyli Aslan Vəkil oğlu</t>
  </si>
  <si>
    <t>Əfəndiyev Emil Altay oğlu</t>
  </si>
  <si>
    <t>Məlikov Rüfət Əbdülrəhman oğlu</t>
  </si>
  <si>
    <t>Mədətov Ziya Xanlar oğlu</t>
  </si>
  <si>
    <t>Nəcəfli İbrahim Loğman oğlu</t>
  </si>
  <si>
    <t>Lahutizadə Ruslan Bayram oğlu</t>
  </si>
  <si>
    <t>Hüseynov Kənan Ramin oğlu</t>
  </si>
  <si>
    <t>Məmmədov Razim Tofiq oğlu</t>
  </si>
  <si>
    <t>Həsənova Aysel Gündüz qızı</t>
  </si>
  <si>
    <t>Novruzov Rəşad İbrahim oğlu</t>
  </si>
  <si>
    <t>Cəlilova İlahə Şaban qızı</t>
  </si>
  <si>
    <t>Əliyev Natik Ədalət oğlu</t>
  </si>
  <si>
    <t>Zeynalova Nəzrin Səfi qızı</t>
  </si>
  <si>
    <t>Məmmədzadə Elsevər Murad oğlu</t>
  </si>
  <si>
    <t>Rüstəmova Cahidli Gülşən Tahir qızı</t>
  </si>
  <si>
    <t>Osmanlı Rəvan Kamran oğlu</t>
  </si>
  <si>
    <t>İbrahimov Azər Elçin oğlu</t>
  </si>
  <si>
    <t>Əhmədov Ziya Nazim oğlu</t>
  </si>
  <si>
    <t>Şahbazova Arzu Fərzəli qızı</t>
  </si>
  <si>
    <t>Ələkbərov Nihad Vüqar oğlu</t>
  </si>
  <si>
    <t>Əfəndiyeva Nərmin Aqil qızı</t>
  </si>
  <si>
    <t>Manaşirov Natan İsmayıloviç</t>
  </si>
  <si>
    <t>Əfəndiyeva Ülviyyə Əflatun qızı</t>
  </si>
  <si>
    <t>Musayeva Seval Əvəz qızı</t>
  </si>
  <si>
    <t>İmranova Xədicə Sabir qızı</t>
  </si>
  <si>
    <t>Məmmədova Aydan Əli qızı</t>
  </si>
  <si>
    <t>Əfəndiyeva Kəmalə Teyyub qızı</t>
  </si>
  <si>
    <t>Əliyev Xəzər Azər oğlu</t>
  </si>
  <si>
    <t>Yusifov Fərid Kamil oğlu</t>
  </si>
  <si>
    <t>Abişov Kənan Vüqar oğlu</t>
  </si>
  <si>
    <t>Ələkbərov Fərhad Ramin oğlu</t>
  </si>
  <si>
    <t>Nəsirli Əli Kazım oğlu</t>
  </si>
  <si>
    <t>Umarov Kamal Teymur oğlu</t>
  </si>
  <si>
    <t>Səmədov İlqar Oktay oğlu</t>
  </si>
  <si>
    <t>Sultanova Fidan Musa qızı</t>
  </si>
  <si>
    <t>Məmmədova Nuriyyə Mübariz qızı</t>
  </si>
  <si>
    <t>Quliyev Maqsud Nadir oğlu</t>
  </si>
  <si>
    <t>Novruzov Kənan Müqabil oğlu</t>
  </si>
  <si>
    <t>Dünyamaliyev Rauf Ramiz oğlu</t>
  </si>
  <si>
    <t>İsmayilov Fəxrəddin Amil oğlu</t>
  </si>
  <si>
    <t>Ağazadə Xəyal Rəfael oğlu</t>
  </si>
  <si>
    <t>Həbibov Elbrus Vüqar oğlu</t>
  </si>
  <si>
    <t>Nəsirov Aqil Balacanoviç</t>
  </si>
  <si>
    <t>Rzayev Ülvi İlham oğlu</t>
  </si>
  <si>
    <t>Əhmədov Nurlan Azad oğlu</t>
  </si>
  <si>
    <t>Mustafayev Anar Əmirağa oğlu</t>
  </si>
  <si>
    <t>Əsgərova İlhamə İlham qızı</t>
  </si>
  <si>
    <t>Bağırova Leyla Soltan qızı</t>
  </si>
  <si>
    <t>Əlizadə Leyla Kamran qızı</t>
  </si>
  <si>
    <t>Qurbanov Tofiq Əli Abas oğlu</t>
  </si>
  <si>
    <t>Hüseynli Əli Manaf oğlu</t>
  </si>
  <si>
    <t>Əsəd Zaur Ədalət oğlu</t>
  </si>
  <si>
    <t>Yusifov Rauf Bəhram oğlu</t>
  </si>
  <si>
    <t>Muxtarova Tünzalə Nizaməddin qızı</t>
  </si>
  <si>
    <t>Xəlilova Ədilə Möhsüm qızı</t>
  </si>
  <si>
    <t>Məmmədov Mehman Elxan oğlu</t>
  </si>
  <si>
    <t>Əliyeva Rəfiqə İbrahim qızı</t>
  </si>
  <si>
    <t>İsmayılzadə Mircavidan Elçin oğlu</t>
  </si>
  <si>
    <t>Cavadova Aytac Füzuli qızı</t>
  </si>
  <si>
    <t>Baba-zadə Şəhriyar İlqar oğlu</t>
  </si>
  <si>
    <t>Kələyev Ceyhun Nuqzar oğlu</t>
  </si>
  <si>
    <t>Şükürlü İlham Gülverdi oğlu</t>
  </si>
  <si>
    <t>İsgəndərov Babək Bəkir oğlu</t>
  </si>
  <si>
    <t>Sadıqova Fidan Şahin qızı</t>
  </si>
  <si>
    <t>Bahəddinli Şövkət Adil qızı</t>
  </si>
  <si>
    <t>Hüseynov Allahverən Mübariz oğlu</t>
  </si>
  <si>
    <t>Qocayev Rəşad Ramiz oğlu</t>
  </si>
  <si>
    <t>Daşdəmirov Teymur Cəlil oğlu</t>
  </si>
  <si>
    <t>Məmmədova Selvina Telman qızı</t>
  </si>
  <si>
    <t>Səlimli Coşqun Qadir oğlu</t>
  </si>
  <si>
    <t>Quluzadə Xəlil İlqar oğlu</t>
  </si>
  <si>
    <t>Axundov Cəlil Fariz oğlu</t>
  </si>
  <si>
    <t>Rüstəmli Rüstəm Mobil oğlu</t>
  </si>
  <si>
    <t>Əhmədova Milaim Əli qızı</t>
  </si>
  <si>
    <t>Sadıqov Babək Mehti oğlu</t>
  </si>
  <si>
    <t>Nəsirov Cavid Azər oğlu</t>
  </si>
  <si>
    <t>Quliyev Rövşən Fəyyaz oğlu</t>
  </si>
  <si>
    <t>Məlikova Şəbnəm Feyruz qızı</t>
  </si>
  <si>
    <t>Umarova Çiçək Hüseynəli qızı</t>
  </si>
  <si>
    <t>Zeynalov Kamal Akif oğlu</t>
  </si>
  <si>
    <t>Hacıyeva Ülkər İlyas qızı</t>
  </si>
  <si>
    <t>MAMEDLI ORKHAN</t>
  </si>
  <si>
    <t>Məmmədov Rəşad Nəvai oğlu</t>
  </si>
  <si>
    <t>Balakişiyev Elvin Cəfər oğlu</t>
  </si>
  <si>
    <t>Məlikov Rauf Fuad oğlu</t>
  </si>
  <si>
    <t>Əliyarov Renat Şeydabəy oğlu</t>
  </si>
  <si>
    <t>Həsənova İlahə İlham qızı</t>
  </si>
  <si>
    <t>Xasıyev İntiqam Vaqif oğlu</t>
  </si>
  <si>
    <t>Əzimova Leyla Emin qızı</t>
  </si>
  <si>
    <t>Cəlilov Zaur Bəylər oğlu</t>
  </si>
  <si>
    <t>Əsgərli Rəfi Fuad oğlu</t>
  </si>
  <si>
    <t>Seyidbəyli Həsən Rasim oğlu</t>
  </si>
  <si>
    <t>Əsgərov Elnur Əli oğlu</t>
  </si>
  <si>
    <t>Novruzova Aytəkin Əliağa qızı</t>
  </si>
  <si>
    <t>Məhərrəmova Aydan Rauf qızı</t>
  </si>
  <si>
    <t>Quliyev Elmar Namiq oğlu</t>
  </si>
  <si>
    <t>Məmmədova Nuranə Mirələm qızı</t>
  </si>
  <si>
    <t>Əhmədov Zaur Etibar oğlu</t>
  </si>
  <si>
    <t>Paşabəyli Əşrəf Saleh oğlu</t>
  </si>
  <si>
    <t>Həsənov Əmrah Qabil oğlu</t>
  </si>
  <si>
    <t>Heydərli Aytac Kamal qızı</t>
  </si>
  <si>
    <t>Səfərli Çingiz Azər oğlu</t>
  </si>
  <si>
    <t>Kərimov Kamran Kənan oğlu</t>
  </si>
  <si>
    <t>Rzazadə Murad Elçin oğlu</t>
  </si>
  <si>
    <t>Şəfiyev Murad Şahin oğlu</t>
  </si>
  <si>
    <t>Hüseynli Əli Natiq oğlu</t>
  </si>
  <si>
    <t>Bəşirov Nəsirağa Səlahəddin oğlu</t>
  </si>
  <si>
    <t>Kərimova Mehriban Rauf qızı</t>
  </si>
  <si>
    <t>Abbasov Şamil Bəhruz oğlu</t>
  </si>
  <si>
    <t>Qandaxov Ramazan Ramin oğlu</t>
  </si>
  <si>
    <t>Rüstəmli Zaur Firdovsi oğlu</t>
  </si>
  <si>
    <t>Bayramova Nəzrin Yaşar qızı</t>
  </si>
  <si>
    <t>Vəliyev Yılmaz İlmas oğlu</t>
  </si>
  <si>
    <t>Səfərəliyev Sənan Bayram oğlu</t>
  </si>
  <si>
    <t>Xəlilzadə Rəşid Həmid oğlu</t>
  </si>
  <si>
    <t>Cabbarlı Samir Saleh oğlu</t>
  </si>
  <si>
    <t>İsmayılov Əbülfəz Fəhrad oğlu</t>
  </si>
  <si>
    <t>Əlimov Kamil Şamil oğlu</t>
  </si>
  <si>
    <t>Cəfərov Pərviz Elçin oğlu</t>
  </si>
  <si>
    <t>Əlləzov Qədir Sahib oğlu</t>
  </si>
  <si>
    <t>Vəliyeva İlahə Etibar qızı</t>
  </si>
  <si>
    <t>İsmayılzadə Nigar Nail qızı</t>
  </si>
  <si>
    <t>Salamova Günel Elşən qızı</t>
  </si>
  <si>
    <t>Rəhimli Fuad Polad oğlu</t>
  </si>
  <si>
    <t>İmanov Elxan Səftər oğlu</t>
  </si>
  <si>
    <t>Mənsimov Nicat Cəfər oğlu</t>
  </si>
  <si>
    <t>Əliyev İbrahim Elçin oğlu</t>
  </si>
  <si>
    <t>Hüseynov Səbuhi Ramiq oğlu</t>
  </si>
  <si>
    <t>Nəbili Oktay Sübhi oğlu</t>
  </si>
  <si>
    <t>Hacıyev Orxan Şəfayət oğlu</t>
  </si>
  <si>
    <t>Akifli Rüstəm Fərmayıl oğlu</t>
  </si>
  <si>
    <t>Mursaquliyev Vahid Hikmət oğlu</t>
  </si>
  <si>
    <t>Çələbiyev Xanverdi Mübariz oğlu</t>
  </si>
  <si>
    <t>Lalayev Fərid Cəmil oğlu</t>
  </si>
  <si>
    <t>Hümbətzadə Sahib Niyazi oğlu</t>
  </si>
  <si>
    <t>İsmayılov İbrahim Zakir oğlu</t>
  </si>
  <si>
    <t>Əsgərli Toğrul İsgəndər oğlu</t>
  </si>
  <si>
    <t>Babayeva Nigar Saleh qızı</t>
  </si>
  <si>
    <t>Ağamalıyev Əhməd Muxtar oğlu</t>
  </si>
  <si>
    <t>Abdulkərimov Fərhad Rafiq oğlu</t>
  </si>
  <si>
    <t>Mahmudov Ayxan Məmməd oğlu</t>
  </si>
  <si>
    <t>İsmayıllı Cəmil Rasim oğlu</t>
  </si>
  <si>
    <t>Abbaslı Nicat Nazir oğlu</t>
  </si>
  <si>
    <t>Qəndilov Qasım Azər oğlu</t>
  </si>
  <si>
    <t>Əsədov Pəncəli Əli oğlu</t>
  </si>
  <si>
    <t>Səlimli Əziz Səlim oğlu</t>
  </si>
  <si>
    <t>Zeynalov Ramin Vahid oğlu</t>
  </si>
  <si>
    <t>Nəsibov Elnur Rafiq oğlu</t>
  </si>
  <si>
    <t>Kərim İsa İlqar oğlu</t>
  </si>
  <si>
    <t>Rəfibəyli Fərhad Lətif oğlu</t>
  </si>
  <si>
    <t>Binnətov Tural Faiq oğlu</t>
  </si>
  <si>
    <t>İmaməliyeva Ülviyyə Əyyar qızı</t>
  </si>
  <si>
    <t>Məmmədov Atilay Akif oğlu</t>
  </si>
  <si>
    <t>Süleymanzadə Nəsiman Yəhya oğlu</t>
  </si>
  <si>
    <t>Əlifov Hüseyn Məmmədtağı oğlu</t>
  </si>
  <si>
    <t>Fərzəliyev Kərəm Səbuhi oğlu</t>
  </si>
  <si>
    <t>Şirinli Ceyhun Hüseyn oğlu</t>
  </si>
  <si>
    <t>Əliyev Ülvi Zirəddin oğlu</t>
  </si>
  <si>
    <t>Əliyev Şahlar Əliağa oğlu</t>
  </si>
  <si>
    <t>Qazıyev Ceyhun İslam oğlu</t>
  </si>
  <si>
    <t>Əsədov Nurəli Sahib oğlu</t>
  </si>
  <si>
    <t>Məmmədov Cabir Şövqi oğlu</t>
  </si>
  <si>
    <t>Zeynalov Ayxan Polad oğlu</t>
  </si>
  <si>
    <t>Məmmədov Mirhadı Rüstəm oğlu</t>
  </si>
  <si>
    <t>Baxşalıyev Cavid Şərif oğlu</t>
  </si>
  <si>
    <t>Mikayıl Fuad Qoşqar oğlu</t>
  </si>
  <si>
    <t>Balakişiyev Ənvər Aydin oğlu</t>
  </si>
  <si>
    <t>Hüseynov Əliağa Elnur oğlu</t>
  </si>
  <si>
    <t>Şahverdiyev Xandəmir Elman oğlu</t>
  </si>
  <si>
    <t>Məmiyev Elnur Azər oğlu</t>
  </si>
  <si>
    <t>Əsədov Cavid Həbib oğlu</t>
  </si>
  <si>
    <t>Məmmədov Elxan Şərbət oğlu</t>
  </si>
  <si>
    <t>Şahbazov Abdulla Tofiq oğlu</t>
  </si>
  <si>
    <t>Kazımlı Orxan Əli oğlu</t>
  </si>
  <si>
    <t>Əliyev Namiq Tofiq oğlu</t>
  </si>
  <si>
    <t>Süleymanov Akif Yaşar oğlu</t>
  </si>
  <si>
    <t>Zamanov Rüfət Hüseyn oğlu</t>
  </si>
  <si>
    <t>Cahangirov Elçin Hafiz oğlu</t>
  </si>
  <si>
    <t>İsmayılzadə Elvin Rövşən oğlu</t>
  </si>
  <si>
    <t>Kərimli Fədai Fərrux oğlu</t>
  </si>
  <si>
    <t>Şirinzadə Tural Gündüz oğlu</t>
  </si>
  <si>
    <t>Səfərli Tural Rəhim oğlu</t>
  </si>
  <si>
    <t>İsmayılov Elnur İskəndər oğlu</t>
  </si>
  <si>
    <t>Hüseynli Üzeyir Fikrət oğlu</t>
  </si>
  <si>
    <t>Əmrahov Əmrah Hicran oğlu</t>
  </si>
  <si>
    <t>Musayev Aqşin Yaşar oğlu</t>
  </si>
  <si>
    <t>Əhmədov Məmməd Nadir oğlu</t>
  </si>
  <si>
    <t>İbrahimov Bəxtiyar Ehtibar oğlu</t>
  </si>
  <si>
    <t>Abbasov Renat Vaqifoviç</t>
  </si>
  <si>
    <t>Əliyev Sədrəddin Musa oğlu</t>
  </si>
  <si>
    <t>Orucov Qardaşəli Elman oğlu</t>
  </si>
  <si>
    <t>Qasımov Cavid İslam oğlu</t>
  </si>
  <si>
    <t>Həsənov Rəşad Maxsud oğlu</t>
  </si>
  <si>
    <t>Mütəllimov Kənan Ələkbər oğlu</t>
  </si>
  <si>
    <t>Hacıyev Ələm Pərviz oğlu</t>
  </si>
  <si>
    <t>Əkbərov Elsevər Mustafa oğlu</t>
  </si>
  <si>
    <t>Quliyev Sarvan Rafiq oğlu</t>
  </si>
  <si>
    <t>Dünyamalıyeva Bahar Vaqif qızı</t>
  </si>
  <si>
    <t>Əliyeva Səadət Yusif qızı</t>
  </si>
  <si>
    <t>İsgəndərov Ruslan Ramiz oğlu</t>
  </si>
  <si>
    <t>Quliyev İlqar Səfər oğlu</t>
  </si>
  <si>
    <t>Əliyev Emin Sahib oğlu</t>
  </si>
  <si>
    <t>Ərəbov Ceyhun Ariz oğlu</t>
  </si>
  <si>
    <t>Hüseynov Azər Aslan oğlu</t>
  </si>
  <si>
    <t>Quliyev Yaşar Nazim oğlu</t>
  </si>
  <si>
    <t>Hüseynov Elşən Rəşid oğlu</t>
  </si>
  <si>
    <t>İsmayılov Ülvi Gülmalı oğlu</t>
  </si>
  <si>
    <t>Nağıyev Əlisa İmran oğlu</t>
  </si>
  <si>
    <t>Məmmədov Arzuman Nəsib oğlu</t>
  </si>
  <si>
    <t>Quliyev Nəcəf Məmmədoviç</t>
  </si>
  <si>
    <t>Abbasov Abbas Elçin oğlu</t>
  </si>
  <si>
    <t>Əliyev Şövqi Xəqani oğlu</t>
  </si>
  <si>
    <t>Aslanzadə Orxan Araz oğlu</t>
  </si>
  <si>
    <t>Səlimov Elnur İlkin oğlu</t>
  </si>
  <si>
    <t>Osmanov Tofiq Elman oğlu</t>
  </si>
  <si>
    <t>Hüseynzadə Ülvi Rizvan oğlu</t>
  </si>
  <si>
    <t>Məmmədov Tural İlqar oğlu</t>
  </si>
  <si>
    <t>Mövsümov Mir Bayram Mirsaab oğlu</t>
  </si>
  <si>
    <t>Əmirov Əli İlqar oğlu</t>
  </si>
  <si>
    <t>Əsədullayev Mir Camal Elxan oğlu</t>
  </si>
  <si>
    <t>Niyazov Elvin Elşən oğlu</t>
  </si>
  <si>
    <t>Tağızadə Zaur Rüstəm oğlu</t>
  </si>
  <si>
    <t>Müzəffərli Orxan Kəmaləddin oğlu</t>
  </si>
  <si>
    <t>Abbasov Vüqar Rasim oğlu</t>
  </si>
  <si>
    <t>Musayev Elvin Şahvələd oğlu</t>
  </si>
  <si>
    <t>Şirinov Elvin Quri oğlu</t>
  </si>
  <si>
    <t>Heydərov Nihat Hüseyn oğlu</t>
  </si>
  <si>
    <t>Məcidli Fəxri Malikəjdər oğlu</t>
  </si>
  <si>
    <t>Məmmədli Türkan Mübariz qızı</t>
  </si>
  <si>
    <t>Mehdiyev Bəylər Heydər oğlu</t>
  </si>
  <si>
    <t>Cahangirov Qurban Cahangir oğlu</t>
  </si>
  <si>
    <t>Mirzəyev Taleh Firuz oğlu</t>
  </si>
  <si>
    <t>Şükürov Ceyhun Həbib oğlu</t>
  </si>
  <si>
    <t>İsgəndərzadə Vüqar Ağasultan oğlu</t>
  </si>
  <si>
    <t>Haqverdiyev Elmin Vahid oğlu</t>
  </si>
  <si>
    <t>Seyfullayev Kamran Əliağa oğlu</t>
  </si>
  <si>
    <t>Qarayev Murad Babaş oğlu</t>
  </si>
  <si>
    <t>Fərmanlı Eyvaz Tahir oğlu</t>
  </si>
  <si>
    <t>Niftaliyeva Natiqə Əfqan qızı</t>
  </si>
  <si>
    <t>Baxışov Zaur Teymur oğlu</t>
  </si>
  <si>
    <t>İmranlı İlkanə Rabil qızı</t>
  </si>
  <si>
    <t>Həsənova Zəhra Mehman qızı</t>
  </si>
  <si>
    <t>Poladova Xanım Polad qızı</t>
  </si>
  <si>
    <t>Hüseynova Nəzrin Bağı qızı</t>
  </si>
  <si>
    <t>Həsrətzadə Şəhzadə Elçin qızı</t>
  </si>
  <si>
    <t>İbadova Züleyxa Qeybulla qızı</t>
  </si>
  <si>
    <t>Zeynalova Aliyə İmanqulu qızı</t>
  </si>
  <si>
    <t>Əliyeva Nərmin İlham qızı</t>
  </si>
  <si>
    <t>Hüseynova Ləman Səyyar qızı</t>
  </si>
  <si>
    <t>Şumalov Elvin Məhərrəm oğlu</t>
  </si>
  <si>
    <t>Vəlizadə Adil Azər oğlu</t>
  </si>
  <si>
    <t>Rzayev Kərim Əfqan oğlu</t>
  </si>
  <si>
    <t>Əbdürəhimov Murad Vaqif oğlu</t>
  </si>
  <si>
    <t>Həsənov İbrahim Afət oğlu</t>
  </si>
  <si>
    <t>Şəfiyev Elmir Nurəddin oğlu</t>
  </si>
  <si>
    <t>Əliyev Hikmət Fikrət oğlu</t>
  </si>
  <si>
    <t>Qədirli Loğman Müzəfərdin oğlu</t>
  </si>
  <si>
    <t>Qasımzadə Yusif Sabir oğlu</t>
  </si>
  <si>
    <t>Nəcəfli Raqif Akif oğlu</t>
  </si>
  <si>
    <t>Cəfərova Elnarə Qadir qızı</t>
  </si>
  <si>
    <t>Əlizadə Minarə Nazim qızı</t>
  </si>
  <si>
    <t>Şirinov Səid Müşviq oğlu</t>
  </si>
  <si>
    <t>Muradzadə Zəhraxanım İlham qızı</t>
  </si>
  <si>
    <t>Qasımov Zeynal Anar oğlu</t>
  </si>
  <si>
    <t>İbrahimova Arzu Muqabil qızı</t>
  </si>
  <si>
    <t>Lətifov Şamil Elşən oğlu</t>
  </si>
  <si>
    <t>Məmmədbəyli Zülfuqar Bünyamin oğlu</t>
  </si>
  <si>
    <t>Hüseynov Sənan Zakir oğlu</t>
  </si>
  <si>
    <t>Əliyeva Fazilə Namiq qızı</t>
  </si>
  <si>
    <t>Pənahzadə Hicran Şaiq qızı</t>
  </si>
  <si>
    <t>Tacəddinova Güllü Teymur qızı</t>
  </si>
  <si>
    <t>Vəliyeva Səmayə Nazim qızı</t>
  </si>
  <si>
    <t>Rəhimova Gülər Arzu qızı</t>
  </si>
  <si>
    <t>Şirinov Əli Rasim oğlu</t>
  </si>
  <si>
    <t>Cavadova Mədinə Əyyub qızı</t>
  </si>
  <si>
    <t>Nuruzadə Müslüm Musa oğlu</t>
  </si>
  <si>
    <t>İsgəndərova Nurcan Elnur qızı</t>
  </si>
  <si>
    <t>Məmmədov Elvin Adil oğlu</t>
  </si>
  <si>
    <t>Abduləlimova Rəfiqə Ayaz qızı</t>
  </si>
  <si>
    <t>Ağayeva Aytac İlqar qızı</t>
  </si>
  <si>
    <t>Abdullayeva Aytən Mövlan qızı</t>
  </si>
  <si>
    <t>Nəzirova Aygün Elnur qızı</t>
  </si>
  <si>
    <t>Qurbanov Tapdıq Vasif oğlu</t>
  </si>
  <si>
    <t>Əbdülzadə Ləman Pərviz qızı</t>
  </si>
  <si>
    <t>Quliyeva Təhminə Vurğun qızı</t>
  </si>
  <si>
    <t>Şıxəliyeva Sənəm Camal qızı</t>
  </si>
  <si>
    <t>Muradlı Nuranə Elşən qızı</t>
  </si>
  <si>
    <t>Rəsulov Əmirxan Əbilfət oğlu</t>
  </si>
  <si>
    <t>Babazadə Ləman Rahim qızı</t>
  </si>
  <si>
    <t>Cavadlı Eyvaz Heybət oğlu</t>
  </si>
  <si>
    <t>Yusibova Nəzrin Nail qızı</t>
  </si>
  <si>
    <t>Nurəliyeva Sevinc Sədi qızı</t>
  </si>
  <si>
    <t>Maqsudlu Aytən Mehman qızı</t>
  </si>
  <si>
    <t>İbadova Aytən Nəriman qızı</t>
  </si>
  <si>
    <t>Nəcəfli Çilənay Asif qızı</t>
  </si>
  <si>
    <t>Nağısoy Aytac Bünyad qızı</t>
  </si>
  <si>
    <t>Həsənəliyev Ziyəddin Bayram oğlu</t>
  </si>
  <si>
    <t>Vəliyev Kənan Alış oğlu</t>
  </si>
  <si>
    <t>Osmanova Günay Səhəddin qızı</t>
  </si>
  <si>
    <t>Rzayev Səməndər Sadıx oğlu</t>
  </si>
  <si>
    <t>Tağıyev Emil Adil oğlu</t>
  </si>
  <si>
    <t>Qasımov Zaur Eldar oğlu</t>
  </si>
  <si>
    <t>Hüseynov Niyazi Yolçu oğlu</t>
  </si>
  <si>
    <t>İbrahimov Orxan İlham oğlu</t>
  </si>
  <si>
    <t>Məmmədov Seymur Müsafir oğlu</t>
  </si>
  <si>
    <t>Budaqlı Eşqin Oqtay oğlu</t>
  </si>
  <si>
    <t>Hüseynov Nicat Faiq oğlu</t>
  </si>
  <si>
    <t>Səfərli Cavid Fərman oğlu</t>
  </si>
  <si>
    <t>Sadıqova Leyla Arif qızı</t>
  </si>
  <si>
    <t>Aslanov Elnur Elşən oğlu</t>
  </si>
  <si>
    <t>Musayev Mahmud Abdulla oğlu</t>
  </si>
  <si>
    <t>Əliyeva Mehri Oqtay qızı</t>
  </si>
  <si>
    <t>Akifzadə Lalə Ələkbər qızı</t>
  </si>
  <si>
    <t>Süleymanova Günel Firdovsi qızı</t>
  </si>
  <si>
    <t>Qulu-zadə Səbinə Asif qızı</t>
  </si>
  <si>
    <t>Omarova Şəhla Sabir qızı</t>
  </si>
  <si>
    <t>Vətəndust Zəhra Hüseyn qızı</t>
  </si>
  <si>
    <t>Hüseynova Xanım Dəmir qızı</t>
  </si>
  <si>
    <t>Heydərov Səməd Vahid oğlu</t>
  </si>
  <si>
    <t>Hüseynli Ülviyyə Arif qızı</t>
  </si>
  <si>
    <t>Alxasova Lamiyə Məmmədəli qızı</t>
  </si>
  <si>
    <t>Yolçuyev Hidayət Əli oğlu</t>
  </si>
  <si>
    <t>Cəlilova Bəsti Aslan qızı</t>
  </si>
  <si>
    <t>Qulizadə Rəfiqə Elxan qızı</t>
  </si>
  <si>
    <t>Cəfərli Aytən Mahir qızı</t>
  </si>
  <si>
    <t>Zeynalov Urfan Nadir oğlu</t>
  </si>
  <si>
    <t>Məmmədzadə Pərviz Nəsib oğlu</t>
  </si>
  <si>
    <t>Məsimov Ceyhun Gülalı oğlu</t>
  </si>
  <si>
    <t>Mahmudov Rüstəm Şahin oğlu</t>
  </si>
  <si>
    <t>Məmmədov Hikmət Mürvət oğlu</t>
  </si>
  <si>
    <t>Hacıyev Təhmiraz Elbrus oğlu</t>
  </si>
  <si>
    <t>Tanrıverdiyev Elsevər Qədir oğlu</t>
  </si>
  <si>
    <t>Məmmədov Əli Məmmədəli oğlu</t>
  </si>
  <si>
    <t>Nuhov Səlim Vaqif oğlu</t>
  </si>
  <si>
    <t>Səfərli Elmir Rəvan oğlu</t>
  </si>
  <si>
    <t>Qasımov Nüsrət Ədalət oğlu</t>
  </si>
  <si>
    <t>Məmmədxanlı Nicat Oktay oğlu</t>
  </si>
  <si>
    <t>Ələsgərov Azad Baloğlan oğlu</t>
  </si>
  <si>
    <t>Gözəlov Fazil Mehdi oğlu</t>
  </si>
  <si>
    <t>Axundov Vüsal Zabit oğlu</t>
  </si>
  <si>
    <t>Rəhimov Ələkbər Rövşən oğlu</t>
  </si>
  <si>
    <t>Məmmədov Rəhim Ramiz oğlu</t>
  </si>
  <si>
    <t>Kazımov Samid Mirzaid oğlu</t>
  </si>
  <si>
    <t>Süleymanov Emin Miradəm oğlu</t>
  </si>
  <si>
    <t>Babalı Fazil Lətif oğlu</t>
  </si>
  <si>
    <t>Əzizov Elçin Oqtay oğlu</t>
  </si>
  <si>
    <t>Mehdizadə Babək Mehman oğlu</t>
  </si>
  <si>
    <t>İsayev Orxan Şərəfəddin oğlu</t>
  </si>
  <si>
    <t>Rəhimov Hüseyn Rza oğlu</t>
  </si>
  <si>
    <t>Şahquluyev Bayram Hamlet oğlu</t>
  </si>
  <si>
    <t>Axundov Qüdrət Sərdar oğlu</t>
  </si>
  <si>
    <t>Məmmədli Elmar Hüseyn oğlu</t>
  </si>
  <si>
    <t>Ələkbərov Emin Həsən oğlu</t>
  </si>
  <si>
    <t xml:space="preserve">	Alxanzadə Qaraş İlham oğlu</t>
  </si>
  <si>
    <t>Babayev Amid Vasif oğlu</t>
  </si>
  <si>
    <t>Məlikzadə Araz Yaşar oğlu</t>
  </si>
  <si>
    <t>Ocaqlı Tamerlan Fərhad oğlu</t>
  </si>
  <si>
    <t>Xələfov Camal Nüsrət oğlu</t>
  </si>
  <si>
    <t>Süleymanov Məmməd Mahmud oğlu</t>
  </si>
  <si>
    <t>Quluzadə Eldəniz Vidadi oğlu</t>
  </si>
  <si>
    <t>Cəbrayılov Cəbrayıl Namiq oğlu</t>
  </si>
  <si>
    <t>Heydərov Fərid Azər oğlu</t>
  </si>
  <si>
    <t>Baxşiyev Vüqar Rüstəm oğlu</t>
  </si>
  <si>
    <t>Dadaşov Kamil Əfqan oğlu</t>
  </si>
  <si>
    <t>Məmmədov Nicat Qabil oğlu</t>
  </si>
  <si>
    <t>Quluzadə Əzim Lətif oğlu</t>
  </si>
  <si>
    <t>ALIEV ISRAPHIL</t>
  </si>
  <si>
    <t>Qələbəyov Fərid Ceyhun oğlu</t>
  </si>
  <si>
    <t>Vahidli Murad Rəfael oğlu</t>
  </si>
  <si>
    <t>Məmmədov Ramin Elçin oğlu</t>
  </si>
  <si>
    <t>Şeyıxov Səbuhi Fikrət oğlu</t>
  </si>
  <si>
    <t>Ağazadə Röyal Mübariz oğlu</t>
  </si>
  <si>
    <t>Məmiyev Əli Müşfiq oğlu</t>
  </si>
  <si>
    <t>Həmidli Mehman Kamran oğlu</t>
  </si>
  <si>
    <t>Abbaszadə Fərahim Rasim oğlu</t>
  </si>
  <si>
    <t>Seyidov Sənkan Mahir oğlu</t>
  </si>
  <si>
    <t>Qasımov Cavid Mirfazil oğlu</t>
  </si>
  <si>
    <t>Cəfərov Ərəstun Bəxtiyar oğlu</t>
  </si>
  <si>
    <t>Rəsulov Pərviz Vahid oğlu</t>
  </si>
  <si>
    <t>Əliyev Zaur Yusif oğlu</t>
  </si>
  <si>
    <t>Əhmədov Ramil Əhliman oğlu</t>
  </si>
  <si>
    <t>Azadlı Eldar Pəhləvan oğlu</t>
  </si>
  <si>
    <t>İbrahimov Tofiq Elxan oğlu</t>
  </si>
  <si>
    <t>Fərəcov Qəhrəman Arzuman oğlu</t>
  </si>
  <si>
    <t>Usubov İbrahim Balakişi oğlu</t>
  </si>
  <si>
    <t>Əliyev Kamran Elxan oğlu</t>
  </si>
  <si>
    <t>Həsənov Sahib Musa oğlu</t>
  </si>
  <si>
    <t>Qafarov Teymur Məzahir oğlu</t>
  </si>
  <si>
    <t>Şərifov Məmməd Arzular oğlu</t>
  </si>
  <si>
    <t>Rəsulov Emin Fazil oğlu</t>
  </si>
  <si>
    <t>Haqverdiyev Kamran Saleh oğlu</t>
  </si>
  <si>
    <t>İmamverdiyev Behbud Bəxtiyar oğlu</t>
  </si>
  <si>
    <t>Hüseynov Şərif Valeh oğlu</t>
  </si>
  <si>
    <t>Təhməzova Zeynəb Səyyad qızı</t>
  </si>
  <si>
    <t>Abbasov Ceyhun İsmayıl oğlu</t>
  </si>
  <si>
    <t>Məmmədova Fidan Anar qızı</t>
  </si>
  <si>
    <t>Tarverdiyev Rəvan Cavanşir oğlu</t>
  </si>
  <si>
    <t>Bağırov Yalçın İsa oğlu</t>
  </si>
  <si>
    <t>Ələskərov Orxan Nadim oğlu</t>
  </si>
  <si>
    <t>Əhmədova Sevda Ramiz qızı</t>
  </si>
  <si>
    <t>Axundova Sevinc Umud qızı</t>
  </si>
  <si>
    <t>Muradova Şahanə Şirvan qızı</t>
  </si>
  <si>
    <t>İsmayılzadə Zümrüd Ağaverdi qızı</t>
  </si>
  <si>
    <t>Tamılı Novruz Gümrah oğlu</t>
  </si>
  <si>
    <t>Mustafayev Həsən Eyvaz oğlu</t>
  </si>
  <si>
    <t>Nəcəfov Rahil Məcid oğlu</t>
  </si>
  <si>
    <t>Kərimov Samir Fəxrəddin oğlu</t>
  </si>
  <si>
    <t>Allahverdiyev Elyaz Cəlal oğlu</t>
  </si>
  <si>
    <t>Süleymanov Anar İsə oğlu</t>
  </si>
  <si>
    <t>Təhməzli Qoşqar Azər oğlu</t>
  </si>
  <si>
    <t>Məmmədov Nəriman İsmayıl oğlu</t>
  </si>
  <si>
    <t>Mehdiyev Nəzər Azər oğlu</t>
  </si>
  <si>
    <t>Əliyeva Sevda Səftər qızı</t>
  </si>
  <si>
    <t>Əsədova Tinatin İlqar qızı</t>
  </si>
  <si>
    <t>Əlizadə Tərlan Qəzənfər oğlu</t>
  </si>
  <si>
    <t>Həsənov Elvin Mehman oğlu</t>
  </si>
  <si>
    <t>Zeynalov Rövşən Asim oğlu</t>
  </si>
  <si>
    <t>Bayramov Afşin Məmməd oğlu</t>
  </si>
  <si>
    <t>Salmanzadə Adışirin Məhəmməd oğlu</t>
  </si>
  <si>
    <t>Məhərrəmov Ağasəf Natiq oğlu</t>
  </si>
  <si>
    <t>Yunuslu Aytac Vüqar qızı</t>
  </si>
  <si>
    <t>Əsgərli Fərid Zaman oğlu</t>
  </si>
  <si>
    <t>Mahmudova Böyükxanim İlqar qızı</t>
  </si>
  <si>
    <t>Behbudov Vüsal Zakir oğlu</t>
  </si>
  <si>
    <t>Hüseynov Hüseyin Nəbi oğlu</t>
  </si>
  <si>
    <t>Məmmədli Bəhruz Məkan oğlu</t>
  </si>
  <si>
    <t>Abdullazadə Gülər Rəhman qızı</t>
  </si>
  <si>
    <t>Ağayev Nicat Camal oğlu</t>
  </si>
  <si>
    <t>Abdullayeva Aydan Vüqar qızı</t>
  </si>
  <si>
    <t>Muradsoy Qabil Elman oğlu</t>
  </si>
  <si>
    <t>Orucov Eldar Ələmdar oğlu</t>
  </si>
  <si>
    <t>Şixəliyev Elşən Niftəli oğlu</t>
  </si>
  <si>
    <t>Abdullayev Xanoğlan Nariman oğlu</t>
  </si>
  <si>
    <t>Fərzalıyev Rauf Hafiz oğlu</t>
  </si>
  <si>
    <t>İmanova Ağgül Xankişi qızı</t>
  </si>
  <si>
    <t>Qurbanova Ruhəngiz Ədalət qızı</t>
  </si>
  <si>
    <t>Umudalıyeva Gülnur Şöhrəddin qızı</t>
  </si>
  <si>
    <t>Nadirli Fərhad Şəfayət oğlu</t>
  </si>
  <si>
    <t>Çıraqov Elşən Nəriman oğlu</t>
  </si>
  <si>
    <t>İsayev Vüsal İlham oğlu</t>
  </si>
  <si>
    <t>Bəhramova İlhamə İlham qızı</t>
  </si>
  <si>
    <t>Mustafayev Zeynal Kənan oğlu</t>
  </si>
  <si>
    <t>Asəfova Maya Fuad qızı</t>
  </si>
  <si>
    <t>Mahmudov Teymur Əkbər oğlu</t>
  </si>
  <si>
    <t>Quliyev Oruc Sarvan oğlu</t>
  </si>
  <si>
    <t>Məmmədova Nərmin Vəli qızı</t>
  </si>
  <si>
    <t>Quliyeva Fidan İlqar qızı</t>
  </si>
  <si>
    <t>Qasımzadə Kənan Nemət oğlu</t>
  </si>
  <si>
    <t>Aslanova Ələsgərli Nigar Allahverdi qızı</t>
  </si>
  <si>
    <t>Ələkbərov Emil Ehtibar oğlu</t>
  </si>
  <si>
    <t>Sultanlı Ülfət Bəşir qızı</t>
  </si>
  <si>
    <t>Seyidova Zülfiyyə Sahib qızı</t>
  </si>
  <si>
    <t>Əsgərov Mübariz Elmar oğlu</t>
  </si>
  <si>
    <t>Həsənov Tamerlan Emil oğlu</t>
  </si>
  <si>
    <t>SAHMUROVA SAMIRA</t>
  </si>
  <si>
    <t>Kərimova Xanım Əhməd qızı</t>
  </si>
  <si>
    <t xml:space="preserve">	Abbasbəyli İbrahim Emin oğlu</t>
  </si>
  <si>
    <t>Qurbanov Orxan Sahiboviç</t>
  </si>
  <si>
    <t>Ağazadə Ləman Kamil qızı</t>
  </si>
  <si>
    <t>Eyvazova Mədinə Namiq qızı</t>
  </si>
  <si>
    <t>Meyraliyeva Cəmilə Aydın qızı</t>
  </si>
  <si>
    <t>Əmiraslanlı Jalə Kamran qızı</t>
  </si>
  <si>
    <t>Teymurova Lalə İlqar qızı</t>
  </si>
  <si>
    <t>Abdullayev Elvin Nəsib oğlu</t>
  </si>
  <si>
    <t>Rəhimov Adil Müşfiq oğlu</t>
  </si>
  <si>
    <t>Soltanov Tural Telman oğlu</t>
  </si>
  <si>
    <t>Axundov Araz Azər oğlu</t>
  </si>
  <si>
    <t>Umudov Zülfi İlqar oğlu</t>
  </si>
  <si>
    <t>Əlizadə Elxan Kamal oğlu</t>
  </si>
  <si>
    <t>Məmmədli Ceyhun Xalid oğlu</t>
  </si>
  <si>
    <t>Qədirov Anar Məhəmməd oğlu</t>
  </si>
  <si>
    <t>Məmmədzadə Aydın Sabir oğlu</t>
  </si>
  <si>
    <t>Xəlilova Zülfiyyə Azad qızı</t>
  </si>
  <si>
    <t>İldrımlı Orxan İlqar oğlu</t>
  </si>
  <si>
    <t>Səttarov Əli Variz oğlu</t>
  </si>
  <si>
    <t>Bayramova Tahirə Yaşar qızı</t>
  </si>
  <si>
    <t>Ağayeva Elza Malik qızı</t>
  </si>
  <si>
    <t>Cəlilli Şahin Adil oğlu</t>
  </si>
  <si>
    <t>İmanova Günay Natiqovna</t>
  </si>
  <si>
    <t>Raxmanov Aleksandr Nikolayeviç</t>
  </si>
  <si>
    <t>Məsimov Rauf Sərdar oğlu</t>
  </si>
  <si>
    <t>Məmmədov Orxan Vəli oğlu</t>
  </si>
  <si>
    <t>Abdulov Namid Natiq oğlu</t>
  </si>
  <si>
    <t>Əliyeva Leyla Firidun qızı</t>
  </si>
  <si>
    <t>Əsədova Könül Cəfər qızı</t>
  </si>
  <si>
    <t>Vəkilov İsmət Ülfət oğlu</t>
  </si>
  <si>
    <t>Qasımzadə Sərxan Sevlan oğlu</t>
  </si>
  <si>
    <t>Səbziyev Rüfət Süleyman oğlu</t>
  </si>
  <si>
    <t>Əhmədli Aytən Elman qızı</t>
  </si>
  <si>
    <t>Ələskər-zadə Mirnatiq Mirrasim oğlu</t>
  </si>
  <si>
    <t>Mehdiyev Cavidan Gündüz oğlu</t>
  </si>
  <si>
    <t>Hacıyev Asif Sərdar oğlu</t>
  </si>
  <si>
    <t>Aydarova Nərmin Rüstəm qızı</t>
  </si>
  <si>
    <t>İsmayilli Ağarəhim Seymur oğlu</t>
  </si>
  <si>
    <t>Quliyev Amil Mahəddin oğlu</t>
  </si>
  <si>
    <t>Cəlilova Günel Eylaz qızı</t>
  </si>
  <si>
    <t>Göyüşov Rəsul Vüqar oğlu</t>
  </si>
  <si>
    <t>Babayev Nəcəf Azər oğlu</t>
  </si>
  <si>
    <t>Süleymanov Vüsal Şəmsəddin oğlu</t>
  </si>
  <si>
    <t>Abdurrəhimova Nərmin Azər qızı</t>
  </si>
  <si>
    <t>Rüstəmov Nazim Saləh oğlu</t>
  </si>
  <si>
    <t>Binyatov Əfqan Yaqub oğlu</t>
  </si>
  <si>
    <t>Süleymanlı Firudin Xəlil oğlu</t>
  </si>
  <si>
    <t>Bayramov Həzrət İbadət oğlu</t>
  </si>
  <si>
    <t>Hüseynov Eldəniz Eldar oğlu</t>
  </si>
  <si>
    <t>Zeynalov Bəxtiyar Şahan oğlu</t>
  </si>
  <si>
    <t>Namətova Səbinə Samin qızı</t>
  </si>
  <si>
    <t>Rzayev Seymur Hikmət oğlu</t>
  </si>
  <si>
    <t>Umudzadə Nicat İlham oğlu</t>
  </si>
  <si>
    <t>Əsədov Pərviz Vahid oğlu</t>
  </si>
  <si>
    <t>Seyidəhmədova Yetər Rəhman qızı</t>
  </si>
  <si>
    <t>Əliyev Emil Kamran oğlu</t>
  </si>
  <si>
    <t>Rüstəmli Ceyhun Polad oğlu</t>
  </si>
  <si>
    <t>İmamverdiyeva Sevil Zəki qızı</t>
  </si>
  <si>
    <t>Vahidov Elşad Habil oğlu</t>
  </si>
  <si>
    <t>İsmayılova Mərmər Firdovsi qızı</t>
  </si>
  <si>
    <t>Nadirov Fərid Mehman oğlu</t>
  </si>
  <si>
    <t>Əmrahov Ümid Azər oğlu</t>
  </si>
  <si>
    <t>Cabbarov Vahid Müslüm oğlu</t>
  </si>
  <si>
    <t>Qasımov Kənan Etibar oğlu</t>
  </si>
  <si>
    <t>Zeynalova Elnarə Rəşid qızı</t>
  </si>
  <si>
    <t>Şahbazov Renad Zakir oğlu</t>
  </si>
  <si>
    <t>Mənsimov Kamran Şıxali oğlu</t>
  </si>
  <si>
    <t>Məmmədova Mehriban Vahab qızı</t>
  </si>
  <si>
    <t>Quliyev Elmir Tərlan oğlu</t>
  </si>
  <si>
    <t>Əsgərova Ülkər Əhəd qızı</t>
  </si>
  <si>
    <t>Vəliyev Vicay Saday oğlu</t>
  </si>
  <si>
    <t>Hüseynli Cəmil Elşad oğlu</t>
  </si>
  <si>
    <t>Aslanov Telman Soltan oğlu</t>
  </si>
  <si>
    <t>Yusubov Elturan İlham oğlu</t>
  </si>
  <si>
    <t>Osmanov Təvəkkül Osman oğlu</t>
  </si>
  <si>
    <t>Məmmədov Bəlyar Vüqar oğlu</t>
  </si>
  <si>
    <t>Ələsgərov Elvin Rasim oğlu</t>
  </si>
  <si>
    <t>Abbasov Tapdıq İlyas oğlu</t>
  </si>
  <si>
    <t>Bayramov Seyran Bəxtiyar oğlu</t>
  </si>
  <si>
    <t>Xəlilov Xəlil Feyzulla oğlu</t>
  </si>
  <si>
    <t>Ağayev Həmid Akif oğlu</t>
  </si>
  <si>
    <t>Bayramova Zümrüd Natiq qızı</t>
  </si>
  <si>
    <t>Babayev Anar Faiq oğlu</t>
  </si>
  <si>
    <t>Mənsumzadə Mirzəyeva Gülnar Cəbrayıl qızı</t>
  </si>
  <si>
    <t>Məmmədli Şükufə Rəfail qızı</t>
  </si>
  <si>
    <t>Salmanlı Fərhad Nüsrəddin oğlu</t>
  </si>
  <si>
    <t>Yusubov Tural Ceyhun oğlu</t>
  </si>
  <si>
    <t>Əhmədov Samir Tufan oğlu</t>
  </si>
  <si>
    <t>Qurbanlı Əli Faiq oğlu</t>
  </si>
  <si>
    <t>Məmmədov Elçin Nazim oğlu</t>
  </si>
  <si>
    <t>Aslanova Nərminə Səlim qızı</t>
  </si>
  <si>
    <t>Vəlizadə Lalə Müsəddin qızı</t>
  </si>
  <si>
    <t>Abbasov Rafil Rəfail oğlu</t>
  </si>
  <si>
    <t>Hüseynli Şəbnəm Kamran qızı</t>
  </si>
  <si>
    <t>Tağıyeva Gülnarə Mais qızı</t>
  </si>
  <si>
    <t>Süleymanov Nəriman Eldar oğlu</t>
  </si>
  <si>
    <t>Mehdiyev Tofiq Rauf oğlu</t>
  </si>
  <si>
    <t>Bayramova Sevinc Əmin qızı</t>
  </si>
  <si>
    <t>Sanıyev Fərhad Məhəmməd oğlu</t>
  </si>
  <si>
    <t>Soltanov Elməddin Tacəddin oğlu</t>
  </si>
  <si>
    <t>Xalıqzadə Atamalı Güləli oğlu</t>
  </si>
  <si>
    <t>Mirzəyev Ruslan Telman oğlu</t>
  </si>
  <si>
    <t>Osmanov Etibar Abdulla oğlu</t>
  </si>
  <si>
    <t>Əliyev Nicat Rauf oğlu</t>
  </si>
  <si>
    <t>Bayramov Zaid Valeh oğlu</t>
  </si>
  <si>
    <t>İbrahimov Rəşid Rəşad oğlu</t>
  </si>
  <si>
    <t>Hacıyev Şahin Mustafa oğlu</t>
  </si>
  <si>
    <t>İbrahimova Naibə Böyük Ağa qızı</t>
  </si>
  <si>
    <t>Kərimova Ruxsarə Nurəddin qızı</t>
  </si>
  <si>
    <t>Qəhrəmanova Səkinə Yaşar qızı</t>
  </si>
  <si>
    <t>Hüseynova İradə Vəkil qızı</t>
  </si>
  <si>
    <t>Skvortsova Sabina Fikrətovna</t>
  </si>
  <si>
    <t>Poladova Yenigül İnsafəli qızı</t>
  </si>
  <si>
    <t>Ağayev Aslan Rasim oğlu</t>
  </si>
  <si>
    <t>Osmanova Nigar İsmixan qızı</t>
  </si>
  <si>
    <t>Süleymanzadə Pərviz Süleyman oğlu</t>
  </si>
  <si>
    <t>Rəsulzadə Həsən Hüseyn oğlu</t>
  </si>
  <si>
    <t>Bilalzadə Ümid Firdovsi oğlu</t>
  </si>
  <si>
    <t>Əliyev Kənan Rövşən oğlu</t>
  </si>
  <si>
    <t>Səfərzadə Nurlan İzzət oğlu</t>
  </si>
  <si>
    <t>Əliyev Aqşin Alqış oğlu</t>
  </si>
  <si>
    <t xml:space="preserve">	Şavqatov Qəhrəman Azad oğlu</t>
  </si>
  <si>
    <t>Aslanov Şahin Mübarizoviç</t>
  </si>
  <si>
    <t>Abdullayev Anar Yuriy oğlu</t>
  </si>
  <si>
    <t>Gülməmmədov Elnur Zakir oğlu</t>
  </si>
  <si>
    <t>Qasımov Lətif Şiralı oğlu</t>
  </si>
  <si>
    <t>Abışova Günay Məhərrəm qızı</t>
  </si>
  <si>
    <t>Əhmədli Elvin Qəzənfər oğlu</t>
  </si>
  <si>
    <t>Əhmədov Rəşad Bayram oğlu</t>
  </si>
  <si>
    <t>Həsənov Seymur Faiq oğlu</t>
  </si>
  <si>
    <t>Umarova Arzu Vaqif qızı</t>
  </si>
  <si>
    <t>Musayeva Ləman Rasim qızı</t>
  </si>
  <si>
    <t>Mehdiyeva Lalə Vaqif qızı</t>
  </si>
  <si>
    <t>Mirzəzadə Taleh Tofiq oğlu</t>
  </si>
  <si>
    <t>MURADOV RAKHIB</t>
  </si>
  <si>
    <t>Abadova Aygün Tahir qızı</t>
  </si>
  <si>
    <t>Məmmədov Rasim Fazil oğlu</t>
  </si>
  <si>
    <t>Əhmədova Almaz Məhərrəm qızı</t>
  </si>
  <si>
    <t>Mikayılzadə Rasət Mürüvvət oğlu</t>
  </si>
  <si>
    <t>Rzayeva Nəzirin Arzu qızı</t>
  </si>
  <si>
    <t>Həsənova Aysel Seymur qızı</t>
  </si>
  <si>
    <t>Abdullazadə Püstə Oruc qızı</t>
  </si>
  <si>
    <t>Həbibli Fidan Asif qızı</t>
  </si>
  <si>
    <t>Muradov Ramil Gülbala oğlu</t>
  </si>
  <si>
    <t>Quliyeva Ülviyə Sevindir qızı</t>
  </si>
  <si>
    <t>Rəhimli Gülşən İlqar qızı</t>
  </si>
  <si>
    <t>Xamiyeva Şəfiqə Məmməd qızı</t>
  </si>
  <si>
    <t>Həsənova Dilbər Mübariz qızı</t>
  </si>
  <si>
    <t>Kərimova Aysel Şakir qızı</t>
  </si>
  <si>
    <t>Həziyev Mehdi Bahadur oğlu</t>
  </si>
  <si>
    <t>Nağıyeva Nurlana Razim qızı</t>
  </si>
  <si>
    <t>Abbasova Aytac Nadir qızı</t>
  </si>
  <si>
    <t>Rüstəmli Əfsanə Nizami qızı</t>
  </si>
  <si>
    <t>Abbasova Sevda Vidadi qızı</t>
  </si>
  <si>
    <t>Məmmədova Aysel Həsənağa qızı</t>
  </si>
  <si>
    <t>Hüseynov Məmmədrza Məhəbbət oğlu</t>
  </si>
  <si>
    <t>Həşimov Anar İldırım oğlu</t>
  </si>
  <si>
    <t>Şiriyeva Şahsənəm Bəyoğlan qızı</t>
  </si>
  <si>
    <t>Uzakova Amaliya İntiqam qızı</t>
  </si>
  <si>
    <t>Rəşidi Osman Qeys oğlu</t>
  </si>
  <si>
    <t>Tağıyev Elzamin Musa oğlu</t>
  </si>
  <si>
    <t>Məhəmmədli Emil Bəxtiyar oğlu</t>
  </si>
  <si>
    <t>Əhmədov Əlövsət Mətləb oğlu</t>
  </si>
  <si>
    <t>Nəsirova Aytac Tahir qızı</t>
  </si>
  <si>
    <t>Əkbərov Fərrux Ramin oğlu</t>
  </si>
  <si>
    <t>Axundova Ayşə Sərdar qızı</t>
  </si>
  <si>
    <t>Hüseynova Ülkər Etibar qızı</t>
  </si>
  <si>
    <t>Alıyeva Səbinə Ramin qızı</t>
  </si>
  <si>
    <t>Qəhrəmanov Emil Eminağa oğlu</t>
  </si>
  <si>
    <t>Oruc Orxan Namiq oğlu</t>
  </si>
  <si>
    <t>Əhmədova Ləman Zahid qızı</t>
  </si>
  <si>
    <t>İsmayılova Esmira Hüseyn qızı</t>
  </si>
  <si>
    <t>Əliyev Səbuhi Xudamizoviç</t>
  </si>
  <si>
    <t>Aslanova Aysel Azad qızı</t>
  </si>
  <si>
    <t>Həşimov Əlib Aqil oğlu</t>
  </si>
  <si>
    <t>İsmayılov Sacid Mikayıl oğlu</t>
  </si>
  <si>
    <t>Mürşüdov Xalid Elşən oğlu</t>
  </si>
  <si>
    <t>XXX Nərmin Nurəddin qızı</t>
  </si>
  <si>
    <t>Hüseynova Nərmin Ramiz qızı</t>
  </si>
  <si>
    <t>Abbaslı Kamran Ərəstun oğlu</t>
  </si>
  <si>
    <t>Əsədova Humay Eldar qızı</t>
  </si>
  <si>
    <t>Ocaqov Hüseyn Yavər oğlu</t>
  </si>
  <si>
    <t>Baloğlanlı Rahid Ələddin oğlu</t>
  </si>
  <si>
    <t>Əkbərov Eltun Xəzail oğlu</t>
  </si>
  <si>
    <t>Kəlbiyeva Nigar Yusif qızı</t>
  </si>
  <si>
    <t>Quliyeva Lalə Həsən qızı</t>
  </si>
  <si>
    <t>Hacıyeva Həsrət Vüqar qızı</t>
  </si>
  <si>
    <t>Siyahova Aytac Habil qızı</t>
  </si>
  <si>
    <t>Xəlilova Aytən Allahverdi qızı</t>
  </si>
  <si>
    <t>Mehtiyev Tural İnsaf oğlu</t>
  </si>
  <si>
    <t>Rüstəmli Lalə Ziyad qızı</t>
  </si>
  <si>
    <t>Məmmədli Məmmədhüseyn Niyaməddin oğlu</t>
  </si>
  <si>
    <t>Kərimova Zərifə Yusif qızı</t>
  </si>
  <si>
    <t>Yunusova Aytən Çingiz qızı</t>
  </si>
  <si>
    <t>Məhərrəmova Narınc Yunis qızı</t>
  </si>
  <si>
    <t>Əliməmmədova Arzu Ağalar qızı</t>
  </si>
  <si>
    <t>İmanov Sənan Vəkil oğlu</t>
  </si>
  <si>
    <t>Rəhimli Firidun Firdovsi oğlu</t>
  </si>
  <si>
    <t>Babayev Rəbbi Vüqar oğlu</t>
  </si>
  <si>
    <t>Quluyev Toğrul Gəray oğlu</t>
  </si>
  <si>
    <t>Həsənov Şahmar Atif oğlu</t>
  </si>
  <si>
    <t>İsrafilova Səidə Qurban qızı</t>
  </si>
  <si>
    <t>Mikayılov Tofiq Rafiq oğlu</t>
  </si>
  <si>
    <t>Qəniyev Sübhan İslam oğlu</t>
  </si>
  <si>
    <t>Cəfərli Səid Zöhrab oğlu</t>
  </si>
  <si>
    <t>Əliyev Əliağa Firudin oğlu</t>
  </si>
  <si>
    <t>Cahangirli Günay Bəxtiyar qızı</t>
  </si>
  <si>
    <t>Cəfərova Nərmin Anar qızı</t>
  </si>
  <si>
    <t>Qocayeva Nərgiz İbrahim qızı</t>
  </si>
  <si>
    <t>İsgəndərova Əfsanə Daşqın qızı</t>
  </si>
  <si>
    <t>Qaraxanova Gülanə Rahat qızı</t>
  </si>
  <si>
    <t>Əsədov İlqar Aydın oğlu</t>
  </si>
  <si>
    <t>Əliyeva Elnurə Gülqasım qızı</t>
  </si>
  <si>
    <t>Rəsulzadə Nəriman Telman oğlu</t>
  </si>
  <si>
    <t>Xanməmmədov Rəvan Rahil oğlu</t>
  </si>
  <si>
    <t>Əliyev Tural Habil oğlu</t>
  </si>
  <si>
    <t>İsmayılov Fərid Məhəmməd oğlu</t>
  </si>
  <si>
    <t>İbrahimova Günel Zabit qızı</t>
  </si>
  <si>
    <t>Əyyubov Nicat Yusif oğlu</t>
  </si>
  <si>
    <t>Heydərli Ülkər Akif qızı</t>
  </si>
  <si>
    <t>Rzalı Elvin Vidadi oğlu</t>
  </si>
  <si>
    <t>Əskərov Seymur Mirsudef oğlu</t>
  </si>
  <si>
    <t>Quliyeva Ülviyyə Zaur qızı</t>
  </si>
  <si>
    <t xml:space="preserve">	Yüzbaşova Ətrabə Rafiq qızı</t>
  </si>
  <si>
    <t>Qurbanova Bahar Həsən qızı</t>
  </si>
  <si>
    <t>Cabbarov Xaliq Telman oğlu</t>
  </si>
  <si>
    <t>İsmayılov Fuad Arzu oğlu</t>
  </si>
  <si>
    <t>Məmmədzadə Vahid İslam oğlu</t>
  </si>
  <si>
    <t>Əlizadə Əlisəfa Məhərrəm oğlu</t>
  </si>
  <si>
    <t>Ələkbərov Orxan Ədalət oğlu</t>
  </si>
  <si>
    <t>Cəlilli Tural Aydın oğlu</t>
  </si>
  <si>
    <t>Ocaqverdiyev Hikmət Camal oğlu</t>
  </si>
  <si>
    <t>İsmayılzadə Üzeyir Əmrail oğlu</t>
  </si>
  <si>
    <t>Cavadova Türkanə Cəbrayıl qızı</t>
  </si>
  <si>
    <t>Əliyev Davud Maarif oğlu</t>
  </si>
  <si>
    <t>Həsənəliyev Samir Misir oğlu</t>
  </si>
  <si>
    <t>Mustafayev Anar Mikayıl oğlu</t>
  </si>
  <si>
    <t>Əliyev Tural Tofiq oğlu</t>
  </si>
  <si>
    <t>Ağcayev Natiq Fazil oğlu</t>
  </si>
  <si>
    <t>Əliyeva Svetlana Əjdər qızı</t>
  </si>
  <si>
    <t>Bəxtiyarova Aybəniz Abuzər qızı</t>
  </si>
  <si>
    <t>Cəfərov Cəfər Vidadi oğlu</t>
  </si>
  <si>
    <t>Vəliyeva İlhamə İlham qızı</t>
  </si>
  <si>
    <t>Atayeva Fidan Nazim qızı</t>
  </si>
  <si>
    <t>Yusubova Günel Elman qızı</t>
  </si>
  <si>
    <t>Xəlilli Aydan Cabir qızı</t>
  </si>
  <si>
    <t>Qurbanova Nigar İlqar qızı</t>
  </si>
  <si>
    <t>Qəhrəmanov Əlisoltan Arif oğlu</t>
  </si>
  <si>
    <t>Hüseynova Aysel Qalib qızı</t>
  </si>
  <si>
    <t>Abdullayeva Zəhra Əziz qızı</t>
  </si>
  <si>
    <t>Abbasova Ləman Rafiq qızı</t>
  </si>
  <si>
    <t>Tapdıqlı Aytac Namiq qızı</t>
  </si>
  <si>
    <t>Rüstəmov Rüstəm Nəriman oğlu</t>
  </si>
  <si>
    <t>Əliyev Əli Elman oğlu</t>
  </si>
  <si>
    <t>Oruczadə Əmrah Rəzail oğlu</t>
  </si>
  <si>
    <t>Fətullayev Əli Ağakərim oğlu</t>
  </si>
  <si>
    <t>Vəliyeva Şahnaz İnqilab qızı</t>
  </si>
  <si>
    <t>Rüstəmov Elvin Zakir oğlu</t>
  </si>
  <si>
    <t>İbrahimov Vüqar Azər oğlu</t>
  </si>
  <si>
    <t>Abdullayeva Aygün Qiyam qızı</t>
  </si>
  <si>
    <t>Əliyev Ceyhun Yasər oğlu</t>
  </si>
  <si>
    <t>Məmmədova Aybəniz Sudeyif qızı</t>
  </si>
  <si>
    <t>Nəsirova Şövkət Mahmud qızı</t>
  </si>
  <si>
    <t>Əhmədli Günel Adil qızı</t>
  </si>
  <si>
    <t>Ələkbərova Züleyxa Ələsgər qızı</t>
  </si>
  <si>
    <t>Ələkbərzadə Nurlan Allahverdi oğlu</t>
  </si>
  <si>
    <t>Alməmmədova Rəna Fəxrəddin qızı</t>
  </si>
  <si>
    <t>Süleymanzadə Kəmalə Əjdər qızı</t>
  </si>
  <si>
    <t>Məmmədəliyeva Jalə Yadigar qızı</t>
  </si>
  <si>
    <t>Xələfli Nurlan Nəriman oğlu</t>
  </si>
  <si>
    <t>Bağırlı Çinarə Azər qızı</t>
  </si>
  <si>
    <t>Muradov Xəyal Yaşar oğlu</t>
  </si>
  <si>
    <t>Aslan Müşərrəf Əlisəftər qızı</t>
  </si>
  <si>
    <t>Babayeva Günel Raqib qızı</t>
  </si>
  <si>
    <t>Musayev Samir Famil oğlu</t>
  </si>
  <si>
    <t>Qurbanlı Aliyə Sahib qızı</t>
  </si>
  <si>
    <t>Məmmədova Aytən Firdosi qızı</t>
  </si>
  <si>
    <t>Əhmədova Nərmin Səfər qızı</t>
  </si>
  <si>
    <t>Verdiyeva Gülər Mehman qızı</t>
  </si>
  <si>
    <t>Cəlilova Solmaz Bəxtiyar qızı</t>
  </si>
  <si>
    <t>Calalzadə Tural Camal oğlu</t>
  </si>
  <si>
    <t>Əliyeva Nuray Suludin qızı</t>
  </si>
  <si>
    <t>Kərimov Pərvin Telman oğlu</t>
  </si>
  <si>
    <t>Abasov Vüqar Əli oğlu</t>
  </si>
  <si>
    <t>Rüstəmli Rüfət Nail oğlu</t>
  </si>
  <si>
    <t>Məmmədov Elmin Salah oğlu</t>
  </si>
  <si>
    <t>Qəhrəmanova Gülnarə Ziyad qızı</t>
  </si>
  <si>
    <t>İbrahimov Elvin Həsən oğlu</t>
  </si>
  <si>
    <t>İbrahimov Rahib Rafiq oğlu</t>
  </si>
  <si>
    <t>Teymurxanlı Nicat Azad oğlu</t>
  </si>
  <si>
    <t>Hüseynov Məhəmməd Sevindik oğlu</t>
  </si>
  <si>
    <t>Abuşov Orxan Əlvan oğlu</t>
  </si>
  <si>
    <t>Orucov Əli Bəxtiyar oğlu</t>
  </si>
  <si>
    <t>Şəmiyev Vüqar Təriş oğlu</t>
  </si>
  <si>
    <t>Şahsuvarov Rahib Ramiz oğlu</t>
  </si>
  <si>
    <t>Nuri Türkan Səfər qızı</t>
  </si>
  <si>
    <t>Əliyeva Şəhla Kamil qızı</t>
  </si>
  <si>
    <t>Şabanlı Əli Zaur oğlu</t>
  </si>
  <si>
    <t>Hüseynova Səma Osman qızı</t>
  </si>
  <si>
    <t>Dadaşov Tahir Azər oğlu</t>
  </si>
  <si>
    <t>Haqverdiyev Ayxan Etibar oğlu</t>
  </si>
  <si>
    <t>Hacıyeva Sənəm Kamal qızı</t>
  </si>
  <si>
    <t>Əliyeva Əminə Rzaqulu qızı</t>
  </si>
  <si>
    <t>Ağayev Rüfət Firuz oğlu</t>
  </si>
  <si>
    <t>Baxşıyev Nazir Ramiz oğlu</t>
  </si>
  <si>
    <t>Süleymanova Nigar Ədalət qızı</t>
  </si>
  <si>
    <t>Rəsulov Ədalət Rəsul oğlu</t>
  </si>
  <si>
    <t>Seyidova Aida Teyyub qızı</t>
  </si>
  <si>
    <t>Mirzəyev Səid Vahid oğlu</t>
  </si>
  <si>
    <t>Həsənova Samirə İlham qızı</t>
  </si>
  <si>
    <t>Abdulkərimov Abdulkərim Sadıq oğlu</t>
  </si>
  <si>
    <t>Qocayeva Səlimnaz Vüqar qızı</t>
  </si>
  <si>
    <t>Şükürova Cəmalə Rəşid qızı</t>
  </si>
  <si>
    <t>Nəsirov Musa Nazim oğlu</t>
  </si>
  <si>
    <t>Məmmədova Günay Süleyman qızı</t>
  </si>
  <si>
    <t>Şəfiyeva Sevil Əlicəfər qızı</t>
  </si>
  <si>
    <t>Rüstəmli Fəridə Elman qızı</t>
  </si>
  <si>
    <t>Cəfərov Nicat Hazarxan oğlu</t>
  </si>
  <si>
    <t>Təhməzova Güllü Nemət qızı</t>
  </si>
  <si>
    <t>Tağızadə Nərminə Rauf qızı</t>
  </si>
  <si>
    <t>Babayeva Suğra Nadir qızı</t>
  </si>
  <si>
    <t>İsgəndərli Fərhad Məhəmməd oğlu</t>
  </si>
  <si>
    <t>Əliyev Pərvin Vilayət oğlu</t>
  </si>
  <si>
    <t>Heydərli Vahab Elxan oğlu</t>
  </si>
  <si>
    <t>Rzayeva Səmayə Cabir qızı</t>
  </si>
  <si>
    <t>Xəlilova Aygün Rövşən qızı</t>
  </si>
  <si>
    <t>Qurbanov Yaqub Eldəniz oğlu</t>
  </si>
  <si>
    <t>Rəfiyeva Dilşad Süleyman qızı</t>
  </si>
  <si>
    <t>Məhərrəmzadə Anar Arif oğlu</t>
  </si>
  <si>
    <t>Musayev Tərlan Elxan oğlu</t>
  </si>
  <si>
    <t>Dibirov Fuad Rasim oğlu</t>
  </si>
  <si>
    <t>Əlizadə Elnar Məmməd oğlu</t>
  </si>
  <si>
    <t>Aslanova Tamara Mübariz qızı</t>
  </si>
  <si>
    <t>Əlizadə Xuraman Pənah qızı</t>
  </si>
  <si>
    <t>İmamverdiyeva İlqarə Ramin qızı</t>
  </si>
  <si>
    <t>Əzimova Gülbəniz Mamed qızı</t>
  </si>
  <si>
    <t>Vəliyeva Nərmin Saleh qızı</t>
  </si>
  <si>
    <t>İsgəndərova Fatimə Şəfaət qızı</t>
  </si>
  <si>
    <t>Bəylərova Süleymanova Sevilə Sərdar qızı</t>
  </si>
  <si>
    <t>Allahverdili İnarə Ramazan qızı</t>
  </si>
  <si>
    <t>Əliyev Əli Əsgər oğlu</t>
  </si>
  <si>
    <t>Abdullayeva Səbinə Rövşən qızı</t>
  </si>
  <si>
    <t>Məcidzadə Jalə Natiq qızı</t>
  </si>
  <si>
    <t>Hüseynli İsmayıl Malik oğlu</t>
  </si>
  <si>
    <t>Abbasov Abbas İlham oğlu</t>
  </si>
  <si>
    <t>Məhəmmədli Gülnarə Mehman qızı</t>
  </si>
  <si>
    <t>Bayramlı Sabrina İsrafil qızı</t>
  </si>
  <si>
    <t>Xəlilov Vahid Cavanşir oğlu</t>
  </si>
  <si>
    <t>Məsimova Fəridə Şəmistan qızı</t>
  </si>
  <si>
    <t>Məhəmmədov Ömər Fuad oğlu</t>
  </si>
  <si>
    <t>Əliyeva Aytən Asəf qızı</t>
  </si>
  <si>
    <t>Alıyev Əliş Mahir oğlu</t>
  </si>
  <si>
    <t>Kərimova Mahizər İkram qızı</t>
  </si>
  <si>
    <t>Əliyev Heydər Vahid oğlu</t>
  </si>
  <si>
    <t>Quliyev Kənan Füzuli oğlu</t>
  </si>
  <si>
    <t>Əzizov Firdovsi Qulamhüseyn oğlu</t>
  </si>
  <si>
    <t>Hacıyev Məhəbbət Məmmədağa oğlu</t>
  </si>
  <si>
    <t>Səmədzadə Rəmzi Səxavət oğlu</t>
  </si>
  <si>
    <t>Ələkbərli Aytac Ələkbər qızı</t>
  </si>
  <si>
    <t>Şahmuradova Hədiyə Məsi qızı</t>
  </si>
  <si>
    <t>Hüseynov Samir Əlipaşa oğlu</t>
  </si>
  <si>
    <t>Hüseynov Yaşar Nüşrəvan oğlu</t>
  </si>
  <si>
    <t>Rüstəmova Elnurə Nəsibulla qızı</t>
  </si>
  <si>
    <t>Şərifov Elvin Məhyəddin oğlu</t>
  </si>
  <si>
    <t>Ağayev Ceyhun İmran oğlu</t>
  </si>
  <si>
    <t>Nəbiyeva Xatirə Akif qızı</t>
  </si>
  <si>
    <t>Nəcəfov Səbuhi Nizami oğlu</t>
  </si>
  <si>
    <t>Şəkərov Fərid Adil oğlu</t>
  </si>
  <si>
    <t>Hacıyeva Şövkət Rahib qızı</t>
  </si>
  <si>
    <t>Ağazadə Aysel Xaqani qızı</t>
  </si>
  <si>
    <t>Yusubov Orxan Çərkəz oğlu</t>
  </si>
  <si>
    <t>Bayramlı Leyla Nadir qızı</t>
  </si>
  <si>
    <t>Balagözov Musa Tacir oğlu</t>
  </si>
  <si>
    <t>Məmmədzadə Aynurə Ələsgər qızı</t>
  </si>
  <si>
    <t>İbrahimova Svetlana Məmməd qızı</t>
  </si>
  <si>
    <t>Əliyev Sabir Əli oğlu</t>
  </si>
  <si>
    <t>Qurbanov Sadiq Namiq oğlu</t>
  </si>
  <si>
    <t>Rəhimov Vüqar Əlibaba oğlu</t>
  </si>
  <si>
    <t>Tarverdiyeva Samirə Məlikməmməd qızı</t>
  </si>
  <si>
    <t>Cəfərova Röya Rafiq qızı</t>
  </si>
  <si>
    <t>Məmmədov Elgün Elçin oğlu</t>
  </si>
  <si>
    <t>Abdullayeva Nərgiz Alvin qızı</t>
  </si>
  <si>
    <t>Məmmədov Elgün Azər oğlu</t>
  </si>
  <si>
    <t xml:space="preserve">	Tağıyeva Güllü Elvin qızı</t>
  </si>
  <si>
    <t>Bağmanova Ülviyyə Alı qızı</t>
  </si>
  <si>
    <t>Bağıyeva Cəvahir İmamyar qızı</t>
  </si>
  <si>
    <t>Hüseyn-zadə Tatyana Aleksandrovna</t>
  </si>
  <si>
    <t>Hacıyev Mehman Məhəmmədəli oğlu</t>
  </si>
  <si>
    <t>Cəfərova Aytən Mehman qızı</t>
  </si>
  <si>
    <t>Məlikov Ruslan Faiq oğlu</t>
  </si>
  <si>
    <t>Seyidov Ağarza Ehram oğlu</t>
  </si>
  <si>
    <t>Rüstəmova İlahə Taleh qızı</t>
  </si>
  <si>
    <t>Qubadov Məhəmməd Yadulla oğlu</t>
  </si>
  <si>
    <t>Əlizadə Şəbnəm Natiq qızı</t>
  </si>
  <si>
    <t>Babazadə Fərid Muqəddin oğlu</t>
  </si>
  <si>
    <t>Seyidov Miri Ağalar oğlu</t>
  </si>
  <si>
    <t>Abasov Vasif Mirzə oğlu</t>
  </si>
  <si>
    <t>Turabov Turan Zöhrab oğlu</t>
  </si>
  <si>
    <t>Nəbili Muxtar Tahir oğlu</t>
  </si>
  <si>
    <t>Məmmədov İlham Natiq oğlu</t>
  </si>
  <si>
    <t>Məmmədzadə Tamilla Seymur qızı</t>
  </si>
  <si>
    <t>İsmayılova Lamiyə Məzahir qızı</t>
  </si>
  <si>
    <t>Həsənzadə Kənan İlham oğlu</t>
  </si>
  <si>
    <t>Umudova Rəxşəndə Rəhim qızı</t>
  </si>
  <si>
    <t>Aslanov Kamran Məzahir oğlu</t>
  </si>
  <si>
    <t>Şahmarov Rauf Zakir oğlu</t>
  </si>
  <si>
    <t>Cəfərov İslam İbrahim oğlu</t>
  </si>
  <si>
    <t>Həsənzadə Raminə Elburus qızı</t>
  </si>
  <si>
    <t>Əlizadə Nərmin Aqil qızı</t>
  </si>
  <si>
    <t>Fərzalıyev Zaur Zaməddin oğlu</t>
  </si>
  <si>
    <t>Sadıqova Sevda Məzahir qızı</t>
  </si>
  <si>
    <t>Həsənli Eldar Əhəd oğlu</t>
  </si>
  <si>
    <t>Tağıyev Pərvin Eldar oğlu</t>
  </si>
  <si>
    <t>Nuriyeva Aysel Alı qızı</t>
  </si>
  <si>
    <t>Əliyev Fərhad Süleyman oğlu</t>
  </si>
  <si>
    <t>Qəmbərova-Mirzəyeva Günel Adil qızı</t>
  </si>
  <si>
    <t>Abdullayeva Səadət Akif qızı</t>
  </si>
  <si>
    <t>Bəşirli Vüsalə Sərvaz qızı</t>
  </si>
  <si>
    <t>Hüseynli Turan Əbülfət oğlu</t>
  </si>
  <si>
    <t>Həmişəzadə Nihad Azad oğlu</t>
  </si>
  <si>
    <t>Piriyeva Sevil Siyavuş qızı</t>
  </si>
  <si>
    <t>Əmiralıyeva Zenfira Natiq qızı</t>
  </si>
  <si>
    <t>Cəlilzadə Yaqut Tariyel qızı</t>
  </si>
  <si>
    <t>Ömərova Bəşarə Xəlil qızı</t>
  </si>
  <si>
    <t>Yunusov Samir Sabir oğlu</t>
  </si>
  <si>
    <t>Nəbiyev Rəfayıl Comart oğlu</t>
  </si>
  <si>
    <t>Bastanova Nigar Vüqar qızı</t>
  </si>
  <si>
    <t>İbrahimli Türkan Rəfail qızı</t>
  </si>
  <si>
    <t>Məmmədova Gülnaz Rəsul qızı</t>
  </si>
  <si>
    <t>Qurbanova Nərmin Nəriman qızı</t>
  </si>
  <si>
    <t>Ağaliyev Nurlan Eyvaz oğlu</t>
  </si>
  <si>
    <t>Musayeva Bəşirli Nigar Akif qızı</t>
  </si>
  <si>
    <t>Qasımov Kənan Müşfiq oğlu</t>
  </si>
  <si>
    <t>Əsədli Səkinə İmanverdi qızı</t>
  </si>
  <si>
    <t>Şahbazova Rəziyyə Rəcəb qızı</t>
  </si>
  <si>
    <t>Niyazova Təhminə Oruc qızı</t>
  </si>
  <si>
    <t>Sadıqov Anar Tofiq oğlu</t>
  </si>
  <si>
    <t>Əzimli Həbib Fazil oğlu</t>
  </si>
  <si>
    <t>Mamedov İlkin Novruz oğlu</t>
  </si>
  <si>
    <t>Yusifova Aytən Mirzə qızı</t>
  </si>
  <si>
    <t>Adilova Xəyalə Famil qızı</t>
  </si>
  <si>
    <t>Rüstəmova Xanım Firuz qızı</t>
  </si>
  <si>
    <t>Eyvazov Orxan Osman oğlu</t>
  </si>
  <si>
    <t>Əliyev Elvin Xozeyn oğlu</t>
  </si>
  <si>
    <t>Azadlı Nübar Əzizbala qızı</t>
  </si>
  <si>
    <t>Əlibəyli Əli Rizvan oğlu</t>
  </si>
  <si>
    <t>Musazadə Əliməhəmməd Şövqi oğlu</t>
  </si>
  <si>
    <t>Qazıyeva Nərmin İbrahim qızı</t>
  </si>
  <si>
    <t>Mehdiyeva Ülviyyə Mehbalı qızı</t>
  </si>
  <si>
    <t>Ağayev Mirfazil Mirqabil oğlu</t>
  </si>
  <si>
    <t>İsmayılov Səddam Nəriman oğlu</t>
  </si>
  <si>
    <t>Səfərova Leyla Məmmədağa qızı</t>
  </si>
  <si>
    <t>Hüseynli Nahid Nadir oğlu</t>
  </si>
  <si>
    <t>Tağıyev Samir Məhəd oğlu</t>
  </si>
  <si>
    <t>Mövlamlı Rumiyyə Rövşən qızı</t>
  </si>
  <si>
    <t>Qurbanova Səbinə Ramiz qızı</t>
  </si>
  <si>
    <t>Məmmədov Əyyub Muğan oğlu</t>
  </si>
  <si>
    <t>Kazımzadə Elvira Etibar qızı</t>
  </si>
  <si>
    <t>Sadıqov Rəşad Ağa oğlu</t>
  </si>
  <si>
    <t>Süleymanov Pərvin Natiq oğlu</t>
  </si>
  <si>
    <t>Quluzadə İsmayıl Müşfiq oğlu</t>
  </si>
  <si>
    <t>Namaz-zadə Azər Bəxtiyar oğlu</t>
  </si>
  <si>
    <t>Kərimov Hüseyn Müşviq oğlu</t>
  </si>
  <si>
    <t>Əliyev Nicat Yasin oğlu</t>
  </si>
  <si>
    <t>Şamilova Sevinc Ramiz qızı</t>
  </si>
  <si>
    <t>Şıxəliyev Şəfahət Həmdulla oğlu</t>
  </si>
  <si>
    <t>Baharova Sevinc Ramazan qızı</t>
  </si>
  <si>
    <t>Cəbrayılova Lalə Fəxrəddin qızı</t>
  </si>
  <si>
    <t>Abdullayev Rahim Rahu oğlu</t>
  </si>
  <si>
    <t>Qurbanova Aynurə Akif qızı</t>
  </si>
  <si>
    <t>Bəbirov Vüsal Qabil oğlu</t>
  </si>
  <si>
    <t>Abbasov Hümbət Marif oğlu</t>
  </si>
  <si>
    <t>İsmayılov Azər Əsəd oğlu</t>
  </si>
  <si>
    <t>Xəlilova Ceyhunə Üzeyir qızı</t>
  </si>
  <si>
    <t>Həsənzadə Fidan Maqsud qızı</t>
  </si>
  <si>
    <t>Muxtarova Aysən İlham qızı</t>
  </si>
  <si>
    <t>Cəlilova Şəhla Rauf qızı</t>
  </si>
  <si>
    <t>Orucov Raciv İbad oğlu</t>
  </si>
  <si>
    <t>Alızadə Günay Murad qızı</t>
  </si>
  <si>
    <t>Garayev Taleh Sabir oğlu</t>
  </si>
  <si>
    <t>Yahyayeva Sənubər Əhmədağa qızı</t>
  </si>
  <si>
    <t>Məmmədov Nurlan Eldar oğlu</t>
  </si>
  <si>
    <t>Zülfüqarova Rəfiqa Nazim qızı</t>
  </si>
  <si>
    <t>Məmmədzadə Ülvi Nazim oğlu</t>
  </si>
  <si>
    <t>Rəfiyeva Aydan Qurban qızı</t>
  </si>
  <si>
    <t>İsgəndərova Rəsmiyyə İbrahim qızı</t>
  </si>
  <si>
    <t>Səfərov Elnur Qurban oğlu</t>
  </si>
  <si>
    <t>Zeynalov Anar Lətif oğlu</t>
  </si>
  <si>
    <t>Şeyxzadə Tofiq Rza oğlu</t>
  </si>
  <si>
    <t>Abbasova Gülcan Şakir qızı</t>
  </si>
  <si>
    <t>Ağayev Mehman Teyyub oğlu</t>
  </si>
  <si>
    <t>Vəlibəyova Aynur Kamil qızı</t>
  </si>
  <si>
    <t>Sadıqlı Aida Sadıq qızı</t>
  </si>
  <si>
    <t>Seyidova Əzizə Elşən qızı</t>
  </si>
  <si>
    <t>Məmmədov Toğrul Adil oğlu</t>
  </si>
  <si>
    <t>İlyasov İlkin Çingiz oğlu</t>
  </si>
  <si>
    <t>Xanpəriyev Ayaz Vaqif oğlu</t>
  </si>
  <si>
    <t>Süleymanlı Orxan Yaqub oğlu</t>
  </si>
  <si>
    <t>Rəhimbəyov Həsən Rəhim oğlu</t>
  </si>
  <si>
    <t>Təhməzova Türkan Rauf qızı</t>
  </si>
  <si>
    <t>Əlizadə Nərmin Vaqif qızı</t>
  </si>
  <si>
    <t>Qaraşlı Abasova Şükriyyə Yusif qızı</t>
  </si>
  <si>
    <t>Əlizadə Zaur Məlyəddin oğlu</t>
  </si>
  <si>
    <t>Dünyamalıyev Fuad Fərhad oğlu</t>
  </si>
  <si>
    <t>Fərzəliyev Tural Yaşar oğlu</t>
  </si>
  <si>
    <t>Hüseynli Gülnamə Asif qızı</t>
  </si>
  <si>
    <t>Quluzadə Müzayə Oruc qızı</t>
  </si>
  <si>
    <t>Cəmilova Qızılgül Məhərrəm qızı</t>
  </si>
  <si>
    <t>Əhmədzadə Aysel Anar qızı</t>
  </si>
  <si>
    <t>Hacızadə Tərlan Natiq qızı</t>
  </si>
  <si>
    <t>Qarayeva Rahidə Mehman qızı</t>
  </si>
  <si>
    <t>İsmiyev Amil Zabil oğlu</t>
  </si>
  <si>
    <t>Surxayzadə Nurlan Rafiq oğlu</t>
  </si>
  <si>
    <t>Heydərzadə Xəyal Abbasqulu oğlu</t>
  </si>
  <si>
    <t>Qəmbərov Samir Sadıq oğlu</t>
  </si>
  <si>
    <t>Mahmudlu Murad Aydın oğlu</t>
  </si>
  <si>
    <t>Mədətova Sabahgül Abış qızı</t>
  </si>
  <si>
    <t>Səmədov Əhəd Ələkbər oğlu</t>
  </si>
  <si>
    <t>Yusifov İntiqam İxdiyar oğlu</t>
  </si>
  <si>
    <t>Alqayeva Ayşə Ramazan qızı</t>
  </si>
  <si>
    <t>Şahbazlı Zərrin Zəfər qızı</t>
  </si>
  <si>
    <t>Hüseynova Jalə Nazim qızı</t>
  </si>
  <si>
    <t>Fətəlizadə Türkan İlqar qızı</t>
  </si>
  <si>
    <t>Axundova Səbinə Kamil qızı</t>
  </si>
  <si>
    <t>Mahmudova Şəfəq Elşad qızı</t>
  </si>
  <si>
    <t>Dadaşova Səbinə Rasim qızı</t>
  </si>
  <si>
    <t>Hüseynova Afət Əli qızı</t>
  </si>
  <si>
    <t>Yeylağəliyeva Jalə Elman qızı</t>
  </si>
  <si>
    <t>Nəsirov Cahid Natiq oğlu</t>
  </si>
  <si>
    <t>Nəsibli Vüsalə Əbülfəz qızı</t>
  </si>
  <si>
    <t>Əliyev Nahid Cəmil oğlu</t>
  </si>
  <si>
    <t>İsmayılov Orxan Eldar oğlu</t>
  </si>
  <si>
    <t>Vəliyev Kamran Vəfa oğlu</t>
  </si>
  <si>
    <t>Hüseynova Ləman Çingiz qızı</t>
  </si>
  <si>
    <t>Şabanova Sənubər Anar qızı</t>
  </si>
  <si>
    <t>Məmmədli Nərminə Ziyad qızı</t>
  </si>
  <si>
    <t>Bayramova Sevinc Mirzəxan qızı</t>
  </si>
  <si>
    <t>Eyvazova Sona Gülmurad qızı</t>
  </si>
  <si>
    <t>Qəribov Əli Şərif oğlu</t>
  </si>
  <si>
    <t>Nəsiri Miramil Mirhadı oğlu</t>
  </si>
  <si>
    <t>Həbillahov Famil Yaşar oğlu</t>
  </si>
  <si>
    <t>Həsənli Sevil Bəxtiyar qızı</t>
  </si>
  <si>
    <t>Seyidli Nərmin Azər qızı</t>
  </si>
  <si>
    <t>Əsədov Hikmət Əsrafıl oğlu</t>
  </si>
  <si>
    <t>Cəfərova Fidan Gülağa qızı</t>
  </si>
  <si>
    <t>Zeynallı Şəbnəm Oruc qızı</t>
  </si>
  <si>
    <t>Məmmədova Zəhra Məmməd qızı</t>
  </si>
  <si>
    <t>Cabbarova Sara Elçin qızı</t>
  </si>
  <si>
    <t>Süleymanova Tamara Valeh qızı</t>
  </si>
  <si>
    <t>Cəlilova Cəmilə Cəlil qızı</t>
  </si>
  <si>
    <t>Eminli Humay Ruslan qızı</t>
  </si>
  <si>
    <t>Əlizadə Şükufə Süleyman qızı</t>
  </si>
  <si>
    <t>Quluzadə Fidan Rahib qızı</t>
  </si>
  <si>
    <t>Xəlilova Sevanə Alqış qızı</t>
  </si>
  <si>
    <t>Muradova Mirzadə Mirəkbər qızı</t>
  </si>
  <si>
    <t>Həsənov Azər Ələddin oğlu</t>
  </si>
  <si>
    <t>Əlizadə Qardaşəli Tehran oğlu</t>
  </si>
  <si>
    <t>Mustafayev Ariz Faiq oğlu</t>
  </si>
  <si>
    <t>Süleymanlı Ayxan Afiq oğlu</t>
  </si>
  <si>
    <t>Qasımov Yusif Qasım oğlu</t>
  </si>
  <si>
    <t>Məmmədov Elşən Valeh oğlu</t>
  </si>
  <si>
    <t>Süleymanov Röyal Səbuhi oğlu</t>
  </si>
  <si>
    <t>Namazzadə Elmar Kamandar oğlu</t>
  </si>
  <si>
    <t xml:space="preserve"> Məmmədli Ülkər Elxan qızı</t>
  </si>
  <si>
    <t>Ramazanlı Ramazan Pərviz oğlu</t>
  </si>
  <si>
    <t>Quluzadə Nahid Fizuli oğlu</t>
  </si>
  <si>
    <t>Mirzəyev Pərvin İlham oğlu</t>
  </si>
  <si>
    <t>Abdullayev Qadir Vilayət oğlu</t>
  </si>
  <si>
    <t>İsmayılov İsmayıl Saleh oğlu</t>
  </si>
  <si>
    <t>Məmmədov Ramil Famil oğlu</t>
  </si>
  <si>
    <t>Mirzəyeva Aynur Aliko qızı</t>
  </si>
  <si>
    <t>Məmmədli Tamara Ramiz qızı</t>
  </si>
  <si>
    <t>Abbasova Röyalə Müşviq qızı</t>
  </si>
  <si>
    <t>Əhmədova Fidan Təhmasib qızı</t>
  </si>
  <si>
    <t>Nadirli Aytac Fariz qızı</t>
  </si>
  <si>
    <t>Hüseynova Sevda Dünyamalı qızı</t>
  </si>
  <si>
    <t>Əhmədov Turab Xanhüseyn oğlu</t>
  </si>
  <si>
    <t>Şükürov İntiqam Mehman oğlu</t>
  </si>
  <si>
    <t>Namazov Vəkil Vüqar oğlu</t>
  </si>
  <si>
    <t>Bağırova Lamiə İsmayıl qızı</t>
  </si>
  <si>
    <t>Məmmədova Şəlalə İsmayıl qızı</t>
  </si>
  <si>
    <t>Əlizadə Əsabəli Yaşar oğlu</t>
  </si>
  <si>
    <t>Mehdiyev Elvin Eldar oğlu</t>
  </si>
  <si>
    <t>Xudabaxşov Vüsal Mirzəbaba oğlu</t>
  </si>
  <si>
    <t>İbrahimova Vəfa Həsən qızı</t>
  </si>
  <si>
    <t>Qasımova Aysel İlham qızı</t>
  </si>
  <si>
    <t>Qəhrəmanova Gülsayad İlham qızı</t>
  </si>
  <si>
    <t>Məhərrəmova Mələkxanım İsgəndər qızı</t>
  </si>
  <si>
    <t>Qarayeva Nərmin Şahin qızı</t>
  </si>
  <si>
    <t>Mikayılova Nəzrin Nazim qızı</t>
  </si>
  <si>
    <t>Gəncəliyeva Ruhəngiz Telman qızı</t>
  </si>
  <si>
    <t>Mustafayev Anar Musa oğlu</t>
  </si>
  <si>
    <t>Əliyeva Aytac Əliyar qızı</t>
  </si>
  <si>
    <t>Mikayılzadə Şahin Ariz oğlu</t>
  </si>
  <si>
    <t>Əliyev Vüqar Məzahir oğlu</t>
  </si>
  <si>
    <t>Cəfərova Vüsalə İbrahim qızı</t>
  </si>
  <si>
    <t>Cəfərzadə Nahid Vahid oğlu</t>
  </si>
  <si>
    <t>Məhərrəmli Aysel Mübariz qızı</t>
  </si>
  <si>
    <t>İbişli Həbibə Əfsər qızı</t>
  </si>
  <si>
    <t>Şirvanov Xəyal Şəfaddin oğlu</t>
  </si>
  <si>
    <t>Səfərova Hürmələk Nəsimi qızı</t>
  </si>
  <si>
    <t>Bəylərli Abbaslı Səma Aydın qızı</t>
  </si>
  <si>
    <t>Məmmədzadə Gülnaz Elşən qızı</t>
  </si>
  <si>
    <t>Bəşirli Aysel Qabil qızı</t>
  </si>
  <si>
    <t>Əkbərova Səlimə Rəfail qızı</t>
  </si>
  <si>
    <t>Məmmədova Zərifə Əhliman qızı</t>
  </si>
  <si>
    <t>Mailova Günay Süleyman qızı</t>
  </si>
  <si>
    <t>Əkbərov Samir Əkbər oğlu</t>
  </si>
  <si>
    <t>Məhərrəmli Rüfət Adil oğlu</t>
  </si>
  <si>
    <t>Nağızadə Elvin Fikrət oğlu</t>
  </si>
  <si>
    <t>Mədətli Fikrət İlham oğlu</t>
  </si>
  <si>
    <t>Quliyev Rüstəm Ədalət oğlu</t>
  </si>
  <si>
    <t>İsmayılov Kənan Nadir oğlu</t>
  </si>
  <si>
    <t>Abduləhədov Fərid Nəzər oğlu</t>
  </si>
  <si>
    <t>Rəhimova Aygün Mehman qızı</t>
  </si>
  <si>
    <t>Həsənli İlqar Əlimürsəl oğlu</t>
  </si>
  <si>
    <t>Əsgərzadə Məhəmməd Şahin oğlu</t>
  </si>
  <si>
    <t>Məmmədov Həmzə Məsud oğlu</t>
  </si>
  <si>
    <t>Hüseynzadə Rəşad Vüsal oğlu</t>
  </si>
  <si>
    <t>İbrahimli Əli İlqar oğlu</t>
  </si>
  <si>
    <t>Ələkbərli Günel Əlfəddin qızı</t>
  </si>
  <si>
    <t>Mustafayeva Reyhan İlqar qızı</t>
  </si>
  <si>
    <t>Rəhimli Zərnigar Natiq qızı</t>
  </si>
  <si>
    <t>Əliyev Murad Bakir oğlu</t>
  </si>
  <si>
    <t>Zeynalova Leyla Tahir qızı</t>
  </si>
  <si>
    <t>Rzalı Aysel Rüstəm qızı</t>
  </si>
  <si>
    <t>Alıyeva Nərmin Faiq qızı</t>
  </si>
  <si>
    <t>Caniyeva Aysel Mahir qızı</t>
  </si>
  <si>
    <t>Osmanova Əsmayə Həbib qızı</t>
  </si>
  <si>
    <t>Məmmədova Nəcibə Eldəniz qızı</t>
  </si>
  <si>
    <t>Təhməzova Aygün Qubat qızı</t>
  </si>
  <si>
    <t>Quliyeva Gülşən Oruc qızı</t>
  </si>
  <si>
    <t>Bədəlova Nəzrin Pərviz qızı</t>
  </si>
  <si>
    <t>Mürsəlova Aylin Vüqar qızı</t>
  </si>
  <si>
    <t>Zeynalova Aytən Bəxtiyar qızı</t>
  </si>
  <si>
    <t>Nərimanlı Aytəkin Sabir qızı</t>
  </si>
  <si>
    <t>Bayramov Rasim Amiran oğlu</t>
  </si>
  <si>
    <t>Şərifzadə Ülviyyə Rövşən qızı</t>
  </si>
  <si>
    <t>Rüstəmzadə Dünya Polad qızı</t>
  </si>
  <si>
    <t>Məmmədzadə Nəzrin Vüqar qızı</t>
  </si>
  <si>
    <t>Səmədli Könül Faiq qızı</t>
  </si>
  <si>
    <t>Paşazadə Gültac Yaqub qızı</t>
  </si>
  <si>
    <t>Ələkbərova Gülnar Rövşən qızı</t>
  </si>
  <si>
    <t>İsmayılova Natəvan Zakir qızı</t>
  </si>
  <si>
    <t>Kazımova Elmira Cahangir qızı</t>
  </si>
  <si>
    <t>Ziyəddinova Müşgünaz Nəriman qızı</t>
  </si>
  <si>
    <t>Təhməzova Nübar İxtiyar qızı</t>
  </si>
  <si>
    <t>Ağayev Fuad Səxavət oğlu</t>
  </si>
  <si>
    <t>Babayeva Şəbnəm Vidadi qızı</t>
  </si>
  <si>
    <t>Gözəlova Elnarə Marif qızı</t>
  </si>
  <si>
    <t>Məmmədova Fatimə Əliağa qızı</t>
  </si>
  <si>
    <t>Abdullayeva Aysel İsaxan qızı</t>
  </si>
  <si>
    <t>Nəzərova Səbinə Arif qızı</t>
  </si>
  <si>
    <t>Əliyeva Aynur Rüfət qızı</t>
  </si>
  <si>
    <t>Səmədzadə Mustafa Eldar oğlu</t>
  </si>
  <si>
    <t>Musayeva Günel Şakir qızı</t>
  </si>
  <si>
    <t>İbrəhimova Aynur Elçin qızı</t>
  </si>
  <si>
    <t>İbadova Günel Zaur qızı</t>
  </si>
  <si>
    <t>Quluzadə Elmar Faiq oğlu</t>
  </si>
  <si>
    <t>Dadaşova Fəridə Tələt qızı</t>
  </si>
  <si>
    <t>Osmanova Nərmin İlqar qızı</t>
  </si>
  <si>
    <t>Ələsgərov Elçin Elşən oğlu</t>
  </si>
  <si>
    <t>Mustafayeva Lətifə Eldəniz qızı</t>
  </si>
  <si>
    <t>İsazadə Aydan Namiq qızı</t>
  </si>
  <si>
    <t>İbrahimova Ləman Elman qızı</t>
  </si>
  <si>
    <t>Alməmmədli Arzu Famil qızı</t>
  </si>
  <si>
    <t>Nəzərova Aysel Ehtibar qızı</t>
  </si>
  <si>
    <t>Qasımova Elmina Vaqif qızı</t>
  </si>
  <si>
    <t>Sarvanova Sevil Akif qızı</t>
  </si>
  <si>
    <t>Heybətov Ralid Hafiz oğlu</t>
  </si>
  <si>
    <t>Süleymanova Ruhiyyə Eldar qızı</t>
  </si>
  <si>
    <t>Qüdrətova İradə Allahverdi qızı</t>
  </si>
  <si>
    <t>Əhmədova Təranə Kitabir qızı</t>
  </si>
  <si>
    <t>Təhməzova Gülputa Sultan qızı</t>
  </si>
  <si>
    <t>Namazov Fəxri İlham oğlu</t>
  </si>
  <si>
    <t>Orucova Ayan Elxan qızı</t>
  </si>
  <si>
    <t>Gülbalayeva Gülzar Rüfət qızı</t>
  </si>
  <si>
    <t>Osmanlı Ləman Kamran qızı</t>
  </si>
  <si>
    <t>Səfərov Emin Faiq oğlu</t>
  </si>
  <si>
    <t>Qurbanova Leylaxanım Tərlan qızı</t>
  </si>
  <si>
    <t>Datdayeva Lalə Nazim qızı</t>
  </si>
  <si>
    <t>Sultanlı Brilyant Məmmədqulu qızı</t>
  </si>
  <si>
    <t>Abdullayeva Elnarə Salam qızı</t>
  </si>
  <si>
    <t>İsmayılova Səbinə Oktay qızı</t>
  </si>
  <si>
    <t>Nuriyev Kamran Abbasəli oğlu</t>
  </si>
  <si>
    <t>Rüstəmli Tərlanə İbrahim qızı</t>
  </si>
  <si>
    <t>Məmmədova Fərəh Adil qızı</t>
  </si>
  <si>
    <t>Hüseynov Təvəkkül Ceyhun oğlu</t>
  </si>
  <si>
    <t>Qarayeva Nuranə Nurqələm qızı</t>
  </si>
  <si>
    <t>Sadıqov Rəsul Şamil oğlu</t>
  </si>
  <si>
    <t>İbrahimzadə Elvin Elçin oğlu</t>
  </si>
  <si>
    <t>Baxşiyev Zahir İqbal oğlu</t>
  </si>
  <si>
    <t>Əlizadə Əli Rövşən oğlu</t>
  </si>
  <si>
    <t>Çələbova Kəmalə Namiq qızı</t>
  </si>
  <si>
    <t>Əliyeva Məşruqə Rza qızı</t>
  </si>
  <si>
    <t>Şıxəliyeva-Məmmədzadə Aysel Mahir qızı</t>
  </si>
  <si>
    <t>Kərimova Nigar Elburus qızı</t>
  </si>
  <si>
    <t>Süleymanova Arifə Fizuli qızı</t>
  </si>
  <si>
    <t>Axundova Mədinə Nadir qızı</t>
  </si>
  <si>
    <t>Səfərova Diana Xaliq qızı</t>
  </si>
  <si>
    <t>Ələsgərova Rəna Teyyub qızı</t>
  </si>
  <si>
    <t>Hadıyeva Rəcanə Tofiq qızı</t>
  </si>
  <si>
    <t>Məmmədov Nicat Xanlar oğlu</t>
  </si>
  <si>
    <t>Bəşirova Ruhiyyə Qasım qızı</t>
  </si>
  <si>
    <t>Məmmədov Orxan Nəsrəddin oğlu</t>
  </si>
  <si>
    <t>Heybətov Mahir Hürmət oğlu</t>
  </si>
  <si>
    <t>Əzizov Kənan Əliyar oğlu</t>
  </si>
  <si>
    <t>Eminova Mahnur Emil qızı</t>
  </si>
  <si>
    <t>Fərəczadə Sürəyya Nəsir qızı</t>
  </si>
  <si>
    <t>Qocayeva Fidan Ramin qızı</t>
  </si>
  <si>
    <t>İsgəndərov Nicat Avtandil oğlu</t>
  </si>
  <si>
    <t>Əliyeva Arzu İlham qızı</t>
  </si>
  <si>
    <t>İsmayılov Nicat Rövşən oğlu</t>
  </si>
  <si>
    <t>Abbasova Xumar Həmidulla qızı</t>
  </si>
  <si>
    <t>Ramazanlı Ağasəf Asif oğlu</t>
  </si>
  <si>
    <t>Sadıqova Səbinə Asif qızı</t>
  </si>
  <si>
    <t>Həsənova Ülvira Şəmsəddin qızı</t>
  </si>
  <si>
    <t>İsmayılova Gülcənnət Layiq qızı</t>
  </si>
  <si>
    <t>Sofiyeva Əsbət Faiq qızı</t>
  </si>
  <si>
    <t>Göyuşova Aytac Polad qızı</t>
  </si>
  <si>
    <t>Qurbanova Leyla Sərxoş qızı</t>
  </si>
  <si>
    <t>Miriyev Amil Sürrət oğlu</t>
  </si>
  <si>
    <t>Aslanov Aslan İlqar oğlu</t>
  </si>
  <si>
    <t>Şeyxzadə Əsli Səid qızı</t>
  </si>
  <si>
    <t>Eminov Samir Elmir oğlu</t>
  </si>
  <si>
    <t>Hüseynova Nərmin Rasim qızı</t>
  </si>
  <si>
    <t>Cahangirzadə Tural Mirnağı oğlu</t>
  </si>
  <si>
    <t>Məlikli Ruslan Xamis oğlu</t>
  </si>
  <si>
    <t>Tanrıverdili Şaban Oqtay oğlu</t>
  </si>
  <si>
    <t>Qarayeva Məltəm Faxrəddin qızı</t>
  </si>
  <si>
    <t>Əliyeva Samirə Vahid qızı</t>
  </si>
  <si>
    <t>Həsənova Ulduz Mehman qızı</t>
  </si>
  <si>
    <t>Quliyeva Nərmin Vidadi qızı</t>
  </si>
  <si>
    <t>Rəhimov Kamran Kamil oğlu</t>
  </si>
  <si>
    <t>Məhərrəmova Aygün Natiq qızı</t>
  </si>
  <si>
    <t>Cəlilov Əli Azad oğlu</t>
  </si>
  <si>
    <t>Quliyeva Günay Aydın qızı</t>
  </si>
  <si>
    <t>Hüseynova Anaqız Ramin qızı</t>
  </si>
  <si>
    <t>Tağızadə Esmira Nurlan qızı</t>
  </si>
  <si>
    <t>Orucova Svetlana Əlixan qızı</t>
  </si>
  <si>
    <t>Ağayev Misir Ələskər oğlu</t>
  </si>
  <si>
    <t>Kərimov Cabir Fəttah oğlu</t>
  </si>
  <si>
    <t>İslamov Nicad Azad oğlu</t>
  </si>
  <si>
    <t>Rzayev Fuad Sahil oğlu</t>
  </si>
  <si>
    <t>İsmayılov Tamerlan Fizuli oğlu</t>
  </si>
  <si>
    <t>Qurbanov Eşqin Əsgər oğlu</t>
  </si>
  <si>
    <t>Eyvazov Heydər Rəşadət oğlu</t>
  </si>
  <si>
    <t>Əlizadə Ramin İsfəndiyar oğlu</t>
  </si>
  <si>
    <t>Quliyeva Cəmilə Mirzəağa qızı</t>
  </si>
  <si>
    <t>İmanov Arif Xəzər oğlu</t>
  </si>
  <si>
    <t>Rəşidli Orxan Vilayət oğlu</t>
  </si>
  <si>
    <t>Yariyev Samid Niyaz oğlu</t>
  </si>
  <si>
    <t>Sadıqova Fidan Əli qızı</t>
  </si>
  <si>
    <t>Abdullayev Elmixan Elşən oğlu</t>
  </si>
  <si>
    <t>Nəbizadə Elşad Ərşad oğlu</t>
  </si>
  <si>
    <t>Papaxov Pərviz Musa oğlu</t>
  </si>
  <si>
    <t>Vəliyeva Aysel Mübariz qızı</t>
  </si>
  <si>
    <t>Piriyeva Jalə Mübariz qızı</t>
  </si>
  <si>
    <t>Məmmədov Nemət Qabil oğlu</t>
  </si>
  <si>
    <t>Hüseynzadə Ülviyyə Səfiyar qızı</t>
  </si>
  <si>
    <t>Səfərova Zeynəb Fərhad qızı</t>
  </si>
  <si>
    <t>Rüstəmova Aynurə Allahyar qızı</t>
  </si>
  <si>
    <t>Məlikov Məcid Allahqulu oğlu</t>
  </si>
  <si>
    <t>IBRAGIMOV ISKANDAR</t>
  </si>
  <si>
    <t>Cəbiyev Orxan İnqilab oğlu</t>
  </si>
  <si>
    <t>Səmədov Eduard Zülfü oğlu</t>
  </si>
  <si>
    <t>Əsədova Əfsanə Aynur qızı</t>
  </si>
  <si>
    <t>Əliyev Ramil Elbrus oğlu</t>
  </si>
  <si>
    <t>Məmmədov Kamil İdris oğlu</t>
  </si>
  <si>
    <t>Əliyeva Günel Ağalar qızı</t>
  </si>
  <si>
    <t>Qayıbxanova Ramidə Əlimirzə qızı</t>
  </si>
  <si>
    <t>Xəlilov Tural Tapdıq oğlu</t>
  </si>
  <si>
    <t>Yaqubova Fidan Fərxan qızı</t>
  </si>
  <si>
    <t>İsmayılova Zülfiyyə Xaliq qızı</t>
  </si>
  <si>
    <t>Hacıyev Raul Qulu oğlu</t>
  </si>
  <si>
    <t>İsrafilova Rəfiqə Rəşadət qızı</t>
  </si>
  <si>
    <t>Piriyev İsa Hikmət oğlu</t>
  </si>
  <si>
    <t>İsmayıllı Ramil İsmayıl oğlu</t>
  </si>
  <si>
    <t>Gözəlov Cavad Faiq oğlu</t>
  </si>
  <si>
    <t>Zülfüqarov Zaur Zülfüqar oğlu</t>
  </si>
  <si>
    <t>Qasımov Elvin Namiq oğlu</t>
  </si>
  <si>
    <t>İsayeva Sevda Nuru qızı</t>
  </si>
  <si>
    <t>Mirzəyev Dadaş Vaqif oğlu</t>
  </si>
  <si>
    <t>Məmmədov Elmin Sahib oğlu</t>
  </si>
  <si>
    <t>Məcidli Məcid Məlik oğlu</t>
  </si>
  <si>
    <t>Quliyeva Ülviyyə Elman qızı</t>
  </si>
  <si>
    <t>Mollayeva Günay Faiq qızı</t>
  </si>
  <si>
    <t>Mirzəyeva Günay Əziz qızı</t>
  </si>
  <si>
    <t>İbrahimova Sevda Mütəllim qızı</t>
  </si>
  <si>
    <t>Məmmədli Məmməd Məmməd oğlu</t>
  </si>
  <si>
    <t>Osmanova Günəş Nizami qızı</t>
  </si>
  <si>
    <t>Süleymanov  Fərid Niyazi oğlu</t>
  </si>
  <si>
    <t>Yenikeyeva Aytən Qəhrəman qızı</t>
  </si>
  <si>
    <t>Əmirova Səbirə Oktay qızı</t>
  </si>
  <si>
    <t>Həsənov Fərid Mübariz oğlu</t>
  </si>
  <si>
    <t>Ələkbərov Rəşad Elşad oğlu</t>
  </si>
  <si>
    <t>Əhmədzadə Nihad Mahir oğlu</t>
  </si>
  <si>
    <t>Hacıyeva Fidan Şahlar qızı</t>
  </si>
  <si>
    <t>Əlizadə Lalə Natiq qızı</t>
  </si>
  <si>
    <t>Nadirli Aygül Vadər qızı</t>
  </si>
  <si>
    <t>Cəfərov İbrahim Elşad oğlu</t>
  </si>
  <si>
    <t>Axundova Hafizə Mübariz qızı</t>
  </si>
  <si>
    <t>Musazadə Günel İlqar qızı</t>
  </si>
  <si>
    <t>Nuruyeva Aygün Uruf qızı</t>
  </si>
  <si>
    <t>Zeynalzadə Hüseyn İsfəndiyar oğlu</t>
  </si>
  <si>
    <t>Rəcəbov Səbuhi Əhməd oğlu</t>
  </si>
  <si>
    <t>Rzayeva Kəmalə Rafiq qızı</t>
  </si>
  <si>
    <t>Əliyev İsa Rəsul oğlu</t>
  </si>
  <si>
    <t>Ağazadə Elnur Aqşin oğlu</t>
  </si>
  <si>
    <t>Şahverdiyev Fərid Məşkur oğlu</t>
  </si>
  <si>
    <t>Balaşzadə Natavan Elxan qızı</t>
  </si>
  <si>
    <t>Əhmədova Əsgərzadə Lala İlham qızı</t>
  </si>
  <si>
    <t>Cəbrayillı Lamiə Nüsrət qızı</t>
  </si>
  <si>
    <t>Əliyeva Səbinə Səməd qızı</t>
  </si>
  <si>
    <t>Məmmədov Yaşar Mirəli oğlu</t>
  </si>
  <si>
    <t>Rizayeva Nəzrin Tərlan qızı</t>
  </si>
  <si>
    <t>Əliyeva Gültən Əhliman qızı</t>
  </si>
  <si>
    <t>Zeynalzadə Səadət Vidadi qızı</t>
  </si>
  <si>
    <t>Məmmədova Səadət Zeynal qızı</t>
  </si>
  <si>
    <t>Həsənova Dilrubə Nurməmməd qızı</t>
  </si>
  <si>
    <t>Cabbarzadə Ramil Rasim oğlu</t>
  </si>
  <si>
    <t>Qənbərov Fərid Fəhrəddin oğlu</t>
  </si>
  <si>
    <t>Həsənov Ənvər Rafiq oğlu</t>
  </si>
  <si>
    <t>Paşayeva Zemfira Vasif qızı</t>
  </si>
  <si>
    <t>Ələkbərova Firuzə Adil qızı</t>
  </si>
  <si>
    <t>Əhmədova Aysel Məzahir qızı</t>
  </si>
  <si>
    <t>Babayeva Aytəkin Məhəmməd qızı</t>
  </si>
  <si>
    <t>Hüseynov Azad Səxavət oğlu</t>
  </si>
  <si>
    <t>Şahverdiyev Soltanhəmid Cavanşir oğlu</t>
  </si>
  <si>
    <t>Muradova Şəhanə Şahin qızı</t>
  </si>
  <si>
    <t>Əhmədova Leyla Firəddin qızı</t>
  </si>
  <si>
    <t>Mehtiyeva Ramilə Hidayət qızı</t>
  </si>
  <si>
    <t>İsgəndərov Emil Umud oğlu</t>
  </si>
  <si>
    <t>Cumayev Eltun Afər oğlu</t>
  </si>
  <si>
    <t>Mustafayev Kənan Sahib oğlu</t>
  </si>
  <si>
    <t>Yaşarzadə Nilufər Etibar qızı</t>
  </si>
  <si>
    <t>Abıbəyli Əzizə Elşən qızı</t>
  </si>
  <si>
    <t>Rüstəmova Xanım Müşfiq qızı</t>
  </si>
  <si>
    <t>Bəşirov Elmin Vüqar oğlu</t>
  </si>
  <si>
    <t>Ömərova Aidə Mübariz qızı</t>
  </si>
  <si>
    <t>Həsənova Kifayət Museyib qızı</t>
  </si>
  <si>
    <t>Əliyev Tural Rahib oğlu</t>
  </si>
  <si>
    <t>Tahirov İsmət Nemət oğlu</t>
  </si>
  <si>
    <t>Səfərov Ülvi Polad oğlu</t>
  </si>
  <si>
    <t>Əliyev Aqil Şiruyə oğlu</t>
  </si>
  <si>
    <t xml:space="preserve">	Paşayev Ramazan Səməddin oğlu</t>
  </si>
  <si>
    <t>Məmmədov Hikmət Nəsrulla oğlu</t>
  </si>
  <si>
    <t>Əbilqasımova Sevda Arif qızı</t>
  </si>
  <si>
    <t>Mürsəlova Təhminə Fəxrəddin qızı</t>
  </si>
  <si>
    <t>Məmmədova Ayşən Şahin qızı</t>
  </si>
  <si>
    <t>Həsənquliyev Marif Namiq oğlu</t>
  </si>
  <si>
    <t>İbadov Xeybər Təyyar oğlu</t>
  </si>
  <si>
    <t>Ağalarov Ramin Seygah oğlu</t>
  </si>
  <si>
    <t>Məhərrəmova Mədinə Nazim qızı</t>
  </si>
  <si>
    <t>Süleymanova Zemfira Oktay qızı</t>
  </si>
  <si>
    <t>Sayılova Zöhrə Ayaz qızı</t>
  </si>
  <si>
    <t>Sultanova Almas Murad qızı</t>
  </si>
  <si>
    <t>Allahverdili Aygül Əli qızı</t>
  </si>
  <si>
    <t>Bulimova Alina Alimcanovna</t>
  </si>
  <si>
    <t>Muradov Eldar Rauf oğlu</t>
  </si>
  <si>
    <t>KHANALIEVA ZULFIA</t>
  </si>
  <si>
    <t>Verdiyeva Vüsalə Oqtay qızı</t>
  </si>
  <si>
    <t>Məmmədova Nuridə İlqar qızı</t>
  </si>
  <si>
    <t>Tağıyev Orxan Söhrab oğlu</t>
  </si>
  <si>
    <t>Cəfərov Elnur Bəhruz oğlu</t>
  </si>
  <si>
    <t>Seyidəliyev Mirfaqil Mirfazil oğlu</t>
  </si>
  <si>
    <t>Bəşirova Rübabə Kənan qızı</t>
  </si>
  <si>
    <t>İbrahimov Elvin Oktay oğlu</t>
  </si>
  <si>
    <t>Həsənova Zemfira Azər qızı</t>
  </si>
  <si>
    <t>Abdullayeva Fatimə Elburus qızı</t>
  </si>
  <si>
    <t>Rəsulova Zərifə Cavid qızı</t>
  </si>
  <si>
    <t>Quliyeva Leyla Nazim qızı</t>
  </si>
  <si>
    <t>Əhmədov Əhməd İlqar oğlu</t>
  </si>
  <si>
    <t>Mikayılova Səkinəxanım Azər qızı</t>
  </si>
  <si>
    <t>Quliyev İsgəndər Ziya oğlu</t>
  </si>
  <si>
    <t>Cəfərli Salatın Radif qızı</t>
  </si>
  <si>
    <t>Rəhimzadə Fatimə Ceyhun qızı</t>
  </si>
  <si>
    <t>Xələfova Mehriban Əmənulla qızı</t>
  </si>
  <si>
    <t>Tağıyev Orxan Məmməd oğlu</t>
  </si>
  <si>
    <t>Ağazadə Rövşən Mübariz oğlu</t>
  </si>
  <si>
    <t>Ələkbərova Aygün Dadaş qızı</t>
  </si>
  <si>
    <t>Qasımlı Qasım Vaqif oğlu</t>
  </si>
  <si>
    <t>Abdulla Rəna Abdulla qızı</t>
  </si>
  <si>
    <t>Ağayeva Günel Rauf qızı</t>
  </si>
  <si>
    <t>Zakirli Heydər Elşən oğlu</t>
  </si>
  <si>
    <t>Məlikzadə Orxan Ağagül oğlu</t>
  </si>
  <si>
    <t>Eynullayev Allahqulu Bayram oğlu</t>
  </si>
  <si>
    <t>Bağırov Malik Süleyman oğlu</t>
  </si>
  <si>
    <t>Rəsulova Günay Azər qızı</t>
  </si>
  <si>
    <t>Şəbiyeva Ayna İslam qızı</t>
  </si>
  <si>
    <t>Bəşirov Natiq Altay oğlu</t>
  </si>
  <si>
    <t>Bayramova Aydan Aydın qızı</t>
  </si>
  <si>
    <t>İvanov Deonisiy Anatolyeviç</t>
  </si>
  <si>
    <t>Süleymanova Şəhla Vüqar qızı</t>
  </si>
  <si>
    <t>Mehtiyeva Ayan Tahir qızı</t>
  </si>
  <si>
    <t>Əliyeva İradə Cəfər qızı</t>
  </si>
  <si>
    <t>Alıev Arzu</t>
  </si>
  <si>
    <t>Seyidova Gülşən Mübariz qızı</t>
  </si>
  <si>
    <t>Fətullayev Elvin Fətulla oğlu</t>
  </si>
  <si>
    <t>Orucov Hikmət Adil oğlu</t>
  </si>
  <si>
    <t>Abdullayeva Səriyyə Musa qızı</t>
  </si>
  <si>
    <t>Əzizova Səkinə Soltanməcid qızı</t>
  </si>
  <si>
    <t>Fətiyeva Türkan Vəzir qızı</t>
  </si>
  <si>
    <t>İsmayılova Nigar İlham qızı</t>
  </si>
  <si>
    <t>Rəcəbova Sona Rasim qızı</t>
  </si>
  <si>
    <t>Vəliyev Kənan Vüqar oğlu</t>
  </si>
  <si>
    <t>Pirverdiyev Müzəffər Elçin oğlu</t>
  </si>
  <si>
    <t>Abdullayev Zeynalabdın Abdulla oğlu</t>
  </si>
  <si>
    <t>Quliyev Həsən Sultan oğlu</t>
  </si>
  <si>
    <t>Bağırzadə Tərlan Fərhad oğlu</t>
  </si>
  <si>
    <t>Məhərrəmov Natiq Samil oğlu</t>
  </si>
  <si>
    <t>Namazov Nurlan İlqar oğlu</t>
  </si>
  <si>
    <t>Allahverdiyeva Hürü Mehdi qızı</t>
  </si>
  <si>
    <t>Bədəlov Zaur Eldəniz oğlu</t>
  </si>
  <si>
    <t>Nadirli Nasir Malik oğlu</t>
  </si>
  <si>
    <t>Cabbarov Xalid Mehman oğlu</t>
  </si>
  <si>
    <t>İsayev Elvin Vüqar oğlu</t>
  </si>
  <si>
    <t>Qurbanova Zəhra Elnur qızı</t>
  </si>
  <si>
    <t>Məhərrəmova Fatimə Babaş qızı</t>
  </si>
  <si>
    <t>Ağayeva Aydan Zeydulla qızı</t>
  </si>
  <si>
    <t>Kərimov Mirzağa Əlibaba oğlu</t>
  </si>
  <si>
    <t>Hacızadə Elton Akif oğlu</t>
  </si>
  <si>
    <t>Bağırova Elvira Rafailovna</t>
  </si>
  <si>
    <t>İbrahimova Günel Rəhim qızı</t>
  </si>
  <si>
    <t>Bayramov Abbas Aydın oğlu</t>
  </si>
  <si>
    <t>Ağayeva Ləman Qulam qızı</t>
  </si>
  <si>
    <t>Rəşidi Orxan Qeys oğlu</t>
  </si>
  <si>
    <t>Almazov Qayıb Sahib oğlu</t>
  </si>
  <si>
    <t>Məlikova Fidan Fizuli qızı</t>
  </si>
  <si>
    <t>Əhmədova Könül Alxas qızı</t>
  </si>
  <si>
    <t>Quliyev Əli Əliqulu oğlu</t>
  </si>
  <si>
    <t>Ruşanova Günel Mehman qızı</t>
  </si>
  <si>
    <t>Məmmədova Aygün Qabil qızı</t>
  </si>
  <si>
    <t>Bəkirova Mətanət Elman qızı</t>
  </si>
  <si>
    <t>Qasımov Nicat İlqar oğlu</t>
  </si>
  <si>
    <t>Rəcəbova Firəngiz Şükür qızı</t>
  </si>
  <si>
    <t>Abdullayev Emin Oktay oğlu</t>
  </si>
  <si>
    <t>Məmmədova Kəmalə Nazim qızı</t>
  </si>
  <si>
    <t>Abasova Fidan Elşən qızı</t>
  </si>
  <si>
    <t>İsmayılov Rafiq Teyyub oğlu</t>
  </si>
  <si>
    <t>Yaqubova İlahə Rafiq qızı</t>
  </si>
  <si>
    <t>Zeynallı Elşən Vüqar oğlu</t>
  </si>
  <si>
    <t>Əliyeva Nərgiz Çingiz qızı</t>
  </si>
  <si>
    <t>Məmmədova Esmira Müzəffər qızı</t>
  </si>
  <si>
    <t>Nəsirli Fidan Akif qızı</t>
  </si>
  <si>
    <t>Axundova Humay İlham qızı</t>
  </si>
  <si>
    <t>Məmmədov Murad Muxtar oğlu</t>
  </si>
  <si>
    <t>Adıgözəlli Fərid Eldar oğlu</t>
  </si>
  <si>
    <t>Mürsəlova Şənay Mahir qızı</t>
  </si>
  <si>
    <t>Muradi Rəhilə Fərhad qızı</t>
  </si>
  <si>
    <t>Salmanlı Mahizər Səfər qızı</t>
  </si>
  <si>
    <t>Ağakişizadə Sona Həsən qızı</t>
  </si>
  <si>
    <t>Məhərrəmova Gündüz Müzəffər qızı</t>
  </si>
  <si>
    <t>Paşayev İbrahim Xaliq oğlu</t>
  </si>
  <si>
    <t>Tağıyev Namiq Natiq oğlu</t>
  </si>
  <si>
    <t>Zülfəliyev Röyal Alı oğlu</t>
  </si>
  <si>
    <t>Eminov Ülfət Dərdayıl oğlu</t>
  </si>
  <si>
    <t>Sarıyev Orxan Yaşar oğlu</t>
  </si>
  <si>
    <t>Mirəliyeva Sahilə Sabir qızı</t>
  </si>
  <si>
    <t>Nəsibova Ayşən Fəxrəddin qızı</t>
  </si>
  <si>
    <t>Əhmədova Saibət Namiq qızı</t>
  </si>
  <si>
    <t>Əsədullayev Nurulla Xanlar oğlu</t>
  </si>
  <si>
    <t>Əmirov Sadiq Sabir oğlu</t>
  </si>
  <si>
    <t>Hadizadə Tamerlan Mirxan oğlu</t>
  </si>
  <si>
    <t>Məstəlizadə Rüfət Fikrət oğlu</t>
  </si>
  <si>
    <t>Əlizadə Polad Mədəd oğlu</t>
  </si>
  <si>
    <t>Abbasova Fidan Mircavid qızı</t>
  </si>
  <si>
    <t>Əlizadə Aygün Hüseyn qızı</t>
  </si>
  <si>
    <t>Kərimov Samir Azər oğlu</t>
  </si>
  <si>
    <t>Salahov Zamiq Məmmədsaid oğlu</t>
  </si>
  <si>
    <t>Məhəddinov Nail Rəfayıl oğlu</t>
  </si>
  <si>
    <t>Süleymanlı Oruc Cəmaləddin oğlu</t>
  </si>
  <si>
    <t>Məmmədhəsənov Qoşqar İlham oğlu</t>
  </si>
  <si>
    <t>Əliyev Nəriman Əliağa oğlu</t>
  </si>
  <si>
    <t>Hüseyinov İlkin Əhməd oğlu</t>
  </si>
  <si>
    <t>Məmmədxanlı Ramil İlqar oğlu</t>
  </si>
  <si>
    <t>Vəliyev Rüfət Xasay oğlu</t>
  </si>
  <si>
    <t>Ələkbərov Rəvan Amil oğlu</t>
  </si>
  <si>
    <t>Allahverdiyev Əfqan Vahid oğlu</t>
  </si>
  <si>
    <t>Musayev Əsgər Ənvər oğlu</t>
  </si>
  <si>
    <t>Carçıyev Eltun Yahya oğlu</t>
  </si>
  <si>
    <t>Süleymanov Şofiq Şaiq oğlu</t>
  </si>
  <si>
    <t>Rəsullu Azər Ramiz oğlu</t>
  </si>
  <si>
    <t>Mürüdlü Xaney Mahmud oğlu</t>
  </si>
  <si>
    <t>İmamverdiyev İrşad Müşfiq oğlu</t>
  </si>
  <si>
    <t>Rafiqli Elmir Etibar oğlu</t>
  </si>
  <si>
    <t>Mansurov İlkin Bəxtiyar oğlu</t>
  </si>
  <si>
    <t>Şahməmmədov Şahməmməd İsgəndər oğlu</t>
  </si>
  <si>
    <t>Qənbərov Elvin Maarif oğlu</t>
  </si>
  <si>
    <t>Zeynalov Vüsal Zeynal oğlu</t>
  </si>
  <si>
    <t>Abdullayev Zaur Cavanşir oğlu</t>
  </si>
  <si>
    <t>Hacıyev Anar Yadigar oğlu</t>
  </si>
  <si>
    <t>Ağayev Vasif Asif oğlu</t>
  </si>
  <si>
    <t>Bayramov Rəşad Bayram oğlu</t>
  </si>
  <si>
    <t>Eyvazzadə Xaləddin Araz oğlu</t>
  </si>
  <si>
    <t>Məmmədli Aytac Akif qızı</t>
  </si>
  <si>
    <t>Akifli Leyla Rəşad qızı</t>
  </si>
  <si>
    <t>Alızadə Arzu Azər qızı</t>
  </si>
  <si>
    <t>İsmayılov Paşa Tofiq oğlu</t>
  </si>
  <si>
    <t>Musazadə Gültəkin Zaur qızı</t>
  </si>
  <si>
    <t>Ağazadə Rüfət Cavanşir oğlu</t>
  </si>
  <si>
    <t>Əliyev Ülvi Murad oğlu</t>
  </si>
  <si>
    <t>Dadaşzadə Nərmin Fəxrəddin qızı</t>
  </si>
  <si>
    <t>Rəhimli Nigar Məmmədqulu qızı</t>
  </si>
  <si>
    <t>İslamov Səlim Şüküran oğlu</t>
  </si>
  <si>
    <t>Qasımov Arif Zahir oğlu</t>
  </si>
  <si>
    <t>Eyubov Əlşah Rişad oğlu</t>
  </si>
  <si>
    <t>Rüstəmov Elçin Balacan oğlu</t>
  </si>
  <si>
    <t>Abdullayeva Sara Zakir qızı</t>
  </si>
  <si>
    <t>Şəfaətli Anar Nüsrət oğlu</t>
  </si>
  <si>
    <t>Mehdili Nurlan Sahib oğlu</t>
  </si>
  <si>
    <t>Əhmədli Əfqan Əfsər oğlu</t>
  </si>
  <si>
    <t>Abdullayev Əsabəli Əfqan oğlu</t>
  </si>
  <si>
    <t>Abdulhəmidova Səma Şakir qızı</t>
  </si>
  <si>
    <t>Əliyev Ülvi Telman oğlu</t>
  </si>
  <si>
    <t>Fərzəliyev Mübariz İsa oğlu</t>
  </si>
  <si>
    <t>Hüseynzadə Fidan Məzahir qızı</t>
  </si>
  <si>
    <t>Hümmətov İsmət Nazim oğlu</t>
  </si>
  <si>
    <t>Qarayeva Fidan Elnur qızı</t>
  </si>
  <si>
    <t>Sultanova Ləman Cavid qızı</t>
  </si>
  <si>
    <t>Əkbərov Qənbər Mövsüm oğlu</t>
  </si>
  <si>
    <t>Abdullayeva Məhliqa Şikar qızı</t>
  </si>
  <si>
    <t>Qurbanova Aysel Natiq qızı</t>
  </si>
  <si>
    <t>Tağıyev Tağı Məhəmməd oğlu</t>
  </si>
  <si>
    <t>Mürsəlov Elçin Aşur oğlu</t>
  </si>
  <si>
    <t>Musazadə Orxan Taleh oğlu</t>
  </si>
  <si>
    <t>Həsənzadə Orxan Yaşar oğlu</t>
  </si>
  <si>
    <t>Hüseynzadə Fərrux Xəqani oğlu</t>
  </si>
  <si>
    <t>Quluyev Tanırqulu Tahir oğlu</t>
  </si>
  <si>
    <t>Babayeva Röyalə Baxşeyiş qızı</t>
  </si>
  <si>
    <t>Əbdüləzimov Ağakişi Yusif oğlu</t>
  </si>
  <si>
    <t>İbrahimov Kərim Bəxtiyar oğlu</t>
  </si>
  <si>
    <t>Heydarov Faiq Sadiq oğlu</t>
  </si>
  <si>
    <t>Kərimov Mamed Babək oğlu</t>
  </si>
  <si>
    <t>Hüseynov Fərid Azər oğlu</t>
  </si>
  <si>
    <t>Atakişi Baladə Ramiz oğlu</t>
  </si>
  <si>
    <t>Talıbova Gülnarə Telman qızı</t>
  </si>
  <si>
    <t>Ələkbərov Mehrac İntiqam oğlu</t>
  </si>
  <si>
    <t>Həziyev Murad Əkbər oğlu</t>
  </si>
  <si>
    <t>Həsənov Güləhməd Şaiq oğlu</t>
  </si>
  <si>
    <t>Bəbirov Nizami Bəbir oğlu</t>
  </si>
  <si>
    <t>Behbudov Adil Eldar oğlu</t>
  </si>
  <si>
    <t>Musayev Kənan Yamən oğlu</t>
  </si>
  <si>
    <t>Vəliyeva Rahilə Süleyman qızı</t>
  </si>
  <si>
    <t>Quliyev Yolçu Ocaqqulu oğlu</t>
  </si>
  <si>
    <t>Məmmədli İlkin Bəxtiyar oğlu</t>
  </si>
  <si>
    <t>İsgəndərov Orxan Yunis oğlu</t>
  </si>
  <si>
    <t>Hacıbəyli İbrahim Rahim oğlu</t>
  </si>
  <si>
    <t>Mahmudov Rauf Şəmsəddin oğlu</t>
  </si>
  <si>
    <t>Məmmədov Əli Qabil oğlu</t>
  </si>
  <si>
    <t>Ələsgərli Fidan Rəhim qızı</t>
  </si>
  <si>
    <t>İsmayılova Pərvin Hafiz qızı</t>
  </si>
  <si>
    <t>Əfəndi Hüseyn Elçin oğlu</t>
  </si>
  <si>
    <t>Heydərov Elnur İsmayıl oğlu</t>
  </si>
  <si>
    <t>İbrahimxəlilova Aytac Məzahir qızı</t>
  </si>
  <si>
    <t>Həmidli Orxan Şirxan oğlu</t>
  </si>
  <si>
    <t>Nəbiyeva Nərmin Nəriman qızı</t>
  </si>
  <si>
    <t>Səlimova Təranə Qorxmaz qızı</t>
  </si>
  <si>
    <t>Mustafayev İsmayıl Oruc oğlu</t>
  </si>
  <si>
    <t>Qasımova Ülviyyə Qorxmaz qızı</t>
  </si>
  <si>
    <t>Muxtarov Tural Kamil oğlu</t>
  </si>
  <si>
    <t>Verdiyev Əli Rafiq oğlu</t>
  </si>
  <si>
    <t>Abbasov Murtuz Qara oğlu</t>
  </si>
  <si>
    <t>Məmmədova Pərvin Nazim qızı</t>
  </si>
  <si>
    <t>Heydərli Şəhla Azad qızı</t>
  </si>
  <si>
    <t>Qasımov Orxan Qabil oğlu</t>
  </si>
  <si>
    <t>Şamquliyev Eynur Sarif oğlu</t>
  </si>
  <si>
    <t>Şahbazov Orxan Elxan oğlu</t>
  </si>
  <si>
    <t>İsgəndərova Ülviyyə Əhməd qızı</t>
  </si>
  <si>
    <t>Namazova Mehriban Məcid qızı</t>
  </si>
  <si>
    <t>Muradova Nurhəyat Fərhad qızı</t>
  </si>
  <si>
    <t>Qəniyev Fərid Abdulla oğlu</t>
  </si>
  <si>
    <t>Yusifov Cəlal Rauf oğlu</t>
  </si>
  <si>
    <t>Məlikzadə Fəqan Allahverdi oğlu</t>
  </si>
  <si>
    <t>Əfəndiyev Elvin Vaqif oğlu</t>
  </si>
  <si>
    <t>Həsənov Araz Müşfiq oğlu</t>
  </si>
  <si>
    <t>Hüseynov Vasif Xanlar oğlu</t>
  </si>
  <si>
    <t>Soltanov Nurlan İmran oğlu</t>
  </si>
  <si>
    <t>Babayeva Nilufər İlham qızı</t>
  </si>
  <si>
    <t>Əliyeva Vəfa Şakir qızı</t>
  </si>
  <si>
    <t>Təhməzov Zamiq Xudaş oğlu</t>
  </si>
  <si>
    <t>Talıbova Gülnarə Cəfər qızı</t>
  </si>
  <si>
    <t>Xanızadə Zeynəb İlkin qızı</t>
  </si>
  <si>
    <t>Abdullayev Ağadadaş Rauf oğlu</t>
  </si>
  <si>
    <t>Əsgərov İqbal Süleyman oğlu</t>
  </si>
  <si>
    <t>Həmidova Vəfa Çingiz qızı</t>
  </si>
  <si>
    <t>Durmuşov Elcan Bayram oğlu</t>
  </si>
  <si>
    <t>Oruczadə Fərid Nadir oğlu</t>
  </si>
  <si>
    <t>Ağazadə Kəmalə Musa qızı</t>
  </si>
  <si>
    <t>Həsənova Nərmin Rizvan qızı</t>
  </si>
  <si>
    <t>Quluzadə Şəhanə Seydəli qızı</t>
  </si>
  <si>
    <t>Ağazadə Nurlan Seyran oğlu</t>
  </si>
  <si>
    <t>Əliyev Ramil Fəzail oğlu</t>
  </si>
  <si>
    <t>Əlizadə Anar Vaqif oğlu</t>
  </si>
  <si>
    <t>Quliyeva Bahar Mirzəbala qızı</t>
  </si>
  <si>
    <t>Məhərrəmov Asim Novruz oğlu</t>
  </si>
  <si>
    <t>Süleymanlı Süleyman Zəkəriyyə oğlu</t>
  </si>
  <si>
    <t>Ağcayev Əli Mübariz oğlu</t>
  </si>
  <si>
    <t>Sarıyeva Nərgiz Cavanşir qızı</t>
  </si>
  <si>
    <t>Tinətiyev Ömər Eldar oğlu</t>
  </si>
  <si>
    <t>Maçanov Şamil Məhəmməd oğlu</t>
  </si>
  <si>
    <t>Xəlilov Farid Fərhad oğlu</t>
  </si>
  <si>
    <t>Yusifzadə İbrahim Arif oğlu</t>
  </si>
  <si>
    <t>Uluxanova Firəngiz Əli qızı</t>
  </si>
  <si>
    <t>Məmmədov Aqşin Camaləddin oğlu</t>
  </si>
  <si>
    <t>Əzimov Zaur Fəxrəddin oğlu</t>
  </si>
  <si>
    <t>Əmirov Yasin Ədalət oğlu</t>
  </si>
  <si>
    <t>Əsədli Sadiq Şamil oğlu</t>
  </si>
  <si>
    <t>Məhərrəmov Elnur Əli oğlu</t>
  </si>
  <si>
    <t>Qəhrəmanlı Xəzər Azər oğlu</t>
  </si>
  <si>
    <t>Rzayeva Aysu Zaur qızı</t>
  </si>
  <si>
    <t>Əsədli Elçin Əvəz oğlu</t>
  </si>
  <si>
    <t>Mahmudlu Atakişi Fazil oğlu</t>
  </si>
  <si>
    <t>Firidunlu Elnur Firidun oğlu</t>
  </si>
  <si>
    <t>Kərimli Nuray Cahid qızı</t>
  </si>
  <si>
    <t>Aslanov Vüsal Astan oğlu</t>
  </si>
  <si>
    <t>Sərdarov İsgəndər Məhərrəm oğlu</t>
  </si>
  <si>
    <t>İsmayılov Elvin Tofiq oğlu</t>
  </si>
  <si>
    <t>Behbudlu Qaraca Elxan oğlu</t>
  </si>
  <si>
    <t>Abuzərli Çinarə Yusif qızı</t>
  </si>
  <si>
    <t>Məhərrəmov İqbal Elçin oğlu</t>
  </si>
  <si>
    <t>Qurbanova Əsginaz Muxtar qızı</t>
  </si>
  <si>
    <t>Kazımov Elşən Zifəddin oğlu</t>
  </si>
  <si>
    <t>Hüseynov Şahəddin Oktay oğlu</t>
  </si>
  <si>
    <t>Sarızadə Elçin Qaryağdı oğlu</t>
  </si>
  <si>
    <t>Hüseynov Rəşad Əşrəf oğlu</t>
  </si>
  <si>
    <t>Feyzili Xalid Şaiq oğlu</t>
  </si>
  <si>
    <t>Kamranlı Elçin Xəlil oğlu</t>
  </si>
  <si>
    <t>Əhmədov Cəlal Seyidağa oğlu</t>
  </si>
  <si>
    <t>Əzizov Vüsal Məhəmməd oğlu</t>
  </si>
  <si>
    <t>Rüstəmova Vüsalə Yaşar qızı</t>
  </si>
  <si>
    <t>Həsənov Vüqar İlqar oğlu</t>
  </si>
  <si>
    <t>Şükürzadə Nərmin Rabil qızı</t>
  </si>
  <si>
    <t>Əliyev Rəşad Rövşən oğlu</t>
  </si>
  <si>
    <t>Ağazadə Xəyyam Nizami oğlu</t>
  </si>
  <si>
    <t>Ağayeva Aysu Nüsrət qızı</t>
  </si>
  <si>
    <t>Zamanlı Aysu Elşən qızı</t>
  </si>
  <si>
    <t>İskəndərov Rüfət Məhəmməd oğlu</t>
  </si>
  <si>
    <t>Babayev İbrahim Şirastan oğlu</t>
  </si>
  <si>
    <t>İbrahimov Sənan Fazil oğlu</t>
  </si>
  <si>
    <t>Nəbiyev Saiq Qaryağdı oğlu</t>
  </si>
  <si>
    <t>Rzalı Səkinə Fərhad qızı</t>
  </si>
  <si>
    <t>Teymurlu Simuzər Zülfü qızı</t>
  </si>
  <si>
    <t>Nəcəfov Elgiz Vidadi oğlu</t>
  </si>
  <si>
    <t>Quliyev Etibar Eldar oğlu</t>
  </si>
  <si>
    <t>Vəliyeva Fidan Elşən qızı</t>
  </si>
  <si>
    <t>Abdullayeva Türkanə Əlvan qızı</t>
  </si>
  <si>
    <t>Qasımova Cəmilə Bəhmən qızı</t>
  </si>
  <si>
    <t>Paşayev Asif Vahid oğlu</t>
  </si>
  <si>
    <t>Aslanov Elşən Qələndər oğlu</t>
  </si>
  <si>
    <t>Qurbanlı Elvin Müşviq oğlu</t>
  </si>
  <si>
    <t>Vəliyev Rauf Ədalət oğlu</t>
  </si>
  <si>
    <t>Həsənzadə Nəzir İsmayıl oğlu</t>
  </si>
  <si>
    <t>Ədilova Tünzalə Muradxan qızı</t>
  </si>
  <si>
    <t>Əzizova Zülfiyyə Alı qızı</t>
  </si>
  <si>
    <t>Qasımov Kamran Asəf oğlu</t>
  </si>
  <si>
    <t>Şərifov Rəşad Kamran oğlu</t>
  </si>
  <si>
    <t>Məmmədov Yaqub Arzum oğlu</t>
  </si>
  <si>
    <t>Xəlilov Elnur Möhübbət oğlu</t>
  </si>
  <si>
    <t>Məcidov Sənan Elçin oğlu</t>
  </si>
  <si>
    <t>Mustafazadə Ağa Firdovsi oğlu</t>
  </si>
  <si>
    <t>Əkbərov Daşqın Füzuli oğlu</t>
  </si>
  <si>
    <t>Eynullazadə Rəşad Özübək oğlu</t>
  </si>
  <si>
    <t>Lətifli Lətif İlham oğlu</t>
  </si>
  <si>
    <t>Qəmbərov Vidadi Böyükağa oğlu</t>
  </si>
  <si>
    <t>Zeynalov Tural İlham oğlu</t>
  </si>
  <si>
    <t>Hüseynli Zəhra Sənan qızı</t>
  </si>
  <si>
    <t>Qurbanlı Elgün Rasim oğlu</t>
  </si>
  <si>
    <t>Əsgərova Mətanət İlqar qızı</t>
  </si>
  <si>
    <t>Təhməzli İbrahim Əbülfəz oğlu</t>
  </si>
  <si>
    <t>Cəfərli Təbriz Afis oğlu</t>
  </si>
  <si>
    <t>Həsənzadə Həbib Ərəstun oğlu</t>
  </si>
  <si>
    <t>Abbaszadə Əfsanə Şəmsi qızı</t>
  </si>
  <si>
    <t>Sədirzadə Məzahir Sərraf oğlu</t>
  </si>
  <si>
    <t>Etibarlı Yunis Dadaş oğlu</t>
  </si>
  <si>
    <t>Abdullalı Nailə Valeh qızı</t>
  </si>
  <si>
    <t>Rufullazadə Lamiyə Asəf qızı</t>
  </si>
  <si>
    <t>Eyvazlı Səadət Elşad qızı</t>
  </si>
  <si>
    <t>Əzimova Vəsilə Yaşıl qızı</t>
  </si>
  <si>
    <t>Mustafayev Səfa Saməddin oğlu</t>
  </si>
  <si>
    <t>İsmayılov Əlzamin Kazım oğlu</t>
  </si>
  <si>
    <t>Əliyev Polad Malik oğlu</t>
  </si>
  <si>
    <t>Səmədov Səməd Salman oğlu</t>
  </si>
  <si>
    <t>Mahmudova Şəhla Nəzir qızı</t>
  </si>
  <si>
    <t>Məlikov Əlifağa Ağakişi oğlu</t>
  </si>
  <si>
    <t>Məhərrəmov Elşad Ənvər oğlu</t>
  </si>
  <si>
    <t>Dadaşova Aynur Eldəniz qızı</t>
  </si>
  <si>
    <t>Maxsudov İntizam Mirzəbək oğlu</t>
  </si>
  <si>
    <t>Məmmədov Nahid Namik oğlu</t>
  </si>
  <si>
    <t>Şərbətov Cavid Alim oğlu</t>
  </si>
  <si>
    <t>Hüseynli Miryamin Sabir oğlu</t>
  </si>
  <si>
    <t>Mirzəzadə Kamran Vahid oğlu</t>
  </si>
  <si>
    <t>Mehtiyev Məsləhət Salman oğlu</t>
  </si>
  <si>
    <t>Ağayev Əliqismət Natiq oğlu</t>
  </si>
  <si>
    <t>Cabbarlı Hüseyn Əliqismət oğlu</t>
  </si>
  <si>
    <t>Allahverdiyev Əli Qurban oğlu</t>
  </si>
  <si>
    <t>Rəhimov İlqar Mehman oğlu</t>
  </si>
  <si>
    <t>Əhmədzadə Vəfa Namiq qızı</t>
  </si>
  <si>
    <t>İbrahimova Şəhla Qəhrəman qızı</t>
  </si>
  <si>
    <t>Yunusov Səbuhi Mirxan oğlu</t>
  </si>
  <si>
    <t>Mahmudov Əhliman Sübhi oğlu</t>
  </si>
  <si>
    <t>Şahbazlı Farid Şəfahət oğlu</t>
  </si>
  <si>
    <t>Gözəlov Aslan Vidadi oğlu</t>
  </si>
  <si>
    <t>Mirzəxanlı Elnur Mehman oğlu</t>
  </si>
  <si>
    <t>Seyfullayev Rəşid Əlixeybər oğlu</t>
  </si>
  <si>
    <t>Abdullayev Əlif Əlixan oğlu</t>
  </si>
  <si>
    <t>Hüseynova Elnarə Zaur qızı</t>
  </si>
  <si>
    <t>Qədiməliyev Orxan Yaşar oğlu</t>
  </si>
  <si>
    <t>İmanova Aysel Oruc qızı</t>
  </si>
  <si>
    <t>Məmmədova Cəmilə İqbal qızı</t>
  </si>
  <si>
    <t>Əskərov Natiq Nazim oğlu</t>
  </si>
  <si>
    <t>Rzayev Rəsul İxtiyar oğlu</t>
  </si>
  <si>
    <t>Məmmədova Səbinə Şahinovna</t>
  </si>
  <si>
    <t>Eyvazova Zərnişan İsrafil qızı</t>
  </si>
  <si>
    <t>Cəfərov Cəfər Dilqəm oğlu</t>
  </si>
  <si>
    <t>Musayev Vüqar Qəhrəman oğlu</t>
  </si>
  <si>
    <t>Orucova Məhsəti Vəlyəddin qızı</t>
  </si>
  <si>
    <t>Məmmədova Gültəkin Vəli qızı</t>
  </si>
  <si>
    <t>İbrahimova Vüsalə Əli qızı</t>
  </si>
  <si>
    <t>Qurbanov Aqasif Nazim oğlu</t>
  </si>
  <si>
    <t>Mehrəliyev Vahid Məcnun oğlu</t>
  </si>
  <si>
    <t>İmaməddinov Şahvələd Musa oğlu</t>
  </si>
  <si>
    <t>Soltanov Atabala Mirzə oğlu</t>
  </si>
  <si>
    <t>Şükürov Yasın Əlsafa oğlu</t>
  </si>
  <si>
    <t>Əliyev Zülfüqar Elxan oğlu</t>
  </si>
  <si>
    <t>Camalova Könül Sabir qızı</t>
  </si>
  <si>
    <t>Əhmədli Əhməd İlham oğlu</t>
  </si>
  <si>
    <t>Rəhimov Cavidan Rəhim oğlu</t>
  </si>
  <si>
    <t>Muradov Əlizamin Məhəmməd oğlu</t>
  </si>
  <si>
    <t>Vəliyev Nazir Məhərrəm oğlu</t>
  </si>
  <si>
    <t>Həsənov Gündüz İntiqam oğlu</t>
  </si>
  <si>
    <t>Əliyev Cəmil Oktay oğlu</t>
  </si>
  <si>
    <t>Qaraşlı Qaraş Şirvan oğlu</t>
  </si>
  <si>
    <t>Əhmədov Pərvin Rasim oğlu</t>
  </si>
  <si>
    <t>Rzayev Rəşad Elxan oğlu</t>
  </si>
  <si>
    <t>Məmmədova Tahirə Bəhrəm qızı</t>
  </si>
  <si>
    <t>Əhmədov Vüsal İnqilab oğlu</t>
  </si>
  <si>
    <t>Alıyev Taleh Əsgər oğlu</t>
  </si>
  <si>
    <t>Əliyev Zaur Əlövsət oğlu</t>
  </si>
  <si>
    <t>İdriszadə Arzu Suraxan oğlu</t>
  </si>
  <si>
    <t>Hüseynov Ülfət Rasim oğlu</t>
  </si>
  <si>
    <t>Məmmədli Gülər Dilqəm qızı</t>
  </si>
  <si>
    <t>Hüseynzadə Günel Rasim qızı</t>
  </si>
  <si>
    <t>Məmmədova Humay Məhəmməd qızı</t>
  </si>
  <si>
    <t>Paşayev Vüqar Yavər oğlu</t>
  </si>
  <si>
    <t>Babayev Fərid Ülfət oğlu</t>
  </si>
  <si>
    <t>Şükürlü Toğrul Nəvahir oğlu</t>
  </si>
  <si>
    <t>Qocayeva Sevda Bəxtiyar qızı</t>
  </si>
  <si>
    <t>Məcidli Müşfiq Qabil oğlu</t>
  </si>
  <si>
    <t>Hüseynov Yasin Elşən oğlu</t>
  </si>
  <si>
    <t>Əlizadə Ruzigar Əli oğlu</t>
  </si>
  <si>
    <t>Səfərov Cavad Vüqar oğlu</t>
  </si>
  <si>
    <t>Allahverdiyeva Lalə İlham qızı</t>
  </si>
  <si>
    <t>Babayev Röyal Xəyal oğlu</t>
  </si>
  <si>
    <t>Musayev Raqif Şakir oğlu</t>
  </si>
  <si>
    <t>Məmmədova Afaq İsa qızı</t>
  </si>
  <si>
    <t>Məhərrəmov Zülfüqar Yaşar oğlu</t>
  </si>
  <si>
    <t>Pənahova Şəbnəm Anar qızı</t>
  </si>
  <si>
    <t>İsayeva Səidə Kamil qızı</t>
  </si>
  <si>
    <t>Ələkbərova Gülcan Zeynalabdı qızı</t>
  </si>
  <si>
    <t>Qurbanova Dilarə Tapdıq qızı</t>
  </si>
  <si>
    <t>Şükürov Bilal Tofiq oğlu</t>
  </si>
  <si>
    <t>Kazımov Kamil Namiq oğlu</t>
  </si>
  <si>
    <t>İsmayılova Nərminə İlqar qızı</t>
  </si>
  <si>
    <t>Nəcəfova Ceyran Bəxtiyar qızı</t>
  </si>
  <si>
    <t>Balakişiyeva Leyla Sadədin qızı</t>
  </si>
  <si>
    <t>Aslanova Almaz Hacı qızı</t>
  </si>
  <si>
    <t>Novruzov Fariz Vaqif oğlu</t>
  </si>
  <si>
    <t>Nəcəfov Elnur Hidayət oğlu</t>
  </si>
  <si>
    <t>Səfiyeva Aytən Elyar qızı</t>
  </si>
  <si>
    <t>Əmirova İlahə Qnyaz qızı</t>
  </si>
  <si>
    <t>Nuriyeva Nüşabə Faiq qızı</t>
  </si>
  <si>
    <t>Məmmədov Elmir Yasin oğlu</t>
  </si>
  <si>
    <t>Əmirova Afaq Elşən qızı</t>
  </si>
  <si>
    <t>Əsgərova Solmaz Şirzad qızı</t>
  </si>
  <si>
    <t>Tağıyeva Könül Hüseynağa qızı</t>
  </si>
  <si>
    <t>Səmədov Rəşad Volodya oğlu</t>
  </si>
  <si>
    <t>Abbasov Vüsal Könül oğlu</t>
  </si>
  <si>
    <t>Seyidov Tural Vuqar oğlu</t>
  </si>
  <si>
    <t>Hüseynov Eltun Şahin oğlu</t>
  </si>
  <si>
    <t>Məhərrəmova Kəmalə Mikayıl qızı</t>
  </si>
  <si>
    <t>İsmayılov Fərid Famil oğlu</t>
  </si>
  <si>
    <t>Məhərrəmov Elvin Arif oğlu</t>
  </si>
  <si>
    <t>Qasımov Rəşad Elşan oğlu</t>
  </si>
  <si>
    <t>Abbasov Elşad Ehtibar oğlu</t>
  </si>
  <si>
    <t>Bağırov İsgəndər Etibar oğlu</t>
  </si>
  <si>
    <t>Tağıyev Turan Vüqar oğlu</t>
  </si>
  <si>
    <t>Əliyev Elgün Tariel oğlu</t>
  </si>
  <si>
    <t>Rəcəbova Vüsalə İlham qızı</t>
  </si>
  <si>
    <t>Qasımov Kənan Zahid oğlu</t>
  </si>
  <si>
    <t>Abbasov Rəmal Vüqar oğlu</t>
  </si>
  <si>
    <t>Novruzov Asif Saleh oğlu</t>
  </si>
  <si>
    <t>Əzizli Kamil Vidadi oğlu</t>
  </si>
  <si>
    <t>Süleymanov Sədi Ramil oğlu</t>
  </si>
  <si>
    <t>Qurbanova Türkan İlqar qızı</t>
  </si>
  <si>
    <t>Rəhimova Maya Xaliq qızı</t>
  </si>
  <si>
    <t>Quliyeva Aysun Şamil qızı</t>
  </si>
  <si>
    <t>Abbasov Fuad Faiq oğlu</t>
  </si>
  <si>
    <t>Rzayeva Gülşən Şamil qızı</t>
  </si>
  <si>
    <t>Musazadə Xaliq Əlöysət oğlu</t>
  </si>
  <si>
    <t>Qarayeva Fəridə Qüdrət qızı</t>
  </si>
  <si>
    <t>Qafarov Məmməd Arzu oğlu</t>
  </si>
  <si>
    <t>Aslanov Elcan Elman oğlu</t>
  </si>
  <si>
    <t>Abbasov Rəşad Rüfət oğlu</t>
  </si>
  <si>
    <t>Abbasov Pərvin Abbas oğlu</t>
  </si>
  <si>
    <t>Quliyev Elmir Şakir oğlu</t>
  </si>
  <si>
    <t>Nuriyev İlqar Əlövsət oğlu</t>
  </si>
  <si>
    <t>Mikayılzadə Nemət Elçin oğlu</t>
  </si>
  <si>
    <t>Hüseynzadə Nicat Siyavuş oğlu</t>
  </si>
  <si>
    <t>Bayramov Elgiz Şahin oğlu</t>
  </si>
  <si>
    <t>Məmmədov Fərid Rasim oğlu</t>
  </si>
  <si>
    <t>Hüseynova Böyükxanım Vüqar qızı</t>
  </si>
  <si>
    <t>Muradova Yeganə Məhəmməd qızı</t>
  </si>
  <si>
    <t>Dursunov Razi Arzu oğlu</t>
  </si>
  <si>
    <t>İsayeva Salihə Ələddin qızı</t>
  </si>
  <si>
    <t>Şirinova Rəqsanə Ziyad qızı</t>
  </si>
  <si>
    <t>Axundlu Fatma Mahmud qızı</t>
  </si>
  <si>
    <t>Gərayev Ağayusif Rəfael oğlu</t>
  </si>
  <si>
    <t>İsayev Kənan Ömər oğlu</t>
  </si>
  <si>
    <t>Əhmədli Nihad Teymur oğlu</t>
  </si>
  <si>
    <t>Məmmədova Malikə Sırac qızı</t>
  </si>
  <si>
    <t>Quliyev Xəyal İkram oğlu</t>
  </si>
  <si>
    <t>Salmanov Rövşən Namiq oğlu</t>
  </si>
  <si>
    <t>Məmmədov Əfqan Vaqif oğlu</t>
  </si>
  <si>
    <t>Mustafayev İlyas Famil oğlu</t>
  </si>
  <si>
    <t>Məmmədov Ağasəf Pərviz oğlu</t>
  </si>
  <si>
    <t>Hüseyinli Həsən Yasin oğlu</t>
  </si>
  <si>
    <t>Abbasov Pərvin Rövşən oğlu</t>
  </si>
  <si>
    <t>Abbasov Roman Azad oğlu</t>
  </si>
  <si>
    <t>Nağıyeva Mehriban Cəfər qızı</t>
  </si>
  <si>
    <t>Əşrəfova Əminə Elşən qızı</t>
  </si>
  <si>
    <t>Fətullayev İman Elxan oğlu</t>
  </si>
  <si>
    <t>Mehdiyeva Səmra Zabid qızı</t>
  </si>
  <si>
    <t>Abbasov Nicat Rasim oğlu</t>
  </si>
  <si>
    <t>Vəliyeva Kəmalə Sabir qızı</t>
  </si>
  <si>
    <t>Şahbazov Fuad Arif oğlu</t>
  </si>
  <si>
    <t>Əsədov Musa Azər oğlu</t>
  </si>
  <si>
    <t>Abasov Əkbər Abas oğlu</t>
  </si>
  <si>
    <t>İsgəndərov Rahim Tofiq oğlu</t>
  </si>
  <si>
    <t>Soltanov Rəmzi Vüqar oğlu</t>
  </si>
  <si>
    <t>Quliyev Böyükağa Elçin oğlu</t>
  </si>
  <si>
    <t>Əsgərova Jalə İlham qızı</t>
  </si>
  <si>
    <t>Həsənova Aidə Vüqar qızı</t>
  </si>
  <si>
    <t>Məmmədova Pərvanə Ağagəldi qızı</t>
  </si>
  <si>
    <t>Əlişanov Vahid Ənvər oğlu</t>
  </si>
  <si>
    <t>Mustafayev Taleh Mübariz oğlu</t>
  </si>
  <si>
    <t>Əliyeva Bəsirə Şəmsəddin qızı</t>
  </si>
  <si>
    <t>Cavadov Rəşad Fikrət oğlu</t>
  </si>
  <si>
    <t>Əlimirzəyev Aydın Ənvər oğlu</t>
  </si>
  <si>
    <t>Osmanov Nəsib Nəcməddin oğlu</t>
  </si>
  <si>
    <t>Kərəmov Çingiz Tərxan oğlu</t>
  </si>
  <si>
    <t>Şıxnəsirli Şahnaz Budaq qızı</t>
  </si>
  <si>
    <t>Tağıyeva Emiliya Oktay qızı</t>
  </si>
  <si>
    <t>Həbibov Nazim Natiq oğlu</t>
  </si>
  <si>
    <t>Nəcəfov Natiq Sahib oğlu</t>
  </si>
  <si>
    <t>Şərifov Xəyyam Seyfulla oğlu</t>
  </si>
  <si>
    <t>Lətifova Aygün Yaşar qızı</t>
  </si>
  <si>
    <t>Fərzəliyeva Sevinc Arzuman qızı</t>
  </si>
  <si>
    <t>Məmmədxanov Fərrux Aqil oğlu</t>
  </si>
  <si>
    <t>Tahirov Əziz Xəlil oğlu</t>
  </si>
  <si>
    <t>Musayeva Elvira Elçin qızı</t>
  </si>
  <si>
    <t>Məmmədov Telman Eynulla oğlu</t>
  </si>
  <si>
    <t>Cavadova Nəzakət Mirzəbala qızı</t>
  </si>
  <si>
    <t>Məmmədova Aytən Əlif qızı</t>
  </si>
  <si>
    <t>Abidov Tural İbrahim oğlu</t>
  </si>
  <si>
    <t>Əliyev Rəşad Xıdır oğlu</t>
  </si>
  <si>
    <t>Əliyarov Orxan Həbib oğlu</t>
  </si>
  <si>
    <t>Məmmədov Məhəmməd Balabəy oğlu</t>
  </si>
  <si>
    <t>Quluzadə Fərid Elçin oğlu</t>
  </si>
  <si>
    <t>İskəndərova Sona Elçin qızı</t>
  </si>
  <si>
    <t>Babayev İlkin Sahib oğlu</t>
  </si>
  <si>
    <t>Cavadov Amin Soltan oğlu</t>
  </si>
  <si>
    <t>Allahverdiyev Sadiq Saday oğlu</t>
  </si>
  <si>
    <t>Quliyeva Lamiyə Azər qızı</t>
  </si>
  <si>
    <t>Zeynalova Səbinə Oruc qızı</t>
  </si>
  <si>
    <t>Bağırova Rasimə Möhübbət qızı</t>
  </si>
  <si>
    <t>Qaracayev Hacı Bayram oğlu</t>
  </si>
  <si>
    <t>Əhlizadə Əhli Şahin oğlu</t>
  </si>
  <si>
    <t>Ağayev Bəhruz Sahib oğlu</t>
  </si>
  <si>
    <t>Seyidli Türkan Məsudi qızı</t>
  </si>
  <si>
    <t>İbrəhimov Vüsal Qəzənfər oğlu</t>
  </si>
  <si>
    <t>İbişov Sülhi Səfər oğlu</t>
  </si>
  <si>
    <t>Yaqubzadə Pərvin Rasim oğlu</t>
  </si>
  <si>
    <t>Böyükağazadə Vüsal Vaqif oğlu</t>
  </si>
  <si>
    <t>Musazadə Munis İldırım oğlu</t>
  </si>
  <si>
    <t>İsmayılzadə Əfsanə Natiq qızı</t>
  </si>
  <si>
    <t>Aslanov Bəhruz Adışirin oğlu</t>
  </si>
  <si>
    <t>Soltanov Cəlal Rəşid oğlu</t>
  </si>
  <si>
    <t>Nicatoğlu Sənan Nicat oğlu</t>
  </si>
  <si>
    <t>Quliyev Ruslan Elşən oğlu</t>
  </si>
  <si>
    <t>Talıbova Gülzar Ramazan qızı</t>
  </si>
  <si>
    <t>Musayev Vüsal Ağabala oğlu</t>
  </si>
  <si>
    <t>Tarverdiyev Toğrul Museyib oğlu</t>
  </si>
  <si>
    <t>Abaslı Mirxalıq Mübariz oğlu</t>
  </si>
  <si>
    <t>Qocazadə Abbas Müşfiq oğlu</t>
  </si>
  <si>
    <t>Orucov Həsən Rəmzi oğlu</t>
  </si>
  <si>
    <t>Cəfərov Elsevər Həzrət oğlu</t>
  </si>
  <si>
    <t>Qəribov Rəşid Şəmsəddin oğlu</t>
  </si>
  <si>
    <t>Beybudov Rahim Lazım oğlu</t>
  </si>
  <si>
    <t>Mirzəyev Vidadi Pənah oğlu</t>
  </si>
  <si>
    <t>Xələfov Qadir Müsənnif oğlu</t>
  </si>
  <si>
    <t xml:space="preserve">	Həsənli Gülşən Baxtiyar qızı</t>
  </si>
  <si>
    <t>Məmmədov Cümşüd Qasım oğlu</t>
  </si>
  <si>
    <t>Məmmədəlizadə Nərmin Fuad qızı</t>
  </si>
  <si>
    <t>Abdullayeva Fidan Bəhər qızı</t>
  </si>
  <si>
    <t>Nadirzadə Varis Natiq oğlu</t>
  </si>
  <si>
    <t>Novruzova Aidə Şahin qızı</t>
  </si>
  <si>
    <t>Qasımov Şöhrət Elşad oğlu</t>
  </si>
  <si>
    <t>Faxtiyeva Şəfa Xanlar qızı</t>
  </si>
  <si>
    <t>Əliyev Bəxtiyar Qaçay oğlu</t>
  </si>
  <si>
    <t>Rüstəmov Mehman Yusif oğlu</t>
  </si>
  <si>
    <t>Quliyev Ramin Tapdıq oğlu</t>
  </si>
  <si>
    <t>Abdullayev Samir Sabir oğlu</t>
  </si>
  <si>
    <t>Abbasov Səməd Çingiz oğlu</t>
  </si>
  <si>
    <t>Şəmşiyeva Leyla Mahir qızı</t>
  </si>
  <si>
    <t>Mustafayev Emil Rövşən oğlu</t>
  </si>
  <si>
    <t>Sultanova Aygün Vaqif qızı</t>
  </si>
  <si>
    <t>Namazov Amil Rahib oğlu</t>
  </si>
  <si>
    <t>Muxtarova Türkan Arzu qızı</t>
  </si>
  <si>
    <t>Ələkbərova Aişə Albert qızı</t>
  </si>
  <si>
    <t>Qəmbərov Ramin Vahid oğlu</t>
  </si>
  <si>
    <t>Əliyev Səbuhi Zirəddin oğlu</t>
  </si>
  <si>
    <t>Rzayev Xəzər İlham oğlu</t>
  </si>
  <si>
    <t>Abdinova Nərmin Məhərrəm qızı</t>
  </si>
  <si>
    <t>Abbaszadə Fəridə Pənah qızı</t>
  </si>
  <si>
    <t>İsgəndərova Güllər İsgəndər qızı</t>
  </si>
  <si>
    <t>Yusibov Elvin Fəxrəddin oğlu</t>
  </si>
  <si>
    <t>Mehdiyev Rəşid Ruslan oğlu</t>
  </si>
  <si>
    <t>Məcdunova Gülnar Mehman qızı</t>
  </si>
  <si>
    <t>Qarayeva İlhamə Nahyəddin qızı</t>
  </si>
  <si>
    <t>Hüseynov Anar Rabil oğlu</t>
  </si>
  <si>
    <t>Sadıqova-Salahova Röya Natiq qızı</t>
  </si>
  <si>
    <t>Süleymanov Elvin İlham oğlu</t>
  </si>
  <si>
    <t>Baxşiyev Qismət Şərafət oğlu</t>
  </si>
  <si>
    <t>Bəkirli Elman Telman oğlu</t>
  </si>
  <si>
    <t>Rüstəmov Sahil Əbülfəz oğlu</t>
  </si>
  <si>
    <t>Seyfiyev Rauf İlham oğlu</t>
  </si>
  <si>
    <t>Umudov Nədamət Vüqar oğlu</t>
  </si>
  <si>
    <t>Mehdizadə Eldost Elşad oğlu</t>
  </si>
  <si>
    <t>Surxayev Cəsarət Rüstəm oğlu</t>
  </si>
  <si>
    <t>Mehdiyeva Bikə Oqtay qızı</t>
  </si>
  <si>
    <t>Kalayev Tofiq Əli oğlu</t>
  </si>
  <si>
    <t>Ramazanlı Emin Hikmət oğlu</t>
  </si>
  <si>
    <t>Abdurahmanov Ülvi Nəriman oğlu</t>
  </si>
  <si>
    <t>Abdullayeva Elnarə Elşad qızı</t>
  </si>
  <si>
    <t>Abbasova Ayna Mübariz qızı</t>
  </si>
  <si>
    <t>Məmmədli Murad Azər oğlu</t>
  </si>
  <si>
    <t>Kərimova Nərmin Elxan qızı</t>
  </si>
  <si>
    <t>Ramazanova Esmira Abdusalam qızı</t>
  </si>
  <si>
    <t>Şərifov Emil Elxan oğlu</t>
  </si>
  <si>
    <t>Məmmədov Süleyman Məmməd oğlu</t>
  </si>
  <si>
    <t>İsmayılzadə Sarif Yadulla oğlu</t>
  </si>
  <si>
    <t>Hüseynova Türkan Rauf qızı</t>
  </si>
  <si>
    <t>Yolçuyev Elçin Valeriy oğlu</t>
  </si>
  <si>
    <t>Binnətov Rəhman Fərhad oğlu</t>
  </si>
  <si>
    <t>Alməmmədov Şükür Əsgər oğlu</t>
  </si>
  <si>
    <t>İsmayılov İsmayıl İbrahim oğlu</t>
  </si>
  <si>
    <t>Axundov Aktiv Elçin oğlu</t>
  </si>
  <si>
    <t>Eyyubova Ceyran Aşıq qızı</t>
  </si>
  <si>
    <t>Qocayeva Fidan Azad qızı</t>
  </si>
  <si>
    <t>Məmmədova Məhəbbət Xaliq qızı</t>
  </si>
  <si>
    <t>Muradlı Vasif Adil oğlu</t>
  </si>
  <si>
    <t>Mustafazadə Elvin Vidadi oğlu</t>
  </si>
  <si>
    <t>Səfərli Talıb Təvəkkül oğlu</t>
  </si>
  <si>
    <t>Babayev Vüsal Telman oğlu</t>
  </si>
  <si>
    <t>Səfərov Vüsal Rayis oğlu</t>
  </si>
  <si>
    <t>Umudəliyeva Gülşən Azad qızı</t>
  </si>
  <si>
    <t>Kərimov Murad Dursunəli oğlu</t>
  </si>
  <si>
    <t>Novruzova Gülşən Ramiq qızı</t>
  </si>
  <si>
    <t>Aydınov Rizvan Kamran oğlu</t>
  </si>
  <si>
    <t>Abdullayev Səbuhi Qəşəm oğlu</t>
  </si>
  <si>
    <t>Qəribova Şairə Süleyman qızı</t>
  </si>
  <si>
    <t>İsmayılov Laçın Mustafa oğlu</t>
  </si>
  <si>
    <t>Mirzəmmədov Etibar Bəxtiyar oğlu</t>
  </si>
  <si>
    <t>Mahmudzadə Fəryad Fəxrəddin oğlu</t>
  </si>
  <si>
    <t>Rzayev Fərid Ülvi oğlu</t>
  </si>
  <si>
    <t>Qocayeva Şahnaz Bəylər qızı</t>
  </si>
  <si>
    <t>Nağıyeva Leyla Adil qızı</t>
  </si>
  <si>
    <t>Vəliyev Əli Vaqif oğlu</t>
  </si>
  <si>
    <t>Əlizadə Nigar Mehman qızı</t>
  </si>
  <si>
    <t>Hüseynova Solmaz Elmidar qızı</t>
  </si>
  <si>
    <t>Kazımov Babək Şahlar oğlu</t>
  </si>
  <si>
    <t>Şükürova Gülbəniz İlqar qızı</t>
  </si>
  <si>
    <t>Ələkbərov Elmir Əzizağa oğlu</t>
  </si>
  <si>
    <t>Qurbanov Arzuman Ələkbər oğlu</t>
  </si>
  <si>
    <t>Azadə Qoşqar Fərasət oğlu</t>
  </si>
  <si>
    <t>Vahidov Murad Eynulla oğlu</t>
  </si>
  <si>
    <t>Bayramov Bayram Rahim oğlu</t>
  </si>
  <si>
    <t>Aliyev Kənan Azad oğlu</t>
  </si>
  <si>
    <t>Qurbanova Firuzə Hacıbaba qızı</t>
  </si>
  <si>
    <t>Rzayev İlkin Mübariz oğlu</t>
  </si>
  <si>
    <t>Müslümov Əfqan Nəriman oğlu</t>
  </si>
  <si>
    <t>Aşurova Səbinə Zeynul qızı</t>
  </si>
  <si>
    <t>İsrafilova Ulduz Fərhad qızı</t>
  </si>
  <si>
    <t>Əhmədxanov Ceyhun Cəmil oğlu</t>
  </si>
  <si>
    <t>Əskərov Əskər İmran oğlu</t>
  </si>
  <si>
    <t>Məmmədov Məmməd Əli oğlu</t>
  </si>
  <si>
    <t>Fətəliyeva Oksana İlham qızı</t>
  </si>
  <si>
    <t>Abdullayeva Həcər Nail qızı</t>
  </si>
  <si>
    <t>Məmmədsalahova Lamiyə Aslan qızı</t>
  </si>
  <si>
    <t>Ədilov Nicat Əmrah oğlu</t>
  </si>
  <si>
    <t>Şirinova Samirə Suyəddin qızı</t>
  </si>
  <si>
    <t>Ələskərova Mahnıyar Minhac qızı</t>
  </si>
  <si>
    <t>Baxışov Tural Mikayıl oğlu</t>
  </si>
  <si>
    <t>Əhmədov Cavad Sabir oğlu</t>
  </si>
  <si>
    <t>Bondorenko Niyaməddin Aydın oğlu</t>
  </si>
  <si>
    <t>Məcidov Azər Rahim oğlu</t>
  </si>
  <si>
    <t>Əzizov Nəriman İmran oğlu</t>
  </si>
  <si>
    <t>Əlifxanov Samir Eldar oğlu</t>
  </si>
  <si>
    <t>Şirinova Sənubər İsabala qızı</t>
  </si>
  <si>
    <t>Hafizov Altay Hikmət oğlu</t>
  </si>
  <si>
    <t>Zahirova Ayişə Əbülfət qızı</t>
  </si>
  <si>
    <t>Gülməmmədov Samir Murad oğlu</t>
  </si>
  <si>
    <t>Mustafayev Ömər Cabir oğlu</t>
  </si>
  <si>
    <t>Mirzamova Yasəmən Şixnəbiyevna</t>
  </si>
  <si>
    <t>Qasımov Elmar Mətləboviç</t>
  </si>
  <si>
    <t>Rzayev Pərviz Azər oğlu</t>
  </si>
  <si>
    <t>Tumarxanov İlham İkramoviç</t>
  </si>
  <si>
    <t>Şixova Limanə Nazir qızı</t>
  </si>
  <si>
    <t>İmanov Xəqani Allahyar oğlu</t>
  </si>
  <si>
    <t>Quluyeva Sevda Mahmud qızı</t>
  </si>
  <si>
    <t>Həsənli Gülnar Astan qızı</t>
  </si>
  <si>
    <t>Verdiyev Pərviz Elçin oğlu</t>
  </si>
  <si>
    <t>Mamedova Nigar Aruz qızı</t>
  </si>
  <si>
    <t>Dadiyev İlham Əziməli oğlu</t>
  </si>
  <si>
    <t>Əliyev Fuad Hacırza oğlu</t>
  </si>
  <si>
    <t>Şahbazov Bəhmən Balabək oğlu</t>
  </si>
  <si>
    <t>Əliyev Aqil Fəxrəddin oğlu</t>
  </si>
  <si>
    <t>Əliyev Mehman Tahir oğlu</t>
  </si>
  <si>
    <t>Ağaxanlı Sədrəddin Habil oğlu</t>
  </si>
  <si>
    <t>Salayev Vusal Zirəddin oğlu</t>
  </si>
  <si>
    <t>Əliyeva Sevda Abdin qızı</t>
  </si>
  <si>
    <t>Əliyev Fəxrəddin Əli oğlu</t>
  </si>
  <si>
    <t>Həsənov Füzuli Fəyyaz oğlu</t>
  </si>
  <si>
    <t>Qəniyev Fuad Əfladdin oğlu</t>
  </si>
  <si>
    <t>Zülfiyeva Gülnarə Balabəy qızı</t>
  </si>
  <si>
    <t>Şərifov Elnur Əfqan oğlu</t>
  </si>
  <si>
    <t>Zeynalova Aynur Arzu qızı</t>
  </si>
  <si>
    <t>Rəhmanov Rəşid Əlikram oğlu</t>
  </si>
  <si>
    <t>Əzimov Elçin Rasim oğlu</t>
  </si>
  <si>
    <t>Əliyev Kamran Pərvaz oğlu</t>
  </si>
  <si>
    <t>Ağabalayeva Aysel Əli qızı</t>
  </si>
  <si>
    <t>Kərimov Əmrah Ramiz oğlu</t>
  </si>
  <si>
    <t>Əhmədzadə Əlirza Ceyhun oğlu</t>
  </si>
  <si>
    <t>İsmayılov Elvin Mirəhməd oğlu</t>
  </si>
  <si>
    <t>Vəliyeva Aydan Şəmsəddin qızı</t>
  </si>
  <si>
    <t>Bağışzadə Anar İlqar oğlu</t>
  </si>
  <si>
    <t>Məmmədzadə İbrahim Rövşən oğlu</t>
  </si>
  <si>
    <t>Axundlu Kubra Nail qızı</t>
  </si>
  <si>
    <t>Məmmədov Məhəmməd Vüqar oğlu</t>
  </si>
  <si>
    <t>Mirzəzadə Yusif Kəlbi oğlu</t>
  </si>
  <si>
    <t>Əbilzadə Cəmil Cavanşir oğlu</t>
  </si>
  <si>
    <t>Əskərli Ruslan Şahin oğlu</t>
  </si>
  <si>
    <t>Fətdayeva Nigar Məmmədsadıq qızı</t>
  </si>
  <si>
    <t>Həsənzadə Nərmin İqbal qızı</t>
  </si>
  <si>
    <t>Ağazadə Şahmar Şaban oğlu</t>
  </si>
  <si>
    <t>Əkbərova Şəhla Əbülfəz qızı</t>
  </si>
  <si>
    <t>Həsənova Aynurə Kərim qızı</t>
  </si>
  <si>
    <t>Bəşirov Nizami Həzərxan oğlu</t>
  </si>
  <si>
    <t>Məmmədli İbrahim İdrak oğlu</t>
  </si>
  <si>
    <t>Babazadə Fərid Novruz oğlu</t>
  </si>
  <si>
    <t>Şiriyev İbrahim Həsənağa oğlu</t>
  </si>
  <si>
    <t>Rzazadə Vaqif İlham oğlu</t>
  </si>
  <si>
    <t>Şahbazlı Fərid İlham oğlu</t>
  </si>
  <si>
    <t>Abdullazadə Mirsəbinə Vaqif qızı</t>
  </si>
  <si>
    <t>Quluzadə Cavid Qasid oğlu</t>
  </si>
  <si>
    <t>Həsrətova Gülnarə Etibar qızı</t>
  </si>
  <si>
    <t>Rzazadə Elgün Azad oğlu</t>
  </si>
  <si>
    <t>Kərimova Aydan Siyasət qızı</t>
  </si>
  <si>
    <t>Məmmədov Rüstəm Mirqəvvam oğlu</t>
  </si>
  <si>
    <t>Axundov Polat Sait oğlu</t>
  </si>
  <si>
    <t>Məmmədov Emin Hamlet oğlu</t>
  </si>
  <si>
    <t>Sadıqova Səbinə Məlik qızı</t>
  </si>
  <si>
    <t>Hüseynov Fariq Zahirəli oğlu</t>
  </si>
  <si>
    <t>Əsədli Məhəmməd Tofiq oğlu</t>
  </si>
  <si>
    <t>Əlizadə Aydan Mirhüseyn qızı</t>
  </si>
  <si>
    <t>Əsgərova Fatimə Valeh qızı</t>
  </si>
  <si>
    <t>İsmayılzadə Ülkər Rafiq qızı</t>
  </si>
  <si>
    <t>Ağacanova Nəzrin Ziyafət qızı</t>
  </si>
  <si>
    <t>Hüseynova Jalə Xadim qızı</t>
  </si>
  <si>
    <t>Balakişiyeva Namiyə Tehran qızı</t>
  </si>
  <si>
    <t>Əliyeva Məleykə Şahin qızı</t>
  </si>
  <si>
    <t>Əsədzadə Səid Zahir oğlu</t>
  </si>
  <si>
    <t>Həşimov Siruz Bəhruz oğlu</t>
  </si>
  <si>
    <t>Mazanova Gülnar Rahib qızı</t>
  </si>
  <si>
    <t>Rufullalı Nemət Rüfət oğlu</t>
  </si>
  <si>
    <t>Məmmədli Emin İlham oğlu</t>
  </si>
  <si>
    <t>Məmmədova Cəvahir Rizvan qızı</t>
  </si>
  <si>
    <t>Allahverdiyev Amil Bəylər oğlu</t>
  </si>
  <si>
    <t>Heybətzadə İlkin İsmayıl oğlu</t>
  </si>
  <si>
    <t>Şükürzadə Xəyyam Dövran oğlu</t>
  </si>
  <si>
    <t>Şükürov Orxan Ehtibar oğlu</t>
  </si>
  <si>
    <t>Səmədov Xanlar Xanhüseyn oğlu</t>
  </si>
  <si>
    <t>Muxtarov Səbuhi Yaşar oğlu</t>
  </si>
  <si>
    <t>Tağıyev Elçin Aydın oğlu</t>
  </si>
  <si>
    <t>Hacıyev Elşən Rövşən oğlu</t>
  </si>
  <si>
    <t>Dursunova Şirvanə Məmmədhüseyn qızı</t>
  </si>
  <si>
    <t>Qasımov Əhliman Rafiq oğlu</t>
  </si>
  <si>
    <t>Zeynalov Elmir Sənan oğlu</t>
  </si>
  <si>
    <t>Mustafayeva Jalə Müğdət qızı</t>
  </si>
  <si>
    <t>Malikzadə Malik İlqar oğlu</t>
  </si>
  <si>
    <t>İbrahimov Bəhruz Rizvan oğlu</t>
  </si>
  <si>
    <t>Rəhimov Elşən Emin oğlu</t>
  </si>
  <si>
    <t>Mayılzadə Jalə Aqil qızı</t>
  </si>
  <si>
    <t>İsmayıllı Cavad Polad oğlu</t>
  </si>
  <si>
    <t>Musayeva Aysu Namaz qızı</t>
  </si>
  <si>
    <t>Bayramov Xeyrəddin Çingiz oğlu</t>
  </si>
  <si>
    <t>Rəhimov Camal Səməd oğlu</t>
  </si>
  <si>
    <t>Cəfərov Bəxtiyar Zimistan oğlu</t>
  </si>
  <si>
    <t>Əbdülrəhimov Ziya Taleh oğlu</t>
  </si>
  <si>
    <t>Tağıyev Orxan Şamil oğlu</t>
  </si>
  <si>
    <t>Musaxanlı Orxan Hüseyn oğlu</t>
  </si>
  <si>
    <t>Məmmədova Ceyran Yaşar qızı</t>
  </si>
  <si>
    <t>Məmmədova Afaqxanım İsmayıl qızı</t>
  </si>
  <si>
    <t>Verdiyev Şəmistan Vüqar oğlu</t>
  </si>
  <si>
    <t>Ələsgərov Elnur Azər oğlu</t>
  </si>
  <si>
    <t>Binnətov Rəşad Mehman oğlu</t>
  </si>
  <si>
    <t>Cəfərov Rəşid Abduləli oğlu</t>
  </si>
  <si>
    <t>Abbasova Aygün Aydın qızı</t>
  </si>
  <si>
    <t>Məlikov Əşrəf Ənvər oğlu</t>
  </si>
  <si>
    <t>Xəlilova Anaxanım Qabil qızı</t>
  </si>
  <si>
    <t>Orucov Ülvi Feyzulla oğlu</t>
  </si>
  <si>
    <t>İbrahimova Səidə Süleyman qızı</t>
  </si>
  <si>
    <t>Əzizov Akif Xalıq oğlu</t>
  </si>
  <si>
    <t>Əliyev Qəmbər Rahib oğlu</t>
  </si>
  <si>
    <t>Quliyeva Qəribə Ağamali qızı</t>
  </si>
  <si>
    <t>Hüseynova Rəisə Fayaz qızı</t>
  </si>
  <si>
    <t>Qüddəsərli Araz Zahir oğlu</t>
  </si>
  <si>
    <t>İsgəndərov İsgəndər Tərlan oğlu</t>
  </si>
  <si>
    <t>Alxasov Vüsal Alxas oğlu</t>
  </si>
  <si>
    <t>Məmmədov Xətai Fərrux oğlu</t>
  </si>
  <si>
    <t>Salamlı Anar Ələfsər oğlu</t>
  </si>
  <si>
    <t>Nəsirova Turanə Adil qızı</t>
  </si>
  <si>
    <t>Oruclu Şamxal İlyas oğlu</t>
  </si>
  <si>
    <t>Əlizadə Sani Aydın oğlu</t>
  </si>
  <si>
    <t>Əbdürəhmanova Nəzakət Muxtar qızı</t>
  </si>
  <si>
    <t>GUSEINOV SABIR</t>
  </si>
  <si>
    <t>Novruzov Sadiq Səxavət oğlu</t>
  </si>
  <si>
    <t>Qasımov Elçin Ulxan oğlu</t>
  </si>
  <si>
    <t>Hüseynov Sənan Gülhüseyn oğlu</t>
  </si>
  <si>
    <t>İbrəhimov Elvin Babaş oğlu</t>
  </si>
  <si>
    <t>Əhmədov Xalid Ayaz oğlu</t>
  </si>
  <si>
    <t>Zeynalov Tural Ramiz oğlu</t>
  </si>
  <si>
    <t>Rəsulzadə Aynur Nuşirəvan qızı</t>
  </si>
  <si>
    <t>Qasımzadə Ağaməli Semur oğlu</t>
  </si>
  <si>
    <t>Məmmədova Saratel Allahverdi qızı</t>
  </si>
  <si>
    <t>Quliyev İqbal İlyas oğlu</t>
  </si>
  <si>
    <t>Cəbrayılov Mahir Tahir oğlu</t>
  </si>
  <si>
    <t>Əliyev Aqşin Təyyar oğlu</t>
  </si>
  <si>
    <t>Qarayeva Cəvahir Arif qızı</t>
  </si>
  <si>
    <t>Abasov Razi Həmid oğlu</t>
  </si>
  <si>
    <t>Hüseynzadə Mirmehdi Şahin oğlu</t>
  </si>
  <si>
    <t>Əflatunov Aydın Yuris oğlu</t>
  </si>
  <si>
    <t>Əliyev Nihad Nicat oğlu</t>
  </si>
  <si>
    <t>Məmmədli Mahmud Şahin oğlu</t>
  </si>
  <si>
    <t>Balakişiyeva Lamiyə Natiq qızı</t>
  </si>
  <si>
    <t>Əsgərzadə Əsgər Dilavər oğlu</t>
  </si>
  <si>
    <t>Kazımov Məhəmməd Ziyad oğlu</t>
  </si>
  <si>
    <t>Vəliyeva Svetlana Serqeyevna qızı</t>
  </si>
  <si>
    <t>Məmmədov Samir İlqar oğlu</t>
  </si>
  <si>
    <t>Dadaşova Leyla Əbülfəz qızı</t>
  </si>
  <si>
    <t>Məmmədova Həmidə Əfqan qızı</t>
  </si>
  <si>
    <t>Əkbərov Fərhad Saday oğlu</t>
  </si>
  <si>
    <t>Nəzərova Aytən Mehman qızı</t>
  </si>
  <si>
    <t>Qədirli Elçin Qurban oğlu</t>
  </si>
  <si>
    <t>Cəfərov Ramil Rabil oğlu</t>
  </si>
  <si>
    <t>Hüseynov Kamran Mirdaməd oğlu</t>
  </si>
  <si>
    <t>Şirinzadə Həmid İntiqam oğlu</t>
  </si>
  <si>
    <t>Babayev Hüseyn Gülməmməd oğlu</t>
  </si>
  <si>
    <t>Səlimova Sədaqət Zahid qızı</t>
  </si>
  <si>
    <t>Ələkbərova Aysel Abbasəli qızı</t>
  </si>
  <si>
    <t>Kazımlı Orxan Kazım oğlu</t>
  </si>
  <si>
    <t>Abbasova Elmira Mahir qızı</t>
  </si>
  <si>
    <t>Zeynalova Esmira Nabil qızı</t>
  </si>
  <si>
    <t>Rzayev Rəşad Mübariz oğlu</t>
  </si>
  <si>
    <t>Nəcəfov Elmir Nurəddin oğlu</t>
  </si>
  <si>
    <t>Hüseynov Cavid Habil oğlu</t>
  </si>
  <si>
    <t>Abışov Faiq Əliyar oğlu</t>
  </si>
  <si>
    <t>Məmmədov Eldəniz Hüseyn oğlu</t>
  </si>
  <si>
    <t>Mürşüdov Elbrus Göycə oğlu</t>
  </si>
  <si>
    <t>Orucova Bənövşə Turan qızı</t>
  </si>
  <si>
    <t>Mustafayeva Həqiqət İltifat qızı</t>
  </si>
  <si>
    <t>Balayev Həmzə Alim oğlu</t>
  </si>
  <si>
    <t>Əliyev Rəşad Afəs oğlu</t>
  </si>
  <si>
    <t>Həsənli Lalə Şuriya qızı</t>
  </si>
  <si>
    <t>Zeynalova Solmaz Bəndər qızı</t>
  </si>
  <si>
    <t>Mehdiyeva Aynurə Afiq qızı</t>
  </si>
  <si>
    <t>Nəbiyeva Nəzirə Elcan qızı</t>
  </si>
  <si>
    <t>Məmmədova Günel Nadir qızı</t>
  </si>
  <si>
    <t>Əliyeva Mətanət Aydın qızı</t>
  </si>
  <si>
    <t>Rəhimov Zaur Namiq oğlu</t>
  </si>
  <si>
    <t>Səfərova Elimnaz Zabut qızı</t>
  </si>
  <si>
    <t>Mirzəyev Tural İlham oğlu</t>
  </si>
  <si>
    <t>Novruzova Şövqiyyə Bəxtiyar qızı</t>
  </si>
  <si>
    <t>Mirzəzadə Bəturə Elgün qızı</t>
  </si>
  <si>
    <t>Ağarəhimova Fidan Rövşən qızı</t>
  </si>
  <si>
    <t>Qasımov Nicat Hikmət oğlu</t>
  </si>
  <si>
    <t>Məmmədova Münəvvər İnqilab qızı</t>
  </si>
  <si>
    <t>Məmmədov Tural Ramiz oğlu</t>
  </si>
  <si>
    <t>Rüstəmova Vüsalə Mollaşərif qızı</t>
  </si>
  <si>
    <t>Rzayeva Aytac Pənah qızı</t>
  </si>
  <si>
    <t>Əliyev Ramazan Çingiz oğlu</t>
  </si>
  <si>
    <t>İsayev Yəhya Ruslan oğlu</t>
  </si>
  <si>
    <t>Abiyeva Günay Adil qızı</t>
  </si>
  <si>
    <t>Fətəliyev Ruslan Hüseyn oğlu</t>
  </si>
  <si>
    <t>Heydərova Əsməgül Vaqif qızı</t>
  </si>
  <si>
    <t>Hacıyev Eldar Aydın oğlu</t>
  </si>
  <si>
    <t>Mehraliyeva Bahar Vidadi qızı</t>
  </si>
  <si>
    <t>Gülməmmədov Sahib Sərvan oğlu</t>
  </si>
  <si>
    <t>Quliyev Tural Mərdan oğlu</t>
  </si>
  <si>
    <t>Abdullayev Ramid Mirbaba oğlu</t>
  </si>
  <si>
    <t>Səfərov Xasay Şəmistan oğlu</t>
  </si>
  <si>
    <t>Qəhrimanzadə Sənan Kamil oğlu</t>
  </si>
  <si>
    <t>Mütəllimov Arif Rasim oğlu</t>
  </si>
  <si>
    <t>Nəhmətova Simuzar Hətəm qızı</t>
  </si>
  <si>
    <t>Qasımov Elşən Azər oğlu</t>
  </si>
  <si>
    <t>Məmmədov Xəyal Qurban oğlu</t>
  </si>
  <si>
    <t>Paşayeva Dinurə Möhlüd qızı</t>
  </si>
  <si>
    <t>Hacıqədirli Məhəmmədsadiq Kamil oğlu</t>
  </si>
  <si>
    <t>Hacıyev Sadiq Əsabəli oğlu</t>
  </si>
  <si>
    <t>Məmmədli Mübariz Fərrux oğlu</t>
  </si>
  <si>
    <t>Məmmədli Ülvi Cəlil oğlu</t>
  </si>
  <si>
    <t>Məmmədrzayeva Asena Araz qızı</t>
  </si>
  <si>
    <t>Yusifova İlahə Rahim qızı</t>
  </si>
  <si>
    <t>Kərimov Azər İlqar oğlu</t>
  </si>
  <si>
    <t>Aydınlı Aysel Azər qızı</t>
  </si>
  <si>
    <t>Bağırov Fuad Əbülfət oğlu</t>
  </si>
  <si>
    <t>Xasməmmədov Murad Araz oğlu</t>
  </si>
  <si>
    <t>Abdullayeva Qönçə Vaqif qızı</t>
  </si>
  <si>
    <t>Əbdürəhimova Gültac İmran qızı</t>
  </si>
  <si>
    <t>Qədirova Fəridə Fəxrəddin qızı</t>
  </si>
  <si>
    <t>Nəsrullayeva Pərvanə Pərviz qızı</t>
  </si>
  <si>
    <t>Orucov Samir Sərdar oğlu</t>
  </si>
  <si>
    <t>Vəlizadə İsrafil Vidadi oğlu</t>
  </si>
  <si>
    <t>Babayeva Məkanət Fərman qızı</t>
  </si>
  <si>
    <t>Cabbarova Firuzə Səmail qızı</t>
  </si>
  <si>
    <t>Məmmədov Qərib Fərman oğlu</t>
  </si>
  <si>
    <t>Bayraməliyev Kənan İntiqam oğlu</t>
  </si>
  <si>
    <t>Cabbarlı Elnur Cabbar oğlu</t>
  </si>
  <si>
    <t>İdrisov Seymur Əvəz oğlu</t>
  </si>
  <si>
    <t>Rüstəmov Asif Sahib oğlu</t>
  </si>
  <si>
    <t>Talıbov Zamin Etibar oğlu</t>
  </si>
  <si>
    <t>Hümbətov Elman İsmayıl oğlu</t>
  </si>
  <si>
    <t>Əliyev Turxan Daşqın oğlu</t>
  </si>
  <si>
    <t>Əhmədova Nurdanə Yolçu qızı</t>
  </si>
  <si>
    <t>Məmmədrzayev Elşən Adil oğlu</t>
  </si>
  <si>
    <t>Əhmədov Talıb Hamlet oğlu</t>
  </si>
  <si>
    <t>Əliyev Ülvü Knyaz oğlu</t>
  </si>
  <si>
    <t>Əsgərov Pirəli Misir oğlu</t>
  </si>
  <si>
    <t>Əsgərova Afayət Namiq qızı</t>
  </si>
  <si>
    <t>Hidayətzadə Firuzə Tahir qızı</t>
  </si>
  <si>
    <t>İsmayılova Xədicə Bəhruz qızı</t>
  </si>
  <si>
    <t>Əsgərov Fərid Rövşən oğlu</t>
  </si>
  <si>
    <t>Zülfüqarov Natiq Zülfüqar oğlu</t>
  </si>
  <si>
    <t>Cavadlı Müşfiq Haqverdi oğlu</t>
  </si>
  <si>
    <t>Nərimanzadə Münəvvər Mehman qızı</t>
  </si>
  <si>
    <t>Məmmədova Rəna Qənbər qızı</t>
  </si>
  <si>
    <t>Süleymanov Nicat Rasim oğlu</t>
  </si>
  <si>
    <t>Məcidli Eldar Şəmşid oğlu</t>
  </si>
  <si>
    <t>Vəliyev Muraz Azad oğlu</t>
  </si>
  <si>
    <t>Tanırverdiyev Vüsal Azər oğlu</t>
  </si>
  <si>
    <t>Namazov Xəyal Eyvaz oğlu</t>
  </si>
  <si>
    <t>Yusifov Nizami Fəxrəddin oğlu</t>
  </si>
  <si>
    <t>Mütəllimov Mütəllim Asif oğlu</t>
  </si>
  <si>
    <t>Məmmədova Səbinə Müşfiq qızı</t>
  </si>
  <si>
    <t>Allahverdiyev Rasim Nazir oğlu</t>
  </si>
  <si>
    <t>Əsgərov Xəyyam Əziz oğlu</t>
  </si>
  <si>
    <t>Mərdanova Ülkər Yaşar qızı</t>
  </si>
  <si>
    <t>Mustafayeva Şəbnəm Hüseyn qızı</t>
  </si>
  <si>
    <t>Quliyev Nurlan Əlislam oğlu</t>
  </si>
  <si>
    <t>Kərimova Günel Elman qızı</t>
  </si>
  <si>
    <t>Çobanov Əfsan Üzeyir oğlu</t>
  </si>
  <si>
    <t>Əyyubova Mədinə Rüstəm qızı</t>
  </si>
  <si>
    <t>Məmmədova Pərvanə Məmmədhəsən qızı</t>
  </si>
  <si>
    <t>Quliyev Ramis Ağaqulu oğlu</t>
  </si>
  <si>
    <t>Xanmirzəyev Rahil İsmayıl oğlu</t>
  </si>
  <si>
    <t>Şəmmədov Azay Mikayıl oğlu</t>
  </si>
  <si>
    <t>Abaszadə Bayram Nazim oğlu</t>
  </si>
  <si>
    <t>Xəlilov Elşad Gülbala oğlu</t>
  </si>
  <si>
    <t>Hacıyev Səxavət İsmayıl oğlu</t>
  </si>
  <si>
    <t>Dəmirova Leyla Həsrət qızı</t>
  </si>
  <si>
    <t>Abdullayev Elçin Eldar oğlu</t>
  </si>
  <si>
    <t>Əmirova Jalə Dadaş qızı</t>
  </si>
  <si>
    <t>Təvəzzüli Mirdavud Ceyhun oğlu</t>
  </si>
  <si>
    <t>Qurbanov Ağayar Əlyar oğlu</t>
  </si>
  <si>
    <t>Tağıyev Elvin Rauf oğlu</t>
  </si>
  <si>
    <t>Namazova Sevinc İnqilab qızı</t>
  </si>
  <si>
    <t>Əsgərzadə Məmmədbağır Münasib oğlu</t>
  </si>
  <si>
    <t>Bağırzadə Aqil Ədalət oğlu</t>
  </si>
  <si>
    <t>Həsənli Səriyyə Vidadi qızı</t>
  </si>
  <si>
    <t>Fərzəliyev Tural Novruz oğlu</t>
  </si>
  <si>
    <t>Salahova Aytac Ağabala qızı</t>
  </si>
  <si>
    <t>Mirişov Miraslan Mirağa oğlu</t>
  </si>
  <si>
    <t>Orucova Könül Çingiz qızı</t>
  </si>
  <si>
    <t>Ərzumanova Xalidə Zakir qızı</t>
  </si>
  <si>
    <t>İbrahim İsmayıl Xalid oğlu</t>
  </si>
  <si>
    <t>Xancanov Elgün Müqəddəs oğlu</t>
  </si>
  <si>
    <t>Əliyev Kamran Ağalar oğlu</t>
  </si>
  <si>
    <t>Hüseynov Nurlan Əlisevər oğlu</t>
  </si>
  <si>
    <t>Əliyev Fəhmin Səmədağa oğlu</t>
  </si>
  <si>
    <t>Ağayev Səyyad Faiq oğlu</t>
  </si>
  <si>
    <t>Ağayev Tosif Tofiq oğlu</t>
  </si>
  <si>
    <t>Şıxızadə Şamil Akif oğlu</t>
  </si>
  <si>
    <t>Hüseynli İlkin Paşa oğlu</t>
  </si>
  <si>
    <t>Kərimzadə Turan Vahid qızı</t>
  </si>
  <si>
    <t>Ələkbərov Tural Rafail oğlu</t>
  </si>
  <si>
    <t>Mehdiyev İlkin Allahverdi oğlu</t>
  </si>
  <si>
    <t>Məmişzadə Sevda Sultan qızı</t>
  </si>
  <si>
    <t>Əhmədov Şamxal Zöhrab oğlu</t>
  </si>
  <si>
    <t>Əlizadə Jalə Ruslan qızı</t>
  </si>
  <si>
    <t>Məmmədzadə Nilufər Ədalət qızı</t>
  </si>
  <si>
    <t>Qasımlı Ədalət Xanlar oğlu</t>
  </si>
  <si>
    <t>Quliyev Namiq İmamqulu oğlu</t>
  </si>
  <si>
    <t>Şahverdiyev Fərid Əli oğlu</t>
  </si>
  <si>
    <t>Əzimov Təhmasib Təhməz oğlu</t>
  </si>
  <si>
    <t>Hüseynli Aidə Rasim qızı</t>
  </si>
  <si>
    <t>Əhmədova Göyçək Əhməd qızı</t>
  </si>
  <si>
    <t>Mirzəyev Əlizamin Mehman oğlu</t>
  </si>
  <si>
    <t>Yaqubov Rövşən Həsənağa oğlu</t>
  </si>
  <si>
    <t>Hüseynli Hüseyn İmran oğlu</t>
  </si>
  <si>
    <t>Müseyibova Nərmin Həsən qızı</t>
  </si>
  <si>
    <t>Məmmədov Röyal Səid oğlu</t>
  </si>
  <si>
    <t>Sultanov Elxan İsgəndər oğlu</t>
  </si>
  <si>
    <t>Kərimli Aqil Telman oğlu</t>
  </si>
  <si>
    <t>Həsənov Kamandar İbrahim oğlu</t>
  </si>
  <si>
    <t>İsmayılova Arzu Müsəllim qızı</t>
  </si>
  <si>
    <t>Müslümzadə Cavid Vaqif oğlu</t>
  </si>
  <si>
    <t>Rzayev Azər Şəmşəddin oğlu</t>
  </si>
  <si>
    <t>Qurbanov Tofiq Elçin oğlu</t>
  </si>
  <si>
    <t>Tağıyev Vasif Mahir oğlu</t>
  </si>
  <si>
    <t>Quliyeva Nərmin Şahin qızı</t>
  </si>
  <si>
    <t>Çərkəzli Müşviq Sarı oğlu</t>
  </si>
  <si>
    <t>Əliyeva Nuray Tahir qızı</t>
  </si>
  <si>
    <t>Məmmədova Afət Bayram qızı</t>
  </si>
  <si>
    <t>Rüstəmova Vəsilə Kamal qızı</t>
  </si>
  <si>
    <t>Civişov Babək Qərib oğlu</t>
  </si>
  <si>
    <t>Əsgərov Erkin Nüsrət oğlu</t>
  </si>
  <si>
    <t>Məmmədov Ramil Cəbrayıl oğlu</t>
  </si>
  <si>
    <t>Tağızadə Elbəy Kamandar oğlu</t>
  </si>
  <si>
    <t>Qarabığov Rüfət Qərib oğlu</t>
  </si>
  <si>
    <t>İsgəndərov Pərviz İmalət oğlu</t>
  </si>
  <si>
    <t>Zeynalov Əlihəsən Ağahüseyn oğlu</t>
  </si>
  <si>
    <t>Səfərli Laçın Oqtay qızı</t>
  </si>
  <si>
    <t>Əhmədov Türkay Nazir oğlu</t>
  </si>
  <si>
    <t>Məmmədov Vadim Fikrət oğlu</t>
  </si>
  <si>
    <t>Beydullayev Coşğun Namik oğlu</t>
  </si>
  <si>
    <t>Məmmədzadə Şəhriyar Qasım oğlu</t>
  </si>
  <si>
    <t>Hüseynova Aysel Mahir qızı</t>
  </si>
  <si>
    <t>Əliyeva Səbinə Adil qızı</t>
  </si>
  <si>
    <t>Abdulov Araz Vəkil oğlu</t>
  </si>
  <si>
    <t>Qəhrəmanlı Fərahim Fikrət oğlu</t>
  </si>
  <si>
    <t>Heydərli Nahid Nəsir oğlu</t>
  </si>
  <si>
    <t>Həsrətli Tahir Mahir oğlu</t>
  </si>
  <si>
    <t>Adışov Kamal Əlibala oğlu</t>
  </si>
  <si>
    <t>Şirinli Orxan Valeh oğlu</t>
  </si>
  <si>
    <t>Bədirzadə Cabir Teymur oğlu</t>
  </si>
  <si>
    <t>Ağayeva Firəngiz Əliteymur qızı</t>
  </si>
  <si>
    <t>Hüseynov Kənan Sabir oğlu</t>
  </si>
  <si>
    <t>Quliyev Vüsal Arif oğlu</t>
  </si>
  <si>
    <t>Nəbiyev Vüqar Oktay oğlu</t>
  </si>
  <si>
    <t>Xalıqov Orxan Comərd oğlu</t>
  </si>
  <si>
    <t>Məmmədov Vüsal Ədalət oğlu</t>
  </si>
  <si>
    <t>Yusifzadə Təbriz İlqar oğlu</t>
  </si>
  <si>
    <t>Aşırov Səbuhi Ələskər oğlu</t>
  </si>
  <si>
    <t>Rəsulova Yeganə Qeysər qızı</t>
  </si>
  <si>
    <t>Umarova Ruhanə Nazim qızı</t>
  </si>
  <si>
    <t>Vəlizadə Seymur Hüseyn oğlu</t>
  </si>
  <si>
    <t>Hacıbəyli İlkin Fəxrəddin oğlu</t>
  </si>
  <si>
    <t>Məmmədova Gülayət Namiq qızı</t>
  </si>
  <si>
    <t>Rzayeva Gülnur İlqar qızı</t>
  </si>
  <si>
    <t>Heydərova Zəkiyyə Abbas qızı</t>
  </si>
  <si>
    <t>Nəbiyeva Aşa Sahib qızı</t>
  </si>
  <si>
    <t>Heydərov Emil Arif oğlu</t>
  </si>
  <si>
    <t>Murtuzayeva Gülmira Kahovna</t>
  </si>
  <si>
    <t>Qardaşova Sona İslam qızı</t>
  </si>
  <si>
    <t>Hacıyev Emil Məhəmməd oğlu</t>
  </si>
  <si>
    <t>Məmmədova Gülnar Ramazan qızı</t>
  </si>
  <si>
    <t>Mahmudov Rövşən Sirac oğlu</t>
  </si>
  <si>
    <t>Əminova Nigar Nail qızı</t>
  </si>
  <si>
    <t>Buğluyeva Mövlüdə Şamil qızı</t>
  </si>
  <si>
    <t>Əliyeva Şəfəq Azər qızı</t>
  </si>
  <si>
    <t>Cumayeva Reyhan Famil qızı</t>
  </si>
  <si>
    <t>Rəcəbova Fəridə Fərda qızı</t>
  </si>
  <si>
    <t>Şabanova Aysu Əziz qızı</t>
  </si>
  <si>
    <t>Məmmədov Orxan Şakir oğlu</t>
  </si>
  <si>
    <t>Gondolov Elşən Rüfət oğlu</t>
  </si>
  <si>
    <t>Qurbanov Bahaddin Rəcəb oğlu</t>
  </si>
  <si>
    <t>Xalayev Rəşad Ramazan oğlu</t>
  </si>
  <si>
    <t>Ramazanov Əziz Seyfullah oğlu</t>
  </si>
  <si>
    <t>Sadıxova Xəyalə Xanlar qızı</t>
  </si>
  <si>
    <t>Balaşov Rauf Nurməmməd oğlu</t>
  </si>
  <si>
    <t>Vəliyev Mösüm Füzuli oğlu</t>
  </si>
  <si>
    <t>Mehdibəyli İmamqulu Yunis oğlu</t>
  </si>
  <si>
    <t>İbrahimova Günel Asif qızı</t>
  </si>
  <si>
    <t>Mustafayev Tural Nemət oğlu</t>
  </si>
  <si>
    <t>Zərbəliyeva Şükranə Həsən qızı</t>
  </si>
  <si>
    <t>Mikayılova Səmayə Şakir qızı</t>
  </si>
  <si>
    <t>Osmanov Seyyət Seyidi oğlu</t>
  </si>
  <si>
    <t>Nuriyeva Sevinc Vüqar qızı</t>
  </si>
  <si>
    <t>Kərimli Çinarə Sabir qızı</t>
  </si>
  <si>
    <t>İsmayılova Ürfiyyə Faxrəd qızı</t>
  </si>
  <si>
    <t>Məmmədov Həmzə Əsvər oğlu</t>
  </si>
  <si>
    <t>Rzayev Məhəmməd Adil oğlu</t>
  </si>
  <si>
    <t>Məmmədov Rəsul Qılman oğlu</t>
  </si>
  <si>
    <t>Cabbarov Vüsal Mənsum oğlu</t>
  </si>
  <si>
    <t>Rəhimov Elşad Elşən oğlu</t>
  </si>
  <si>
    <t>Mirzəzadə Gündüz İlham oğlu</t>
  </si>
  <si>
    <t>Məmmədov Bəhruz Niftalı oğlu</t>
  </si>
  <si>
    <t>Cəfərov İman Elxan oğlu</t>
  </si>
  <si>
    <t>Hüseynov Əli Hüseynalı oğlu</t>
  </si>
  <si>
    <t>Əliyev Hüseyn Musa oğlu</t>
  </si>
  <si>
    <t>Əliyev Əli Umud oğlu</t>
  </si>
  <si>
    <t>Məmmədov Elvin Elçin oğlu</t>
  </si>
  <si>
    <t>Quliyev Cəfər Əbülfət oğlu</t>
  </si>
  <si>
    <t>Hacıyev Asim Qinyaz oğlu</t>
  </si>
  <si>
    <t>Seyidov Salman Mirrəsul oğlu</t>
  </si>
  <si>
    <t>Qurbanov Aydın Nurəli oğlu</t>
  </si>
  <si>
    <t>Kazımov Firudin Rəfail oğlu</t>
  </si>
  <si>
    <t>Məmmədova Fatimə Elnur qızı</t>
  </si>
  <si>
    <t>Muradlı Laləzər Əbülfəz qızı</t>
  </si>
  <si>
    <t>Axundov Araz Məhəmməd oğlu</t>
  </si>
  <si>
    <t>Həbibli İlqar Müzəffər oğlu</t>
  </si>
  <si>
    <t>İsmayılzadə Elmar Qələndar oğlu</t>
  </si>
  <si>
    <t>Qasımlı Qorxmaz Yusif oğlu</t>
  </si>
  <si>
    <t>İbrahimov Ülvi Nadir oğlu</t>
  </si>
  <si>
    <t>Babayev Yaşar Zülfü oğlu</t>
  </si>
  <si>
    <t>İmanov Zaur Səyahət oğlu</t>
  </si>
  <si>
    <t>Seyidov Cahangir Mirqadir oğlu</t>
  </si>
  <si>
    <t>Əliyeva Aysu Malik qızı</t>
  </si>
  <si>
    <t>Məmmədova Maral Əyyub qızı</t>
  </si>
  <si>
    <t>Həsənova Nərmin İslam qızı</t>
  </si>
  <si>
    <t>İsmayılov Cavanşir Rövşən oğlu</t>
  </si>
  <si>
    <t>Babayeva Nəcibə Fizuli qızı</t>
  </si>
  <si>
    <t>Cəfərova Samirə Akif qızı</t>
  </si>
  <si>
    <t>İbrahimova Şəfəq Şahid qızı</t>
  </si>
  <si>
    <t>Həsənli Vasif Namiq oğlu</t>
  </si>
  <si>
    <t>Məhərrəmova Səbinə Bayram qızı</t>
  </si>
  <si>
    <t>Məmmədli Fəridə Məmməd qızı</t>
  </si>
  <si>
    <t>Qafarova Gülnarə Məmməd qızı</t>
  </si>
  <si>
    <t>Məmmədova Fidan Elmar qızı</t>
  </si>
  <si>
    <t>Rəhimli Muğan Nağı oğlu</t>
  </si>
  <si>
    <t>Həsənov Rəhim Elxan oğlu</t>
  </si>
  <si>
    <t>Əliyev Hasil Umud oğlu</t>
  </si>
  <si>
    <t>Abbasova Elminaz Əli qızı</t>
  </si>
  <si>
    <t>Quliyeva Səbinə Rəhim qızı</t>
  </si>
  <si>
    <t>Aslanov Baba İslam oğlu</t>
  </si>
  <si>
    <t>Zeynalov Əkbər Elbəyi oğlu</t>
  </si>
  <si>
    <t>Əhmədov Ruslan Xasay oğlu</t>
  </si>
  <si>
    <t>Abbaszadə Leyla Rəfail qızı</t>
  </si>
  <si>
    <t>Xəlilov Eldəniz Yadulla oğlu</t>
  </si>
  <si>
    <t>Abbasova Fatimə Əbdüləli qızı</t>
  </si>
  <si>
    <t>Həsənli Rahib Malik oğlu</t>
  </si>
  <si>
    <t>İbrahimov Rasim Elşad oğlu</t>
  </si>
  <si>
    <t>Məmmədov Fuad Ramiz oğlu</t>
  </si>
  <si>
    <t>Əliyeva Günel Qabil qızı</t>
  </si>
  <si>
    <t>Bayramova Səma Zamin qızı</t>
  </si>
  <si>
    <t>Abbasova Hülya Ramin qızı</t>
  </si>
  <si>
    <t>Novruzov Nail Rövşən oğlu</t>
  </si>
  <si>
    <t>Seyidli Mirabbas Mirələkbər oğlu</t>
  </si>
  <si>
    <t>Məmmədli Afiq Əliyəddin oğlu</t>
  </si>
  <si>
    <t>Sərxanov Cəfər Maqsud oğlu</t>
  </si>
  <si>
    <t>Orucova Aişə Zahir qızı</t>
  </si>
  <si>
    <t>Qulamova Nuray Elbrus qızı</t>
  </si>
  <si>
    <t>Məhərrəmova Məxmər Adil qızı</t>
  </si>
  <si>
    <t>Hüseynzadə Aytac İsbəndiyar qızı</t>
  </si>
  <si>
    <t>Tarverdiyev Ramiz Qurban oğlu</t>
  </si>
  <si>
    <t>Nəcəfzadə Fuad İsfəndiyar oğlu</t>
  </si>
  <si>
    <t>Seyidli Samir Mirismayıl oğlu</t>
  </si>
  <si>
    <t>Əsgərov Odər Kazım oğlu</t>
  </si>
  <si>
    <t>Orucov Sunay Hüseyn oğlu</t>
  </si>
  <si>
    <t>Cəfərova Samirə Polad qızı</t>
  </si>
  <si>
    <t>Rzayeva Ülviyyə Əsgər qızı</t>
  </si>
  <si>
    <t>Qafarova Turanə Eldar qızı</t>
  </si>
  <si>
    <t>Məmmədov Nurlan Polad oğlu</t>
  </si>
  <si>
    <t>Zamanov Sunay Səfər oğlu</t>
  </si>
  <si>
    <t>Rzayev Nail Məhəmməd oğlu</t>
  </si>
  <si>
    <t>Quliyev Araz Qulu oğlu</t>
  </si>
  <si>
    <t>Kərimli Vidadi Vaqif oğlu</t>
  </si>
  <si>
    <t>İsmayılzadə Məcid Mübariz oğlu</t>
  </si>
  <si>
    <t>Cəlilov Kamil Yəhya oğlu</t>
  </si>
  <si>
    <t>Tağıyev Fikrət Heydər oğlu</t>
  </si>
  <si>
    <t>Məhərrəmli Bəyim Gülməmməd qızı</t>
  </si>
  <si>
    <t>Cəfərova Sübhanə Məhərrəm qızı</t>
  </si>
  <si>
    <t>Rzalı Vasif Ehtibar oğlu</t>
  </si>
  <si>
    <t>Məmmədov Cəbrayıl Qulu oğlu</t>
  </si>
  <si>
    <t>Abbasova Nilgün Asiman qızı</t>
  </si>
  <si>
    <t>Orucova Elsevər Hüseyn qızı</t>
  </si>
  <si>
    <t>Qarayev Röyal Zahid oğlu</t>
  </si>
  <si>
    <t>Əhmədov Elsevər Bəhlul oğlu</t>
  </si>
  <si>
    <t>Zamanlı Yusif Ramiz oğlu</t>
  </si>
  <si>
    <t>İbrahimova Günel Süleyman qızı</t>
  </si>
  <si>
    <t>Əliyeva Bədurə Əli qızı</t>
  </si>
  <si>
    <t>Mədədli Nərmin Xaliq qızı</t>
  </si>
  <si>
    <t>İbrahimli Asim Eldar oğlu</t>
  </si>
  <si>
    <t>Həsənov Orman Bəhrəm oğlu</t>
  </si>
  <si>
    <t>Həbibli Muxtər Xəqani oğlu</t>
  </si>
  <si>
    <t>Qarayeva Esmira Nofil qızı</t>
  </si>
  <si>
    <t>Məmmədov Hidayət Nazim oğlu</t>
  </si>
  <si>
    <t>Cəfərova Aysel Əli qızı</t>
  </si>
  <si>
    <t>Nağıyev Şamxal Hikmət oğlu</t>
  </si>
  <si>
    <t>Hüseynli Ülvi Bəxtiyar oğlu</t>
  </si>
  <si>
    <t>Mehdiyev Fazil Dilavər oğlu</t>
  </si>
  <si>
    <t>Həsənova Gözəl Elsevər qızı</t>
  </si>
  <si>
    <t>Baxşıyev Hüseyn Sevindik oğlu</t>
  </si>
  <si>
    <t>Sərxanbəyli Hilal Fazil oğlu</t>
  </si>
  <si>
    <t>Məmmədov Müslüm Aqil oğlu</t>
  </si>
  <si>
    <t>Quluzadə Aytac Nuriddin qızı</t>
  </si>
  <si>
    <t>Bağırova Fizurə Həbib qızı</t>
  </si>
  <si>
    <t>Müşahidə Şurası</t>
  </si>
  <si>
    <t>#</t>
  </si>
  <si>
    <t>Müşahidə şurasının sədri (əvəzçilik qaydasında)</t>
  </si>
  <si>
    <t>Müşahidə şurasının üzvü, Audit komitəsinin sədri (əvəzçilik qaydasında)</t>
  </si>
  <si>
    <t>Rəhbərlik</t>
  </si>
  <si>
    <t>İdarə Heyətinin sədri, Baş icraçı direktor</t>
  </si>
  <si>
    <t>İdarə Heyəti sədrinin I müavini</t>
  </si>
  <si>
    <t>İdarə Heyəti sədrinin müavini, Baş Korporativ satış inzibatçısı</t>
  </si>
  <si>
    <t>İdarə Heyəti sədrinin müavini</t>
  </si>
  <si>
    <t>Baş komplayens inzibatçısı</t>
  </si>
  <si>
    <t>Baş Risk inzibatçısı</t>
  </si>
  <si>
    <t>Baş Maliyyə inzibatçısı</t>
  </si>
  <si>
    <t>İdarə Heyəti sədrinin müşaviri</t>
  </si>
  <si>
    <t>İdarə Heyəti sədrinin müşaviri (əvəzçilik qaydasında)</t>
  </si>
  <si>
    <t>Müşavir (İdarə Heyətinin sədri/baş icraçı direktorun ekosistem üzrə) (əvəzçilik üzrə)</t>
  </si>
  <si>
    <t>Ofis lideri</t>
  </si>
  <si>
    <t>Aparat rəhbəri</t>
  </si>
  <si>
    <t>İnformasiya texnologiyaları idarəsi</t>
  </si>
  <si>
    <t>Baş direktor</t>
  </si>
  <si>
    <t>Məhsul və marketinq idarəsi</t>
  </si>
  <si>
    <t>Data və Aİ idarəsi</t>
  </si>
  <si>
    <t>Strategiya idarəsi</t>
  </si>
  <si>
    <t>Əməliyyatlar ofisi</t>
  </si>
  <si>
    <t>Ödəniş məhsulları ofisi</t>
  </si>
  <si>
    <t>Ödəniş texnologiyaları ofisi</t>
  </si>
  <si>
    <t>Maliyyə ofisi</t>
  </si>
  <si>
    <t>Maliyyə risklərinin idarə edilməsi ofisi</t>
  </si>
  <si>
    <t>Tribe tech lead</t>
  </si>
  <si>
    <t>Ödəniş biznesinin mühəndislik ekspert mərkəzi</t>
  </si>
  <si>
    <t>Software chapter</t>
  </si>
  <si>
    <t>Tech lead</t>
  </si>
  <si>
    <t>Tech lead  (0,5 ştat vahidi üzrə əvəzçilik qaydasında)</t>
  </si>
  <si>
    <t>Kart məhsulları sahəsi</t>
  </si>
  <si>
    <t>FinTech mühəndislik ekspert mərkəzi</t>
  </si>
  <si>
    <t>Ekspert mərkəzinin lideri</t>
  </si>
  <si>
    <t>Ödəniş biznesinin TechOps funksional sahəsi</t>
  </si>
  <si>
    <t>Servis dayanıqlığı üzrə mühəndis</t>
  </si>
  <si>
    <t>BirApp texnologiyası sahəsi</t>
  </si>
  <si>
    <t>Birbank Platform</t>
  </si>
  <si>
    <t>Məhsul sahibi</t>
  </si>
  <si>
    <t>Korporativ inkişaf və investor əlaqələri departamenti</t>
  </si>
  <si>
    <t>Menecer</t>
  </si>
  <si>
    <t>Direktor müavini</t>
  </si>
  <si>
    <t>Korporativ katiblik şöbəsi</t>
  </si>
  <si>
    <t>Şöbə müdiri</t>
  </si>
  <si>
    <t>İdarəetmə orqanları və komitələrlə iş bölməsi</t>
  </si>
  <si>
    <t>Aparıcı mütəxəssis</t>
  </si>
  <si>
    <t>Mütəxəssis</t>
  </si>
  <si>
    <t>Ekosistem idarəetmə orqanları ilə iş bölməsi</t>
  </si>
  <si>
    <t>Korporativ katib</t>
  </si>
  <si>
    <t>Katiblik bölməsi</t>
  </si>
  <si>
    <t>Şəxsi köməkçi</t>
  </si>
  <si>
    <t>Şəxsi köməkçi (əvəzçilik qaydasında)</t>
  </si>
  <si>
    <t>Sənədlərin qeydiyyatı və dövriyyəsi bölməsi</t>
  </si>
  <si>
    <t>Kiçik mütəxəssis</t>
  </si>
  <si>
    <t>Təşkilati inkişaf və HR texnologiyaları departamenti</t>
  </si>
  <si>
    <t>İşəgötürən brendi və KSM funksional sahəsi</t>
  </si>
  <si>
    <t>Funksional sahə lideri</t>
  </si>
  <si>
    <t>İnternal communications function</t>
  </si>
  <si>
    <t>Baş mütəxəssis</t>
  </si>
  <si>
    <t>VİP müştərilərlə iş şöbəsi</t>
  </si>
  <si>
    <t>Daxili audit departamenti</t>
  </si>
  <si>
    <t>Direktor</t>
  </si>
  <si>
    <t>Əməliyyat,komplayens və davamlı audit üzrə ekspert mərkəzi</t>
  </si>
  <si>
    <t>Audit meneceri</t>
  </si>
  <si>
    <t>Baş auditor</t>
  </si>
  <si>
    <t>Baş auditor (0,5 ştat vahidi üzrə)</t>
  </si>
  <si>
    <t>Aparıcı auditor</t>
  </si>
  <si>
    <t>Auditor</t>
  </si>
  <si>
    <t>Audit köməkçisi</t>
  </si>
  <si>
    <t>Mühasibatlıq,büdcə və dəstək funksiyaları üzrə ekspert mərkəzi</t>
  </si>
  <si>
    <t>Bazar, kredit riskləri və modelləşmə üzrə ekspert mərkəzi</t>
  </si>
  <si>
    <t>İT audit üzrə ekspert mərkəzi</t>
  </si>
  <si>
    <t>İT üzrə baş auditor</t>
  </si>
  <si>
    <t>İT üzrə aparıcı auditor</t>
  </si>
  <si>
    <t>İT üzrə audit köməkçisi</t>
  </si>
  <si>
    <t>İT üzrə auditor</t>
  </si>
  <si>
    <t>Hüquq departamenti</t>
  </si>
  <si>
    <t>Məhkəmələr və hüquqi təminat şöbəsi</t>
  </si>
  <si>
    <t>Aparıcı hüquqşünas</t>
  </si>
  <si>
    <t>Hüquqşünas (əvəzçilik qaydasında)</t>
  </si>
  <si>
    <t>Mütəxəssis(əvəzçilik qaydasında)</t>
  </si>
  <si>
    <t>Ödəniş biznesinə hüquqi dəstək şöbəsi</t>
  </si>
  <si>
    <t>Baş hüquqşünas</t>
  </si>
  <si>
    <t>E-ticarət biznesinə hüquqi dəstək şöbəsi</t>
  </si>
  <si>
    <t>Baş hüquqşünas (0,5 ştat vahidi üzrə)</t>
  </si>
  <si>
    <t>Hüquqşunas</t>
  </si>
  <si>
    <t>Arxiv şöbəsi</t>
  </si>
  <si>
    <t>Aparıcı mütəxəssis (Naxçıvan zonası üzrə)</t>
  </si>
  <si>
    <t>Mütəxəssis (Naxçıvan zonası üzrə)</t>
  </si>
  <si>
    <t>Bank məhsullarına hüquqi dəstək şöbəsi</t>
  </si>
  <si>
    <t>Hüquqşünas</t>
  </si>
  <si>
    <t>Korporativ hüquq və korporativ idarəetməyə hüquqi dəstək şöbəsi</t>
  </si>
  <si>
    <t>Menecer(əvəzçilik qaydasında)</t>
  </si>
  <si>
    <t>Metodologiya şöbəsi</t>
  </si>
  <si>
    <t>Mütəxəssis (müvəqqəti)</t>
  </si>
  <si>
    <t>Xəzinədarlıq departamenti</t>
  </si>
  <si>
    <t>BirTreasury</t>
  </si>
  <si>
    <t>Dilinq əməliyyatları şöbəsi</t>
  </si>
  <si>
    <t>Xəzinədarlıq əməliyyatları şöbəsi</t>
  </si>
  <si>
    <t>İnvestisiya şöbəsi</t>
  </si>
  <si>
    <t>Beynəlxalq bankçılıq şöbəsi</t>
  </si>
  <si>
    <t>İnzibati idarəetmə departamenti</t>
  </si>
  <si>
    <t>Təmir və Xidmət Şöbəsi</t>
  </si>
  <si>
    <t>Xadimə</t>
  </si>
  <si>
    <t>Təmir və Xidmət şöbəsi</t>
  </si>
  <si>
    <t>Xadimə (0,5 ştat vahidi ilə Naxçıvan üzrə)</t>
  </si>
  <si>
    <t>Xidmətçi</t>
  </si>
  <si>
    <t>Nəqliyyat şöbəsi</t>
  </si>
  <si>
    <t>Sürücü</t>
  </si>
  <si>
    <t>Sürücü (Naxçıvan üzrə)</t>
  </si>
  <si>
    <t>Satınalma və Təchizat Şöbəsi</t>
  </si>
  <si>
    <t>Kiçik mütəxəssis (müvəqqəti)</t>
  </si>
  <si>
    <t>İnzibati Əməliyyatlar Şöbəsi</t>
  </si>
  <si>
    <t>Aparıcı Mütəxəssis</t>
  </si>
  <si>
    <t>Baş Mütəxəssis</t>
  </si>
  <si>
    <t>Usta</t>
  </si>
  <si>
    <t>Texniki işçi</t>
  </si>
  <si>
    <t xml:space="preserve"> Ekspert məhsul sahibi</t>
  </si>
  <si>
    <t>Layihə rəhbəri</t>
  </si>
  <si>
    <t>Funksional lider</t>
  </si>
  <si>
    <t>HRBP və istedad cəlbi funksional sahəsi</t>
  </si>
  <si>
    <t>Community lead</t>
  </si>
  <si>
    <t>İnsan resursları üzrə biznes partnyor</t>
  </si>
  <si>
    <t>HR TechOps, performans və data funksional sahəsi</t>
  </si>
  <si>
    <t>Ecosystem HR operations &amp; Service delivery</t>
  </si>
  <si>
    <t>Ecosystem talent performance</t>
  </si>
  <si>
    <t>İstedadların idarə edilməsi departamenti</t>
  </si>
  <si>
    <t>Performansın idarə edilməsi və işçi bağlılığı şöbəsi</t>
  </si>
  <si>
    <t>Ecosystem HR data</t>
  </si>
  <si>
    <t>İstedadların cəlbi və biznes partnyorluq şöbəsi</t>
  </si>
  <si>
    <t>Təşkilati inkişaf və işçi bağlılığı funksional sahəsi</t>
  </si>
  <si>
    <t>Learning &amp; Development</t>
  </si>
  <si>
    <t>Employee Engagement</t>
  </si>
  <si>
    <t>Kiçik və orta sahibkarlarla iş departamenti</t>
  </si>
  <si>
    <t>Alternativ satış kanalları şöbəsi</t>
  </si>
  <si>
    <t>Lizinq və fondlarla iş şöbəsi</t>
  </si>
  <si>
    <t>şöbə müdiri</t>
  </si>
  <si>
    <t>Baş mütəxəssis (Gəncə zonası üzrə)</t>
  </si>
  <si>
    <t>Baş mütəxəssis (Mingəçevir zonası üzrə)</t>
  </si>
  <si>
    <t>Baş mütəxəssis (Şirvan zonası üzrə)</t>
  </si>
  <si>
    <t>Aparıcı mütəxəssis (Zaqatala zonası üzrə)</t>
  </si>
  <si>
    <t>aparıcı mütəxəssis (Şəki zonası üzrə)</t>
  </si>
  <si>
    <t>Aparıcı mütəxəssis (Bərdə zonası üzrə)</t>
  </si>
  <si>
    <t>KOS satışlar şöbəsi</t>
  </si>
  <si>
    <t>menecer</t>
  </si>
  <si>
    <t>baş mütəxəssis</t>
  </si>
  <si>
    <t>aparıcı mütəxəssis</t>
  </si>
  <si>
    <t>Komplayens departamenti</t>
  </si>
  <si>
    <t>ÇPY və TMM şöbəsi</t>
  </si>
  <si>
    <t>Aparıcı mütəxəssis(müvəqqəti)</t>
  </si>
  <si>
    <t>Komplayens risklərinin idarə edilməsi və monitorinq şöbəsi</t>
  </si>
  <si>
    <t>Baş mütəxəssis (müvəqqəti)</t>
  </si>
  <si>
    <t>Komplayens hesabatlığı şöbəsi</t>
  </si>
  <si>
    <t>Komplayens sahəsi üzrə fəaliyyətin idarə edilməsi şöbəsi</t>
  </si>
  <si>
    <t>Data və Aİ sahəsində uyğunluğa nəzarət şöbəsi</t>
  </si>
  <si>
    <t>Ekosistem üzrə məhsul və proseslərdə komplayens dəstəyi şöbəsi</t>
  </si>
  <si>
    <t>Requlyativ uyğunluq şöbəsi</t>
  </si>
  <si>
    <t>Korporativ satışlar departamenti</t>
  </si>
  <si>
    <t>Qeyri-kredit məhsullarının satışı şöbəsi</t>
  </si>
  <si>
    <t>Menecer (Naxçıvan zonası üzrə)</t>
  </si>
  <si>
    <t>Müştərilərlə iş şöbəsi</t>
  </si>
  <si>
    <t>Maliyyə hesabatlığı və mühasibatlıq departamenti</t>
  </si>
  <si>
    <t>Beynəlxalq hesabatlıq və MİS departamenti</t>
  </si>
  <si>
    <t>Baş mühasib</t>
  </si>
  <si>
    <t>Daxili mühasibatlıq şöbəsi</t>
  </si>
  <si>
    <t>Aparıcı mütəxəssis (0,5 ştat vahidi üzrə)</t>
  </si>
  <si>
    <t>Biznesə dəstək departamenti</t>
  </si>
  <si>
    <t>Əməliyyatların icrası və dəstək şöbəsi</t>
  </si>
  <si>
    <t>Requlyativ hesabatlıq şöbəsi</t>
  </si>
  <si>
    <t>MİS hesabatlıq</t>
  </si>
  <si>
    <t>İFRS hesabatlıq</t>
  </si>
  <si>
    <t>Modelləşdirmə,Qiymətləndirmə və Konsolidasiya olunmuş Hesabatliq</t>
  </si>
  <si>
    <t>Aparıcı mütəxəssis (müvəqqəti)</t>
  </si>
  <si>
    <t>Maddi motivasiyanın hesablanması şöbəsi</t>
  </si>
  <si>
    <t>Maliyyə nəzarəti və uçotu şöbəsi</t>
  </si>
  <si>
    <t>Kart klirinqi və hesablaşmalar şöbəsi</t>
  </si>
  <si>
    <t>Maliyyə menecmenti departamenti</t>
  </si>
  <si>
    <t>Strategiya,büdcə və analitika şöbəsi</t>
  </si>
  <si>
    <t>Strategiya və layihələrin idarə edilməsi departamenti</t>
  </si>
  <si>
    <t>Aktiv və passivlərin idarə edilməsi şöbəsi</t>
  </si>
  <si>
    <t>Strategiya şöbəsi</t>
  </si>
  <si>
    <t>Fəaliyyət göstəricilərinin təyini və hesabatlılığı şöbəsi</t>
  </si>
  <si>
    <t>Ekosistemin inkişafı və analitikası departamenti</t>
  </si>
  <si>
    <t>Ekosistemin inkişafı şöbəsi</t>
  </si>
  <si>
    <t>Məhsul üzrə menecer</t>
  </si>
  <si>
    <t>Kiçik biznes analitik</t>
  </si>
  <si>
    <t>Ekosistemin analitikası şöbəsi</t>
  </si>
  <si>
    <t>Baş data analitik</t>
  </si>
  <si>
    <t>Kiçik data analitik</t>
  </si>
  <si>
    <t>Fəaliyyət göstəricilərinin idarəedilməsi şöbəsi</t>
  </si>
  <si>
    <t>Biznes analitik</t>
  </si>
  <si>
    <t>Layihələrin idarəedilməsi şöbəsi</t>
  </si>
  <si>
    <t>Mütəxəssis (0.5 ştat vahidi üzrə)</t>
  </si>
  <si>
    <t>Mikro biznes departamenti</t>
  </si>
  <si>
    <t>Satış kanalları departamenti</t>
  </si>
  <si>
    <t>Alternativ satışlar şöbəsi</t>
  </si>
  <si>
    <t>Mikro satışlar şöbəsi</t>
  </si>
  <si>
    <t>Təhlükəsizlik departamenti</t>
  </si>
  <si>
    <t>Mühafizə və rejim şöbəsi</t>
  </si>
  <si>
    <t>SƏTƏM şöbəsi</t>
  </si>
  <si>
    <t>Fraud halları və rəqəmsal əməliyyatların araşdırılması şöbəsi</t>
  </si>
  <si>
    <t>Baş mütəxəssis (Naxçıvan zonası üzrə)</t>
  </si>
  <si>
    <t>Maraq münaqişəsi və korrupsiya halları ilə iş bölməsi</t>
  </si>
  <si>
    <t>Bölmə rəhbəri</t>
  </si>
  <si>
    <t>Fraud hallarının idarə edilməsi şöbəsi</t>
  </si>
  <si>
    <t>Hüquq mühafizə orqanları ilə iş şöbəsi</t>
  </si>
  <si>
    <t>Təhlükəsizlik sistemləri şöbəsi</t>
  </si>
  <si>
    <t>Operativ monitorinq bölməsi</t>
  </si>
  <si>
    <t>Video müşahidə və təhlükəsizlik analitikası şöbəsi</t>
  </si>
  <si>
    <t>Terminal şəbəkəsinin təhlükəsizliyi şöbəsi</t>
  </si>
  <si>
    <t>Ödəniş biznesinin Agile funksional sahəsi</t>
  </si>
  <si>
    <t>Agile və məhsul ekspert mərkəzi</t>
  </si>
  <si>
    <t>Proseslər üzrə ekspert</t>
  </si>
  <si>
    <t>Payment chapter</t>
  </si>
  <si>
    <t>Agile kouç</t>
  </si>
  <si>
    <t>Scrum master</t>
  </si>
  <si>
    <t>Ekosistem məhsullarının idarə edilməsi üzrə ekspert</t>
  </si>
  <si>
    <t>Scrum master(müvəqqəti)</t>
  </si>
  <si>
    <t>FinTech Agile funksional sahəsi</t>
  </si>
  <si>
    <t>Ödəniş biznesinin agile funksional sahəsi</t>
  </si>
  <si>
    <t>Birbank biznes sahəsi</t>
  </si>
  <si>
    <t>Sahə lideri</t>
  </si>
  <si>
    <t>Registration and cabinet</t>
  </si>
  <si>
    <t>Account Opening, Payments and Cash Operations</t>
  </si>
  <si>
    <t>Transfers and Tariff</t>
  </si>
  <si>
    <t>CVM &amp; Engagement</t>
  </si>
  <si>
    <t>Əməliyyatların icrası şöbəsi</t>
  </si>
  <si>
    <t>Kiçik mütəxəssis (əvəzçilik qaydasında)</t>
  </si>
  <si>
    <t>Nağd pulların idarə edilməsi departamenti</t>
  </si>
  <si>
    <t>ATM və ekvayrinq biznesinə dəstək şöbəsi</t>
  </si>
  <si>
    <t>Biznes sahələrinin inkişafı və partnyor şəbəkəsi departamenti</t>
  </si>
  <si>
    <t>Satışın təşkili və dəstək şöbəsi</t>
  </si>
  <si>
    <t>Sənədləşmə bölməsi</t>
  </si>
  <si>
    <t>Ekosistem məhsullarının satışı bölməsi</t>
  </si>
  <si>
    <t>Texniki dəstək departamenti</t>
  </si>
  <si>
    <t>POS terminallara dəstək şöbəsi</t>
  </si>
  <si>
    <t>Xüsusi müştərilərlə iş şöbəsi</t>
  </si>
  <si>
    <t>Nağd əməliyyatlara dəstək şöbəsi</t>
  </si>
  <si>
    <t>Xidmət keyfiyyətinin idarə edilməsi departamenti</t>
  </si>
  <si>
    <t>Müştəri müraciətlərinin araşdırılması şöbəsi</t>
  </si>
  <si>
    <t>İT BA chapter</t>
  </si>
  <si>
    <t>İT biznes analitik</t>
  </si>
  <si>
    <t>Biznes müştərilərlə iş şöbəsi</t>
  </si>
  <si>
    <t>Biznesə texniki dəstək şöbəsi</t>
  </si>
  <si>
    <t>Xidmət keyfiyyətinə nəzarət şöbəsi</t>
  </si>
  <si>
    <t>Xidmət strukturları ilə iş şöbəsi</t>
  </si>
  <si>
    <t>Müştəri məmnuniyyəti şöbəsi</t>
  </si>
  <si>
    <t>Qrup rəhbəri</t>
  </si>
  <si>
    <t>Kassa və inkassasiya prosesləri departamenti</t>
  </si>
  <si>
    <t>Nağd pul əməliyyatları şöbəsi</t>
  </si>
  <si>
    <t>İnkassasiya əməliyyatları şöbəsi</t>
  </si>
  <si>
    <t>İnkassasiya mərkəzləri ilə iş şöbəsi</t>
  </si>
  <si>
    <t>Plastik kartların çapı və dəstəyi şöbəsi</t>
  </si>
  <si>
    <t>Motokuryer</t>
  </si>
  <si>
    <t>Ödəniş terminallarına texniki dəstək şöbəsi</t>
  </si>
  <si>
    <t>Texniki işçi (0,5 ştat vahidi üzrə)</t>
  </si>
  <si>
    <t>Kassir-inkassator (Beyləqan regional inkassasiya mərkəzi üzrə)(0,5 ştat vahidi üzrə əvəzçilik qaydasında)</t>
  </si>
  <si>
    <t>Baş mütəxəssis (Yevlax regional inkassasiya mərkəzi üzrə)</t>
  </si>
  <si>
    <t>Baş mütəxəssis (Lənkaran regional inkassasiya mərkəzi üzrə)</t>
  </si>
  <si>
    <t>Kassir-inkassator (Lənkaran regional inkassasiya mərkəzi üzrə)(0,5 ştat vahidi üzrə əvəzçilik qaydasında)</t>
  </si>
  <si>
    <t>Baş mütəxəssis (Beylaqan regional inkassasiya mərkəzi üzrə)</t>
  </si>
  <si>
    <t xml:space="preserve">Aparıcı mütəxəssis </t>
  </si>
  <si>
    <t>Kassir-inkassator (Yevlax regional inkassasiya mərkəzi üzrə)(0,5 ştat vahidi üzrə əvəzçilik qaydasında)</t>
  </si>
  <si>
    <t>Kassir-inkassator (İsmayıllı regional inkassasiya mərkəzi üzrə)(0,5 ştat vahidi üzrə əvəzçilik qaydasında)</t>
  </si>
  <si>
    <t>Kassir-inkassator (Biləsuvar regional inkassasiya mərkəzi üzrə)(0,5 ştat vahidi üzrə əvəzçilik qaydasında)</t>
  </si>
  <si>
    <t>Kassir-inkassator</t>
  </si>
  <si>
    <t>Kassir</t>
  </si>
  <si>
    <t>Kassir-inkassator (0,5 ştat vahidi üzrə əvəzçilik qaydasında)</t>
  </si>
  <si>
    <t>Pul və logistika əməliyyatları şöbəsi</t>
  </si>
  <si>
    <t>Kassir-inkassator(Naxçıvan regional inkassasiya mərkəzi üzrə)</t>
  </si>
  <si>
    <t>Kassir (Yevlax regional inkassasiya mərkəzi üzrə)</t>
  </si>
  <si>
    <t>Kassir-inkassator (Sumqayıt regional inkassasiya mərkəzi üzrə)(0,5 ştat vahidi üzrə əvəzçilik qaydasında)</t>
  </si>
  <si>
    <t>Aparıcı mütəxəssis (Sumqayıt regional inkassasiya mərkəzi üzrə)(0,5 ştat vahidi üzrə əvəzçilik qaydasında)</t>
  </si>
  <si>
    <t>Kassir-inkassator(0,5 ştat vahidi üzrə əvəzçilik qaydasında)</t>
  </si>
  <si>
    <t>Kassir-inkassator (0,5 ştat vahidi üzrə)</t>
  </si>
  <si>
    <t>Kassir-inkassator (Sumqayıt regional inkassasiya mərkəzi üzrə)</t>
  </si>
  <si>
    <t>Kassir-inkassator (Xaçmaz regional inkassasiya mərkəzi üzrə)</t>
  </si>
  <si>
    <t>Kassir-inkassator (Beyləqan regional inkassasiya mərkəzi üzrə)</t>
  </si>
  <si>
    <t>Kassir-inkassator (Biləsuvar regional inkassasiya mərkəzi üzrə)</t>
  </si>
  <si>
    <t>Kassir-inkassator (Gəncə regional inkassasiya mərkəzi üzrə)</t>
  </si>
  <si>
    <t>Kassir-inkassator (Tovuz regional inkassasiya mərkəzi üzrə)</t>
  </si>
  <si>
    <t>Kassir-inkassator (Gəncə regional inkassasiya mərkəzi üzrə)(0,5 ştat vahidi üzrə əvəzçilik qaydasında)</t>
  </si>
  <si>
    <t>Kassir-inkassator (Xaçmaz regional inkassasiya mərkəzi üzrə)(0,5 ştat vahidi üzrə əvəzçilik qaydasında)</t>
  </si>
  <si>
    <t>Kassir-inkassator (İsmayıllı regional inkassasiya mərkəzi üzrə)</t>
  </si>
  <si>
    <t>Kassir-inkassator (Lənkəran regional inkassasiya mərkəzi üzrə)</t>
  </si>
  <si>
    <t>Kassir-inkassator (Lənkəran regional inkassasiya mərkəzi üzrə)(0,5 ştat vahidi üzrə əvəzçilik qaydasında)</t>
  </si>
  <si>
    <t>Kassir-inkassator (Naxçıvan regional inkassasiya mərkəzi üzrə)</t>
  </si>
  <si>
    <t>Kassir-inkassator (Naxçıvan regional inkassasiya mərkəzi üzrə)(0,5 ştat vahidi üzrə əvəzçilik qaydasında)</t>
  </si>
  <si>
    <t>Kassir (Naxçıvan regional inkassasiya mərkəzi üzrə)</t>
  </si>
  <si>
    <t>Kassir-inkassator (Şəki regional inkassasiya mərkəzi üzrə)</t>
  </si>
  <si>
    <t>Kassir-inkassator (Şəki regional inkassasiya mərkəzi üzrə)(0,5 ştat vahidi üzrə əvəzçilik qaydasında)</t>
  </si>
  <si>
    <t>Kassir-inkassator (Şirvan regional inkassasiya mərkəzi üzrə)</t>
  </si>
  <si>
    <t>Kassir-inkassator (Şirvan regional inkassasiya mərkəzi üzrə)(0,5 ştat vahidi üzrə əvəzçilik qaydasında)</t>
  </si>
  <si>
    <t>Menecer (Şirvan regional inkassasiya mərkəzi üzrə)</t>
  </si>
  <si>
    <t>Kassir-inkassator (Tovuz regional inkassasiya mərkəzi üzrə)(0,5 ştat vahidi üzrə əvəzçilik qaydasında)</t>
  </si>
  <si>
    <t>Kassir-inkassator (Yevlax regional inkassasiya mərkəzi üzrə)</t>
  </si>
  <si>
    <t>Kassa və inkassasiya əməliyyatlarının koordinasiyası şöbəsi</t>
  </si>
  <si>
    <t>Birbaşa satış və xidmət şöbəsi</t>
  </si>
  <si>
    <t>YSB-lərdə satış və xidmət şöbəsi</t>
  </si>
  <si>
    <t>Birbaşa satış bölməsi</t>
  </si>
  <si>
    <t>Baş mütəxəssis (Mərkəzi Aran zonası üzrə)</t>
  </si>
  <si>
    <t>Aparıcı mütəxəssis(Gəncə-Daşkəsən zonası üzrə)</t>
  </si>
  <si>
    <t>Mütəxəssis(Şəki-Zaqatala zonası üzrə)</t>
  </si>
  <si>
    <t>Kiçik mütəxəssis (Şirvan-Salyan zonası üzrə)</t>
  </si>
  <si>
    <t>Kiçik mütəxəssis (Qarabağ zonası üzrə)</t>
  </si>
  <si>
    <t>Kiçik mütəxəssis (Quba-Xaçmaz zonası üzrə)</t>
  </si>
  <si>
    <t>Kiçik mütəxəssis (Naxçıvan zonası üzrə)</t>
  </si>
  <si>
    <t>Kiçik mütəxəssis(Mil-Muğan zonası üzrə)</t>
  </si>
  <si>
    <t>Kiçik mütəxəssis(Lənkaran-Astara zonası üzrə)</t>
  </si>
  <si>
    <t>Kiçik mütəxəssis(Qazax-Tovuz zonası üzrə)</t>
  </si>
  <si>
    <t>Yerində Xidmət bölməsi</t>
  </si>
  <si>
    <t>Mütəxəssis (Gəncə zonası üzrə)</t>
  </si>
  <si>
    <t>Kiçik mütəxəssis (0,5 ştat vahidi üzrə)</t>
  </si>
  <si>
    <t>Kiçik mütəxəssis (Gəncə zonası üzrə)</t>
  </si>
  <si>
    <t>Yerində xidmət bölməsi</t>
  </si>
  <si>
    <t>Əlaqə mərkəzi şöbəsi</t>
  </si>
  <si>
    <t>Onlayn xidmətlər bölməsi</t>
  </si>
  <si>
    <t>Mütəxəssis(müvəqqəti)</t>
  </si>
  <si>
    <t>Kiçik mütəxəssis (müvəqqəti) (0,5 ştat vahidi üzrə əvəzçilik qaydasında)</t>
  </si>
  <si>
    <t>Mütəxəssis (0,5 ştat vahidi üzrə əvəzçilik qaydasında)</t>
  </si>
  <si>
    <t>Kiçik mütəxəssis (0,5 ştat vahidi üzrə əvəzçilik qaydasında)</t>
  </si>
  <si>
    <t>Telefon mərkəzi bölməsi</t>
  </si>
  <si>
    <t>Məsafədən satış və xidmət şöbəsi</t>
  </si>
  <si>
    <t>Rəqəmsal satışlara xidmət bölməsi</t>
  </si>
  <si>
    <t>Onlayn hesablar bölməsi</t>
  </si>
  <si>
    <t>Satış Kanalları Departamenti</t>
  </si>
  <si>
    <t>Telemarketinq bölməsi</t>
  </si>
  <si>
    <t>Telesatış bölməsi</t>
  </si>
  <si>
    <t xml:space="preserve">Mütəxəssis </t>
  </si>
  <si>
    <t>Kredit məhsullarının satışının təşkili bölməsi</t>
  </si>
  <si>
    <t>Qeyri kredit məhsullarının satışının təşkili bölməsi</t>
  </si>
  <si>
    <t>Təminatlı kreditlərin satışının təşkili bölməsi</t>
  </si>
  <si>
    <t>BirApp sahəsi</t>
  </si>
  <si>
    <t>Birbank PFM</t>
  </si>
  <si>
    <t>Bir Enabler</t>
  </si>
  <si>
    <t>Ekspert məhsul sahibi</t>
  </si>
  <si>
    <t>travel</t>
  </si>
  <si>
    <t>Birbank Mainpage</t>
  </si>
  <si>
    <t>BirSearch</t>
  </si>
  <si>
    <t>Fintech Analitika və Aİ ekspert mərkəzi</t>
  </si>
  <si>
    <t>Ekspert Mərkəzinin lideri</t>
  </si>
  <si>
    <t>Ödəniş biznesinin Analitika və Aİ ekspert mərkəzi</t>
  </si>
  <si>
    <t>Ekspert funksional lider</t>
  </si>
  <si>
    <t>Payment analytics chapter</t>
  </si>
  <si>
    <t>Funksional lider (0,5 ştat vahidi üzrə əvəzçilik qaydasında)</t>
  </si>
  <si>
    <t>Analytics chapter</t>
  </si>
  <si>
    <t>Biznes analitik (0,5 ştat vahidi üzrə əvəzçilik qaydasında)</t>
  </si>
  <si>
    <t>Aİ governance ekspert mərkəzi</t>
  </si>
  <si>
    <t>Ecosystem Analytics</t>
  </si>
  <si>
    <t>Analitika ekspert mərkəzi</t>
  </si>
  <si>
    <t>Ecosystem BA and DS</t>
  </si>
  <si>
    <t>Mühəndislik və texnoloji platformalar ekspert mərkəzi</t>
  </si>
  <si>
    <t>Data və Aİ platformaları funksional sahəsi</t>
  </si>
  <si>
    <t>Data elmi üzrə ekspert</t>
  </si>
  <si>
    <t>Biznes analitik (müvəqqəti)</t>
  </si>
  <si>
    <t>Aİ governance üzrə baş mütəxəssis</t>
  </si>
  <si>
    <t xml:space="preserve">Biznes analitik </t>
  </si>
  <si>
    <t xml:space="preserve">Biznes analitik  </t>
  </si>
  <si>
    <t>İT infrastruktur departamenti</t>
  </si>
  <si>
    <t>Aİ və Data elmi ekspert mərkəzi</t>
  </si>
  <si>
    <t>Aİ chapter</t>
  </si>
  <si>
    <t xml:space="preserve">Data elmi üzrə ekspert </t>
  </si>
  <si>
    <t>Payment Aİ chapter</t>
  </si>
  <si>
    <t>Data scientist 3</t>
  </si>
  <si>
    <t>Data mühəndisliyi və texnologiyaları ekspert mərkəzi</t>
  </si>
  <si>
    <t>Data Engineer 1</t>
  </si>
  <si>
    <t>Data mühəndisi</t>
  </si>
  <si>
    <t>Data Engineer 2</t>
  </si>
  <si>
    <t>Data Engineer 3</t>
  </si>
  <si>
    <t>BirBank data engineering</t>
  </si>
  <si>
    <t>BirPayment data engineering</t>
  </si>
  <si>
    <t>Data governance ekspert mərkəzi</t>
  </si>
  <si>
    <t>Data proseslərin idarə edilməsi</t>
  </si>
  <si>
    <t>Data metodikası üzrə ekspert</t>
  </si>
  <si>
    <t>Data Quality</t>
  </si>
  <si>
    <t>Data keyfiyyəti üzrə mühəndis</t>
  </si>
  <si>
    <t xml:space="preserve">Data keyfiyyəti üzrə mühəndis </t>
  </si>
  <si>
    <t>Data stevvard</t>
  </si>
  <si>
    <t>Data idarəedilməsi üzrə analitik</t>
  </si>
  <si>
    <t>Rəqəmsal həllər sahəsi</t>
  </si>
  <si>
    <t>Unified VVorkStream</t>
  </si>
  <si>
    <t>Branch Optimization</t>
  </si>
  <si>
    <t>Smart service</t>
  </si>
  <si>
    <t>Ödəniş əməliyyatları ofisi</t>
  </si>
  <si>
    <t>RPA</t>
  </si>
  <si>
    <t>Operations Optimization</t>
  </si>
  <si>
    <t>Elma Docflovv</t>
  </si>
  <si>
    <t>İntranet 360</t>
  </si>
  <si>
    <t>İT hüquqlar və texniki dəstək şöbəsi</t>
  </si>
  <si>
    <t>İT xidmətlərinin idarə edilməsi şöbəsi</t>
  </si>
  <si>
    <t>İnformasiya təhlükəsizliyi departamenti</t>
  </si>
  <si>
    <t>Platforma təhlükəsizliyi şöbəsi</t>
  </si>
  <si>
    <t>Baş mütəxəssis (0,5 ştat vahidi üzrə)</t>
  </si>
  <si>
    <t>Şəbəkə əməliyyatları şöbəsi</t>
  </si>
  <si>
    <t>Şəbəkə təhlükəsizliyi şöbəsi</t>
  </si>
  <si>
    <t>İT hüquqlar bölməsi</t>
  </si>
  <si>
    <t>Texniki dəstək bölməsi</t>
  </si>
  <si>
    <t>İlkin dəstək bölməsi</t>
  </si>
  <si>
    <t xml:space="preserve">Kiçik mütəxəssis </t>
  </si>
  <si>
    <t>Sistem və şəbəkənin idarə edilməsi şöbəsi</t>
  </si>
  <si>
    <t>Sistemlərin idarə edilməsi bölməsi</t>
  </si>
  <si>
    <t>Rabitə sistemlərinin idarə edilməsi bölməsi</t>
  </si>
  <si>
    <t>Şəbəkənin idarə edilməsi bölməsi</t>
  </si>
  <si>
    <t>İT xidmətlərinin monitorinqi və hadisələrin idarə edilməsi şöbəsi</t>
  </si>
  <si>
    <t>Ekosistem platforma və İD sahəsi</t>
  </si>
  <si>
    <t>BirİD</t>
  </si>
  <si>
    <t>Business İD</t>
  </si>
  <si>
    <t>DVS</t>
  </si>
  <si>
    <t>FinTech platformalar sahəsi</t>
  </si>
  <si>
    <t>BPM</t>
  </si>
  <si>
    <t>ZEUS</t>
  </si>
  <si>
    <t>DevOps və SRE funksional sahəsi</t>
  </si>
  <si>
    <t>Platform mühəndisi</t>
  </si>
  <si>
    <t>Proqram mühəndisliyi funksional sahəsi</t>
  </si>
  <si>
    <t>Data platformaları üzrə mühəndis</t>
  </si>
  <si>
    <t>Aİ platformaları üzrə mühəndis</t>
  </si>
  <si>
    <t>FinTech TechOps funksional sahəsi</t>
  </si>
  <si>
    <t>Funksional Lider</t>
  </si>
  <si>
    <t>Devops mühəndisi</t>
  </si>
  <si>
    <t>Funksional Sahə lideri</t>
  </si>
  <si>
    <t>Verilənlər bazalarının idarə edilməsi bölməsi</t>
  </si>
  <si>
    <t>Tech Lead</t>
  </si>
  <si>
    <t>Verilənlər bazası üzrə mühəndis</t>
  </si>
  <si>
    <t xml:space="preserve">Verilənlər bazası üzrə mühəndis </t>
  </si>
  <si>
    <t>Arxitektura ekspert mərkəzi</t>
  </si>
  <si>
    <t>Ödəniş biznesinin arxitektura və İT idarəetmə prosesi</t>
  </si>
  <si>
    <t>İT proseslərinin idarə edilməsi üzrə ekspert</t>
  </si>
  <si>
    <t>Korporativ arxitektor</t>
  </si>
  <si>
    <t>İT proseslərinin idarə edilməsi funksional sahəsi</t>
  </si>
  <si>
    <t>Softvvare chapter</t>
  </si>
  <si>
    <t>Sistem developer</t>
  </si>
  <si>
    <t>Backend developer</t>
  </si>
  <si>
    <t>Sistem developer (0,5 ştat vahidi üzrə)</t>
  </si>
  <si>
    <t>Tribe tech Lead</t>
  </si>
  <si>
    <t>Rəqəmsal dələduzluğa qarşı mübarizə departamenti</t>
  </si>
  <si>
    <t>Mobile developer</t>
  </si>
  <si>
    <t>Mobile developer (müvəqqəti)</t>
  </si>
  <si>
    <t>Sistem developer(0,5 ştat vahidi üzrə)</t>
  </si>
  <si>
    <t>FinTech arxitektura və İT idarəetmə prosesi</t>
  </si>
  <si>
    <t>Frontend developer</t>
  </si>
  <si>
    <t>QA mühəndis</t>
  </si>
  <si>
    <t>Backend developer (0.5 ştat vahidi üzrə)</t>
  </si>
  <si>
    <t>Frontend developer (müvəqqəti)</t>
  </si>
  <si>
    <t>QA chapter</t>
  </si>
  <si>
    <t>SDET mühəndis</t>
  </si>
  <si>
    <t>Load mühəndis</t>
  </si>
  <si>
    <t xml:space="preserve">Load mühəndis </t>
  </si>
  <si>
    <t>Fintech mühəndislik ekspert mərkəzi</t>
  </si>
  <si>
    <t>QA mühəndis (müvəqqəti)</t>
  </si>
  <si>
    <t xml:space="preserve">QA mühəndis </t>
  </si>
  <si>
    <t>SDET mühəndis (0,5 ştat vahidi üzrə)</t>
  </si>
  <si>
    <t>Service Quality&amp;Platforms</t>
  </si>
  <si>
    <t>İT biznes analitik (0,5 ştat vahidi üzrə əvəzçilik qaydasında)</t>
  </si>
  <si>
    <t>İT BA Chapter</t>
  </si>
  <si>
    <t>Pərakəndə biznes platformaları sahəsi</t>
  </si>
  <si>
    <t>Secured Lending</t>
  </si>
  <si>
    <t>Prosessinq sahəsi</t>
  </si>
  <si>
    <t>Prosessing</t>
  </si>
  <si>
    <t>Ödəniş platformaları sahəsi</t>
  </si>
  <si>
    <t>OpenBanking</t>
  </si>
  <si>
    <t>Payment gatevvay</t>
  </si>
  <si>
    <t>Təşkilati və qeyri-maliyyə risklərinin idarə edilməsi departamenti</t>
  </si>
  <si>
    <t>Ödəniş biznesinin məhsullara nəzarət şöbəsi</t>
  </si>
  <si>
    <t xml:space="preserve">İT biznes analitik </t>
  </si>
  <si>
    <t>Kredit risklərinin təhlili departamenti</t>
  </si>
  <si>
    <t>Girovlarla iş və qiymətləndirmə prosesinə nəzarət şöbəsi</t>
  </si>
  <si>
    <t>Pərakəndə və ipoteka kredit risklərinin təhlili şöbəsi</t>
  </si>
  <si>
    <t>Korporativ kredit risklərinin təhlili şöbəsi</t>
  </si>
  <si>
    <t>KOS kredit risklərin təhlili şöbəsi</t>
  </si>
  <si>
    <t>Baş mütəxəssis (Bərdə zonası üzrə)</t>
  </si>
  <si>
    <t>Baş mütəxəssis (Lənkəran zonası üzrə)</t>
  </si>
  <si>
    <t>Baş mütəxəssis (Zaqatala zonası üzrə)</t>
  </si>
  <si>
    <t>Kredit inzibatçılığına nəzarət şöbəsi</t>
  </si>
  <si>
    <t>Qarantiya və rəqəmsal kredit risklərinin təhlili şöbəsi</t>
  </si>
  <si>
    <t>Mikro kredit və lizinq risklərinin təhlili şöbəsi</t>
  </si>
  <si>
    <t>Kredit portfelinə nəzarət departamenti</t>
  </si>
  <si>
    <t>Risk texnologiyaları sahəsi</t>
  </si>
  <si>
    <t>Micro scoring</t>
  </si>
  <si>
    <t>Business Scoring &amp; Decision Platform</t>
  </si>
  <si>
    <t>Maliyyə risklərinin idarə edilməsi departamenti</t>
  </si>
  <si>
    <t>Kredit risklərinin texnoloji həlləri şöbəsi</t>
  </si>
  <si>
    <t>Kredit risklərinin idarə edilməsi şöbəsi</t>
  </si>
  <si>
    <t>Agro Scoring</t>
  </si>
  <si>
    <t>Təqib Strategiyalarının idarə edilməsi və analitikası şöbəsi</t>
  </si>
  <si>
    <t>Maliyyə dayanıqlığı risklərinin idarə edilməsi və requlyativ tədqiqatı şöbəsi</t>
  </si>
  <si>
    <t>Bazar və likvidlik riskinin idarə edilməsi şöbəsi</t>
  </si>
  <si>
    <t>Marketplace Scoring</t>
  </si>
  <si>
    <t>Ecosystem Scoring</t>
  </si>
  <si>
    <t>Dizayn ekspert mərkəzi</t>
  </si>
  <si>
    <t>Product Designer 1</t>
  </si>
  <si>
    <t>Məhsul dizayneri</t>
  </si>
  <si>
    <t>Graphic design</t>
  </si>
  <si>
    <t>Product designer 1</t>
  </si>
  <si>
    <t>Product Designer 2</t>
  </si>
  <si>
    <t>Məhsulların rəsmiləşdirilməsi sahəsi</t>
  </si>
  <si>
    <t>Sales channels</t>
  </si>
  <si>
    <t>Product Designer 3</t>
  </si>
  <si>
    <t>Product designer 4</t>
  </si>
  <si>
    <t>Product Designer 4</t>
  </si>
  <si>
    <t>Qrafik dizayner</t>
  </si>
  <si>
    <t xml:space="preserve">Qrafik dizayner </t>
  </si>
  <si>
    <t>UX Researcher</t>
  </si>
  <si>
    <t>İstifadəçi təcrübəsi üzrə tədqiqatçı</t>
  </si>
  <si>
    <t>Müştəri təcrübəsi ekspert mərkəzi</t>
  </si>
  <si>
    <t>Customer Experience Researcher</t>
  </si>
  <si>
    <t>Müştəri təcrübəsi üzrə tədqiqatçı</t>
  </si>
  <si>
    <t>Müştəri təcrübəsi üzrə analitika və araşdırma prosesi</t>
  </si>
  <si>
    <t>CJM Researcher</t>
  </si>
  <si>
    <t>CX analytic</t>
  </si>
  <si>
    <t>Customer Experience Expertise</t>
  </si>
  <si>
    <t>Müştəri təcrübəsinin tətbiqi üzrə ekspert</t>
  </si>
  <si>
    <t>Marketinq ekspert mərkəzi</t>
  </si>
  <si>
    <t>İctimaiyyətlə əlaqələr prosesi</t>
  </si>
  <si>
    <t>Proses sahibi</t>
  </si>
  <si>
    <t>İctimaiyyətlə əlaqələr üzrə ekspert</t>
  </si>
  <si>
    <t>Marketinq kommunikasiyaları prosesi</t>
  </si>
  <si>
    <t>Marketinq kommunikasiyaları üzrə ekspert</t>
  </si>
  <si>
    <t>Məhsulların marketinqi prosesi</t>
  </si>
  <si>
    <t>Məhsulların marketinqi üzrə ekspert</t>
  </si>
  <si>
    <t>Rəqəmsal marketinq prosesi</t>
  </si>
  <si>
    <t>Kreativ həllər üzrə ekspert</t>
  </si>
  <si>
    <t xml:space="preserve">Kreativ həllər üzrə ekspert </t>
  </si>
  <si>
    <t>Rəqəmsal marketinq üzrə ekspert</t>
  </si>
  <si>
    <t>İnnovasiyalar üzrə ekspert</t>
  </si>
  <si>
    <t>Ödəniş və transferlər sahəsi</t>
  </si>
  <si>
    <t>Özünəxidmət terminalları sahəsi</t>
  </si>
  <si>
    <t>ATM/ADMs</t>
  </si>
  <si>
    <t>Transfers</t>
  </si>
  <si>
    <t>Payments</t>
  </si>
  <si>
    <t>Kart biznesi ekspert mərkəzi</t>
  </si>
  <si>
    <t>Chargeback prosesi</t>
  </si>
  <si>
    <t>Chargeback üzrə baş mütəxəssis</t>
  </si>
  <si>
    <t>Chargeback üzrə mütəxəssis</t>
  </si>
  <si>
    <t>Chargeback üzrə aparıcı mütəxəssis</t>
  </si>
  <si>
    <t>Kart biznesinə təşkilati dəstək prosesi</t>
  </si>
  <si>
    <t>Kart biznesinə təşkilati dəstək üzrə aparıcı mütəxəssis</t>
  </si>
  <si>
    <t>Kart biznesinin analitikası və hesabatlılıq prosesi</t>
  </si>
  <si>
    <t>Kart analitikası üzrə aparıcı mütəxəssis</t>
  </si>
  <si>
    <t>Kart analitikası üzrə mütəxəssis</t>
  </si>
  <si>
    <t>Kart analitikası üzrə kiçik mütəxəssis</t>
  </si>
  <si>
    <t>Analitika şöbəsi</t>
  </si>
  <si>
    <t>Monitorinq şöbəsi</t>
  </si>
  <si>
    <t>Xidmət sektorları üzrə partnyorluq şöbəsi</t>
  </si>
  <si>
    <t>Gündəlik tələbat və səhiyyə sektoru üzrə partnyorluq şöbəsi</t>
  </si>
  <si>
    <t>Enerji,avto və e-ticarət üzrə partnyorluq şöbəsi</t>
  </si>
  <si>
    <t>Xüsusi tələbat məhsulları üzrə partnyorluq şöbəsi</t>
  </si>
  <si>
    <t>Merçendayzinq və monitorinq bölməsi</t>
  </si>
  <si>
    <t>E-ticarət partnyorları bölməsi</t>
  </si>
  <si>
    <t>Bol ode</t>
  </si>
  <si>
    <t>Ecosystem</t>
  </si>
  <si>
    <t>Retail loans</t>
  </si>
  <si>
    <t>Cards Journey</t>
  </si>
  <si>
    <t>Credit journeys</t>
  </si>
  <si>
    <t>Cards, Accounts and Depozit journeys</t>
  </si>
  <si>
    <t>Müştəri dəyərləri sahəsi</t>
  </si>
  <si>
    <t>Debit cards and engagement</t>
  </si>
  <si>
    <t>Segments</t>
  </si>
  <si>
    <t>Lending portfolio</t>
  </si>
  <si>
    <t>Funding and debet portfolio</t>
  </si>
  <si>
    <t>Personalization &amp; Lifecycle</t>
  </si>
  <si>
    <t>Birbonus sahəsi</t>
  </si>
  <si>
    <t>Bonus Cabinet</t>
  </si>
  <si>
    <t>Loyallıq məhsulları sahəsi</t>
  </si>
  <si>
    <t>Ecosystem x-sell and CLV</t>
  </si>
  <si>
    <t>Club and Partnership</t>
  </si>
  <si>
    <t>Subscription and Gamification</t>
  </si>
  <si>
    <t>TechOps</t>
  </si>
  <si>
    <t>Payment integrations</t>
  </si>
  <si>
    <t>Direktor müavini (əvəzçilik qaydasında)</t>
  </si>
  <si>
    <t>İnformasiya təhlükəsizliyi üzrə GRC şöbəsi</t>
  </si>
  <si>
    <t>Kibermüdafiə şöbəsi</t>
  </si>
  <si>
    <t>Məhsul təhlükəsizliyi şöbəsi</t>
  </si>
  <si>
    <t>Kiber fraudlarla mübarizə bölməsi</t>
  </si>
  <si>
    <t>mütəxəssis(0,5 ştat vahidi üzrə)</t>
  </si>
  <si>
    <t>İT risklərinin idarə edilməsi şöbəsi</t>
  </si>
  <si>
    <t>Kreditlərin hüquqi təqibi departamenti</t>
  </si>
  <si>
    <t>İcra orqanları ilə iş şöbəsi</t>
  </si>
  <si>
    <t>Aparıcı hüquqşünas (Naxçıvan üzrə)</t>
  </si>
  <si>
    <t>Korporativ və təminatlı kreditlərlə iş şöbəsi</t>
  </si>
  <si>
    <t>Məhkəmələrlə iş şöbəsi</t>
  </si>
  <si>
    <t>Ümidsiz aktivlərin uçotu və qeydiyyat şöbəsi</t>
  </si>
  <si>
    <t>Kreditlərin ilkin təqibi departamenti</t>
  </si>
  <si>
    <t>Digər kreditlər ilə iş şöbəsi</t>
  </si>
  <si>
    <t>İntensiv təqib şöbəsi</t>
  </si>
  <si>
    <t>Təhlil və dəstək şöbəsi</t>
  </si>
  <si>
    <t>İlkin təqib və dəstək bölməsi</t>
  </si>
  <si>
    <t>Ünvanda təqib şöbəsi</t>
  </si>
  <si>
    <t>Baş mütəxəssis (Tovuz zonası üzrə)</t>
  </si>
  <si>
    <t>Baş mütəxəssis (Yevlax zonası üzrə)</t>
  </si>
  <si>
    <t>Aparıcı mütəxəssis (Mingəçevir zonası üzrə)</t>
  </si>
  <si>
    <t>Aparıcı mütəxəssis (Gəncə zonası üzrə)</t>
  </si>
  <si>
    <t>Aparıcı mütəxəssis (Lənkəran zonası üzrə)</t>
  </si>
  <si>
    <t>Aparıcı mütəxəssis (Saatlı zonası üzrə)</t>
  </si>
  <si>
    <t>Aparıcı mütəxəssis (Bakı zonası üzrə)</t>
  </si>
  <si>
    <t>Aparıcı mütəxəssis (Cəlilabad zonası üzrə)</t>
  </si>
  <si>
    <t>Aparıcı mütəxəssis (Kürdəmir zonası üzrə)</t>
  </si>
  <si>
    <t>Aparıcı mütəxəssis (Şamaxı zonası üzrə)</t>
  </si>
  <si>
    <t>Aparıcı mütəxəssis (Şəmkir zonası üzrə)</t>
  </si>
  <si>
    <t>Aparıcı mütəxəssis (Ağstafa zonası üzrə)</t>
  </si>
  <si>
    <t>Mütəxəssis (Astara zonası üzrə)</t>
  </si>
  <si>
    <t>Aparıcı mütəxəssis (Ağcabədi zonası üzrə)</t>
  </si>
  <si>
    <t>Mütəxəssis (Ağcabədi zonası üzrə)</t>
  </si>
  <si>
    <t>Aparıcı mütəxəssis (İmişli zonası üzrə)</t>
  </si>
  <si>
    <t>Aparıcı mütəxəssis (Salyan zonası üzrə)</t>
  </si>
  <si>
    <t>Aparıcı mütəxəssis (Siyəzən zonası üzrə)</t>
  </si>
  <si>
    <t>Mütəxəssis (Quba zonası üzrə)</t>
  </si>
  <si>
    <t>Mütəxəssis (Zaqatala zonası üzrə)</t>
  </si>
  <si>
    <t>Mütəxəssis (Saatlı zonası üzrə)</t>
  </si>
  <si>
    <t>Mütəxəssis (Göyçay zonası üzrə)</t>
  </si>
  <si>
    <t>Mütəxəssis (İsmayıllı zonası üzrə)</t>
  </si>
  <si>
    <t>Mütəxəssis (Biləsuvar zonası üzrə)</t>
  </si>
  <si>
    <t>Mütəxəssis (Beyləqan zonası üzrə)</t>
  </si>
  <si>
    <t>Mütəxəssis (Şirvan zonası üzrə)</t>
  </si>
  <si>
    <t>Mütəxəssis (Masallı zonası üzrə)</t>
  </si>
  <si>
    <t>Mütəxəssis (Goranboy zonası üzrə)</t>
  </si>
  <si>
    <t>Mütəxəssis (Şəki zonası üzrə)</t>
  </si>
  <si>
    <t>Biznes kreditlərinin monitorinqi şöbəsi</t>
  </si>
  <si>
    <t>FinTech biznesinin məhsullara nəzarət şöbəsi</t>
  </si>
  <si>
    <t>Nağd vəsaitlər və qiymətlilərə nəzarət şöbəsi</t>
  </si>
  <si>
    <t>Qiymətlilərlə işə nəzarət bölməsi</t>
  </si>
  <si>
    <t>Ödəniş biznesinin əməliyyat risklərinin idarə edilməsi şöbəsi</t>
  </si>
  <si>
    <t>Risk hadisələrinin idarə edilməsi şöbəsi</t>
  </si>
  <si>
    <t>Kreditləşmə şərtlərinə nəzarət şöbəsi</t>
  </si>
  <si>
    <t>Aparıcı mütəxəssis (Qusar zonası üzrə)</t>
  </si>
  <si>
    <t>Aparıcı mütəxəssis (Şəki zonası üzrə)</t>
  </si>
  <si>
    <t>Model risklərinin idarəedilməsi ekspert mərkəzi</t>
  </si>
  <si>
    <t>Modellərin validasiyası chapter</t>
  </si>
  <si>
    <t>MRM chapter</t>
  </si>
  <si>
    <t>Modellərin validasiyası üzrə aparıcı mütəxəssis</t>
  </si>
  <si>
    <t>MRM üzrə mütəxəssis</t>
  </si>
  <si>
    <t>Modellərin validasiyası üzrə mütəxəssis</t>
  </si>
  <si>
    <t>Modellərin validasiyası üzrə kiçik mütəxəssis</t>
  </si>
  <si>
    <t>ERM şöbəsi</t>
  </si>
  <si>
    <t>Data risklərinin idarə edilməsi bölməsi</t>
  </si>
  <si>
    <t>FinTech biznesinin əməliyyat risklərinin idarə edilməsi şöbəsi</t>
  </si>
  <si>
    <t>VAT Refund</t>
  </si>
  <si>
    <t>Ekvayrinq texnologiyaları sahəsi</t>
  </si>
  <si>
    <t>Acquiring technology and chekout platform</t>
  </si>
  <si>
    <t>B2B &amp; Digital Experience</t>
  </si>
  <si>
    <t>Lending and leasing</t>
  </si>
  <si>
    <t>Business CRM</t>
  </si>
  <si>
    <t>Business cards</t>
  </si>
  <si>
    <t>Layihələrin idarə edilməsi üzrə ekspert</t>
  </si>
  <si>
    <t>1 saylı Notariat şöbəsi</t>
  </si>
  <si>
    <t>Müdir</t>
  </si>
  <si>
    <t>Xidmət bölməsi</t>
  </si>
  <si>
    <t>Baş əməliyyatçı-kassir</t>
  </si>
  <si>
    <t>4 saylı Notariat şöbəsi</t>
  </si>
  <si>
    <t xml:space="preserve">Aparıcı əməliyyatçı-kassir </t>
  </si>
  <si>
    <t>6 saylı Notariat şöbəsi</t>
  </si>
  <si>
    <t>7 saylı Notariat şöbəsi</t>
  </si>
  <si>
    <t xml:space="preserve">Kiçik əməliyyatçı-kassir </t>
  </si>
  <si>
    <t>12 saylı Notariat şöbəsi</t>
  </si>
  <si>
    <t>13 saylı Notariat şöbəsi</t>
  </si>
  <si>
    <t>Əməliyyatçı-kassir</t>
  </si>
  <si>
    <t>14 saylı Notariat şöbəsi</t>
  </si>
  <si>
    <t>İnzibati bölmə</t>
  </si>
  <si>
    <t>Xadimə (0,5 ştat vahidi üzrə)</t>
  </si>
  <si>
    <t>15 saylı Notariat şöbəsi</t>
  </si>
  <si>
    <t>16 saylı Notariat şöbəsi</t>
  </si>
  <si>
    <t>18 saylı Notariat şöbəsi</t>
  </si>
  <si>
    <t>19 saylı Notariat şöbəsi</t>
  </si>
  <si>
    <t>21 saylı Notariat şöbəsi</t>
  </si>
  <si>
    <t xml:space="preserve">Baş əməliyyatçı-kassir </t>
  </si>
  <si>
    <t>22 saylı Notariat şöbəsi</t>
  </si>
  <si>
    <t>23 saylı Notariat şöbəsi</t>
  </si>
  <si>
    <t>26 saylı Notariat şöbəsi</t>
  </si>
  <si>
    <t>32 saylı Notariat şöbəsi</t>
  </si>
  <si>
    <t>35 saylı Notariat şöbəsi</t>
  </si>
  <si>
    <t>38 saylı Notariat şöbəsi</t>
  </si>
  <si>
    <t>50 saylı Notariat şöbəsi</t>
  </si>
  <si>
    <t>Aparıcı əməliyyatçı-kassir (müvəqqəti)</t>
  </si>
  <si>
    <t>51 saylı Notariat şöbəsi</t>
  </si>
  <si>
    <t>52 saylı Notariat şöbəsi</t>
  </si>
  <si>
    <t>53 saylı Notariat şöbəsi</t>
  </si>
  <si>
    <t>54 saylı Notariat şöbəsi</t>
  </si>
  <si>
    <t>Sumqayıt 1 saylı Notariat şöbəsi</t>
  </si>
  <si>
    <t>Bakı 2 saylı Notariat şöbəsi</t>
  </si>
  <si>
    <t>Bakı Limanı şöbəsi</t>
  </si>
  <si>
    <t>Buzovna şöbəsi</t>
  </si>
  <si>
    <t>Dəmiryol şöbəsi</t>
  </si>
  <si>
    <t>Hava limanı şöbəsi</t>
  </si>
  <si>
    <t>Logistika şöbəsi</t>
  </si>
  <si>
    <t>4 saylı Bakı Asan filialı</t>
  </si>
  <si>
    <t>Kassa üzrə aparıcı mütəxəssis</t>
  </si>
  <si>
    <t>Müştərilərlə iş üzrə baş mütəxəssis</t>
  </si>
  <si>
    <t>7 saylı Bakı Asan filialı</t>
  </si>
  <si>
    <t>1 saylı Sumqayıt Asan filialı</t>
  </si>
  <si>
    <t>Əməliyyatçı-kassir (müvəqqəti)</t>
  </si>
  <si>
    <t>2 saylı Sumqayıt Asan filialı</t>
  </si>
  <si>
    <t>28 Mall filialı</t>
  </si>
  <si>
    <t>Müştərilərlə iş üzrə aparıcı mütəxəssis</t>
  </si>
  <si>
    <t>Müştərilərlə iş üzrə mütəxəssis</t>
  </si>
  <si>
    <t>Kassa üzrə mütəxəssis</t>
  </si>
  <si>
    <t>Məlumat xidməti üzrə mütəxəssis</t>
  </si>
  <si>
    <t>Abşeron filialı</t>
  </si>
  <si>
    <t>Kassa üzrə baş mütəxəssis</t>
  </si>
  <si>
    <t>Məlumat xidməti üzrə aparıcı mütəxəssis</t>
  </si>
  <si>
    <t>Məlumat xidməti üzrə kiçik mütəxəssis (müvəqqəti)</t>
  </si>
  <si>
    <t>Mikro kredit bölməsi</t>
  </si>
  <si>
    <t>Ağ şəhər KOB mərkəzi filialı</t>
  </si>
  <si>
    <t>İpoteka üzrə baş mütəxəssis</t>
  </si>
  <si>
    <t>Azadlıq filialı</t>
  </si>
  <si>
    <t>Məlumat xidməti üzrə kiçik mütəxəssis</t>
  </si>
  <si>
    <t>Bakıxanov filialı</t>
  </si>
  <si>
    <t>Müştərilərlə iş üzrə mütəxəssis (müvəqqəti)</t>
  </si>
  <si>
    <t>Binəqədi filialı</t>
  </si>
  <si>
    <t>müştərilərlə iş üzrə baş mütəxəssis</t>
  </si>
  <si>
    <t>Müştərilərlə iş üzrə kiçik mütəxəssis (müvəqqəti)</t>
  </si>
  <si>
    <t>Kiçik əməliyyatçı-kassir</t>
  </si>
  <si>
    <t>Bravo 2 filialı</t>
  </si>
  <si>
    <t>Bravo 3 filialı</t>
  </si>
  <si>
    <t>Cəfər Cabbarlı filialı</t>
  </si>
  <si>
    <t>Kassa üzrə aparıcı mütəxəssis (müvəqqəti)</t>
  </si>
  <si>
    <t>Əhmədli filialı</t>
  </si>
  <si>
    <t>Masazır filialı</t>
  </si>
  <si>
    <t>Fərhad Fərhadlı filialı</t>
  </si>
  <si>
    <t>Gənclik filialı</t>
  </si>
  <si>
    <t>Müştərilərlə iş üzrə kiçik mütəxəssis</t>
  </si>
  <si>
    <t>Gənclik mall filialı</t>
  </si>
  <si>
    <t>Həzi Aslanov filialı</t>
  </si>
  <si>
    <t>Müştərilərlə iş üzrə aparıcı mütəxəssis(müvəqqəti)</t>
  </si>
  <si>
    <t>Hüseyn Cavid filialı</t>
  </si>
  <si>
    <t>Xəzər filialı</t>
  </si>
  <si>
    <t>Əməliyyatçı-kassir(müvəqqəti)</t>
  </si>
  <si>
    <t>Xırdalan filialı</t>
  </si>
  <si>
    <t>Məlumat xidməti üzrə mütəxəssis (müvəqqəti)</t>
  </si>
  <si>
    <t>Müştərilərlə iş üzrə aparıcı mütəxəssis (müvəqqəti)</t>
  </si>
  <si>
    <t>İçərişəhər filialı</t>
  </si>
  <si>
    <t>İnşaatçılar filialı</t>
  </si>
  <si>
    <t>KOB mərkəzi filialı</t>
  </si>
  <si>
    <t>KOB filialı</t>
  </si>
  <si>
    <t>Qara Qarayev filialı</t>
  </si>
  <si>
    <t>Kiçik əməliyyatçı-kassir (müvəqqəti)</t>
  </si>
  <si>
    <t>Qaradağ filialı</t>
  </si>
  <si>
    <t>Qubadlı filialı</t>
  </si>
  <si>
    <t>Məhəmməd Hadi filialı</t>
  </si>
  <si>
    <t>Kassa üzrə mütəxəssis (müvəqqəti)</t>
  </si>
  <si>
    <t>Mərkəz filialı</t>
  </si>
  <si>
    <t>İpoteka üzrə aparıcı mütəxəssis</t>
  </si>
  <si>
    <t>Kassa üzrə kiçik mütəxəssis</t>
  </si>
  <si>
    <t>VİP bölməsi</t>
  </si>
  <si>
    <t>Port Baku filialı</t>
  </si>
  <si>
    <t>Baş mütəxəssis(müvəqqəti)</t>
  </si>
  <si>
    <t>Neftçilər filialı</t>
  </si>
  <si>
    <t>Nərimanov filialı</t>
  </si>
  <si>
    <t>Nəsimi filialı</t>
  </si>
  <si>
    <t>Xalqlar Dostluğu filialı</t>
  </si>
  <si>
    <t>Müştərilərlə iş üzrə  mütəxəssis</t>
  </si>
  <si>
    <t>Sabunçu filialı</t>
  </si>
  <si>
    <t>Sahil filialı</t>
  </si>
  <si>
    <t>Səbail filialı</t>
  </si>
  <si>
    <t>İpoteka üzrə mütəxəssis</t>
  </si>
  <si>
    <t>Sumqayıt filialı</t>
  </si>
  <si>
    <t>Suraxanı filialı</t>
  </si>
  <si>
    <t>8-ci mikrorayon filialı</t>
  </si>
  <si>
    <t>Təbriz filialı</t>
  </si>
  <si>
    <t>Ticarət filialı</t>
  </si>
  <si>
    <t>Yasamal filialı</t>
  </si>
  <si>
    <t>Zəfər filialı</t>
  </si>
  <si>
    <t>Ağcabədi şöbəsi</t>
  </si>
  <si>
    <t>Balakən şöbəsi</t>
  </si>
  <si>
    <t>Xaçmaz şöbəsi</t>
  </si>
  <si>
    <t>İmişli şöbəsi</t>
  </si>
  <si>
    <t>Kürdəmir şöbəsi</t>
  </si>
  <si>
    <t>Qazax şöbəsi</t>
  </si>
  <si>
    <t>Qəbələ şöbəsi</t>
  </si>
  <si>
    <t>Mingəçevir şöbəsi</t>
  </si>
  <si>
    <t>Salyan şöbəsi</t>
  </si>
  <si>
    <t>Şamaxı şöbəsi</t>
  </si>
  <si>
    <t>Şəki şöbəsi</t>
  </si>
  <si>
    <t>Tovuz şöbəsi</t>
  </si>
  <si>
    <t>Ağcabədi filialı</t>
  </si>
  <si>
    <t>Ağdam filialı</t>
  </si>
  <si>
    <t>Ağdaş filialı</t>
  </si>
  <si>
    <t>Ağstafa filialı</t>
  </si>
  <si>
    <t>Ağsu filialı</t>
  </si>
  <si>
    <t>Astara filialı</t>
  </si>
  <si>
    <t>Balakən filialı</t>
  </si>
  <si>
    <t>Beyləqan filialı</t>
  </si>
  <si>
    <t>Bərdə filialı</t>
  </si>
  <si>
    <t>Biləsuvar filialı</t>
  </si>
  <si>
    <t>Müştərilərlə iş üzrə kiçik mütəxəssis (0,5 ştat vahidi üzrə)</t>
  </si>
  <si>
    <t>Cəbrayıl filialı</t>
  </si>
  <si>
    <t>Cəlilabad filialı</t>
  </si>
  <si>
    <t>Cənub filialı</t>
  </si>
  <si>
    <t>Daşkəsən filialı</t>
  </si>
  <si>
    <t>Foodcity filialı</t>
  </si>
  <si>
    <t>Füzuli filialı</t>
  </si>
  <si>
    <t>Gədəbəy filialı</t>
  </si>
  <si>
    <t>Gəncə filialı</t>
  </si>
  <si>
    <t>Nizami filialı</t>
  </si>
  <si>
    <t>Goranboy filialı</t>
  </si>
  <si>
    <t>Göyçay filialı</t>
  </si>
  <si>
    <t>Göygöl filialı</t>
  </si>
  <si>
    <t>Hacıqabul filialı</t>
  </si>
  <si>
    <t>Xaçmaz filialı</t>
  </si>
  <si>
    <t>Xaçmaz Notariat şöbəsi</t>
  </si>
  <si>
    <t>Xankəndi filialı</t>
  </si>
  <si>
    <t>Kassa üzrə kiçik mütəxəssis (müvəqqəti)</t>
  </si>
  <si>
    <t>İmişli filialı</t>
  </si>
  <si>
    <t>İsmayıllı filialı</t>
  </si>
  <si>
    <t>Kəpəz filialı</t>
  </si>
  <si>
    <t>Kürdəmir filialı</t>
  </si>
  <si>
    <t>Qax filialı</t>
  </si>
  <si>
    <t>Qazax filialı</t>
  </si>
  <si>
    <t xml:space="preserve">Müştərilərlə iş üzrə mütəxəssis </t>
  </si>
  <si>
    <t>Qəbələ filialı</t>
  </si>
  <si>
    <t>Qərb filialı</t>
  </si>
  <si>
    <t>Qobustan filialı</t>
  </si>
  <si>
    <t>Quba filialı</t>
  </si>
  <si>
    <t>Qusar filialı</t>
  </si>
  <si>
    <t>Laçın filialı</t>
  </si>
  <si>
    <t>Lerik filialı</t>
  </si>
  <si>
    <t>Lənkəran şəhər filialı</t>
  </si>
  <si>
    <t>Lənkəran şöbəsi</t>
  </si>
  <si>
    <t>Masallı filialı</t>
  </si>
  <si>
    <t>Mingəçevir şəhər filialı</t>
  </si>
  <si>
    <t>Naftalan şəhər filialı</t>
  </si>
  <si>
    <t>Neftçala filialı</t>
  </si>
  <si>
    <t>Oğuz filialı</t>
  </si>
  <si>
    <t>Saatlı filialı</t>
  </si>
  <si>
    <t>Sabirabad filialı</t>
  </si>
  <si>
    <t>Salyan filialı</t>
  </si>
  <si>
    <t>Samux filialı</t>
  </si>
  <si>
    <t>Siyəzən filialı</t>
  </si>
  <si>
    <t>Şabran filialı</t>
  </si>
  <si>
    <t>Şamaxı filialı</t>
  </si>
  <si>
    <t>Şəki filialı</t>
  </si>
  <si>
    <t>Şəmkir filialı</t>
  </si>
  <si>
    <t>Şimal filialı</t>
  </si>
  <si>
    <t>Şirvan şəhər filialı</t>
  </si>
  <si>
    <t>Şuşa filialı</t>
  </si>
  <si>
    <t>Tərtər filialı</t>
  </si>
  <si>
    <t>Tovuz filialı</t>
  </si>
  <si>
    <t>Ucar filialı</t>
  </si>
  <si>
    <t>Yardımlı filialı</t>
  </si>
  <si>
    <t>Yevlax filialı</t>
  </si>
  <si>
    <t>Zaqatala filialı</t>
  </si>
  <si>
    <t>Zəngilan filialı</t>
  </si>
  <si>
    <t>Zərdab filialı</t>
  </si>
  <si>
    <t>Culfa şöbəsi</t>
  </si>
  <si>
    <t>Kəngərli şöbəsi</t>
  </si>
  <si>
    <t>Naxçıvan Gömrük şöbəsi</t>
  </si>
  <si>
    <t>Naxçıvan şöbəsi</t>
  </si>
  <si>
    <t>Sədərək şöbəsi</t>
  </si>
  <si>
    <t>Babək filialı</t>
  </si>
  <si>
    <t>Culfa filialı</t>
  </si>
  <si>
    <t>Kəngərli filialı</t>
  </si>
  <si>
    <t>Naxçıvan filialı</t>
  </si>
  <si>
    <t>Ordubad filialı</t>
  </si>
  <si>
    <t>Sədərək filialı</t>
  </si>
  <si>
    <t>Xadimə (0,5 ştat vahidi üzrə əvəzçilik qaydasında)</t>
  </si>
  <si>
    <t>Şahbuz filialı</t>
  </si>
  <si>
    <t>Şərur filialı</t>
  </si>
  <si>
    <t>A</t>
  </si>
  <si>
    <t>SM</t>
  </si>
  <si>
    <t>HX</t>
  </si>
  <si>
    <t>ƏM</t>
  </si>
  <si>
    <t>ÖM</t>
  </si>
  <si>
    <t>Status</t>
  </si>
  <si>
    <t>Daimi</t>
  </si>
  <si>
    <t>Müvəqqəti</t>
  </si>
  <si>
    <t>BirMarket</t>
  </si>
  <si>
    <t>Bir Payment</t>
  </si>
  <si>
    <t>Paşa Holding</t>
  </si>
  <si>
    <t>Future lab</t>
  </si>
  <si>
    <t>Birmarket</t>
  </si>
  <si>
    <t>Non-Agile</t>
  </si>
  <si>
    <t>Agile</t>
  </si>
  <si>
    <t>Filial</t>
  </si>
  <si>
    <t>Səmədli Ülvi Azər oğlu</t>
  </si>
  <si>
    <t>Əliyev Telman Rəcəb oğlu</t>
  </si>
  <si>
    <t xml:space="preserve">	Sadiqov Arif Vəsaid oğlu</t>
  </si>
  <si>
    <t>Həsənov Nəriman Elşən oğlu</t>
  </si>
  <si>
    <t>Heydərova Şəms Nazim qızı</t>
  </si>
  <si>
    <t>Ağayev Fariz Sahib oğlu</t>
  </si>
  <si>
    <t>Mustafayeva Elnarə Əkbər qızı</t>
  </si>
  <si>
    <t xml:space="preserve">	Kərimova Gülnar Sahib qızı</t>
  </si>
  <si>
    <t>Hüseynli Şahin Mahir oğlu</t>
  </si>
  <si>
    <t>Fərhadov Murad Fərhad oğlu</t>
  </si>
  <si>
    <t>Əliyev Natiq Oruc oğlu</t>
  </si>
  <si>
    <t>Teymurov Həbib Zöhrab oğlu</t>
  </si>
  <si>
    <t>Həşimova Aydan İbrahim qızı</t>
  </si>
  <si>
    <t>Quliyeva Nuridə Elşən qızı</t>
  </si>
  <si>
    <t>İsayev Səbuhi Səmiyəddin oğlu</t>
  </si>
  <si>
    <t>Muxtarov Muxtar Xanlar oğlu</t>
  </si>
  <si>
    <t>Əhmədov Zülfüqar Məmməd oğlu</t>
  </si>
  <si>
    <t>Xəlilov Zabit Səməd oğlu</t>
  </si>
  <si>
    <t xml:space="preserve">Dadaş-zadə Arifə Aqşin qızı </t>
  </si>
  <si>
    <t>Nəbili Pərvin Fuad qızı</t>
  </si>
  <si>
    <t>Əliyev Elxan Kamran oğlu</t>
  </si>
  <si>
    <t xml:space="preserve">	Qarayeva Melisa İsmayil qızı</t>
  </si>
  <si>
    <t>Kərimov Asəf Vüqar oğlu</t>
  </si>
  <si>
    <t>Şirinov Rəşad Əmir oğlu</t>
  </si>
  <si>
    <t>Ədilov Vüqar Ağaəli oğlu</t>
  </si>
  <si>
    <t>Sunqarova Bikə Hacirabadan qızı</t>
  </si>
  <si>
    <t>Məmmədov Hafiz Müşviq oğlu</t>
  </si>
  <si>
    <t>Mansurova Nərmin Şahin qızı</t>
  </si>
  <si>
    <t>Süleymanov Vaqif Elşən oğlu</t>
  </si>
  <si>
    <t>Data analitik</t>
  </si>
  <si>
    <t>Aparıcı biznes analitik</t>
  </si>
  <si>
    <t>P</t>
  </si>
  <si>
    <t>İşdən çıxma tarixi</t>
  </si>
  <si>
    <t>Keçid etdiyi şirkət</t>
  </si>
  <si>
    <t>New</t>
  </si>
  <si>
    <t>Cəmi</t>
  </si>
  <si>
    <t>İşçi sayı</t>
  </si>
  <si>
    <t>müvəqqəti</t>
  </si>
  <si>
    <t>vakant</t>
  </si>
  <si>
    <t>Non agile, agile, filial</t>
  </si>
  <si>
    <t>qeyd</t>
  </si>
  <si>
    <t>Vertical</t>
  </si>
  <si>
    <t>Ekosistem</t>
  </si>
  <si>
    <t>Payment</t>
  </si>
  <si>
    <t>Fintech</t>
  </si>
  <si>
    <t>1 hüquqdan</t>
  </si>
  <si>
    <t>1 elave pashapaydan, 1 elave yaz İH-tamilla x</t>
  </si>
  <si>
    <t>Data menecment ofisi</t>
  </si>
  <si>
    <t>1 dene müşteri tecrubesinden</t>
  </si>
  <si>
    <t>Pərakəndə məhsullar ofisi</t>
  </si>
  <si>
    <t>1 i getdi ai governance</t>
  </si>
  <si>
    <t>1i verildi strategiya</t>
  </si>
  <si>
    <t>Audit komitəsi</t>
  </si>
  <si>
    <t>Müşahidə şurası</t>
  </si>
  <si>
    <t>2si strategiyaya</t>
  </si>
  <si>
    <t>1 çıxdı ödəniş biz analitika və ai ya</t>
  </si>
  <si>
    <t>2 sini ləğv</t>
  </si>
  <si>
    <t>1 elave kredit ilkin teqibinden</t>
  </si>
  <si>
    <t>3 əlavə</t>
  </si>
  <si>
    <t>1 komplayense verildi</t>
  </si>
  <si>
    <t>3 əlavə, 1 əlavə nağd pull id ed, 1 pashapay</t>
  </si>
  <si>
    <t>FinTech Analitika və Aİ ekspert mərkəzi</t>
  </si>
  <si>
    <t>1 verildi maliyye risklerine</t>
  </si>
  <si>
    <t>1i artıq idi, 1 verildi bura mikro b d skd den, 9 sildik ixtisar</t>
  </si>
  <si>
    <t>1 i fintech müh</t>
  </si>
  <si>
    <t>köhnə strukturda qalan</t>
  </si>
  <si>
    <t>köhnə strukturda qalan-Shabanlı Seymur-ştatı hara verilməli</t>
  </si>
  <si>
    <t>köhnə strukturda qalan. 1-ini ilqar ocaqovda nəzərə almışam(əzizli yunis), 1 ni fintech analitika naildə, qaldı 2 ştat</t>
  </si>
  <si>
    <t>1  vüsal şükürov ştatı</t>
  </si>
  <si>
    <t>Fintech agile və ödəniş biznesi agile birgə nəzərə alınıb</t>
  </si>
  <si>
    <t>mənfilər-atrən səfərli HRBP məlumat verilib-04.10.2026 mail</t>
  </si>
  <si>
    <t>2i ixtisar</t>
  </si>
  <si>
    <t>Pashapay</t>
  </si>
  <si>
    <t>Paşa holding</t>
  </si>
  <si>
    <t>bu payment keçididir, ştatı kassa və inkassasiyaya nəzərə aldıq</t>
  </si>
  <si>
    <t>İnzibati idarəetmədən gəlib deyə orda nəzərə alındı ştat olaraq</t>
  </si>
  <si>
    <t>İT dən gəlib deyə orda nəzərə alındı ştat olaraq</t>
  </si>
  <si>
    <t>eyni depdə sadəcə şöbə dəyişib rotasiya kimi, ştat eyni qalır</t>
  </si>
  <si>
    <t>02 N-12.01.2026</t>
  </si>
  <si>
    <t>58N-23.07.2026</t>
  </si>
  <si>
    <t>23N-19.03.2026</t>
  </si>
  <si>
    <t>84 N-19.12.2025, 08 N-Emin M yerinə olması 30.01.2026</t>
  </si>
  <si>
    <t>İxtisar olunan ştat sayı</t>
  </si>
  <si>
    <t>Sahə</t>
  </si>
  <si>
    <t>CƏM</t>
  </si>
  <si>
    <t>Cəmi keçid sayı</t>
  </si>
  <si>
    <t>CƏMİ</t>
  </si>
  <si>
    <t>ID</t>
  </si>
  <si>
    <t>Category (Main)</t>
  </si>
  <si>
    <t>Name  Surname</t>
  </si>
  <si>
    <t>Soyad, Ad, Ata adı</t>
  </si>
  <si>
    <t xml:space="preserve">Department </t>
  </si>
  <si>
    <t>Departament</t>
  </si>
  <si>
    <t xml:space="preserve">Division </t>
  </si>
  <si>
    <t>Şöbə</t>
  </si>
  <si>
    <t>Position</t>
  </si>
  <si>
    <t>Mövcud Yeni Vəzifə</t>
  </si>
  <si>
    <t>Reporting to (Need Update)</t>
  </si>
  <si>
    <t>İşə qəbul tarixi</t>
  </si>
  <si>
    <t>Müqavilə bitmə tarixi</t>
  </si>
  <si>
    <t>Müqavilə müddəti</t>
  </si>
  <si>
    <t>RİM</t>
  </si>
  <si>
    <t>Doğum tarixi</t>
  </si>
  <si>
    <t>Yaş</t>
  </si>
  <si>
    <t>FIN</t>
  </si>
  <si>
    <t>Vətəndaşlıq</t>
  </si>
  <si>
    <t>Seriya nömrəsi</t>
  </si>
  <si>
    <t>Ş.V bitmə tarixi</t>
  </si>
  <si>
    <t>İş rejimi</t>
  </si>
  <si>
    <t>Təhsil səv.</t>
  </si>
  <si>
    <t>Cins</t>
  </si>
  <si>
    <t>Əlaqə nömrəsi</t>
  </si>
  <si>
    <t>Korporativ emai</t>
  </si>
  <si>
    <t>Personal e-mail</t>
  </si>
  <si>
    <t>Address of Registration</t>
  </si>
  <si>
    <t>Residency Address</t>
  </si>
  <si>
    <t>Familiy status</t>
  </si>
  <si>
    <t>Children</t>
  </si>
  <si>
    <t>Termination</t>
  </si>
  <si>
    <t>Location</t>
  </si>
  <si>
    <t>Active</t>
  </si>
  <si>
    <t>ID-01</t>
  </si>
  <si>
    <t>H</t>
  </si>
  <si>
    <t>Ilaha Zeynalova, Aflatun</t>
  </si>
  <si>
    <t>Zeynalova İlahə Əflatun qızı</t>
  </si>
  <si>
    <t>Terminal and ATM department</t>
  </si>
  <si>
    <t>Terminal və ATM şəbəkəsinin idarə edilməsi departamenti</t>
  </si>
  <si>
    <t>-</t>
  </si>
  <si>
    <t>Head of Terminals Network Management</t>
  </si>
  <si>
    <t>Tağıyev Camal İlham oğlu</t>
  </si>
  <si>
    <t>Indefinite</t>
  </si>
  <si>
    <t>12P0418</t>
  </si>
  <si>
    <t>Azerbaijan</t>
  </si>
  <si>
    <t>AZE 17622290</t>
  </si>
  <si>
    <t>Full time</t>
  </si>
  <si>
    <t>Bachelor</t>
  </si>
  <si>
    <t>Female</t>
  </si>
  <si>
    <t>+994555050823</t>
  </si>
  <si>
    <t>ilaha.zeynalova@pashapay.az</t>
  </si>
  <si>
    <t>Bakı Şəh, A.İsgəndərov Küç ,Ev 1, M 12</t>
  </si>
  <si>
    <t>single</t>
  </si>
  <si>
    <t>Port Baku 2</t>
  </si>
  <si>
    <t>ID-04</t>
  </si>
  <si>
    <t>Asim Bayramov, Sahib</t>
  </si>
  <si>
    <t>Bayramov Asim Sahib oğlu</t>
  </si>
  <si>
    <t>Encashment division</t>
  </si>
  <si>
    <t>İnkassasiya Şöbəsi</t>
  </si>
  <si>
    <t>Driver Incasator</t>
  </si>
  <si>
    <t>Sürücü inkassator</t>
  </si>
  <si>
    <t>Abbasova Nurlana Ramiz qızı</t>
  </si>
  <si>
    <t>Baki</t>
  </si>
  <si>
    <t>385BR9W</t>
  </si>
  <si>
    <t>AZE 15356388</t>
  </si>
  <si>
    <t>Male</t>
  </si>
  <si>
    <t>+994552801009</t>
  </si>
  <si>
    <t>Bakı Şəh.,Nərimanov Ray., Ş. Mustafayev Küç., Ev 5 M.16</t>
  </si>
  <si>
    <t>Bakı Şəh., Ş. Mustafayev Küç., Ev 5 M.16</t>
  </si>
  <si>
    <t>married</t>
  </si>
  <si>
    <t>Sabail rayonu, Gülbala Əliyev 54C</t>
  </si>
  <si>
    <t>ID-05</t>
  </si>
  <si>
    <t>TL</t>
  </si>
  <si>
    <t>Nurlan Mahmudov, Valeh</t>
  </si>
  <si>
    <t>Mahmudov Nurlan Valeh oğlu</t>
  </si>
  <si>
    <t xml:space="preserve"> Terminal business support department</t>
  </si>
  <si>
    <t>Terminal biznesinə dəstək departamenti</t>
  </si>
  <si>
    <t>Encashment processes support division</t>
  </si>
  <si>
    <t xml:space="preserve">İnkassasiya proseslərinə dəstək şöbəsi </t>
  </si>
  <si>
    <t>Team Lead</t>
  </si>
  <si>
    <t>Qrup Rəhbəri</t>
  </si>
  <si>
    <t>Rüstəmzadə İlqar Vilayət oğlu</t>
  </si>
  <si>
    <t>2CJ6GL0</t>
  </si>
  <si>
    <t>AZE 16433572</t>
  </si>
  <si>
    <t>+994555050888</t>
  </si>
  <si>
    <t>nurlan.mahmudov@pashapay.az</t>
  </si>
  <si>
    <t>Ağdam Ray., Saybalı K.</t>
  </si>
  <si>
    <t>Bakı Şəh., Nəsimi R. Tbilisi Pr. 1058-Ci Məh, Bina 36A, M.56</t>
  </si>
  <si>
    <t>ID-06</t>
  </si>
  <si>
    <t>M</t>
  </si>
  <si>
    <t>Shirinbika Mahmudova, Mushvig</t>
  </si>
  <si>
    <t>Mahmudova Şirinbikə Müşviq qızı</t>
  </si>
  <si>
    <t>Financial management department</t>
  </si>
  <si>
    <t>Budget control division</t>
  </si>
  <si>
    <t>Büdcəyə nəzarət şöbəsi</t>
  </si>
  <si>
    <t>Manager</t>
  </si>
  <si>
    <t>Ağayev Mirşahin Mircəfər oğlu</t>
  </si>
  <si>
    <t>54RXPZ2</t>
  </si>
  <si>
    <t>AZE 15972901</t>
  </si>
  <si>
    <t>+994502906868</t>
  </si>
  <si>
    <t>shirin.makhmudova@pashapay.az</t>
  </si>
  <si>
    <t>ID-07</t>
  </si>
  <si>
    <t>Bakhtiyar Abdul-Ahadov, Shahid</t>
  </si>
  <si>
    <t>Abdul-Əhədov Bəxtiyar Şahid oğlu</t>
  </si>
  <si>
    <t>Terminal maintenance division</t>
  </si>
  <si>
    <t>Texniki təmir şöbəsi</t>
  </si>
  <si>
    <t>Nəbiyev Namiq Şahbəddin oğlu</t>
  </si>
  <si>
    <t>5Z2EVQX</t>
  </si>
  <si>
    <t>AZE 16149326</t>
  </si>
  <si>
    <t>+994555050880</t>
  </si>
  <si>
    <t>bakhtiyar.abdul-ahadov@pashapay.az</t>
  </si>
  <si>
    <t>Bakı Şəh., Babək Pr-Ti. Ev. 13, M. 15</t>
  </si>
  <si>
    <t>ID-08</t>
  </si>
  <si>
    <t>S</t>
  </si>
  <si>
    <t>Saida Najafova, Ali</t>
  </si>
  <si>
    <t>Nəcəfova Səidə Əli qızı</t>
  </si>
  <si>
    <t>Customer excellence department</t>
  </si>
  <si>
    <t>Müştəri mükəmməlliyi departamenti</t>
  </si>
  <si>
    <t>Customer care division</t>
  </si>
  <si>
    <t>Müştəri xidmətləri şöbəsi</t>
  </si>
  <si>
    <t>Senior Front Office Specialist</t>
  </si>
  <si>
    <t>Ön Masa üzrə Baş Mütəxəssis</t>
  </si>
  <si>
    <t>Əmirov Savalan İsrəfil oğlu</t>
  </si>
  <si>
    <t>3FYUDSZ</t>
  </si>
  <si>
    <t>AZE 16880009</t>
  </si>
  <si>
    <t>+994555050859</t>
  </si>
  <si>
    <t>saida.nacafova@pashapay.az</t>
  </si>
  <si>
    <t>Sumqayıt Şəh., Corat Qəs.,2-Məhəllə.133A</t>
  </si>
  <si>
    <t>Sumqayıt Şəh., 1 Mr, Ev. 5B\9, M. 46</t>
  </si>
  <si>
    <t>Xırdalan</t>
  </si>
  <si>
    <t>Disabled</t>
  </si>
  <si>
    <t>ID-09</t>
  </si>
  <si>
    <t>Shahin Jabbarov, Arif</t>
  </si>
  <si>
    <t>Cabbarov Şahin Arif oğlu</t>
  </si>
  <si>
    <t>Technician Specialist</t>
  </si>
  <si>
    <t>Texniki İşlər üzrə Mütəxəssis</t>
  </si>
  <si>
    <t>123F2UX</t>
  </si>
  <si>
    <t>AZE 17738710</t>
  </si>
  <si>
    <t>+994555050882</t>
  </si>
  <si>
    <t>Bakı Şəh., Ə.Cavad, Ev. 37</t>
  </si>
  <si>
    <t>ID-14</t>
  </si>
  <si>
    <t>Parviz Mayilov, Anvar</t>
  </si>
  <si>
    <t>Mayılov Pərviz Ənvər oğlu</t>
  </si>
  <si>
    <t>27R7T84</t>
  </si>
  <si>
    <t>AZE 13532074</t>
  </si>
  <si>
    <t>+994555050868</t>
  </si>
  <si>
    <t>parviz.mayilov@pashapay.az</t>
  </si>
  <si>
    <t>Bakı Şəh., Əmircan Qəs., E.Həsənov Küç., Ev 95.,M.67/68</t>
  </si>
  <si>
    <t>ID-15</t>
  </si>
  <si>
    <t>Azer Afandiyev, Dadash</t>
  </si>
  <si>
    <t>Əfəndiyev Azər Dadaş oğlu</t>
  </si>
  <si>
    <t>Terminal technical support division</t>
  </si>
  <si>
    <t xml:space="preserve">Terminallara texniki dəstək şöbəsi </t>
  </si>
  <si>
    <t>Technical worker on terminal payments</t>
  </si>
  <si>
    <t>Terminal ödənişləri üzrə texniki işçi</t>
  </si>
  <si>
    <t>Əlizadə Nicat Əşrəf oğlu</t>
  </si>
  <si>
    <t>2C5U6NR</t>
  </si>
  <si>
    <t>AA 1276075</t>
  </si>
  <si>
    <t>+994555050877</t>
  </si>
  <si>
    <t>Bakı Şəh.,Nərimanov Ray.,Azadlıq Pr.,Ev.116,M.146</t>
  </si>
  <si>
    <t>Bakı Şəh.,Azadlıq Pr., Ev.116.,M.146</t>
  </si>
  <si>
    <t>ID-16</t>
  </si>
  <si>
    <t>Samir Zeynalov, Nizami</t>
  </si>
  <si>
    <t>Zeynalov Samir Nizami oğlu</t>
  </si>
  <si>
    <t>3JVXJS3</t>
  </si>
  <si>
    <t>AZE 13516551</t>
  </si>
  <si>
    <t>+994555050856</t>
  </si>
  <si>
    <t>Gəncə Şəh.,Nizami Küç.,12-Dal.,Ev 17A</t>
  </si>
  <si>
    <t>Gəncə RİM</t>
  </si>
  <si>
    <t>ID-20</t>
  </si>
  <si>
    <t>Gismat Mammadov, Ali</t>
  </si>
  <si>
    <t>Sumqayıt RİM</t>
  </si>
  <si>
    <t>3DRGLDR</t>
  </si>
  <si>
    <t>AZE 15772995</t>
  </si>
  <si>
    <t>+994555050732</t>
  </si>
  <si>
    <t>Sumqayıt Şəh.,Mik-13, Ev.40, M.8</t>
  </si>
  <si>
    <t>Sumqayıt Şəh.,Mik-13, Ev.4 , M.8</t>
  </si>
  <si>
    <t>ID-19</t>
  </si>
  <si>
    <t>Elvin Mukhtarov, Yagub</t>
  </si>
  <si>
    <t>Cash Collector</t>
  </si>
  <si>
    <t>Kassir inkassator</t>
  </si>
  <si>
    <t>2TR9LZV</t>
  </si>
  <si>
    <t>AZE 16939587</t>
  </si>
  <si>
    <t>+994555050881</t>
  </si>
  <si>
    <t>Bakı Şəh.,Sabunçu Ray.,Bakıxanov Qəs.,Y.Əliyev Küç.,Ev 3/51</t>
  </si>
  <si>
    <t>Bakı Şəh.,Bakıxanov Qəs.,Y.Əliyev Küç.,Ev 3/51</t>
  </si>
  <si>
    <t>ID-22</t>
  </si>
  <si>
    <t>Vasif Garibli, Hafiz</t>
  </si>
  <si>
    <t>Qəribli Vasif Hafiz oğlu</t>
  </si>
  <si>
    <t>4U72XH4</t>
  </si>
  <si>
    <t>AZE 16693991</t>
  </si>
  <si>
    <t>+994555050729</t>
  </si>
  <si>
    <t>İmişli Şəh., Ş.Qurbanov Küç., Ev.1</t>
  </si>
  <si>
    <t>Bakı Şəh.,Yasamal R-Nu, 2-Ci Alatava Ev 6A</t>
  </si>
  <si>
    <t>Şirvan RİM</t>
  </si>
  <si>
    <t>ID-21</t>
  </si>
  <si>
    <t>Nijat Soltanov, Zulfigar</t>
  </si>
  <si>
    <t>Soltanov Nicat Zülfiqar oğlu</t>
  </si>
  <si>
    <t>Terminal business support division</t>
  </si>
  <si>
    <t>Terminal biznesinə dəstək şöbəsi</t>
  </si>
  <si>
    <t>Leading Warehouseman</t>
  </si>
  <si>
    <t>Aparıcı Anbardar</t>
  </si>
  <si>
    <t>Fərzəliyev Zaur Tofiq oğlu</t>
  </si>
  <si>
    <t>1G7BF52</t>
  </si>
  <si>
    <t>AZE 13601703</t>
  </si>
  <si>
    <t>+994555050854</t>
  </si>
  <si>
    <t>nicat.soltanov@pashapay.az</t>
  </si>
  <si>
    <t>Bakı Şəh., Balandin- 42</t>
  </si>
  <si>
    <t xml:space="preserve">Bakı Şəh.,Suraxanı R-Nu Qaraçuxur Qəs.,Zaur Şərifov Küç., Ev.6, M. 5 </t>
  </si>
  <si>
    <t>ID-23</t>
  </si>
  <si>
    <t>Nijat Alizade, Ashraf</t>
  </si>
  <si>
    <t>Technical Support Division Manager</t>
  </si>
  <si>
    <t>Texniki Dəstək üzrə Menecer</t>
  </si>
  <si>
    <t>Abbasov Toğrul Vaqif oğlu</t>
  </si>
  <si>
    <t>4TARMCF</t>
  </si>
  <si>
    <t>AZE 14910111</t>
  </si>
  <si>
    <t>+994555050885</t>
  </si>
  <si>
    <t>nicat.alizade@pashapay.az</t>
  </si>
  <si>
    <t>Füzuli Şəh., H.Hacıyev Küç.,Ev.17</t>
  </si>
  <si>
    <t>Bakı Şəh.,Sabunçu R-Nu Bakıxanov Qəs., Y.Əliyev Küç., Ev.1, M.41</t>
  </si>
  <si>
    <t>ID-24</t>
  </si>
  <si>
    <t>Emil Huseynov, Vagif</t>
  </si>
  <si>
    <t>26VBFGM</t>
  </si>
  <si>
    <t>AA3901744</t>
  </si>
  <si>
    <t>+994555050829</t>
  </si>
  <si>
    <t>Gəncə Şəh.,Gülüstan Qəs.,Ev 47V,Mənzil 10</t>
  </si>
  <si>
    <t>Gəncə Şəh., M.Hacıyev Küç.,Ev 17 , M. 79</t>
  </si>
  <si>
    <t>ID-27</t>
  </si>
  <si>
    <t>Farid Ramazanov, Tanriverdi</t>
  </si>
  <si>
    <t>Ramazanov Fərid Tanrıverdi oğlu</t>
  </si>
  <si>
    <t>2K8WVV2</t>
  </si>
  <si>
    <t>AA3681121</t>
  </si>
  <si>
    <t>+994555050725</t>
  </si>
  <si>
    <t>Gəncə Şəh.,Nizami Ray.,Nizami Küç.,12-Dal.,Ev.22</t>
  </si>
  <si>
    <t>ID-28</t>
  </si>
  <si>
    <t>Ilkin Aghazade, Ilgar</t>
  </si>
  <si>
    <t>Ağazadə İlkin İlqar oğlu</t>
  </si>
  <si>
    <t>5KH5LQE</t>
  </si>
  <si>
    <t>AZE 17486581</t>
  </si>
  <si>
    <t>+994555050837</t>
  </si>
  <si>
    <t>Bakı Şəh.,Binəqədi Qəs.,Mədən-2 Kor-94, Ev.7</t>
  </si>
  <si>
    <t>ID-29</t>
  </si>
  <si>
    <t>Sarkhan Mahmudov, Bakhtijamal</t>
  </si>
  <si>
    <t>Mahmudov Sərxan Bəxticamal oğlu</t>
  </si>
  <si>
    <t>Cash Team Leader</t>
  </si>
  <si>
    <t>Kassa üzrə Qrup Rəhbəri</t>
  </si>
  <si>
    <t>5QNKESL</t>
  </si>
  <si>
    <t>AZE 07794353</t>
  </si>
  <si>
    <t>+994555050713</t>
  </si>
  <si>
    <t>sarxan.mahmudov@pashapay.az</t>
  </si>
  <si>
    <t>Gəncə Şəh.,Ordubadi Küç.,Ev.52</t>
  </si>
  <si>
    <t>Tovuz RİM</t>
  </si>
  <si>
    <t>ID-31</t>
  </si>
  <si>
    <t>Samir Mammadov, Rafig</t>
  </si>
  <si>
    <t>Məmmədov Samir Rafiq oğlu</t>
  </si>
  <si>
    <t>Labourer</t>
  </si>
  <si>
    <t>Fəhlə</t>
  </si>
  <si>
    <t>5N6TJJ2</t>
  </si>
  <si>
    <t>AA 1564987</t>
  </si>
  <si>
    <t>+994775413114</t>
  </si>
  <si>
    <t xml:space="preserve">Bakı Şəh., Binəqədi Ray.,Xocəsən Qəs.F.Ağazadə Küç., Ev.9. </t>
  </si>
  <si>
    <t xml:space="preserve">Bakı Şəh., Xocəsən Qəs.F.Ağazadə Küç., Ev.9. </t>
  </si>
  <si>
    <t>ID-32</t>
  </si>
  <si>
    <t>Novruz Aliyev, Gardashkhan</t>
  </si>
  <si>
    <t>0XWH4TN</t>
  </si>
  <si>
    <t>AZE 07490998</t>
  </si>
  <si>
    <t>+994554305274</t>
  </si>
  <si>
    <t>Bakı Şəh., Y/Günəşli Qəs., V Y/S., Ev.6., M. 64</t>
  </si>
  <si>
    <t>ID-38</t>
  </si>
  <si>
    <t>Elvin Rzayev, Anvar</t>
  </si>
  <si>
    <t>Lənkaran RİM</t>
  </si>
  <si>
    <t>1SDS8RN</t>
  </si>
  <si>
    <t>AZE 13790923</t>
  </si>
  <si>
    <t>+994555050886</t>
  </si>
  <si>
    <t>Astara Ray., Maşxan Kəndi</t>
  </si>
  <si>
    <t>ID-39</t>
  </si>
  <si>
    <t>Amina Mammadli, Tahir</t>
  </si>
  <si>
    <t>Məmmədli Əminə Tahir qızı</t>
  </si>
  <si>
    <t>Leading Front Office Specialist</t>
  </si>
  <si>
    <t>Ön Masa üzrə Aparıcı Mütəxəssis</t>
  </si>
  <si>
    <t>5B32QXX</t>
  </si>
  <si>
    <t>AZE 16698689</t>
  </si>
  <si>
    <t>+994555050827</t>
  </si>
  <si>
    <t>amina.karimli@pashapay.az</t>
  </si>
  <si>
    <t>Lənkəran Şəh., S. Bayramov Küç., Ev.15</t>
  </si>
  <si>
    <t>ID-40</t>
  </si>
  <si>
    <t>Yegana Hajiyeva, Safar</t>
  </si>
  <si>
    <t>Hacıyeva Yeganə Səfər qızı</t>
  </si>
  <si>
    <t>Cleaning Lady</t>
  </si>
  <si>
    <t xml:space="preserve">KB-yə Kassa və inkassasiya prosesləri departamentinə keçirilir, rəsmiləşmədədirlər. </t>
  </si>
  <si>
    <t>2H535C8</t>
  </si>
  <si>
    <t>AZE 15009421</t>
  </si>
  <si>
    <t>+994514914125</t>
  </si>
  <si>
    <t>Lənkəran Ray., İstisu Qəs.</t>
  </si>
  <si>
    <t>ID-41</t>
  </si>
  <si>
    <t>Akif Salmanov, Israfil</t>
  </si>
  <si>
    <t>Salmanov Akif İsrafil oğlu</t>
  </si>
  <si>
    <t>2KD6A24</t>
  </si>
  <si>
    <t>AZE 09241005</t>
  </si>
  <si>
    <t>+994505475742</t>
  </si>
  <si>
    <t>Abşeron Ray., Masazır Kəndi, Yolaltı 1 Küç.</t>
  </si>
  <si>
    <t xml:space="preserve">Abşeron Ray., Əliağa Vahid Küç.14 </t>
  </si>
  <si>
    <t>Distant</t>
  </si>
  <si>
    <t>ID-43</t>
  </si>
  <si>
    <t>Iltimas Guliyeva, Mammadali</t>
  </si>
  <si>
    <t>Quliyeva İltimas Məmmədəli qızı</t>
  </si>
  <si>
    <t>3N5CSXL</t>
  </si>
  <si>
    <t>AZE 09191323</t>
  </si>
  <si>
    <t>+994558204812</t>
  </si>
  <si>
    <t>Gəncə Şəh., Qaçaq Nəbi Küç., Ev.18</t>
  </si>
  <si>
    <t>ID-44</t>
  </si>
  <si>
    <t>Jamaladdin Karimov, Tapdig</t>
  </si>
  <si>
    <t>Kərimov Cəmaləddin Tapdıq oğlu</t>
  </si>
  <si>
    <t>2D48PV0</t>
  </si>
  <si>
    <t>AA 0175241</t>
  </si>
  <si>
    <t>+994503490308</t>
  </si>
  <si>
    <t>Ağdam Şəh., Ağdamkənd Sahəsi</t>
  </si>
  <si>
    <t xml:space="preserve">Sumqayıt Şəh., 3 Mkr., Ev..11/8, M.1 </t>
  </si>
  <si>
    <t>ID-46</t>
  </si>
  <si>
    <t>Anar Huseynov, Telman</t>
  </si>
  <si>
    <t>Hüseynov Anar Telman oğlu</t>
  </si>
  <si>
    <t>Leading Specialist</t>
  </si>
  <si>
    <t>5A6CGR7</t>
  </si>
  <si>
    <t>AZE 15477512</t>
  </si>
  <si>
    <t>+994555050734</t>
  </si>
  <si>
    <t>anar.huseynov@pashapay.az</t>
  </si>
  <si>
    <t>Ağdam Şəh.,S.Vurğun Küç., Ev.9</t>
  </si>
  <si>
    <t>Bakı Şəh.,Binəqədi Ray., Dərnəgül Qəs.,K.Rəhimov 7 , 9 Saylı Bpl-Nin Yataqxanası</t>
  </si>
  <si>
    <t>ID-47</t>
  </si>
  <si>
    <t>Rena Umudova, Valeh</t>
  </si>
  <si>
    <t>Umudova Rəna Valeh qızı</t>
  </si>
  <si>
    <t>Accountant</t>
  </si>
  <si>
    <t>Mühasib</t>
  </si>
  <si>
    <t>Piriyev Abdulla Vaqif oğlu</t>
  </si>
  <si>
    <t>1KU2PJK</t>
  </si>
  <si>
    <t>AZE 17192707</t>
  </si>
  <si>
    <t>+994555050743</t>
  </si>
  <si>
    <t>rena.umudova@pashapay.az</t>
  </si>
  <si>
    <t>Ağdam Ray.,T.İsmayılov Küç.,Ev.,32</t>
  </si>
  <si>
    <t xml:space="preserve">Bakı Şəh.,Nəsimi R-Nu, Hüseynzadə Küç.,Ev.1 M.7 </t>
  </si>
  <si>
    <t>ID-49</t>
  </si>
  <si>
    <t>Igbal Aslanov, Aliheydar</t>
  </si>
  <si>
    <t>Aslanov İqbal Əliheydər oğlu</t>
  </si>
  <si>
    <t>Xaçmaz RİM</t>
  </si>
  <si>
    <t>25D4LW2</t>
  </si>
  <si>
    <t>AZE 08865483</t>
  </si>
  <si>
    <t>+994554168014</t>
  </si>
  <si>
    <t>Lənkəran Şəh., S.Bayramov Küç., Ev.2</t>
  </si>
  <si>
    <t>ID-50</t>
  </si>
  <si>
    <t>Aykhan Mammadov, Ali</t>
  </si>
  <si>
    <t>Məmmədov Ayxan Əli oğlu</t>
  </si>
  <si>
    <t>5R23NUV</t>
  </si>
  <si>
    <t>AA 0111581</t>
  </si>
  <si>
    <t>+994509929200</t>
  </si>
  <si>
    <t>Bakı Şəh.,6 Mkr., Üzeyir Hacıbəyov Küç., Ev 2/10, M.36</t>
  </si>
  <si>
    <t>Bakı Şəh.,6 Mkr., Ü.Hacıbəyov Küç., Ev 2/1 , M.36</t>
  </si>
  <si>
    <t>ID-52</t>
  </si>
  <si>
    <t>Ajdar Isgandarov, Elshan</t>
  </si>
  <si>
    <t>İsgəndərov Əjdər Elşən oğlu</t>
  </si>
  <si>
    <t>16ZBZDA</t>
  </si>
  <si>
    <t>AA 0969761</t>
  </si>
  <si>
    <t>+994554667470</t>
  </si>
  <si>
    <t>Bakı.,Mirzağa Əliyev</t>
  </si>
  <si>
    <t>Bakı Şəh., M.A.Əliyev , Ev.6 A</t>
  </si>
  <si>
    <t>ID-53</t>
  </si>
  <si>
    <t>Ilgar Rustamzade, Vilayat</t>
  </si>
  <si>
    <t>Transportation Manager</t>
  </si>
  <si>
    <t>Nəqliyyat üzrə Menecer</t>
  </si>
  <si>
    <t>22W7SDV</t>
  </si>
  <si>
    <t>AZE 05582474</t>
  </si>
  <si>
    <t>+994555050803</t>
  </si>
  <si>
    <t>ilgar.rustamzade@pashapay.az</t>
  </si>
  <si>
    <t>Bakı Şəh., Rəsulzadə Qəs., S.Bəhlulzadə Küç.,Dön-1, Ev.49/184</t>
  </si>
  <si>
    <t>ID-54</t>
  </si>
  <si>
    <t>Samir Hajiyev, Mehman</t>
  </si>
  <si>
    <t>Hacıyev Samir Mehman oğlu</t>
  </si>
  <si>
    <t>Encashment processes and cash centers monitoring division</t>
  </si>
  <si>
    <t>İnkassasiya prosesi və kassa mərkəzlərinin monitorinqi şöbəsi</t>
  </si>
  <si>
    <t>Ramaldanov Şıxbala Şair oğlu</t>
  </si>
  <si>
    <t>23HSLEQ</t>
  </si>
  <si>
    <t>AZE 14699821</t>
  </si>
  <si>
    <t>+994555050726</t>
  </si>
  <si>
    <t>samir.haciyev@pashapay.az</t>
  </si>
  <si>
    <t>Bakı Şəh.,Xətai Ray.,Q.Məmmədov Küç., Ev.4 Yat.</t>
  </si>
  <si>
    <t>Bakı Şəh.,Abşeron R-Nu.,Masazır Qəs., R.Dünyamalıyev Küç., Dal.4, Ev.7</t>
  </si>
  <si>
    <t>ID-56</t>
  </si>
  <si>
    <t>Azer Guliyev, Shaban</t>
  </si>
  <si>
    <t>Quliyev Azər Şaban oğlu</t>
  </si>
  <si>
    <t xml:space="preserve">Security department </t>
  </si>
  <si>
    <t xml:space="preserve">Təhlükəsizlik departamenti </t>
  </si>
  <si>
    <t>Security Team Leader</t>
  </si>
  <si>
    <t>Təhlükəsizlik üzrə Qrup Rəhbəri</t>
  </si>
  <si>
    <t>Məmmədov Kənan Eldar oğlu</t>
  </si>
  <si>
    <t>14NYKYW</t>
  </si>
  <si>
    <t>AZE 14574856</t>
  </si>
  <si>
    <t>+994555050735</t>
  </si>
  <si>
    <t>+994512771060</t>
  </si>
  <si>
    <t>azer.quliyev@pashapay.az</t>
  </si>
  <si>
    <t>Bakı Şəh.,Yasamal Ray., Şərifzadə Küç., Ev.10A, M.20</t>
  </si>
  <si>
    <t xml:space="preserve">Bakı Şəh.,Yasamal Ray., Şərifzadə Küç., Ev.1 A, M.2 </t>
  </si>
  <si>
    <t>ID-57</t>
  </si>
  <si>
    <t>Nurlan Sultanov, Nariman</t>
  </si>
  <si>
    <t>Sultanov Nurlan Nəriman oğlu</t>
  </si>
  <si>
    <t>4YVX18T</t>
  </si>
  <si>
    <t>AZE 16216923</t>
  </si>
  <si>
    <t>+994555050893</t>
  </si>
  <si>
    <t>Dəvəçi Şəh.,Nizami Küç., Ev.9</t>
  </si>
  <si>
    <t>ID-58</t>
  </si>
  <si>
    <t>Ilkin Ahmadzade, Azer</t>
  </si>
  <si>
    <t>Əhmədzadə İlkin Azər oğlu</t>
  </si>
  <si>
    <t>5HUWPET</t>
  </si>
  <si>
    <t>AZE 17345823</t>
  </si>
  <si>
    <t>+994706690042</t>
  </si>
  <si>
    <t>ilkin.ahmadzade@pashapay.az</t>
  </si>
  <si>
    <t>Lənkəran Şəh., Akademik Z.Əliyeva Küç., Ev.78/10, M.62</t>
  </si>
  <si>
    <t>Lənkəran Şəh., Akademik Z.Əliyeva Küç., Ev.78/1 , M.62</t>
  </si>
  <si>
    <t>Bilasuvar RİM</t>
  </si>
  <si>
    <t>ID-59</t>
  </si>
  <si>
    <t>Khalil Khanabadskiy, Elkhan</t>
  </si>
  <si>
    <t>Xanabadskiy Xəlil Elxan oğlu</t>
  </si>
  <si>
    <t>Settlements department</t>
  </si>
  <si>
    <t>Hesablaşmalar departamenti</t>
  </si>
  <si>
    <t>Payment system division</t>
  </si>
  <si>
    <t>Ödəniş Sistemləri</t>
  </si>
  <si>
    <t>Payment System Manager</t>
  </si>
  <si>
    <t>Ödəniş Sistemləri Şöbəsinin Meneceri</t>
  </si>
  <si>
    <t>Usubova Sevinc Cəfər qızı</t>
  </si>
  <si>
    <t>5F4RJN9</t>
  </si>
  <si>
    <t>AZE 17134907</t>
  </si>
  <si>
    <t>+994555050819</t>
  </si>
  <si>
    <t>khalil.khanabadski@pashapay.az</t>
  </si>
  <si>
    <t>Bakı Şəh.,Binəqədi Ray.,S.S.Axundov Küç.,Ev 4A,M.37</t>
  </si>
  <si>
    <t>ID-61</t>
  </si>
  <si>
    <t>Ismayil Aliyev, Hasan</t>
  </si>
  <si>
    <t>4L67635</t>
  </si>
  <si>
    <t>AZE 14073970</t>
  </si>
  <si>
    <t>+994558438858</t>
  </si>
  <si>
    <t>Gəncə Şəh., Nizami Ray., H.Əliyev Pr. Ev.147, M.89</t>
  </si>
  <si>
    <t>ID-62</t>
  </si>
  <si>
    <t>Famil Abasov, Mirmahammad</t>
  </si>
  <si>
    <t>Abasov Famil Mirməhəmməd oğlu</t>
  </si>
  <si>
    <t>0ZAADZN</t>
  </si>
  <si>
    <t>AZE 08045401</t>
  </si>
  <si>
    <t>+994555050891</t>
  </si>
  <si>
    <t>Bakı Şəh., Gen.Mehmandarov Küç., Ev 2, M.82</t>
  </si>
  <si>
    <t>Masallı Rayonu, Rüdəkənar Kəndi</t>
  </si>
  <si>
    <t>ID-64</t>
  </si>
  <si>
    <t>Zaur Bakhshiyev, Tofig</t>
  </si>
  <si>
    <t>Baxşıyev Zaur Tofiq oğlu</t>
  </si>
  <si>
    <t xml:space="preserve">Transportation Team Leader </t>
  </si>
  <si>
    <t>Nəqliyyat üzrə Qrup Rəhbəri</t>
  </si>
  <si>
    <t>3G7RMPY</t>
  </si>
  <si>
    <t>AA 7300093</t>
  </si>
  <si>
    <t>+994506129733</t>
  </si>
  <si>
    <t>zaur.baxshiyev@pashapay.az</t>
  </si>
  <si>
    <t>Bakı Şəh.,A.M. Şərifzadə Küç.,Ev 138,M 42</t>
  </si>
  <si>
    <t>Yasamal Ray.,Kamal Rəhimov Küç.,15  Mənzil 14</t>
  </si>
  <si>
    <t>ID-65</t>
  </si>
  <si>
    <t>Beytulla Mammadov, Vugar</t>
  </si>
  <si>
    <t>Məmmədov Beytulla Vüqar oğlu</t>
  </si>
  <si>
    <t>4WRLAQK</t>
  </si>
  <si>
    <t>AZE 15327798</t>
  </si>
  <si>
    <t>+994555050719</t>
  </si>
  <si>
    <t>Lənkəran Şəh.,M.Əsədov Küç.,Ev 2/14</t>
  </si>
  <si>
    <t>Lənkəran Şəh.,Şəhidlər Xiyabanı Ev 46/1 , M.11</t>
  </si>
  <si>
    <t>ID-66</t>
  </si>
  <si>
    <t>Arzu Hasanov, Humbat</t>
  </si>
  <si>
    <t>2GGJ5VV</t>
  </si>
  <si>
    <t>AA 0553408</t>
  </si>
  <si>
    <t>+994555171020</t>
  </si>
  <si>
    <t>Gəncə Şəh.,Gənclər Küç.,Ev 27</t>
  </si>
  <si>
    <t>Gəncə Şəh.,Kəpəz Ray.,Gənclər Küç.,Ev 27</t>
  </si>
  <si>
    <t>ID-67</t>
  </si>
  <si>
    <t>Farid Babayev, Sokrat</t>
  </si>
  <si>
    <t>Babayev Fərid Sokrat oğlu</t>
  </si>
  <si>
    <t>52Y06RK</t>
  </si>
  <si>
    <t>AZE 15292453</t>
  </si>
  <si>
    <t>+994555050878</t>
  </si>
  <si>
    <t>Bakı Ş.,N.Nərimanov Ray.,Y.Nəsirov Küç.,Məh.1921,M.42</t>
  </si>
  <si>
    <t>ID-68</t>
  </si>
  <si>
    <t>Gulnaz Javanshirli (Rajabova), Chingiz</t>
  </si>
  <si>
    <t>Cavanşirli (Rəcəbova) Gülnaz Çingiz qızı</t>
  </si>
  <si>
    <t>Customer Relations Team Lead</t>
  </si>
  <si>
    <t>Müştəri Xidmətləri üzrə Qrup Rəhbəri</t>
  </si>
  <si>
    <t>5VSSKJZ</t>
  </si>
  <si>
    <t>AA4348012</t>
  </si>
  <si>
    <t>+994555050831</t>
  </si>
  <si>
    <t>+994506658595</t>
  </si>
  <si>
    <t>gulnaz.javanshirli@pashapay.az</t>
  </si>
  <si>
    <t>Bakı Şəh.,1-Ci Alatava</t>
  </si>
  <si>
    <t>Bakı Şəh.,Yasamal Ray.,Akademik Qarayev 2</t>
  </si>
  <si>
    <t>Azure</t>
  </si>
  <si>
    <t>ID-69</t>
  </si>
  <si>
    <t>Fizuli Imanov, Maharram</t>
  </si>
  <si>
    <t>İmanov Fizuli Məhərrəm oğlu</t>
  </si>
  <si>
    <t>Driver</t>
  </si>
  <si>
    <t>1KCA5GK</t>
  </si>
  <si>
    <t>AZE 09766254</t>
  </si>
  <si>
    <t>+994555050867</t>
  </si>
  <si>
    <t>Bakı Şəh.,Şüvəlan Qəs.,Gülçülük Sovxozu,Ev 6,M.2</t>
  </si>
  <si>
    <t>ID-70</t>
  </si>
  <si>
    <t>Aghali Ahmadov, Siyasat</t>
  </si>
  <si>
    <t>Əhmədov Ağali Siyasət oğlu</t>
  </si>
  <si>
    <t xml:space="preserve">Team Lead </t>
  </si>
  <si>
    <t>4CJAKHD</t>
  </si>
  <si>
    <t>AZE 16534767</t>
  </si>
  <si>
    <t>+994555050813</t>
  </si>
  <si>
    <t>agali.akhmadov@pashapay.az</t>
  </si>
  <si>
    <t>Neftçala Şəh.,M.Ə.Rəsulzadə Küç.,Ev.16,M.14</t>
  </si>
  <si>
    <t>Bakı Şəh.,Nəsimi R-Nu, 2 Mkr.Cavadxan(Gəncə Xanı) Küç.6 ,Ev 54</t>
  </si>
  <si>
    <t>ID-73</t>
  </si>
  <si>
    <t>Adila Mammadova, Adalat</t>
  </si>
  <si>
    <t>Məmmədova Ədilə Ədalət qızı</t>
  </si>
  <si>
    <t>Customer complaints division</t>
  </si>
  <si>
    <t>Müştəri şikayətləri şöbəsi</t>
  </si>
  <si>
    <t>Senior Customer Complaints Specialist</t>
  </si>
  <si>
    <t>Müştəri Şikayətləri üzrə Baş Mütəxəssis</t>
  </si>
  <si>
    <t>Ağazadə Bəhmən Zeynal oğli</t>
  </si>
  <si>
    <t>5NJ9FVZ</t>
  </si>
  <si>
    <t>AZE 17828756</t>
  </si>
  <si>
    <t>+994555050847</t>
  </si>
  <si>
    <t>adelya.mammadova@pashapay.az</t>
  </si>
  <si>
    <t>Bakı Ş.,Niyazi Küç.,Ev.32</t>
  </si>
  <si>
    <t xml:space="preserve">S.Orucov Küç.Ev 2,M. 3 </t>
  </si>
  <si>
    <t>ID-75</t>
  </si>
  <si>
    <t>Turan Abdullayev, Galib</t>
  </si>
  <si>
    <t>1EJ80FT</t>
  </si>
  <si>
    <t>AA5043243</t>
  </si>
  <si>
    <t>+994555050845</t>
  </si>
  <si>
    <t>Gəncə Şəh.,Nizami Ray.,Gülüstan Qəs.,Ev.15,M.34</t>
  </si>
  <si>
    <t>ID-76</t>
  </si>
  <si>
    <t>Shams Jalilova (Ismayilova), Hakim</t>
  </si>
  <si>
    <t>Cəlilova Şəms (İsmayılova) Hakim</t>
  </si>
  <si>
    <t>Senior Settlements Specialist</t>
  </si>
  <si>
    <t>Hesablaşmalar üzrə Baş Mütəxəssis</t>
  </si>
  <si>
    <t>5NP2VJF</t>
  </si>
  <si>
    <t>AZE 17512020</t>
  </si>
  <si>
    <t>+994555050730</t>
  </si>
  <si>
    <t>+994506306116</t>
  </si>
  <si>
    <t>shams.ismayilova@pashapay.az</t>
  </si>
  <si>
    <t>Bakı Şəh.Nərimanov Ray.,Atatürk Pr.,Ev.2A,M.35</t>
  </si>
  <si>
    <t>Xətai Ray.,Gəncə Pr.,2 A</t>
  </si>
  <si>
    <t>ID-77</t>
  </si>
  <si>
    <t>Zaur Asgarov, Aydin</t>
  </si>
  <si>
    <t>Əsgərov Zaur Aydın oğlu</t>
  </si>
  <si>
    <t>2B6664D</t>
  </si>
  <si>
    <t>AZE 09207640</t>
  </si>
  <si>
    <t>+994707145323</t>
  </si>
  <si>
    <t>Gəncə Şəh.,H.Şəh-83,Ev.402,M.37</t>
  </si>
  <si>
    <t>Gəncə Şəh.,H.Şəh-83,Ev.4 2,M.37</t>
  </si>
  <si>
    <t>ID-79</t>
  </si>
  <si>
    <t>Tofig Allahverdiyev, Natig</t>
  </si>
  <si>
    <t>Allahverdiyev Tofiq Natiq oğlu</t>
  </si>
  <si>
    <t>5VM8DS4</t>
  </si>
  <si>
    <t>AZE 08539233</t>
  </si>
  <si>
    <t>+994555050883</t>
  </si>
  <si>
    <t>Gəncə Şəh.,Atatürk Pr.,Ev 245</t>
  </si>
  <si>
    <t>ID-82</t>
  </si>
  <si>
    <t>Nuran Mammadzade, Zafar</t>
  </si>
  <si>
    <t>Məmmədzadə Nuran Zəfər oğlu</t>
  </si>
  <si>
    <t>Terminal and ATM distibution division</t>
  </si>
  <si>
    <t>Terminal və ATM-lərin yerləşdirilməsi</t>
  </si>
  <si>
    <t>Terminal Installation Team Lead</t>
  </si>
  <si>
    <t>Terminalların Yerləşdirilməsi üzrə Qrup Rəhbəri</t>
  </si>
  <si>
    <t>Ramazanov Rəşad Cəfər oğlu</t>
  </si>
  <si>
    <t>1AS38YY</t>
  </si>
  <si>
    <t>AZE 08133837</t>
  </si>
  <si>
    <t>+994555050814</t>
  </si>
  <si>
    <t>nuran.mammadzade@pashapay.az</t>
  </si>
  <si>
    <t>Bakı Şəh.,Ə.Hüseynzadə Küç.,Ev8, M.39</t>
  </si>
  <si>
    <t>ID-84</t>
  </si>
  <si>
    <t>Rafig Aliyev, Ilgar</t>
  </si>
  <si>
    <t>Əliyev Rafiq İlqar oğlu</t>
  </si>
  <si>
    <t>Sales Representative Team Lead</t>
  </si>
  <si>
    <t>Satış Təmsilçiləri üzrə Qrup Rəhbəri</t>
  </si>
  <si>
    <t>4U4PSBZ</t>
  </si>
  <si>
    <t>AZE 15010965</t>
  </si>
  <si>
    <t>+994555050849</t>
  </si>
  <si>
    <t>+994707633363</t>
  </si>
  <si>
    <t>rafig.aliyev@pashapay.az</t>
  </si>
  <si>
    <t>Lənkəran Ray.,Küvənil Kəndi</t>
  </si>
  <si>
    <t>ID-85</t>
  </si>
  <si>
    <t>Murad Hasanov, Fayaz</t>
  </si>
  <si>
    <t>Həsənov Murad Fayaz oğlu</t>
  </si>
  <si>
    <t>4KBZEB1</t>
  </si>
  <si>
    <t>AZE 14313617</t>
  </si>
  <si>
    <t>+994555050894</t>
  </si>
  <si>
    <t>Lənkəran Ray.,Aşağı-Nüvədi Qəs.</t>
  </si>
  <si>
    <t>ID-86</t>
  </si>
  <si>
    <t>Samir Mammadov, Sabir</t>
  </si>
  <si>
    <t>Leading Technician Specialist</t>
  </si>
  <si>
    <t>Texniki İşlər üzrə Aparıcı Mütəxəssis</t>
  </si>
  <si>
    <t>1DCB2S7</t>
  </si>
  <si>
    <t>AZE16938273</t>
  </si>
  <si>
    <t>+994553192095</t>
  </si>
  <si>
    <t>samir.mammadov@pashapay.az</t>
  </si>
  <si>
    <t>Bakı Şəh.,Sabunçu Ray.,Bakıxanov Qəs.,Rəhmanov Küç,Ev7,M.2</t>
  </si>
  <si>
    <t>ID-88</t>
  </si>
  <si>
    <t>Umid Ibrahimov, Yunus</t>
  </si>
  <si>
    <t>İbrahimov Ümid Yunus oğlu</t>
  </si>
  <si>
    <t>53J5SYP</t>
  </si>
  <si>
    <t>AZE 15287293</t>
  </si>
  <si>
    <t>+994555050825</t>
  </si>
  <si>
    <t>Azərbaycan,Balakən Ray.Hənifə Kəndi</t>
  </si>
  <si>
    <t>Şəki RİM</t>
  </si>
  <si>
    <t>ID-89</t>
  </si>
  <si>
    <t>Rahim Aliyev, Bakhtiyar</t>
  </si>
  <si>
    <t>Əliyev Rəhim Bəxtiyar oğlu</t>
  </si>
  <si>
    <t>2HZWLYA</t>
  </si>
  <si>
    <t>AZE 13582754</t>
  </si>
  <si>
    <t>+994555050862</t>
  </si>
  <si>
    <t>Bakı Şəh.Bakıxanov Qəs.,Sülh Küç.,Yat.,Ev7</t>
  </si>
  <si>
    <t>Bakı Şəh.,Zabrat Qəs.,R.Göyüşov Küç.,Ev2 ,M.77</t>
  </si>
  <si>
    <t>ID-92</t>
  </si>
  <si>
    <t>Nargiz Mustafayeva, Adil</t>
  </si>
  <si>
    <t>Mustafayeva Nərgiz Adil qızı</t>
  </si>
  <si>
    <t>3 months</t>
  </si>
  <si>
    <t>4JFG7T6</t>
  </si>
  <si>
    <t>AZE 14846243</t>
  </si>
  <si>
    <t>+994517775907</t>
  </si>
  <si>
    <t>nargiz.mustafayeva@pashapay.az</t>
  </si>
  <si>
    <t>Bakı Şəh., Nizami Ray., Ə.Vəliyev Küç., Ev. 7 A, M.23</t>
  </si>
  <si>
    <t>Elmlər-KB Filialı</t>
  </si>
  <si>
    <t>ID-95</t>
  </si>
  <si>
    <t>Vahid Orujzade, Daryagulu</t>
  </si>
  <si>
    <t>1CFBT16</t>
  </si>
  <si>
    <t>AZE 16115362</t>
  </si>
  <si>
    <t>+994503815450</t>
  </si>
  <si>
    <t>Lənkəran Ray., Velədi Kəndi</t>
  </si>
  <si>
    <t>ID-96</t>
  </si>
  <si>
    <t>Ulvi Mehnat, Mukhtar</t>
  </si>
  <si>
    <t>Mehnət Ülvi Muxtar oğlu</t>
  </si>
  <si>
    <t>28VLDXU</t>
  </si>
  <si>
    <t>AZE 13553710</t>
  </si>
  <si>
    <t>+994555050853</t>
  </si>
  <si>
    <t>Neftçala Şəh.M.Ə.Rəsulzadə Küçəsi</t>
  </si>
  <si>
    <t>ID-97</t>
  </si>
  <si>
    <t>Ramin Gurbanov, Akbar</t>
  </si>
  <si>
    <t>6 months</t>
  </si>
  <si>
    <t>31LKY4F</t>
  </si>
  <si>
    <t>AZE 15005673</t>
  </si>
  <si>
    <t>+994555050744</t>
  </si>
  <si>
    <t>Gədəbəy Ray.,İsalı K</t>
  </si>
  <si>
    <t>Suraxanı Ray.,Yefim Saratov Küç, Ev 62</t>
  </si>
  <si>
    <t>ID-99</t>
  </si>
  <si>
    <t>Rauf Asgarov, Vagif</t>
  </si>
  <si>
    <t>Əsgərov Rauf Vaqif oğlu</t>
  </si>
  <si>
    <t>1PCNGPC</t>
  </si>
  <si>
    <t>AZE 09852523</t>
  </si>
  <si>
    <t>+994555050889</t>
  </si>
  <si>
    <t>Bakı Şəh.,4 Mr.M.Cəlal Küç.,Ev.35,M.22</t>
  </si>
  <si>
    <t>ID-100</t>
  </si>
  <si>
    <t>Fuad Jamalzade, Sabir</t>
  </si>
  <si>
    <t>Camalzadə Fuad Sabir oğlu</t>
  </si>
  <si>
    <t>Sales support division</t>
  </si>
  <si>
    <t>Satışa dəstək</t>
  </si>
  <si>
    <t>Terminal Monitoring Team Lead</t>
  </si>
  <si>
    <t>Terminalların Monitorinqi üzrə Qrup Rəhbəri</t>
  </si>
  <si>
    <t>5NXQD05</t>
  </si>
  <si>
    <t>AA 0600587</t>
  </si>
  <si>
    <t>+994555050740</t>
  </si>
  <si>
    <t>fuad.camalzade@pashapay.az</t>
  </si>
  <si>
    <t xml:space="preserve">Bakı, , Cabbar Qaryağdıoğlu, Ev 46, M. </t>
  </si>
  <si>
    <t>Bakı Şəh.,Yasamal Ray.,C.Qaryağdıoğlu Küç.,Ev.46</t>
  </si>
  <si>
    <t>ID-104</t>
  </si>
  <si>
    <t>Mehman Jafarov, Azer</t>
  </si>
  <si>
    <t>Cəfərov Mehman Azər oğlu</t>
  </si>
  <si>
    <t>Senior Accountant</t>
  </si>
  <si>
    <t>Böyük Mühasib</t>
  </si>
  <si>
    <t>1 year</t>
  </si>
  <si>
    <t>5VLV3RJ</t>
  </si>
  <si>
    <t>AZE 09952836</t>
  </si>
  <si>
    <t>+994555050747</t>
  </si>
  <si>
    <t>+994505921639</t>
  </si>
  <si>
    <t>mehman.jafarov@pashapay.az</t>
  </si>
  <si>
    <t>Bakı Şəh.,S.Mehdiyev Küç,Ev.3,M.43</t>
  </si>
  <si>
    <t>ID-105</t>
  </si>
  <si>
    <t>Fidan Eyvazzade (Khaligova), Jeyhun</t>
  </si>
  <si>
    <t>Eyvazzade (Xalıqova) Fidan Ceyhun qızı</t>
  </si>
  <si>
    <t>Fraud prevention division</t>
  </si>
  <si>
    <t>Frauda qarşı mübarizə şöbəsi</t>
  </si>
  <si>
    <t>Senior Fraud Specialist</t>
  </si>
  <si>
    <t>Fraud Monitorinq üzrə Baş Mütəxəssis</t>
  </si>
  <si>
    <t>Tinatin Asadova</t>
  </si>
  <si>
    <t>145KR1Q</t>
  </si>
  <si>
    <t>AZE 09723767</t>
  </si>
  <si>
    <t>+994559387500</t>
  </si>
  <si>
    <t>fidan.khaligova@pashapay.az</t>
  </si>
  <si>
    <t>Bakı Şəh.,Əmircan Qəs.,Z.Tağıyev Küç,Ev.2,M.8</t>
  </si>
  <si>
    <t>ID-108</t>
  </si>
  <si>
    <t>Murad Ahmadzade, Talibzade</t>
  </si>
  <si>
    <t>Əhmədzadə Murad Talıbzadə oğlu</t>
  </si>
  <si>
    <t>IT Division</t>
  </si>
  <si>
    <t>İT şöbəsi</t>
  </si>
  <si>
    <t xml:space="preserve">Customer Help Desk Manager </t>
  </si>
  <si>
    <t>Müştərilərə Texniki Dəstək üzrə Menecer</t>
  </si>
  <si>
    <t>Almaz Cavadova</t>
  </si>
  <si>
    <t>5UB9ANF</t>
  </si>
  <si>
    <t>AA 002930</t>
  </si>
  <si>
    <t>Part time</t>
  </si>
  <si>
    <t>+994555050838</t>
  </si>
  <si>
    <t>Murad.akhmadzada@pashapay.az</t>
  </si>
  <si>
    <t>Bakı Şəh.,Məzahir Rüstəmov Mənzil 159</t>
  </si>
  <si>
    <t>Bakı Şəh.,Gəncə Prospekti,Ev.1 3,M.159</t>
  </si>
  <si>
    <t>ID-112</t>
  </si>
  <si>
    <t>Nurlana Abbasova, Ramiz</t>
  </si>
  <si>
    <t>1M8URNM</t>
  </si>
  <si>
    <t>AZE 17680067</t>
  </si>
  <si>
    <t>+994555050820</t>
  </si>
  <si>
    <t>+994553379119</t>
  </si>
  <si>
    <t>nurlana.abbasova@pashapay.az</t>
  </si>
  <si>
    <t>Gəncə Şəh.,Kəpəz Ray.,D.Qorqud Küç.,Ev.24A,M.11</t>
  </si>
  <si>
    <t>Bakı-Nərimanov Kapital</t>
  </si>
  <si>
    <t>ID-113</t>
  </si>
  <si>
    <t>Hajiagha Aghamammadov, Bahruz</t>
  </si>
  <si>
    <t>Ağaməmmədov Hacıağa Bəhruz oğlu</t>
  </si>
  <si>
    <t>12KRH5G</t>
  </si>
  <si>
    <t>AA 2301147</t>
  </si>
  <si>
    <t>+994555050964</t>
  </si>
  <si>
    <t>Bakı Şəh.,Y/Suraxanı Qəs.,Kirov Küç.Ev.14</t>
  </si>
  <si>
    <t>Bakı Şəh.,Y/Suraxanı Qəs.,A.Şəfiyev Küç.Ev.14</t>
  </si>
  <si>
    <t>ID-115</t>
  </si>
  <si>
    <t>Sona Ahmadzade, Firidun</t>
  </si>
  <si>
    <t>Əhmədzadə Sona Firidun qızı</t>
  </si>
  <si>
    <t>Leading Customer Complaints Specialist</t>
  </si>
  <si>
    <t>Müştəri Şikayətləri üzrə Aparıcı Mütəxəssis</t>
  </si>
  <si>
    <t>5YZAMQP</t>
  </si>
  <si>
    <t>AA 1886871</t>
  </si>
  <si>
    <t>+994505032772</t>
  </si>
  <si>
    <t>sona.ahmadzada@pashapay.az</t>
  </si>
  <si>
    <t>Abşeron Ray.,Xırdalan Şəh.,H Əliyev Pr,Məh.30,Ev.10,M.52</t>
  </si>
  <si>
    <t>Nizami Ray.,Özbəkistan Küç.1,M.78</t>
  </si>
  <si>
    <t>ID-116</t>
  </si>
  <si>
    <t>Orkhan Karimov, Akif</t>
  </si>
  <si>
    <t>Kərimov Orxan Akif oğlu</t>
  </si>
  <si>
    <t xml:space="preserve">Leading Technician Spacialist </t>
  </si>
  <si>
    <t>6B3LNEG</t>
  </si>
  <si>
    <t>AA 0450281</t>
  </si>
  <si>
    <t>+994554911099</t>
  </si>
  <si>
    <t>orkhan.karimov@pashapay.az</t>
  </si>
  <si>
    <t>Bakı Şəh.,Azadlıq Ev 103, Mənzil  58</t>
  </si>
  <si>
    <t>Nəsimi Ray..Dilarə Əliyeva Küç.,Ev.253,M.111</t>
  </si>
  <si>
    <t>ID-124</t>
  </si>
  <si>
    <t>Vidadi Alakbarov, Ilham</t>
  </si>
  <si>
    <t>indefinitely</t>
  </si>
  <si>
    <t>5XBMXRD</t>
  </si>
  <si>
    <t>AA 1581128</t>
  </si>
  <si>
    <t>+994555486198</t>
  </si>
  <si>
    <t>Gəncə Şəh.,Bursa Ev.89</t>
  </si>
  <si>
    <t>Gəncə Şəh.,Kəpəz Ray.,N.Nərimanov Küç.,Ev 1/52,M.4</t>
  </si>
  <si>
    <t>ID-125</t>
  </si>
  <si>
    <t>Elshan Jumshudov, Shahin</t>
  </si>
  <si>
    <t>5PUL4TA</t>
  </si>
  <si>
    <t>AZE 18558400</t>
  </si>
  <si>
    <t>+994705156190</t>
  </si>
  <si>
    <t>Göygöl Ray.,Üçtəpə K.</t>
  </si>
  <si>
    <t>ID-123</t>
  </si>
  <si>
    <t>Bahram Shukurov, Hidayat</t>
  </si>
  <si>
    <t>5YGM2J2</t>
  </si>
  <si>
    <t>AZE 16930674</t>
  </si>
  <si>
    <t>+994514545669</t>
  </si>
  <si>
    <t>Masallı Ray.,Mololon K</t>
  </si>
  <si>
    <t>Masalli Ray.,Mololon K</t>
  </si>
  <si>
    <t>ID-128</t>
  </si>
  <si>
    <t>Ibrahim Nasrullayev, Amil</t>
  </si>
  <si>
    <t>5J0Q30U</t>
  </si>
  <si>
    <t>AA 0271504</t>
  </si>
  <si>
    <t>+994552955566</t>
  </si>
  <si>
    <t>Göygöl Şəh.,M.11</t>
  </si>
  <si>
    <t>Göygöl Şəh.,13 Saylı Hərbi Şəhərcik,Ev.216,M.11</t>
  </si>
  <si>
    <t>ID-131</t>
  </si>
  <si>
    <t>Rza Mammadov, Shahmirza</t>
  </si>
  <si>
    <t>4X0C934</t>
  </si>
  <si>
    <t>AZE 15341483</t>
  </si>
  <si>
    <t>+994504906850</t>
  </si>
  <si>
    <t>Lənkəran Ray.,Parakənd Kəndi</t>
  </si>
  <si>
    <t>ID-132</t>
  </si>
  <si>
    <t>Azer Aliyev, Fizuli</t>
  </si>
  <si>
    <t>4V8FTJ7</t>
  </si>
  <si>
    <t>AZE 15926639</t>
  </si>
  <si>
    <t>+994554622220</t>
  </si>
  <si>
    <t>Gəncə Şəh.,Kəpəz Ray.,M.Hüseynzadə Küç.,Ev.102</t>
  </si>
  <si>
    <t xml:space="preserve">Gəncə Şəh.,Məhsəti Qəs.11 </t>
  </si>
  <si>
    <t>ID-129</t>
  </si>
  <si>
    <t>Sadig Imanov, Mohubbat</t>
  </si>
  <si>
    <t>46276RV</t>
  </si>
  <si>
    <t>AZE 13657270</t>
  </si>
  <si>
    <t>+994555254584</t>
  </si>
  <si>
    <t>Lənkəran Ray.,Xolmili Kəndi</t>
  </si>
  <si>
    <t>ID-119</t>
  </si>
  <si>
    <t>Furad Abasov, Intigam</t>
  </si>
  <si>
    <t>Abasov Furad İntiqam oğlu</t>
  </si>
  <si>
    <t>622LM19</t>
  </si>
  <si>
    <t>AZE 09955098</t>
  </si>
  <si>
    <t>+994555050781</t>
  </si>
  <si>
    <t>Bakı Şəh.,Ə.Ələkbərov Küç.,Ev.4</t>
  </si>
  <si>
    <t>ID-126</t>
  </si>
  <si>
    <t>Aliniyaz Mammadzade, Mehman</t>
  </si>
  <si>
    <t>Məmmədzadə Əliniyaz Mehman oğlu</t>
  </si>
  <si>
    <t>5MUZYWH</t>
  </si>
  <si>
    <t>AA 0634839</t>
  </si>
  <si>
    <t>+994557911117</t>
  </si>
  <si>
    <t>Bakı Şəh.,Bakıxanov Qəs.,S.Mehmandarov Küç.,Ev.26,M.48</t>
  </si>
  <si>
    <t>Bakı Şəh.,Sabunçu Ray.,Bakıxanov Qəs.,S.Mehmandarov Küç.,Ev.26,M.48</t>
  </si>
  <si>
    <t>ID-127</t>
  </si>
  <si>
    <t>Ilgar Pashazade, Famil</t>
  </si>
  <si>
    <t>Paşazadə İlqar Famil oğlu</t>
  </si>
  <si>
    <t>5J5G8K6</t>
  </si>
  <si>
    <t>AZE 18582208</t>
  </si>
  <si>
    <t>+994555050848</t>
  </si>
  <si>
    <t>Şuşa Şəh.,Dədə Qorxud Küç.,Ev.40</t>
  </si>
  <si>
    <t xml:space="preserve">Bakı Şəh., Yasamal Ray.M.Müşfiq Küç.,Məh.5   Bina 4,M.1 </t>
  </si>
  <si>
    <t>ID-122</t>
  </si>
  <si>
    <t>Elnur Aliyev, Movlan</t>
  </si>
  <si>
    <t>507N5GM</t>
  </si>
  <si>
    <t>AA4690217</t>
  </si>
  <si>
    <t>+994555777580</t>
  </si>
  <si>
    <t>Abşeron Ray.,Masazır Qəs.</t>
  </si>
  <si>
    <t>ID-134</t>
  </si>
  <si>
    <t>Sadi Allahverdiyev, Zahid</t>
  </si>
  <si>
    <t>23YCQA1</t>
  </si>
  <si>
    <t>AZE 18374371</t>
  </si>
  <si>
    <t>+994555083493</t>
  </si>
  <si>
    <t>Ağdam Şəh.,20 Yanvar Küç.,Ev.98,M.9</t>
  </si>
  <si>
    <t>Bakı Şəh., 1 Nömrəli İqdisadiyyat Universitetinin Yataqxanası</t>
  </si>
  <si>
    <t>ID-121</t>
  </si>
  <si>
    <t>Tural Shirinov, Shami</t>
  </si>
  <si>
    <t>6BYGKPE</t>
  </si>
  <si>
    <t>AZE 00157711</t>
  </si>
  <si>
    <t>+994555050902</t>
  </si>
  <si>
    <t>Ağsu Ray.,Kalva Kəndi.</t>
  </si>
  <si>
    <t>Abşeron Ray.,Müşviqabad Qəs.</t>
  </si>
  <si>
    <t>ID-118</t>
  </si>
  <si>
    <t>Rafik Azizov, Namig</t>
  </si>
  <si>
    <t>6418T5W</t>
  </si>
  <si>
    <t>AZE 14154469</t>
  </si>
  <si>
    <t>+994555050812</t>
  </si>
  <si>
    <t>Bakı Şəh.,Bakıxanov Qəs.,Sülh Küç.8,İnz.Bina</t>
  </si>
  <si>
    <t>Bakı Şəh.,Sabunçu Ray., Zabrat 1,Çapayev Küç. 8</t>
  </si>
  <si>
    <t>ID-120</t>
  </si>
  <si>
    <t>Kamran Jamalov, Kamil</t>
  </si>
  <si>
    <t>60A34DT</t>
  </si>
  <si>
    <t>AA 2772539</t>
  </si>
  <si>
    <t>+994503157125</t>
  </si>
  <si>
    <t>Bakı Şəh.,Nərimanov Ray.,X.R.Ulutürk Küç.,Ev.85A</t>
  </si>
  <si>
    <t>Bakı Şəh.,Nərimanov Ray.,X.R.Ulutürk Küç.,Ev.165A</t>
  </si>
  <si>
    <t>ID-130</t>
  </si>
  <si>
    <t>Murad Mammadov, Sari</t>
  </si>
  <si>
    <t>4ZFKERT</t>
  </si>
  <si>
    <t>AZE 15470481</t>
  </si>
  <si>
    <t>+994555050903</t>
  </si>
  <si>
    <t>Bakı Şəh.,Yasamal Ray.,2-Ci Alatava,Ev.80J</t>
  </si>
  <si>
    <t>Bakı Şəh.,Yasamal Ray.,2-Ci Alatava,Ev.8 J</t>
  </si>
  <si>
    <t>ID-136</t>
  </si>
  <si>
    <t>Mehman Hasanov, Mahir</t>
  </si>
  <si>
    <t>Həsənov Mehman Mahir oğlu</t>
  </si>
  <si>
    <t>2ETM9U7</t>
  </si>
  <si>
    <t>AZE 14340694</t>
  </si>
  <si>
    <t>+994555050901</t>
  </si>
  <si>
    <t>Bakı Şəh., Nəsimi Ray.,4 Mkr M.Cəlal Küç.,Ev 38,M.37.</t>
  </si>
  <si>
    <t>ID-139</t>
  </si>
  <si>
    <t>Jeyhun Musazade, Famil</t>
  </si>
  <si>
    <t>İsmayılli RİM</t>
  </si>
  <si>
    <t>5LGHDHX</t>
  </si>
  <si>
    <t>AZE 16951091</t>
  </si>
  <si>
    <t>+994777247700</t>
  </si>
  <si>
    <t>Qəbələ Şəh.,C.Yusibov Küç.,Ev.24</t>
  </si>
  <si>
    <t>ID-138</t>
  </si>
  <si>
    <t>Yagut Abdulazizova, Shahbuz</t>
  </si>
  <si>
    <t>Abduləzizova Yaqut Şahbuz qızı</t>
  </si>
  <si>
    <t>5SRPH14</t>
  </si>
  <si>
    <t>AZE 16810489</t>
  </si>
  <si>
    <t>+994517910098</t>
  </si>
  <si>
    <t>Qəbələ Ray.,Qəbələ-2,A.Vasilyev Küç,Ev.41,M.3</t>
  </si>
  <si>
    <t>ID-144</t>
  </si>
  <si>
    <t>Zaur Alakbarov, Jahangir</t>
  </si>
  <si>
    <t>Ələkbərov Zaur Cahangir oğlu</t>
  </si>
  <si>
    <t>Senior Sales Representative</t>
  </si>
  <si>
    <t>Baş Satış Təmsilçisi</t>
  </si>
  <si>
    <t>2X0XJ58</t>
  </si>
  <si>
    <t>AZE 14700027</t>
  </si>
  <si>
    <t>+994555050721</t>
  </si>
  <si>
    <t>zaur.alakbarov@pashapay.az</t>
  </si>
  <si>
    <t>Gəncə Şəh.,Kəpəz Ray.,Lermontov Küç.,1-Dal,Ev.4</t>
  </si>
  <si>
    <t>ID-145</t>
  </si>
  <si>
    <t>Sakina Ibrahimova, Bayram</t>
  </si>
  <si>
    <t>İbrahimova Səkinə Bayram qızı</t>
  </si>
  <si>
    <t>Security Specialist</t>
  </si>
  <si>
    <t>Təhlükəsizlik üzrə Mütəxəssis</t>
  </si>
  <si>
    <t>29GFCMC</t>
  </si>
  <si>
    <t>AZE 17448910</t>
  </si>
  <si>
    <t>+994557434361</t>
  </si>
  <si>
    <t>Bakı Şəh.,Binəqədi Ray.,Sulu-Təpə Qəs,R.Allahverdyev Küç.,Ev.21</t>
  </si>
  <si>
    <t>ID-146</t>
  </si>
  <si>
    <t>Majid Huseynli, Arastun</t>
  </si>
  <si>
    <t>Hüseynli Məcid Ərəstun oğlu</t>
  </si>
  <si>
    <t>5N1AHSZ</t>
  </si>
  <si>
    <t>AZE 18132058</t>
  </si>
  <si>
    <t>+994555050702</t>
  </si>
  <si>
    <t>Göygol Şəh.,A.Hacıyev Küç.,Ev.43</t>
  </si>
  <si>
    <t>Gəncə Şəh.,Qızıl Aslan Küç.,Ev.9</t>
  </si>
  <si>
    <t>ID-150</t>
  </si>
  <si>
    <t>Elmar Babazade, Eldar</t>
  </si>
  <si>
    <t>Babazadə Elmar Eldar oğlu</t>
  </si>
  <si>
    <t>0W4Z8BF</t>
  </si>
  <si>
    <t>AA 0265637</t>
  </si>
  <si>
    <t>+994555050870</t>
  </si>
  <si>
    <t>Lənkəran Şəh.,Şəhidlər Xiyabanı,M.15</t>
  </si>
  <si>
    <t>Lənkəran Şəh.,Şəhidlər Xiyabanı,Ev.46/1 ,M.15</t>
  </si>
  <si>
    <t>ID-152</t>
  </si>
  <si>
    <t>Gani Taghiyev, Saadat</t>
  </si>
  <si>
    <t>Tağıyev Qəni Səadət oğlu</t>
  </si>
  <si>
    <t>Security department</t>
  </si>
  <si>
    <t>Senior Security Specialist</t>
  </si>
  <si>
    <t>1BKHM5V</t>
  </si>
  <si>
    <t>AZE 06429308</t>
  </si>
  <si>
    <t>+994555050797</t>
  </si>
  <si>
    <t>+994512771070</t>
  </si>
  <si>
    <t>qani.tagiyev@pashapay.az</t>
  </si>
  <si>
    <t>Lənkəran Ray.,Serapadi Kəndi</t>
  </si>
  <si>
    <t>ID-154</t>
  </si>
  <si>
    <t>Rasim Rustamov, Javid</t>
  </si>
  <si>
    <t>10RZBV2</t>
  </si>
  <si>
    <t>AZE 08781764</t>
  </si>
  <si>
    <t>+994774221535</t>
  </si>
  <si>
    <t>Bakı Şəh.,Şərifzadə Küç.,Ev.110, M.32</t>
  </si>
  <si>
    <t>Bakı Şəh.,Şərifzadə Küç.,Ev.11 , M.32</t>
  </si>
  <si>
    <t>ID-157</t>
  </si>
  <si>
    <t>Toghrul Aghazade, Javanshir</t>
  </si>
  <si>
    <t>Ağazadə Toğrul Cavanşir oğlu</t>
  </si>
  <si>
    <t>5RAFBXS</t>
  </si>
  <si>
    <t>AA 0359950</t>
  </si>
  <si>
    <t>+994708111214</t>
  </si>
  <si>
    <t xml:space="preserve">Bakı, , Ağa Neymətulla, Ev 69, M. </t>
  </si>
  <si>
    <t>ID-160</t>
  </si>
  <si>
    <t>Fakhraddin Ahmadov, Firidun</t>
  </si>
  <si>
    <t>Əhmədov Fəxrəddin Firidun oğlu</t>
  </si>
  <si>
    <t>Gabala Branch Manager</t>
  </si>
  <si>
    <t>Qəbələ RXM-nin Meneceri</t>
  </si>
  <si>
    <t>3D49CL9</t>
  </si>
  <si>
    <t>AA  0233538</t>
  </si>
  <si>
    <t>+994555050801</t>
  </si>
  <si>
    <t>ahmadov.faxraddin@pashapay.az</t>
  </si>
  <si>
    <t xml:space="preserve">Qəbələ, Zarağan, , Ev , M. </t>
  </si>
  <si>
    <t>Qəbələ Şəh.,H.Əliyev Pr.175</t>
  </si>
  <si>
    <t>ID-164</t>
  </si>
  <si>
    <t>Gulu Taghizade, Vusat</t>
  </si>
  <si>
    <t>Tağızadə Qulu Vüsət oğlu</t>
  </si>
  <si>
    <t>Security</t>
  </si>
  <si>
    <t>Mühafizəçi</t>
  </si>
  <si>
    <t>2PU9WKA</t>
  </si>
  <si>
    <t>AA 0305276</t>
  </si>
  <si>
    <t>+994502990585</t>
  </si>
  <si>
    <t>Bakı Şəh., İnqilab İsmayılov, Ev 58, M. 34</t>
  </si>
  <si>
    <t>ID-165</t>
  </si>
  <si>
    <t>Mirvahab Abdullayev, Jamaladdin</t>
  </si>
  <si>
    <t>6CGAACE</t>
  </si>
  <si>
    <t>AA 2905464</t>
  </si>
  <si>
    <t>+994559220009</t>
  </si>
  <si>
    <t>Hacıqabul Ray., Meyniman K.</t>
  </si>
  <si>
    <t>Abşeron Ray.,Xirdalan Şəh.,Mirzə Ə.S. Küç. Ev 24</t>
  </si>
  <si>
    <t>ID-166</t>
  </si>
  <si>
    <t>Ulfat Mammadzade, Fakhraddin</t>
  </si>
  <si>
    <t>6BJMQ1G</t>
  </si>
  <si>
    <t>AZE 13516504</t>
  </si>
  <si>
    <t>+994556246575</t>
  </si>
  <si>
    <t>Gəncə Şəh.,Yeni Gəncə Qəs.Ev. 38B,M.1</t>
  </si>
  <si>
    <t>ID-167</t>
  </si>
  <si>
    <t>Rashad Gurbanov, Rafail</t>
  </si>
  <si>
    <t>Qurbanov Rəşad Rəfail oğlu</t>
  </si>
  <si>
    <t>1AKRRP2</t>
  </si>
  <si>
    <t>AZE 16321405</t>
  </si>
  <si>
    <t>+994552036792</t>
  </si>
  <si>
    <t>Bakı Şəh.,Nərimanov Ray.,F.X.Xoyski Pr.,140A,M.82A</t>
  </si>
  <si>
    <t>Bakı Şəh.,Nərimanov Ray.,F.X.Xoyski Pr.,14 A,M.82A</t>
  </si>
  <si>
    <t>ID-169</t>
  </si>
  <si>
    <t>Veysal Rahimov, Karam</t>
  </si>
  <si>
    <t>5W52Q1W</t>
  </si>
  <si>
    <t>AA 1125679</t>
  </si>
  <si>
    <t>+994555050804</t>
  </si>
  <si>
    <t>Kəlbəcər Ray.</t>
  </si>
  <si>
    <t>Qəbələ Şəh.,Zarağan Qəs.2</t>
  </si>
  <si>
    <t>ID-168</t>
  </si>
  <si>
    <t>Vusal Jabiyev, Eynulla</t>
  </si>
  <si>
    <t>59GXR9E</t>
  </si>
  <si>
    <t>AZE 13839885</t>
  </si>
  <si>
    <t>+994509876636</t>
  </si>
  <si>
    <t>Qəbələ Şəh.,20Yanvar Küç,Ev.39</t>
  </si>
  <si>
    <t>Qəbələ Şəh.,2 Yanvar Küç,Ev.39</t>
  </si>
  <si>
    <t>ID-170</t>
  </si>
  <si>
    <t>Fuad Aghayev, Alimukhtar</t>
  </si>
  <si>
    <t>1E0NG7R</t>
  </si>
  <si>
    <t>AZE 09651447</t>
  </si>
  <si>
    <t>+994557194404</t>
  </si>
  <si>
    <t>Bakı Şəh.,4 Mr.M.Cəlal Küç.,Ev.58,M.51</t>
  </si>
  <si>
    <t>ID-171</t>
  </si>
  <si>
    <t>Magsud Aghababayev, Rashid</t>
  </si>
  <si>
    <t>6FZ5FGY</t>
  </si>
  <si>
    <t>AA 0464904</t>
  </si>
  <si>
    <t>+994514078980</t>
  </si>
  <si>
    <t>Qəbələ, Böyük Pirəli K.</t>
  </si>
  <si>
    <t>ID-173</t>
  </si>
  <si>
    <t>Anvar Sultanov, Ehtibar</t>
  </si>
  <si>
    <t>Sultanov Ənvər Ehtibar oğlu</t>
  </si>
  <si>
    <t>5NYH0A8</t>
  </si>
  <si>
    <t>AA  0241499</t>
  </si>
  <si>
    <t>+994555050731</t>
  </si>
  <si>
    <t>Bakı Şəh., 20 Yanvar Küç, Ev 21B, M. 22</t>
  </si>
  <si>
    <t>Bakı Şəh., 2  Yanvar Küç, Ev 21B, M. 22</t>
  </si>
  <si>
    <t>ID-177</t>
  </si>
  <si>
    <t>Emin Mammadli, Daghistan</t>
  </si>
  <si>
    <t>5U13TK0</t>
  </si>
  <si>
    <t>AA4604521</t>
  </si>
  <si>
    <t>+994708979893</t>
  </si>
  <si>
    <t>Sumqayıt Şəh., Mik-3, Ev.8/10, M.62</t>
  </si>
  <si>
    <t>Sumqayıt Şəh., Mik-3, Ev.8/1 , M.62</t>
  </si>
  <si>
    <t>ID-178</t>
  </si>
  <si>
    <t>Elnur Huseynov, Araz</t>
  </si>
  <si>
    <t>5UY3MFZ</t>
  </si>
  <si>
    <t>AA  0307301</t>
  </si>
  <si>
    <t>+994557953233</t>
  </si>
  <si>
    <t xml:space="preserve">Gəncə, , Məmməd Səid Ordubadi, Ev 117, M. </t>
  </si>
  <si>
    <t>Gəncə Şəh., Ordubadi Küç., Ev.117</t>
  </si>
  <si>
    <t>ID-179</t>
  </si>
  <si>
    <t>Turkan Huseynova, Elyar</t>
  </si>
  <si>
    <t>Hüseynova Türkan Elyar qızı</t>
  </si>
  <si>
    <t xml:space="preserve">Əlildir, xitam prosesindədir. </t>
  </si>
  <si>
    <t>50RMZ3S</t>
  </si>
  <si>
    <t>AA 6126138</t>
  </si>
  <si>
    <t>+994559711730</t>
  </si>
  <si>
    <t>Bakı Şəh.,Sabunçu Ray.,Bakıxanov Qəs,Y.Əliyev Küç,Ev.32A</t>
  </si>
  <si>
    <t>ID-182</t>
  </si>
  <si>
    <t>Talib Gulioghlu, Avdal</t>
  </si>
  <si>
    <t>5WFZS03</t>
  </si>
  <si>
    <t>AZE 18536163</t>
  </si>
  <si>
    <t>+994508964182</t>
  </si>
  <si>
    <t>Tovuz Ray., Əhmədabad K.</t>
  </si>
  <si>
    <t>Yasamal Ray., Şəfaət Mehdiyev Küç 3, Mənzil 62</t>
  </si>
  <si>
    <t>ID-183</t>
  </si>
  <si>
    <t>Tural Nasibov, Mustafa</t>
  </si>
  <si>
    <t>Nəsibov Tural Mustafa oğlu</t>
  </si>
  <si>
    <t>Senior Specialist</t>
  </si>
  <si>
    <t>2CQRPWS</t>
  </si>
  <si>
    <t>AZE 16110626</t>
  </si>
  <si>
    <t>+994555050816</t>
  </si>
  <si>
    <t>Tural.Nasibov@pashapay.az</t>
  </si>
  <si>
    <t>Gəncə Şəh., Kəpəz Ray., Ü. Hacıbəyov Küç., Ev.81, M.36</t>
  </si>
  <si>
    <t>Bakı Şəh., Xətai Ray., Qoçaq Nəbi Küç., Ev 5A, M.74</t>
  </si>
  <si>
    <t>ID-184</t>
  </si>
  <si>
    <t>Khalig Goyushov, Oktay</t>
  </si>
  <si>
    <t>Göyüşov Xaliq Oktay oğlu</t>
  </si>
  <si>
    <t>5UJYVC2</t>
  </si>
  <si>
    <t>AA 2261996</t>
  </si>
  <si>
    <t>+994557219645</t>
  </si>
  <si>
    <t>Xocavənd, Tuğ,</t>
  </si>
  <si>
    <t>Masazır Qəs.,H.Əliyev Küç.,Ev.66</t>
  </si>
  <si>
    <t>ID-185</t>
  </si>
  <si>
    <t>Samid Samadov, Sarbala</t>
  </si>
  <si>
    <t>6KVZHG4</t>
  </si>
  <si>
    <t>AZE 15320265</t>
  </si>
  <si>
    <t>+994555050895</t>
  </si>
  <si>
    <t>Bakı Şəh.,Binəqədi Ray.,Biləcəri Qəs.,M.Abbasov Küç.,Ev.5</t>
  </si>
  <si>
    <t>ID-186</t>
  </si>
  <si>
    <t>Nigar Javadova, Ramzi</t>
  </si>
  <si>
    <t>Cavadova Nigar Rəmzi qızı</t>
  </si>
  <si>
    <t>Clearing divison</t>
  </si>
  <si>
    <t>Klirinq şöbəsi</t>
  </si>
  <si>
    <t>Leading Settlements specialist</t>
  </si>
  <si>
    <t>Hesablaşmalar üzrə Aparıcı Mütəxəssis</t>
  </si>
  <si>
    <t>13AG7SX</t>
  </si>
  <si>
    <t>AA 1626182</t>
  </si>
  <si>
    <t>+994503802662</t>
  </si>
  <si>
    <t>nigar.cavadova@pashapay.az</t>
  </si>
  <si>
    <t>Bakı Şəh.,Ü.Hacıbəyov Küç,Ev 93/94 M.45</t>
  </si>
  <si>
    <t>ID-187</t>
  </si>
  <si>
    <t>Elvin Ismayilzade, Elchin</t>
  </si>
  <si>
    <t>İsmayılzadə Elvin Elçin oğlu</t>
  </si>
  <si>
    <t>5C82YTV</t>
  </si>
  <si>
    <t>AZE 17237479</t>
  </si>
  <si>
    <t>+994555050871</t>
  </si>
  <si>
    <t>Bakı Şəh., Suraxanı Ray., Bülbülə Qəs., S.Bəhlulzadə Küç., Dal 7A, Ev.11</t>
  </si>
  <si>
    <t>ID-188</t>
  </si>
  <si>
    <t>Rasim Aghajanov, Asim</t>
  </si>
  <si>
    <t>Ağacanov Rasim Asim oğlu</t>
  </si>
  <si>
    <t>Leading Customer Help Desk Specialist</t>
  </si>
  <si>
    <t>Müştərilərə Texniki Dəstək üzrə Aparıcı Mütəxəssis</t>
  </si>
  <si>
    <t>5ST8MNM</t>
  </si>
  <si>
    <t>AZE 18066330</t>
  </si>
  <si>
    <t>+994557160428</t>
  </si>
  <si>
    <t>rasim.agacanov@pashapay.az</t>
  </si>
  <si>
    <t>Kürdəmir Ray., Kardar Kəndi</t>
  </si>
  <si>
    <t>Bakı Şəh.,Səbail Ray., Badamdar 2-Ci Qəs., Köhnə Bağlar (2-Ci Bağlar)</t>
  </si>
  <si>
    <t>ID-189</t>
  </si>
  <si>
    <t>Nazrin Burjali, Rahil</t>
  </si>
  <si>
    <t>Burcalı Nəzrin Rahil qızı</t>
  </si>
  <si>
    <t>Monitoring and evaluation division</t>
  </si>
  <si>
    <t>Monitorinq və qiymətləndirmə şöbəsi</t>
  </si>
  <si>
    <t>Leading Quality Management and Evaluation Specialist</t>
  </si>
  <si>
    <t>Keyfiyyət İdarəetməsi və Qiymətləndirmə üzrə Aparıcı Mütəxəssis</t>
  </si>
  <si>
    <t>690VUHY</t>
  </si>
  <si>
    <t>AZE 16463223</t>
  </si>
  <si>
    <t>+994512956600</t>
  </si>
  <si>
    <t>+994552675250</t>
  </si>
  <si>
    <t>nazrin.burcali@pashapay.az</t>
  </si>
  <si>
    <t>Bakı Şəh.,Xəzər Ray.,Buzovna Qəs,Ağamalə Oğlu Küç,Ev.53</t>
  </si>
  <si>
    <t>ID-191</t>
  </si>
  <si>
    <t>Raig Rahimov, Vasif</t>
  </si>
  <si>
    <t>Naxçıvan RİM</t>
  </si>
  <si>
    <t>213DWRX</t>
  </si>
  <si>
    <t>AZE 00252044</t>
  </si>
  <si>
    <t>+994504284262</t>
  </si>
  <si>
    <t>Nax Mr, Şərur Ray., Düdəngə Kəndi</t>
  </si>
  <si>
    <t>Bakı Şəh., Xətai Ray., Əliağa Şxlinski Küçəsi 39A</t>
  </si>
  <si>
    <t>ID-192</t>
  </si>
  <si>
    <t>Ruslan Musayev, Sabir</t>
  </si>
  <si>
    <t>Musayev Ruslan Sabir oğlu</t>
  </si>
  <si>
    <t>2973SZ7</t>
  </si>
  <si>
    <t>AA  1128568</t>
  </si>
  <si>
    <t>+994552939539</t>
  </si>
  <si>
    <t>Bakı, M. Ə. Rəsulzadə, Ağa Neymətulla, Ev , M. 5</t>
  </si>
  <si>
    <t>Binəqədi Ray., 3-Cü Mədən, 1 4-Cü Korpus</t>
  </si>
  <si>
    <t>ID-193</t>
  </si>
  <si>
    <t>Turgay Ismayilov, Zahir</t>
  </si>
  <si>
    <t>7AUQFLU</t>
  </si>
  <si>
    <t>AZE 15753458</t>
  </si>
  <si>
    <t>+994557385507</t>
  </si>
  <si>
    <t>Göygöl Ray., Qızılca K.</t>
  </si>
  <si>
    <t>ID-194</t>
  </si>
  <si>
    <t>Elmin Habibov, Tarlan</t>
  </si>
  <si>
    <t>Həbibov Elmin Tərlan oğlu</t>
  </si>
  <si>
    <t>4X7N84S</t>
  </si>
  <si>
    <t>AZE 15145705</t>
  </si>
  <si>
    <t>+994555050724</t>
  </si>
  <si>
    <t>Qəbələ Ray., Daşca Kəndi</t>
  </si>
  <si>
    <t>ID-196</t>
  </si>
  <si>
    <t>Shaig Aghayev, Balahuseyn</t>
  </si>
  <si>
    <t>Ağayev Şaiq Balahüseyn oğlu</t>
  </si>
  <si>
    <t>1PV9VZT</t>
  </si>
  <si>
    <t>AZE 16452922</t>
  </si>
  <si>
    <t>+994708300422</t>
  </si>
  <si>
    <t>Lerik Şəh., Ərdəbil Küçəsi</t>
  </si>
  <si>
    <t>Lerik Şəhəri, Ərdəbil Küçəsi</t>
  </si>
  <si>
    <t>ID-201</t>
  </si>
  <si>
    <t>Jala Zeynalova, Mugabil</t>
  </si>
  <si>
    <t>Zeynalova Jalə Müqabil qızı</t>
  </si>
  <si>
    <t>3FL8VEX</t>
  </si>
  <si>
    <t>AZE 14075261</t>
  </si>
  <si>
    <t>+994554693993</t>
  </si>
  <si>
    <t>Gəncə Şəh.,Nizami Ray.,S.Rəhimov Küç.,Ev.11,M.43</t>
  </si>
  <si>
    <t>Bakı şəh.,Bakıxanov qəs.,Əkrəm Cəfərov küç.,m.69</t>
  </si>
  <si>
    <t>ID-202</t>
  </si>
  <si>
    <t>Vugar Aliyev, Atakishi</t>
  </si>
  <si>
    <t>4EWNTKF</t>
  </si>
  <si>
    <t>AA 0624068</t>
  </si>
  <si>
    <t>+994553006388</t>
  </si>
  <si>
    <t>Bakı Şəh.,Mərdəkan Qəs.,S.Yesenin Küç.,Ev 2A</t>
  </si>
  <si>
    <t>Bakı şəh.,Şüvələn Qəs.,Bağlar sahəsi</t>
  </si>
  <si>
    <t>ID-203</t>
  </si>
  <si>
    <t>Rashad Shukurov, Imran</t>
  </si>
  <si>
    <t>Beylaqan RİM</t>
  </si>
  <si>
    <t>5P2KEEV</t>
  </si>
  <si>
    <t>AZE 14439324</t>
  </si>
  <si>
    <t>+994554983235</t>
  </si>
  <si>
    <t>Bakı şəh., Nəsimi ray., Ali Mustafayev küç. 31, ev.26</t>
  </si>
  <si>
    <t>ID-206</t>
  </si>
  <si>
    <t>Karim Abdurahmanov, Chingiz</t>
  </si>
  <si>
    <t>Əbdürəhmanov Kərim Çingiz oğlu</t>
  </si>
  <si>
    <t>2CE460G</t>
  </si>
  <si>
    <t>AZE 15527530</t>
  </si>
  <si>
    <t>+994707676706</t>
  </si>
  <si>
    <t>Bakı Şəh.,Sabunçu Ray.,Zabrat Qəs.,Nizami Küç.,Ev.8</t>
  </si>
  <si>
    <t>Bakı şəh.,Sabunçu ray.,Zabrat qəs.,Nizami küç.,ev.8</t>
  </si>
  <si>
    <t>ID-205</t>
  </si>
  <si>
    <t>Gunduz Aliyev, Faig</t>
  </si>
  <si>
    <t>63VX1QA</t>
  </si>
  <si>
    <t>AA3644463</t>
  </si>
  <si>
    <t>+994513199597</t>
  </si>
  <si>
    <t>Ağdam Ray.,Əhmədağalı K.</t>
  </si>
  <si>
    <t>Bakı şəh.,Suraxanı ray.,Yeni Günəşli AB16</t>
  </si>
  <si>
    <t>ID-208</t>
  </si>
  <si>
    <t>Yusif Manafov, Ali</t>
  </si>
  <si>
    <t>1ETGQT0</t>
  </si>
  <si>
    <t>AZE 15044106</t>
  </si>
  <si>
    <t>+994555226597</t>
  </si>
  <si>
    <t>Bakı Şəh.,Nəsimi Ray.,A.Əliyev Küç,Ev.5Q,M.4</t>
  </si>
  <si>
    <t>Bakı şəh.,Nəsimi ray.,A.Əliyev küç,ev.5Q,m.4</t>
  </si>
  <si>
    <t>ID-210</t>
  </si>
  <si>
    <t>Khayal Hasanov, Bakhtibar</t>
  </si>
  <si>
    <t>Həsənov Xəyal Bəxtibar oğlu</t>
  </si>
  <si>
    <t>1GPQ274</t>
  </si>
  <si>
    <t>AA 0866563</t>
  </si>
  <si>
    <t>+994557073303</t>
  </si>
  <si>
    <t>Bakı, Bakıxanov, Əli Kərim, Ev 6, M. 104</t>
  </si>
  <si>
    <t>BAKI, BAKIXANOV, ƏLİ KƏRİM, ev 6, m. 1 4</t>
  </si>
  <si>
    <t>ID-212</t>
  </si>
  <si>
    <t>Rufat Rashidov, Galib</t>
  </si>
  <si>
    <t>5QQ5J8E</t>
  </si>
  <si>
    <t>AA  0291425</t>
  </si>
  <si>
    <t>+994555254511</t>
  </si>
  <si>
    <t>Gəncə Şəh.,Məmməd Səid Ordubadi</t>
  </si>
  <si>
    <t>Gəncə şəh.,Məmməd Səid Ordubadi</t>
  </si>
  <si>
    <t>ID-213</t>
  </si>
  <si>
    <t>Samir Murshudov, Murshud</t>
  </si>
  <si>
    <t>Mürşüdov Samir Mürşüd oğlu</t>
  </si>
  <si>
    <t>Office Technician</t>
  </si>
  <si>
    <t>Ofis üzrə Texnik</t>
  </si>
  <si>
    <t>2BVT2TB</t>
  </si>
  <si>
    <t>AZE 13661036</t>
  </si>
  <si>
    <t>+994503033397</t>
  </si>
  <si>
    <t>Bakı Şəh.,Kazımağa Kərimovk-Si,Ev.10,M.16</t>
  </si>
  <si>
    <t>Bakı şəh.,Kazımağa Kərimovk-si,ev.1 ,m.16</t>
  </si>
  <si>
    <t>ID-216</t>
  </si>
  <si>
    <t>Fuad Jafarov, Murad</t>
  </si>
  <si>
    <t>Cəfərov Fuad Murad oğlu</t>
  </si>
  <si>
    <t>1SB25WM</t>
  </si>
  <si>
    <t>AZE19101180</t>
  </si>
  <si>
    <t>+994552584898</t>
  </si>
  <si>
    <t>Bakı Şəh.,Səbailray. Xanlar Küç, Ev 42, M. 17</t>
  </si>
  <si>
    <t>BAKI şəh.,Səbailray. XANLAR KÜÇ, ev 42, m. 17</t>
  </si>
  <si>
    <t>ID-217</t>
  </si>
  <si>
    <t>Ulvi Aslanov, Nasib</t>
  </si>
  <si>
    <t>53M2CXZ</t>
  </si>
  <si>
    <t xml:space="preserve">AZE17103699 </t>
  </si>
  <si>
    <t>+994557313090</t>
  </si>
  <si>
    <t>Tovuz Ray., Qaraxanlı K.</t>
  </si>
  <si>
    <t>Bakı şəh.,Yasamal ray.,M.A.Əliyev küç.,Nərimanov dön.13,ev.3</t>
  </si>
  <si>
    <t>ID-218</t>
  </si>
  <si>
    <t>Rashad Nusratov, Seyran</t>
  </si>
  <si>
    <t>5YGTZKR</t>
  </si>
  <si>
    <t>AA 0054949</t>
  </si>
  <si>
    <t>+994777598555</t>
  </si>
  <si>
    <t>Bakı, Əhmədli</t>
  </si>
  <si>
    <t>Bakı şəh.,Xətai rayonu,Ramiz Qiliyev küç.4</t>
  </si>
  <si>
    <t>ID-223</t>
  </si>
  <si>
    <t>Nijat Huseynov, Shakir</t>
  </si>
  <si>
    <t>Cashier</t>
  </si>
  <si>
    <t>69NNCA9</t>
  </si>
  <si>
    <t>AZE15013840</t>
  </si>
  <si>
    <t>+994555315577</t>
  </si>
  <si>
    <t>Bakı Şəh.,Nərimanov Ray.,M.K.Atatürk Pr,Ev.8A,M.70</t>
  </si>
  <si>
    <t xml:space="preserve">Bakı şəh.,Nərimanov ray.,M.K.Atatürk pr,ev.8A,m.7 </t>
  </si>
  <si>
    <t>ID-225</t>
  </si>
  <si>
    <t>Zaur Baghirov, Eytibar</t>
  </si>
  <si>
    <t>Bağırov Zaur Eytibar oğlu</t>
  </si>
  <si>
    <t>5BPDJ2Y</t>
  </si>
  <si>
    <t>AA 1066812</t>
  </si>
  <si>
    <t>+994705971128</t>
  </si>
  <si>
    <t>Xırdalan Şəh.,Quşçuluq-3-Cü</t>
  </si>
  <si>
    <t>Xırdalan şəh.,Quşçuluq-3-cü</t>
  </si>
  <si>
    <t>ID-228</t>
  </si>
  <si>
    <t>Shukufakhanim Hasanova, Akif</t>
  </si>
  <si>
    <t>Həsənova Şükufəxanım Akif qızı</t>
  </si>
  <si>
    <t>Senior Quality Management and Evaluation Specialist</t>
  </si>
  <si>
    <t>Keyfiyyət İdarəetməsi və Qiymətləndirmə üzrə Baş Mütəxəssis</t>
  </si>
  <si>
    <t>5CZLXA3</t>
  </si>
  <si>
    <t>AA 1549523</t>
  </si>
  <si>
    <t>+994557507473</t>
  </si>
  <si>
    <t>shukufa.rzabayli@pashapay.az</t>
  </si>
  <si>
    <t>Bakı, Yeni Günəşli Y/M "D" , , Ev 16, M. 106</t>
  </si>
  <si>
    <t>BAKI, YENİ GÜNƏŞLİ Y/M "D" , , ev 16, m. 1 6</t>
  </si>
  <si>
    <t>ID-230</t>
  </si>
  <si>
    <t>Huseyn Abdullazade, Gulam</t>
  </si>
  <si>
    <t>Abdullazadə Hüseyn Qulam oğlu</t>
  </si>
  <si>
    <t>Specialist</t>
  </si>
  <si>
    <t>6XRT9GA</t>
  </si>
  <si>
    <t>AA 0270323</t>
  </si>
  <si>
    <t>+994775787368</t>
  </si>
  <si>
    <t xml:space="preserve">Xırdalan, , 22 Məhəllə, Ev , M. </t>
  </si>
  <si>
    <t>Abşeron ray., Xırdalan şəh., Həsən Aslanov küç., ev.6</t>
  </si>
  <si>
    <t>ID-231</t>
  </si>
  <si>
    <t>Sakhavat Idrisov, Subhan</t>
  </si>
  <si>
    <t>İdrisov Səxavət Sübhan oğlu</t>
  </si>
  <si>
    <t>4PJMZU9</t>
  </si>
  <si>
    <t>AZE 15599240</t>
  </si>
  <si>
    <t>+994555051764</t>
  </si>
  <si>
    <t>Şəmkir Ray.,Düyərli K.</t>
  </si>
  <si>
    <t>Şəmkir ray.,Düyərli k.</t>
  </si>
  <si>
    <t>ID-234</t>
  </si>
  <si>
    <t>Tariyel Jafarov, Akif</t>
  </si>
  <si>
    <t>Cəfərov Tariyel Akif oğlu</t>
  </si>
  <si>
    <t>16WHN8S</t>
  </si>
  <si>
    <t>AA 1753050</t>
  </si>
  <si>
    <t>+994556523534</t>
  </si>
  <si>
    <t>taryel.jafarov@pashapay.az</t>
  </si>
  <si>
    <t>Gəncə</t>
  </si>
  <si>
    <t>Gəncə şəh., 38 bina 1, mənzil 13</t>
  </si>
  <si>
    <t>ID-235</t>
  </si>
  <si>
    <t>Hagigat Mammadova, Gabil</t>
  </si>
  <si>
    <t>Məmmədova Həqiqət Qabil qızı</t>
  </si>
  <si>
    <t>Terminal Monitoring Leading Specialist</t>
  </si>
  <si>
    <t>Terminalların Monitorinqi üzrə Aparıcı Mütəxəssis</t>
  </si>
  <si>
    <t>62EJN4Q</t>
  </si>
  <si>
    <t>AZE 13701591</t>
  </si>
  <si>
    <t>Magistr</t>
  </si>
  <si>
    <t>+994516538096</t>
  </si>
  <si>
    <t>hagigat.mammadova@pashapay.az</t>
  </si>
  <si>
    <t>Gəncə Şəh., Kəpəz Ray., R.Qasımov Küç., Ev. 52</t>
  </si>
  <si>
    <t>Gəncə şəh., Ruzigar Qasımov k., ev.52</t>
  </si>
  <si>
    <t>ID-237</t>
  </si>
  <si>
    <t>Shabnam (Guliyeva) Ahmadova, Rasim</t>
  </si>
  <si>
    <t>Quliyeva Şəbnəm (Əhmədova) Rasim qızı</t>
  </si>
  <si>
    <t>6KSBGRE</t>
  </si>
  <si>
    <t>AA3951212</t>
  </si>
  <si>
    <t>+994558151690</t>
  </si>
  <si>
    <t>shabnam.ahmadova@pashapay.az</t>
  </si>
  <si>
    <t>Gəncə Şəh., Dəliməmmədli Şəh., İ.Qayıbov Küç, Ev. 22</t>
  </si>
  <si>
    <t>Gəncə şəh., 5-ci mik., Sədi küç. 33, mənzil 8</t>
  </si>
  <si>
    <t>ID-242</t>
  </si>
  <si>
    <t>Suleyman Musayev, Nizami</t>
  </si>
  <si>
    <t>4ZZU9X9</t>
  </si>
  <si>
    <t>AZE 15481185</t>
  </si>
  <si>
    <t>+994518515163</t>
  </si>
  <si>
    <t xml:space="preserve">Gəncə Şəh., Nəsimi Küç., Ev 5A, M. </t>
  </si>
  <si>
    <t xml:space="preserve"> </t>
  </si>
  <si>
    <t>ID-243</t>
  </si>
  <si>
    <t>Igbal Rustamov, Nabi</t>
  </si>
  <si>
    <t>Rüstəmov İqbal Nəbi oğlu</t>
  </si>
  <si>
    <t>Business optimization division</t>
  </si>
  <si>
    <t>Biznesin optimallaşdırılması şöbəsi</t>
  </si>
  <si>
    <t>Divion Head</t>
  </si>
  <si>
    <t>Şöbə Rəhbəri</t>
  </si>
  <si>
    <t>Səlimi Fərhad Arif oğlu</t>
  </si>
  <si>
    <t>0YU3NHF</t>
  </si>
  <si>
    <t>AZE 17547573</t>
  </si>
  <si>
    <t>+994502886188</t>
  </si>
  <si>
    <t>iqbal.rustamov@pashapay.az</t>
  </si>
  <si>
    <t>Bakı Şəh.,Binəqədi Ray.,8 Mkr,Şövkət Məmmədova Küç.,Ev.7,M.9</t>
  </si>
  <si>
    <t>Bakı şəh.,Binəqədi ray.,Əcəmi Naxcıvani küç.13 C,m.615</t>
  </si>
  <si>
    <t>ID-246</t>
  </si>
  <si>
    <t>Ilkin Samadov, Samad</t>
  </si>
  <si>
    <t>Səmədov İlkin Səməd oğlu</t>
  </si>
  <si>
    <t>Leading Accountant</t>
  </si>
  <si>
    <t>Aparıcı Mühasib</t>
  </si>
  <si>
    <t>2M5EGQQ</t>
  </si>
  <si>
    <t>AZE 13795322</t>
  </si>
  <si>
    <t>+994556125483</t>
  </si>
  <si>
    <t>ilkin.samadov@pashapay.az</t>
  </si>
  <si>
    <t>Sumqayıt Şəh.,Mik-18,Ev.21B,M.72</t>
  </si>
  <si>
    <t>Bakı şəh.,Sabuncu r-nu,Zabrat qəs,S.Ə.Şirvani 3/5</t>
  </si>
  <si>
    <t>ID-247</t>
  </si>
  <si>
    <t>Tarlan Misirov, Bashir</t>
  </si>
  <si>
    <t>5035U25</t>
  </si>
  <si>
    <t>AA 1257396</t>
  </si>
  <si>
    <t>+994519144433</t>
  </si>
  <si>
    <t>Bakı Şəh.,Suraxanı Rayonu,Suraxanı Qəs.X.Ələkbərov Küç.Ev.58</t>
  </si>
  <si>
    <t>Bakı şəh.,Suraxanı rayonu,Suraxanı qəs.X.Ələkbərov küç.ev.58</t>
  </si>
  <si>
    <t>ID-248</t>
  </si>
  <si>
    <t>Gunduz Abdullayev, Ayaz</t>
  </si>
  <si>
    <t>Abdullayev Gündüz Ayaz oğlu</t>
  </si>
  <si>
    <t>4NK3YP4</t>
  </si>
  <si>
    <t>AZE 17519645</t>
  </si>
  <si>
    <t>+994502905458</t>
  </si>
  <si>
    <t>gunduz.abdullayev@pashapay.az</t>
  </si>
  <si>
    <t>Bakı Şəh.,Sahil Qəs.,M.Seyidov Küç,Ev.2/7</t>
  </si>
  <si>
    <t>Bakı şəh.,Sahil qəs.,M.seyidov küç,ev.2/7</t>
  </si>
  <si>
    <t>ID-249</t>
  </si>
  <si>
    <t>Loghman Baghirli, Shohladdin</t>
  </si>
  <si>
    <t>5LGHEJ0</t>
  </si>
  <si>
    <t>AZE 16548921</t>
  </si>
  <si>
    <t>+994555052611</t>
  </si>
  <si>
    <t>Qəbələ Şəh.,H.Əliyev Prospekti,Ev.11,M.3</t>
  </si>
  <si>
    <t>Qəbələ şəh.,H.Əliyev prospekti,ev.11,m.3</t>
  </si>
  <si>
    <t>ID-252</t>
  </si>
  <si>
    <t>Kanan Mammadov, Eldar</t>
  </si>
  <si>
    <t>Director</t>
  </si>
  <si>
    <t>2M2D9Q9</t>
  </si>
  <si>
    <t>AZE 14307779</t>
  </si>
  <si>
    <t>+994502233310</t>
  </si>
  <si>
    <t>kanan.mammadov@pashapay.az</t>
  </si>
  <si>
    <t>Bakı Şəh.,Yasamal Ray.,İ.Qutqaşınlı Küç.,Ev.1 B,M.21</t>
  </si>
  <si>
    <t>Bakı şəh.,Yasamal ray.,İ.Qutqaşınlı küç.,ev.1 B,m.21</t>
  </si>
  <si>
    <t>ID-255</t>
  </si>
  <si>
    <t>Aladdin Allahverdiyev, Nuraddin</t>
  </si>
  <si>
    <t>Allahverdiyev Ələddin Nurəddin oğlu</t>
  </si>
  <si>
    <t>5GK3K1G</t>
  </si>
  <si>
    <t>AZE 17207119</t>
  </si>
  <si>
    <t>+994559188790</t>
  </si>
  <si>
    <t>Cəbrayıl Ray.,Qazanzəmi K.</t>
  </si>
  <si>
    <t>Bakı şəh.,Nizami r-nu,Babək pr.89.m.3 9</t>
  </si>
  <si>
    <t>ID-257</t>
  </si>
  <si>
    <t>Zaur Farzaliyev, Tofig</t>
  </si>
  <si>
    <t>Logistics &amp; Service Manager</t>
  </si>
  <si>
    <t>Logistika və Xidmət üzrə Menecer</t>
  </si>
  <si>
    <t>1212XA9</t>
  </si>
  <si>
    <t>AZE 16208264</t>
  </si>
  <si>
    <t>+994502000999</t>
  </si>
  <si>
    <t>zaur.farzaliyev@pashapay.az</t>
  </si>
  <si>
    <t>Bakı Şəh.,Yasamal Ray.,Z.Xəlilov Küç,Məh.554,Ev.26,M.26</t>
  </si>
  <si>
    <t>Bakı şəh.,Yasamal ray.,Z.Xəlilov küç,məh.554,ev.26,m.26</t>
  </si>
  <si>
    <t>ID-259</t>
  </si>
  <si>
    <t>Zakir Mammadov, Elman</t>
  </si>
  <si>
    <t>Məmmədov Zakir  Elman oğlu</t>
  </si>
  <si>
    <t>0X4N489</t>
  </si>
  <si>
    <t>AA  1432844</t>
  </si>
  <si>
    <t>+994507551444</t>
  </si>
  <si>
    <t>Bakı, M. Ə. Rəsulzadə, Azadlıq, Ev 179, M. 55</t>
  </si>
  <si>
    <t>ID-261</t>
  </si>
  <si>
    <t>Ramal Guliyev, Galib</t>
  </si>
  <si>
    <t>Quliyev Rəmal Qalib oğlu</t>
  </si>
  <si>
    <t>Leading Customer Relations Specialist</t>
  </si>
  <si>
    <t>Müştəri Əlaqələri üzrə Aparıcı Mütəxəssis</t>
  </si>
  <si>
    <t>5YXJYK8</t>
  </si>
  <si>
    <t>AA  2179613</t>
  </si>
  <si>
    <t>+994553940315</t>
  </si>
  <si>
    <t>ramal.quliyev@pashapay.az</t>
  </si>
  <si>
    <t xml:space="preserve">Füzuli, Aşağı Veysəlli, , Ev , M. </t>
  </si>
  <si>
    <t>Sumqayıt şəh.,1-ci mikrarayon ev 17/31A</t>
  </si>
  <si>
    <t>ID-262</t>
  </si>
  <si>
    <t>Rufat Suleymanov, Elman</t>
  </si>
  <si>
    <t>Süleymanov Rüfət Elman oğlu</t>
  </si>
  <si>
    <t>2KYYBK4</t>
  </si>
  <si>
    <t>AZE 13599289</t>
  </si>
  <si>
    <t>+994555050810</t>
  </si>
  <si>
    <t>Bakı Şəh.,Azadlıq Pr,Ev.116,M.113</t>
  </si>
  <si>
    <t>Bakı şəh.,Azadlıq pr,ev.116,m.113</t>
  </si>
  <si>
    <t>ID-265</t>
  </si>
  <si>
    <t>Kamran Taghiyev, Imran</t>
  </si>
  <si>
    <t>Tağıyev Kəmran İmran oğlu</t>
  </si>
  <si>
    <t>1TS9VP8</t>
  </si>
  <si>
    <t>AZE 17533909</t>
  </si>
  <si>
    <t>+994552221050</t>
  </si>
  <si>
    <t>+994512773300</t>
  </si>
  <si>
    <t>kamran.tagiyev@pashapay.az</t>
  </si>
  <si>
    <t>Bakı Şəh.,Xətai Ray.,N.Əliyev Küç,Məh.1205,Ev.3E,M.101</t>
  </si>
  <si>
    <t>ID-276</t>
  </si>
  <si>
    <t>Zaur Mammadov, Goja</t>
  </si>
  <si>
    <t>294NEWT</t>
  </si>
  <si>
    <t>AZE 17403616</t>
  </si>
  <si>
    <t>+994508781717</t>
  </si>
  <si>
    <t>Gəncə Şəh.. Nizami Ray., Çarıxçılar Küç., 2-Dalan, Ev.16</t>
  </si>
  <si>
    <t>Gəncə şəh.. Nizami ray., Çarıxçılar küç., 2-dalan, ev.16</t>
  </si>
  <si>
    <t>ID-277</t>
  </si>
  <si>
    <t>Kamil Mustafayev, Yusif</t>
  </si>
  <si>
    <t>129UVLH</t>
  </si>
  <si>
    <t>AA  1716937</t>
  </si>
  <si>
    <t>+994502872772</t>
  </si>
  <si>
    <t>Bakı Şəh., Yeni Yasamal,Bina.6.Mənzil 91</t>
  </si>
  <si>
    <t>Binə, Savxoz qəsəbəsi</t>
  </si>
  <si>
    <t>ID-281</t>
  </si>
  <si>
    <t>Bakhtiyar Mammadov, Ibadulla</t>
  </si>
  <si>
    <t>Məmmədov Bəxtiyar İbadulla oğlu</t>
  </si>
  <si>
    <t>1F39ZZ9</t>
  </si>
  <si>
    <t>AA 0135549</t>
  </si>
  <si>
    <t>+994552048402</t>
  </si>
  <si>
    <t>+994512773322</t>
  </si>
  <si>
    <t>bakhtiyar.mammadov@pashapay.az</t>
  </si>
  <si>
    <t>Bakı, , Nəcəfqulu Rəfiyev, Ev 28A, M. 30</t>
  </si>
  <si>
    <t>Bakı şəh., Xətai ray., Nəcəfqulu Rəfiyev keç., 28A, m.30</t>
  </si>
  <si>
    <t>ID-282</t>
  </si>
  <si>
    <t>Nijat Hasilov, Abdulla</t>
  </si>
  <si>
    <t>Həsilov Nicat Abdulla oğlu</t>
  </si>
  <si>
    <t>27RTS9H</t>
  </si>
  <si>
    <t>AZE 16670968</t>
  </si>
  <si>
    <t>+994554862886</t>
  </si>
  <si>
    <t>nicat.hasilov@pashapay.az</t>
  </si>
  <si>
    <t>Qax Şəh., İçəribazar Küç., Ev.23</t>
  </si>
  <si>
    <t>Qax şəh., İlisu k</t>
  </si>
  <si>
    <t>ID-285</t>
  </si>
  <si>
    <t>Emil Mehdiyev, Mahir</t>
  </si>
  <si>
    <t>Mehdiyev Emil Mahir oğlu</t>
  </si>
  <si>
    <t>2A35WMY</t>
  </si>
  <si>
    <t>AA 0343894</t>
  </si>
  <si>
    <t>+994515339394</t>
  </si>
  <si>
    <t>Bakı, Sabunçu, Qəzənfər Musabəyov, Ev 11, M. 4</t>
  </si>
  <si>
    <t>BAKI, SABUNÇU, QƏZƏNFƏR MUSABƏYOV, ev 11, m. 4</t>
  </si>
  <si>
    <t>ID-288</t>
  </si>
  <si>
    <t>Bahruz Nuraliyev, Ehsan</t>
  </si>
  <si>
    <t>Nurəliyev Bəhruz Ehsan oğlu</t>
  </si>
  <si>
    <t>Technical Support Team Lead</t>
  </si>
  <si>
    <t>1GFZ3R4</t>
  </si>
  <si>
    <t>AA 1253555</t>
  </si>
  <si>
    <t>+994556618589</t>
  </si>
  <si>
    <t>bahruz.nuraliyev@pashapay.az</t>
  </si>
  <si>
    <t xml:space="preserve">Xırdalan, , 26 Məhəllə, Ev , M. </t>
  </si>
  <si>
    <t>XIRDALAN, , 26 MƏHƏLLƏ 26, ev , 4/55</t>
  </si>
  <si>
    <t>ID-287</t>
  </si>
  <si>
    <t>Karim Akhundov, Ahmad</t>
  </si>
  <si>
    <t>Axundov Kərim Əhməd oğlu</t>
  </si>
  <si>
    <t>1WBCRNK</t>
  </si>
  <si>
    <t>AZE 09822301</t>
  </si>
  <si>
    <t>+994503232345</t>
  </si>
  <si>
    <t>Sumqayıt Şəh., Mik-2, Ev.42/44A, Mənzil 22</t>
  </si>
  <si>
    <t>Sumqayıt şəh., Mik-2, ev.42/44A, mənzil 22</t>
  </si>
  <si>
    <t>ID-292</t>
  </si>
  <si>
    <t>Farid Orujov, Sadig</t>
  </si>
  <si>
    <t>Orucov Fərid Sadiq oğlu</t>
  </si>
  <si>
    <t>3K6212F</t>
  </si>
  <si>
    <t>AA 1614845</t>
  </si>
  <si>
    <t>+994556909095</t>
  </si>
  <si>
    <t>Şirvan Şəh.,S.Vurğun Küç.28/13</t>
  </si>
  <si>
    <t>Şirvan şəh.,S.Vurğun küç.28/13</t>
  </si>
  <si>
    <t>ID-291</t>
  </si>
  <si>
    <t>Pirhuseyn Huseynov, Abulfaz</t>
  </si>
  <si>
    <t>1 month</t>
  </si>
  <si>
    <t>Şirvar RİM</t>
  </si>
  <si>
    <t>4XCU8G7</t>
  </si>
  <si>
    <t>AZE 05541626</t>
  </si>
  <si>
    <t>+994557060867</t>
  </si>
  <si>
    <t>Şirvan Şəh.,Xaqani Küç.,Ev.10,M.4</t>
  </si>
  <si>
    <t>Şirvan şəh.,Xaqani küç.,ev.10,m.4</t>
  </si>
  <si>
    <t>ID-295</t>
  </si>
  <si>
    <t>Rahim Gasimov, Nahib</t>
  </si>
  <si>
    <t>Qasımov Rahim Nahib oğlu</t>
  </si>
  <si>
    <t>5P97DPD</t>
  </si>
  <si>
    <t>AZE 18404782</t>
  </si>
  <si>
    <t>+994777659969</t>
  </si>
  <si>
    <t>Bakı Şəh., Suraxanı Ray., Zığ Qəs., Nizami Küç., Ev.4</t>
  </si>
  <si>
    <t>Bakı şəh., Zığ yolu küç., bina 24 A, ev.20</t>
  </si>
  <si>
    <t>ID-315</t>
  </si>
  <si>
    <t>Namig Nabiyev, Shahbaddin</t>
  </si>
  <si>
    <t>Technical Repair Manager</t>
  </si>
  <si>
    <t>Texniki Təmir üzrə Menecer</t>
  </si>
  <si>
    <t>1E66A91</t>
  </si>
  <si>
    <t>AA 1551263</t>
  </si>
  <si>
    <t>+994557873045</t>
  </si>
  <si>
    <t>namig.nabiyev@pashapay.az</t>
  </si>
  <si>
    <t>Bakı Şəh., 8-Ci Mikrorayon, Şövkət Məmmədova Ev.3, Mənzil 90</t>
  </si>
  <si>
    <t>ID-300</t>
  </si>
  <si>
    <t>Zaur Heydarov, Namig</t>
  </si>
  <si>
    <t>4FHUQLC</t>
  </si>
  <si>
    <t>AA 0655285</t>
  </si>
  <si>
    <t>+994557550495</t>
  </si>
  <si>
    <t xml:space="preserve">Şəki, , Sabit Rəhman, Ev 4/14, M. </t>
  </si>
  <si>
    <t>Nərimanov Hidayətzadə 6, mənzil 22</t>
  </si>
  <si>
    <t>Shaki</t>
  </si>
  <si>
    <t>ID-317</t>
  </si>
  <si>
    <t>Rashad Ramazanov, Jafar</t>
  </si>
  <si>
    <t>10748DE</t>
  </si>
  <si>
    <t>AA3508786</t>
  </si>
  <si>
    <t>+994502201144</t>
  </si>
  <si>
    <t>rashad.ramazanov@pashapay.az</t>
  </si>
  <si>
    <t>Bakı Şəh.Nərimanov Ray.,Cəmənzəminli Küç.Ev.9,M.22</t>
  </si>
  <si>
    <t>Bakı şəh.,Xətai ray.,Ə.Quliyev 11/30,m.88</t>
  </si>
  <si>
    <t>ID-318</t>
  </si>
  <si>
    <t>Tapdig Mammadov, Fuzuli</t>
  </si>
  <si>
    <t>1V54QH5</t>
  </si>
  <si>
    <t>AA 3025516</t>
  </si>
  <si>
    <t>+994506807629</t>
  </si>
  <si>
    <t>Sumqayıt, Nizami</t>
  </si>
  <si>
    <t>Sumqayıt şəh., 12ci mkr., Ev 6A, mənzil 56</t>
  </si>
  <si>
    <t>ID-320</t>
  </si>
  <si>
    <t>Aghazaman Aliyev, Sahib</t>
  </si>
  <si>
    <t>Əliyev Ağazaman Sahib oğlu</t>
  </si>
  <si>
    <t>5JE0FY4</t>
  </si>
  <si>
    <t>AZE 18006706</t>
  </si>
  <si>
    <t>+994556365312</t>
  </si>
  <si>
    <t>Bakı Şəh.,Suraxanı Ray.,Əmircan Qəs.,Ə.Qarayev Küç.Döngə 2,Ev.2</t>
  </si>
  <si>
    <t>Bakı şəh.,Suraxanı ray.,Əmircan qəs.,Ə.Qarayev küç.Döngə 2,ev.2</t>
  </si>
  <si>
    <t>ID-324</t>
  </si>
  <si>
    <t>Aliyar Amirbayov, Azad</t>
  </si>
  <si>
    <t>0035QX8</t>
  </si>
  <si>
    <t>AZE 14293151</t>
  </si>
  <si>
    <t>+994993292921</t>
  </si>
  <si>
    <t>Şirvan, H.Əliyev Küç., Ev 1</t>
  </si>
  <si>
    <t>ID-328</t>
  </si>
  <si>
    <t>Kamila Jalalova, Fizuli</t>
  </si>
  <si>
    <t>Calalova Kamila Fizuli qızı</t>
  </si>
  <si>
    <t>54SXTRX</t>
  </si>
  <si>
    <t>AA5189346</t>
  </si>
  <si>
    <t>+994708218821</t>
  </si>
  <si>
    <t>kamilla.calalova@pashapay.az</t>
  </si>
  <si>
    <t xml:space="preserve">Naxçıvan Muxtar Respublikası, , Ev , M. </t>
  </si>
  <si>
    <t>Yeni Yasamal, Əsəd Əhmədov 26A</t>
  </si>
  <si>
    <t>ID-331</t>
  </si>
  <si>
    <t>Uzeyir Aliyev, Jabbar</t>
  </si>
  <si>
    <t>Əliyev Üzeyir Cabbar oğlu</t>
  </si>
  <si>
    <t>Nakhchivan Branch Manager</t>
  </si>
  <si>
    <t>Naxçıvan RXM-nin Meneceri</t>
  </si>
  <si>
    <t>301CTAH</t>
  </si>
  <si>
    <t>AZE 15683012</t>
  </si>
  <si>
    <t>+994705858285</t>
  </si>
  <si>
    <t>uzeyir.aliyev@pashapay.az</t>
  </si>
  <si>
    <t>Naxçıvan Mr.,Naxçıvan Şəh.,Ə.Əliyev,Ev.43,M.8</t>
  </si>
  <si>
    <t>ID-332</t>
  </si>
  <si>
    <t>Habil Najafov, Rahim</t>
  </si>
  <si>
    <t>2N2LRKP</t>
  </si>
  <si>
    <t>AZE 07519152</t>
  </si>
  <si>
    <t>+994703555836</t>
  </si>
  <si>
    <t>Bakı Şəh.,Zığ Yolu,Ev.16 Yat</t>
  </si>
  <si>
    <t>Bakı şəh.,Xətai ray,ENZ-qəsəbəsi,A.Qurban ev.25</t>
  </si>
  <si>
    <t>ID-336</t>
  </si>
  <si>
    <t>Rashad Musayev, Abulfat</t>
  </si>
  <si>
    <t>26196D6</t>
  </si>
  <si>
    <t>AA 2221908</t>
  </si>
  <si>
    <t>+994707067686</t>
  </si>
  <si>
    <t xml:space="preserve">Bakı Şəh.,Məzahir Rüstəmov, Ev 6/4, M. </t>
  </si>
  <si>
    <t xml:space="preserve">BAKI şəh.,MƏZAHİR RÜSTƏMOV, ev 6/4, m. </t>
  </si>
  <si>
    <t>ID-334</t>
  </si>
  <si>
    <t>Narmin Mammadova, Mehman</t>
  </si>
  <si>
    <t>Məmmədova Nərmin Mehman qızı</t>
  </si>
  <si>
    <t xml:space="preserve">Leading Fraud Monitoring Specialist </t>
  </si>
  <si>
    <t>Fraud Monitorinq üzrə Aparıcı Mütəxəssis</t>
  </si>
  <si>
    <t>6X4RC9E</t>
  </si>
  <si>
    <t>AZE 16282255</t>
  </si>
  <si>
    <t>+994554200171</t>
  </si>
  <si>
    <t>narmin.mammadova@pashapay.az</t>
  </si>
  <si>
    <t>Bakı Şəh., Nəsimi Ray., S.Əsgərova Küç., Ev.180, M.25</t>
  </si>
  <si>
    <t>Bakı şəh., Nəsimi ray., S.Əsgərova küç., ev.180, m.25</t>
  </si>
  <si>
    <t>ID-342</t>
  </si>
  <si>
    <t>Elnur Shahbazov, Avazagha</t>
  </si>
  <si>
    <t>301ZL0P</t>
  </si>
  <si>
    <t>AZE 13308860</t>
  </si>
  <si>
    <t>+994506466744</t>
  </si>
  <si>
    <t>Şirvan Şəh.,S.Vurğun Küç.,Ev.6,M.21</t>
  </si>
  <si>
    <t>Şirvan şəh.,S.Vurğun küç.,ev.6,m.21</t>
  </si>
  <si>
    <t>ID-340</t>
  </si>
  <si>
    <t>Ulvi Rahimov, Nasimi</t>
  </si>
  <si>
    <t>5UH64TY</t>
  </si>
  <si>
    <t>AZE 15948138</t>
  </si>
  <si>
    <t>+994519589800</t>
  </si>
  <si>
    <t>Sabirabad Ray.,Güdəcühür Kəndi</t>
  </si>
  <si>
    <t>SABİRABAD ray.,GÜDƏCÜHÜR KƏNDİ</t>
  </si>
  <si>
    <t>ID-354</t>
  </si>
  <si>
    <t>Adalat Novruzov, Hakim</t>
  </si>
  <si>
    <t>59JDYE7</t>
  </si>
  <si>
    <t>AA 2570742</t>
  </si>
  <si>
    <t>+994602006368</t>
  </si>
  <si>
    <t>Azərbaycan, Naxçıvan Mr, Atabəylər K, B3, Ev.24</t>
  </si>
  <si>
    <t>Azərbaycan, Naxçıvan MR, Atabəylər k, B3, ev.24</t>
  </si>
  <si>
    <t>ID-355</t>
  </si>
  <si>
    <t>Gadir Pashayev, Avaz</t>
  </si>
  <si>
    <t>5WRV2CP</t>
  </si>
  <si>
    <t>AA1141394</t>
  </si>
  <si>
    <t>+994604758968</t>
  </si>
  <si>
    <t xml:space="preserve">Babək, Qahab, , Ev , M. </t>
  </si>
  <si>
    <t>ID-360</t>
  </si>
  <si>
    <t>Hamid Rasulov, Ali</t>
  </si>
  <si>
    <t>Rəsulov Həmid Əli oğlu</t>
  </si>
  <si>
    <t>Leading Sales Representative</t>
  </si>
  <si>
    <t>Aparıcı Satış Təmsilçisi</t>
  </si>
  <si>
    <t>11V87EC</t>
  </si>
  <si>
    <t>AZE 16794380</t>
  </si>
  <si>
    <t>+994503910500</t>
  </si>
  <si>
    <t>hamid.rasulov@pashapay.az</t>
  </si>
  <si>
    <t>Bərdə Şəh.,S.Vurğun Küç.,Dön 2, Ev.1</t>
  </si>
  <si>
    <t>Bərdə şəh.,S.Vurğun küç.,dön 2, ev.1</t>
  </si>
  <si>
    <t>Yevlax</t>
  </si>
  <si>
    <t>ID-361</t>
  </si>
  <si>
    <t>Rashad Abdulla, Gulagha</t>
  </si>
  <si>
    <t>Abdulla Rəşad Gülağa oğlu</t>
  </si>
  <si>
    <t>0XX7ZSG</t>
  </si>
  <si>
    <t>AZE 14759597</t>
  </si>
  <si>
    <t>+994503248728</t>
  </si>
  <si>
    <t>rashad.abdulla@pashapay.az</t>
  </si>
  <si>
    <t>Şirvan Şəh.,Ərəblinski Küç.,Ev.25</t>
  </si>
  <si>
    <t>Şirvan şəh.,Ərəblinski küç.,ev.25</t>
  </si>
  <si>
    <t>ID-353</t>
  </si>
  <si>
    <t>Shabnam Aghayeva, Fazail</t>
  </si>
  <si>
    <t>Ağayeva Şəbnəm Fəzail qızı</t>
  </si>
  <si>
    <t>5H9HCQ4</t>
  </si>
  <si>
    <t>AZE 00253659</t>
  </si>
  <si>
    <t>+994602858222</t>
  </si>
  <si>
    <t>+994555055546</t>
  </si>
  <si>
    <t>shabnam.agayeva@pashapay.az</t>
  </si>
  <si>
    <t>Azərbaycan, Naxşıvan Mr, Şərur Ray., Yuxarı Aralıq K.</t>
  </si>
  <si>
    <t>AZƏRBAYCAN, Naxşıvan MR, Şərur ray., Yuxarı Aralıq k.</t>
  </si>
  <si>
    <t>IDM-04</t>
  </si>
  <si>
    <t>Emin Mehdiyev, Fazil</t>
  </si>
  <si>
    <t>Mehdiyev Emin Fazil oğlu</t>
  </si>
  <si>
    <t>Təhlükəsizlik üzrə Baş Mütəxəssis</t>
  </si>
  <si>
    <t>349LRWV</t>
  </si>
  <si>
    <t>AA 1018590</t>
  </si>
  <si>
    <t>+994554084444</t>
  </si>
  <si>
    <t>emin.mehdiyev@pashapay.az</t>
  </si>
  <si>
    <t>Bakı Şəh., Əcəmi Naxçıvani, Mənzil 88</t>
  </si>
  <si>
    <t>Bakı-Binəqədi şəh., M.Rəsulzadə ŞTQ, ev.1, m.74</t>
  </si>
  <si>
    <t>IDM-09</t>
  </si>
  <si>
    <t>Javidan Mahmudzade, Rafig</t>
  </si>
  <si>
    <t>5UYJH4G</t>
  </si>
  <si>
    <t>AA 1892954</t>
  </si>
  <si>
    <t>+994507755556</t>
  </si>
  <si>
    <t>Qəbələ, İmran Mahmudov</t>
  </si>
  <si>
    <t>Qəbələ şəh., İmran Mahmudov küç., ev.11</t>
  </si>
  <si>
    <t>IDM-08</t>
  </si>
  <si>
    <t>Vugar Yamanzade, Farrukh</t>
  </si>
  <si>
    <t>5MQHTHW</t>
  </si>
  <si>
    <t>AZE 16547845</t>
  </si>
  <si>
    <t>+994707152515</t>
  </si>
  <si>
    <t>Qəbələ, Zarağan K.</t>
  </si>
  <si>
    <t>Qəbələ şəh., Zarağan kəndi</t>
  </si>
  <si>
    <t>IDM-11</t>
  </si>
  <si>
    <t>Ilyas Soltanov, Namizat</t>
  </si>
  <si>
    <t>Soltanov İlyas Namizət oğlu</t>
  </si>
  <si>
    <t>248HB28</t>
  </si>
  <si>
    <t>AZE 17547400</t>
  </si>
  <si>
    <t>+994553500338</t>
  </si>
  <si>
    <t>Bakı Şəh.,Nərimanov Ray.,F.Yusifov Küç.,Ev.16,M.45</t>
  </si>
  <si>
    <t>Bakı şəh.,Nərimanov ray.,F.Yusifov küç.,ev.16,m.45</t>
  </si>
  <si>
    <t>IDM-14</t>
  </si>
  <si>
    <t>Namig Jafarov, Najaf</t>
  </si>
  <si>
    <t>Cəfərov Namiq Nəcəf oğlu</t>
  </si>
  <si>
    <t>Transportation Specialist</t>
  </si>
  <si>
    <t>Nəqliyyat üzrə Mütəxəssis</t>
  </si>
  <si>
    <t>4FTKC1D</t>
  </si>
  <si>
    <t>AA 0209510</t>
  </si>
  <si>
    <t>+994502008434</t>
  </si>
  <si>
    <t>+994552008434</t>
  </si>
  <si>
    <t>namig.jafarov@pashapay.az</t>
  </si>
  <si>
    <t>Bakı, , Füzuli, Ev 39, M. 4</t>
  </si>
  <si>
    <t>Bakı şəh.,Xətai ray.N.Tusi küç.,ev.45, m.97</t>
  </si>
  <si>
    <t>IDM-16</t>
  </si>
  <si>
    <t>Kanan Abbasov, Eldar</t>
  </si>
  <si>
    <t>1LCT19F</t>
  </si>
  <si>
    <t>AA 1492933</t>
  </si>
  <si>
    <t>+994556441948</t>
  </si>
  <si>
    <t>Gəncə Şəh.,Hərbi Şəhərcik 38/2, Ev,22</t>
  </si>
  <si>
    <t>Gəncə şəh.,Hərbi şəhərcik 38/2, ev,22</t>
  </si>
  <si>
    <t>IDM-23</t>
  </si>
  <si>
    <t>Nazrin Karimova, Fuad</t>
  </si>
  <si>
    <t>Kərimova Nəzrin Fuad qızı</t>
  </si>
  <si>
    <t>Products division</t>
  </si>
  <si>
    <t>Məhsullar Şöbəsi</t>
  </si>
  <si>
    <t>Product Owner L4</t>
  </si>
  <si>
    <t>Məhsul Sahibi</t>
  </si>
  <si>
    <t>Naina Shukurova,Zakir Khanmammadov</t>
  </si>
  <si>
    <t>606DLTF</t>
  </si>
  <si>
    <t>AA1969835</t>
  </si>
  <si>
    <t>+994505542734</t>
  </si>
  <si>
    <t>nazrin.k@pashapay.az</t>
  </si>
  <si>
    <t>Bakı, İnşaatçılar, M. 25</t>
  </si>
  <si>
    <t>BAKI şəh., İNŞAATÇILAR prospekti 12/26, m. 25</t>
  </si>
  <si>
    <t>IDM-28</t>
  </si>
  <si>
    <t>E</t>
  </si>
  <si>
    <t>Farhad Salimi, Arif</t>
  </si>
  <si>
    <t>Chief Financial Officer</t>
  </si>
  <si>
    <t>Baş Maliyyə İnzibatçısı</t>
  </si>
  <si>
    <t>4NP1AXJ</t>
  </si>
  <si>
    <t>AA0166765</t>
  </si>
  <si>
    <t>+994512059230</t>
  </si>
  <si>
    <t>farhad.s@pashapay.az</t>
  </si>
  <si>
    <t>Bakı şəh.,Mustafa Subhi 221,m.31</t>
  </si>
  <si>
    <t>IDM-35</t>
  </si>
  <si>
    <t>Turgay Baratov, Alirza</t>
  </si>
  <si>
    <t>Baratov Turqay Əlirza oğlu</t>
  </si>
  <si>
    <t>58V0MQT</t>
  </si>
  <si>
    <t>AA3759560</t>
  </si>
  <si>
    <t>+994515174299</t>
  </si>
  <si>
    <t>Sumqayıt Şəh., 4-Cü Mikrorayon Ev 26A/4, Mənzil 44</t>
  </si>
  <si>
    <t>SUMQAYIT şəh., 4-CÜ MİKRORAYON ev 26A/4, mənzil 44</t>
  </si>
  <si>
    <t>IDM-40</t>
  </si>
  <si>
    <t>D</t>
  </si>
  <si>
    <t>Orkhan Abbasov, Zikrulla</t>
  </si>
  <si>
    <t>Abbasov Orxan Zikrulla oğlu</t>
  </si>
  <si>
    <t>Cross-border and sales tribe</t>
  </si>
  <si>
    <t>Kross-sərhəd və satış sahəsi</t>
  </si>
  <si>
    <t>Senior Auto QA Engineer L1</t>
  </si>
  <si>
    <t>Keyfiyyət Təminatı üzrə Baş Mühəndis</t>
  </si>
  <si>
    <t>Rauf Mirzoyev,Ilqar Mammadov</t>
  </si>
  <si>
    <t>5V3DYYE</t>
  </si>
  <si>
    <t>AA1398484</t>
  </si>
  <si>
    <t>+994506550765</t>
  </si>
  <si>
    <t>orkhan.abbasov@pashapay.az</t>
  </si>
  <si>
    <t>BAKI, AKADEMİK HƏSƏN ƏLİYEV, ev 1D, m. 91</t>
  </si>
  <si>
    <t>IDM-41</t>
  </si>
  <si>
    <t>Nabi Ismayilov, Muhlis</t>
  </si>
  <si>
    <t>İsmayılov Nəbi Muhlis oğlu</t>
  </si>
  <si>
    <t>Middle Auto QA Engineer M1</t>
  </si>
  <si>
    <t>Keyfiyyət Təminatı üzrə Middle Mühəndis</t>
  </si>
  <si>
    <t>Malik Mammadov,Anton Brauer</t>
  </si>
  <si>
    <t>5KTANH7</t>
  </si>
  <si>
    <t>AA3790223</t>
  </si>
  <si>
    <t>+994554784673</t>
  </si>
  <si>
    <t>nabi.ismayilov@pashapay.az</t>
  </si>
  <si>
    <t>BAKI, ZIĞ, ev 5, m. 8</t>
  </si>
  <si>
    <t>IDM-44</t>
  </si>
  <si>
    <t>Emin Niyazov, Elman</t>
  </si>
  <si>
    <t>Niyazov Emin Elman oğlu</t>
  </si>
  <si>
    <t>Area Product Lead</t>
  </si>
  <si>
    <t>Məhsul üzrə Sahə Lideri</t>
  </si>
  <si>
    <t>0UHNV5S</t>
  </si>
  <si>
    <t>AZE 16338651</t>
  </si>
  <si>
    <t>+994502508292</t>
  </si>
  <si>
    <t>emin.n@pashapay.az</t>
  </si>
  <si>
    <t>IDM-50</t>
  </si>
  <si>
    <t>Elchin Allahverdiyev, Ali</t>
  </si>
  <si>
    <t>3LQEY9T</t>
  </si>
  <si>
    <t>AA1386189</t>
  </si>
  <si>
    <t>+994552606621</t>
  </si>
  <si>
    <t>Bakı şəh, Keşlə qəsəbəsi, T.Bədəlov  küç, ev.31</t>
  </si>
  <si>
    <t>BAKI şəh., Keşlə qəs., T. Bədalov, küç., ev.31</t>
  </si>
  <si>
    <t>IDM-49</t>
  </si>
  <si>
    <t>Mirshahin Agayev, Mirjafar</t>
  </si>
  <si>
    <t>661VX0H</t>
  </si>
  <si>
    <t>AZE 09867419</t>
  </si>
  <si>
    <t>+994709356814</t>
  </si>
  <si>
    <t>mirshahin.agayev@pashapay.az</t>
  </si>
  <si>
    <t>Binəqədi rayon, Biləcəri qəsəbəsi, Xudadat bəy Məlikaslanov</t>
  </si>
  <si>
    <t>IDM-48</t>
  </si>
  <si>
    <t>Sadig Yusifi, Manichohri</t>
  </si>
  <si>
    <t>Yusifi Sadiq Məniçöhri oğlu</t>
  </si>
  <si>
    <t>Product Owner L3</t>
  </si>
  <si>
    <t>Zakir Khanmammadov</t>
  </si>
  <si>
    <t>0UMMUVC</t>
  </si>
  <si>
    <t>AZE17609953</t>
  </si>
  <si>
    <t>+994512773373</t>
  </si>
  <si>
    <t>sadig.yusifi@pashapay.az</t>
  </si>
  <si>
    <t>IDM-54</t>
  </si>
  <si>
    <t>Sabira Nagiyeva, Agaverdi</t>
  </si>
  <si>
    <t>Nağıyeva Sabirə Ağaverdi qızı</t>
  </si>
  <si>
    <t>61QSV76</t>
  </si>
  <si>
    <t>AA2755615</t>
  </si>
  <si>
    <t>+994513339699</t>
  </si>
  <si>
    <t>+994993339699</t>
  </si>
  <si>
    <t>sabira.nagiyeva@pashapay.az</t>
  </si>
  <si>
    <t>BAKI ŞƏHƏRİ, YASAMAL RAYONU, 523 MƏHƏLLƏSİ, ZAHİD XƏLİLOV KÜÇƏSİ, EV 14, MƏNZİL 16</t>
  </si>
  <si>
    <t>Yasamal ray.,Məhəmməd Xiyabadi 200</t>
  </si>
  <si>
    <t>IDM-57</t>
  </si>
  <si>
    <t>Nazim Abbaszadeh, Saxavat</t>
  </si>
  <si>
    <t>Abbaszadə Nazim Səxavət oğlu</t>
  </si>
  <si>
    <t>4WTG7H0</t>
  </si>
  <si>
    <t>AA1969534</t>
  </si>
  <si>
    <t>+994554503060</t>
  </si>
  <si>
    <t>abbaszade.nazim1991@gmail.com</t>
  </si>
  <si>
    <t>UMQAYIT ŞƏHƏRİ, 2-Cİ MİKRORAYON, EV 16A/39, MƏNZİL 31</t>
  </si>
  <si>
    <t>Sumqayıt şəh., 2-ci mkr., ev 16A/39, mən. 31</t>
  </si>
  <si>
    <t>IDM-60</t>
  </si>
  <si>
    <t>Nijat Mehdiyev, Namik</t>
  </si>
  <si>
    <t>Mehtiyev Nicat Namik oğlu</t>
  </si>
  <si>
    <t>2GD9PS1</t>
  </si>
  <si>
    <t>AA2566089</t>
  </si>
  <si>
    <t>+994555053391</t>
  </si>
  <si>
    <t>+994552847071</t>
  </si>
  <si>
    <t>nicat.mehdiyev@pashapay.az</t>
  </si>
  <si>
    <t>Quba şəh., Ərdəbil küç., ev 41</t>
  </si>
  <si>
    <t>QUBA RAYONU, QUBA ŞƏHƏRİ, ƏRDƏBİL KÜÇƏSİ, EV 41</t>
  </si>
  <si>
    <t>IDM-64</t>
  </si>
  <si>
    <t>Orkhan Talibzade, Afgan</t>
  </si>
  <si>
    <t>Talıbzadə Orxan Əfqan oğlu</t>
  </si>
  <si>
    <t>Budgeting &amp; financial modeling division</t>
  </si>
  <si>
    <t>Büdcələşdirmə və maliyyə modelləşdirilməsi şöbəsi</t>
  </si>
  <si>
    <t>Financial Modelling and Budgeting Manager</t>
  </si>
  <si>
    <t>Maliyyə Modelləşdirmə və Büdcələşdirmə üzrə Menecer</t>
  </si>
  <si>
    <t>1MAJ1Q9</t>
  </si>
  <si>
    <t>AA046543</t>
  </si>
  <si>
    <t>+994518489575</t>
  </si>
  <si>
    <t>orkhan.talibzada@pashapay.az</t>
  </si>
  <si>
    <t>BAKI ŞƏHƏRİ, NƏSİMİ RAYONU, RUHULLA AXUNDOV KÜÇƏSİ, EV 21, MƏNZİL 16</t>
  </si>
  <si>
    <t>IDM-75</t>
  </si>
  <si>
    <t>Shams Nabizada, Natig</t>
  </si>
  <si>
    <t>Nəbizadə Şəms Natiq qızı</t>
  </si>
  <si>
    <t>Senior Analyst</t>
  </si>
  <si>
    <t>Baş analitik</t>
  </si>
  <si>
    <t>5ZBNCVH</t>
  </si>
  <si>
    <t>AA2792428</t>
  </si>
  <si>
    <t>+994559285912</t>
  </si>
  <si>
    <t>shams.nabizada@pashapay.az</t>
  </si>
  <si>
    <t>BAKI ŞƏHƏRİ, SURAXANI RAYONU, D YAŞAYIŞ SAHƏSİ, EV 28, MƏNZİL 130</t>
  </si>
  <si>
    <t>IDM-82</t>
  </si>
  <si>
    <t>Nurlan Badalov, Sarviz</t>
  </si>
  <si>
    <t>Bədəlov Nurlan Sərviz oğlu</t>
  </si>
  <si>
    <t>Branch Management Team Lead</t>
  </si>
  <si>
    <t>Regional Xidmət Mərkəzləri üzrə Qrup Rəhbəri</t>
  </si>
  <si>
    <t>5X8D35U</t>
  </si>
  <si>
    <t>AA5586285</t>
  </si>
  <si>
    <t>+994507846397</t>
  </si>
  <si>
    <t>+994555058011</t>
  </si>
  <si>
    <t>nurlan.badalov@pashapay.az</t>
  </si>
  <si>
    <t>Naxçıvan MR.,Ordubad ray.,Y.Əylis.,K</t>
  </si>
  <si>
    <t>Xudu Məmmədov küçəsi, b.1</t>
  </si>
  <si>
    <t>IDM-88</t>
  </si>
  <si>
    <t>Rinat Mammadov, Mahir</t>
  </si>
  <si>
    <t>Leading Business Analyst</t>
  </si>
  <si>
    <t>Aparıcı Biznes Analitik</t>
  </si>
  <si>
    <t>53GJNMJ</t>
  </si>
  <si>
    <t>AA2361097</t>
  </si>
  <si>
    <t>+994505940258</t>
  </si>
  <si>
    <t>rinat.mammadov@pashapay.az</t>
  </si>
  <si>
    <t>NAXÇIVAN MUXTAR RESPUBLİKASI, ORDUBAD RAYONU, XANAĞA Ə/D, DİZƏ KƏNDİ</t>
  </si>
  <si>
    <t>Bakı şəh., N.Nərimanov rayonu, H.Əliyev pr 80.,</t>
  </si>
  <si>
    <t>IDM-91</t>
  </si>
  <si>
    <t>Madina Rajabova, Faig</t>
  </si>
  <si>
    <t>Rəcəbova Mədinə Faiq qızı</t>
  </si>
  <si>
    <t>4WE0KTD</t>
  </si>
  <si>
    <t>AA0185939</t>
  </si>
  <si>
    <t>+994519609697</t>
  </si>
  <si>
    <t>madina.racabova@pashapay.az</t>
  </si>
  <si>
    <t>SUMQAYIT ŞƏHƏRİ, 4-CÜ MİKRORAYON, EV 31/14, MƏNZİL 75</t>
  </si>
  <si>
    <t>IDM-93</t>
  </si>
  <si>
    <t>Shanay Mehdiyeva, Azer</t>
  </si>
  <si>
    <t>Mehdiyeva Şənay Azər qızı</t>
  </si>
  <si>
    <t>Aparıcı mühasib</t>
  </si>
  <si>
    <t>4AN5Q5R</t>
  </si>
  <si>
    <t>AA5930024</t>
  </si>
  <si>
    <t>+994504267239</t>
  </si>
  <si>
    <t>shanay.mehdiyeva@pashapay.az</t>
  </si>
  <si>
    <t>AZƏRBAYCAN, BAKI, XƏTAİ, ZIĞ YOLU, 7B, 7</t>
  </si>
  <si>
    <t>IDM-99</t>
  </si>
  <si>
    <t>Rustam Dadashov, Hamid</t>
  </si>
  <si>
    <t>5GYHLEL</t>
  </si>
  <si>
    <t>AZE16366163</t>
  </si>
  <si>
    <t>+994506802151</t>
  </si>
  <si>
    <t>AZƏRBAYCAN, NEFTÇALA, M.Ə.RƏSULZADƏ KÜÇƏSİ, 35, 1</t>
  </si>
  <si>
    <t>Xırdalan şəh.,Cəbrayıl Hüseynov küç 6B</t>
  </si>
  <si>
    <t>IDM-98</t>
  </si>
  <si>
    <t>Habil Safarov, Abil</t>
  </si>
  <si>
    <t>15RD7RX</t>
  </si>
  <si>
    <t>AA2963062</t>
  </si>
  <si>
    <t>+994503884595</t>
  </si>
  <si>
    <t>SAATLI RAYONU, ƏBİL Ə/D, ƏBİL KƏNDİ</t>
  </si>
  <si>
    <t>Bakı şəh., Nəsimi ray., Həzi Aslanov küç 115, m.66</t>
  </si>
  <si>
    <t>IDM-95</t>
  </si>
  <si>
    <t>Elmira Khalilova, Sarifovna</t>
  </si>
  <si>
    <t>Xəlilova Elmira Sarifovna</t>
  </si>
  <si>
    <t>ERM Manager</t>
  </si>
  <si>
    <t>Müəssisə Risklərinin İdarə Edilməsi üzrə Menecer</t>
  </si>
  <si>
    <t>Funksiya mərkəzləşir, KB-yə keçməlidir bu əməkdaşlar</t>
  </si>
  <si>
    <t>4YZUX5G</t>
  </si>
  <si>
    <t>AA0014466</t>
  </si>
  <si>
    <t>+994555495579</t>
  </si>
  <si>
    <t>elmira.khalilova@pashapay.az</t>
  </si>
  <si>
    <t>BAKI ŞƏHƏRİ, NİZAMİ RAYONU, 8- Cİ KM Y/SAHƏSİ,M.ŞƏRİFLİ KÜÇ,EV 25, MƏNZİL 244</t>
  </si>
  <si>
    <t>IDM-103</t>
  </si>
  <si>
    <t>Jeyhun Yahyayev, Galib</t>
  </si>
  <si>
    <t>Yəhyayev Ceyhun Qalib oğlu</t>
  </si>
  <si>
    <t>Product Owner L2</t>
  </si>
  <si>
    <t>5CJT1P7</t>
  </si>
  <si>
    <t>AA0138322</t>
  </si>
  <si>
    <t>+994552010808</t>
  </si>
  <si>
    <t>jeyhun.yahyayev@pashapay.az</t>
  </si>
  <si>
    <t>Ziya Bunyadov 11/14, Baku, Azerbaijan</t>
  </si>
  <si>
    <t>IDM-110</t>
  </si>
  <si>
    <t>Antiga Taghiyeva, Tahir</t>
  </si>
  <si>
    <t>Tağıyeva Əntiqə Tahir qızı</t>
  </si>
  <si>
    <t>Head of Customer Excellence</t>
  </si>
  <si>
    <t>Müştəri Mükəmməlliyi Mərkəzinin Rəhbəri</t>
  </si>
  <si>
    <t>1NRFAJB</t>
  </si>
  <si>
    <t>AZE16367884</t>
  </si>
  <si>
    <t>+994702011610</t>
  </si>
  <si>
    <t>antiga.taghiyeva@pashapay.az</t>
  </si>
  <si>
    <t>Şuşa şəh.,Bül-bül küç, ev,14</t>
  </si>
  <si>
    <t>IDM-119</t>
  </si>
  <si>
    <t>Rovshan Osmanov, Maarif</t>
  </si>
  <si>
    <t>0X6EBXA</t>
  </si>
  <si>
    <t>AA1232610</t>
  </si>
  <si>
    <t>+994503975050</t>
  </si>
  <si>
    <t>İsmayıllı rayonu, Haputlu Kəndi</t>
  </si>
  <si>
    <t>Bakı şəhəri, Sabunçu rayonu, Şəhər Şosesi, döngə 5, ev,12</t>
  </si>
  <si>
    <t>IDM-124</t>
  </si>
  <si>
    <t>Samir Mammadzada, Safar</t>
  </si>
  <si>
    <t>Area Tech Lead</t>
  </si>
  <si>
    <t>Sahə üzrə Texniki Lider</t>
  </si>
  <si>
    <t>Ilqar Mammadov</t>
  </si>
  <si>
    <t>5QLX9K1</t>
  </si>
  <si>
    <t>AA2382592</t>
  </si>
  <si>
    <t>+994514038328</t>
  </si>
  <si>
    <t>samir.mammadzada@pashapay.az</t>
  </si>
  <si>
    <t>BAKI ŞƏHƏRİ, SƏBAİL RAYONU, XANLAR KÜÇƏSİ, EV 44, MƏNZİL 20</t>
  </si>
  <si>
    <t>IDM-129</t>
  </si>
  <si>
    <t>Minakhanum Imanverdiyeva, Elnur</t>
  </si>
  <si>
    <t>İmanverdiyeva Minaxanım Elnur</t>
  </si>
  <si>
    <t>6WENM1H</t>
  </si>
  <si>
    <t>AA0291696</t>
  </si>
  <si>
    <t>+994552104486</t>
  </si>
  <si>
    <t>minakhanum.imanverdiyeva@pashapay.az</t>
  </si>
  <si>
    <t>mina.imanverdiyeva@gmail.com</t>
  </si>
  <si>
    <t>Gəncə şəh., Təbriz küç.,m.10</t>
  </si>
  <si>
    <t>Bakı şəh., Səbail ray., M.Müşfiq 4 b</t>
  </si>
  <si>
    <t>IDM-131</t>
  </si>
  <si>
    <t>Bayram Kazimov, Faig</t>
  </si>
  <si>
    <t>2KREV7D</t>
  </si>
  <si>
    <t>AZE14012538</t>
  </si>
  <si>
    <t>+994552297336</t>
  </si>
  <si>
    <t>LƏNKƏRAN şəh., P.TƏHMƏZOV KÜÇ., ev.19.,m.6</t>
  </si>
  <si>
    <t>IDM-135</t>
  </si>
  <si>
    <t>Aleksandr Mikhailov</t>
  </si>
  <si>
    <t>Mikhailov Aleksandr</t>
  </si>
  <si>
    <t>43620D</t>
  </si>
  <si>
    <t>Russian</t>
  </si>
  <si>
    <t>MYİ 0853868</t>
  </si>
  <si>
    <t>+994508782105</t>
  </si>
  <si>
    <t>alexander.mikhailov@pashapay.az</t>
  </si>
  <si>
    <t>Bakı şəhəri, Yasamal rayonu, NZərdabi küçəsi, ev.43,  m104</t>
  </si>
  <si>
    <t>IDM-140</t>
  </si>
  <si>
    <t>Ayla Gasimova, Aghasi</t>
  </si>
  <si>
    <t>Qasımova Ayla Ağası qızı</t>
  </si>
  <si>
    <t>Senior Product Marketing Specialist</t>
  </si>
  <si>
    <t>Məhsul Marketinqi üzrə Baş Mütəxəssis</t>
  </si>
  <si>
    <t>Kamran Babashov, Pavel Kasatkin</t>
  </si>
  <si>
    <t>4FZFY3V</t>
  </si>
  <si>
    <t>AA4405161</t>
  </si>
  <si>
    <t>+994502122470</t>
  </si>
  <si>
    <t>ayla.gasimova@pashapay.az</t>
  </si>
  <si>
    <t>BAKI ŞƏHƏRİ, XƏTAİ RAYONU, AĞ ŞƏHƏR, 1-Cİ YAŞIL ADA KÜÇƏSİ, EV 3, GİRİŞ 4, MƏNZİL 57</t>
  </si>
  <si>
    <t>IDM-137</t>
  </si>
  <si>
    <t>Sakit Amirli, Bunyamin</t>
  </si>
  <si>
    <t>Əmirli Sakit Bünyamin oğlu</t>
  </si>
  <si>
    <t>İT Şöbəsi</t>
  </si>
  <si>
    <t xml:space="preserve">IT Infrastructure Manager </t>
  </si>
  <si>
    <t>İT İnfrastruktur şöbəsinin Meneceri</t>
  </si>
  <si>
    <t>Rashad Ahmadov</t>
  </si>
  <si>
    <t>5ERAWD8</t>
  </si>
  <si>
    <t>AA3096049</t>
  </si>
  <si>
    <t>+994558283928</t>
  </si>
  <si>
    <t>sakit.amirli@pashapay.az</t>
  </si>
  <si>
    <t>Zaqatala ray.,A.Tala k.</t>
  </si>
  <si>
    <t>Bakı şəhəri, Xətai Rayonu, Lütfi-zadə 24A</t>
  </si>
  <si>
    <t>IDM-141</t>
  </si>
  <si>
    <t>Narmin Orujova, Faig</t>
  </si>
  <si>
    <t>Orucova Nərmin Faiq qızı</t>
  </si>
  <si>
    <t>Internal control division</t>
  </si>
  <si>
    <t>Daxili nəzarət şöbəsi</t>
  </si>
  <si>
    <t xml:space="preserve">Internal Control  Specialist </t>
  </si>
  <si>
    <t>Daxili Nəzarət üzrə Mütəxəssis</t>
  </si>
  <si>
    <t>Birbaşa rəhbəri yoxdur</t>
  </si>
  <si>
    <t>0ZME8C0</t>
  </si>
  <si>
    <t>AA1655154</t>
  </si>
  <si>
    <t>+994557505062</t>
  </si>
  <si>
    <t>narmin.orujova@pashapay.az</t>
  </si>
  <si>
    <t>Nəsimi rayonu, Mərdanov qardaşları 117 b, m.39</t>
  </si>
  <si>
    <t>IDM-145</t>
  </si>
  <si>
    <t>Nail Aliyev, Shakir</t>
  </si>
  <si>
    <t>Əliyev Nail Şakir oğlu</t>
  </si>
  <si>
    <t>2DNHATS</t>
  </si>
  <si>
    <t>AA3467105</t>
  </si>
  <si>
    <t>+994503570799</t>
  </si>
  <si>
    <t>nail.aliyev@pashapay.az</t>
  </si>
  <si>
    <t>Bakı şəh., Gəncə pr., ev,52., mənzil 78</t>
  </si>
  <si>
    <t>IDM-144</t>
  </si>
  <si>
    <t>Fidan Salimi (Mammadzade), Emin</t>
  </si>
  <si>
    <t>Səlimi (Məmmədzadə) Fidan Emin qızı</t>
  </si>
  <si>
    <t>Digital Marketing Specialist</t>
  </si>
  <si>
    <t>Rəqəmsal Marketinq üzrə Mütəxəssis</t>
  </si>
  <si>
    <t>Kamran Babashov, Kanan Aliyev</t>
  </si>
  <si>
    <t>6LLH1YS</t>
  </si>
  <si>
    <t>AA7070385</t>
  </si>
  <si>
    <t>+994993803090</t>
  </si>
  <si>
    <t>fidan.mammadzada@pashapay.az</t>
  </si>
  <si>
    <t>Bakı şəh., Mərdanov Qardaşları 59, m.38</t>
  </si>
  <si>
    <t>IDM-154</t>
  </si>
  <si>
    <t>Zahra Pashayeva, Yaver</t>
  </si>
  <si>
    <t>Paşayeva Zəhra Yavər qızı</t>
  </si>
  <si>
    <t>Office Management Administrator</t>
  </si>
  <si>
    <t>Ofis Menecment üzrə Administrator</t>
  </si>
  <si>
    <t>19ZATLN</t>
  </si>
  <si>
    <t>AA0646936</t>
  </si>
  <si>
    <t>+994502955253</t>
  </si>
  <si>
    <t>zahra.pashayeva@pashapay.az</t>
  </si>
  <si>
    <t>Badamdar qəs., 3-cü massiv 34 küç</t>
  </si>
  <si>
    <t>IDM-160</t>
  </si>
  <si>
    <t>Najafali Mahmudov, Islam</t>
  </si>
  <si>
    <t>Mahmudov Nəcəfəli İslam oğlu</t>
  </si>
  <si>
    <t>4RBRL5D</t>
  </si>
  <si>
    <t>AA2542196</t>
  </si>
  <si>
    <t>+994702500099</t>
  </si>
  <si>
    <t>mahmudovnecef444@gmail.com</t>
  </si>
  <si>
    <t>Şabran şəhəri., Pişəvari küç., ev 5 A</t>
  </si>
  <si>
    <t>IDM-159</t>
  </si>
  <si>
    <t>Orkhan Shahverenov, Oktay</t>
  </si>
  <si>
    <t>Şahverənov Orxan Oktay oğlu</t>
  </si>
  <si>
    <t>3CZ4T4R</t>
  </si>
  <si>
    <t>AA5776969</t>
  </si>
  <si>
    <t>+994504170008</t>
  </si>
  <si>
    <t>orxanshahverenov@gmail.com</t>
  </si>
  <si>
    <t>Bakı şəhəri., Sabunçu rayonu, Zabrat qəsəbəsi., Xavər Vəliyev 33</t>
  </si>
  <si>
    <t>IDM-163</t>
  </si>
  <si>
    <t>Rauf Bairamov, Allahyar</t>
  </si>
  <si>
    <t>Baıramov Rauf Allahyar oğlu</t>
  </si>
  <si>
    <t>38F1B7</t>
  </si>
  <si>
    <t>Georgia</t>
  </si>
  <si>
    <t>DYI0033738</t>
  </si>
  <si>
    <t>+994556742555</t>
  </si>
  <si>
    <t>Bakı şəhəri, Nərimanov rayonu, Əlizadə küçəsi, ev.59</t>
  </si>
  <si>
    <t>IDM-164</t>
  </si>
  <si>
    <t>Rauf Gafarov, Rafael</t>
  </si>
  <si>
    <t>Qafarov Rauf Rafael oğlu</t>
  </si>
  <si>
    <t>Senior Training Specialist</t>
  </si>
  <si>
    <t>Təlim üzrə Baş Mütəxəssis</t>
  </si>
  <si>
    <t>2BV8H1H</t>
  </si>
  <si>
    <t>AA1830647</t>
  </si>
  <si>
    <t>+994508646935</t>
  </si>
  <si>
    <t>rauf.gafarov@pashapay.az</t>
  </si>
  <si>
    <t>Masallı ray., Bədəlan kəndi</t>
  </si>
  <si>
    <t>Bakı şəhəri, Xətai rayonu, Nəsrəddin Tusi 14a</t>
  </si>
  <si>
    <t>IDM-166</t>
  </si>
  <si>
    <t>Farid Afandiyev, Javid</t>
  </si>
  <si>
    <t>Əfəndiyev Fərid Cavid oğlu</t>
  </si>
  <si>
    <t>67JQMV8</t>
  </si>
  <si>
    <t>AA3259245</t>
  </si>
  <si>
    <t>+994506435027</t>
  </si>
  <si>
    <t>farid.afandiyev@pashapay.az</t>
  </si>
  <si>
    <t>Şahbazi 605, m.59</t>
  </si>
  <si>
    <t>Bakı şəh., Mərdanov qardaşları 41/47</t>
  </si>
  <si>
    <t>IDM-168</t>
  </si>
  <si>
    <t>Nijat Karimov, Arzuman</t>
  </si>
  <si>
    <t>Kərimov Nicat Arzuman oğlu</t>
  </si>
  <si>
    <t>3VET6UB</t>
  </si>
  <si>
    <t>AA0132476</t>
  </si>
  <si>
    <t>+994557095243</t>
  </si>
  <si>
    <t>nijat.karimov@pashapay.az</t>
  </si>
  <si>
    <t>Bakı şəh.,Gülüstan qəs</t>
  </si>
  <si>
    <t>Bakı şəh.,7 mkr, Şəhid F.Məlikov küç.,m 20</t>
  </si>
  <si>
    <t>IDM-171</t>
  </si>
  <si>
    <t>Oktay Gozalov, Aydin</t>
  </si>
  <si>
    <t>Gözəlov Oktay Aydın oğlu</t>
  </si>
  <si>
    <t>Leading Monitoring Specialist</t>
  </si>
  <si>
    <t>Monitorinq üzrə Aparıcı Mütəxəssis</t>
  </si>
  <si>
    <t>4ZLEHTY</t>
  </si>
  <si>
    <t>AA7036798</t>
  </si>
  <si>
    <t>+994703063340</t>
  </si>
  <si>
    <t>oktay.gozalov@pashapay.az</t>
  </si>
  <si>
    <t>Bakı şəh., Səbail ray., M.Hüseyn küç., ev.65.,m.6</t>
  </si>
  <si>
    <t>IDM-172</t>
  </si>
  <si>
    <t>Sevinj Usubova, Jafar</t>
  </si>
  <si>
    <t>Head of Settlements</t>
  </si>
  <si>
    <t>Hesablaşmalar Departamentinin Rəhbəri</t>
  </si>
  <si>
    <t>3GYBQ06</t>
  </si>
  <si>
    <t>AZE09854886</t>
  </si>
  <si>
    <t>+994503781020</t>
  </si>
  <si>
    <t>sevinj.usubova@pashapay.az</t>
  </si>
  <si>
    <t>Bakı şəh.,3 MR.A.Mustafayev küç., ev.10, m.31</t>
  </si>
  <si>
    <t>IDM-175</t>
  </si>
  <si>
    <t>Nargiz Amirova, Nazim</t>
  </si>
  <si>
    <t>Əmirova Nərgiz Nazim qızı</t>
  </si>
  <si>
    <t>Keyfiyyət idarəetməsi və qiymətləndirmə üzrə aparıcı mütəxəssis</t>
  </si>
  <si>
    <t>728CPCS</t>
  </si>
  <si>
    <t>AZE16917619</t>
  </si>
  <si>
    <t>+994504634101</t>
  </si>
  <si>
    <t>nargiz.amirova@pashapay.az</t>
  </si>
  <si>
    <t>Bakı şəhəri, Səbail ray., A.Quliyev küç 15.115</t>
  </si>
  <si>
    <t>Bakı şəh, Səbail ray, Aydın Nəsirov küçəsi 1.19</t>
  </si>
  <si>
    <t>IDM-176</t>
  </si>
  <si>
    <t>Tahir Panjaliyev, Firudin</t>
  </si>
  <si>
    <t>Pəncəliyev Tahir Firudin oğlu</t>
  </si>
  <si>
    <t>7ADJR29</t>
  </si>
  <si>
    <t>AA0081295</t>
  </si>
  <si>
    <t>+994709201925</t>
  </si>
  <si>
    <t>Sumqayıt şəh., 1-ci Mkr ev-10/24, mən.45</t>
  </si>
  <si>
    <t>Sumqayıt şəh., 11-ci mkr, ev-7A, mən.31</t>
  </si>
  <si>
    <t>IDM-180</t>
  </si>
  <si>
    <t xml:space="preserve">Farhad Hajiyev, Mehman </t>
  </si>
  <si>
    <t>Hacıyev Fərhad Mehman oğlu</t>
  </si>
  <si>
    <t>6EXC2CB</t>
  </si>
  <si>
    <t>AA6136723</t>
  </si>
  <si>
    <t>+994553970290</t>
  </si>
  <si>
    <t>Bakı şəh., Suraxanı ray., Əmircan qəs., Məktəbli küç., ev. 10</t>
  </si>
  <si>
    <t>IDM-187</t>
  </si>
  <si>
    <t>Parvin Bakhshaliyeva, Vahid</t>
  </si>
  <si>
    <t>Baxşəliyeva Pərvin Vahid qızı</t>
  </si>
  <si>
    <t>Senior settlements specialist</t>
  </si>
  <si>
    <t>1G9T4S9</t>
  </si>
  <si>
    <t>AA3354083</t>
  </si>
  <si>
    <t>+994554552646</t>
  </si>
  <si>
    <t>parvin.bakhshaliyeva@pashapay.az</t>
  </si>
  <si>
    <t>Bakı şəhəri, Nizami rayonu, Ə.Vəliyev küçəsi, ev.7, m.125</t>
  </si>
  <si>
    <t>IDM-190</t>
  </si>
  <si>
    <t>Ali Zamanli, Yashar</t>
  </si>
  <si>
    <t>Zamanlı Əli Yaşar oğlu</t>
  </si>
  <si>
    <t>Leading IT Specialist</t>
  </si>
  <si>
    <t>İT üzrə Aparıcı Mütəxəssis</t>
  </si>
  <si>
    <t>Amina Aliyeva</t>
  </si>
  <si>
    <t>6GTM7E5</t>
  </si>
  <si>
    <t>AA1465886</t>
  </si>
  <si>
    <t>+994552453575</t>
  </si>
  <si>
    <t>ali.zamanli@pashapay.az</t>
  </si>
  <si>
    <t>28 may küç 20</t>
  </si>
  <si>
    <t>IDM-192</t>
  </si>
  <si>
    <t>Elvin Ahmadov, Oruj</t>
  </si>
  <si>
    <t>Əhmədov Elvin Oruc oğlu</t>
  </si>
  <si>
    <t>1ZDCVA4</t>
  </si>
  <si>
    <t>AA2467002</t>
  </si>
  <si>
    <t>+994707333934</t>
  </si>
  <si>
    <t>Zəngilan ray</t>
  </si>
  <si>
    <t>Xətai ray, Köhnə Günəşli, İnqilab 122</t>
  </si>
  <si>
    <t>IDM-210</t>
  </si>
  <si>
    <t>Javid Tofigzade, Hamlet</t>
  </si>
  <si>
    <t>Tofiqzadə Cavid Hamlet oğlu</t>
  </si>
  <si>
    <t>6LCFGHF</t>
  </si>
  <si>
    <t>AA2643226</t>
  </si>
  <si>
    <t>+994516530003</t>
  </si>
  <si>
    <t>Beyləqan ray., Yuxarı Aran kəndi</t>
  </si>
  <si>
    <t>IDM-211</t>
  </si>
  <si>
    <t>Laman Mammadova, Rauf</t>
  </si>
  <si>
    <t>Məmmədova Ləman Rauf qızı</t>
  </si>
  <si>
    <t>6KMCA6Q</t>
  </si>
  <si>
    <t>AA6193568</t>
  </si>
  <si>
    <t>+994556090534</t>
  </si>
  <si>
    <t>laman.mammadova@pashapay.az</t>
  </si>
  <si>
    <t>Goranboy ray, Sarovlu k.</t>
  </si>
  <si>
    <t>Gəncə şəh., Muxtar Hacıyev</t>
  </si>
  <si>
    <t>IDM-227</t>
  </si>
  <si>
    <t>Sarvin Rizvanov, Garib</t>
  </si>
  <si>
    <t>Rizvanov Sərvin Qərib oğlu</t>
  </si>
  <si>
    <t>6E3VB0M</t>
  </si>
  <si>
    <t>AA1783035</t>
  </si>
  <si>
    <t>+994515247454</t>
  </si>
  <si>
    <t>Qəbələ şəh, Surə Kərimova küç, ev.19</t>
  </si>
  <si>
    <t>IDM-243</t>
  </si>
  <si>
    <t>Sabuhi Ahmadov, Iltifat</t>
  </si>
  <si>
    <t>0ZNGR7N</t>
  </si>
  <si>
    <t>AA1054108</t>
  </si>
  <si>
    <t>+994505467277</t>
  </si>
  <si>
    <t>Lənkəran ray, Aşağı Nürədi Kürənil k</t>
  </si>
  <si>
    <t>IDM-249</t>
  </si>
  <si>
    <t>Rasim Shirinov, Tofig</t>
  </si>
  <si>
    <t>1191HTZ</t>
  </si>
  <si>
    <t>AA0028629</t>
  </si>
  <si>
    <t>+994503556778</t>
  </si>
  <si>
    <t>Bakı şəh, Nəsimi ray, Alı Mustafayev küç, ev.15, m.19</t>
  </si>
  <si>
    <t>Abşeron ray, Qobu qəs</t>
  </si>
  <si>
    <t>IDM-244</t>
  </si>
  <si>
    <t>Khalig Babayev, Shahin</t>
  </si>
  <si>
    <t>Babayev Xalıq Şahin oğlu</t>
  </si>
  <si>
    <t>Chief Compliance Office</t>
  </si>
  <si>
    <t>Baş Komplayens inzibatçısı</t>
  </si>
  <si>
    <t>AML and Compliance Manager</t>
  </si>
  <si>
    <t>AML və Komplayens üzrə Menecer</t>
  </si>
  <si>
    <t>54YAGD5</t>
  </si>
  <si>
    <t>AA2367840</t>
  </si>
  <si>
    <t>+994518192979</t>
  </si>
  <si>
    <t>khalig.babayev@pashapay.az</t>
  </si>
  <si>
    <t>Bakı şəh, Xətai ray, Səməd bəy Mehmandarov 74, m.55</t>
  </si>
  <si>
    <t>IDM-248</t>
  </si>
  <si>
    <t>Ilham Haziyev, Ilham</t>
  </si>
  <si>
    <t>759WB88</t>
  </si>
  <si>
    <t>AA0420129</t>
  </si>
  <si>
    <t>+994504654187</t>
  </si>
  <si>
    <t>Neftçala ray, H.Əliyev prospekti</t>
  </si>
  <si>
    <t>Masazır , Yeni Bakı, Bina 5C</t>
  </si>
  <si>
    <t>IDM-251</t>
  </si>
  <si>
    <t>Azad Alkhasov, Balami</t>
  </si>
  <si>
    <t>Alxasov Azad Balami oğlu</t>
  </si>
  <si>
    <t>4DCJR18</t>
  </si>
  <si>
    <t>AA5053660</t>
  </si>
  <si>
    <t>+994708707040</t>
  </si>
  <si>
    <t>Qaradağ ray, Lökbatan qəs</t>
  </si>
  <si>
    <t>IDM-258</t>
  </si>
  <si>
    <t>Ali Ibrahimov, Tarlan</t>
  </si>
  <si>
    <t>6JQCFVX</t>
  </si>
  <si>
    <t>AA5423293</t>
  </si>
  <si>
    <t>+994557748131</t>
  </si>
  <si>
    <t>Bakı şəh, ./Dres qəs, Dənizdöngəsi küç, ev.4, m.8</t>
  </si>
  <si>
    <t>Bakı şəh, Xəzər ray, Mərdəkan qəs, S.Dadaşov küç 8</t>
  </si>
  <si>
    <t>IDM-255</t>
  </si>
  <si>
    <t>Abalfaz Aliyev, Fuad</t>
  </si>
  <si>
    <t>5JZWCR2</t>
  </si>
  <si>
    <t>AA3138719</t>
  </si>
  <si>
    <t>+994555530011</t>
  </si>
  <si>
    <t>Bakı şəh, Nəsimi ray, Hüseyn Bala Əliyev 1 mas</t>
  </si>
  <si>
    <t>IDM-257</t>
  </si>
  <si>
    <t>Murad Huseynov, Ilgar</t>
  </si>
  <si>
    <t>7JD3D78</t>
  </si>
  <si>
    <t>AZE16711994</t>
  </si>
  <si>
    <t>+994506880455</t>
  </si>
  <si>
    <t>Şəki ray, Şəki kəndi</t>
  </si>
  <si>
    <t>Bakı şəh, Sabunçu ray, Bakıxanov, M.Fətəliyev</t>
  </si>
  <si>
    <t>IDM-259</t>
  </si>
  <si>
    <t>Narmin Rasulova, Aziz</t>
  </si>
  <si>
    <t>Rəsulova Nərmin Əziz qızı</t>
  </si>
  <si>
    <t>Senior ERM Specialist</t>
  </si>
  <si>
    <t>Müəssisə Risklərinin İdarə Edilməsi üzrə Baş Mütəxəssis</t>
  </si>
  <si>
    <t>5N1BTX6</t>
  </si>
  <si>
    <t>AA0579156</t>
  </si>
  <si>
    <t>+994707030330</t>
  </si>
  <si>
    <t>narmin.rasulova@pashapay.az</t>
  </si>
  <si>
    <t>Bakı şəh, Ə.İsgəndərov 1B, m.47</t>
  </si>
  <si>
    <t>Bakı şəh, Əhməd Cəmil 16/33, m.223</t>
  </si>
  <si>
    <t>IDM-261</t>
  </si>
  <si>
    <t>Kanan Nazarov, Vugar</t>
  </si>
  <si>
    <t>Nəzərov Kənan Vüqar oğlu</t>
  </si>
  <si>
    <t>2ATC5D0</t>
  </si>
  <si>
    <t>AA0812339</t>
  </si>
  <si>
    <t>+994775373133</t>
  </si>
  <si>
    <t>kanan.novruzov@pashapay.az</t>
  </si>
  <si>
    <t>Naxçıvanski 1, ev 45</t>
  </si>
  <si>
    <t>IDM-268</t>
  </si>
  <si>
    <t>Huseyn Huseynov, Aligara</t>
  </si>
  <si>
    <t>5XTNTUC</t>
  </si>
  <si>
    <t>AA3860866</t>
  </si>
  <si>
    <t>+994509679767</t>
  </si>
  <si>
    <t>Ağcabədi rau, Hindart qəsəbəsi</t>
  </si>
  <si>
    <t>IDM-266</t>
  </si>
  <si>
    <t>Kanan Nuri, Mirzagha</t>
  </si>
  <si>
    <t>5V41S6H</t>
  </si>
  <si>
    <t>AA0985046</t>
  </si>
  <si>
    <t>+994514489033</t>
  </si>
  <si>
    <t>Qəbələ şəhəri</t>
  </si>
  <si>
    <t>IDM-267</t>
  </si>
  <si>
    <t>Khayal Mirzayev, Agil</t>
  </si>
  <si>
    <t>38ZPZVG</t>
  </si>
  <si>
    <t>AA5408139</t>
  </si>
  <si>
    <t>+994518028008</t>
  </si>
  <si>
    <t>Ağcabədi rayonu, Muğanlı kəndi</t>
  </si>
  <si>
    <t>IDM-264</t>
  </si>
  <si>
    <t>Leyla Javadova, Arzuman</t>
  </si>
  <si>
    <t>Cavadova Leyla Arzuman qızı</t>
  </si>
  <si>
    <t>5ASJ4F3</t>
  </si>
  <si>
    <t>AA0724023</t>
  </si>
  <si>
    <t>+994514018184</t>
  </si>
  <si>
    <t>Tofiq İsmayılov küçəsi, ev.81</t>
  </si>
  <si>
    <t>IDM-270</t>
  </si>
  <si>
    <t>Ramil Huseynov, Shamsaddin</t>
  </si>
  <si>
    <t>00YAJSU</t>
  </si>
  <si>
    <t>AA1683055</t>
  </si>
  <si>
    <t>+994516214942</t>
  </si>
  <si>
    <t>Ağcabədi şəhəri, Qarabağ küçəsi 194</t>
  </si>
  <si>
    <t>IDM-273</t>
  </si>
  <si>
    <t>Elvin Tapdigov, Elnur</t>
  </si>
  <si>
    <t>Tapdıqov Elvin Elnur oğlu</t>
  </si>
  <si>
    <t>2 months</t>
  </si>
  <si>
    <t>6H4YQUF</t>
  </si>
  <si>
    <t>AZE15456175</t>
  </si>
  <si>
    <t>+994515572040</t>
  </si>
  <si>
    <t>elvin.tapdigov@pashapay.az</t>
  </si>
  <si>
    <t>Quba şəh, Qəçreş yolu yaşayış massivi</t>
  </si>
  <si>
    <t>Bakı şəh, Atatürk prospekti 35, mənzil 112</t>
  </si>
  <si>
    <t>IDM-277</t>
  </si>
  <si>
    <t>Faig Cafarov, Elchin</t>
  </si>
  <si>
    <t>7MCG3L9</t>
  </si>
  <si>
    <t>AA0256633</t>
  </si>
  <si>
    <t>+994552868782</t>
  </si>
  <si>
    <t>Samux rayonu, Qiyaslı kəndi</t>
  </si>
  <si>
    <t>IDM-276</t>
  </si>
  <si>
    <t>Emin Naibov, Amrah</t>
  </si>
  <si>
    <t>Naibov Emin Əmrah oğlu</t>
  </si>
  <si>
    <t>1AX5SEP</t>
  </si>
  <si>
    <t>AZE17000621</t>
  </si>
  <si>
    <t>+994706337333</t>
  </si>
  <si>
    <t>emin.naibov@pashapay.az</t>
  </si>
  <si>
    <t>Bakı şəh, Binəqədi ray, Rəsulzadə Qəs, C.Cabbarlı küç, ev.26</t>
  </si>
  <si>
    <t>IDM-278</t>
  </si>
  <si>
    <t>Ramin Aghazade, Jamil</t>
  </si>
  <si>
    <t>Ağazadə Ramin Cəmil oğlu</t>
  </si>
  <si>
    <t>Financial reporting &amp; analysis division</t>
  </si>
  <si>
    <t>Maliyyə hesabatlılığı və təhlil şöbəsi</t>
  </si>
  <si>
    <t>Leading Analyst</t>
  </si>
  <si>
    <t>Aparıcı analitik</t>
  </si>
  <si>
    <t>Abdullayev Murad Zahir oğlu</t>
  </si>
  <si>
    <t>73A0KQ9</t>
  </si>
  <si>
    <t>AA0700380</t>
  </si>
  <si>
    <t>+994516552101</t>
  </si>
  <si>
    <t>ramin.aghazada@pashapay.az</t>
  </si>
  <si>
    <t>Bakı şəh, Xətai ray, Sadıqcan 99, m.07,02</t>
  </si>
  <si>
    <t>IDM-280</t>
  </si>
  <si>
    <t>Fizuli Alakbarli, Alakbar</t>
  </si>
  <si>
    <t>Ələkbərli Fizuli Ələkbər oğlu</t>
  </si>
  <si>
    <t>Senior IT Specialist</t>
  </si>
  <si>
    <t>İT üzrə Baş Mütəxəssis</t>
  </si>
  <si>
    <t>5N7UUBS</t>
  </si>
  <si>
    <t>AA1469730</t>
  </si>
  <si>
    <t>+994558610739</t>
  </si>
  <si>
    <t>fizuli.alakbarli@pashapay.az</t>
  </si>
  <si>
    <t>Abşeron rayonu, Mehdiabad qəs, 28 May küç, bina.37</t>
  </si>
  <si>
    <t>IDM-282</t>
  </si>
  <si>
    <t>Hafis Sadikhov, Nadir</t>
  </si>
  <si>
    <t>Sadıxov Hafis Nadir oğlu</t>
  </si>
  <si>
    <t>Leading Transportation Specialist</t>
  </si>
  <si>
    <t>Nəqliyyat üzrə Aparıcı Mütəxəssis</t>
  </si>
  <si>
    <t>1ZQYM8D</t>
  </si>
  <si>
    <t>AA3335734</t>
  </si>
  <si>
    <t>+994553305995</t>
  </si>
  <si>
    <t>hafis.sadikhov@pashapay.az</t>
  </si>
  <si>
    <t>Abşeron ray, Xırdalan şəh, məh-27, ev.13A, m.47</t>
  </si>
  <si>
    <t>IDM-289</t>
  </si>
  <si>
    <t>Sakit Vahidov, Akif</t>
  </si>
  <si>
    <t>3PWGQVY</t>
  </si>
  <si>
    <t>AZE16235567</t>
  </si>
  <si>
    <t>+994554234040</t>
  </si>
  <si>
    <t>Şamaxı şəh, H.C döngə 1, ev.1</t>
  </si>
  <si>
    <t>Bakı şəh, Masazır, Ə.Vahid ev.18, m.19</t>
  </si>
  <si>
    <t>IDM-288</t>
  </si>
  <si>
    <t>Ramis Ramazanov, Rahim</t>
  </si>
  <si>
    <t>Ramazanov Ramis Rahim oğlu</t>
  </si>
  <si>
    <t>Fraud Monitoring division Manager</t>
  </si>
  <si>
    <t>Fraud Monitorinq Şöbəsinin Meneceri</t>
  </si>
  <si>
    <t>2T4RVAB</t>
  </si>
  <si>
    <t>AA4186785</t>
  </si>
  <si>
    <t>+994502993626</t>
  </si>
  <si>
    <t>ramis.ramazanov@pashapay.az</t>
  </si>
  <si>
    <t>Quba şəh, Ə.Orucov küç, ev.30</t>
  </si>
  <si>
    <t>Bakı şəh, Ə.Nəzərov küç, ev.9, m.44</t>
  </si>
  <si>
    <t>IDM-286</t>
  </si>
  <si>
    <t>Ramil Nuruyev, Gasim</t>
  </si>
  <si>
    <t>Nuruyev Ramil Qasım oğlu</t>
  </si>
  <si>
    <t>10ZPHPC</t>
  </si>
  <si>
    <t>AA1496614</t>
  </si>
  <si>
    <t>+994702173536</t>
  </si>
  <si>
    <t>Bakı şəh, Binəqədi ray, Biləcəri qəs, 5057-68, bina 11, m.127</t>
  </si>
  <si>
    <t>IDM-297</t>
  </si>
  <si>
    <t>Rovshan Abbaszade, Rizvan</t>
  </si>
  <si>
    <t>Abbaszadə Rövşən Rizvan oğlu</t>
  </si>
  <si>
    <t>6K4F1GD</t>
  </si>
  <si>
    <t>AA1584563</t>
  </si>
  <si>
    <t>+994509909041</t>
  </si>
  <si>
    <t>rovshan.abbaszada@pashapay.az</t>
  </si>
  <si>
    <t>Ağcabədi ray, Muğanlı k</t>
  </si>
  <si>
    <t>IDM-295</t>
  </si>
  <si>
    <t>Khalid Aliyev, Khalil</t>
  </si>
  <si>
    <t>4XDCW4G</t>
  </si>
  <si>
    <t>AA6269752</t>
  </si>
  <si>
    <t>+994556002107</t>
  </si>
  <si>
    <t>Bakı şəh, Nərimanov rayonu</t>
  </si>
  <si>
    <t>Bakı şəh, Zeynal Xəlil küç, 1929, m.10</t>
  </si>
  <si>
    <t>IDM-300</t>
  </si>
  <si>
    <t>Humbat Jalilov, Ismayil</t>
  </si>
  <si>
    <t>Cəlilov Hümbət İsmayıl oğlu</t>
  </si>
  <si>
    <t>611GJGG</t>
  </si>
  <si>
    <t>AA0438221</t>
  </si>
  <si>
    <t>+994505671267</t>
  </si>
  <si>
    <t>Naxçıvan MR-nin, Şərur ray, İbadulla</t>
  </si>
  <si>
    <t>IDM-303</t>
  </si>
  <si>
    <t>Murad Gardashli, Gudrat</t>
  </si>
  <si>
    <t>6AWNR95</t>
  </si>
  <si>
    <t>AA2585835</t>
  </si>
  <si>
    <t>+994502468516</t>
  </si>
  <si>
    <t>Lənkəran rayonu Bürcəli kəndi</t>
  </si>
  <si>
    <t>IDM-305</t>
  </si>
  <si>
    <t>Narmin Safarova, Akif</t>
  </si>
  <si>
    <t>Səfərova Nərmin Akif qızı</t>
  </si>
  <si>
    <t>Customer Relations Specialist</t>
  </si>
  <si>
    <t>Müştəri Əlaqələri üzrə Mütəxəssis</t>
  </si>
  <si>
    <t>6GZC3HW</t>
  </si>
  <si>
    <t>AA0355426</t>
  </si>
  <si>
    <t>+994502270320</t>
  </si>
  <si>
    <t>narmin.safarova@pashapay.az</t>
  </si>
  <si>
    <t>Sumqayıt şəh, Saray bağları massivi, 3114C</t>
  </si>
  <si>
    <t>Bakı şəh, Binəqədi ray, S.Saxundov küç, 42, mən.197C</t>
  </si>
  <si>
    <t>IDM-309</t>
  </si>
  <si>
    <t>Jahandar Askerov, Rovshan</t>
  </si>
  <si>
    <t>65JMHCF</t>
  </si>
  <si>
    <t>AA2086789</t>
  </si>
  <si>
    <t>+994993012927</t>
  </si>
  <si>
    <t>Şirvan şəh, M.Mirzəyev, ev.22</t>
  </si>
  <si>
    <t>IDM-314</t>
  </si>
  <si>
    <t>Faig Hajiyev, Farhad</t>
  </si>
  <si>
    <t>Hacıyev Faiq Fərhad oğlu</t>
  </si>
  <si>
    <t>7AX6TJK</t>
  </si>
  <si>
    <t>AZE19135661</t>
  </si>
  <si>
    <t>+994553017794</t>
  </si>
  <si>
    <t>faig.hajiyev@pashapay.az</t>
  </si>
  <si>
    <t>Bakı şəh, Yasamal ray, İnşaatçılar pr, ev.38, m.15</t>
  </si>
  <si>
    <t>Azadlıq pr, 89.a</t>
  </si>
  <si>
    <t>IDM-323</t>
  </si>
  <si>
    <t>Tarlan Orujzade, Taleh</t>
  </si>
  <si>
    <t>Oruczadə Tərlan Taleh oğlu</t>
  </si>
  <si>
    <t>6JC9KNA</t>
  </si>
  <si>
    <t>AA5858149</t>
  </si>
  <si>
    <t>+994508729029</t>
  </si>
  <si>
    <t>Lənkəran ray, Aşağı-Nüvədi qəs</t>
  </si>
  <si>
    <t>IDM-326</t>
  </si>
  <si>
    <t>Farid Rahimov, Ayaz</t>
  </si>
  <si>
    <t>Rəhimov Fərid Ayaz oğlu</t>
  </si>
  <si>
    <t>4X8ML90</t>
  </si>
  <si>
    <t>AA4246400</t>
  </si>
  <si>
    <t>+994556121617</t>
  </si>
  <si>
    <t>Qax ray, Qaşqaçay kəndi</t>
  </si>
  <si>
    <t>Xırdalan şəh, Quşçuluq massivi</t>
  </si>
  <si>
    <t>IDM-329</t>
  </si>
  <si>
    <t>Mirza Guliyev, Fizuli</t>
  </si>
  <si>
    <t>Quliyev Mirzə Fizuli oğlu</t>
  </si>
  <si>
    <t>56PV374</t>
  </si>
  <si>
    <t>AA1779560</t>
  </si>
  <si>
    <t>+994558957567</t>
  </si>
  <si>
    <t>Gəncə şəh, Firuz Məlikov küç, ev.3</t>
  </si>
  <si>
    <t>Bərdə şəh, Ərəblər kəndi</t>
  </si>
  <si>
    <t>IDM-330</t>
  </si>
  <si>
    <t>Ayyub Salmanov, Akif</t>
  </si>
  <si>
    <t>Salmanov Əyyub Akif oğlu</t>
  </si>
  <si>
    <t>1UP412D</t>
  </si>
  <si>
    <t>AA2843967</t>
  </si>
  <si>
    <t>+994555909842</t>
  </si>
  <si>
    <t>ayyub.salmanov@pashapay.az</t>
  </si>
  <si>
    <t>Bakı şəh, Gəncə pr 103, ev 549, mən 136</t>
  </si>
  <si>
    <t>IDM-332</t>
  </si>
  <si>
    <t>Alim Aghayev Isag</t>
  </si>
  <si>
    <t>Ağayev Alim İsaq oğlu</t>
  </si>
  <si>
    <t>7RWR8QK</t>
  </si>
  <si>
    <t>AA1867181</t>
  </si>
  <si>
    <t>+994514569079</t>
  </si>
  <si>
    <t>Masallı ray, Şəxriyar k</t>
  </si>
  <si>
    <t>Binəqədi ray, Biləcəri, Natiq Həşimi küç, Bina 31, m.16</t>
  </si>
  <si>
    <t>IDM-336</t>
  </si>
  <si>
    <t>Murad Humbatov, Adil</t>
  </si>
  <si>
    <t>71T6T8Y</t>
  </si>
  <si>
    <t>AA0029756</t>
  </si>
  <si>
    <t>+994556271959</t>
  </si>
  <si>
    <t>Qəbələ şəh, M.F.Axundov ev.5</t>
  </si>
  <si>
    <t>IDM-337</t>
  </si>
  <si>
    <t>Ilyas Askerli, Shaig</t>
  </si>
  <si>
    <t>60SHCX1</t>
  </si>
  <si>
    <t>AA1846062</t>
  </si>
  <si>
    <t>+994508619484</t>
  </si>
  <si>
    <t>Qəbələ şəh, M.F.Axundov ev.2</t>
  </si>
  <si>
    <t>IDM-334</t>
  </si>
  <si>
    <t>Khagani Samadov, Loghman</t>
  </si>
  <si>
    <t>Səmədov Xəqani Loğman oğlu</t>
  </si>
  <si>
    <t>5ZMB9VP</t>
  </si>
  <si>
    <t>AA1540145</t>
  </si>
  <si>
    <t>+994552717545</t>
  </si>
  <si>
    <t>khagani.samadov@pashapay.az</t>
  </si>
  <si>
    <t>Şirvan Şəhəri, Sahib Zeynalov 3/25</t>
  </si>
  <si>
    <t>IDM-338</t>
  </si>
  <si>
    <t>Ibrahim Mustafayev, Ruslan</t>
  </si>
  <si>
    <t>Mustafayev İbrahim Ruslan oğlu</t>
  </si>
  <si>
    <t>6K7L3RP</t>
  </si>
  <si>
    <t>AA0452804</t>
  </si>
  <si>
    <t>+994557722045</t>
  </si>
  <si>
    <t>ibrahim.mustafayev@pashapay.az</t>
  </si>
  <si>
    <t>Bakı şəh, Sabunçu ray, Bakıxanov, Ə.Kərimli 4/1</t>
  </si>
  <si>
    <t>IDM-342</t>
  </si>
  <si>
    <t>Nigar Hasanova, Alasgar</t>
  </si>
  <si>
    <t>Həsənova Nigar Ələsgər oğlu</t>
  </si>
  <si>
    <t>6FQYEN3</t>
  </si>
  <si>
    <t>AA4347939</t>
  </si>
  <si>
    <t>+994502230008</t>
  </si>
  <si>
    <t>nigar.hasanova@pashapay.az</t>
  </si>
  <si>
    <t>Bakı şəh, Məmməd Araz 39</t>
  </si>
  <si>
    <t>IDM-346</t>
  </si>
  <si>
    <t>Turan Ali, Ulvi</t>
  </si>
  <si>
    <t>Əli Turan Ülvi oğlu</t>
  </si>
  <si>
    <t>Leading Financial Controller Specialist</t>
  </si>
  <si>
    <t>Maliyyə Nəzarəti üzrə Aparıcı Mütəxəssis</t>
  </si>
  <si>
    <t>7Q9GZSM</t>
  </si>
  <si>
    <t>AA0037208</t>
  </si>
  <si>
    <t>+994516588993</t>
  </si>
  <si>
    <t>turan.ali@pashapay.az</t>
  </si>
  <si>
    <t>Bakı şəh, Nəsimi ray, Əliisgəndər İsgəndərov küç, 9,17</t>
  </si>
  <si>
    <t>IDM-347</t>
  </si>
  <si>
    <t>Kanan Hasanzade, Arzu</t>
  </si>
  <si>
    <t>Həsənzadə Kənan Arzu oğlu</t>
  </si>
  <si>
    <t>6J68V7V</t>
  </si>
  <si>
    <t>AA5223487</t>
  </si>
  <si>
    <t>+994503400282</t>
  </si>
  <si>
    <t>kanan.hasanzada@pashapay.az</t>
  </si>
  <si>
    <t>Gəncə Şəh.,N.Nərimanov Küç.2Dön Ev.4,Mənzil 32</t>
  </si>
  <si>
    <t>Zahid Xəlilov küç 523, Ev 14, m.34</t>
  </si>
  <si>
    <t>IDM-351</t>
  </si>
  <si>
    <t>Huseyn Sofuyev, Rafig</t>
  </si>
  <si>
    <t>6A1CGQM</t>
  </si>
  <si>
    <t>AA3472792</t>
  </si>
  <si>
    <t>+994997434000</t>
  </si>
  <si>
    <t>A.Hacıyev, ev.22, Göy-göl şəh</t>
  </si>
  <si>
    <t>Gəncə şəh, Hərbi şəhərcik</t>
  </si>
  <si>
    <t>IDM-348</t>
  </si>
  <si>
    <t>Gulnar Orujova, Nayib</t>
  </si>
  <si>
    <t>Orucova Gülnar Naib qızı</t>
  </si>
  <si>
    <t>2VNWJQF</t>
  </si>
  <si>
    <t>AZE16731818</t>
  </si>
  <si>
    <t>+994554690062</t>
  </si>
  <si>
    <t>Şirvan şəh, A.Mustafayev 26</t>
  </si>
  <si>
    <t>IDM-352</t>
  </si>
  <si>
    <t>Zakir Aghayev, Shabala</t>
  </si>
  <si>
    <t>Ağayev Zakir  Şabala oğlu</t>
  </si>
  <si>
    <t>Office Driver</t>
  </si>
  <si>
    <t>Ofis üzrə Sürücü</t>
  </si>
  <si>
    <t>0TVR3AQ</t>
  </si>
  <si>
    <t>AZE15672110</t>
  </si>
  <si>
    <t>+994503287722</t>
  </si>
  <si>
    <t>Bakı şəh, Yasamal ray, Cabarqaryağdı küç, ev.30</t>
  </si>
  <si>
    <t>Bakı şəh, Binəqədi ray, Biləcəri qəs, bina 3 50/57, mənzil 95</t>
  </si>
  <si>
    <t>IDM-354</t>
  </si>
  <si>
    <t>Khagani Farzaliyev, Jamil</t>
  </si>
  <si>
    <t>Fərzəliyev Xəqani Cəmil oğlu</t>
  </si>
  <si>
    <t>2TQ96X4</t>
  </si>
  <si>
    <t>AA4853052</t>
  </si>
  <si>
    <t>+994554655454</t>
  </si>
  <si>
    <t>khagani.farzaliyev@pashapay.az</t>
  </si>
  <si>
    <t>Bakı şəh, Binəqədi ray, Abay Kunanbayev, Bina 1e</t>
  </si>
  <si>
    <t>IDM-355</t>
  </si>
  <si>
    <t>Nargiz Ismayilova, Asger</t>
  </si>
  <si>
    <t>İsmayılova Nərgiz Əsgər qızı</t>
  </si>
  <si>
    <t>Fraud Support Specialist</t>
  </si>
  <si>
    <t>Frauda Dəstək üzrə Mütəxəssis</t>
  </si>
  <si>
    <t>6WR0H9J</t>
  </si>
  <si>
    <t>AA0877532</t>
  </si>
  <si>
    <t>+994508601881</t>
  </si>
  <si>
    <t>nargiz.ismayilova@pashapay.az</t>
  </si>
  <si>
    <t>Bakı şəh, Səbail ray, Badamdar qəs, Mikayıl Müşfiq 4B</t>
  </si>
  <si>
    <t>IDM-364</t>
  </si>
  <si>
    <t>Toghrul Abbasov, Vagif</t>
  </si>
  <si>
    <t>Deputy Director</t>
  </si>
  <si>
    <t>00X895W</t>
  </si>
  <si>
    <t>AA1300112</t>
  </si>
  <si>
    <t>+994502111269</t>
  </si>
  <si>
    <t>toghrul.abbasov@pashapay.az</t>
  </si>
  <si>
    <t>Bakı şəh, Nəsimi ray, Ə.Hüseynzadə 84, m.70</t>
  </si>
  <si>
    <t>IDM-367</t>
  </si>
  <si>
    <t>Leyla Baghirzada, Farman</t>
  </si>
  <si>
    <t>Bağırzadə Leyla Fərman qızı</t>
  </si>
  <si>
    <t>Telesales division</t>
  </si>
  <si>
    <t>Telesatış şöbəsi</t>
  </si>
  <si>
    <t>Telesales Specialist</t>
  </si>
  <si>
    <t>Telesatış üzrə Mütəxəssis</t>
  </si>
  <si>
    <t>Məmmədli Elgiz Əziz oğlu</t>
  </si>
  <si>
    <t>6KQ583S</t>
  </si>
  <si>
    <t>AZE17566678</t>
  </si>
  <si>
    <t>+994506780058</t>
  </si>
  <si>
    <t>leyla.baghirzada@pashapay.az</t>
  </si>
  <si>
    <t>Bakı şəh, Yasamal ray, S.Dadaşov 13/38</t>
  </si>
  <si>
    <t>IDM-369</t>
  </si>
  <si>
    <t>Karim Karimov, Abulfaz</t>
  </si>
  <si>
    <t>Kərimov Kərim Əbülfəz oğlu</t>
  </si>
  <si>
    <t>786LH68</t>
  </si>
  <si>
    <t>AZE16347182</t>
  </si>
  <si>
    <t>+994502351474</t>
  </si>
  <si>
    <t>karim.karimov@pashapay.az</t>
  </si>
  <si>
    <t>Bakı şəh, Xəzər ray, Buzovna qəs, R.Axundov ev.21</t>
  </si>
  <si>
    <t>IDM-368</t>
  </si>
  <si>
    <t>Elgiz Mammadli, Aziz</t>
  </si>
  <si>
    <t>Telesales Team Lead</t>
  </si>
  <si>
    <t>Telesatış üzrə Qrup Rəhbəri</t>
  </si>
  <si>
    <t>7AZSCFQ</t>
  </si>
  <si>
    <t>AA3161285</t>
  </si>
  <si>
    <t>+994502101172</t>
  </si>
  <si>
    <t>elgiz.mammadli@pashapay.az</t>
  </si>
  <si>
    <t>İsmayıllı rayon, Təzəkənd</t>
  </si>
  <si>
    <t>Bakı şəh, Nizami ray, Əlif Hacıyev 23</t>
  </si>
  <si>
    <t>IDM-371</t>
  </si>
  <si>
    <t>Lala Mikayilova, Shamil</t>
  </si>
  <si>
    <t>Mikayılova Lalə Şamil qızı</t>
  </si>
  <si>
    <t>7CGQQX3</t>
  </si>
  <si>
    <t>AZE17579627</t>
  </si>
  <si>
    <t>+994705945075</t>
  </si>
  <si>
    <t>lala.mikayilova@pashapay.az</t>
  </si>
  <si>
    <t>Sumqayıt şəh, 3 mkr, ev 22/54, m.25</t>
  </si>
  <si>
    <t>IDM-366</t>
  </si>
  <si>
    <t>Elnur Beydizada, Elkhan</t>
  </si>
  <si>
    <t>Beydizadə Elnur Elxan oğlu</t>
  </si>
  <si>
    <t>5HNAF8M</t>
  </si>
  <si>
    <t>AA0088633</t>
  </si>
  <si>
    <t>+994703444353</t>
  </si>
  <si>
    <t>elnur.baydizada@pashapay.az</t>
  </si>
  <si>
    <t>Bakı şəh, Yasamal ray, M.Seyidov 25, mən.20</t>
  </si>
  <si>
    <t>IDM-380</t>
  </si>
  <si>
    <t>Mahammad Huseynov, Yaver</t>
  </si>
  <si>
    <t>6KJ8K3Q</t>
  </si>
  <si>
    <t>AA4769092</t>
  </si>
  <si>
    <t>+994708920001</t>
  </si>
  <si>
    <t>Ağcabədi şəh, H.Hacıyev küç, ev.32</t>
  </si>
  <si>
    <t>IDM-378</t>
  </si>
  <si>
    <t>Gulnara Shahveranova, Rafig</t>
  </si>
  <si>
    <t>Şahverənova Gülnarə Rafiq qızı</t>
  </si>
  <si>
    <t>5B7RU8Q</t>
  </si>
  <si>
    <t>AZE17133099</t>
  </si>
  <si>
    <t>+994559434363</t>
  </si>
  <si>
    <t>gulnara.shahveranova@pashapay.az</t>
  </si>
  <si>
    <t>Bakı şəh, Sabunçu ray, Maştağa qəs, Nizami</t>
  </si>
  <si>
    <t>Bakı şəh, Zabrat qəs, Xavər Vəliyev 33</t>
  </si>
  <si>
    <t>IDM-377</t>
  </si>
  <si>
    <t>Adil Karimov, Sabuhi</t>
  </si>
  <si>
    <t>7K2ZXMS</t>
  </si>
  <si>
    <t>AZE16560812</t>
  </si>
  <si>
    <t>+994503225710</t>
  </si>
  <si>
    <t>Zəngilan ray, Zərnəli k</t>
  </si>
  <si>
    <t>Bakı şəh, Binəqədi ray, Aşıq Ələsgərli küç</t>
  </si>
  <si>
    <t>IDM-376</t>
  </si>
  <si>
    <t>Zahrakhanim Zeynalova, Murad</t>
  </si>
  <si>
    <t>Zeynalova Zəhraxanım Murad qızı</t>
  </si>
  <si>
    <t>Leading Social Media Community Specialist</t>
  </si>
  <si>
    <t>Sosial Media Qrupu üzrə Aparıcı Mütəxəssis</t>
  </si>
  <si>
    <t>6HLJUC9</t>
  </si>
  <si>
    <t>AA1413829</t>
  </si>
  <si>
    <t>+994505007131</t>
  </si>
  <si>
    <t>zakhrakhanim.zeynalova@pashapay.az</t>
  </si>
  <si>
    <t>Ə.Əliyev 121</t>
  </si>
  <si>
    <t>Bakı şəh, N.Nərimanov rayonu, Ağaneymətulla 79</t>
  </si>
  <si>
    <t>IDM-383</t>
  </si>
  <si>
    <t>Narmin Abdullayeva (Akbarli), Gudrat</t>
  </si>
  <si>
    <t>Abdullayeva (Əkbərli) Nərmin Qüdrət qızı</t>
  </si>
  <si>
    <t>6XKXQFX</t>
  </si>
  <si>
    <t>AA2718663</t>
  </si>
  <si>
    <t>+994508011221</t>
  </si>
  <si>
    <t>narmin.akbarli@pashapay.az</t>
  </si>
  <si>
    <t>Lənkəran rayonu, Girdəni kəndi</t>
  </si>
  <si>
    <t>Bakı şəh, Bİnəqədi ray, Əcəmi Naxçıvani küç, 38 B</t>
  </si>
  <si>
    <t>IDM-391</t>
  </si>
  <si>
    <t>Mammadali Tagiyev, Khanbala</t>
  </si>
  <si>
    <t>Tağıyev Məhəmmədəli Xanbala oğlu</t>
  </si>
  <si>
    <t>6CNES44</t>
  </si>
  <si>
    <t>AZE18031384</t>
  </si>
  <si>
    <t>+994553759035</t>
  </si>
  <si>
    <t>Suraxanı ray., Əmircan qəs., M.Səyidzadə küc., ev 15</t>
  </si>
  <si>
    <t>IDM-386</t>
  </si>
  <si>
    <t>Maya Karimli, Mubariz</t>
  </si>
  <si>
    <t>Kərimli Maya Mübariz qızı</t>
  </si>
  <si>
    <t>3AEDLG2</t>
  </si>
  <si>
    <t>AA2050160</t>
  </si>
  <si>
    <t>+994513595949</t>
  </si>
  <si>
    <t>maya.karimli@pashapay.az</t>
  </si>
  <si>
    <t>klimaya1@gmail.com</t>
  </si>
  <si>
    <t>Binəqədi ray., Biləcəri qəs., T. Yaqubov 20</t>
  </si>
  <si>
    <t>Səttarxan., 2-ci dönqə 22</t>
  </si>
  <si>
    <t>IDM-387</t>
  </si>
  <si>
    <t>Amina Talibova, Ajdar</t>
  </si>
  <si>
    <t>Talıbova Əminə Əjdər qızı</t>
  </si>
  <si>
    <t>6WAU1ZP</t>
  </si>
  <si>
    <t>AA0969864</t>
  </si>
  <si>
    <t>+994553609061</t>
  </si>
  <si>
    <t>amina.talibova5@mail.ru</t>
  </si>
  <si>
    <t>Bakı şəh., Nəsimi ray., Azər Əliyev 35</t>
  </si>
  <si>
    <t>IDM-392</t>
  </si>
  <si>
    <t>Fuad Aliyev, Nazim</t>
  </si>
  <si>
    <t>65HN9BK</t>
  </si>
  <si>
    <t>AA1641076</t>
  </si>
  <si>
    <t>+994508966404</t>
  </si>
  <si>
    <t>Ağcabədi ray, İsi Məlikzadə küç 8</t>
  </si>
  <si>
    <t>IDM-394</t>
  </si>
  <si>
    <t>Jamal Abushov, Razim</t>
  </si>
  <si>
    <t>57G836K</t>
  </si>
  <si>
    <t>AA4212346</t>
  </si>
  <si>
    <t>+994509639205</t>
  </si>
  <si>
    <t>Qəbələ rayonu, Dızaxl kəndi</t>
  </si>
  <si>
    <t>IDM-398</t>
  </si>
  <si>
    <t>Abdulla Piriyev, Vagif</t>
  </si>
  <si>
    <t>Chief Accountant</t>
  </si>
  <si>
    <t>Baş Mühasib</t>
  </si>
  <si>
    <t>Zaur Musayev</t>
  </si>
  <si>
    <t>4W1RJPW</t>
  </si>
  <si>
    <t>AZE15776902</t>
  </si>
  <si>
    <t>+994557636331</t>
  </si>
  <si>
    <t>abdulla.piriyev@pashapay.az</t>
  </si>
  <si>
    <t>Bakı şəh, Binəqədi ray, 9 MKR, M.Cəlal küç, ev.63, m.31</t>
  </si>
  <si>
    <t>Nəsimi ray, Ceyhun Hacıbəyli və Abbas Səhhət küç kəsişməsi</t>
  </si>
  <si>
    <t>IDM-399</t>
  </si>
  <si>
    <t>Shams Baratzada, Ilgar</t>
  </si>
  <si>
    <t>Baratzadə Şəms İlqar qızı</t>
  </si>
  <si>
    <t>5XVD9XV</t>
  </si>
  <si>
    <t>AZE17779361</t>
  </si>
  <si>
    <t>+994515230363</t>
  </si>
  <si>
    <t>shams.baratzada@pashapay.az</t>
  </si>
  <si>
    <t>Bakı şəh, Suraxanı ray, Y.Günəşli</t>
  </si>
  <si>
    <t>IDM-400</t>
  </si>
  <si>
    <t>Farid Aliyev, Farman</t>
  </si>
  <si>
    <t>Əliyev Fərid Fərman oğlu</t>
  </si>
  <si>
    <t>6BQWVRU</t>
  </si>
  <si>
    <t>AA2223582</t>
  </si>
  <si>
    <t>+994557069159</t>
  </si>
  <si>
    <t>ferid.aliyev@pashapay.az</t>
  </si>
  <si>
    <t>Zaqata ray, Kiçikxanlı küç, ev.12 A</t>
  </si>
  <si>
    <t>Bakı şəh, Bəsti Bağırova 32a</t>
  </si>
  <si>
    <t>IDM-404</t>
  </si>
  <si>
    <t>Hajar Imamguluzade, Elshad</t>
  </si>
  <si>
    <t>İmamquluzadə Həcər Elşad qızı</t>
  </si>
  <si>
    <t>4Q2Q0G2</t>
  </si>
  <si>
    <t>AA1588806</t>
  </si>
  <si>
    <t>+994557049590</t>
  </si>
  <si>
    <t>hajar.imamguluzada@pashapay.az</t>
  </si>
  <si>
    <t>Bakı şəh., Nəsimi ray., Mir Qasımov 3, ev.2</t>
  </si>
  <si>
    <t>IDM-407</t>
  </si>
  <si>
    <t>Kamran Rzayev, Hasanbala</t>
  </si>
  <si>
    <t>Rzayev Kamran Həsənbala oğlu</t>
  </si>
  <si>
    <t>55B6Y9H</t>
  </si>
  <si>
    <t>AA1524636</t>
  </si>
  <si>
    <t>+994552121027</t>
  </si>
  <si>
    <t>Şirvan şəh., Xəqani küç., ev 17, m.3</t>
  </si>
  <si>
    <t>IDM-408</t>
  </si>
  <si>
    <t>Mukhtar Hamidov, Kamran</t>
  </si>
  <si>
    <t>Həmidov Muxtar Kamran oğlu</t>
  </si>
  <si>
    <t>Emin Niyazov</t>
  </si>
  <si>
    <t>2T33LMX</t>
  </si>
  <si>
    <t>AA1526257</t>
  </si>
  <si>
    <t>+994504242004</t>
  </si>
  <si>
    <t>mukhtar.hamidov@pashapay.az</t>
  </si>
  <si>
    <t>Bakı şəh., 9 mkr. M.Cəlal Küç.</t>
  </si>
  <si>
    <t>IDM-409</t>
  </si>
  <si>
    <t>Elvin Mustafayev, Elshan</t>
  </si>
  <si>
    <t>5FV1LE6</t>
  </si>
  <si>
    <t>AA2968638</t>
  </si>
  <si>
    <t>+994103150416</t>
  </si>
  <si>
    <t>Naxçıvan şəh.14, məh., ev.14</t>
  </si>
  <si>
    <t>Naxçıvan şəh., Mircəfər Mirişli küç., ev.1, m.23</t>
  </si>
  <si>
    <t>IDM-411</t>
  </si>
  <si>
    <t>Khayal Karimov, Galandar</t>
  </si>
  <si>
    <t>Kərimov Xəyal Qələndər oğlu</t>
  </si>
  <si>
    <t>0YHHL9A</t>
  </si>
  <si>
    <t>AA1059115</t>
  </si>
  <si>
    <t>+994557722726</t>
  </si>
  <si>
    <t>Yevlax şəh, Q.Əşrəfbəy küç, 9/46</t>
  </si>
  <si>
    <t>Yevlax şəh, Q.B.Zakir küç, döngə 2, ev.26</t>
  </si>
  <si>
    <t>IDM-413</t>
  </si>
  <si>
    <t>Orkhan Khanjanov, Khanjan</t>
  </si>
  <si>
    <t>Xancanov Orxan Xancan oğlu</t>
  </si>
  <si>
    <t>0WFZ6DS</t>
  </si>
  <si>
    <t>AA1432813</t>
  </si>
  <si>
    <t>+994556730701</t>
  </si>
  <si>
    <t>orkhan.khanjanov@pashapay.az</t>
  </si>
  <si>
    <t>Bakı şəh, Binəqədi ray, 7 mkr, A.Kunanbayev 12, m.105</t>
  </si>
  <si>
    <t>IDM-414</t>
  </si>
  <si>
    <t>Ilgar Huseynov, Rasim</t>
  </si>
  <si>
    <t>61SZVGF</t>
  </si>
  <si>
    <t>AA5366447</t>
  </si>
  <si>
    <t>+994513368303</t>
  </si>
  <si>
    <t>Ağcabədi ray, H.Təzəkənd kəndi</t>
  </si>
  <si>
    <t>IDM-417</t>
  </si>
  <si>
    <t>Emin Mammadov, Aftandil</t>
  </si>
  <si>
    <t>Məmmədov Emin Aftandil oğlu</t>
  </si>
  <si>
    <t>Leading Security Specialist</t>
  </si>
  <si>
    <t>Təhlükəsizlik üzrə Aparıcı Mütəxəssis</t>
  </si>
  <si>
    <t>19GEHQK</t>
  </si>
  <si>
    <t>AZE14525793</t>
  </si>
  <si>
    <t>+994507415525</t>
  </si>
  <si>
    <t>emin.mammadov@pashapay.az</t>
  </si>
  <si>
    <t>Bakı şəh, Nərimanov ray., Qarabağ k, ev 17, m 3</t>
  </si>
  <si>
    <t>Bakı şəh., Nərimanov ray., Qarabağ 8, m.53</t>
  </si>
  <si>
    <t>IDM-420</t>
  </si>
  <si>
    <t>Mahammad Mehraliyev, Hashim</t>
  </si>
  <si>
    <t>6HW4LN1</t>
  </si>
  <si>
    <t>AA1669729</t>
  </si>
  <si>
    <t>+994555888115</t>
  </si>
  <si>
    <t>Şirvan şəh, M.Mirzəyev 9k</t>
  </si>
  <si>
    <t>Şirvan şəh, E.Əzimov 8/8</t>
  </si>
  <si>
    <t>IDM-423</t>
  </si>
  <si>
    <t>Andrey Khlinenkov, Anatolyevich</t>
  </si>
  <si>
    <t>Xlinenkov Andrey Anatolyevich</t>
  </si>
  <si>
    <t>Senior Customer Helpdesk Specialist</t>
  </si>
  <si>
    <t>Müştərilərə Texniki Dəstək üzrə Baş Mütəxəssis</t>
  </si>
  <si>
    <t>3U367ED</t>
  </si>
  <si>
    <t>AA2550102</t>
  </si>
  <si>
    <t>+994505051619</t>
  </si>
  <si>
    <t>andrey.khlinenkov@pashapay.az</t>
  </si>
  <si>
    <t>Bakı şəh, Q.Məmmədov küç, ev.3/20, m.99</t>
  </si>
  <si>
    <t>Bakı şəh, X.Məmmədov küç, ev.2, m.33</t>
  </si>
  <si>
    <t>IDM-424</t>
  </si>
  <si>
    <t>Eldar Guliyev, Oktay</t>
  </si>
  <si>
    <t>Quliyev Eldar Oktay oğlu</t>
  </si>
  <si>
    <t>60Z7AV4</t>
  </si>
  <si>
    <t>AA0215515</t>
  </si>
  <si>
    <t>+994552687910</t>
  </si>
  <si>
    <t>Bakı şəh, Suraxanı ray, Yeni Günəşli qəs, A/B mas, bina 46, m.4</t>
  </si>
  <si>
    <t>IDM-425</t>
  </si>
  <si>
    <t>Ramin Soltanov, Akif</t>
  </si>
  <si>
    <t>Soltanov Ramin Akif oğlu</t>
  </si>
  <si>
    <t>33ZV0YU</t>
  </si>
  <si>
    <t>AA4445960</t>
  </si>
  <si>
    <t>+994552393636</t>
  </si>
  <si>
    <t>Bakı şəh, Nizami ray, Nəsimi küç., 39, m.9</t>
  </si>
  <si>
    <t>IDM-428</t>
  </si>
  <si>
    <t>Mehman Maharramov, Kamil</t>
  </si>
  <si>
    <t>Məhərrəmov Mehman Kamil oğlu</t>
  </si>
  <si>
    <t>45PGZDX</t>
  </si>
  <si>
    <t>AA4540160</t>
  </si>
  <si>
    <t>+994508223309</t>
  </si>
  <si>
    <t>+994506119910</t>
  </si>
  <si>
    <t>BAKI, D.BÜNYADZADƏ KÜÇ., ev 7, m. 35</t>
  </si>
  <si>
    <t>IDM-427</t>
  </si>
  <si>
    <t>Mirza Akhundov</t>
  </si>
  <si>
    <t>Akhundov Mirza</t>
  </si>
  <si>
    <t>176BB9</t>
  </si>
  <si>
    <t>MYİ 0675860</t>
  </si>
  <si>
    <t>+994557763334</t>
  </si>
  <si>
    <t>mirza.akhundov@pashapay.az</t>
  </si>
  <si>
    <t>Bakı şəh, Badamdar qəs, T.Məmmədov, ev.21/7, m.45</t>
  </si>
  <si>
    <t>IDM-426</t>
  </si>
  <si>
    <t>Zarifa Shirinova, Akram</t>
  </si>
  <si>
    <t>Şirinova Zərifə Əkrəm qızı</t>
  </si>
  <si>
    <t>General Division Specialist</t>
  </si>
  <si>
    <t>Ümumi Şöbə üzrə Mütəxəssis</t>
  </si>
  <si>
    <t xml:space="preserve">Bu komanda Yuliyaya keçməlidir, komandada olan əməkdaşların rəhbəri Həsəndir, lakin Həsənin birbaşa rəhbəri yoxdur. Yeni strukturda bu şöbə yoxdur. </t>
  </si>
  <si>
    <t>5TRWVS6</t>
  </si>
  <si>
    <t>AA3190322</t>
  </si>
  <si>
    <t>+994514140415</t>
  </si>
  <si>
    <t>zarifa.shirinova@pashapay.az</t>
  </si>
  <si>
    <t>Bakı şəh, Xətai ray,1-ci dairəvi küç, ev.24, mənzil 14A</t>
  </si>
  <si>
    <t>IDM-434</t>
  </si>
  <si>
    <t>Hasrat Mammadov, Sabir</t>
  </si>
  <si>
    <t>Məmmədov Həsrət Sabir oğlu</t>
  </si>
  <si>
    <t>5N62UHV</t>
  </si>
  <si>
    <t>AA5685720</t>
  </si>
  <si>
    <t>+994555698855</t>
  </si>
  <si>
    <t>hasrat.mammadov@pashapay.az</t>
  </si>
  <si>
    <t>Quba ray, H.Əliyev pr, ev.114</t>
  </si>
  <si>
    <t>Abşeron ray, Aşağı Güzdək qəs, H.Cavadov küç</t>
  </si>
  <si>
    <t>IDM-437</t>
  </si>
  <si>
    <t>Elmaddin Aliyev, Jabrayil</t>
  </si>
  <si>
    <t>Əliyev Elməddin Cəbrayıl oğlu</t>
  </si>
  <si>
    <t>2LDFGBA</t>
  </si>
  <si>
    <t>AA0582529</t>
  </si>
  <si>
    <t>+994504743904</t>
  </si>
  <si>
    <t>Ağcabədi ray, Hacıbədəli kəndi</t>
  </si>
  <si>
    <t>IDM-439</t>
  </si>
  <si>
    <t>Ramin Suleymanov, Rahman</t>
  </si>
  <si>
    <t>Süleymanov Ramin Rəhman oğlu</t>
  </si>
  <si>
    <t>1GBAU9W</t>
  </si>
  <si>
    <t>AA2805502</t>
  </si>
  <si>
    <t>+994505310201</t>
  </si>
  <si>
    <t>ramin.suleymanov@pashapay.az</t>
  </si>
  <si>
    <t>Nərimanov rayonu, Azadlıq 116, m.10</t>
  </si>
  <si>
    <t>IDM-446</t>
  </si>
  <si>
    <t>Javid Mansimov, Zahid</t>
  </si>
  <si>
    <t>Mənsimov Cavid Zahid oğlu</t>
  </si>
  <si>
    <t>Treasury Manager</t>
  </si>
  <si>
    <t>Xəzinədarlıq üzrə Menecer</t>
  </si>
  <si>
    <t>4Z194VP</t>
  </si>
  <si>
    <t>AZE 17230105</t>
  </si>
  <si>
    <t>+994512359858</t>
  </si>
  <si>
    <t>javid.mansimov@pashapay.az</t>
  </si>
  <si>
    <t>Hacıqabul ray, Rəncbər kəndi</t>
  </si>
  <si>
    <t>Bakı şəh, Nizami ray, E.Süleymanov 2554</t>
  </si>
  <si>
    <t>IDM-444</t>
  </si>
  <si>
    <t>Aisha Mustafayeva, Elshanovna</t>
  </si>
  <si>
    <t>Mustafayeva Aişə Elşənovna</t>
  </si>
  <si>
    <t>Customer Complaints Specialist</t>
  </si>
  <si>
    <t>Müştəri Şikayətləri üzrə Mütəxəssis</t>
  </si>
  <si>
    <t>7TD7JGL</t>
  </si>
  <si>
    <t>AA3767108</t>
  </si>
  <si>
    <t>+994553017937</t>
  </si>
  <si>
    <t>aisha.mustafayeva@pashapay.az</t>
  </si>
  <si>
    <t>Bakı şəh, Sabunçu ray,Ləhic bağları, dalan 11</t>
  </si>
  <si>
    <t>Bakı şəh, Bakıxanov q, Leyla Məmmədbəyova 4 küç</t>
  </si>
  <si>
    <t>IDM-456</t>
  </si>
  <si>
    <t>Sara Yagublu, Sabir</t>
  </si>
  <si>
    <t>Yaqublu Sara Sabir qızı</t>
  </si>
  <si>
    <t>6HEEAJD</t>
  </si>
  <si>
    <t>AA2789096</t>
  </si>
  <si>
    <t>+994554167473</t>
  </si>
  <si>
    <t>sara.yagublu@pashapay.az</t>
  </si>
  <si>
    <t>Bakı şəh, Yasamal ray, Xarici dairəvi yolu 6, ev.12, m.1</t>
  </si>
  <si>
    <t>IDM-448</t>
  </si>
  <si>
    <t>Gunel Muradova, Namig</t>
  </si>
  <si>
    <t>Muradova Günel Namiq qızı</t>
  </si>
  <si>
    <t>11VV7B5</t>
  </si>
  <si>
    <t>AA6487871</t>
  </si>
  <si>
    <t>+994558700987</t>
  </si>
  <si>
    <t xml:space="preserve">gunel.muradova@pashapay.az </t>
  </si>
  <si>
    <t>Bakı şəh, Nərimanov ray, R.Habil Mirzəyev küç, d.3, ev.10</t>
  </si>
  <si>
    <t>IDM-459</t>
  </si>
  <si>
    <t>Farid Nasirulla, Elshan</t>
  </si>
  <si>
    <t>Legal division</t>
  </si>
  <si>
    <t>Hüquq Şöbəsi</t>
  </si>
  <si>
    <t>5QUWJ5H</t>
  </si>
  <si>
    <t>AA0272804</t>
  </si>
  <si>
    <t>+994553073989</t>
  </si>
  <si>
    <t>farid.nasirulla@pashapay.az</t>
  </si>
  <si>
    <t>Lənkəran şəh., Nizami küç., ev.90/17</t>
  </si>
  <si>
    <t>Bakı şəh., Xətai ray., M.Hadi küç.80</t>
  </si>
  <si>
    <t>IDM-465</t>
  </si>
  <si>
    <t>Vusala Ismayilova, Lazim</t>
  </si>
  <si>
    <t>İsmayılova Vüsalə Lazım qızı</t>
  </si>
  <si>
    <t>7T6T4LB</t>
  </si>
  <si>
    <t>AA1734220</t>
  </si>
  <si>
    <t>+994506923937</t>
  </si>
  <si>
    <t>vusala.ismayilova@pashapay.az</t>
  </si>
  <si>
    <t>Zərdab ray, B.İsmayılov küç</t>
  </si>
  <si>
    <t>Bakı şəh, Səbail ray</t>
  </si>
  <si>
    <t>IDM-467</t>
  </si>
  <si>
    <t>Nargiz Karimova, Najaf</t>
  </si>
  <si>
    <t>Kərimova Nərgiz Nəcəf qızı</t>
  </si>
  <si>
    <t>Talent management department</t>
  </si>
  <si>
    <t>People Operations Manager</t>
  </si>
  <si>
    <t>İnsan Resursları Əməliyyatları üzrə Menecer</t>
  </si>
  <si>
    <t>Hüseynova Səidə Əsədulla qızı</t>
  </si>
  <si>
    <t>4VKCLW4</t>
  </si>
  <si>
    <t>AA0583121</t>
  </si>
  <si>
    <t>+994502902498</t>
  </si>
  <si>
    <t>nargiz.karimova@pashapay.az</t>
  </si>
  <si>
    <t>Süleyman Rüstəm 3, mən.32</t>
  </si>
  <si>
    <t>Bakı şəh, Vladislav Platnikov 21, mən.6</t>
  </si>
  <si>
    <t>IDM-469</t>
  </si>
  <si>
    <t>Orkhan Muradov, İsmayıl</t>
  </si>
  <si>
    <t>Muradov Orxan İsmayıl oğlu</t>
  </si>
  <si>
    <t>7A8566W</t>
  </si>
  <si>
    <t>AZE16627228</t>
  </si>
  <si>
    <t>+994503018976</t>
  </si>
  <si>
    <t>Bakı şəh, Nəsimi ray, A.D.Qurbanov küç, ev.44</t>
  </si>
  <si>
    <t>IDM-470</t>
  </si>
  <si>
    <t>Nuran Alizade, Rashad</t>
  </si>
  <si>
    <t>Əlizadə Nuran Rəşad oğlu</t>
  </si>
  <si>
    <t>62XCYA5</t>
  </si>
  <si>
    <t>AA0838558</t>
  </si>
  <si>
    <t>+994506660011</t>
  </si>
  <si>
    <t>nuran.alizade@pashapay.az</t>
  </si>
  <si>
    <t>Biləsuvar Ray., Mirzə Fətəli Axundov 99</t>
  </si>
  <si>
    <t>Bakı şəh, Yasamal ray, Həsən bəy Zərdabi 86, m.108</t>
  </si>
  <si>
    <t>IDM-471</t>
  </si>
  <si>
    <t>Ilya Rafailov, Yurievich</t>
  </si>
  <si>
    <t>Rafailov İlya Yuriyeviç</t>
  </si>
  <si>
    <t>Senior Back-End Developer L1</t>
  </si>
  <si>
    <t>Back-End üzrə Baş Developer</t>
  </si>
  <si>
    <t>İlqar Mammadov</t>
  </si>
  <si>
    <t>7EWGY7P</t>
  </si>
  <si>
    <t>AA0363748</t>
  </si>
  <si>
    <t>+994556778862</t>
  </si>
  <si>
    <t>ilya.rafailov@pashapay.az</t>
  </si>
  <si>
    <t>ilya.rafailov@list.ru</t>
  </si>
  <si>
    <t>Bakı şəh, Rahib Məmmədov küç, ev.20, m.67</t>
  </si>
  <si>
    <t>Monteneqro</t>
  </si>
  <si>
    <t>IDM-472</t>
  </si>
  <si>
    <t>Nuray Hasanli, Elnur</t>
  </si>
  <si>
    <t>Həsənli Nuray Elnur qızı</t>
  </si>
  <si>
    <t>6LZSUUK</t>
  </si>
  <si>
    <t>AA5330576</t>
  </si>
  <si>
    <t>+994513780223</t>
  </si>
  <si>
    <t>nuray.hasanli@pashapay.az</t>
  </si>
  <si>
    <t>n.hesenli2006@gmail.com</t>
  </si>
  <si>
    <t>Bakı şəh, Azadlıq 11, m.5</t>
  </si>
  <si>
    <t>IDM-474</t>
  </si>
  <si>
    <t>Sarkan Bagishli, Vatan</t>
  </si>
  <si>
    <t>54SCNDB</t>
  </si>
  <si>
    <t>AA0495355</t>
  </si>
  <si>
    <t xml:space="preserve"> +994606060625</t>
  </si>
  <si>
    <t>bagishlisarkan@icloud.com</t>
  </si>
  <si>
    <t>Naxçıvan şəh, Babək rayonu</t>
  </si>
  <si>
    <t>Naxçıvan şəh, Xətai</t>
  </si>
  <si>
    <t>IDM-475</t>
  </si>
  <si>
    <t>Elshan Guliyev, Ramiz</t>
  </si>
  <si>
    <t>6D0DQDC</t>
  </si>
  <si>
    <t>AA0827612</t>
  </si>
  <si>
    <t>+994519028085</t>
  </si>
  <si>
    <t>Şirvan şəh, Energetika 5, d.14, e.216</t>
  </si>
  <si>
    <t>Salyan rayonu,Qaraçala qəsəbəsi</t>
  </si>
  <si>
    <t>IDM-473</t>
  </si>
  <si>
    <t>Mahir Aliyev, Muzaffar</t>
  </si>
  <si>
    <t>4L8YTB3</t>
  </si>
  <si>
    <t>AA3212460</t>
  </si>
  <si>
    <t>+994515192303</t>
  </si>
  <si>
    <t>İmişli ray, T.İ.İsmayılov, bina 9</t>
  </si>
  <si>
    <t>Bakı şəh, Nizami ray, Q.Qarayev 85</t>
  </si>
  <si>
    <t>IDM-479</t>
  </si>
  <si>
    <t>Ali Naghizade, Elchin</t>
  </si>
  <si>
    <t>Nağızadə Əli Elçin oğlu</t>
  </si>
  <si>
    <t>14DXZPA</t>
  </si>
  <si>
    <t>AA0132398</t>
  </si>
  <si>
    <t>+994998002818</t>
  </si>
  <si>
    <t> ali.naghizade@pashapay.az</t>
  </si>
  <si>
    <t>naggiyyev@gmail.com</t>
  </si>
  <si>
    <t>F.Qasımzadə küç., ev,16, m.2</t>
  </si>
  <si>
    <t>Biləcəri yeni yaşayış massivi</t>
  </si>
  <si>
    <t>IDM-483</t>
  </si>
  <si>
    <t xml:space="preserve">Aysel Babayeva, İsmayil </t>
  </si>
  <si>
    <t>Babayeva Aysel İsmayıl qızı</t>
  </si>
  <si>
    <t>Quality Management and Evaluation Specialist</t>
  </si>
  <si>
    <t>Keyfiyyət idarəetməsi və qiymətləndirmə üzrə mütəxəssis</t>
  </si>
  <si>
    <t>6XG50MW</t>
  </si>
  <si>
    <t>AA3260238</t>
  </si>
  <si>
    <t>student</t>
  </si>
  <si>
    <t xml:space="preserve"> +994508580322</t>
  </si>
  <si>
    <t>aysel.babayeva@pashapay.az</t>
  </si>
  <si>
    <t>aysel03babayeva@gmail.com</t>
  </si>
  <si>
    <t>Fizuli ray, Şixəli Qurbanov küç, ev.26</t>
  </si>
  <si>
    <t>Bakı şəh, Azadlıq 161</t>
  </si>
  <si>
    <t>IDM-485</t>
  </si>
  <si>
    <t>Zarnishan Nametova,Tavakkul</t>
  </si>
  <si>
    <t>Namətova Zərnişan Təvəkkül qızı</t>
  </si>
  <si>
    <t>1LWV9VT</t>
  </si>
  <si>
    <t>AA0856679</t>
  </si>
  <si>
    <t>+994505661790</t>
  </si>
  <si>
    <t>zarnishan.nametova@pashapay.az</t>
  </si>
  <si>
    <t>nametovazernisan0@gmail.com</t>
  </si>
  <si>
    <t>Yevlax şəh, Yeni Yevlax küçəsi, ev.35</t>
  </si>
  <si>
    <t>Bakı şəh, N.Nərimanov rayonu, Nəsibbəy Yusifbəyli 75B</t>
  </si>
  <si>
    <t>IDM-480</t>
  </si>
  <si>
    <t>İlaha Shafiyeva, Azad</t>
  </si>
  <si>
    <t>Şəfiyeva İlahə Azad qızı</t>
  </si>
  <si>
    <t>759L5JG</t>
  </si>
  <si>
    <t>AA4046127</t>
  </si>
  <si>
    <t>+994505533573</t>
  </si>
  <si>
    <t>ilaha.shafiyeva@pashapay.az</t>
  </si>
  <si>
    <t xml:space="preserve"> ilaha.shafiyeva@mail.ru</t>
  </si>
  <si>
    <t>Bakı Şəh, Bakıxanov 62</t>
  </si>
  <si>
    <t>Bakı şəh, Murtuza Muxtarov 145</t>
  </si>
  <si>
    <t>IDM-488</t>
  </si>
  <si>
    <t>Hafiz Mammadov, Mushfig</t>
  </si>
  <si>
    <t>Məmmədov Hafiz Müşfiq oğlu</t>
  </si>
  <si>
    <t>Senior System Analyst L2</t>
  </si>
  <si>
    <t>Sistem üzrə Baş Analitik</t>
  </si>
  <si>
    <t>Togrul Talibzade</t>
  </si>
  <si>
    <t>5TMMD1V</t>
  </si>
  <si>
    <t>AA3678417</t>
  </si>
  <si>
    <t>+994103141592</t>
  </si>
  <si>
    <t>hafiz.mammadov@pashapay.az</t>
  </si>
  <si>
    <t>hafizmammadov@outlook.com</t>
  </si>
  <si>
    <t>Gəncə şəh, Nizami ray., Sülh küç, ev.14</t>
  </si>
  <si>
    <t>Bakı şəh, Binəqədi ray, Biləcəri qəs, Qabil Süleymanov ev 9A, m.64</t>
  </si>
  <si>
    <t>IDM-496</t>
  </si>
  <si>
    <t>Anar Akbarov, Vahid</t>
  </si>
  <si>
    <t>Əkbərov Anar Vahid oğlu</t>
  </si>
  <si>
    <t>62R79GH</t>
  </si>
  <si>
    <t>AA4643338</t>
  </si>
  <si>
    <t>+994552170019</t>
  </si>
  <si>
    <t>anar.akbarov@pashapay.az</t>
  </si>
  <si>
    <t>anarakbarov1997@gmail.com</t>
  </si>
  <si>
    <t>Bakı şəh, Nərimanov ray, E.İsaqzadə BMS-ı m.6</t>
  </si>
  <si>
    <t>IDM-502</t>
  </si>
  <si>
    <t>Shahin Aghazade, Telman</t>
  </si>
  <si>
    <t>Ağazadə Şahin Telman oğlu</t>
  </si>
  <si>
    <t>5U10AHJ</t>
  </si>
  <si>
    <t>AA0363994</t>
  </si>
  <si>
    <t>+994708044042</t>
  </si>
  <si>
    <t>Xəzər ray, Şüvəlan, Almar İldırım küç</t>
  </si>
  <si>
    <t>IDM-505</t>
  </si>
  <si>
    <t>Kanan Abdullayev, Musa</t>
  </si>
  <si>
    <t>5YJGZG6</t>
  </si>
  <si>
    <t>AA1249487</t>
  </si>
  <si>
    <t>Secondary school</t>
  </si>
  <si>
    <t>+994506678100</t>
  </si>
  <si>
    <t>Bakı şəh, Nizami ray, Naxçıvanski 2/55, m.63</t>
  </si>
  <si>
    <t>IDM-504</t>
  </si>
  <si>
    <t>İlham Gahramanov, Anvar</t>
  </si>
  <si>
    <t>Qəhrəmanov İlham Ənvər oğlu</t>
  </si>
  <si>
    <t>48W8U6L</t>
  </si>
  <si>
    <t>AA2036285</t>
  </si>
  <si>
    <t>+994702212158</t>
  </si>
  <si>
    <t>ilham.gahramanov@pashapay.az</t>
  </si>
  <si>
    <t>Tərtər rayonu, Cavanşir küç 5</t>
  </si>
  <si>
    <t>Abşeron ray, Masazır Qəsəbəsi</t>
  </si>
  <si>
    <t>IDM-508</t>
  </si>
  <si>
    <t>Namig Mikayilov, Alirza</t>
  </si>
  <si>
    <t>Mikayılov Namiq Əlirza oğlu</t>
  </si>
  <si>
    <t>Leading Cash Turnover Specialist</t>
  </si>
  <si>
    <t>Nağd Vəsaitlərin Dövriyyəsi üzrə Aparıcı Mütəxəssis</t>
  </si>
  <si>
    <t>24KY6U5</t>
  </si>
  <si>
    <t>AA5937794</t>
  </si>
  <si>
    <t>+994552033070</t>
  </si>
  <si>
    <t>namig.mikayilov@pashapay.az</t>
  </si>
  <si>
    <t>Bakı şəh., Binəqədi ray., S.Sani Axundov ev 2Q, M.51</t>
  </si>
  <si>
    <t xml:space="preserve">Bakı şəh, Nəsimi ray, Cavadxan küç, ev.48, m.30 </t>
  </si>
  <si>
    <t>IDM-513</t>
  </si>
  <si>
    <t>Murad Suleymanli, Alisa</t>
  </si>
  <si>
    <t>Süleymanli Murad Əlisa oğlu</t>
  </si>
  <si>
    <t>5Y1KWYD</t>
  </si>
  <si>
    <t>AA1864846</t>
  </si>
  <si>
    <t>Peşə-ixtisas təhsili</t>
  </si>
  <si>
    <t>+994553878654</t>
  </si>
  <si>
    <t>muradsuleymanli21@gmail.com</t>
  </si>
  <si>
    <t>Bakı şəh., Səbail ray., Gülbala Əliyev küç., 48 A</t>
  </si>
  <si>
    <t>IDM-519</t>
  </si>
  <si>
    <t>Ilaha Asadova, Ingilab</t>
  </si>
  <si>
    <t>Əsədova İlahə İnqilab qızı</t>
  </si>
  <si>
    <t>757DFK3</t>
  </si>
  <si>
    <t>AZE15517903</t>
  </si>
  <si>
    <t>+994502915611</t>
  </si>
  <si>
    <t>ilaha.asadova@pashapay.az</t>
  </si>
  <si>
    <t>Ilahe.asad99@gmail.com</t>
  </si>
  <si>
    <t>Bakı şəh., Xətai ray., A.İsmayılov küç., məh.1152, ev.35C, M.233</t>
  </si>
  <si>
    <t>Bakı şəh., Binəqədi ray., M.Ələkbərov küç.</t>
  </si>
  <si>
    <t>IDM-517</t>
  </si>
  <si>
    <t>Bakır Bakırov, Jeyhun</t>
  </si>
  <si>
    <t>Bəkirov Bəkir Ceyhun oğlu</t>
  </si>
  <si>
    <t>6AXMP05</t>
  </si>
  <si>
    <t>AA4908987</t>
  </si>
  <si>
    <t>+994508743340</t>
  </si>
  <si>
    <t>bekir.bekirov@pashapay.az</t>
  </si>
  <si>
    <t>Bekirbekirov97@gmail.com</t>
  </si>
  <si>
    <t>Göyçay ray., Qızılağac kəndi</t>
  </si>
  <si>
    <t xml:space="preserve">Bakı şəh., Xətai ray., Əhmədli qəs.  </t>
  </si>
  <si>
    <t>IDM-516</t>
  </si>
  <si>
    <t>Talibkhan Novruzov, Ali</t>
  </si>
  <si>
    <t>Novruzov Talıbxan Əli oğlu</t>
  </si>
  <si>
    <t>5PKA8KX</t>
  </si>
  <si>
    <t>AA0860697</t>
  </si>
  <si>
    <t>+994508052605</t>
  </si>
  <si>
    <t>talibkhan.novruzov@pashapay.az</t>
  </si>
  <si>
    <t>Talib.novruzov@internet.ru</t>
  </si>
  <si>
    <t>Ağdam ray., Mərzəli kəndi</t>
  </si>
  <si>
    <t>Bakı şəh., Əhmədli Gen. Şıx.3</t>
  </si>
  <si>
    <t>IDM-524</t>
  </si>
  <si>
    <t>Sahib Seydiov, Huseyn</t>
  </si>
  <si>
    <t>55ZVBH3</t>
  </si>
  <si>
    <t>AA3057363</t>
  </si>
  <si>
    <t>+994603357575</t>
  </si>
  <si>
    <t>Naxçıvan şəh., Xətai Məhəlləsi 15/7b</t>
  </si>
  <si>
    <t>IDM-538</t>
  </si>
  <si>
    <t>Elchin Aliyev, Elbrus</t>
  </si>
  <si>
    <t>Alıyev Elçin Elburus oğlu</t>
  </si>
  <si>
    <t>46YBBQL</t>
  </si>
  <si>
    <t>AA2338187</t>
  </si>
  <si>
    <t>+994503677742</t>
  </si>
  <si>
    <t>Ağcabədi ray., Üzeyir H. Küç.</t>
  </si>
  <si>
    <t>IDM-540</t>
  </si>
  <si>
    <t>Aliya Tagiyeva, Emin</t>
  </si>
  <si>
    <t>Tağıyeva Aliyə Emin qızı</t>
  </si>
  <si>
    <t xml:space="preserve">Senior Treasury Specialist </t>
  </si>
  <si>
    <t>Xəzinədarlıq üzrə Baş Mütəxəssis</t>
  </si>
  <si>
    <t>Sevinj</t>
  </si>
  <si>
    <t>61TFKG8</t>
  </si>
  <si>
    <t>AA1004338</t>
  </si>
  <si>
    <t>Master</t>
  </si>
  <si>
    <t>+994502243144</t>
  </si>
  <si>
    <t>aliya.taghiyeva@pashapay.az</t>
  </si>
  <si>
    <t>aliyataghiyeva@gmail.com</t>
  </si>
  <si>
    <t>Bakı şəh., Yasamal ray., Ələsgərov Ələkbərov 15A, m.24</t>
  </si>
  <si>
    <t>IDM-546</t>
  </si>
  <si>
    <t>Leyla Guliyeva, Aslan</t>
  </si>
  <si>
    <t>Quliyeva Leyla Aslan qızı</t>
  </si>
  <si>
    <t>3657Q01</t>
  </si>
  <si>
    <t>AA3431742</t>
  </si>
  <si>
    <t>+994557996378</t>
  </si>
  <si>
    <t>leyla.guliyeva@pashapay.az</t>
  </si>
  <si>
    <t>Leylaquliyeva0927@gmail.com</t>
  </si>
  <si>
    <t>Bakı şəh., Sabunçu ray., Bakıxanov qəs., Aşıq Pəri küç., 20</t>
  </si>
  <si>
    <t>IDM-558</t>
  </si>
  <si>
    <t>Farid Mammadli, Elchin</t>
  </si>
  <si>
    <t>Məmmədli Fərid Elçin oğlu</t>
  </si>
  <si>
    <t>Sales Representative</t>
  </si>
  <si>
    <t>Satış Təmsilçisi</t>
  </si>
  <si>
    <t>4Z82W67</t>
  </si>
  <si>
    <t>AA3296959</t>
  </si>
  <si>
    <t>+994558909491</t>
  </si>
  <si>
    <t>farid.mammadli@pashapay.az</t>
  </si>
  <si>
    <t xml:space="preserve">Ferid.fm.memmedli@gmail.com </t>
  </si>
  <si>
    <t>Qəbələ şəh.,</t>
  </si>
  <si>
    <t>Qəbələ şəh., N.Kərimov küç., ev.11</t>
  </si>
  <si>
    <t>IDM-559</t>
  </si>
  <si>
    <t>Farid Ahmadov, Rauf</t>
  </si>
  <si>
    <t>Əhmədov Fərid Rauf oğlu</t>
  </si>
  <si>
    <t>1KJFXDG</t>
  </si>
  <si>
    <t>AA2984587</t>
  </si>
  <si>
    <t>+994503991114</t>
  </si>
  <si>
    <t>feridahmedov99@gmail.com</t>
  </si>
  <si>
    <t>Neftçala şəh., Hüseyn Cavid küç.</t>
  </si>
  <si>
    <t>Bakı şəh., Yasamal ray., Şərifzadə 118, m.31</t>
  </si>
  <si>
    <t>IDM-567</t>
  </si>
  <si>
    <t>Farid Maharramov, Rauf</t>
  </si>
  <si>
    <t>Məhərrəmov Fərid Rauf oğlu</t>
  </si>
  <si>
    <t>7P961WU</t>
  </si>
  <si>
    <t>AA0655806</t>
  </si>
  <si>
    <t>+994503851899</t>
  </si>
  <si>
    <t>farid.maharramov@pashapay.az</t>
  </si>
  <si>
    <t>fmaharramov14098@ada.edu.az</t>
  </si>
  <si>
    <t>Ağdam şəh., Musavi küç.,</t>
  </si>
  <si>
    <t>Bakı şəh., Yasamal ray., S.Dadaşov küç.</t>
  </si>
  <si>
    <t>IDM-561</t>
  </si>
  <si>
    <t>Gunduz Bayramov, Mehman</t>
  </si>
  <si>
    <t>Bayramov Gündüz Mehman oğlu</t>
  </si>
  <si>
    <t>2E2L6Q4</t>
  </si>
  <si>
    <t>AA1184228</t>
  </si>
  <si>
    <t>+994559699625</t>
  </si>
  <si>
    <t>gunduz.bayramov@pashapay.az</t>
  </si>
  <si>
    <t>gunduzbayramovfh@gmail.com</t>
  </si>
  <si>
    <t>Gəncə şəh., Nizami ray., Yeni Gəncə qəs., bina 19 Ç., m.6</t>
  </si>
  <si>
    <t>Bakı şəh., Nəsimi ray., Azər Əliyev küç., 9A</t>
  </si>
  <si>
    <t>IDM-564</t>
  </si>
  <si>
    <t>Sadig Ibrahimli, Vugar</t>
  </si>
  <si>
    <t>İbrahimli Sadiq Vüqar oğlu</t>
  </si>
  <si>
    <t>4QTQYLD</t>
  </si>
  <si>
    <t>AA0423995</t>
  </si>
  <si>
    <t>+994519066962</t>
  </si>
  <si>
    <t>sadig.ibrahimli@pashapay.az</t>
  </si>
  <si>
    <t>sadigibragimli@gmail.com</t>
  </si>
  <si>
    <t>Bakı şəh., Müstəqillik küç., ev.15</t>
  </si>
  <si>
    <t>Bakı şəh., Məhsəti küç., 130A</t>
  </si>
  <si>
    <t>IDM-562</t>
  </si>
  <si>
    <t>Aylin Abdullayeva, Rasim</t>
  </si>
  <si>
    <t>Abdullayeva Aylin Rasim qızı</t>
  </si>
  <si>
    <t>7G50QZS</t>
  </si>
  <si>
    <t>AZE17257251</t>
  </si>
  <si>
    <t>+994509889801</t>
  </si>
  <si>
    <t>aylin.abdullayeva@pashapay.az</t>
  </si>
  <si>
    <t>aylin.abdullayeva.2001@mail.ru</t>
  </si>
  <si>
    <t>Kaveroçkin küç.,</t>
  </si>
  <si>
    <t>Bakı şəh., Yasamal ray., Əhməd Cəmil küç., ev.51, m.57</t>
  </si>
  <si>
    <t>IDM-560</t>
  </si>
  <si>
    <t>Ibrahim Tajibov, Ismail</t>
  </si>
  <si>
    <t>Tacıbov İbrahim İsmail oğlu</t>
  </si>
  <si>
    <t>1HYVNAR</t>
  </si>
  <si>
    <t>AA3244923</t>
  </si>
  <si>
    <t>+994103249942</t>
  </si>
  <si>
    <t>ibrahim.tacibov@pashapay.az</t>
  </si>
  <si>
    <t>eebra.t42@gmail.com</t>
  </si>
  <si>
    <t>Bakı şəh., Suraxanı ray., Qaraçuxur qəs., Mədək k., ev.34, m.4</t>
  </si>
  <si>
    <t>IDM-563</t>
  </si>
  <si>
    <t>Farid Namazov, Rufat</t>
  </si>
  <si>
    <t>Namazov Fərid Rüfət oğlu</t>
  </si>
  <si>
    <t>Monitoring Specialist</t>
  </si>
  <si>
    <t>Monitorinq üzrə Mütəxəssis</t>
  </si>
  <si>
    <t>6JQVTQG</t>
  </si>
  <si>
    <t>AA5362519</t>
  </si>
  <si>
    <t>+994514061151</t>
  </si>
  <si>
    <t>farid.namazov@pashapay.az</t>
  </si>
  <si>
    <t>Farid.namazov@mail.ru</t>
  </si>
  <si>
    <t>Bakı şəh., Nəsimi ray., H.Seyidzadə küç., 26a, m.21</t>
  </si>
  <si>
    <t>IDM-571</t>
  </si>
  <si>
    <t>Galib Khalilov, Fikrat</t>
  </si>
  <si>
    <t>Xəlilov Qalib Fikrət oğlu</t>
  </si>
  <si>
    <t>Semior Jira Engineer</t>
  </si>
  <si>
    <t>Jira üzrə Baş Mühəndis</t>
  </si>
  <si>
    <t>?</t>
  </si>
  <si>
    <t>6HNKTGH</t>
  </si>
  <si>
    <t>AA3861391</t>
  </si>
  <si>
    <t>Natamam Ali</t>
  </si>
  <si>
    <t>+994558079988</t>
  </si>
  <si>
    <t>galib.khalilov@pashapay.az</t>
  </si>
  <si>
    <t>qalibkh@gmail.com</t>
  </si>
  <si>
    <t>Bakı şəh., S.Vəzirov 11D, M.8</t>
  </si>
  <si>
    <t>IDM-577</t>
  </si>
  <si>
    <t xml:space="preserve">Seyidmammad Aghayev, Javad </t>
  </si>
  <si>
    <t>Ağayev Seyidməmməd Cavad oğlu</t>
  </si>
  <si>
    <t>7EU1DK5</t>
  </si>
  <si>
    <t>AZE16505581</t>
  </si>
  <si>
    <t>+994503983240</t>
  </si>
  <si>
    <t>seyidmammad.agayev@pashapay.az</t>
  </si>
  <si>
    <t>seyidcom2@gmail.com</t>
  </si>
  <si>
    <t>Sabirabad ray., Kovlar kəndi</t>
  </si>
  <si>
    <t>Bakı şəh., Yasamal ray., Dadaş Bünyadzadə 44A</t>
  </si>
  <si>
    <t>IDM-579</t>
  </si>
  <si>
    <t>Adil Mammadyarov, Azer</t>
  </si>
  <si>
    <t>Məmmədyarov Adil Azər oğlu</t>
  </si>
  <si>
    <t>1JSAUTV</t>
  </si>
  <si>
    <t>AA1049535</t>
  </si>
  <si>
    <t>+994502209118</t>
  </si>
  <si>
    <t>adil.mammadyarov@pashapay.az</t>
  </si>
  <si>
    <t>adilmammadyarov@gmail.com</t>
  </si>
  <si>
    <t>Bakı şəh., Nəriman Nərimanov,M.Məmmədov 17, ev.97</t>
  </si>
  <si>
    <t>Bakı şəh., Nəriman Nərimanov M. Sənan küç., 38</t>
  </si>
  <si>
    <t>IDM-578</t>
  </si>
  <si>
    <t>Elnur Nadirov, Hakhverdi</t>
  </si>
  <si>
    <t>7W2NFAW</t>
  </si>
  <si>
    <t>AA1627647</t>
  </si>
  <si>
    <t>+ 994505746632</t>
  </si>
  <si>
    <t>Sabirabad ray., S.Vur]un ev.67</t>
  </si>
  <si>
    <t>Xətai ray., Xudu Məmmədov 19, ev.6</t>
  </si>
  <si>
    <t>IDM-581</t>
  </si>
  <si>
    <t>Ruslan Muradov, Yagub</t>
  </si>
  <si>
    <t>4M1WWLY</t>
  </si>
  <si>
    <t>AZE14004474</t>
  </si>
  <si>
    <t>+994508252124</t>
  </si>
  <si>
    <t>Bakı şəh., H.Zərdabi ev.70, m. 63</t>
  </si>
  <si>
    <t>Bakı şəh., M.Cəfər Cəfərov, ev.10, m.434</t>
  </si>
  <si>
    <t>IDM-576</t>
  </si>
  <si>
    <t xml:space="preserve">Gulbaniz Farzaliyeva, Aghaghul </t>
  </si>
  <si>
    <t>Fərzəliyeva Gülbəniz Ağagül qızı</t>
  </si>
  <si>
    <t>Leading Financial Modelling and Budgeting Specialist</t>
  </si>
  <si>
    <t>Maliyyə Modelləşdirmə və Büdcələşdirmə üzrə Aparıcı Mütəxəssis</t>
  </si>
  <si>
    <t>5UDXU85</t>
  </si>
  <si>
    <t>AA0396133</t>
  </si>
  <si>
    <t>+994553551363</t>
  </si>
  <si>
    <t>gulbaniz.farzaliyeva@pashapay.az</t>
  </si>
  <si>
    <t>gulbaniz.f@gmail.com</t>
  </si>
  <si>
    <t>Xaçmaz ray., Qıraqlı kəndi</t>
  </si>
  <si>
    <t>Qaradağ ray., Müşfiq qəs., Massiv 1, ev.2</t>
  </si>
  <si>
    <t>IDM-584</t>
  </si>
  <si>
    <t>Narmin Isgandarova, Bahram</t>
  </si>
  <si>
    <t>İsgəndərova Nərmin Bəhram qızı</t>
  </si>
  <si>
    <t>Audit committee</t>
  </si>
  <si>
    <t>Chairman of the Audit Committee</t>
  </si>
  <si>
    <t>Audit Komitəsinin Sədri</t>
  </si>
  <si>
    <t>3 year</t>
  </si>
  <si>
    <t>4HPX05P</t>
  </si>
  <si>
    <t>AA1276892</t>
  </si>
  <si>
    <t>+994517338075</t>
  </si>
  <si>
    <t>narmin.isgandarova@pashapay.az</t>
  </si>
  <si>
    <t>Bakı şəh., Mətbuat pr.35C</t>
  </si>
  <si>
    <t>Kapital Bank - Ferrari</t>
  </si>
  <si>
    <t>IDM-586</t>
  </si>
  <si>
    <t xml:space="preserve">Minaya Azizova, Sadig  </t>
  </si>
  <si>
    <t>Əzizova Minayə Sadiq qızı</t>
  </si>
  <si>
    <t>6GVV8KU</t>
  </si>
  <si>
    <t>AA2411329</t>
  </si>
  <si>
    <t>+994505273272</t>
  </si>
  <si>
    <t>minaya.azizova@pashapay.az</t>
  </si>
  <si>
    <t>minaye.azizova@gmail.com</t>
  </si>
  <si>
    <t>Qubadlı ray.,</t>
  </si>
  <si>
    <t>Sumqayıt şəh., 9 mkr., ev.18/19</t>
  </si>
  <si>
    <t>IDM-588</t>
  </si>
  <si>
    <t>Orkhan Karimov, Teymur</t>
  </si>
  <si>
    <t>Audit Committee member</t>
  </si>
  <si>
    <t>Audit Komitəsinin üzvü</t>
  </si>
  <si>
    <t>1WUF6NC</t>
  </si>
  <si>
    <t>AA0578667</t>
  </si>
  <si>
    <t>+994502514161</t>
  </si>
  <si>
    <t>karimov.orkhan@pashapay.az</t>
  </si>
  <si>
    <t>orkhan1987@gmail.com</t>
  </si>
  <si>
    <t>Bakı şəh., Tblisi pr.49, m.31</t>
  </si>
  <si>
    <t>Bakı şəh., Məlik Məmmədov küç.17, m.29</t>
  </si>
  <si>
    <t>IDM-596</t>
  </si>
  <si>
    <t>Rafail Farziyev, Jafar</t>
  </si>
  <si>
    <t>Yevlax RİM</t>
  </si>
  <si>
    <t>408JFTT</t>
  </si>
  <si>
    <t>AA7593827</t>
  </si>
  <si>
    <t>+994503336594</t>
  </si>
  <si>
    <t>Yevlax ray., C.Cabbarlı 4/11</t>
  </si>
  <si>
    <t>Yevlax şəh., C.Cabbarlı 4/11</t>
  </si>
  <si>
    <t>IDM-601</t>
  </si>
  <si>
    <t>Afgan Alovsatli, Gabil</t>
  </si>
  <si>
    <t>6FZ8DZR</t>
  </si>
  <si>
    <t>AA3526178</t>
  </si>
  <si>
    <t>+994513432133</t>
  </si>
  <si>
    <t>Yevlax şəh., Varvara kəndi</t>
  </si>
  <si>
    <t>IDM-602</t>
  </si>
  <si>
    <t>Abbas Jabbarov, Khalig</t>
  </si>
  <si>
    <t>58CV1VX</t>
  </si>
  <si>
    <t>AA0569767</t>
  </si>
  <si>
    <t>+994552825852</t>
  </si>
  <si>
    <t>Samux ray., Alıuşağı kəndi</t>
  </si>
  <si>
    <t>IDM-604</t>
  </si>
  <si>
    <t>Tural Mammadov, Sadikh</t>
  </si>
  <si>
    <t>1SLSSTR</t>
  </si>
  <si>
    <t>AA1190776</t>
  </si>
  <si>
    <t>+994517355151</t>
  </si>
  <si>
    <t>Yevlax şəh., Təvəkkül Məmmədov 10</t>
  </si>
  <si>
    <t>IDM-605</t>
  </si>
  <si>
    <t>Konul Aliyeva,Yusif</t>
  </si>
  <si>
    <t>Əliyeva Könül Yusif qızı</t>
  </si>
  <si>
    <t>4HK0JN8</t>
  </si>
  <si>
    <t>AA3727571</t>
  </si>
  <si>
    <t>+994559163933</t>
  </si>
  <si>
    <t>Yevlax şəh., Q.Quluyev ev 11/7</t>
  </si>
  <si>
    <t>IDM-590</t>
  </si>
  <si>
    <t>Jeyhun Abdullazada, Gilinjkhan</t>
  </si>
  <si>
    <t>Abdullazadə Ceyhun Qılıncxan oğlu</t>
  </si>
  <si>
    <t>5KD6P20</t>
  </si>
  <si>
    <t>AZE17591207</t>
  </si>
  <si>
    <t>+994558204845</t>
  </si>
  <si>
    <t>jeyhun.abdullazade@pashapay.az</t>
  </si>
  <si>
    <t>Şirvan şəh., T.İsmayılov Küç., Ev.10</t>
  </si>
  <si>
    <t>Abşeron ray., Masazır qəs., Sahil küç</t>
  </si>
  <si>
    <t>IDM-593</t>
  </si>
  <si>
    <t>Aysu Xalili, Zaur</t>
  </si>
  <si>
    <t>Xəlili Aysu Zaur qızı</t>
  </si>
  <si>
    <t>6YACPTX</t>
  </si>
  <si>
    <t>AA0007327</t>
  </si>
  <si>
    <t>+994553308775</t>
  </si>
  <si>
    <t>aysu.khalili@pashapay.az</t>
  </si>
  <si>
    <t>aysuxalili@gmail.com</t>
  </si>
  <si>
    <t>Bakı şəh., Binəqədi ray., Naxçıvani 24, m.103</t>
  </si>
  <si>
    <t>IDM-609</t>
  </si>
  <si>
    <t>Nijat Nuriyev, Zamaddin</t>
  </si>
  <si>
    <t>28HF1J5</t>
  </si>
  <si>
    <t>AA1690288</t>
  </si>
  <si>
    <t>+994505027250</t>
  </si>
  <si>
    <t>Yevlax şəh., Ü.Hacıbəyov ev.43</t>
  </si>
  <si>
    <t>IDM-610</t>
  </si>
  <si>
    <t>Nazim Behbudov, Farman</t>
  </si>
  <si>
    <t>Behbudov Nazim Fərman oğlu</t>
  </si>
  <si>
    <t>2KCZZ4D</t>
  </si>
  <si>
    <t>AA1855074</t>
  </si>
  <si>
    <t>+994773852525</t>
  </si>
  <si>
    <t>Naxçıvan şəh., Xətai döngə 8, ev.27</t>
  </si>
  <si>
    <t>IDM-615</t>
  </si>
  <si>
    <t>Nuray Mammadzade (Aliyeva), Chingiz</t>
  </si>
  <si>
    <t>Məmmədzadə(Əliyeva) Nuray Çingiz qızı</t>
  </si>
  <si>
    <t>6W4SBPX</t>
  </si>
  <si>
    <t>AA0771350</t>
  </si>
  <si>
    <t>+994517779997</t>
  </si>
  <si>
    <t>nuray.aliyeva@pashapay.az</t>
  </si>
  <si>
    <t>Bakı şəh., Yasamal ray., İnşaatçılar</t>
  </si>
  <si>
    <t>IDM-616</t>
  </si>
  <si>
    <t>Saadat Afandizada, Natig</t>
  </si>
  <si>
    <t>Əfəndizadə Səadət Natiq qızı</t>
  </si>
  <si>
    <t>Junior Customer Relations Specialist</t>
  </si>
  <si>
    <t>Müştəri əlaqələri üzrə kiçik mütəxəssis</t>
  </si>
  <si>
    <t>6HMPCTZ</t>
  </si>
  <si>
    <t>AA5568724</t>
  </si>
  <si>
    <t>+994559309690</t>
  </si>
  <si>
    <t>saadat.afandizada@pashapay.az</t>
  </si>
  <si>
    <t>ayyubovasaadat@gmail.com</t>
  </si>
  <si>
    <t>Bakı şəh., Molla Vəli Vidadi dalan 2</t>
  </si>
  <si>
    <t>IDM-614</t>
  </si>
  <si>
    <t>Reyhana Maharramova, Eyvaz</t>
  </si>
  <si>
    <t>Məhərrəmova Reyhanə Eyvaz qızı</t>
  </si>
  <si>
    <t>59YD1KG</t>
  </si>
  <si>
    <t>AA1727076</t>
  </si>
  <si>
    <t>+994702233221</t>
  </si>
  <si>
    <t>reyhana.maharramova@pashapay.az</t>
  </si>
  <si>
    <t>rbayramova585@gmail.com</t>
  </si>
  <si>
    <t>Bakı şəh., Nizami ray., Qara Qarayev pr.36A</t>
  </si>
  <si>
    <t>IDM-645</t>
  </si>
  <si>
    <t xml:space="preserve">Leyla Rzayeva, Zahid </t>
  </si>
  <si>
    <t>Rzayeva Leyla Zahid qızı</t>
  </si>
  <si>
    <t>53E3LGH</t>
  </si>
  <si>
    <t>AA2522568</t>
  </si>
  <si>
    <t xml:space="preserve">+994998540111 </t>
  </si>
  <si>
    <t>leyla.rzayeva@pashapay.az</t>
  </si>
  <si>
    <t xml:space="preserve">leyla.rzayeva.0111@mail.ru </t>
  </si>
  <si>
    <t>Gəncə şəh., Əziz Əliyev</t>
  </si>
  <si>
    <t>Bakı şəh., Xırdalan ray., Qalubiyyə küç.</t>
  </si>
  <si>
    <t>IDM-643</t>
  </si>
  <si>
    <t xml:space="preserve">Mukhtar Sanayev, Emil </t>
  </si>
  <si>
    <t>Sanayev Muxtar Emil oğlu</t>
  </si>
  <si>
    <t>7M96UVR</t>
  </si>
  <si>
    <t>AA1402548</t>
  </si>
  <si>
    <t xml:space="preserve">+994555252567 </t>
  </si>
  <si>
    <t>mukhtar.sanayev@pashapay.az</t>
  </si>
  <si>
    <t xml:space="preserve">sanayevmuxtar2036@gmail.com </t>
  </si>
  <si>
    <t>Bakı şəh., Binəqədi ray.</t>
  </si>
  <si>
    <t>Bakı şəh., Xətai ray.</t>
  </si>
  <si>
    <t>IDM-642</t>
  </si>
  <si>
    <t xml:space="preserve">Nigar Hasanzada, Fikrat </t>
  </si>
  <si>
    <t>Həsənzadə Nigar Fikrət qızı</t>
  </si>
  <si>
    <t>72KBSQ7</t>
  </si>
  <si>
    <t>AA1697408</t>
  </si>
  <si>
    <t xml:space="preserve">Female          </t>
  </si>
  <si>
    <t>+994555223835</t>
  </si>
  <si>
    <t>nigar.hasanzada@pashapay.az</t>
  </si>
  <si>
    <t xml:space="preserve">hesenzade.nigar.f.@gmail.com </t>
  </si>
  <si>
    <t>Bakı şəh., Nizami ray., Keşlə qəs., Zahir 4</t>
  </si>
  <si>
    <t>IDM-644</t>
  </si>
  <si>
    <t xml:space="preserve">Ali Mammadov, Akif </t>
  </si>
  <si>
    <t>Məmmədov Əli Akif oğlu</t>
  </si>
  <si>
    <t>6KGEBPY</t>
  </si>
  <si>
    <t>AA5823588</t>
  </si>
  <si>
    <t xml:space="preserve">+994506667109 </t>
  </si>
  <si>
    <t>ali.mammadov@pashapay.az</t>
  </si>
  <si>
    <t xml:space="preserve">allimamed704514@gmail.com </t>
  </si>
  <si>
    <t>Göyçay şəh., Ə.Səmmədli küç., ev.103</t>
  </si>
  <si>
    <t>Bakı şəh., S.Ə.Şirvani küç., ev.120</t>
  </si>
  <si>
    <t>IDM-638</t>
  </si>
  <si>
    <t>Aytan Aliyeva, Shahin</t>
  </si>
  <si>
    <t>Əliyeva Aytən Şahin qızı</t>
  </si>
  <si>
    <t>67HYDTM</t>
  </si>
  <si>
    <t>AA2828280</t>
  </si>
  <si>
    <t xml:space="preserve">Female    </t>
  </si>
  <si>
    <t>+994519090240</t>
  </si>
  <si>
    <t>aytan.aliyeva@pashapay.az</t>
  </si>
  <si>
    <t>aliyevaayten77@gmail.com</t>
  </si>
  <si>
    <t>Ağsu ray., Gəgəli kəndi</t>
  </si>
  <si>
    <t>Bakı şəh., Yasamal ray., Şəfaət Mehdiyev 1054</t>
  </si>
  <si>
    <t>IDM-635</t>
  </si>
  <si>
    <t xml:space="preserve">Elchin Abbaszada Nazim </t>
  </si>
  <si>
    <t>Monitoring and Evaluation Manager</t>
  </si>
  <si>
    <t>Monitorinq və Qiymətləndirmə üzrə Menecer</t>
  </si>
  <si>
    <t>4Z7KY3D</t>
  </si>
  <si>
    <t>AA1232601</t>
  </si>
  <si>
    <t>+994505199991</t>
  </si>
  <si>
    <t>elchin.abbaszada@pashapay.az</t>
  </si>
  <si>
    <t xml:space="preserve">rashad.h@pashapay.az </t>
  </si>
  <si>
    <t>Bakı şəh., Nərimanov ray., İ.Hidayətzadə 53, m.22</t>
  </si>
  <si>
    <t>Bakı şəh., Nərimanov ray., Ə.Orucəliyev 7, m.119A</t>
  </si>
  <si>
    <t>IDM-649</t>
  </si>
  <si>
    <t>Khazay Kamilov, Ruslan</t>
  </si>
  <si>
    <t>Kamilov Xazay Ruslan oğlu</t>
  </si>
  <si>
    <t>7AZC27A</t>
  </si>
  <si>
    <t>AA 4676634</t>
  </si>
  <si>
    <t>+994514446066</t>
  </si>
  <si>
    <t>Khazay.kamilov@pashapay.az</t>
  </si>
  <si>
    <t xml:space="preserve">Cəlilabad, , S.Axundov Küç., Ev 18, M. </t>
  </si>
  <si>
    <t>Bakı şəh, Nəsimi ray, Xəqani küç., 65, m.21</t>
  </si>
  <si>
    <t>IDM-650</t>
  </si>
  <si>
    <t>Buludkhan Masimov, Soybat</t>
  </si>
  <si>
    <t>6HFKRWU</t>
  </si>
  <si>
    <t>AA4986856</t>
  </si>
  <si>
    <t>+994558118938</t>
  </si>
  <si>
    <t>Sumqayıt şəh., 13 mkr.</t>
  </si>
  <si>
    <t>Saray qəs.</t>
  </si>
  <si>
    <t>IDM-653</t>
  </si>
  <si>
    <t xml:space="preserve">Ravin Narimanov, Dakhil </t>
  </si>
  <si>
    <t>1U7BQCP</t>
  </si>
  <si>
    <t>AA0096280</t>
  </si>
  <si>
    <t xml:space="preserve">+994505984324 </t>
  </si>
  <si>
    <t>Saatlı ray.,</t>
  </si>
  <si>
    <t>Bakı şəh., Hüseynbala Əliyev küç.</t>
  </si>
  <si>
    <t>IDM-661</t>
  </si>
  <si>
    <t xml:space="preserve">Aghasif Hasanli, Vugar </t>
  </si>
  <si>
    <t>Həsənli Ağasif Vüqar oğlu</t>
  </si>
  <si>
    <t>6HS8XTA</t>
  </si>
  <si>
    <t>AA1411630</t>
  </si>
  <si>
    <t xml:space="preserve">+994506029940 </t>
  </si>
  <si>
    <t>aghasif.hasanli@pashapay.az</t>
  </si>
  <si>
    <t>Beyləqan şəh., Bülbül küç., ev. N5</t>
  </si>
  <si>
    <t>Xırdalan şəh., Masazır qəs., Abşeron gənclər şəhərciyi</t>
  </si>
  <si>
    <t>IDM-663</t>
  </si>
  <si>
    <t xml:space="preserve">Elchin Amirbayov, Nizami </t>
  </si>
  <si>
    <t>Əmirbəyov Elçin Nizami oğlu</t>
  </si>
  <si>
    <t>3M3EKQW</t>
  </si>
  <si>
    <t>AA3447774</t>
  </si>
  <si>
    <t xml:space="preserve">+994706734140 </t>
  </si>
  <si>
    <t>Qusar ray., H.Əliyev pr., ev.174, m.44</t>
  </si>
  <si>
    <t>Quba</t>
  </si>
  <si>
    <t>IDM-670</t>
  </si>
  <si>
    <t>Narmin Huseynova, Hatam</t>
  </si>
  <si>
    <t>Hüseynova Nərmin Hətəm qızı</t>
  </si>
  <si>
    <t>Operations division</t>
  </si>
  <si>
    <t xml:space="preserve">Əməliyyatlar </t>
  </si>
  <si>
    <t>Card Operations Manager</t>
  </si>
  <si>
    <t>Kart Əməliyyatları üzrə Menecer</t>
  </si>
  <si>
    <t>5GRNK4M</t>
  </si>
  <si>
    <t>AA3786909</t>
  </si>
  <si>
    <t xml:space="preserve">+994554261810 </t>
  </si>
  <si>
    <t>narmin.huseynova@pashapay.az</t>
  </si>
  <si>
    <t xml:space="preserve">narmin.x.huseynova@gmail.com </t>
  </si>
  <si>
    <t>Bakı şəh., Nəsimi ray., M.Cəlal 54 B</t>
  </si>
  <si>
    <t>IDM-668</t>
  </si>
  <si>
    <t xml:space="preserve">Farhad Aliyev, Tahir </t>
  </si>
  <si>
    <t>Əliyev Fərhad Tahir oğlu</t>
  </si>
  <si>
    <t>Junior IT Specialist</t>
  </si>
  <si>
    <t>İT üzrə Kiçik Mütəxəssis</t>
  </si>
  <si>
    <t>6CWSF71</t>
  </si>
  <si>
    <t>AA3633302</t>
  </si>
  <si>
    <t xml:space="preserve">Male  </t>
  </si>
  <si>
    <t xml:space="preserve">+994553941400 </t>
  </si>
  <si>
    <t>farhad.aliyev@pashapay.az</t>
  </si>
  <si>
    <t>Bakı şəh., Nəsimi ray., Mərdanov qard., k.ev.41</t>
  </si>
  <si>
    <t>Bakı şəh., Xətai ray., Həsən Salmani küç.17</t>
  </si>
  <si>
    <t>IDM-667</t>
  </si>
  <si>
    <t>Nijat Suleymanov, Serdar</t>
  </si>
  <si>
    <t>Süleymanov Nicat Sərdar oğlu</t>
  </si>
  <si>
    <t>Leading Internal Control Specialist</t>
  </si>
  <si>
    <t>Daxili Nəzarət üzrə Aparıcı Mütəxəssis</t>
  </si>
  <si>
    <t>5QAM8JQ</t>
  </si>
  <si>
    <t>AA0585492</t>
  </si>
  <si>
    <t>+994516996797</t>
  </si>
  <si>
    <t>nijat.suleymanov@pashapay.az</t>
  </si>
  <si>
    <t xml:space="preserve">nicatsuleymanov7@gmail.com </t>
  </si>
  <si>
    <t>Göyçay şəh., Yenikənd kəndi</t>
  </si>
  <si>
    <t>Bakı şəh., Binəqədi ray., S.Saxundov 42, bina 1, mənzil 102</t>
  </si>
  <si>
    <t>IDM-676</t>
  </si>
  <si>
    <t xml:space="preserve">Tahir Taghiyev, Elgiz </t>
  </si>
  <si>
    <t>Tağıyev Tahir Elgiz oğlu</t>
  </si>
  <si>
    <t>5VM98G0</t>
  </si>
  <si>
    <t>AA1740564</t>
  </si>
  <si>
    <t>+994557794888</t>
  </si>
  <si>
    <t xml:space="preserve">tagievas96@mail.ru </t>
  </si>
  <si>
    <t>Bakı şəh., Nəsimi ray., H.Seyidzadə 1A, m.93</t>
  </si>
  <si>
    <t>Abşeron ray., Hökməli qəs.</t>
  </si>
  <si>
    <t>IDM-680</t>
  </si>
  <si>
    <t>Sevinj Rasulova, Vahid</t>
  </si>
  <si>
    <t>Rəsulova Sevinc Vahid qızı</t>
  </si>
  <si>
    <t>Financial Institutions Group Leader</t>
  </si>
  <si>
    <t>Maliyyə İnstitutları üzrə Qrup Rəhbəri</t>
  </si>
  <si>
    <t>23HSB5X</t>
  </si>
  <si>
    <t>AA3993095</t>
  </si>
  <si>
    <t>+994102120617</t>
  </si>
  <si>
    <t>sevinj.rasulova@pashapay.az</t>
  </si>
  <si>
    <t xml:space="preserve">svnjrasulova@gmail.com </t>
  </si>
  <si>
    <t>Bakı şəh., İsmayıl bəy Qutqaşınlı, ev.80, m.34</t>
  </si>
  <si>
    <t>Maternity</t>
  </si>
  <si>
    <t>IDM-684</t>
  </si>
  <si>
    <t>Khadija Abbasova, Samad</t>
  </si>
  <si>
    <t>Abbasova Xədicə Səməd qızı</t>
  </si>
  <si>
    <t>Junior Telesales Specialist</t>
  </si>
  <si>
    <t>Telesatış üzrə Kiçik Mütəxəssis</t>
  </si>
  <si>
    <t>7VLT1DJ</t>
  </si>
  <si>
    <t>AA2677497</t>
  </si>
  <si>
    <t>+994504058894</t>
  </si>
  <si>
    <t>khadija.abbasova@pashapay.az</t>
  </si>
  <si>
    <t xml:space="preserve">abbasovax813@gmail.com </t>
  </si>
  <si>
    <t>Fizuli rayonu</t>
  </si>
  <si>
    <t>Bakı şəh., Surxanı ray., Yeni Günəşli A/B</t>
  </si>
  <si>
    <t>IDM-688</t>
  </si>
  <si>
    <t xml:space="preserve">Orkhan Majidov, Makhsud </t>
  </si>
  <si>
    <t>Məcidov Orxan Maxsud oğlu</t>
  </si>
  <si>
    <t>Customer Care Team Leader</t>
  </si>
  <si>
    <t>Müştəri Əlaqələri üzrə Qrup Rəhbəri</t>
  </si>
  <si>
    <t>1TWJ694</t>
  </si>
  <si>
    <t>AZE16913468</t>
  </si>
  <si>
    <t>+994505188558</t>
  </si>
  <si>
    <t>orkhan.majidov@pashapay.az</t>
  </si>
  <si>
    <t xml:space="preserve">majidov_orkhan@mail.ru </t>
  </si>
  <si>
    <t>Bakı şəh., General Şıxlinski 13, m.54</t>
  </si>
  <si>
    <t>IDM-693</t>
  </si>
  <si>
    <t>Nagi Mehdiyev, Zakir</t>
  </si>
  <si>
    <t>Mehdiyev Nağı Zakir oğlu</t>
  </si>
  <si>
    <t>2F89Q5W</t>
  </si>
  <si>
    <t>AA4456999</t>
  </si>
  <si>
    <t>+994502222191</t>
  </si>
  <si>
    <t xml:space="preserve">mehdiyev.nagi@gmail.com </t>
  </si>
  <si>
    <t>Bakı şəh., Binəqədi ray., H.Məmmədquluzadə ev.29</t>
  </si>
  <si>
    <t>Bakı şəh., X.Məmmədov 20, B.1, ev.9</t>
  </si>
  <si>
    <t>IDM-694</t>
  </si>
  <si>
    <t xml:space="preserve">Bahman Aghazada, Zeynal </t>
  </si>
  <si>
    <t>Customer Complaints Manager</t>
  </si>
  <si>
    <t>Müştəri Şikayətləri üzrə Menecer</t>
  </si>
  <si>
    <t>2YV5D0M</t>
  </si>
  <si>
    <t>AA0045381</t>
  </si>
  <si>
    <t>+994555502510</t>
  </si>
  <si>
    <t>bahman.aghazada@pashapay.az</t>
  </si>
  <si>
    <t xml:space="preserve">baxman.a@gmail.com </t>
  </si>
  <si>
    <t>Bakı şəh., Ə.Quliyev küç., dal.5, ev.6</t>
  </si>
  <si>
    <t>IDM-699</t>
  </si>
  <si>
    <t xml:space="preserve">Jahad Hasanzada, Jeyhun </t>
  </si>
  <si>
    <t>Həsənzadə Cahad Ceyhun oğlu</t>
  </si>
  <si>
    <t>7NGU0RM</t>
  </si>
  <si>
    <t>AA2694409</t>
  </si>
  <si>
    <t xml:space="preserve">+994557716636 </t>
  </si>
  <si>
    <t>Heydər Əliyev pr.44/46</t>
  </si>
  <si>
    <t>Leytinant İbrahimov 28/30</t>
  </si>
  <si>
    <t>IDM-696</t>
  </si>
  <si>
    <t xml:space="preserve">Yusif Shirinov, Eyvaz </t>
  </si>
  <si>
    <t>Şirinov Yusif Eyvaz oğlu</t>
  </si>
  <si>
    <t>2VNY2YP</t>
  </si>
  <si>
    <t>AA0014865</t>
  </si>
  <si>
    <t xml:space="preserve">+994557557555 </t>
  </si>
  <si>
    <t>yusif.shirinov@pashapay.az</t>
  </si>
  <si>
    <t>Oğuz şəh., M.Ə.Rəsulzadə küç., ev.22</t>
  </si>
  <si>
    <t>Bakı şəh., Sabunçu ray., Bakıxanov q., Sülh 1 V, m.98</t>
  </si>
  <si>
    <t>IDM-698</t>
  </si>
  <si>
    <t xml:space="preserve">Rza Ismayilzada, Ilgar </t>
  </si>
  <si>
    <t>İsmayılzadə Rza İlqar oğlu</t>
  </si>
  <si>
    <t>6WX6B3Y</t>
  </si>
  <si>
    <t>AZE17448386</t>
  </si>
  <si>
    <t>College</t>
  </si>
  <si>
    <t xml:space="preserve">+994708660128 </t>
  </si>
  <si>
    <t>Bakı şəh., Nəsimi ray., İlqar İsmayılov  28</t>
  </si>
  <si>
    <t>IDM-697</t>
  </si>
  <si>
    <t xml:space="preserve">Elmira Adigozalli, Ilgar </t>
  </si>
  <si>
    <t>Adıgözəlli Elmira İlqar qızı</t>
  </si>
  <si>
    <t>Settlements Specialist</t>
  </si>
  <si>
    <t>Hesablaşmalar üzrə Mütəxəssis</t>
  </si>
  <si>
    <t>6M9LF77</t>
  </si>
  <si>
    <t>AA4658512</t>
  </si>
  <si>
    <t xml:space="preserve">+994516751441 </t>
  </si>
  <si>
    <t>elmira.adigozalli@pashapay.az</t>
  </si>
  <si>
    <t xml:space="preserve">elmira.adigozalli@gmail.com </t>
  </si>
  <si>
    <t>Bakı şəh., Nərimanov ray., Uluqbəy küç., 127</t>
  </si>
  <si>
    <t>IDM-695</t>
  </si>
  <si>
    <t xml:space="preserve">Savalan Amirov, Israfil </t>
  </si>
  <si>
    <t>Customer Care Manager</t>
  </si>
  <si>
    <t>Müştəri Xidmətləri üzrə Menecer</t>
  </si>
  <si>
    <t>5YFYZ6V</t>
  </si>
  <si>
    <t>AA2002892</t>
  </si>
  <si>
    <t xml:space="preserve">+994517277525 </t>
  </si>
  <si>
    <t>savalan.amirov@pashapay.az</t>
  </si>
  <si>
    <t xml:space="preserve">savalan.amirov@yahoo.com </t>
  </si>
  <si>
    <t>İmişli ray., Qulubəyli kəndi</t>
  </si>
  <si>
    <t>Bakı şəh., Xətai ray., Xocalı pr., ev.24, m.28</t>
  </si>
  <si>
    <t>IDM-711</t>
  </si>
  <si>
    <t xml:space="preserve">Mehdi Ibrahimov, Rauf </t>
  </si>
  <si>
    <t>İbrahimov Mehdi Rauf oğlu</t>
  </si>
  <si>
    <t>5S3Y32T</t>
  </si>
  <si>
    <t>AA0169985</t>
  </si>
  <si>
    <t xml:space="preserve">+994506888781 </t>
  </si>
  <si>
    <t>mehdi.ibrahimov@pashapay.az</t>
  </si>
  <si>
    <t xml:space="preserve">ibrahimovmehdi@gmail.com </t>
  </si>
  <si>
    <t>Tovuz şəh., Mehdi Hüseyn 5</t>
  </si>
  <si>
    <t>Bakı şəh., Natiq Əliyev 32</t>
  </si>
  <si>
    <t>IDM-718</t>
  </si>
  <si>
    <t>Nihad Bayramov, Namig</t>
  </si>
  <si>
    <t>53NC1SR</t>
  </si>
  <si>
    <t>AA2456991</t>
  </si>
  <si>
    <t>+994515058808</t>
  </si>
  <si>
    <t>Naxçıvan şəh., Azərbaycan küçəsi, ev.18</t>
  </si>
  <si>
    <t>IDM-715</t>
  </si>
  <si>
    <t>Gullu Albandova, Ali</t>
  </si>
  <si>
    <t>Əlbəndova Güllü Əli qızı</t>
  </si>
  <si>
    <t>7PV4GKH</t>
  </si>
  <si>
    <t>AZE18461843</t>
  </si>
  <si>
    <t>+994505525861</t>
  </si>
  <si>
    <t>gullu.albandova@pashapay.az</t>
  </si>
  <si>
    <t xml:space="preserve">gulya.albandova@gmail.com </t>
  </si>
  <si>
    <t>Bakı şəh., Xətai ray., Gəncə pr.95</t>
  </si>
  <si>
    <t>IDM-717</t>
  </si>
  <si>
    <t>Babek Hamidov, Alikram</t>
  </si>
  <si>
    <t>Həmidov Babək Əlikram oğlu</t>
  </si>
  <si>
    <t>2EZ26ET</t>
  </si>
  <si>
    <t>AA2690279</t>
  </si>
  <si>
    <t xml:space="preserve">+994502626868 </t>
  </si>
  <si>
    <t>babek.hamidov@pashapay.az</t>
  </si>
  <si>
    <t>Şəki şəh., Galğalıbulaq küç., bina 2 A, m.45</t>
  </si>
  <si>
    <t>Bakı şəh., Nərimanov ray., Ağasadiq Gəraybəyli 11/15, m.96</t>
  </si>
  <si>
    <t>IDM-721</t>
  </si>
  <si>
    <t xml:space="preserve">Tabriz Ahmadov, Mutallim </t>
  </si>
  <si>
    <t>24VK56V</t>
  </si>
  <si>
    <t>AA5408498</t>
  </si>
  <si>
    <t xml:space="preserve">+994517355252 </t>
  </si>
  <si>
    <t>xan.tac@mail.ru</t>
  </si>
  <si>
    <t>Yevlax ray., Aran qəsəbəsi</t>
  </si>
  <si>
    <t>IDM-724</t>
  </si>
  <si>
    <t xml:space="preserve">Kanan Nushravanov Asif </t>
  </si>
  <si>
    <t>Nüşravanov Kənan Asif oğlu</t>
  </si>
  <si>
    <t>Leading Technician</t>
  </si>
  <si>
    <t>Aparıcı Texnik</t>
  </si>
  <si>
    <t>5CZHRKL</t>
  </si>
  <si>
    <t>AZE16647774</t>
  </si>
  <si>
    <t xml:space="preserve">+994503003008 </t>
  </si>
  <si>
    <t>kanan.nushravanov@pashapay.az</t>
  </si>
  <si>
    <t>Qubadlı ray., Əbilcə kəndi</t>
  </si>
  <si>
    <t>Bakı şəh., Xətai ray., M.Hadi 81</t>
  </si>
  <si>
    <t>IDM-729</t>
  </si>
  <si>
    <t>Safaraliyev Rasul, Devran</t>
  </si>
  <si>
    <t>Səfərəliyev Rəsul Devran oğlu</t>
  </si>
  <si>
    <t>Reporting Specialist</t>
  </si>
  <si>
    <t>Hesabatlıq üzrə Mütəxəssis</t>
  </si>
  <si>
    <t>68YV87F</t>
  </si>
  <si>
    <t>AA4866605</t>
  </si>
  <si>
    <t>+994702468919</t>
  </si>
  <si>
    <t>rasul.safaraliyev@pashapay.az</t>
  </si>
  <si>
    <t>safaraliyev.r1@gmail.com</t>
  </si>
  <si>
    <t>Bakı şəh, N.Nərimanov r, Ə.Əliyev küç, 51/59, m.99</t>
  </si>
  <si>
    <t>IDM-728</t>
  </si>
  <si>
    <t>Sabina Hajiyeva, Muzaffar</t>
  </si>
  <si>
    <t>Hacıyeva Səbinə Müzəffər qızı</t>
  </si>
  <si>
    <t>Talent acquisition &amp; Business Partnership division</t>
  </si>
  <si>
    <t>6XLRCME</t>
  </si>
  <si>
    <t>AA0656671</t>
  </si>
  <si>
    <t>+994504904111</t>
  </si>
  <si>
    <t>sabina.hajiyeva@pashapay.az</t>
  </si>
  <si>
    <t xml:space="preserve">hajiyevasabinaa@gmail.com </t>
  </si>
  <si>
    <t>Bakı şəh, Aydın Məmmədov 51, m.6</t>
  </si>
  <si>
    <t>IDM-731</t>
  </si>
  <si>
    <t xml:space="preserve">Shams Shiraliyeva,Asgar </t>
  </si>
  <si>
    <t>Specialist at Litigation and Government Relations Division</t>
  </si>
  <si>
    <t>Məhkəmə və Dövlət Orqanları ilə İş Şöbəsinin Mütəxəssisi</t>
  </si>
  <si>
    <t>52RBM1Y</t>
  </si>
  <si>
    <t>AA6532762</t>
  </si>
  <si>
    <t>+994505851086</t>
  </si>
  <si>
    <t>shams.shiraliyeva@pashapay.az</t>
  </si>
  <si>
    <t xml:space="preserve">sems_sireliyeva00@gmail.com </t>
  </si>
  <si>
    <t>Sumqayıt şəh., 48-ci məh., ev.2, m.10</t>
  </si>
  <si>
    <t>Sumqayıt şəh., 43-cü məh., ev.2, m.1</t>
  </si>
  <si>
    <t>IDM-732</t>
  </si>
  <si>
    <t xml:space="preserve">Amina Malikova, Nadir </t>
  </si>
  <si>
    <t>Məlikova Əminə Nadir qızı</t>
  </si>
  <si>
    <t>68K5ADC</t>
  </si>
  <si>
    <t>AA4553340</t>
  </si>
  <si>
    <t xml:space="preserve">+994507771710 </t>
  </si>
  <si>
    <t>amina.malikova@pashapay.az</t>
  </si>
  <si>
    <t xml:space="preserve">amina.melikova@bk.ru </t>
  </si>
  <si>
    <t>Bakı şəh., Badamdar qəs., Ə.Nəzərobv küç., ev.1A</t>
  </si>
  <si>
    <t>Bakı şəh., Badamdar qəs., Tofiq Məmmədov küç. 1/3</t>
  </si>
  <si>
    <t>IDM-734</t>
  </si>
  <si>
    <t xml:space="preserve">Mahammad Zeynalov,Yaver </t>
  </si>
  <si>
    <t>Zeynalov Məhəmməd Yavər oğlu</t>
  </si>
  <si>
    <t>6KUDJT8</t>
  </si>
  <si>
    <t>AA5855385</t>
  </si>
  <si>
    <t xml:space="preserve">+994102559111 </t>
  </si>
  <si>
    <t>Cəlilabad ray., Uzuntəpə kəndi</t>
  </si>
  <si>
    <t>Bakı şəh., Bayıl Mərasim evinin 10-cu bina., m.3</t>
  </si>
  <si>
    <t>IDM-735</t>
  </si>
  <si>
    <t>Punhan Tanriverdiyev, Rizvan</t>
  </si>
  <si>
    <t>Tanrıverdiyev Pünhan Rizvan oğlu</t>
  </si>
  <si>
    <t>6BFGHMR</t>
  </si>
  <si>
    <t>AA2790961</t>
  </si>
  <si>
    <t>+994556500333</t>
  </si>
  <si>
    <t xml:space="preserve">tanriverdiyevpunhan754@gmail.com </t>
  </si>
  <si>
    <t>Bakı şəh., Səbail ray., Bayıl qəs.</t>
  </si>
  <si>
    <t>IDM-737</t>
  </si>
  <si>
    <t>Azade Huseynli, Azad</t>
  </si>
  <si>
    <t>Hüseynli Azadə Azad qızı</t>
  </si>
  <si>
    <t>Million partners division</t>
  </si>
  <si>
    <t xml:space="preserve">Milliön partnyorları şöbəsi  </t>
  </si>
  <si>
    <t xml:space="preserve">Senior Specialist </t>
  </si>
  <si>
    <t>5C0X5KV</t>
  </si>
  <si>
    <t>AA5469887</t>
  </si>
  <si>
    <t>+994553451165</t>
  </si>
  <si>
    <t>azada.huseynli@pashapay.az</t>
  </si>
  <si>
    <t xml:space="preserve">a.huseynli91@mail.ru </t>
  </si>
  <si>
    <t>Sumqayıt şəh., 18 mkr., ev.47, m.16</t>
  </si>
  <si>
    <t>IDM-738</t>
  </si>
  <si>
    <t xml:space="preserve">Kamil Aghayev Fakhrad </t>
  </si>
  <si>
    <t>Ağayev Kamil Faxrad oğlu</t>
  </si>
  <si>
    <t>555J4TX</t>
  </si>
  <si>
    <t>AA7276467</t>
  </si>
  <si>
    <t>+994514870009</t>
  </si>
  <si>
    <t>Bakı şəh., Binəqədi ray., Cavadxan küç., ev.3, m.54</t>
  </si>
  <si>
    <t>Sumqayıt şəh., Qurd Dərəsi bağları</t>
  </si>
  <si>
    <t>IDM-739</t>
  </si>
  <si>
    <t xml:space="preserve">Kanan Imanov, Shakir </t>
  </si>
  <si>
    <t>69A4YS7</t>
  </si>
  <si>
    <t xml:space="preserve">AA4155584 </t>
  </si>
  <si>
    <t>+994997164656</t>
  </si>
  <si>
    <t>Şirvan şəh., Gülbala Şıxbala oğlu küç., ev.6, b.4</t>
  </si>
  <si>
    <t>Bakı şəh., Yasamal ray., 77 nömrəli avtobusun sonuncu dayanacağı</t>
  </si>
  <si>
    <t>IDM-749</t>
  </si>
  <si>
    <t xml:space="preserve">Ayhan Huseynov, Uzeyir </t>
  </si>
  <si>
    <t>Hüseynov Ayhan Üzeyir oğlu</t>
  </si>
  <si>
    <t>Technical worker</t>
  </si>
  <si>
    <t>54SCLB5</t>
  </si>
  <si>
    <t>AA0497302</t>
  </si>
  <si>
    <t>+994602317313</t>
  </si>
  <si>
    <t xml:space="preserve">ayhanhuseynov27@gmail.com </t>
  </si>
  <si>
    <t>Naxçıvan şəh., Qaraçuxur k.</t>
  </si>
  <si>
    <t>IDM-747</t>
  </si>
  <si>
    <t xml:space="preserve">Sanan Jafarli, Sakhavat </t>
  </si>
  <si>
    <t>Cəfərli Sənan Səxavət oğlu</t>
  </si>
  <si>
    <t>2EPADZ0</t>
  </si>
  <si>
    <t>AA5308699</t>
  </si>
  <si>
    <t>+994553943077</t>
  </si>
  <si>
    <t>sanan.jafarli@pashapay.az</t>
  </si>
  <si>
    <t xml:space="preserve">sanan.jafarli01@gmail.com </t>
  </si>
  <si>
    <t>Sumqayıt şəh., 17-ci mkr., bina 17, m. 38</t>
  </si>
  <si>
    <t>IDM-751</t>
  </si>
  <si>
    <t xml:space="preserve">Rza Majidov, Namig </t>
  </si>
  <si>
    <t>111J1N2</t>
  </si>
  <si>
    <t>AA3173709</t>
  </si>
  <si>
    <t xml:space="preserve">+994775777470 </t>
  </si>
  <si>
    <t xml:space="preserve">rza.medjidov@mail.ru </t>
  </si>
  <si>
    <t>Bakı şəh., Yasamal ray., Vidadi küç.65</t>
  </si>
  <si>
    <t>IDM-753</t>
  </si>
  <si>
    <t xml:space="preserve">Aysun Suleymanova, Shakir </t>
  </si>
  <si>
    <t>Süleymanova Aysun Şakir qızı</t>
  </si>
  <si>
    <t>Junior Specialist</t>
  </si>
  <si>
    <t>65T2P5B</t>
  </si>
  <si>
    <t>AA1052973</t>
  </si>
  <si>
    <t xml:space="preserve">+994103270742 </t>
  </si>
  <si>
    <t>aysun.suleymanova@pashapay.az</t>
  </si>
  <si>
    <t xml:space="preserve">aysunsuleymanova02@gmail.com </t>
  </si>
  <si>
    <t>Bakı şəh., Nizami ray., Şərifli 9P</t>
  </si>
  <si>
    <t>IDM-755</t>
  </si>
  <si>
    <t xml:space="preserve">Fidan Karimova, Rovshan </t>
  </si>
  <si>
    <t>Kərimova Fidan Rövşən qızı</t>
  </si>
  <si>
    <t>68XW5B0</t>
  </si>
  <si>
    <t>AA2776022</t>
  </si>
  <si>
    <t xml:space="preserve">+994773653737 </t>
  </si>
  <si>
    <t>fidan.karimova@pashapay.az</t>
  </si>
  <si>
    <t xml:space="preserve">Fidanbayramova@mail.ru </t>
  </si>
  <si>
    <t>Bakı şəh., Yasamal ray., Xarici dairəvi yolu 6, ev.26, m.3</t>
  </si>
  <si>
    <t>Bakı şəh., Xətai ray., Məhəmməd Hadi 93, m. 121</t>
  </si>
  <si>
    <t>IDM-756</t>
  </si>
  <si>
    <t xml:space="preserve">Nargiz Tagizade (Abdulova), Maarif </t>
  </si>
  <si>
    <t>Tağızadə (Abdulova) Nərgiz Maarif qızı</t>
  </si>
  <si>
    <t>63T92P9</t>
  </si>
  <si>
    <t>AB0698322</t>
  </si>
  <si>
    <t xml:space="preserve">+994559845887 </t>
  </si>
  <si>
    <t>nargiz.abdulova@pashapay.az</t>
  </si>
  <si>
    <t xml:space="preserve">nargiz0297@gmail.com </t>
  </si>
  <si>
    <t>Bakı şəh., Yeni Yasamal 1, ev.3, m.53</t>
  </si>
  <si>
    <t>Hövsan qəs., Məktəb 1 küç.</t>
  </si>
  <si>
    <t>IDM-760</t>
  </si>
  <si>
    <t xml:space="preserve">Elvin Binnatov, Nofəl </t>
  </si>
  <si>
    <t>Binnətov Elvin Nofəl oğlu</t>
  </si>
  <si>
    <t>637TTUA</t>
  </si>
  <si>
    <t>AA1464110</t>
  </si>
  <si>
    <t>+994509736425</t>
  </si>
  <si>
    <t>Ağdam ray., Quzanlı qəs.</t>
  </si>
  <si>
    <t>IDM-759</t>
  </si>
  <si>
    <t xml:space="preserve">Murad Abdullayev, Zahir </t>
  </si>
  <si>
    <t>Reporting and Financial Analyst Team Lead</t>
  </si>
  <si>
    <t>Hesabatlıq və Maliyyə təhlili üzrə Qrup Rəhbəri</t>
  </si>
  <si>
    <t>2Q6844E</t>
  </si>
  <si>
    <t>AA3520058</t>
  </si>
  <si>
    <t xml:space="preserve">+994555262142 </t>
  </si>
  <si>
    <t>murad.abdullayev@pashapay.az</t>
  </si>
  <si>
    <t>Sumqayıt şəh., 6 mkr., ev.2, m.5</t>
  </si>
  <si>
    <t>IDM-767</t>
  </si>
  <si>
    <t>Rashad Umudov, Nizami</t>
  </si>
  <si>
    <t>69AQ407</t>
  </si>
  <si>
    <t>AA4858053</t>
  </si>
  <si>
    <t>+994558784874</t>
  </si>
  <si>
    <t>Şirvan şəh., 1 May küçəsi, ev.128</t>
  </si>
  <si>
    <t>IDM-770</t>
  </si>
  <si>
    <t xml:space="preserve">Maryam Asadova, Asad </t>
  </si>
  <si>
    <t>Əsədova Məryəm Əsəd qızı</t>
  </si>
  <si>
    <t xml:space="preserve"> 6 months</t>
  </si>
  <si>
    <t>6WC945T</t>
  </si>
  <si>
    <t>AZE16958925</t>
  </si>
  <si>
    <t xml:space="preserve">+994514995561 </t>
  </si>
  <si>
    <t>maryam.asadova@pashapay.az</t>
  </si>
  <si>
    <t xml:space="preserve">mcasadova@gmail.com </t>
  </si>
  <si>
    <t>Bakı şəh., Binəqədi ray., Sulutəpə qəs., ev.14/314</t>
  </si>
  <si>
    <t>IDM-769</t>
  </si>
  <si>
    <t>Agshin Ahmadov, Ganimat</t>
  </si>
  <si>
    <t>Əhmədov Aqşin Qənimət oğlu</t>
  </si>
  <si>
    <t>Senior Internal Control Specialist</t>
  </si>
  <si>
    <t>Daxili Nəzarət üzrə Baş Mütəxəssis</t>
  </si>
  <si>
    <t>1GB3J0R</t>
  </si>
  <si>
    <t>AZE17340226</t>
  </si>
  <si>
    <t xml:space="preserve">+994505376617 </t>
  </si>
  <si>
    <t>agshin.ahmadov@pashapay.az</t>
  </si>
  <si>
    <t xml:space="preserve">axmedov.aqshin@mail.ru </t>
  </si>
  <si>
    <t>Bakı şəh., Nəsimi ray., Asif Məhərrəmov küç., ev.206, m.82</t>
  </si>
  <si>
    <t>IDM-772</t>
  </si>
  <si>
    <t>Ulvi Alakbarli, Arif</t>
  </si>
  <si>
    <t>6B6PMWV</t>
  </si>
  <si>
    <t>AA4326268</t>
  </si>
  <si>
    <t>+994503919439</t>
  </si>
  <si>
    <t xml:space="preserve">Sumqayıt şəh., </t>
  </si>
  <si>
    <t>Sumqayıt şəh., 36 məh. 2/24</t>
  </si>
  <si>
    <t>IDM-778</t>
  </si>
  <si>
    <t xml:space="preserve">Yegana Bayramova, Gafur </t>
  </si>
  <si>
    <t>Bayramova Yeganə Qafur qızı</t>
  </si>
  <si>
    <t>Müştəri Əlaqələri üzrə Kiçik Mütəxəssis</t>
  </si>
  <si>
    <t>8ASL9XX</t>
  </si>
  <si>
    <t>AZE17574677</t>
  </si>
  <si>
    <t xml:space="preserve">+994705326759 </t>
  </si>
  <si>
    <t>yegana.bayramova@pashapay.az</t>
  </si>
  <si>
    <t xml:space="preserve">yeg.bay@mail.ru </t>
  </si>
  <si>
    <t>Tərtər ray., Qazyan k.</t>
  </si>
  <si>
    <t>Bakı şəh., Heydər Əliyev pr.111</t>
  </si>
  <si>
    <t>IDM-784</t>
  </si>
  <si>
    <t xml:space="preserve">Kamran Dashdamirov, Zahid </t>
  </si>
  <si>
    <t>Daşdəmirov Kamran Zahid oğlu</t>
  </si>
  <si>
    <t>6104681</t>
  </si>
  <si>
    <t>AA2409275</t>
  </si>
  <si>
    <t xml:space="preserve">+994702080422 </t>
  </si>
  <si>
    <t>kamran.dashdamirov@pashapay.az</t>
  </si>
  <si>
    <t xml:space="preserve">kamrandamir@gmail.com </t>
  </si>
  <si>
    <t>Bakı şəh., Yasamal ray., H.B.Zərdabi pr., ev.1920, m.94</t>
  </si>
  <si>
    <t>IDM-785</t>
  </si>
  <si>
    <t>Narmin  Shahverdiyeva(Ismayilova), Afgan</t>
  </si>
  <si>
    <t>Şahverdiyeva (İsmayılova) Nərmin Əfqan qızı</t>
  </si>
  <si>
    <t xml:space="preserve">Junior Accountant </t>
  </si>
  <si>
    <t>Kiçik Mühasib</t>
  </si>
  <si>
    <t>6KUR7Q5</t>
  </si>
  <si>
    <t>AA5654937</t>
  </si>
  <si>
    <t>+994773246877</t>
  </si>
  <si>
    <t>narmin.ismayilova@pashapay.az</t>
  </si>
  <si>
    <t xml:space="preserve">ismayilovanrmin871@gmail.com </t>
  </si>
  <si>
    <t>Yevlax ray., Xanabad kəndi</t>
  </si>
  <si>
    <t>Bakı şəh., Nəsimi ray., Nizami küç.204</t>
  </si>
  <si>
    <t>IDM-787</t>
  </si>
  <si>
    <t xml:space="preserve">Tarlan Ahmadkhanov, Rahimbay </t>
  </si>
  <si>
    <t>Əhmədxanov Tərlan Rəhimbəy oğlu</t>
  </si>
  <si>
    <t xml:space="preserve">Middle Back-end Developer </t>
  </si>
  <si>
    <t>Back-End üzrə Middle Developer</t>
  </si>
  <si>
    <t>Ilqar Mammadov, Emin Niyazov</t>
  </si>
  <si>
    <t>1ZS7K54</t>
  </si>
  <si>
    <t>AA3719896</t>
  </si>
  <si>
    <t xml:space="preserve">+994506400243 </t>
  </si>
  <si>
    <t>tarlan.ahmadkhanov@pashapay.az</t>
  </si>
  <si>
    <t xml:space="preserve">tarlanahmadkhanov@yahoo.com </t>
  </si>
  <si>
    <t>Bakı şəh., Nəsimi ray., Abbas Zamanov 11</t>
  </si>
  <si>
    <t>IDM-790</t>
  </si>
  <si>
    <t>Fuad Rahimov, Rahim</t>
  </si>
  <si>
    <t>28ZZEM4</t>
  </si>
  <si>
    <t>AA3985574</t>
  </si>
  <si>
    <t xml:space="preserve">+994557174747 </t>
  </si>
  <si>
    <t>Zığ Yolu, Bina 12A, m.44</t>
  </si>
  <si>
    <t>IDM-793</t>
  </si>
  <si>
    <t>Ruslan Mammadov, Israil</t>
  </si>
  <si>
    <t>2HTWQ6N</t>
  </si>
  <si>
    <t>AA5918494</t>
  </si>
  <si>
    <t>+994507536498</t>
  </si>
  <si>
    <t xml:space="preserve">Mamedovmo-11@yandex.ru </t>
  </si>
  <si>
    <t xml:space="preserve">Ağstafa ray.,   </t>
  </si>
  <si>
    <t>Bakı şəh., Xəzər ray., Binə qəs., Əli İsazadə 1</t>
  </si>
  <si>
    <t>IDM-794</t>
  </si>
  <si>
    <t>Asif Ahmadov, Shair</t>
  </si>
  <si>
    <t>Əhmədov Asif Şair oğlu</t>
  </si>
  <si>
    <t>5JVH6WB</t>
  </si>
  <si>
    <t>AA1324611</t>
  </si>
  <si>
    <t>+994212334271</t>
  </si>
  <si>
    <t>Lerik ray., Visten kəndi</t>
  </si>
  <si>
    <t>Sabirabad ray., Xeliteli kəndi</t>
  </si>
  <si>
    <t>IDM-797</t>
  </si>
  <si>
    <t>Huseynaga Umudov, Ilgar</t>
  </si>
  <si>
    <t>77WZYU1</t>
  </si>
  <si>
    <t>AA5731100</t>
  </si>
  <si>
    <t xml:space="preserve">+994518028282 </t>
  </si>
  <si>
    <t>Saatlı ray., Azadkən kəndi</t>
  </si>
  <si>
    <t>Şirvan şəh., T.İsmayılov 27A/17</t>
  </si>
  <si>
    <t>IDM-796</t>
  </si>
  <si>
    <t>Ravan Mammadzade, Rovshan</t>
  </si>
  <si>
    <t>Məmmədzadə Rəvan Rövşən oğlu</t>
  </si>
  <si>
    <t>7XJHS4Z</t>
  </si>
  <si>
    <t>AA3353620</t>
  </si>
  <si>
    <t xml:space="preserve">+994507351226 </t>
  </si>
  <si>
    <t>Göyçay ray., Çayarxı kəndi</t>
  </si>
  <si>
    <t>Bakı şəh., İnşaatçılar</t>
  </si>
  <si>
    <t>IDM-798</t>
  </si>
  <si>
    <t>Xalig Nazaraliyev, Rizvan</t>
  </si>
  <si>
    <t>Nəzərəliyev Xaliq Rizvan oğlu</t>
  </si>
  <si>
    <t>288G2L2</t>
  </si>
  <si>
    <t>AB0251118</t>
  </si>
  <si>
    <t xml:space="preserve">+994604490407 </t>
  </si>
  <si>
    <t xml:space="preserve">xaliq0992@gmail.com </t>
  </si>
  <si>
    <t>Naxçıvan şəh., 59-cu məhəllə, döngə 6, ev.9a</t>
  </si>
  <si>
    <t>Naxçıvan şəh., 59-cu məhəllə, döngə 2, ev.1</t>
  </si>
  <si>
    <t>IDM-802</t>
  </si>
  <si>
    <t xml:space="preserve">Laman Hamidli, Elkhan </t>
  </si>
  <si>
    <t>Həmidli Ləman Elxan qızı</t>
  </si>
  <si>
    <t>7DWWPGP</t>
  </si>
  <si>
    <t>AA7266594</t>
  </si>
  <si>
    <t>+994555070277</t>
  </si>
  <si>
    <t>laman.hamidli@pashapay.az</t>
  </si>
  <si>
    <t xml:space="preserve">lyaman.zeynalli08@gmail.com </t>
  </si>
  <si>
    <t>Bakı şəh., Yasamal ray., H.Zərdabi 63, m.55</t>
  </si>
  <si>
    <t>Abşeron ray., Hökməli qəs. Azadlıq küç.17</t>
  </si>
  <si>
    <t>IDM-803</t>
  </si>
  <si>
    <t xml:space="preserve">Hamishakhanim Mammadova, Eldaniz </t>
  </si>
  <si>
    <t>Məmmədova Həmişəxanım Eldəniz qızı</t>
  </si>
  <si>
    <t>7B3P3MP</t>
  </si>
  <si>
    <t>AA6730708</t>
  </si>
  <si>
    <t>+994518770270</t>
  </si>
  <si>
    <t>hamishakhanim.mammadova@pashapay.az</t>
  </si>
  <si>
    <t xml:space="preserve">xamisha.mamedova@bk.ru </t>
  </si>
  <si>
    <t>Bakı şəh., Yasamal ray., Araz, ev.7, m.25</t>
  </si>
  <si>
    <t>IDM-804</t>
  </si>
  <si>
    <t xml:space="preserve">Hasanova Aygun, Vugar </t>
  </si>
  <si>
    <t>Həsənova Aygün Vüqar qızı</t>
  </si>
  <si>
    <t>65FZGMR</t>
  </si>
  <si>
    <t>AA2353081</t>
  </si>
  <si>
    <t>+994506598865</t>
  </si>
  <si>
    <t>aygun.hasanova@pashapay.az</t>
  </si>
  <si>
    <t xml:space="preserve">hasanovaaygun142@gmail.com </t>
  </si>
  <si>
    <t>Bakı şəh., Nəsimi ray., Səməd Vurğun 86, m.17</t>
  </si>
  <si>
    <t>Bakı şəh., Xətai ray., Nəcəfqulu Rəfiyev.63, m.82</t>
  </si>
  <si>
    <t>IDM-806</t>
  </si>
  <si>
    <t xml:space="preserve">Emiliya Aslanova, Ruslan </t>
  </si>
  <si>
    <t>Aslanova Emiliya Ruslan qızı</t>
  </si>
  <si>
    <t>74L2MCU</t>
  </si>
  <si>
    <t>AA3122053</t>
  </si>
  <si>
    <t>+994553379931</t>
  </si>
  <si>
    <t>emiliya.aslanova@pashapay.az</t>
  </si>
  <si>
    <t>aslanovaemilia90@gmail.com</t>
  </si>
  <si>
    <t>Bakı şəh., Tofiq Məmmədov küç., mən.4, ev.15</t>
  </si>
  <si>
    <t>IDM-808</t>
  </si>
  <si>
    <t>Simuzar Mammadova, Elman</t>
  </si>
  <si>
    <t>Məmmədova Simuzər Elman qızı</t>
  </si>
  <si>
    <t>7VGC767</t>
  </si>
  <si>
    <t>AA3963540</t>
  </si>
  <si>
    <t>+994558522512</t>
  </si>
  <si>
    <t>simuzar.mammadova@pashapay.az</t>
  </si>
  <si>
    <t>Zaqatala ray., Dağıstan küç, ev.9</t>
  </si>
  <si>
    <t>Bakı şəh., Yasamal ray., Tblisi prospekti 185</t>
  </si>
  <si>
    <t>IDM-821</t>
  </si>
  <si>
    <t>Ruhangiz Allahverdiyeva, Adalat</t>
  </si>
  <si>
    <t>Allahverdiyeva Ruhəngiz Ədalət qızı</t>
  </si>
  <si>
    <t>Leading Procurement Specialist</t>
  </si>
  <si>
    <t>Satınalma üzrə Aparıcı Mütəxəssis</t>
  </si>
  <si>
    <t xml:space="preserve">KB-yə keçidlə bağlı rəsmiləşmədədirlər, Procurement mərkəzləşir. </t>
  </si>
  <si>
    <t>2Z19NZF</t>
  </si>
  <si>
    <t>AA2994434</t>
  </si>
  <si>
    <t>+994702999990</t>
  </si>
  <si>
    <t>rukhangiz.allakhverdiyeva@pashapay.az</t>
  </si>
  <si>
    <t>Bakı şəh., Nizami ray., 28 May küç.9, m.61</t>
  </si>
  <si>
    <t>IDM-819</t>
  </si>
  <si>
    <t xml:space="preserve">Nuru Hasanov, Nazim </t>
  </si>
  <si>
    <t>Həsənov Nuru Nazim oğlu</t>
  </si>
  <si>
    <t>Junior Customer care specialist</t>
  </si>
  <si>
    <t>7D44D6D</t>
  </si>
  <si>
    <t>AA1279858</t>
  </si>
  <si>
    <t>+994508458511</t>
  </si>
  <si>
    <t>nuru.hasanov@pashapay.az</t>
  </si>
  <si>
    <t>Bakı şəh., Surxanaı ray., Hövsan qəs., İ.Əhlimanov 10A</t>
  </si>
  <si>
    <t>Suraxanı ray., Hövsan qəs., İ.Əhlimanov 10A, m.47</t>
  </si>
  <si>
    <t>IDM-826</t>
  </si>
  <si>
    <t>Mikail Huseynov, Vagif</t>
  </si>
  <si>
    <t>Hüseynov Mikayıl Vaqif oğlu</t>
  </si>
  <si>
    <t>1CW13HB</t>
  </si>
  <si>
    <t>AA0438650</t>
  </si>
  <si>
    <t xml:space="preserve">+994513637262 </t>
  </si>
  <si>
    <t>mikail.huseinov@pashapay.az</t>
  </si>
  <si>
    <t xml:space="preserve">mhuseynov2002@mail.ru </t>
  </si>
  <si>
    <t>Bakı şəh., Binəqədi ray., 9-cu mkr., Cavadxan küç.,ev.1, m.72</t>
  </si>
  <si>
    <t>Bakı şəh., Tblisi prospekti, Şəbaət Mehdiyev küç.1054</t>
  </si>
  <si>
    <t>IDM-829</t>
  </si>
  <si>
    <t xml:space="preserve">Javidan Amiraliyev, Avaz </t>
  </si>
  <si>
    <t>Əmirəliyev Cavidan Əvəz oğlu</t>
  </si>
  <si>
    <t>Leading Jira Engineer</t>
  </si>
  <si>
    <t>Jira üzrə Aparıcı Mühəndis</t>
  </si>
  <si>
    <t>İlqar Məmmədov</t>
  </si>
  <si>
    <t>6CJRHNW</t>
  </si>
  <si>
    <t>AA2066932</t>
  </si>
  <si>
    <t>+994555906883</t>
  </si>
  <si>
    <t>javidan.amiraliyev@pashapay.az</t>
  </si>
  <si>
    <t xml:space="preserve">amiraliyevcavidan@gmail.com </t>
  </si>
  <si>
    <t>Zəngilan ray., Çöpədrə kəndi</t>
  </si>
  <si>
    <t>Bakı şəh., Suraxanı ray., Hövsan qəs.</t>
  </si>
  <si>
    <t>IDM-835</t>
  </si>
  <si>
    <t xml:space="preserve">Parviz Raziyev, Dunyamalı </t>
  </si>
  <si>
    <t>Raziyev Pərviz Dünyamalı oğlu</t>
  </si>
  <si>
    <t>Terminal Monitoring Specialist</t>
  </si>
  <si>
    <t>Terminalların Monitorinqi üzrə Mütəxəssis</t>
  </si>
  <si>
    <t>1V5Y6VM</t>
  </si>
  <si>
    <t>AA0288079</t>
  </si>
  <si>
    <t xml:space="preserve">+994558953214 </t>
  </si>
  <si>
    <t>parviz.raziyev@pashapay.az</t>
  </si>
  <si>
    <t>Qax şəh., X.Natavan küç., ev.21</t>
  </si>
  <si>
    <t>Zaqatala şəh., A.Qardaşov küç.4/11</t>
  </si>
  <si>
    <t>IDM-833</t>
  </si>
  <si>
    <t>Aysu Huseinzada, Shafai</t>
  </si>
  <si>
    <t>Hüseynzadə Aysu Şəfai qızı</t>
  </si>
  <si>
    <t>7P66JFU</t>
  </si>
  <si>
    <t>AA1190683</t>
  </si>
  <si>
    <t>+994703268487</t>
  </si>
  <si>
    <t>aysu.huseynzada@pashapay.az</t>
  </si>
  <si>
    <t xml:space="preserve">aysu.huseynzade1602@gmail.com </t>
  </si>
  <si>
    <t>Bakı şəh., Həsən Bəy Zərdabi küç.202A</t>
  </si>
  <si>
    <t>IDM-834</t>
  </si>
  <si>
    <t xml:space="preserve">Tarlana Budagova, Jamaladdin </t>
  </si>
  <si>
    <t>Budaqova Tərlanə Camaləddin qızı</t>
  </si>
  <si>
    <t>Junior General Division Specialist</t>
  </si>
  <si>
    <t>Ümumi Şöbə üzrə Kiçik Mütəxəssis</t>
  </si>
  <si>
    <t xml:space="preserve">KB-yə keçməlidirlər Korporativ Katibliyə, funksiyaları mərkəzləşir. </t>
  </si>
  <si>
    <t>6HTXCHK</t>
  </si>
  <si>
    <t>AA4029522</t>
  </si>
  <si>
    <t xml:space="preserve">+994509887777 </t>
  </si>
  <si>
    <t>tarlana.budagova@pashapay.az</t>
  </si>
  <si>
    <t xml:space="preserve">tarlana11@mail.ru </t>
  </si>
  <si>
    <t>Bakı şəh., Rəşid İsmayılov küç., döngə 1, ev.5</t>
  </si>
  <si>
    <t>Bakı şəh., Abdulvahab Salamzadə 1058</t>
  </si>
  <si>
    <t>IDM-847</t>
  </si>
  <si>
    <t>Ulvi Nasirov, Vahid</t>
  </si>
  <si>
    <t>Nəsirov Ülvi Vahid oğlu</t>
  </si>
  <si>
    <t>Cavid Mansimov</t>
  </si>
  <si>
    <t>1Y7NE3A</t>
  </si>
  <si>
    <t>AA2244948</t>
  </si>
  <si>
    <t>+994502579757</t>
  </si>
  <si>
    <t>ulvi.nasirov@pashapay.az</t>
  </si>
  <si>
    <t xml:space="preserve">uvnasirov@yandex.ru </t>
  </si>
  <si>
    <t>Bakı şəh., Xətai pr.45, mər.5, m.5</t>
  </si>
  <si>
    <t>IDM-836</t>
  </si>
  <si>
    <t xml:space="preserve">Yusif Alimatov, Nazimovich </t>
  </si>
  <si>
    <t>Əlimətov Yusif Nazimoviç</t>
  </si>
  <si>
    <t>7AN5FHP</t>
  </si>
  <si>
    <t>AA5121304</t>
  </si>
  <si>
    <t xml:space="preserve">+994559922788 </t>
  </si>
  <si>
    <t>yusif.alimatov@pashapay.az</t>
  </si>
  <si>
    <t xml:space="preserve">alimetov_2018@gmail.com </t>
  </si>
  <si>
    <t>Bakı şəh., Sabunçu ray., Bakıxanov qəs</t>
  </si>
  <si>
    <t>IDM-837</t>
  </si>
  <si>
    <t xml:space="preserve">Ruslan Guliyev, Samad </t>
  </si>
  <si>
    <t>Quliyev Ruslan Səməd oğlu</t>
  </si>
  <si>
    <t>6J86420</t>
  </si>
  <si>
    <t>AA6354741</t>
  </si>
  <si>
    <t xml:space="preserve">+994514730042 </t>
  </si>
  <si>
    <t>ruslan.guliyev@pashapay.az</t>
  </si>
  <si>
    <t xml:space="preserve">guliyevruslan08@gmail.com </t>
  </si>
  <si>
    <t>Ağdam şəh., Muradbəyli sahəsi ev.131</t>
  </si>
  <si>
    <t>Bakı şəh., 20 Yanvar küç., 223</t>
  </si>
  <si>
    <t>IDM-839</t>
  </si>
  <si>
    <t xml:space="preserve">Aliya Ismayilzada, Rovshan </t>
  </si>
  <si>
    <t>İsmayılzadə Aliyə Rövşən qızı</t>
  </si>
  <si>
    <t>5RAWV87</t>
  </si>
  <si>
    <t>AA0066487</t>
  </si>
  <si>
    <t xml:space="preserve">+994503307244 </t>
  </si>
  <si>
    <t>aliya.ismayilzada@pashapay.az</t>
  </si>
  <si>
    <t xml:space="preserve">aismayilzade93@mail.ru </t>
  </si>
  <si>
    <t>Abşeron ray., Xırdalan şəh., 26 məh., ev 5/21</t>
  </si>
  <si>
    <t>IDM-840</t>
  </si>
  <si>
    <t xml:space="preserve">Sultana Rasulova, Tapdig </t>
  </si>
  <si>
    <t>Rəsulova Sultana Tapdıq qızı</t>
  </si>
  <si>
    <t>8TA1QTL</t>
  </si>
  <si>
    <t>AA1209843</t>
  </si>
  <si>
    <t xml:space="preserve">+994519963439 </t>
  </si>
  <si>
    <t>sultana.rasulova@pashapay.az</t>
  </si>
  <si>
    <t xml:space="preserve">sultanarasulova2002@gmail.com </t>
  </si>
  <si>
    <t>Bakı şəh., Badamdar qəs., Sahib İbrahim Xəlilov küç.4, m.207</t>
  </si>
  <si>
    <t>Bakı şəh., Mikayıl Müşfiq 6A</t>
  </si>
  <si>
    <t>IDM-841</t>
  </si>
  <si>
    <t xml:space="preserve">Ilaha Ahmadova, Mubariz </t>
  </si>
  <si>
    <t>Əhmədova İlahə Mübariz qızı</t>
  </si>
  <si>
    <t>757L7AN</t>
  </si>
  <si>
    <t>AA6782740</t>
  </si>
  <si>
    <t xml:space="preserve">+994559649609 </t>
  </si>
  <si>
    <t>ilaha.ahmadova@pashapay.az</t>
  </si>
  <si>
    <t xml:space="preserve">ilaha.ahmadovass@gmail.com </t>
  </si>
  <si>
    <t>Gəncə şəh., Nizami ray., Şeyx Zamanov küç.6</t>
  </si>
  <si>
    <t>Xırdalan şəh., Abşeron Gənclər şəhərciyi 50/6</t>
  </si>
  <si>
    <t>IDM-842</t>
  </si>
  <si>
    <t xml:space="preserve">Aygun Farzaliyeva, Husein </t>
  </si>
  <si>
    <t>Fərzəliyeva Aygün Hüseyn qızı</t>
  </si>
  <si>
    <t>4HMU0AQ</t>
  </si>
  <si>
    <t>AA7262896</t>
  </si>
  <si>
    <t xml:space="preserve">+994559381838 </t>
  </si>
  <si>
    <t>aygun.farzaliyeva@pashapay.az</t>
  </si>
  <si>
    <t xml:space="preserve">aynifarzali@gmail.com </t>
  </si>
  <si>
    <t>Bakı şəh., Suraxanı ray., Bül-bülə qəs., 2-ci Bül-bül küç., ev.18</t>
  </si>
  <si>
    <t>Sumqayıt şəh., 12 mkr., bina 35B, m.40</t>
  </si>
  <si>
    <t>IDM-844</t>
  </si>
  <si>
    <t xml:space="preserve">Alakbar Bafadarov, Alamdar </t>
  </si>
  <si>
    <t>Bafadarov Ələkbər Ələmdar oğlu</t>
  </si>
  <si>
    <t>83ZSGWU</t>
  </si>
  <si>
    <t>AA0360494</t>
  </si>
  <si>
    <t>+994707116131</t>
  </si>
  <si>
    <t>alakbar.bafadarov@pashapay.az</t>
  </si>
  <si>
    <t xml:space="preserve">e.bafadarov04@gmail.com </t>
  </si>
  <si>
    <t>Bakı şəh., Xanımana Əlibəyli küç.8</t>
  </si>
  <si>
    <t>IDM-846</t>
  </si>
  <si>
    <t xml:space="preserve">Elvin Rajabov, Shahin </t>
  </si>
  <si>
    <t>Rəcəbov Elvin Şahin oğlu</t>
  </si>
  <si>
    <t>742K5RX</t>
  </si>
  <si>
    <t>AZE17447625</t>
  </si>
  <si>
    <t>+994997048150</t>
  </si>
  <si>
    <t>elvin.rajabov@pashapay.az</t>
  </si>
  <si>
    <t xml:space="preserve">recebov_elvin@bk.ru </t>
  </si>
  <si>
    <t>Bakı şəh., Yasamal ray., Mətbuat pr., 12 B 7</t>
  </si>
  <si>
    <t>IDM-848</t>
  </si>
  <si>
    <t xml:space="preserve">Chichak Mammadova, Rahib </t>
  </si>
  <si>
    <t>Məmmədova Çiçək Rahib qızı</t>
  </si>
  <si>
    <t>2CUKXLJ</t>
  </si>
  <si>
    <t>AA2074642</t>
  </si>
  <si>
    <t xml:space="preserve">+994516979909 </t>
  </si>
  <si>
    <t>chichak.mammadova@pashapay.az</t>
  </si>
  <si>
    <t xml:space="preserve">cicek.mmmdov@mail.ru </t>
  </si>
  <si>
    <t>Yevlax ray., Fizuli 18, ev.18</t>
  </si>
  <si>
    <t>Bakı şəh., Süleyman Sani Axundov 5</t>
  </si>
  <si>
    <t>IDM-849</t>
  </si>
  <si>
    <t>Murad Mammadov, Alovsat</t>
  </si>
  <si>
    <t>7P27LSB</t>
  </si>
  <si>
    <t>AA6464864</t>
  </si>
  <si>
    <t>+994506095235</t>
  </si>
  <si>
    <t>Sumqayıt şəh., 17 mkr., Bina 34, m.41</t>
  </si>
  <si>
    <t>IDM-854</t>
  </si>
  <si>
    <t>Nikita Tolkachev</t>
  </si>
  <si>
    <t>Tolkacev Nikita</t>
  </si>
  <si>
    <t>Senior Lawyer at Corporate Law Division</t>
  </si>
  <si>
    <t>Korporativ Hüquq Şöbəsinin Baş Hüquqşünası</t>
  </si>
  <si>
    <t>41E717</t>
  </si>
  <si>
    <t>MYİ 0789236</t>
  </si>
  <si>
    <t>+994507870961</t>
  </si>
  <si>
    <t>nikita.tolkachev@pashapay.az</t>
  </si>
  <si>
    <t>Bakı şəh., Nərimanov rayonu, A.Neymətulla küç., ev.61, m.32</t>
  </si>
  <si>
    <t>İspaniya</t>
  </si>
  <si>
    <t>IDM-855</t>
  </si>
  <si>
    <t>Khayal Babayev, Elyar</t>
  </si>
  <si>
    <t>1BS582B</t>
  </si>
  <si>
    <t>AA1810947</t>
  </si>
  <si>
    <t>+994705003868</t>
  </si>
  <si>
    <t>Bakı şəh., Xətai ray., Zığ yolu küç., ev.12A, M.29</t>
  </si>
  <si>
    <t>Bakı şəh., Xətai ray., Polat Həşimov küç., bina 13B, m.97</t>
  </si>
  <si>
    <t>IDM-856</t>
  </si>
  <si>
    <t>Kanan Agamaliyev, Agamali</t>
  </si>
  <si>
    <t>Ağamalıyev Kənan Ağamalı oğlu</t>
  </si>
  <si>
    <t>1455U6F</t>
  </si>
  <si>
    <t>AA3822100</t>
  </si>
  <si>
    <t>+994554000050</t>
  </si>
  <si>
    <t>kanan.aghamaliyev@pashapay.az</t>
  </si>
  <si>
    <t>Bakı şəh., Binəqədi ray., Cavadxan küç., ev.2, m.62</t>
  </si>
  <si>
    <t>Bakı şəh., Binəqədi ray., Cavadxan küç., ev.3, m.52</t>
  </si>
  <si>
    <t>IDM-857</t>
  </si>
  <si>
    <t>I</t>
  </si>
  <si>
    <t>Aysu Hajiyeva, Bahruz</t>
  </si>
  <si>
    <t>Hacıyeva Aysu Bəhruz qızı</t>
  </si>
  <si>
    <t>Telesales Trainee</t>
  </si>
  <si>
    <t>Telesatış üzrə Təcrübəçi</t>
  </si>
  <si>
    <t>8QHL8UM</t>
  </si>
  <si>
    <t>AA2645317</t>
  </si>
  <si>
    <t>+994507792227</t>
  </si>
  <si>
    <t>aysu.hajiyeva@pashapay.az</t>
  </si>
  <si>
    <t>Bakı şəh., Abşeron ray., Mehdiabad qəs.</t>
  </si>
  <si>
    <t>Bakı şəh., Yasamal ray., NİDA yaşayış kompleksi</t>
  </si>
  <si>
    <t>IDM-862</t>
  </si>
  <si>
    <t xml:space="preserve">Farid Ibrahimov, Ilgar </t>
  </si>
  <si>
    <t>İbrahimov Fərid İlqar oğlu</t>
  </si>
  <si>
    <t>1year</t>
  </si>
  <si>
    <t>6AHZ8RQ</t>
  </si>
  <si>
    <t>AA5049122</t>
  </si>
  <si>
    <t>+994503809352</t>
  </si>
  <si>
    <t>farid.ibrahimov@pashapay.az</t>
  </si>
  <si>
    <t xml:space="preserve">Bakı şəh., Qaradağ ray.   </t>
  </si>
  <si>
    <t>IDM-863</t>
  </si>
  <si>
    <t xml:space="preserve">Ziya Novruzov, Kamil </t>
  </si>
  <si>
    <t>Novruzov Ziya Kamil oğlu</t>
  </si>
  <si>
    <t>1QJLVNL</t>
  </si>
  <si>
    <t>AZE17781578</t>
  </si>
  <si>
    <t>+994707997172</t>
  </si>
  <si>
    <t>Bakı şəh., Sabunçu ray., Zabrat qəs.</t>
  </si>
  <si>
    <t>Bakı şəh., Sabunçu ray., 2-ci Zabrat</t>
  </si>
  <si>
    <t>IDM-866</t>
  </si>
  <si>
    <t xml:space="preserve">Toghrul Najafzada, Nazim </t>
  </si>
  <si>
    <t>Nəcəfzadə Toğrul Nazim oğlu</t>
  </si>
  <si>
    <t>5MBGM2J</t>
  </si>
  <si>
    <t>AZE17827492</t>
  </si>
  <si>
    <t>+994709939696</t>
  </si>
  <si>
    <t>toghrul.najafzada@pashapay.az</t>
  </si>
  <si>
    <t>Bakı şəh., Xətai ray., Neapol küç., ev.26, m. 72</t>
  </si>
  <si>
    <t>IDM-871</t>
  </si>
  <si>
    <t xml:space="preserve">Agshana Ibrahimova, Mirzabala </t>
  </si>
  <si>
    <t>İbrahimova Aqşanə Mirzəbala qızı</t>
  </si>
  <si>
    <t>Sales Support Specialist</t>
  </si>
  <si>
    <t>Satışa Dəstək üzrə Aparıcı Mütəxəssis</t>
  </si>
  <si>
    <t>1 months</t>
  </si>
  <si>
    <t>15MW5L8</t>
  </si>
  <si>
    <t>AA3283737</t>
  </si>
  <si>
    <t>+994503078097</t>
  </si>
  <si>
    <t>agshana.ibrahimova@pashapay.az</t>
  </si>
  <si>
    <t xml:space="preserve">i.agshana86@gmail.com </t>
  </si>
  <si>
    <t>Bakı şəh., Nizami 109, m.93</t>
  </si>
  <si>
    <t>IDM-872</t>
  </si>
  <si>
    <t>Murad Muradov, Latif</t>
  </si>
  <si>
    <t>Muradov Murad Lətif oğlu</t>
  </si>
  <si>
    <t>Məhsullar şöbəsi</t>
  </si>
  <si>
    <t>System Administrator</t>
  </si>
  <si>
    <t>Sistem üzrə Administrator</t>
  </si>
  <si>
    <t>Kanan Mammadov</t>
  </si>
  <si>
    <t>4 months 7 day</t>
  </si>
  <si>
    <t>3BVHR51</t>
  </si>
  <si>
    <t>AA2712855</t>
  </si>
  <si>
    <t>+994555200044</t>
  </si>
  <si>
    <t>murad.muradov@pashapay.az</t>
  </si>
  <si>
    <t>Bakı şəh., Xətai ray., Telnov küçəsi., ev 7 ., m,13</t>
  </si>
  <si>
    <t>Bakı şəh.,Xətai ray., General Mehmandarov küç.,ev.20b., m.13</t>
  </si>
  <si>
    <t>Polşa</t>
  </si>
  <si>
    <t>IDM-873</t>
  </si>
  <si>
    <t xml:space="preserve">Agshin Allahverdiyev, Isa </t>
  </si>
  <si>
    <t>Allahverdiyev Aqşin İsa oğlu</t>
  </si>
  <si>
    <t>25VB8V9</t>
  </si>
  <si>
    <t>AA4023863</t>
  </si>
  <si>
    <t>+994502101003</t>
  </si>
  <si>
    <t>agshin.allahverdiyev@pashapay.az</t>
  </si>
  <si>
    <t>Bakı şəh., Yasamal ray., Ə.Cəmil küç., ev.51, m.55</t>
  </si>
  <si>
    <t>IDM-879</t>
  </si>
  <si>
    <t xml:space="preserve">Mirrahman Soltanov, Ahadagha </t>
  </si>
  <si>
    <t>Soltanov Mirrəhman Əhədağa oğlu</t>
  </si>
  <si>
    <t>510YA1J</t>
  </si>
  <si>
    <t>AA0306253</t>
  </si>
  <si>
    <t>+994558010210</t>
  </si>
  <si>
    <t>mirrahman.soltanov@pashapay.az</t>
  </si>
  <si>
    <t>Bakı şəh., Xəqani küç., 51/13</t>
  </si>
  <si>
    <t>Gəncə pros.29/30</t>
  </si>
  <si>
    <t>IDM-875</t>
  </si>
  <si>
    <t xml:space="preserve">Faraj Bayramov, Karam </t>
  </si>
  <si>
    <t>Bayramov Fərəc Kərəm oğlu</t>
  </si>
  <si>
    <t>559NAZR</t>
  </si>
  <si>
    <t>AA5167572</t>
  </si>
  <si>
    <t>+994706066007</t>
  </si>
  <si>
    <t>faraj.bayramov@pashapay.az</t>
  </si>
  <si>
    <t>Bakı şəh., Xətai ray., İlqar Zülfüqarov küç.93</t>
  </si>
  <si>
    <t>Bakı şəh., Xətai ray., Xudu Məmmədov küç.29/44</t>
  </si>
  <si>
    <t>IDM-878</t>
  </si>
  <si>
    <t>Samaya Binnatova, Arif</t>
  </si>
  <si>
    <t>Binnətova Səmayə Arif qızı</t>
  </si>
  <si>
    <t>7FS0FWR</t>
  </si>
  <si>
    <t>AA1942088</t>
  </si>
  <si>
    <t>+994705109943</t>
  </si>
  <si>
    <t>samaya.binnatova@pashapay.az</t>
  </si>
  <si>
    <t>Gəncə şəh., Nizami ray., Gülüstan qəs., Ev.27, m.12</t>
  </si>
  <si>
    <t>Bakı şəh., Memar Əcəmi, Yaşam Rezidens</t>
  </si>
  <si>
    <t>IDM-880</t>
  </si>
  <si>
    <t xml:space="preserve">Jeyhun Mammadov, Kazim </t>
  </si>
  <si>
    <t>Məmmədov Ceyhun Kazım oğlu</t>
  </si>
  <si>
    <t>61Z2A08</t>
  </si>
  <si>
    <t>AA5617777</t>
  </si>
  <si>
    <t>+994507224447</t>
  </si>
  <si>
    <t>jeyhun.mammadov@pashapay.az</t>
  </si>
  <si>
    <t xml:space="preserve">mr.jayhoon@mail.ru </t>
  </si>
  <si>
    <t>Lənkəran şəh., Xanbulan Ə/D, Büccəli kəndi</t>
  </si>
  <si>
    <t>IDM-893</t>
  </si>
  <si>
    <t xml:space="preserve">Eyvaz Sadigov, Valeh </t>
  </si>
  <si>
    <t>Sadıqov Eyvaz Valeh oğlu</t>
  </si>
  <si>
    <t>74PL67U</t>
  </si>
  <si>
    <t>AA1252671</t>
  </si>
  <si>
    <t>+994514240024</t>
  </si>
  <si>
    <t>Bakı şəh., Sabunçu ray., Maştağa qəs.</t>
  </si>
  <si>
    <t>IDM-896</t>
  </si>
  <si>
    <t xml:space="preserve">Nurlan Gulmahammadov, Aladdin </t>
  </si>
  <si>
    <t>Gülməmmədov Nurlan Əllədinoviç</t>
  </si>
  <si>
    <t>System Analyst</t>
  </si>
  <si>
    <t>Sistem üzrə Analitik</t>
  </si>
  <si>
    <t>7H0MBPN</t>
  </si>
  <si>
    <t>AA1989058</t>
  </si>
  <si>
    <t>+994509999611</t>
  </si>
  <si>
    <t>nurlan.gulmahammadov@pashapay.az</t>
  </si>
  <si>
    <t>Bakı şəh., Qaradağ ray., İ.Nəbiyev 139/21</t>
  </si>
  <si>
    <t>Bakı şəh., Qaradağ ray., İ.Nəbiyev 39/21</t>
  </si>
  <si>
    <t>IDM-897</t>
  </si>
  <si>
    <t>Turkan Jabbarova, Novruz</t>
  </si>
  <si>
    <t>Cabbarova Türkan Novruz qızı</t>
  </si>
  <si>
    <t>1H73HTD</t>
  </si>
  <si>
    <t>AA3424069</t>
  </si>
  <si>
    <t>+994773820032</t>
  </si>
  <si>
    <t>turkan.jabbarova@pashapay.az</t>
  </si>
  <si>
    <t>Fizuli şəh.,</t>
  </si>
  <si>
    <t>Fizuli Şəh., Bina 19, m.421</t>
  </si>
  <si>
    <t>Fizuli</t>
  </si>
  <si>
    <t>IDM-898</t>
  </si>
  <si>
    <t>Tabassum Nasirova, Fikrat</t>
  </si>
  <si>
    <t>Nəsirova Təbəssüm Fikrət qızı</t>
  </si>
  <si>
    <t>4MQ41FG</t>
  </si>
  <si>
    <t>AA2832870</t>
  </si>
  <si>
    <t>+994775838138</t>
  </si>
  <si>
    <t>tabassum.nasirova@pashapay.az</t>
  </si>
  <si>
    <t>Fizuli şəh., H.Əliyev pr. B.1, m.2</t>
  </si>
  <si>
    <t>IDM-899</t>
  </si>
  <si>
    <t>Ruslan Suleymanov, Yashar</t>
  </si>
  <si>
    <t>Süleymanov Ruslan Yaşar oğlu</t>
  </si>
  <si>
    <t>5N500B8</t>
  </si>
  <si>
    <t>AA5710559</t>
  </si>
  <si>
    <t>+994505578227</t>
  </si>
  <si>
    <t>ruslan.suleymanov@pashapay.az</t>
  </si>
  <si>
    <t>Fizuli şəh., Xanlar küç.,</t>
  </si>
  <si>
    <t>Sumqayıt şəh., Əlvan Metal Pansionat</t>
  </si>
  <si>
    <t>IDM-900</t>
  </si>
  <si>
    <t>Nabat Namazova, Rafail</t>
  </si>
  <si>
    <t>Namazova Nabat Rəfail qızı</t>
  </si>
  <si>
    <t>10ZML2Z</t>
  </si>
  <si>
    <t>AA0994575</t>
  </si>
  <si>
    <t>+994557223303</t>
  </si>
  <si>
    <t>nabat.namazova@pashapay.az</t>
  </si>
  <si>
    <t>Fizuli şəh., H.Əliyev pr. Bina 5, m.123</t>
  </si>
  <si>
    <t>IDM-901</t>
  </si>
  <si>
    <t>Aynura Abbasova, Hasan</t>
  </si>
  <si>
    <t>Abbasova Aynurə Həsən qızı</t>
  </si>
  <si>
    <t>10ZN1CM</t>
  </si>
  <si>
    <t>AA5309546</t>
  </si>
  <si>
    <t>+994507050184</t>
  </si>
  <si>
    <t>aynura.abbasova@pashapay.az</t>
  </si>
  <si>
    <t>Fizuli şəh., Heydər Əliyev pr., bina 26, m.557</t>
  </si>
  <si>
    <t>IDM-902</t>
  </si>
  <si>
    <t>Narmin Ahmadzade, Vugar</t>
  </si>
  <si>
    <t>Əhmədzadə Nərmin Vüqar qızı</t>
  </si>
  <si>
    <t>5HU3LAT</t>
  </si>
  <si>
    <t>AZE16782694</t>
  </si>
  <si>
    <t>+994997202076</t>
  </si>
  <si>
    <t>narmin.ahmadzada@pashapay.az</t>
  </si>
  <si>
    <t>Fizuli şəh., B.Eyvazov küç., D.3, Ev 2</t>
  </si>
  <si>
    <t>Fizuli şəh., Bina 24, m.526</t>
  </si>
  <si>
    <t>IDM-903</t>
  </si>
  <si>
    <t>Matanat Huseynova, Samandar</t>
  </si>
  <si>
    <t>Hüseynova Mətanət Səməndər qızı</t>
  </si>
  <si>
    <t>64FDJ7Q</t>
  </si>
  <si>
    <t>AA4716937</t>
  </si>
  <si>
    <t>+994557287992</t>
  </si>
  <si>
    <t>matanat.huseynova@pashapay.az</t>
  </si>
  <si>
    <t>Fizuli şəh., Bina 22, m.486</t>
  </si>
  <si>
    <t>IDM-904</t>
  </si>
  <si>
    <t>Lamiya Mammadova, Khanbala</t>
  </si>
  <si>
    <t>Məmmədova Lamiyə Xanbala qızı</t>
  </si>
  <si>
    <t>2KHD7J4</t>
  </si>
  <si>
    <t>AA4090139</t>
  </si>
  <si>
    <t>+994558536676</t>
  </si>
  <si>
    <t>lamiya.mammadova@pashapay.az</t>
  </si>
  <si>
    <t>Fizuli şəh., Heydər Əliyev pr., bina 13, m.276</t>
  </si>
  <si>
    <t>IDM-906</t>
  </si>
  <si>
    <t>Gulnar Jafarova, Ramil</t>
  </si>
  <si>
    <t>Cəfərova Gülnar Ramil qızı</t>
  </si>
  <si>
    <t>1FUFR10</t>
  </si>
  <si>
    <t>AA3077086</t>
  </si>
  <si>
    <t>+994773321722</t>
  </si>
  <si>
    <t>gulnar.jafarova@pashapay.az</t>
  </si>
  <si>
    <t>Fizuli şəh., Heydər Əliyev pr.</t>
  </si>
  <si>
    <t>IDM-907</t>
  </si>
  <si>
    <t>Samir Mammadov, Malik</t>
  </si>
  <si>
    <t>Məmmədov Samir Malik oğlu</t>
  </si>
  <si>
    <t>50S2UDP</t>
  </si>
  <si>
    <t>AA3794682</t>
  </si>
  <si>
    <t>+994703204647</t>
  </si>
  <si>
    <t>s.mammadov@pashapay.az</t>
  </si>
  <si>
    <t>Fizuli şəh., Qarayev küç., ev.3, m.3</t>
  </si>
  <si>
    <t>Fizuli şəh., Bina 27, m.587</t>
  </si>
  <si>
    <t>IDM-913</t>
  </si>
  <si>
    <t>Narmin Valiyeva, Rashad</t>
  </si>
  <si>
    <t>Vəliyeva Nərmin Rəşad qızı</t>
  </si>
  <si>
    <t>6GH1WKQ</t>
  </si>
  <si>
    <t>AA5659118</t>
  </si>
  <si>
    <t>+994552230066</t>
  </si>
  <si>
    <t>narmin.valiyeva@pashapay.az</t>
  </si>
  <si>
    <t>Bakı şəh, Binəqədi ray, 9 mkr, Cavadxan küç, ev.5</t>
  </si>
  <si>
    <t>Bakı şəh, Binəqədi ray, 9 mkr, Mircəlal 63a</t>
  </si>
  <si>
    <t>IDM-914</t>
  </si>
  <si>
    <t xml:space="preserve">Raman Novruzov, Mahammad </t>
  </si>
  <si>
    <t>Novruzov Raman Məhəmməd oğlu</t>
  </si>
  <si>
    <t>5LMXCNV</t>
  </si>
  <si>
    <t>AA1671571</t>
  </si>
  <si>
    <t>+994559552003</t>
  </si>
  <si>
    <t>Bakı şəh., Sabunçu ray.,</t>
  </si>
  <si>
    <t>Bakı şəh., Sabunçu ray .,</t>
  </si>
  <si>
    <t>IDM-921</t>
  </si>
  <si>
    <t xml:space="preserve">Zaur Zeynalov, Nadir </t>
  </si>
  <si>
    <t>Zeynalov Zaur Nadir oğlu</t>
  </si>
  <si>
    <t>5KKTU08</t>
  </si>
  <si>
    <t>AZE19138040</t>
  </si>
  <si>
    <t>Bakalavr</t>
  </si>
  <si>
    <t>+994558965891</t>
  </si>
  <si>
    <t>zaur.zeynalov@pashapay.az</t>
  </si>
  <si>
    <t xml:space="preserve">zaurz6888@gmail.com </t>
  </si>
  <si>
    <t>Bakı şəh.,Səbail ray., Ə.Nəzmi küç.98, m.6</t>
  </si>
  <si>
    <t>Bakı şəh.,Səbail ray., Ə.Nəzmi küç.98,  m.6</t>
  </si>
  <si>
    <t>IDM-929</t>
  </si>
  <si>
    <t>Fateh Rustamzade, Ilgar</t>
  </si>
  <si>
    <t>Rüstəmzadə Fateh İlqar oğlu</t>
  </si>
  <si>
    <t>7K2TDZ8</t>
  </si>
  <si>
    <t>AA0115714</t>
  </si>
  <si>
    <t>+994503430107</t>
  </si>
  <si>
    <t>Binəqədi ray, Sətdar Bəhlulzadə ev 184</t>
  </si>
  <si>
    <t>IDM-930</t>
  </si>
  <si>
    <t>Babak Yusifli, Muzaffar</t>
  </si>
  <si>
    <t>Yusifli Babək Müzəffər oğlu</t>
  </si>
  <si>
    <t>5T8HVPG</t>
  </si>
  <si>
    <t>AA3355329</t>
  </si>
  <si>
    <t>+994505333066</t>
  </si>
  <si>
    <t>Bakı şəh.,Yasamal ray.,2-ci Alatava 89</t>
  </si>
  <si>
    <t>IDM-937</t>
  </si>
  <si>
    <t xml:space="preserve">Aghayar Aghayev, Azer </t>
  </si>
  <si>
    <t>Ağayev Ağayar Azər oğlu</t>
  </si>
  <si>
    <t>4-Aug-25</t>
  </si>
  <si>
    <t>6ZHDMJA</t>
  </si>
  <si>
    <t>AZE17093859</t>
  </si>
  <si>
    <t>+994513061000</t>
  </si>
  <si>
    <t>İsmayıllı ray., Quba Xəlilli kəndi</t>
  </si>
  <si>
    <t>Bakı şəh., Nəsimi ray., Tblisi prospekti</t>
  </si>
  <si>
    <t>IDM-938</t>
  </si>
  <si>
    <t xml:space="preserve">Elgiz Sadıqov Elçin </t>
  </si>
  <si>
    <t xml:space="preserve">1 month </t>
  </si>
  <si>
    <t>5CJJFEJ</t>
  </si>
  <si>
    <t>AA3504080</t>
  </si>
  <si>
    <t>+994705675052</t>
  </si>
  <si>
    <t xml:space="preserve">elgiz892sadiqov@gmail.com </t>
  </si>
  <si>
    <t>Mingəçevir şəh., H.Əliyev 88, m.18</t>
  </si>
  <si>
    <t>Mingəçevir şəh., Günəşli qəs., küçə 2, ev.21</t>
  </si>
  <si>
    <t>IDM-941</t>
  </si>
  <si>
    <t>Elkhan Humbatov, Shamxal</t>
  </si>
  <si>
    <t>Hümbətov Elxan Şamxal oğlu</t>
  </si>
  <si>
    <t>103J1JB</t>
  </si>
  <si>
    <t>AZE08200272</t>
  </si>
  <si>
    <t>+994552390504</t>
  </si>
  <si>
    <t>Bakı şəh., Neapol k-si, ev.15, m. 63</t>
  </si>
  <si>
    <t>IDM-945</t>
  </si>
  <si>
    <t xml:space="preserve">Sabina Aslanova, Suleyman </t>
  </si>
  <si>
    <t>Aslanova Səbinə Süleyman qızı</t>
  </si>
  <si>
    <t>6ZV1ARF</t>
  </si>
  <si>
    <t>AA0386397</t>
  </si>
  <si>
    <t>+994507784673</t>
  </si>
  <si>
    <t>sabina.aslanova@pashapay.az</t>
  </si>
  <si>
    <t>IDM-949</t>
  </si>
  <si>
    <t xml:space="preserve">Ramil Hasanov, Elbrus </t>
  </si>
  <si>
    <t>23X576S</t>
  </si>
  <si>
    <t>AA3060166</t>
  </si>
  <si>
    <t xml:space="preserve">+994506493736 </t>
  </si>
  <si>
    <t xml:space="preserve">ramilhsnov418@gmail.com </t>
  </si>
  <si>
    <t>Bakı şəh., Binəqədi ray., 9-cu mr., Həmzə Babaşov.H</t>
  </si>
  <si>
    <t>9-cu mr., Həmzə Babaşov.H</t>
  </si>
  <si>
    <t>IDM-950</t>
  </si>
  <si>
    <t>Parvin Ismayilov, Anvar</t>
  </si>
  <si>
    <t>İsmayılov Pərvin Ənvər oğlu</t>
  </si>
  <si>
    <t>16VHQNF</t>
  </si>
  <si>
    <t>AA2237841</t>
  </si>
  <si>
    <t>+994556360063</t>
  </si>
  <si>
    <t xml:space="preserve">ismayilovparvin990@gmail.com </t>
  </si>
  <si>
    <t>Bakı şəhəri., Sabunçu ray.,Bakıxanov qəsəbəsi.,Məshəti Gəncəvi küç.,ev-17, mən-2</t>
  </si>
  <si>
    <t>Bakı şəhəri., Sabunçu ray.,Bakıxanov qəsəbəsi., məhəllə 4090/94., ev  26, m-181</t>
  </si>
  <si>
    <t>IDM-951</t>
  </si>
  <si>
    <t xml:space="preserve">Rustam Ibrahimov, Zakir </t>
  </si>
  <si>
    <t>10JLYV7</t>
  </si>
  <si>
    <t>AA5383513</t>
  </si>
  <si>
    <t>+994553870606</t>
  </si>
  <si>
    <t xml:space="preserve">rustem19840904@gmail.com </t>
  </si>
  <si>
    <t>Füzuli rayonu., Horadiz qəsəbəsi.</t>
  </si>
  <si>
    <t>Binəqədi rayonu., Biləcəri qəsəbəsi.</t>
  </si>
  <si>
    <t>IDM-952</t>
  </si>
  <si>
    <t>Akbar Hamzaliyev, Mammadaga</t>
  </si>
  <si>
    <t>Internal audit department</t>
  </si>
  <si>
    <t>Senior Auditor</t>
  </si>
  <si>
    <t>Baş Auditor</t>
  </si>
  <si>
    <t>6CJKWX3</t>
  </si>
  <si>
    <t>AA4429670</t>
  </si>
  <si>
    <t>+994519318383</t>
  </si>
  <si>
    <t>akbar.hamzaliyev@pashapay.az</t>
  </si>
  <si>
    <t>Bakı şəh., Sabunçu ray., Bakıxanov qəs., Ş.Kamilov ev.7, m.58</t>
  </si>
  <si>
    <t>IDM-955</t>
  </si>
  <si>
    <t>Elnur Karimov, Farahim</t>
  </si>
  <si>
    <t>2R5HK0W</t>
  </si>
  <si>
    <t>AZE16954633</t>
  </si>
  <si>
    <t>+994504087711</t>
  </si>
  <si>
    <t>Şirvan şəh., Mehmandarov ev.3</t>
  </si>
  <si>
    <t>IDM-957</t>
  </si>
  <si>
    <t>Murad Rzazade, Elchin</t>
  </si>
  <si>
    <t>Information security division</t>
  </si>
  <si>
    <t>İnformasiya təhlükəsizliyi şöbəsi</t>
  </si>
  <si>
    <t xml:space="preserve">Head of Information Security </t>
  </si>
  <si>
    <t>İnformasiya Təhlükəsizliyi Departamentinin Rəhbəri</t>
  </si>
  <si>
    <t>Chingiz Safarli</t>
  </si>
  <si>
    <t>4WYLGEL</t>
  </si>
  <si>
    <t>AA2066092</t>
  </si>
  <si>
    <t>+994709545494</t>
  </si>
  <si>
    <t>murad.rzazade@pashapay.az</t>
  </si>
  <si>
    <t xml:space="preserve">muradrzazade@mail.ru </t>
  </si>
  <si>
    <t>Bakı şəh., Azadlıq 97, m.27</t>
  </si>
  <si>
    <t>Bakı şəh., Eldar Tağızadə 18B, m.14</t>
  </si>
  <si>
    <t>IDM-958</t>
  </si>
  <si>
    <t>Samir Amirov, Vagif</t>
  </si>
  <si>
    <t>10133HN</t>
  </si>
  <si>
    <t>AA6026559</t>
  </si>
  <si>
    <t>+994503373366</t>
  </si>
  <si>
    <t>Bakı şəh., Yasamal ray., Z.Kərimov.466</t>
  </si>
  <si>
    <t>IDM-960</t>
  </si>
  <si>
    <t xml:space="preserve">Ayla Mammadova, Fuad </t>
  </si>
  <si>
    <t>Məmmədova Ayla Fuad qızı</t>
  </si>
  <si>
    <t>Middle MQA Engineer M1</t>
  </si>
  <si>
    <t>Manual Keyfiyyət Təminatı üzrə Middle Mühəndis</t>
  </si>
  <si>
    <t>Rauf Mirzoev,Ilqar Mammadov</t>
  </si>
  <si>
    <t>6ESPQ5B</t>
  </si>
  <si>
    <t>AA4190306</t>
  </si>
  <si>
    <t>+994554078903</t>
  </si>
  <si>
    <t>ayla.mammadova@pashapay.az</t>
  </si>
  <si>
    <t xml:space="preserve">Bakı şəh., Azadlıq 107A, </t>
  </si>
  <si>
    <t>IDM-967</t>
  </si>
  <si>
    <t>Elshad Gozalov, Rashid</t>
  </si>
  <si>
    <t>Gözəlov Elşad Rəşid oğlu</t>
  </si>
  <si>
    <t>609NPH4</t>
  </si>
  <si>
    <t>AA0626678</t>
  </si>
  <si>
    <t>+994103728494</t>
  </si>
  <si>
    <t>Dadaş Bünyadzadə ev.25</t>
  </si>
  <si>
    <t>Səməd Vurğun ev.60</t>
  </si>
  <si>
    <t>IDM-969</t>
  </si>
  <si>
    <t>Nijat Jafarov, Kamil</t>
  </si>
  <si>
    <t>Cəfərov Nicat Kamil oğlu</t>
  </si>
  <si>
    <t>72H64HN</t>
  </si>
  <si>
    <t>AA4576053</t>
  </si>
  <si>
    <t>+994777699919</t>
  </si>
  <si>
    <t>nijat.jafarov@pashapay.az</t>
  </si>
  <si>
    <t>Fizuli şəh., Heydər Əliyev prospekti</t>
  </si>
  <si>
    <t>IDM-970</t>
  </si>
  <si>
    <t>Sevda Agayeva, Adigozal</t>
  </si>
  <si>
    <t>Ağayeva Sevda Adıgözəl qızı</t>
  </si>
  <si>
    <t>1SDZK1W</t>
  </si>
  <si>
    <t>AA3806397</t>
  </si>
  <si>
    <t>+994518117897</t>
  </si>
  <si>
    <t>sevda.aghayeva@pashapay.az</t>
  </si>
  <si>
    <t>IDM-973</t>
  </si>
  <si>
    <t>Maharram Mammadov, Huseyn</t>
  </si>
  <si>
    <t>Məmmədov Məhərrəm Hüseyn oğlu</t>
  </si>
  <si>
    <t>6MA8PVJ</t>
  </si>
  <si>
    <t>AA0907499</t>
  </si>
  <si>
    <t>+994773160925</t>
  </si>
  <si>
    <t>maharram.mammadov@pashapay.az</t>
  </si>
  <si>
    <t>Göygöl şəh., Hummel küç.</t>
  </si>
  <si>
    <t>Bakı şəh., Nərimanov ray., Koroğlu Rəhimov küç.</t>
  </si>
  <si>
    <t>IDM-974</t>
  </si>
  <si>
    <t xml:space="preserve">Elnur Nəsirov, Abulfaz </t>
  </si>
  <si>
    <t>63UQHKY</t>
  </si>
  <si>
    <t>AA2299190</t>
  </si>
  <si>
    <t>+994503576947</t>
  </si>
  <si>
    <t>Ağcabədi ray.,</t>
  </si>
  <si>
    <t>IDM-975</t>
  </si>
  <si>
    <t xml:space="preserve">Zakir Zakirli, Elshan </t>
  </si>
  <si>
    <t>Zakirli Zakir Elşən oğlu</t>
  </si>
  <si>
    <t>6EDW112</t>
  </si>
  <si>
    <t>AA3746002</t>
  </si>
  <si>
    <t>+994998800221</t>
  </si>
  <si>
    <t>zakir.zakirli@pashapay.az</t>
  </si>
  <si>
    <t>Bakı şəh., Nəsimi ray., 4-cü mkr., Mir Cəlal 2</t>
  </si>
  <si>
    <t>IDM-977</t>
  </si>
  <si>
    <t>Khayal Tagiyev, Rafaddin</t>
  </si>
  <si>
    <t>6BY63PS</t>
  </si>
  <si>
    <t>AA5629765</t>
  </si>
  <si>
    <t>+994103199822</t>
  </si>
  <si>
    <t>Lənkaran şəh.,</t>
  </si>
  <si>
    <t>Bakı şəh., Yasamal ray.</t>
  </si>
  <si>
    <t>IDM-979</t>
  </si>
  <si>
    <t>Khalifa Shixaliyev, Gabil</t>
  </si>
  <si>
    <t>Şıxəliyev Xəlifə Qabil oğlu</t>
  </si>
  <si>
    <t>69N2B7Q</t>
  </si>
  <si>
    <t>AA5595232</t>
  </si>
  <si>
    <t>+994515230997</t>
  </si>
  <si>
    <t>Göyçay şəh., M.F.Axundov</t>
  </si>
  <si>
    <t>Ucar ray., H.əliyev</t>
  </si>
  <si>
    <t>IDM-980</t>
  </si>
  <si>
    <t>Huseyn Guliyev, Elchin</t>
  </si>
  <si>
    <t>Quliyev Hüseyn Elçin oğlu</t>
  </si>
  <si>
    <t>77WTMD4</t>
  </si>
  <si>
    <t>AA0086353</t>
  </si>
  <si>
    <t>+994554805554</t>
  </si>
  <si>
    <t>huseyn.guliyev@pashapay.az</t>
  </si>
  <si>
    <t>Bakı şəh., Sabunçu ray., Kürdəxanı qəs., ev.9A</t>
  </si>
  <si>
    <t>IDM-982</t>
  </si>
  <si>
    <t xml:space="preserve">Inara Alibakhshiyeva, Ahmadagha </t>
  </si>
  <si>
    <t>Əlibaxşıyeva İnarə Əhmədağa qızı</t>
  </si>
  <si>
    <t xml:space="preserve">Settlements Specialist </t>
  </si>
  <si>
    <t>0VWCL6Z</t>
  </si>
  <si>
    <t>AA2890683</t>
  </si>
  <si>
    <t>+994503775916</t>
  </si>
  <si>
    <t>inara.alibakhshiyeva@pashapay.az</t>
  </si>
  <si>
    <t>Bakı şəh., Xətai ray., Xud Məmmədov 19, m.14</t>
  </si>
  <si>
    <t>Bakı şəh., Məhəmməd Hadi küç.70, m.71</t>
  </si>
  <si>
    <t>IDM-983</t>
  </si>
  <si>
    <t xml:space="preserve">Nurlana Javad-zade, Javanshir </t>
  </si>
  <si>
    <t>Cavad-zadə Nurlana Cavanşir qızı</t>
  </si>
  <si>
    <t>Office Administrator</t>
  </si>
  <si>
    <t>Ofis üzrə Administrator</t>
  </si>
  <si>
    <t>5J6LDSE</t>
  </si>
  <si>
    <t>AA6156573</t>
  </si>
  <si>
    <t>+994507177576</t>
  </si>
  <si>
    <t>nurlana.javad-zade@pashapay.az</t>
  </si>
  <si>
    <t>Şamaxı şəh., Azərbaycan küç., ev.28</t>
  </si>
  <si>
    <t>Bakı şəh., Nəsimi ray., 20 Yanvar küç., 217 küç</t>
  </si>
  <si>
    <t>IDM-989</t>
  </si>
  <si>
    <t>Ruhin Hajiyev, Veli</t>
  </si>
  <si>
    <t>2L87F84</t>
  </si>
  <si>
    <t>AA4290483</t>
  </si>
  <si>
    <t>+994102121336</t>
  </si>
  <si>
    <t>Bakı şəh., Nəsimi ray.</t>
  </si>
  <si>
    <t>Nəsimi ray., Rəşid Məmmədov B 11., M.55</t>
  </si>
  <si>
    <t>IDM-990</t>
  </si>
  <si>
    <t>T</t>
  </si>
  <si>
    <t>Elman Heydarli, Chingiz</t>
  </si>
  <si>
    <t>Heydərli Elman Çingiz oğlu</t>
  </si>
  <si>
    <t>SOC Team Lead</t>
  </si>
  <si>
    <t>SOC üzrə Qrup Rəhbəri</t>
  </si>
  <si>
    <t>Murad Rzazade, Murad Rzazade</t>
  </si>
  <si>
    <t>6EY3S11</t>
  </si>
  <si>
    <t>AA2102748</t>
  </si>
  <si>
    <t>+994513363633</t>
  </si>
  <si>
    <t>elman.heydarli@pashapay.az</t>
  </si>
  <si>
    <t>elman.haydarli@gmail.com</t>
  </si>
  <si>
    <t>Bakı şəh., Abbasqulu Abbaszadə 1128, Səbail ray.</t>
  </si>
  <si>
    <t>IDM-992</t>
  </si>
  <si>
    <t>Vusala Nasirli, Anar</t>
  </si>
  <si>
    <t>Nəsirli Vüsalə Anar qızı</t>
  </si>
  <si>
    <t>7JZMZ3U</t>
  </si>
  <si>
    <t>AA4908294</t>
  </si>
  <si>
    <t>+994708108818</t>
  </si>
  <si>
    <t>vusala.nasirli@pashapay.az</t>
  </si>
  <si>
    <t>Fizuli şəh., DMK-44 küç., ev.1, m.5</t>
  </si>
  <si>
    <t>Fizuli şəh., Dəmir Yumruq pr., bina 38, m. 823</t>
  </si>
  <si>
    <t>IDM-993</t>
  </si>
  <si>
    <t xml:space="preserve">Roya Guliyeva, Ramiz </t>
  </si>
  <si>
    <t>Quliyeva Röya Ramiz qızı</t>
  </si>
  <si>
    <t>7EX06FQ</t>
  </si>
  <si>
    <t>AA3600759</t>
  </si>
  <si>
    <t>+994508627732</t>
  </si>
  <si>
    <t>roya.guliyeva@pashapay.az</t>
  </si>
  <si>
    <t>Fizuli şəh., Aybaşanlı Ə/D, Şəkərinsk kəndi</t>
  </si>
  <si>
    <t>Fizuli şəh., Dəmir Yumruq pr., b.36, m.809</t>
  </si>
  <si>
    <t>IDM-998</t>
  </si>
  <si>
    <t>Firdovsi Kazimov, Vugar</t>
  </si>
  <si>
    <t>Kazımov Firdovsi Vüqar oğlu</t>
  </si>
  <si>
    <t>6P1WA8G</t>
  </si>
  <si>
    <t>AA0810042</t>
  </si>
  <si>
    <t>+994556036141</t>
  </si>
  <si>
    <t>Bakı şəh., Nizami küç., Keşlə qəs., Nizami Abdullayev küç.4/45</t>
  </si>
  <si>
    <t>IDM-1002</t>
  </si>
  <si>
    <t>Nijat Huseynov, Bahadir</t>
  </si>
  <si>
    <t>Hüseynov Nicat Bahadir oğlu</t>
  </si>
  <si>
    <t>7AZQ3G9</t>
  </si>
  <si>
    <t>AA7432429</t>
  </si>
  <si>
    <t>+994705966166</t>
  </si>
  <si>
    <t>nijat.huseynov@pashapay.az</t>
  </si>
  <si>
    <t>Bakı şəh., Sabunçu ray., Gənclik küç.29C, M.126</t>
  </si>
  <si>
    <t>Bakı şəh., Nəsimi ray., Cavadxan küç.24A</t>
  </si>
  <si>
    <t>IDM-1004</t>
  </si>
  <si>
    <t>Kamil Azizov, Elman</t>
  </si>
  <si>
    <t>Əzizov Kamil Elman oğlu</t>
  </si>
  <si>
    <t>17Y21JT</t>
  </si>
  <si>
    <t>AZE17120652</t>
  </si>
  <si>
    <t>+994506297607</t>
  </si>
  <si>
    <t>Fizuli şəh., Dəmir Yumruq küç., Bina 19, m.29</t>
  </si>
  <si>
    <t>IDM-1005</t>
  </si>
  <si>
    <t>Faig Bayramov, Nizami</t>
  </si>
  <si>
    <t>16MDR38</t>
  </si>
  <si>
    <t>AA1060330</t>
  </si>
  <si>
    <t xml:space="preserve">+994506200484 </t>
  </si>
  <si>
    <t>Bakı şəh., Nizami ray., Əlif Hacıyev 15, m.19</t>
  </si>
  <si>
    <t>Bakı şəh., Xəzər ray., Buzovna qəs., 18 oktyabr</t>
  </si>
  <si>
    <t>IDM-1008</t>
  </si>
  <si>
    <t>Agshin Mammadov, Shahin</t>
  </si>
  <si>
    <t>Məmmədov Aqşin Şahin oğlu</t>
  </si>
  <si>
    <t>63HZK6J</t>
  </si>
  <si>
    <t>AA0912333</t>
  </si>
  <si>
    <t xml:space="preserve">+994552833371 </t>
  </si>
  <si>
    <t>agshin.mammadov@pashapay.az</t>
  </si>
  <si>
    <t>escfan.97@gmail.com</t>
  </si>
  <si>
    <t>Bakı şəh., Yasamal ray., Nizami küç.53</t>
  </si>
  <si>
    <t>IDM-1009</t>
  </si>
  <si>
    <t>Nuraya Mammadova, Kamil</t>
  </si>
  <si>
    <t>Məmmədova Nurayə Kamil qızı</t>
  </si>
  <si>
    <t>21526Y8</t>
  </si>
  <si>
    <t>AA7039792</t>
  </si>
  <si>
    <t>+994504015210</t>
  </si>
  <si>
    <t>nuraya.mammadova@pashapay.az</t>
  </si>
  <si>
    <t>Mingəçevir şəh., Nizami 6, m.46</t>
  </si>
  <si>
    <t>Bakı şəh., Yasamal ray., İnşaatçılar pr., 20A</t>
  </si>
  <si>
    <t>IDM-1010</t>
  </si>
  <si>
    <t>Nahide Novruzova, Eldar</t>
  </si>
  <si>
    <t>Novruzova Nahidə Eldar qızı</t>
  </si>
  <si>
    <t>1UB4Z87</t>
  </si>
  <si>
    <t>AA5904843</t>
  </si>
  <si>
    <t>+994604224280</t>
  </si>
  <si>
    <t>Naxçıvan şəh., Xətai Məh., döngə 1, ev.27B</t>
  </si>
  <si>
    <t>IDM-1011</t>
  </si>
  <si>
    <t>Elvin Guliyev, Emin</t>
  </si>
  <si>
    <t>Quliyev Elvin Emin oğlu</t>
  </si>
  <si>
    <t>7PKPSLJ</t>
  </si>
  <si>
    <t>AA0204353</t>
  </si>
  <si>
    <t>+994554903454</t>
  </si>
  <si>
    <t>Bakı şəh., Səbail ray., Nesterov 8</t>
  </si>
  <si>
    <t>Bakı şəh., Səbail ray., Abbasqulu Abbaszadə 103</t>
  </si>
  <si>
    <t>IDM-1015</t>
  </si>
  <si>
    <t>Saida Huseynova, Asadulla</t>
  </si>
  <si>
    <t>Head of HR Department</t>
  </si>
  <si>
    <t>İnsan Resurslarının İdarəedilməsi Departamentinin Direktoru</t>
  </si>
  <si>
    <t>2QBFKSH</t>
  </si>
  <si>
    <t>AA6026592</t>
  </si>
  <si>
    <t>+994502719202</t>
  </si>
  <si>
    <t>saida.huseynova@pashapay.az</t>
  </si>
  <si>
    <t>Bakı şəh., Həsənoğlu 4, m.132</t>
  </si>
  <si>
    <t>IDM-1017</t>
  </si>
  <si>
    <t>Gulare Mikayilova, Bahruz</t>
  </si>
  <si>
    <t>Mikayılova Gülarə Bəhruz qızı</t>
  </si>
  <si>
    <t>7XRKYJN</t>
  </si>
  <si>
    <t>AA6447048</t>
  </si>
  <si>
    <t>+994556091907</t>
  </si>
  <si>
    <t>gulara.mikayilova@pashapay.az</t>
  </si>
  <si>
    <t>Fizuli ray., Fizuli şəh., R.Əliyev küç., ev.21</t>
  </si>
  <si>
    <t>Fizuli ray., H.Əliyev pr.,Dəmir Yumruq küç., bina 7, m.145</t>
  </si>
  <si>
    <t>IDM-1018</t>
  </si>
  <si>
    <t>Polad Huseynov, Rafig</t>
  </si>
  <si>
    <t>Fraud Monitoring Consultant</t>
  </si>
  <si>
    <t>Fraud Monitorinq üzrə Məsləhətçi</t>
  </si>
  <si>
    <t>1PUDSNB</t>
  </si>
  <si>
    <t>AZE14005358</t>
  </si>
  <si>
    <t>Part Time</t>
  </si>
  <si>
    <t>Doktorontura</t>
  </si>
  <si>
    <t>+994552188886</t>
  </si>
  <si>
    <t>polad.huseynov@pashapay.az</t>
  </si>
  <si>
    <t>Bakı şəh., Ə.Ələkbərov küç., ev.97, m. 108</t>
  </si>
  <si>
    <t>IDM-1019</t>
  </si>
  <si>
    <t>Ismayil Ismayilov, Shahid</t>
  </si>
  <si>
    <t>İsmayılov İsmayıl Şahid oğlu</t>
  </si>
  <si>
    <t>6LHXXUF</t>
  </si>
  <si>
    <t>AB0942480</t>
  </si>
  <si>
    <t>+994519797878</t>
  </si>
  <si>
    <t>ismayil.ismayilov@pashapay.az</t>
  </si>
  <si>
    <t>Abşeron ray., Masazır k., Salatın Əsgərova k.9</t>
  </si>
  <si>
    <t>Bakı şəh., Əliyar Əliyev 26</t>
  </si>
  <si>
    <t>IDM-1021</t>
  </si>
  <si>
    <t>Marjan Manafova, Elmar</t>
  </si>
  <si>
    <t>Manafova Mərcan Elmar qızı</t>
  </si>
  <si>
    <t xml:space="preserve">Product Marketing Trainee </t>
  </si>
  <si>
    <t>Məhsul Marketinqi üzrə Təcrübəçi</t>
  </si>
  <si>
    <t>7BKJAXP</t>
  </si>
  <si>
    <t>AA3002019</t>
  </si>
  <si>
    <t>+994558050345</t>
  </si>
  <si>
    <t>marjan.manafova@pashapay.az</t>
  </si>
  <si>
    <t>Bakı şəh., Bakıxanov qəs., Fətalıyev 20, m.20</t>
  </si>
  <si>
    <t>Bakı şəh., Xocalı pr.29</t>
  </si>
  <si>
    <t>IDM-1022</t>
  </si>
  <si>
    <t>Elvin Ahmadzade, Ilgar</t>
  </si>
  <si>
    <t>3ARAU9A</t>
  </si>
  <si>
    <t>AA2287628</t>
  </si>
  <si>
    <t>+994999933344</t>
  </si>
  <si>
    <t>elvin.ahmadzada@pashapay.az</t>
  </si>
  <si>
    <t>ahmadzada.e@gmail.com</t>
  </si>
  <si>
    <t>Bakı şəh., Şərifzadə küç., məh.571, m.79</t>
  </si>
  <si>
    <t>IDM-1023</t>
  </si>
  <si>
    <t>DA</t>
  </si>
  <si>
    <t>Jeyran Bagirova, Natig</t>
  </si>
  <si>
    <t>Data/Product analyst</t>
  </si>
  <si>
    <t>Data/Məhsul üzrə analitik</t>
  </si>
  <si>
    <t>Ilqar Ocaqov</t>
  </si>
  <si>
    <t>5NA0J3B</t>
  </si>
  <si>
    <t>AZE16885824</t>
  </si>
  <si>
    <t>+994517674738</t>
  </si>
  <si>
    <t>jeyran.bagirova@pashapay.az</t>
  </si>
  <si>
    <t>Naxçıvan MR, Naxçıvan şəh.</t>
  </si>
  <si>
    <t>Nizami ray., Bəhruz Nuriyev</t>
  </si>
  <si>
    <t>Kapital Bank</t>
  </si>
  <si>
    <t>IDM-1025</t>
  </si>
  <si>
    <t>Shixbala Ramaldanov, Shair</t>
  </si>
  <si>
    <t>Divison Head</t>
  </si>
  <si>
    <t>4REWPFS</t>
  </si>
  <si>
    <t>AA7360513</t>
  </si>
  <si>
    <t>+994556552247</t>
  </si>
  <si>
    <t>shikhbala.ramaldanov@pashapay.az</t>
  </si>
  <si>
    <t>Bakı şəh.,Yeni Yasamal ray., Ə.Əhmədov 22A, M.92</t>
  </si>
  <si>
    <t>IDM-1026</t>
  </si>
  <si>
    <t>Samir Babayev, Mardan</t>
  </si>
  <si>
    <t>Babayev Samir Mərdan oğlu</t>
  </si>
  <si>
    <t>Böyük mühasib</t>
  </si>
  <si>
    <t>66B4JS9</t>
  </si>
  <si>
    <t>AA2960364</t>
  </si>
  <si>
    <t>+994515372825</t>
  </si>
  <si>
    <t>samir.babayev@pashapay.az</t>
  </si>
  <si>
    <t>babayevsamir96@gmail.com</t>
  </si>
  <si>
    <t>Kürdəmir ray, Mollakən kəndi</t>
  </si>
  <si>
    <t>Bakı şəh, Nəsimi ray, Həsən Əliyev 10/61</t>
  </si>
  <si>
    <t>IDM-1027</t>
  </si>
  <si>
    <t>Elvin Mammadov, Zahid</t>
  </si>
  <si>
    <t>Məmmədov Elvin Zahid oğlu</t>
  </si>
  <si>
    <t>Senior Compliance Officer</t>
  </si>
  <si>
    <t>Komplayens üzrə Baş İnzibatçı</t>
  </si>
  <si>
    <t>11WS3AB</t>
  </si>
  <si>
    <t>AA1833702</t>
  </si>
  <si>
    <t>+994502608886</t>
  </si>
  <si>
    <t>elvin.mammadov@pashapay.az</t>
  </si>
  <si>
    <t>Şəki şəh., S.Rəhman 70/23</t>
  </si>
  <si>
    <t>Bakı şəh., Yasamal ray.,. Zahid Xelilov kuc, bina 103 ev 13</t>
  </si>
  <si>
    <t>IDM-1028</t>
  </si>
  <si>
    <t>Leman Nabiyeva, Nebi</t>
  </si>
  <si>
    <t>Nəbiyeva Ləman Nəbi qızı</t>
  </si>
  <si>
    <t>Audit Assistant</t>
  </si>
  <si>
    <t>Audit Köməkçisi</t>
  </si>
  <si>
    <t>7KMW4KX</t>
  </si>
  <si>
    <t>AA2149670</t>
  </si>
  <si>
    <t>+994708674520</t>
  </si>
  <si>
    <t>laman.nabiyeva@pashapay.az</t>
  </si>
  <si>
    <t>Bakı şəh., Qaradağ ray., Lökbatan qəs., 1 mas., 2-ci keçid, ev 7B</t>
  </si>
  <si>
    <t>IDM-1029</t>
  </si>
  <si>
    <t xml:space="preserve">Esmira Isgandarova, Zakir </t>
  </si>
  <si>
    <t>İsgəndərova Esmira Zakirovna</t>
  </si>
  <si>
    <t>Performance management &amp; employee engagement division</t>
  </si>
  <si>
    <t>Performance Management and Employee Engagement specialist</t>
  </si>
  <si>
    <t>Performansın idarə edilməsi və işçi bağlılığı şöbəsinin mütəxəssisi</t>
  </si>
  <si>
    <t>7CK92ET</t>
  </si>
  <si>
    <t>AA3122827</t>
  </si>
  <si>
    <t>+994503052050</t>
  </si>
  <si>
    <t>esmira.isgandarova@pashapay.az</t>
  </si>
  <si>
    <t>Bakı şəh., Yasamal ray., Alatava 1, ev.90 Q</t>
  </si>
  <si>
    <t>Bakı şəh., Nərimanov ray., B.Dadaşov 7</t>
  </si>
  <si>
    <t>IDM-1030</t>
  </si>
  <si>
    <t>Sona Israfilova, Aftandil</t>
  </si>
  <si>
    <t>İsrafilova Sona Aftandil qızı</t>
  </si>
  <si>
    <t>7FGP0LV</t>
  </si>
  <si>
    <t>AA6490092</t>
  </si>
  <si>
    <t>Sub bachelor</t>
  </si>
  <si>
    <t>+994104195919</t>
  </si>
  <si>
    <t>sona.israfilova@pashapay.az</t>
  </si>
  <si>
    <t>Fizuli şəh., PMK-15 qəsəbəsi</t>
  </si>
  <si>
    <t>Fizuli şəh</t>
  </si>
  <si>
    <t>IDM-1031</t>
  </si>
  <si>
    <t>Rahim Mirfatayev, Alibala</t>
  </si>
  <si>
    <t>Mirfatayev Rahim Əlibala oğlu</t>
  </si>
  <si>
    <t>Terminal business support department</t>
  </si>
  <si>
    <t>0ZYHPGT</t>
  </si>
  <si>
    <t>AA0933154</t>
  </si>
  <si>
    <t>+994556107001</t>
  </si>
  <si>
    <t>Bakı şəh., Badamdar şosesi 60/12, m.133</t>
  </si>
  <si>
    <t>IDM-1032</t>
  </si>
  <si>
    <t>Jamal Tagiyev, Ilham</t>
  </si>
  <si>
    <t xml:space="preserve">Executive Director </t>
  </si>
  <si>
    <t>İcraçı Direktor</t>
  </si>
  <si>
    <t>1UG7351</t>
  </si>
  <si>
    <t>AA0788629</t>
  </si>
  <si>
    <t>+994502282300 </t>
  </si>
  <si>
    <t>jamal.taghiyev@pashapay.az</t>
  </si>
  <si>
    <t>Bakı şəh., N.Tusi küç., m.70</t>
  </si>
  <si>
    <t>Bakı şəh., G.Şıxlinski 42 A, m.128</t>
  </si>
  <si>
    <t>IDM-1033</t>
  </si>
  <si>
    <t>Vahid Shukurov, Adil</t>
  </si>
  <si>
    <t>2XA6H92</t>
  </si>
  <si>
    <t>AA6943436</t>
  </si>
  <si>
    <t>+994554240101</t>
  </si>
  <si>
    <t>vahid.shukurov@pashapay.az</t>
  </si>
  <si>
    <t>Bakı Şəh.,Balaxanı Qəs., Musavat Küç., Ev 58</t>
  </si>
  <si>
    <t>IDM-1034</t>
  </si>
  <si>
    <t xml:space="preserve">Huseyn Iskandarov, Elshan </t>
  </si>
  <si>
    <t>İskəndərov Hüseyn Elşən oğlu</t>
  </si>
  <si>
    <t>696ACQD</t>
  </si>
  <si>
    <t>AA3013444</t>
  </si>
  <si>
    <t>+994515999905</t>
  </si>
  <si>
    <t>Bakı şəh, 28 may küç, m.10, ev 6</t>
  </si>
  <si>
    <t>Seryeg Senyushkin 15</t>
  </si>
  <si>
    <t>IDM-1035</t>
  </si>
  <si>
    <t>Aslan Sadraddinbatli, Qalib</t>
  </si>
  <si>
    <t>Sədrəddinbəyli Aslan Qalib oğlu</t>
  </si>
  <si>
    <t>42UD831</t>
  </si>
  <si>
    <t>AA2833089</t>
  </si>
  <si>
    <t>+994552288818</t>
  </si>
  <si>
    <t>aslan.sadraddinbayli@pashapay.az</t>
  </si>
  <si>
    <t>BAKI ŞƏHƏRİ, NƏRİMANOV RAYONU, , M.ƏLİZADƏ KÜÇƏSİ, EV 132, MƏNZİL 21</t>
  </si>
  <si>
    <t>IDM-1036</t>
  </si>
  <si>
    <t>Vugar Mammadov, Ilgar</t>
  </si>
  <si>
    <t>6KCE91S</t>
  </si>
  <si>
    <t>AZE 14450659</t>
  </si>
  <si>
    <t>+994552828124</t>
  </si>
  <si>
    <t>Kürdəmir Şəh., N.Nərimanov Küç., Ev.9</t>
  </si>
  <si>
    <t>IDM-1037</t>
  </si>
  <si>
    <t>Ilgar Murshudov, Murshud</t>
  </si>
  <si>
    <t>314CVQX</t>
  </si>
  <si>
    <t>AZE 14651714</t>
  </si>
  <si>
    <t>+994555050887</t>
  </si>
  <si>
    <t>Bakı Şəh.,Xətai Ray.,K.Kərimov Küç,Ev.10,M.16</t>
  </si>
  <si>
    <t>Bakı Şəh.,Xətai Ray.,K.Kərimov Küç,Ev.1 ,M.16</t>
  </si>
  <si>
    <t>IDM-1038</t>
  </si>
  <si>
    <t>Rashid Valiyev, Sanan</t>
  </si>
  <si>
    <t>2LHE7T6</t>
  </si>
  <si>
    <t>AZE 13012626</t>
  </si>
  <si>
    <t>+994708333363</t>
  </si>
  <si>
    <t>Bakı Şəh.,Müşfiqabad Qəs.,Şamaxı Yolu,Ev.5Q,M.28</t>
  </si>
  <si>
    <t>Xocasən Yolu Yeni Məhəllə</t>
  </si>
  <si>
    <t>IDM-1039</t>
  </si>
  <si>
    <t>Rauf Nazarov, Valiyaddin</t>
  </si>
  <si>
    <t>Nəzərov Rauf Vəliyəddin oğlu</t>
  </si>
  <si>
    <t>19UW9W1</t>
  </si>
  <si>
    <t>AB0765709</t>
  </si>
  <si>
    <t>+994503647439</t>
  </si>
  <si>
    <t>rauf.nazarov@pashapay.az</t>
  </si>
  <si>
    <t>Sumqayıt şəh., 4 mkr., ev.28/4, m.36</t>
  </si>
  <si>
    <t>IDM-1040</t>
  </si>
  <si>
    <t>Elvin Bilalov, Rovshan</t>
  </si>
  <si>
    <t>Bilalov Elvin Rövşən oğlu</t>
  </si>
  <si>
    <t>KPI Setting division</t>
  </si>
  <si>
    <t>Fəaliyyət göstəricilərinin təyini və hesabatlığı şöbəsi</t>
  </si>
  <si>
    <t>5R5L6TF</t>
  </si>
  <si>
    <t>AA2079829</t>
  </si>
  <si>
    <t>+994558663437</t>
  </si>
  <si>
    <t>elvin.bilalov@pashapay.az</t>
  </si>
  <si>
    <t>Bakı şəh., B.Nuriyev 63</t>
  </si>
  <si>
    <t>IDM-1041</t>
  </si>
  <si>
    <t>Shahmar Agayev, Zohrab</t>
  </si>
  <si>
    <t>Ağayev Şahmar Zöhrab oğlu</t>
  </si>
  <si>
    <t>Back-End Developer</t>
  </si>
  <si>
    <t>6FXNCL6</t>
  </si>
  <si>
    <t>AA2403826</t>
  </si>
  <si>
    <t>+994502360036</t>
  </si>
  <si>
    <t>shahmar.aghayev@pashapay.az</t>
  </si>
  <si>
    <t>Bakı şəh., Yeni Günəşli Massiv v, bina 17, m.58</t>
  </si>
  <si>
    <t>IDM-1042</t>
  </si>
  <si>
    <t xml:space="preserve">Eldar Alakbarov, Anar </t>
  </si>
  <si>
    <t>Ələkbərov Eldar Anar oğlu</t>
  </si>
  <si>
    <t>6A0MY7F</t>
  </si>
  <si>
    <t>AA4862977</t>
  </si>
  <si>
    <t>+994704392912</t>
  </si>
  <si>
    <t>eldar.alakbarov@pashapay.az</t>
  </si>
  <si>
    <t>Sumqayıt şəh., Elnur Səmədov küç.110C</t>
  </si>
  <si>
    <t>IDM-1043</t>
  </si>
  <si>
    <t>Gulzar Aghayeva, Mazahir</t>
  </si>
  <si>
    <t>Ağayeva Gülzar Məzahir qızı</t>
  </si>
  <si>
    <t xml:space="preserve"> Kiçik Mütəxəssis (müvəqqəti)</t>
  </si>
  <si>
    <t>7MX3THP</t>
  </si>
  <si>
    <t>A0884651</t>
  </si>
  <si>
    <t xml:space="preserve">+994513131635 </t>
  </si>
  <si>
    <t>gulzar.aghayeva@pashapay.az</t>
  </si>
  <si>
    <t>LƏNKƏRAN RAYONU, LİMAN ŞƏHƏRİ, H.ASLANOV KÜÇƏSİ, EV 46</t>
  </si>
  <si>
    <t>LİMAN ŞƏHƏRİ, H.ASLANOV KÜÇƏSİ, EV 46</t>
  </si>
  <si>
    <t>IDM-1044</t>
  </si>
  <si>
    <t>Aykhan Jafarzade, Rahman</t>
  </si>
  <si>
    <t>Cəfərzadə Ayxan Rəhman oğlu</t>
  </si>
  <si>
    <t>68YF78U</t>
  </si>
  <si>
    <t>AA1230019</t>
  </si>
  <si>
    <t>+994557440073</t>
  </si>
  <si>
    <t>samir.bayramov@pashapay.az</t>
  </si>
  <si>
    <t>M.Əlizadə 14</t>
  </si>
  <si>
    <t>Məmməd Əmin Rəsulzadə 23</t>
  </si>
  <si>
    <t>IDM-1045</t>
  </si>
  <si>
    <t>Samir Bairamov, Talib</t>
  </si>
  <si>
    <t>Murad Rzazadə</t>
  </si>
  <si>
    <t>4WSMURZ</t>
  </si>
  <si>
    <t>AA2621708</t>
  </si>
  <si>
    <t>+994502112785</t>
  </si>
  <si>
    <t>Bakı şəh., Nizami rayonu, Şirin Mirzəyev küç., ev 54, m. 33</t>
  </si>
  <si>
    <t>IDM-1046</t>
  </si>
  <si>
    <t>Farid Hasanzade, Rashad</t>
  </si>
  <si>
    <t>Həsənzadə Fərid Rəşad oğlu</t>
  </si>
  <si>
    <t>7ZH6V0N</t>
  </si>
  <si>
    <t>AA3741160</t>
  </si>
  <si>
    <t>IDM-1047</t>
  </si>
  <si>
    <t>Ehtiram Guliyev, Ehtimal</t>
  </si>
  <si>
    <t>Quliyev Ehtiram Ehtimal oğlu</t>
  </si>
  <si>
    <t>56GNZL0</t>
  </si>
  <si>
    <t>AA0580671</t>
  </si>
  <si>
    <t>+994515931144</t>
  </si>
  <si>
    <t>ehtiram.guliyev@pashapay.az</t>
  </si>
  <si>
    <t>Bakı şəh., Xətai ray., ev.1, m.3</t>
  </si>
  <si>
    <t>IDM-1048</t>
  </si>
  <si>
    <t>Sanan Namazov, Rufat</t>
  </si>
  <si>
    <t>Namazov Sənan Rüfət oğlu</t>
  </si>
  <si>
    <t>Training Specialist</t>
  </si>
  <si>
    <t>6BHD72W</t>
  </si>
  <si>
    <t>AA3882956</t>
  </si>
  <si>
    <t>+994503055111</t>
  </si>
  <si>
    <t>senan.namazov@pashapay.az</t>
  </si>
  <si>
    <t>Senan.s.s@mail.ru</t>
  </si>
  <si>
    <t>Bakı şəh., Zülfüqar Məmmədov 84</t>
  </si>
  <si>
    <t>Bakı şəh., Mirmahmud Kazımovski 53</t>
  </si>
  <si>
    <t>IDM-1049</t>
  </si>
  <si>
    <t>Sitara Gasimova, Elchin</t>
  </si>
  <si>
    <t>Qasımova Sitarə Elçin qızı</t>
  </si>
  <si>
    <t xml:space="preserve"> Kiçik Mütəxəssis </t>
  </si>
  <si>
    <t>6BCUBRL</t>
  </si>
  <si>
    <t>AA4985721</t>
  </si>
  <si>
    <t>+994102231024</t>
  </si>
  <si>
    <t>sitara.gasimova@pashapay.az</t>
  </si>
  <si>
    <t>Ağdam r, Ağdam şəh, Budakov küç</t>
  </si>
  <si>
    <t>Binəqədi, Biləcəri qəs, Natiq Həşimi 31</t>
  </si>
  <si>
    <t>IDM-1050</t>
  </si>
  <si>
    <t>Chinara Yahyayeva, Balagardash</t>
  </si>
  <si>
    <t>Yəhyayeva Çinarə Balaqardaş qızı</t>
  </si>
  <si>
    <t>0WQE0UL</t>
  </si>
  <si>
    <t>AA2843069</t>
  </si>
  <si>
    <t>+994504002485</t>
  </si>
  <si>
    <t>chinara.yahyayeva@pashapay.az</t>
  </si>
  <si>
    <t>Xətai rayonu, Gəncə prospekti 135</t>
  </si>
  <si>
    <t>IDM-1051</t>
  </si>
  <si>
    <t>Narmin Aliyeva, Yashar</t>
  </si>
  <si>
    <t>Əliyeva Nərmin Yaşar qızı</t>
  </si>
  <si>
    <t>6B8RPYP</t>
  </si>
  <si>
    <t>AA2488739</t>
  </si>
  <si>
    <t>+994502873353</t>
  </si>
  <si>
    <t>narmin.aliyeva@pashapay.az</t>
  </si>
  <si>
    <t xml:space="preserve">narminalieva2328@gmail.com </t>
  </si>
  <si>
    <t>Bakı şəh, Azadlıq prospekti 196/32, m.11</t>
  </si>
  <si>
    <t>IDM-1052</t>
  </si>
  <si>
    <t>Humay Mammadova, Arif</t>
  </si>
  <si>
    <t>Accounting department</t>
  </si>
  <si>
    <t>Mühasibatlıq departamenti</t>
  </si>
  <si>
    <t>Payroll division</t>
  </si>
  <si>
    <t>Əmək haqqı hesablanması şöbəsi</t>
  </si>
  <si>
    <t>Payroll Division Manager</t>
  </si>
  <si>
    <t>Əmək Haqqı Hesablanması Şöbəsinin Meneceri</t>
  </si>
  <si>
    <t>Adil Maharramov</t>
  </si>
  <si>
    <t>1WAXBTZ</t>
  </si>
  <si>
    <t>AZE07779899</t>
  </si>
  <si>
    <t>+994512770794</t>
  </si>
  <si>
    <t>humay.mammadova@pashapay.az</t>
  </si>
  <si>
    <t>AZƏRBAYCAN, BAKI, SALYAN YOLU DALAN 5, Ö/T52</t>
  </si>
  <si>
    <t>IDM-1053</t>
  </si>
  <si>
    <t>Emin Nasirov, Alihuseyn</t>
  </si>
  <si>
    <t>7X7VGYG</t>
  </si>
  <si>
    <t>AA3407773</t>
  </si>
  <si>
    <t>+994707253003</t>
  </si>
  <si>
    <t>XAÇMAZ RAYONU, YALAMA Ə/D, YALAMA KƏNDİ</t>
  </si>
  <si>
    <t>IDM-1054</t>
  </si>
  <si>
    <t>Yusif Aliyev, Neymat</t>
  </si>
  <si>
    <t>Əliyev Yusif Neymət oğlu</t>
  </si>
  <si>
    <t>7QESBWE</t>
  </si>
  <si>
    <t>AA6796772</t>
  </si>
  <si>
    <t>+994102121039</t>
  </si>
  <si>
    <t>yusif.aliyev@pashapay.az</t>
  </si>
  <si>
    <t>Qubadlı ray., Xacik kəndi</t>
  </si>
  <si>
    <t>Sumqayıt şəh., 9mkr., ev.9-d, m-15</t>
  </si>
  <si>
    <t>IDM-1055</t>
  </si>
  <si>
    <t>Farid Gasimli, Vugar</t>
  </si>
  <si>
    <t>7XBD3H5</t>
  </si>
  <si>
    <t>AA2328270</t>
  </si>
  <si>
    <t>+994702352004</t>
  </si>
  <si>
    <t>Tovuz şəh., Cəlilli kəndi</t>
  </si>
  <si>
    <t>IDM-1056</t>
  </si>
  <si>
    <t>Anvar Ahmadov, Murad</t>
  </si>
  <si>
    <t>7CX7ZDW</t>
  </si>
  <si>
    <t>AB0679140</t>
  </si>
  <si>
    <t>+994516097737</t>
  </si>
  <si>
    <t>IDM-1057</t>
  </si>
  <si>
    <t>Elnura Jabiyeva, Mugabil</t>
  </si>
  <si>
    <t>Cəbiyeva Elnurə Müqabil qızı</t>
  </si>
  <si>
    <t>2KLNEC5</t>
  </si>
  <si>
    <t>AA5076435</t>
  </si>
  <si>
    <t>+994504283005</t>
  </si>
  <si>
    <t>elnura.jabiyeva@pashapay.az</t>
  </si>
  <si>
    <t>Bakı şəh., Suraxanı ray., Hövsan qəs., Qələbə küç., bina 10, ev.4</t>
  </si>
  <si>
    <t>Bakı şəh., Yasamal ray., H.B.Zərdabi 104A, m.1</t>
  </si>
  <si>
    <t>IDM-1058</t>
  </si>
  <si>
    <t>Fatima Aslanlı, Tahir</t>
  </si>
  <si>
    <t>Aslanlı Fatimə Tahir qızı</t>
  </si>
  <si>
    <t>Leading specialist</t>
  </si>
  <si>
    <t>Gözəlova Səidə Adil qızı</t>
  </si>
  <si>
    <t>627W39E</t>
  </si>
  <si>
    <t>AA1425959</t>
  </si>
  <si>
    <t>+994516353010</t>
  </si>
  <si>
    <t>fatima.aslanli@pashapay.az</t>
  </si>
  <si>
    <t>Yeni Yasamal, Əhəd Əsədov 18</t>
  </si>
  <si>
    <t>IDM-1059</t>
  </si>
  <si>
    <t>Ravan Mammadov, Kamran</t>
  </si>
  <si>
    <t>İnkassasiya şöbəsi</t>
  </si>
  <si>
    <t>7YR1D1W</t>
  </si>
  <si>
    <t>AA1231060</t>
  </si>
  <si>
    <t>+994703370095</t>
  </si>
  <si>
    <t>Rəsul Rza 17</t>
  </si>
  <si>
    <t>Xaçmaz şəh., Turan küç</t>
  </si>
  <si>
    <t>IDM-1060</t>
  </si>
  <si>
    <t>Fuad Davudov Shahin</t>
  </si>
  <si>
    <t>5ZCM7H8</t>
  </si>
  <si>
    <t>AA0661444</t>
  </si>
  <si>
    <t>+994705593777</t>
  </si>
  <si>
    <t>Qax şəh., V. Eyvazov ev.17</t>
  </si>
  <si>
    <t>IDM-1061</t>
  </si>
  <si>
    <t>Agil Sultanov, Azer</t>
  </si>
  <si>
    <t>83QTN36</t>
  </si>
  <si>
    <t>AA2961577</t>
  </si>
  <si>
    <t>+994554902394</t>
  </si>
  <si>
    <t>Xaçmaz şəh., Hüseyn Cavid ev.17</t>
  </si>
  <si>
    <t>Xaçmaz şəh., Xüdəddin Şükürov ev.50</t>
  </si>
  <si>
    <t>IDM-1062</t>
  </si>
  <si>
    <t>Vusal Hajibayov, Isa</t>
  </si>
  <si>
    <t>5NGXJEC</t>
  </si>
  <si>
    <t>AA3397459</t>
  </si>
  <si>
    <t>+994773334414</t>
  </si>
  <si>
    <t>Xaçmaz ray., Aşağı Səyid kəndi</t>
  </si>
  <si>
    <t>Xaçmaz şəh., Səid Qurbanov.37, m. 7</t>
  </si>
  <si>
    <t>IDM-1063</t>
  </si>
  <si>
    <t>Saida Gozalova, Adil </t>
  </si>
  <si>
    <t>61BAEQ6</t>
  </si>
  <si>
    <t>AA3495422</t>
  </si>
  <si>
    <t>+994502030420</t>
  </si>
  <si>
    <t>saida.gozalova@pashapay.az</t>
  </si>
  <si>
    <t>Səbail ray., Bül-bül pr.7, m.42</t>
  </si>
  <si>
    <t>Xətai ray., Sabit Orucov küç.13, m.181</t>
  </si>
  <si>
    <t>IDM-1064</t>
  </si>
  <si>
    <t>Rustam Rasulov, Vidadi</t>
  </si>
  <si>
    <t>Rəsulov Rüstəm Vidadi oğlu</t>
  </si>
  <si>
    <t xml:space="preserve">Kiçik Mütəxəssis </t>
  </si>
  <si>
    <t>16548C</t>
  </si>
  <si>
    <t>DYİ0051295</t>
  </si>
  <si>
    <t>+994508002160</t>
  </si>
  <si>
    <t>rustam.rasulov@pashapay.az</t>
  </si>
  <si>
    <t>Bakı şəh., Xətai ray., Məmmədov küç., giriş 309/49, m.2</t>
  </si>
  <si>
    <t>IDM-1065</t>
  </si>
  <si>
    <t xml:space="preserve">Rajbar Rzayev, Ikhtiyar </t>
  </si>
  <si>
    <t>Rzayev Rəcbər İxtiyar oğlu</t>
  </si>
  <si>
    <t>63R7H4Y</t>
  </si>
  <si>
    <t>AA4441587</t>
  </si>
  <si>
    <t>+994506339861</t>
  </si>
  <si>
    <t>rajbar.rzayev@pashapay.az</t>
  </si>
  <si>
    <t>Masallı ray., Xırmandalı kəndi</t>
  </si>
  <si>
    <t>Bakı şəh., Sabunçu dəmiryolu Vağzalının yanı M.6</t>
  </si>
  <si>
    <t>IDM-1066</t>
  </si>
  <si>
    <t>Maryam Yuzbashova, Zohrab</t>
  </si>
  <si>
    <t>Yüzbaşeva Məryəm Zöhrab qızı</t>
  </si>
  <si>
    <t>834G481</t>
  </si>
  <si>
    <t>AA3122004</t>
  </si>
  <si>
    <t>+994553216088</t>
  </si>
  <si>
    <t>maryam.yuzbasheva@pashapay.az</t>
  </si>
  <si>
    <t>Bakı şəh., Nəsimi ray., Nəsibbəy Yusifbəyli küç., ev.21</t>
  </si>
  <si>
    <t>Bakı şəh., Badamdar qəs., Seymur Məmmədov 13A</t>
  </si>
  <si>
    <t>IDM-1067</t>
  </si>
  <si>
    <t>Mantuga Akhundzade, Zaur</t>
  </si>
  <si>
    <t>Axundzadə Məntuqə Zaur qızı</t>
  </si>
  <si>
    <t>7JXFH7G</t>
  </si>
  <si>
    <t>AA3666984</t>
  </si>
  <si>
    <t>+994704951114</t>
  </si>
  <si>
    <t>mantuga.akhundzada@pashapay.az</t>
  </si>
  <si>
    <t>Bakı şəh., Nəsimi ray., Şamil Əzizbəyov 195</t>
  </si>
  <si>
    <t>IDM-1068</t>
  </si>
  <si>
    <t>Sevindik Hanfifali, Arzu</t>
  </si>
  <si>
    <t>Hənifəli Sevindik Arzu oğlu</t>
  </si>
  <si>
    <t>7STNLZW</t>
  </si>
  <si>
    <t>AA3211619</t>
  </si>
  <si>
    <t>+994505058655</t>
  </si>
  <si>
    <t>sevindik.hanifali@pashapay.az</t>
  </si>
  <si>
    <t>Abşeron ray.,  Mehdiabad qəs., Səməd Vurğun</t>
  </si>
  <si>
    <t>Abşeron ray.,  Mehdiabad qəs., Səməd Vurğun küçəsi</t>
  </si>
  <si>
    <t>IDM-1069</t>
  </si>
  <si>
    <t>Kamran Alasgarli, Boyukkishi</t>
  </si>
  <si>
    <t>Ələsgərli Kamran Böyükkişi oğlu</t>
  </si>
  <si>
    <t>3ZJJSZ4</t>
  </si>
  <si>
    <t>AA1754932</t>
  </si>
  <si>
    <t>+994504176595</t>
  </si>
  <si>
    <t>kamran.alasgarli@pashapay.az</t>
  </si>
  <si>
    <t>Bakı şəh., Nəsimi ray., 4 mkr., Mir Cəlal küç.,36</t>
  </si>
  <si>
    <t>IDM-1070</t>
  </si>
  <si>
    <t>Gurban Gurbanov, Amirkhan</t>
  </si>
  <si>
    <t>Qurbanov Qurban Əmirxan oğlu</t>
  </si>
  <si>
    <t>7E1T0WX</t>
  </si>
  <si>
    <t>AA5484285</t>
  </si>
  <si>
    <t>+994553889685</t>
  </si>
  <si>
    <t>qurban.qurbanov@pashapay.az</t>
  </si>
  <si>
    <t>Bakı şəh., Binəqədi ray., Mikail Ələkbərov dön.1</t>
  </si>
  <si>
    <t>Staff</t>
  </si>
  <si>
    <t>Grand Total</t>
  </si>
  <si>
    <t>Row Labels</t>
  </si>
  <si>
    <t>Vakant</t>
  </si>
  <si>
    <t>None structure</t>
  </si>
  <si>
    <t>HRBP</t>
  </si>
  <si>
    <t>Finance Business partner</t>
  </si>
  <si>
    <t>FP&amp;A Department</t>
  </si>
  <si>
    <t>Warehouseman</t>
  </si>
  <si>
    <t>Performance Lead</t>
  </si>
  <si>
    <t>Content Operations Division</t>
  </si>
  <si>
    <t>Returns division</t>
  </si>
  <si>
    <t>Warehousing division</t>
  </si>
  <si>
    <t>Infrastructure Technology Division</t>
  </si>
  <si>
    <t>HSE Division</t>
  </si>
  <si>
    <t>91 idi, 1 elave yazdiq-amma daxilden elemek lazimdi cavid m kurasyasindan tamilla x hell edecek, 1 əlavə aygün x ok Holdinq məsələsi</t>
  </si>
  <si>
    <t>relokasiyalar pashapay, 1 əlavə aylin 05.10.2026, 2 əlavə QA andersen aytan , +1 aylin kart mehsullari</t>
  </si>
  <si>
    <t xml:space="preserve"> 1 i Ödəniş biznesi müh İTBA verildi</t>
  </si>
  <si>
    <t>Kommersiya bloku</t>
  </si>
  <si>
    <t>Kommersiya blok/Elektronika sahəsi</t>
  </si>
  <si>
    <t>Kommersiya bloku/Gözəllik sahəsi</t>
  </si>
  <si>
    <t>Kommersiya bloku/Ev əşyaları sahəsi</t>
  </si>
  <si>
    <t>Kommersiya blok/Gündəlik təlabat üçün istehlak sahəsi</t>
  </si>
  <si>
    <t>Kommersiya bloku/Məzmun əməliyyatları şöbəsi</t>
  </si>
  <si>
    <t>Kommersiya bloku/Satışların təkmilləşdirilməsi departamenti</t>
  </si>
  <si>
    <t>İdarəetmə və rəhbərlik</t>
  </si>
  <si>
    <t>Təchizat Zənciri bloku</t>
  </si>
  <si>
    <t>Kütləvi sərhəd keçidi şöbəsi</t>
  </si>
  <si>
    <t>Məhsulun qaytarılması şöbəsi</t>
  </si>
  <si>
    <t>Texniki xidmət və inzibati təsərrüfat şöbəsi</t>
  </si>
  <si>
    <t>Texnologiya şöbəsi</t>
  </si>
  <si>
    <t>Təchizat zənciri bloku/Logistika əməliyyatları departamenti</t>
  </si>
  <si>
    <t>Təchizat Zənciri bloku/Logistika Məhsul departamenti</t>
  </si>
  <si>
    <t>Data və analitika departamenti</t>
  </si>
  <si>
    <t>İnkişaf qrupu</t>
  </si>
  <si>
    <t>Aİ və modelləşdirmə departamenti</t>
  </si>
  <si>
    <t>İnkişaf bloku</t>
  </si>
  <si>
    <t>Məhsul və Texnologiyalar bloku</t>
  </si>
  <si>
    <t>Məhsul və Texnologiyalar bloku/Mühəndislik departamenti</t>
  </si>
  <si>
    <t>Maliyyə bloku</t>
  </si>
  <si>
    <t>Maliyyə bloku/Hüquq, komplayens və sənədlərə nəzarət şöbəsi</t>
  </si>
  <si>
    <t>Maliyyə bloku/Satınalma və təchizat şöbəsi</t>
  </si>
  <si>
    <t>Maliyyə planlaması və analitika departamenti</t>
  </si>
  <si>
    <t>Maliyyə bloku/Maliyyə Xidmətləri və Ekosistem İnteqrasiyası bölməsi</t>
  </si>
  <si>
    <t>Maliyyə bloku/Maliyyə hesabatları və mühasibatlıq departamenti</t>
  </si>
  <si>
    <t>İnsanlar və korporativ mədəniyyət bloku</t>
  </si>
  <si>
    <t>Ümumi inzibati şöbəsi</t>
  </si>
  <si>
    <t>HR Biznes Tərəfdaşlığı şöbəsi</t>
  </si>
  <si>
    <t>İstedadların İdarə Edilməsi şöbəsi</t>
  </si>
  <si>
    <t>İşçi Performansının Təkmilləşdirilməsi Departamenti</t>
  </si>
  <si>
    <t>Müştəri xidməti və marketpleys əməliyyatları departamenti</t>
  </si>
  <si>
    <t>Layihələrin idarə edilməsi departamenti</t>
  </si>
  <si>
    <t>Sağlamlıq, əməyin təhlükəsizliyi və ətraf mühitin mühafizəsi şöbəsi</t>
  </si>
  <si>
    <t>Kommersiya bloku/Satıcı Məhsul departamenti</t>
  </si>
  <si>
    <t>İşçi sayı-əmək müqaviləsi</t>
  </si>
  <si>
    <t>Sahə adı</t>
  </si>
  <si>
    <t>Vakant sayı-əmək müqaviləsi</t>
  </si>
  <si>
    <t>İşçi sayı-xidməti müqavilə(expat)</t>
  </si>
  <si>
    <t>İşçi sayı-xidməti müqavilə(yerli)</t>
  </si>
  <si>
    <t>Vakant sayı-xidməti müqavilə(yerli)</t>
  </si>
  <si>
    <t>211 keçid, +3 pashapaydan</t>
  </si>
  <si>
    <t>1 i rəqəmsal dələduzluğa verildi</t>
  </si>
  <si>
    <t xml:space="preserve">1 i təhlükəsizlikdən </t>
  </si>
  <si>
    <t>Badge</t>
  </si>
  <si>
    <t>Employee (En)</t>
  </si>
  <si>
    <t>Employee (Az)</t>
  </si>
  <si>
    <t>Department (Az)</t>
  </si>
  <si>
    <t>Department (En)</t>
  </si>
  <si>
    <t>Division (En)</t>
  </si>
  <si>
    <t>Division (Az)</t>
  </si>
  <si>
    <t>Position (Az)</t>
  </si>
  <si>
    <t>Position (En)</t>
  </si>
  <si>
    <t>COM 2563</t>
  </si>
  <si>
    <t>Rzali Teymur</t>
  </si>
  <si>
    <t>Rzali Teymur Mahi̇r oğlu</t>
  </si>
  <si>
    <t>Data and analytics department</t>
  </si>
  <si>
    <t>Data Science CoE division</t>
  </si>
  <si>
    <t>Data elmi ekspert mərkəzi</t>
  </si>
  <si>
    <t>Data elmi üzrə mütəxəssis</t>
  </si>
  <si>
    <t>Data Scientist</t>
  </si>
  <si>
    <t>COM 2564</t>
  </si>
  <si>
    <t>Huseynov Ibrahim</t>
  </si>
  <si>
    <t>Hüseynov İbrahi̇m Kami̇l oğlu</t>
  </si>
  <si>
    <t>Data elmi üzrə kiçik mütəxəssis</t>
  </si>
  <si>
    <t>Junior Data Scientist</t>
  </si>
  <si>
    <t>COM 2565</t>
  </si>
  <si>
    <t>Samadov Nijat</t>
  </si>
  <si>
    <t>Səmədov Ni̇cat Asi̇m oğlu</t>
  </si>
  <si>
    <t>COM106</t>
  </si>
  <si>
    <t>Gadirli Nigar</t>
  </si>
  <si>
    <t>Qədi̇rli̇ Ni̇gar Əbdülrəhi̇m qızı</t>
  </si>
  <si>
    <t>Data analytics CoE division</t>
  </si>
  <si>
    <t>Data analitika ekspert mərkəzi</t>
  </si>
  <si>
    <t>Senior Data Analyst</t>
  </si>
  <si>
    <t>COM123</t>
  </si>
  <si>
    <t>Niftiyeva Amalya</t>
  </si>
  <si>
    <t>Ni̇fti̇yeva Amalya Ranti̇ks qızı</t>
  </si>
  <si>
    <t>Junior Data Analyst</t>
  </si>
  <si>
    <t>COM 416</t>
  </si>
  <si>
    <t>Abbasova Nazrin</t>
  </si>
  <si>
    <t>Abbasova Nəzrin Rövşən qızı</t>
  </si>
  <si>
    <t>Baş data analitik (middle)</t>
  </si>
  <si>
    <t>COM 451</t>
  </si>
  <si>
    <t>Mammadova Kamilla</t>
  </si>
  <si>
    <t>Məmmədova Kamilla Mehman qızı</t>
  </si>
  <si>
    <t>COM 1817</t>
  </si>
  <si>
    <t>Azizova Aigul</t>
  </si>
  <si>
    <t>COM 489</t>
  </si>
  <si>
    <t>Nadirov Aziz</t>
  </si>
  <si>
    <t>Nadi̇rov Əzi̇z Əhli̇qar oğlu</t>
  </si>
  <si>
    <t>Data elmi üzrə baş mütəxəssis</t>
  </si>
  <si>
    <t>Senior data scientist</t>
  </si>
  <si>
    <t>COM 2119</t>
  </si>
  <si>
    <t>Hasanli Ramil</t>
  </si>
  <si>
    <t>Həsənli̇ Rami̇l Əli̇ oğlu</t>
  </si>
  <si>
    <t>Data Analyst</t>
  </si>
  <si>
    <t>COM 1303</t>
  </si>
  <si>
    <t>Mehdi̇yeva Tughra</t>
  </si>
  <si>
    <t>Mehdi̇yeva Tuğra Fərhad qızı</t>
  </si>
  <si>
    <t>Data analitik (kiçik)</t>
  </si>
  <si>
    <t>Data analyst (junior)</t>
  </si>
  <si>
    <t>COM 1355/1</t>
  </si>
  <si>
    <t>Imamguli̇yev Pasha</t>
  </si>
  <si>
    <t>İmamquli̇yev Paşa Ari̇f oğlu</t>
  </si>
  <si>
    <t>COM 1503</t>
  </si>
  <si>
    <t>Vali̇yev Rashad</t>
  </si>
  <si>
    <t>Vəli̇yev Rəşad Teymur oğlu</t>
  </si>
  <si>
    <t>COM 1501</t>
  </si>
  <si>
    <t>Gasimov Yunis</t>
  </si>
  <si>
    <t>Qasımov Yunis Faiq oğlu</t>
  </si>
  <si>
    <t>Data analitika üzrə rəhbər</t>
  </si>
  <si>
    <t>Head of Data Analytics</t>
  </si>
  <si>
    <t>COM 2062</t>
  </si>
  <si>
    <t>Huseynli Rana</t>
  </si>
  <si>
    <t>Hüseynli̇ Rəna Anar qızı</t>
  </si>
  <si>
    <t>Data analitik (R.H.)</t>
  </si>
  <si>
    <t>COM 2076</t>
  </si>
  <si>
    <t>Allahyarova Hasan</t>
  </si>
  <si>
    <t>Allahyarov Həsən Di̇lavər oğlu</t>
  </si>
  <si>
    <t>Data analitik (A.H.)</t>
  </si>
  <si>
    <t>COM 2270</t>
  </si>
  <si>
    <t>Afandiyev Teymur</t>
  </si>
  <si>
    <t>Əfəndi̇yev Teymur Marat oğlu</t>
  </si>
  <si>
    <t>COM 2271</t>
  </si>
  <si>
    <t>Mammadzada Murad</t>
  </si>
  <si>
    <t>Məmmədzadə Murad Hamlet oğlu</t>
  </si>
  <si>
    <t>COM 2457</t>
  </si>
  <si>
    <t>Zeynal Odar</t>
  </si>
  <si>
    <t>Zeynal Odər Yavər oğlu</t>
  </si>
  <si>
    <t>Biznes analitikası üzrə funksional rəhbər</t>
  </si>
  <si>
    <t>Business Analyst Functional Lead</t>
  </si>
  <si>
    <t>COM 2536</t>
  </si>
  <si>
    <t>Mammadov Emin</t>
  </si>
  <si>
    <t>Məmmədov Emi̇n Ağaverdi̇ oğlu</t>
  </si>
  <si>
    <t>Executive Office department</t>
  </si>
  <si>
    <t>Executive division</t>
  </si>
  <si>
    <t>İdarəetmə və rəhbərlik şöbəsi</t>
  </si>
  <si>
    <t>Baş icraçı direktor</t>
  </si>
  <si>
    <t>Chief Executive Officer</t>
  </si>
  <si>
    <t>COM3</t>
  </si>
  <si>
    <t>Mammadov Zaur</t>
  </si>
  <si>
    <t>Məmmədov Zaur Elçin oğlu</t>
  </si>
  <si>
    <t>Growth block</t>
  </si>
  <si>
    <t>Buyer Experience Product Tribe/Post-Checkout  and Reviews team</t>
  </si>
  <si>
    <t>Alıcı Təcrübəsi Məhsul departamenti/Ödənişdən Sonrakı Proseslər və Rəylər bölməsi</t>
  </si>
  <si>
    <t>Məhsul meneceri</t>
  </si>
  <si>
    <t>Product manager</t>
  </si>
  <si>
    <t>COM 517</t>
  </si>
  <si>
    <t>Asadova Nargiz</t>
  </si>
  <si>
    <t>Əsədova Nərgi̇z Əfqan qızı</t>
  </si>
  <si>
    <t>Buyer Experience Product Tribe/Checkout Team</t>
  </si>
  <si>
    <t>Alıcı Təcrübəsi Məhsul departamenti/Ödəniş və Sifarişin Tamamlanması bölməsi</t>
  </si>
  <si>
    <t>COM 1779</t>
  </si>
  <si>
    <t>Sadykhova Aniia</t>
  </si>
  <si>
    <t>Growth Tribe</t>
  </si>
  <si>
    <t>Acquisition Squad</t>
  </si>
  <si>
    <t>Müştəri cəlbedilməsi bölməsi</t>
  </si>
  <si>
    <t>Rəqəmsal marketinq üzrə mütəxəssis</t>
  </si>
  <si>
    <t>COM 1923</t>
  </si>
  <si>
    <t>Gurbanova Aliya</t>
  </si>
  <si>
    <t>Qurbanova Ali̇yə Fuad qızı</t>
  </si>
  <si>
    <t>Engagement Squad</t>
  </si>
  <si>
    <t>İşçi bağlantısının artırılması bölməsi</t>
  </si>
  <si>
    <t>CRM üzrə mütəxəssis</t>
  </si>
  <si>
    <t>CRM Specialist</t>
  </si>
  <si>
    <t>COM 58</t>
  </si>
  <si>
    <t>Ahmadova Olga</t>
  </si>
  <si>
    <t>Əhmədova Olqa Vi̇ktorovna</t>
  </si>
  <si>
    <t>People and Culture block</t>
  </si>
  <si>
    <t>General division</t>
  </si>
  <si>
    <t>Cleaning/tea lady</t>
  </si>
  <si>
    <t>COM 574</t>
  </si>
  <si>
    <t>Baghirov Asi̇f</t>
  </si>
  <si>
    <t>Bağirov Asi̇f İlqar oğlu</t>
  </si>
  <si>
    <t>Talent division</t>
  </si>
  <si>
    <t>İşə qəbul üzrə baş mütəxəssis</t>
  </si>
  <si>
    <t>Senior Recruiter</t>
  </si>
  <si>
    <t>COM 604</t>
  </si>
  <si>
    <t>Abbasova Emi̇lya</t>
  </si>
  <si>
    <t>Abbasova Emi̇lya Adi̇l qızı</t>
  </si>
  <si>
    <t>Çayçı</t>
  </si>
  <si>
    <t>Tea Lady</t>
  </si>
  <si>
    <t>COM 1035</t>
  </si>
  <si>
    <t>Ibrahimova Sevinj</t>
  </si>
  <si>
    <t>İbrahi̇mova Sevi̇nc Fazi̇l qızı</t>
  </si>
  <si>
    <t>HR Busines Partnership division</t>
  </si>
  <si>
    <t>İnsanlar və korporativ mədəniyyət üzrə biznes tərəfdaş</t>
  </si>
  <si>
    <t>People &amp; Culture Business Partner</t>
  </si>
  <si>
    <t>COM 1086</t>
  </si>
  <si>
    <t>Rzayev Jamaladdi̇n</t>
  </si>
  <si>
    <t>Rzayev Camaləddi̇n Elxan oğlu</t>
  </si>
  <si>
    <t>COM 1715</t>
  </si>
  <si>
    <t>Mammadova Lachin</t>
  </si>
  <si>
    <t>Məmmədova Laçin Səyyaf qızı</t>
  </si>
  <si>
    <t>COM 2558</t>
  </si>
  <si>
    <t>Ali̇zada Nazri̇n</t>
  </si>
  <si>
    <t>Əli̇zadə Nəzri̇n Cavi̇d qızı</t>
  </si>
  <si>
    <t>İnsan Resursları üzrə mütəxəssis (N.A)</t>
  </si>
  <si>
    <t>People &amp; Culture Specialist</t>
  </si>
  <si>
    <t>COM 1942</t>
  </si>
  <si>
    <t>Aliyev Vilayat</t>
  </si>
  <si>
    <t>Əli̇yev Vilayət Afəri̇n oğlu</t>
  </si>
  <si>
    <t>İşə qəbul üzrə mütəxəssis</t>
  </si>
  <si>
    <t>Recruiter</t>
  </si>
  <si>
    <t>COM 1946</t>
  </si>
  <si>
    <t>Eyyubova Zuleykha</t>
  </si>
  <si>
    <t>Eyyubova Züleyxa Seymur qızı</t>
  </si>
  <si>
    <t>COM 2485</t>
  </si>
  <si>
    <t>Mehtiyeva Dilshad</t>
  </si>
  <si>
    <t>Mehti̇yeva Di̇lşad Şahlar qızı</t>
  </si>
  <si>
    <t>COM 2548</t>
  </si>
  <si>
    <t>Huseynova Lala</t>
  </si>
  <si>
    <t>Hüseynova Lalə Nazim qızı</t>
  </si>
  <si>
    <t>Baş icraçı direktorun köməkçisi</t>
  </si>
  <si>
    <t>CEO Assistant</t>
  </si>
  <si>
    <t>COM 2569</t>
  </si>
  <si>
    <t>Agharahimova Naila</t>
  </si>
  <si>
    <t>Ağarəhimova Nailə İlyasovna</t>
  </si>
  <si>
    <t>Performance Excellence department</t>
  </si>
  <si>
    <t>İşçi performansının təkmilləşdirilməsi üzrə baş mütəxəssis</t>
  </si>
  <si>
    <t>COM 2486</t>
  </si>
  <si>
    <t>Mardanova Samaya</t>
  </si>
  <si>
    <t>Mərdanova Səmayə Əli̇hüseyn qızı</t>
  </si>
  <si>
    <t>COM 2560</t>
  </si>
  <si>
    <t>Alasgarli Aysel</t>
  </si>
  <si>
    <t>Ələsgərli̇ Aysel Bəxti̇yar qızı</t>
  </si>
  <si>
    <t>Commercial block/Electronics vertical</t>
  </si>
  <si>
    <t>Kateqoriya üzrə direktor</t>
  </si>
  <si>
    <t>Category General Manager</t>
  </si>
  <si>
    <t>COM 680</t>
  </si>
  <si>
    <t>Aghayev Mammadagha</t>
  </si>
  <si>
    <t>Ağayev Məmmədağa Asəf oğlu</t>
  </si>
  <si>
    <t>Satınalma üzrə mütəxəssis</t>
  </si>
  <si>
    <t>Purchasing specialist</t>
  </si>
  <si>
    <t>COM 158</t>
  </si>
  <si>
    <t>Mehtizada Rufat</t>
  </si>
  <si>
    <t>Mehti̇zadə Rüfət İsmayil oğlu</t>
  </si>
  <si>
    <t>COM 441</t>
  </si>
  <si>
    <t>Ismayilzada Toghrul</t>
  </si>
  <si>
    <t>İsmayilzadə Toğrul Zaur oğlu</t>
  </si>
  <si>
    <t>Biznesin inkişafı üzrə menecer</t>
  </si>
  <si>
    <t>Business development manager</t>
  </si>
  <si>
    <t>COM 676</t>
  </si>
  <si>
    <t>Ali̇zada Sabi̇na</t>
  </si>
  <si>
    <t>Əli̇zadə Səbi̇nə Nəri̇man qızı</t>
  </si>
  <si>
    <t>COM 961</t>
  </si>
  <si>
    <t>Ayyubov Sarkhan</t>
  </si>
  <si>
    <t>Əyyubov Sərxan Pərvi̇z oğlu</t>
  </si>
  <si>
    <t>Kateqoriya meneceri</t>
  </si>
  <si>
    <t>Category Manager</t>
  </si>
  <si>
    <t>COM 1379</t>
  </si>
  <si>
    <t>Kurbanov Zaur</t>
  </si>
  <si>
    <t>COM 1757</t>
  </si>
  <si>
    <t>Dzhafarov Akhmed</t>
  </si>
  <si>
    <t>COM 1980</t>
  </si>
  <si>
    <t>Taghiyev İsrafi̇l</t>
  </si>
  <si>
    <t>Tağiyev İsrafi̇l Elçi̇n oğlu</t>
  </si>
  <si>
    <t>COM 2042</t>
  </si>
  <si>
    <t>Mihraliyev Rahim</t>
  </si>
  <si>
    <t>Mi̇hrəli̇yev Rəhi̇m Gülmetovi̇ç</t>
  </si>
  <si>
    <t>COM 2052</t>
  </si>
  <si>
    <t>Rahimov Emil</t>
  </si>
  <si>
    <t>Rəhi̇mov Emi̇l Elxan oğlu</t>
  </si>
  <si>
    <t>Commercial block/FMCG vertical</t>
  </si>
  <si>
    <t>Kommersiya blok/Gündəlik təlabat üçün istehlas sahəsi</t>
  </si>
  <si>
    <t>COM 621</t>
  </si>
  <si>
    <t>Shahmi̇rova Zuleykha</t>
  </si>
  <si>
    <t>Şahmi̇rova Züleyxa Vüqar qızı</t>
  </si>
  <si>
    <t>COM 1268</t>
  </si>
  <si>
    <t>Rasulov Fai̇g</t>
  </si>
  <si>
    <t>Rəsulov Fai̇q Elşad oğlu</t>
  </si>
  <si>
    <t>COM 1306</t>
  </si>
  <si>
    <t>İsmayilova Kamala</t>
  </si>
  <si>
    <t>İsmayılova Kəmalə Məmməd qızı</t>
  </si>
  <si>
    <t>COM 2036</t>
  </si>
  <si>
    <t>Talibov Parviz</t>
  </si>
  <si>
    <t>Talıbov Pərviz İlqar oğlu</t>
  </si>
  <si>
    <t>COM 2051</t>
  </si>
  <si>
    <t>Baumvolf Alina</t>
  </si>
  <si>
    <t>Baumvolf Ali̇na Hacibaba qızı</t>
  </si>
  <si>
    <t>COM 2092</t>
  </si>
  <si>
    <t>Maharramli Elkhan</t>
  </si>
  <si>
    <t>Məhərrəmli̇ Elxan Məmmədrahi̇m oğlu</t>
  </si>
  <si>
    <t>COM 2131</t>
  </si>
  <si>
    <t>Ismailova Ferida</t>
  </si>
  <si>
    <t>COM 2488</t>
  </si>
  <si>
    <t>Naima Ayyubova</t>
  </si>
  <si>
    <t>Əyyubova Nai̇mə Yaşar qızı</t>
  </si>
  <si>
    <t>Commercial block</t>
  </si>
  <si>
    <t>Marketpleysın genişləndirilməsi üzrə şöbə rəhbəri</t>
  </si>
  <si>
    <t>Marketplace Expansion Head</t>
  </si>
  <si>
    <t>COM 660</t>
  </si>
  <si>
    <t>Ali̇yeva Aytan</t>
  </si>
  <si>
    <t>Əli̇yeva Aytən Əli̇ qızı</t>
  </si>
  <si>
    <t>Commercial block/Home goods vertical</t>
  </si>
  <si>
    <t>COM 1996</t>
  </si>
  <si>
    <t>Rustamli̇ Javi̇d</t>
  </si>
  <si>
    <t>Rüstəmli̇ Cavi̇d Adi̇l oğlu</t>
  </si>
  <si>
    <t>COM 2040</t>
  </si>
  <si>
    <t>Shafizada Ulvi</t>
  </si>
  <si>
    <t>Şəfi̇zadə Ülvi̇ Elçi̇n oğlu</t>
  </si>
  <si>
    <t>COM 2053</t>
  </si>
  <si>
    <t>Hasanov Rashid</t>
  </si>
  <si>
    <t>Həsənov Rəşi̇d Vaqi̇f oğlu</t>
  </si>
  <si>
    <t>COM 2061</t>
  </si>
  <si>
    <t>Shikhzadayev Zamir</t>
  </si>
  <si>
    <t>Şi̇xzadayev Zami̇r Rahi̇b oğlu</t>
  </si>
  <si>
    <t>COM 2064</t>
  </si>
  <si>
    <t>Amrahov Nijat</t>
  </si>
  <si>
    <t>Əmrahov Ni̇cat Fai̇q oğlu</t>
  </si>
  <si>
    <t>COM 2080</t>
  </si>
  <si>
    <t>Senatorov Vitalii</t>
  </si>
  <si>
    <t>COM 2454</t>
  </si>
  <si>
    <t>Kamilla Safaraliyeva</t>
  </si>
  <si>
    <t>Səfərəli̇yeva Kami̇lla Əli̇yevna</t>
  </si>
  <si>
    <t>COM 339</t>
  </si>
  <si>
    <t>Ali̇yeva Fi̇dan</t>
  </si>
  <si>
    <t>Əli̇yeva Fi̇dan Emi̇l qızı</t>
  </si>
  <si>
    <t>Commercial Block/Beauty</t>
  </si>
  <si>
    <t>COM 1989</t>
  </si>
  <si>
    <t>Ali̇yeva Gunel</t>
  </si>
  <si>
    <t>Əli̇yeva Günel Fərhad qızı</t>
  </si>
  <si>
    <t>COM 374</t>
  </si>
  <si>
    <t>Israfi̇lova Elnaz</t>
  </si>
  <si>
    <t>İsrafi̇lova Elnaz Bəhram qızı</t>
  </si>
  <si>
    <t>COM 724</t>
  </si>
  <si>
    <t>Akbarova Zibeyda</t>
  </si>
  <si>
    <t>Əkbərova Zibeydə Rəfail qızı</t>
  </si>
  <si>
    <t>COM 916</t>
  </si>
  <si>
    <t>Belinska Nabok Anastasiia</t>
  </si>
  <si>
    <t>COM 2075</t>
  </si>
  <si>
    <t>Mustafayeva Maryam</t>
  </si>
  <si>
    <t>Mustafayeva Məryam Çi̇ngi̇z qızı</t>
  </si>
  <si>
    <t>COM208</t>
  </si>
  <si>
    <t>Hagverdiyeva Ulviyya</t>
  </si>
  <si>
    <t>Haqverdiyeva Ülvi̇yyə Hafi̇z qızı</t>
  </si>
  <si>
    <t>Commercial block/Content Operations Division</t>
  </si>
  <si>
    <t>Məzmun əməliyyatları şöbəsi</t>
  </si>
  <si>
    <t>Məzmun əməliyyatları şöbəsinin rəhbəri</t>
  </si>
  <si>
    <t>Content Operations Division Head</t>
  </si>
  <si>
    <t>COM209</t>
  </si>
  <si>
    <t>Babayev Zaki</t>
  </si>
  <si>
    <t>Babayev Zəki̇ Fai̇q oğlu</t>
  </si>
  <si>
    <t>Content Operations Division/Moderation Team</t>
  </si>
  <si>
    <t>Məzmun əməliyyatları şöbəsi/Moderasiya bölməsi</t>
  </si>
  <si>
    <t>Moderator</t>
  </si>
  <si>
    <t>COM210</t>
  </si>
  <si>
    <t>Jafarli Sabi̇na</t>
  </si>
  <si>
    <t>Cəfərli Səbi̇nə Rafi̇q qızı</t>
  </si>
  <si>
    <t>Content Operations Division/Content Team</t>
  </si>
  <si>
    <t>Məzmun əməliyyatları şöbəsi/Kontent bölməsi</t>
  </si>
  <si>
    <t>Kontent Redaktor</t>
  </si>
  <si>
    <t>Content Redactor</t>
  </si>
  <si>
    <t>COM223</t>
  </si>
  <si>
    <t>Suleymanov Telman</t>
  </si>
  <si>
    <t>Süleymanov Telman Tofi̇q oğlu</t>
  </si>
  <si>
    <t>Kontent Agent</t>
  </si>
  <si>
    <t>Content Agent</t>
  </si>
  <si>
    <t>COM255</t>
  </si>
  <si>
    <t>Alibalayev Sultan</t>
  </si>
  <si>
    <t>Əlibalayev Sultan İlqar oğlu</t>
  </si>
  <si>
    <t>Content Editor</t>
  </si>
  <si>
    <t>COM256</t>
  </si>
  <si>
    <t>Aliyeva Nigar</t>
  </si>
  <si>
    <t>Əliyeva Nigar Elşən qızı</t>
  </si>
  <si>
    <t>COM 362</t>
  </si>
  <si>
    <t>Rustamova Khurshud</t>
  </si>
  <si>
    <t>Moderasiya bölməsinin rəhbəri</t>
  </si>
  <si>
    <t>Moderation Team Lead</t>
  </si>
  <si>
    <t>COM 10</t>
  </si>
  <si>
    <t>Piriyeva Natalya</t>
  </si>
  <si>
    <t>Piriyeva Natalya Gennadyevna</t>
  </si>
  <si>
    <t>COM 11</t>
  </si>
  <si>
    <t>Ismayilova Yeman</t>
  </si>
  <si>
    <t>İsmayilova Yemən Cavanşi̇r qızı</t>
  </si>
  <si>
    <t>COM 22</t>
  </si>
  <si>
    <t>Iskandarzada Fari̇d</t>
  </si>
  <si>
    <t>İskəndərzadə Fəri̇d Fai̇q oğlu</t>
  </si>
  <si>
    <t>COM 23</t>
  </si>
  <si>
    <t>Imanli Nuray</t>
  </si>
  <si>
    <t>İmanli Nuray Xali̇q qızı</t>
  </si>
  <si>
    <t>COM 2161</t>
  </si>
  <si>
    <t>Babayev Eldar</t>
  </si>
  <si>
    <t>Babayev Eldar Rasi̇m oğlu</t>
  </si>
  <si>
    <t>COM 89</t>
  </si>
  <si>
    <t>Mammadova Ulkar</t>
  </si>
  <si>
    <t>Məmmədova Ülkər Eldar qızı</t>
  </si>
  <si>
    <t>COM 110</t>
  </si>
  <si>
    <t>Sadi̇gi̇ Sabi̇na</t>
  </si>
  <si>
    <t>Sadi̇qi̇ Səbi̇nə Sami̇r qızı</t>
  </si>
  <si>
    <t>Fotoqraf</t>
  </si>
  <si>
    <t>Photographer</t>
  </si>
  <si>
    <t>COM 135</t>
  </si>
  <si>
    <t>Mahmudov Ruslan</t>
  </si>
  <si>
    <t>Mahmudov Ruslan Oleqovi̇ç</t>
  </si>
  <si>
    <t>COM 150</t>
  </si>
  <si>
    <t>Akhundova Asiyat</t>
  </si>
  <si>
    <t>Axundova Asi̇yət Mali̇k qızı</t>
  </si>
  <si>
    <t>COM 221</t>
  </si>
  <si>
    <t>Sadigzada Vali̇da</t>
  </si>
  <si>
    <t>Sadiqzadə Vali̇də Aydin qızı</t>
  </si>
  <si>
    <t>COM 231</t>
  </si>
  <si>
    <t>Batkayeva Sabina</t>
  </si>
  <si>
    <t>Batkayeva Səbinə Fazil qızı</t>
  </si>
  <si>
    <t>COM 331</t>
  </si>
  <si>
    <t>Pavlunina Valeri̇ya</t>
  </si>
  <si>
    <t>Pavlunina Valeri̇ya Serqeyevna</t>
  </si>
  <si>
    <t>COM 348</t>
  </si>
  <si>
    <t>Sali̇mova Maya</t>
  </si>
  <si>
    <t>Səli̇mova Maya Vaqi̇f qızı</t>
  </si>
  <si>
    <t>COM 355</t>
  </si>
  <si>
    <t>Iskandarova Kamala</t>
  </si>
  <si>
    <t>İskəndərova Kəmalə İlqar qızı</t>
  </si>
  <si>
    <t>COM 381</t>
  </si>
  <si>
    <t>Sadikhova Gamar</t>
  </si>
  <si>
    <t>Sadixova Qəmər Ari̇f qızı</t>
  </si>
  <si>
    <t>COM 446</t>
  </si>
  <si>
    <t>Aghayeva Khadi̇ja</t>
  </si>
  <si>
    <t>Ağayeva Xədi̇cə İlqar qızı</t>
  </si>
  <si>
    <t>Kontent tərcüməçi</t>
  </si>
  <si>
    <t>Content translator</t>
  </si>
  <si>
    <t>COM 531</t>
  </si>
  <si>
    <t>Guluzada Mi̇rhasan</t>
  </si>
  <si>
    <t>Quluzadə Mi̇rhəsən Müşfi̇q oğlu</t>
  </si>
  <si>
    <t>COM 563</t>
  </si>
  <si>
    <t>Guli̇yeva Sevi̇l</t>
  </si>
  <si>
    <t>Quli̇yeva Sevi̇l Adi̇l qızı</t>
  </si>
  <si>
    <t>COM 632</t>
  </si>
  <si>
    <t>Baghirova Sabi̇na</t>
  </si>
  <si>
    <t>Bağirova Səbi̇nə Həşi̇m qızı</t>
  </si>
  <si>
    <t>COM 2452</t>
  </si>
  <si>
    <t>Huseynova Leyla</t>
  </si>
  <si>
    <t>Hüseynova Leyla İlham qızı</t>
  </si>
  <si>
    <t>COM 682</t>
  </si>
  <si>
    <t>Feli̇mazova Leyla</t>
  </si>
  <si>
    <t>Feli̇mazova Leyla İlqar qızı</t>
  </si>
  <si>
    <t>COM 709</t>
  </si>
  <si>
    <t>Mustafayev Teymur</t>
  </si>
  <si>
    <t>Mustafayev Teymur Ruslan oğlu</t>
  </si>
  <si>
    <t>COM 735</t>
  </si>
  <si>
    <t>Orujova Nazira</t>
  </si>
  <si>
    <t>Orucova Nəzirə Azad qızı</t>
  </si>
  <si>
    <t>COM 744</t>
  </si>
  <si>
    <t>Babayeva Mi̇lana</t>
  </si>
  <si>
    <t>Babayeva Mi̇lana Rəfi̇ qızı</t>
  </si>
  <si>
    <t>COM 745</t>
  </si>
  <si>
    <t>Guzel İri̇na</t>
  </si>
  <si>
    <t>Güzel İri̇na Sergeyevna</t>
  </si>
  <si>
    <t>COM 755</t>
  </si>
  <si>
    <t>Allahverdiyeva Aydan</t>
  </si>
  <si>
    <t>Allahverdi̇yeva Aydan Hacı qızı</t>
  </si>
  <si>
    <t>COM 762</t>
  </si>
  <si>
    <t>Yusifova Sabina</t>
  </si>
  <si>
    <t>Yusi̇fova Səbi̇nə İbi̇şevna</t>
  </si>
  <si>
    <t>COM 792</t>
  </si>
  <si>
    <t>Allahverdi̇yeva Gulnara</t>
  </si>
  <si>
    <t>Allahverdi̇yeva Gülnarə Fazi̇l qızı</t>
  </si>
  <si>
    <t>COM 834</t>
  </si>
  <si>
    <t>Hatamzada Natalya</t>
  </si>
  <si>
    <t>Hətəmzadə Natalya Sergeyevna</t>
  </si>
  <si>
    <t>Aliyeva Sabina</t>
  </si>
  <si>
    <t>COM 1554</t>
  </si>
  <si>
    <t>Guluzada Nihan</t>
  </si>
  <si>
    <t>Quluzadə Nihan Ülvi qızı</t>
  </si>
  <si>
    <t>COM02</t>
  </si>
  <si>
    <t>Aghayev Mazahi̇r</t>
  </si>
  <si>
    <t>Ağayev Məzahi̇r Vüqar oğlu</t>
  </si>
  <si>
    <t>Commercial block/Seller Product department</t>
  </si>
  <si>
    <t>Seller Product Department/Billing team</t>
  </si>
  <si>
    <t>Satıcı Məhsul departamenti/Hesablaşmalar bölməsi</t>
  </si>
  <si>
    <t>COM 2483</t>
  </si>
  <si>
    <t>Sidorova Aleksandra</t>
  </si>
  <si>
    <t>Si̇dorova Aleksandra Vadi̇movna</t>
  </si>
  <si>
    <t>Seller Product Department/Personal Account of Merchant team</t>
  </si>
  <si>
    <t>Satıcı Məhsul departamenti/Satıcının Şəxsi Hesabı bölməsi</t>
  </si>
  <si>
    <t>Layihə üzrə rəhbər</t>
  </si>
  <si>
    <t>Product Manager</t>
  </si>
  <si>
    <t>COM 2484</t>
  </si>
  <si>
    <t>Musayeva Hamida</t>
  </si>
  <si>
    <t>Musayeva Həmi̇də Müzəffər qızı</t>
  </si>
  <si>
    <t>Seller Product department</t>
  </si>
  <si>
    <t>Satıcı Məhsul departamenti</t>
  </si>
  <si>
    <t>Məhsul üzrə sahə rəhbəri</t>
  </si>
  <si>
    <t>COM 2570</t>
  </si>
  <si>
    <t>Dunyamaliyev Nazim</t>
  </si>
  <si>
    <t>Dünyamalıyev Nazim Samir oğlu</t>
  </si>
  <si>
    <t>Commercial block/Seller Excellence Department</t>
  </si>
  <si>
    <t>Merchant Support and Operation division/Operational support team</t>
  </si>
  <si>
    <t>Tərəfdaş əməliyyatları və dəstək şöbəsi/Əməliyyat dəstəyi bölməsi</t>
  </si>
  <si>
    <t>Əməliyyat Dəstəyi üzrə Mütəxəssis</t>
  </si>
  <si>
    <t>Operations Support Specialist</t>
  </si>
  <si>
    <t>COM218</t>
  </si>
  <si>
    <t>Ali̇ Hasan</t>
  </si>
  <si>
    <t>Əli̇ Həsən İslam oğlu</t>
  </si>
  <si>
    <t>Seller Excellence Department/Seller Aquisition Team</t>
  </si>
  <si>
    <t>Satışların təkmilləşdirilməsi departamenti/Satıcı tərəfdaşların cəlbedilməsi bölməsi</t>
  </si>
  <si>
    <t>Satıcı tərəfdaşların cəlbedilməsi bölməsinin rəhbəri</t>
  </si>
  <si>
    <t>Seller Acquisition Team Lead</t>
  </si>
  <si>
    <t>COM253</t>
  </si>
  <si>
    <t>Aliyev Ughurlu</t>
  </si>
  <si>
    <t>Alıyev Uğurlu Qurban oğlu</t>
  </si>
  <si>
    <t>Merchant Support and Operation division</t>
  </si>
  <si>
    <t>Tərəfdaş Əməliyyatları və Dəstək şöbəsi</t>
  </si>
  <si>
    <t>Tərəfdaş Əməliyyatları və Dəstək şöbəsinin Rəhbəri</t>
  </si>
  <si>
    <t>Head of Merchant Support and Operations Division</t>
  </si>
  <si>
    <t>COM 155</t>
  </si>
  <si>
    <t>Kazimov Seyidaga</t>
  </si>
  <si>
    <t>Kazimov Seyi̇dağa Elşən oğlu</t>
  </si>
  <si>
    <t>Merchant Support and Operation division/Legal and Financial Support team</t>
  </si>
  <si>
    <t>Tərəfdaş əməliyyatları və dəstək şöbəsi/Hüquqi və maliyyə dəstəyi bölməsi</t>
  </si>
  <si>
    <t>Hüquqi və Maliyyə Dəstəyi bölməsinin Rəhbəri</t>
  </si>
  <si>
    <t>Legal and Financial Support Team Lead</t>
  </si>
  <si>
    <t>COM 187</t>
  </si>
  <si>
    <t>Mammadov Vugar</t>
  </si>
  <si>
    <t>Məmmədov Vüqar Aki̇f oğlu</t>
  </si>
  <si>
    <t>Merchant Support and Operation division/Technical Support team</t>
  </si>
  <si>
    <t>Tərəfdaş əməliyyatları və dəstək şöbəsi/Texniki dəstək bölməsi</t>
  </si>
  <si>
    <t>Texniki Dəstək bölməsinin Rəhbəri</t>
  </si>
  <si>
    <t>COM 2520</t>
  </si>
  <si>
    <t>Heydarov Rauf</t>
  </si>
  <si>
    <t>Heydərov Rauf Rafi̇q oğlu</t>
  </si>
  <si>
    <t>Seller Excellence Department/Seller Community Team</t>
  </si>
  <si>
    <t>Satışların təkmilləşdirilməsi departameti/Satıcı icması bölməsi</t>
  </si>
  <si>
    <t>Satıcı icması bölməsinin rəhbəri</t>
  </si>
  <si>
    <t>Seller Community Team Lead</t>
  </si>
  <si>
    <t>COM 367</t>
  </si>
  <si>
    <t>Habi̇bli̇ Murad</t>
  </si>
  <si>
    <t>Həbi̇bli̇ Murad Zaur oğlu</t>
  </si>
  <si>
    <t>Seller Excellence Department/Seller Integration &amp; Onboarding Team</t>
  </si>
  <si>
    <t>Satışların təkmilləşdirilməsi departamenti/Satıcı tərəfdaşların inteqrasiyası və qoşulması bölməsi</t>
  </si>
  <si>
    <t>Satıcı tərəfdaşların inteqrasiyası və qoşulması üzrə mütəxəssis</t>
  </si>
  <si>
    <t>Seller Integration &amp; Onboarding Specialist</t>
  </si>
  <si>
    <t>COM 418</t>
  </si>
  <si>
    <t>Imanov Kamran</t>
  </si>
  <si>
    <t>İmanov Kamran Kamandar oğlu</t>
  </si>
  <si>
    <t>Əməliyyat Dəstəyi bölməsinin Rəhbəri</t>
  </si>
  <si>
    <t>Operational Support Team Lead</t>
  </si>
  <si>
    <t>COM 613</t>
  </si>
  <si>
    <t>Mi̇rsali̇mov Mi̇rsadikh</t>
  </si>
  <si>
    <t>Mi̇rsəli̇mov Mi̇rsadix Eldar oğlu</t>
  </si>
  <si>
    <t>Satıcı tərəfdaşların inteqrasiyası və qoşulması bölməsinin rəhbəri</t>
  </si>
  <si>
    <t>Seller Integration &amp; Onboarding Team Lead</t>
  </si>
  <si>
    <t>COM 679/1</t>
  </si>
  <si>
    <t>İslamov İsmayil</t>
  </si>
  <si>
    <t>İslamov İsmayil Kamran oğlu</t>
  </si>
  <si>
    <t>COM 712</t>
  </si>
  <si>
    <t>Davudov Kamran</t>
  </si>
  <si>
    <t>Davudov Kamran Akif oğlu</t>
  </si>
  <si>
    <t>Seller Excellence Department/Offline Price Monitoring Team</t>
  </si>
  <si>
    <t>Satışların təkmilləşdirilməsi departameti/Oflayn qiymət monitorinq bölməsi</t>
  </si>
  <si>
    <t>Oflayn qiymət monitorinq bölməsinin rəhbəri</t>
  </si>
  <si>
    <t>Offline Price Monitoring Team Lead</t>
  </si>
  <si>
    <t>COM 788</t>
  </si>
  <si>
    <t>Zalova Sevda</t>
  </si>
  <si>
    <t>Zalova Sevda Əkrəmovna</t>
  </si>
  <si>
    <t>COM 1147</t>
  </si>
  <si>
    <t>Pashayev Tural</t>
  </si>
  <si>
    <t>Paşayev Tural Fəxrəddi̇n oğlu</t>
  </si>
  <si>
    <t>Əməliyyat Dəstəyi üzrə Baş Mütəxəssis</t>
  </si>
  <si>
    <t>Operations Support Senior Specialist</t>
  </si>
  <si>
    <t>COM 1204</t>
  </si>
  <si>
    <t>Azi̇mova Zarkhanim</t>
  </si>
  <si>
    <t>Əzi̇mova Zərxanim Nəri̇man qızı</t>
  </si>
  <si>
    <t>COM 1209</t>
  </si>
  <si>
    <t>Guli̇yev Najmaddi̇n</t>
  </si>
  <si>
    <t>Quli̇yev Nəcməddi̇n Murad oğlu</t>
  </si>
  <si>
    <t>COM 1360</t>
  </si>
  <si>
    <t>Nuriyeva Elvira</t>
  </si>
  <si>
    <t>Nuriyeva Elvi̇ra Qaraş qızı</t>
  </si>
  <si>
    <t>COM 1391</t>
  </si>
  <si>
    <t>Akhverdiev Temur</t>
  </si>
  <si>
    <t>Texniki dəstək eksperti</t>
  </si>
  <si>
    <t>Technical Support Expert</t>
  </si>
  <si>
    <t>COM 1425</t>
  </si>
  <si>
    <t>Huseynova Mehri̇ban</t>
  </si>
  <si>
    <t>Hüseynova Mehri̇ban Maşallah qızı</t>
  </si>
  <si>
    <t>Satıcı tərəfdaşların inteqrasiyası və qoşulması üzrə baş mütəxəssis</t>
  </si>
  <si>
    <t>Senior Seller Integration &amp; Onboarding Specialist</t>
  </si>
  <si>
    <t>COM 1464</t>
  </si>
  <si>
    <t>Hami̇dov Aghasi</t>
  </si>
  <si>
    <t>Həmi̇dov Ağasi Rövşən oğlu</t>
  </si>
  <si>
    <t>COM 1471</t>
  </si>
  <si>
    <t>Ramazanova Elvi̇ra</t>
  </si>
  <si>
    <t>Ramazanova Elvi̇ra Ramazan qızı</t>
  </si>
  <si>
    <t>COM 2081</t>
  </si>
  <si>
    <t>Mehti̇yev Rovshan</t>
  </si>
  <si>
    <t>Mehti̇yev Rövşən Şahmar oğlu</t>
  </si>
  <si>
    <t>Texniki Dəstək üzrə Mütəxəssis</t>
  </si>
  <si>
    <t>Technical Support Specialist</t>
  </si>
  <si>
    <t>COM 1581</t>
  </si>
  <si>
    <t>Aslanov Famil</t>
  </si>
  <si>
    <t>Aslanov Fami̇l İsrayil oğlu</t>
  </si>
  <si>
    <t>COM 1671</t>
  </si>
  <si>
    <t>Habi̇bova Aydan</t>
  </si>
  <si>
    <t>Həbi̇bova Aydan Ayxan qızı</t>
  </si>
  <si>
    <t>COM 1679</t>
  </si>
  <si>
    <t>Ahmadov Ahmad</t>
  </si>
  <si>
    <t>Əhmədov Əhməd Həmi̇d oğlu</t>
  </si>
  <si>
    <t>COM 1734</t>
  </si>
  <si>
    <t>Akhundov Aydin</t>
  </si>
  <si>
    <t>Axundov Aydın Şai̇q oğlu</t>
  </si>
  <si>
    <t>COM 1799</t>
  </si>
  <si>
    <t>Mammadov Rasi̇m</t>
  </si>
  <si>
    <t>Məmmədov Rasi̇m Əfrayil oğlu</t>
  </si>
  <si>
    <t>COM 1888</t>
  </si>
  <si>
    <t>Dadashzada Anvar</t>
  </si>
  <si>
    <t>Dadaşzadə Ənvər Emi̇l oğlu</t>
  </si>
  <si>
    <t>COM 1901</t>
  </si>
  <si>
    <t>Nasi̇rov Hazratali</t>
  </si>
  <si>
    <t>Nəsi̇rov Həzrətəli̇ Vüqar oğlu</t>
  </si>
  <si>
    <t>Hüquqi və maliyyə dəstəyi üzrə baş mütəxəssis</t>
  </si>
  <si>
    <t>Senior Specialist in Legal and Financial Support</t>
  </si>
  <si>
    <t>COM 1910</t>
  </si>
  <si>
    <t>Ganbarov Ughur</t>
  </si>
  <si>
    <t>Qənbərov Uğur Yusi̇f oğlu</t>
  </si>
  <si>
    <t>COM 2001</t>
  </si>
  <si>
    <t>Yusi̇fov Agha</t>
  </si>
  <si>
    <t>Yusi̇fov Ağa Yusi̇f oğlu</t>
  </si>
  <si>
    <t>Satıcı tərəfdaşların cəlbedilməsi üzrə mütəxəssis</t>
  </si>
  <si>
    <t>Hunter</t>
  </si>
  <si>
    <t>COM 2024</t>
  </si>
  <si>
    <t>İsmayilov İsmayil</t>
  </si>
  <si>
    <t>İsmayilov İsmayil Şəmki̇r oğlu</t>
  </si>
  <si>
    <t>Merchant Support and Operation division/Training and Consulting team</t>
  </si>
  <si>
    <t>Tərəfdaş əməliyyatları və dəstək şöbəsi/Təlim və konsultasiya bölməsi</t>
  </si>
  <si>
    <t>Təlim və Konsaltinq üzrə Mütəxəssis</t>
  </si>
  <si>
    <t>Training and Consulting Specialist</t>
  </si>
  <si>
    <t>COM 2068</t>
  </si>
  <si>
    <t>Alizada Nihat</t>
  </si>
  <si>
    <t>Əli̇zadə Ni̇hat Saday oğlu</t>
  </si>
  <si>
    <t>COM 2071</t>
  </si>
  <si>
    <t>Zaidzada Bakhtiyar</t>
  </si>
  <si>
    <t>Zai̇dzadə Bəxti̇yar Xanlar oğlu</t>
  </si>
  <si>
    <t>COM 2559</t>
  </si>
  <si>
    <t>Abdullayev Anvar</t>
  </si>
  <si>
    <t>Abdullayev Ənvər Süleyman oğlu</t>
  </si>
  <si>
    <t>COM 2078</t>
  </si>
  <si>
    <t>Hasanov Farid</t>
  </si>
  <si>
    <t>Həsənov Fəri̇d Kəri̇m oğlu</t>
  </si>
  <si>
    <t>Texniki Dəstək üzrə Baş Mütəxəssis</t>
  </si>
  <si>
    <t>Technical Support Senior Specialist</t>
  </si>
  <si>
    <t>COM 2093</t>
  </si>
  <si>
    <t>Aliyev Murad</t>
  </si>
  <si>
    <t>Əli̇yev Murad Orxan oğlu</t>
  </si>
  <si>
    <t>Hüquqi və maliyyə dəstəyi üzrə mütəxəssis</t>
  </si>
  <si>
    <t>Legal and Financial Support Specialist</t>
  </si>
  <si>
    <t>COM 2550</t>
  </si>
  <si>
    <t>Krupelnitskiy Anton</t>
  </si>
  <si>
    <t>Krupelni̇tski̇y Anton Ni̇kolayevi̇ç</t>
  </si>
  <si>
    <t>Seller Excellence Department/FBO Team</t>
  </si>
  <si>
    <t>Satışların təkmilləşdirilməsi departameti/Operator tərəfindən təminat bölməsi</t>
  </si>
  <si>
    <t>Operator tərəfindən təminat bölməsinin rəhbəri</t>
  </si>
  <si>
    <t>FBO Team Lead</t>
  </si>
  <si>
    <t>COM 2107</t>
  </si>
  <si>
    <t>Mehraliyev Farrukh</t>
  </si>
  <si>
    <t>Mehrəli̇yev Fərrux Rüfət oğlu</t>
  </si>
  <si>
    <t>COM 2114</t>
  </si>
  <si>
    <t>Nurushov Abdulla</t>
  </si>
  <si>
    <t>Nuruşov Abdulla Asi̇f oğlu</t>
  </si>
  <si>
    <t>COM 2116</t>
  </si>
  <si>
    <t>Hasanov Subhan</t>
  </si>
  <si>
    <t>Həsənov Sübhan Elçi̇n oğlu</t>
  </si>
  <si>
    <t>COM 2117</t>
  </si>
  <si>
    <t>Gasimov Ilkin</t>
  </si>
  <si>
    <t>Qasimov İlki̇n Si̇yavuş oğlu</t>
  </si>
  <si>
    <t>COM 2135</t>
  </si>
  <si>
    <t>Salychev Aleksei</t>
  </si>
  <si>
    <t>Satışların təkmilləşdirilməsi departamentinin Direktoru</t>
  </si>
  <si>
    <t>Seller Excellence Department Director</t>
  </si>
  <si>
    <t>COM 2162</t>
  </si>
  <si>
    <t>Feyzullayev Kamran</t>
  </si>
  <si>
    <t>Feyzullayev Kamran Tahi̇r oğlu</t>
  </si>
  <si>
    <t>COM 2182</t>
  </si>
  <si>
    <t>Asgarov Rustam</t>
  </si>
  <si>
    <t>Əsgərov Rüstəm Vüqar oğlu</t>
  </si>
  <si>
    <t>Təminat üzrə koordinator</t>
  </si>
  <si>
    <t>FBO coordinator</t>
  </si>
  <si>
    <t>COM 2185</t>
  </si>
  <si>
    <t>Feyzullayev Aziz</t>
  </si>
  <si>
    <t>Feyzullayev Əzi̇z Elçi̇n oğlu</t>
  </si>
  <si>
    <t>COM 2404</t>
  </si>
  <si>
    <t>Aghazada Anar</t>
  </si>
  <si>
    <t>Ağazadə Anar Vüqar oğlu</t>
  </si>
  <si>
    <t>COM 1533</t>
  </si>
  <si>
    <t>Abilova Hajar</t>
  </si>
  <si>
    <t>Əbilova Həcər Eyyub qızı</t>
  </si>
  <si>
    <t>Project Management Department</t>
  </si>
  <si>
    <t>PMO</t>
  </si>
  <si>
    <t>Layihələrin idarə edilməsi departamentinin direktoru</t>
  </si>
  <si>
    <t>Head of PMO</t>
  </si>
  <si>
    <t>COM 1088</t>
  </si>
  <si>
    <t>Rzayev Hasan</t>
  </si>
  <si>
    <t>Rzayev Həsən Pərvi̇z oğlu</t>
  </si>
  <si>
    <t>Financial block</t>
  </si>
  <si>
    <t>Finance block/Purchase and Supply Division</t>
  </si>
  <si>
    <t>Procurement Specialist</t>
  </si>
  <si>
    <t>COM 2555</t>
  </si>
  <si>
    <t>Garayev Anar</t>
  </si>
  <si>
    <t>Finance block/ Legal, Compliance and document control division</t>
  </si>
  <si>
    <t>Maliyyə bloku/Hüquq, komplayns və sənədlərə nəzarət şöbəsi</t>
  </si>
  <si>
    <t>Baş Hüquqşünas (yeni)</t>
  </si>
  <si>
    <t>Senior Lawyer</t>
  </si>
  <si>
    <t>COM 1761</t>
  </si>
  <si>
    <t>Balaki̇shi̇yeva İnji̇</t>
  </si>
  <si>
    <t>Balaki̇şi̇yeva İnci̇ Ari̇f qızı</t>
  </si>
  <si>
    <t>Finance block/Financal services &amp; Ecosystem Integration team</t>
  </si>
  <si>
    <t>COM 1951</t>
  </si>
  <si>
    <t>Ahmadzada Orkhan</t>
  </si>
  <si>
    <t>Hüquqşünas (yeni)</t>
  </si>
  <si>
    <t>Lawyer</t>
  </si>
  <si>
    <t>COM 2089</t>
  </si>
  <si>
    <t>Seyid Nazrin</t>
  </si>
  <si>
    <t>Seyi̇d Nəzri̇n Aki̇m qızı</t>
  </si>
  <si>
    <t>Sənədlərin idarə olunması mütəxəssisi</t>
  </si>
  <si>
    <t>Document Controller</t>
  </si>
  <si>
    <t>COM57</t>
  </si>
  <si>
    <t>Mammadov Aslan</t>
  </si>
  <si>
    <t>Məmmədov Aslan Azad oğlu</t>
  </si>
  <si>
    <t>Finance block/Financial reporting and accounting department</t>
  </si>
  <si>
    <t>Financial reporting division</t>
  </si>
  <si>
    <t>Maliyyə hesabatları şöbəsi</t>
  </si>
  <si>
    <t>Maliyyə hesabatları və mühasibatlıq departamentinin direktoru</t>
  </si>
  <si>
    <t>Financial Reporting and Accounting Department Director</t>
  </si>
  <si>
    <t>COM 169</t>
  </si>
  <si>
    <t>Maharramova Sabina</t>
  </si>
  <si>
    <t>Məhərrəmova Səbi̇nə Sulduz qızı</t>
  </si>
  <si>
    <t>Administrative Accounting and Taxes Division/Accounting team</t>
  </si>
  <si>
    <t>İnzibati mühasibatlıq və vergilər şöbəsi/Mühasibatlıq bölməsi</t>
  </si>
  <si>
    <t>COM 182</t>
  </si>
  <si>
    <t>Babayev Mirtaghi</t>
  </si>
  <si>
    <t>Babayev Mi̇rtaği Mi̇lyarbəy oğlu</t>
  </si>
  <si>
    <t>Operation Accounting and Processing Division/Customer Experience Operations Processing team</t>
  </si>
  <si>
    <t>Əməliyyatların mühasibat uçotu və emalı şöbəsi/Müştəri təcrübəsi əməliyyatlarının emalı bölməsi</t>
  </si>
  <si>
    <t>Lead Accountant</t>
  </si>
  <si>
    <t>COM 212</t>
  </si>
  <si>
    <t>Ramazanov Abumuslum</t>
  </si>
  <si>
    <t>Ramazanov Abumüslüm Fai̇kovi̇ç</t>
  </si>
  <si>
    <t>Billing Team</t>
  </si>
  <si>
    <t>Ödənişlərin idarəedilməsi bölməsi</t>
  </si>
  <si>
    <t>Ödənişlərin idarəedilməsi bölməsinin rəhbəri</t>
  </si>
  <si>
    <t>Billing Team Lead</t>
  </si>
  <si>
    <t>COM 213</t>
  </si>
  <si>
    <t>Vali̇khanli Jeyhun</t>
  </si>
  <si>
    <t>Vəli̇xanli Ceyhun Əhəd oğlu</t>
  </si>
  <si>
    <t>Cost Control team</t>
  </si>
  <si>
    <t>Xərclərə nəzarət bölməsi</t>
  </si>
  <si>
    <t>Xərclərə nəzarət üzrə mütəxəssis</t>
  </si>
  <si>
    <t>Cost Control Specialist</t>
  </si>
  <si>
    <t>UL 03</t>
  </si>
  <si>
    <t>Mukhtarova Nayma</t>
  </si>
  <si>
    <t>Muxtarova Naymə Rasi̇m qızı</t>
  </si>
  <si>
    <t>Administrative Accounting and Taxes Division</t>
  </si>
  <si>
    <t>İnzibati mühasibatlıq və vergilər şöbəsi</t>
  </si>
  <si>
    <t>İnzibati mühasibatlıq və vergilər şöbəsinin rəhbəri</t>
  </si>
  <si>
    <t>Administrative Accounting&amp;Taxes Division Head</t>
  </si>
  <si>
    <t>COM 260</t>
  </si>
  <si>
    <t>Vali̇matova Anzhela</t>
  </si>
  <si>
    <t>Vəli̇mətova Anjela Fi̇krət qızı</t>
  </si>
  <si>
    <t>Maliyyə üzrə mütəxəssis</t>
  </si>
  <si>
    <t>Finance Specialist</t>
  </si>
  <si>
    <t>COM 345</t>
  </si>
  <si>
    <t>Suleymanova Lamiya</t>
  </si>
  <si>
    <t>Süleymanova Lami̇yə Kəri̇m qızı</t>
  </si>
  <si>
    <t>Operation Accounting and Processing Division</t>
  </si>
  <si>
    <t>Əməliyyatların mühasibat uçotu və emalı şöbəsi</t>
  </si>
  <si>
    <t>Əməliyyatların mühasibat uçotu və emalı şöbəsinin rəhbəri</t>
  </si>
  <si>
    <t>Operation Accounting and Processing Division Head</t>
  </si>
  <si>
    <t>COM 452</t>
  </si>
  <si>
    <t>Samadov Ali</t>
  </si>
  <si>
    <t>Səmədov Əli Tamerlan oğlu</t>
  </si>
  <si>
    <t>Operation Accounting and Processing Division/Commercial Operations Processing team</t>
  </si>
  <si>
    <t>Əməliyyatların mühasibat uçotu və emalı şöbəsi/Kommersiya əməliyyatların emalı bölməsi</t>
  </si>
  <si>
    <t>COM 541</t>
  </si>
  <si>
    <t>Pashazada Aygun</t>
  </si>
  <si>
    <t>Paşazadə Aygün Məmmədxan qızı</t>
  </si>
  <si>
    <t>Maliyyə hesabatları şöbəsinin aparıcı mütəxəssisi</t>
  </si>
  <si>
    <t>Leading Financial Reporting Specialist</t>
  </si>
  <si>
    <t>COM 1953</t>
  </si>
  <si>
    <t>Aliyev Kamran</t>
  </si>
  <si>
    <t>Alıyev Kamran Mahir oğlu</t>
  </si>
  <si>
    <t>COM 659</t>
  </si>
  <si>
    <t>Aghayev Vasi̇f</t>
  </si>
  <si>
    <t>Ağayev Vasi̇f Asəf oğlu</t>
  </si>
  <si>
    <t>Operation Accounting and Processing Division/Treasury team</t>
  </si>
  <si>
    <t>Əməliyyatların mühasibat uçotu və emalı şöbəsi/Xəzinədarlıq bölməsi</t>
  </si>
  <si>
    <t>COM 2435</t>
  </si>
  <si>
    <t>Aghazada Elshad</t>
  </si>
  <si>
    <t>COM 976</t>
  </si>
  <si>
    <t>Aliyev Ruslan</t>
  </si>
  <si>
    <t>Əliyev Ruslan Azər oğlu</t>
  </si>
  <si>
    <t>COM 2032</t>
  </si>
  <si>
    <t>Mammadov Ilkin</t>
  </si>
  <si>
    <t>Məmmədov İlki̇n Abduləli̇ oğlu</t>
  </si>
  <si>
    <t>Xərclərə nəzarət bölməsinin rəhbəri</t>
  </si>
  <si>
    <t>Cost Control Team Lead</t>
  </si>
  <si>
    <t>COM 1057</t>
  </si>
  <si>
    <t>Jabbarov Bahadur</t>
  </si>
  <si>
    <t>Cabbarov Bahadur Fazi̇l oğlu</t>
  </si>
  <si>
    <t>Maliyyə hesabatları şöbəsinin rəhbəri</t>
  </si>
  <si>
    <t>Head of Financial Reporting Division</t>
  </si>
  <si>
    <t>COM 1242</t>
  </si>
  <si>
    <t>Mammadova Leyla</t>
  </si>
  <si>
    <t>Məmmədova Leyla Münasi̇f qızı</t>
  </si>
  <si>
    <t>COM 1244</t>
  </si>
  <si>
    <t>Abdullayev Elnur</t>
  </si>
  <si>
    <t>Abdullayev Elnur Bi̇nnət oğlu</t>
  </si>
  <si>
    <t>COM 1255</t>
  </si>
  <si>
    <t>Huseynov Orkhan</t>
  </si>
  <si>
    <t>Hüseynov Orxan Fi̇krət oğlu</t>
  </si>
  <si>
    <t>Xəzinədar (gecə növbəsi)</t>
  </si>
  <si>
    <t>Cashier (night shift)</t>
  </si>
  <si>
    <t>COM 1390</t>
  </si>
  <si>
    <t>Mammadov Kanan</t>
  </si>
  <si>
    <t>Məmmədov Kənan Ramazan oğlu</t>
  </si>
  <si>
    <t>COM 1491</t>
  </si>
  <si>
    <t>Alaskarova Afag</t>
  </si>
  <si>
    <t>Ələskərova Afaq Aqi̇l qızı</t>
  </si>
  <si>
    <t>COM 1688</t>
  </si>
  <si>
    <t>Mamiyev Nemat</t>
  </si>
  <si>
    <t>Məmi̇yev Nemət Abazər oğlu</t>
  </si>
  <si>
    <t>Xəzinədar (gündüz növbəsi)</t>
  </si>
  <si>
    <t>Cashier (day shift)</t>
  </si>
  <si>
    <t>COM 1732</t>
  </si>
  <si>
    <t>Mehdi̇yev Rovshan</t>
  </si>
  <si>
    <t>Mehdi̇yev Rövşən Mehdi̇ oğlu</t>
  </si>
  <si>
    <t>Administrative Accounting and Taxes Division/Taxes team</t>
  </si>
  <si>
    <t>İnzibati mühasibatlıq və vergilər şöbəsi/Vergi bölməsi</t>
  </si>
  <si>
    <t>Vergilər üzrə menecer</t>
  </si>
  <si>
    <t>Tax Accountant manager</t>
  </si>
  <si>
    <t>COM 1833</t>
  </si>
  <si>
    <t>Ismayilov Eldani̇z</t>
  </si>
  <si>
    <t>İsmayılov Eldəni̇z Emi̇n oğlu</t>
  </si>
  <si>
    <t>Maliyyə hesabatları şöbəsinin baş mütəxəssisi</t>
  </si>
  <si>
    <t>Senior Financial Reporting Specialist</t>
  </si>
  <si>
    <t>COM 1889</t>
  </si>
  <si>
    <t>Maharramova Shalala</t>
  </si>
  <si>
    <t>Məhərrəmova Şəlalə Hüseyn qızı</t>
  </si>
  <si>
    <t>COM 1916</t>
  </si>
  <si>
    <t>Guliyeva Laman</t>
  </si>
  <si>
    <t>Quli̇yeva Ləman Elçi̇n qızı</t>
  </si>
  <si>
    <t>COM 1990</t>
  </si>
  <si>
    <t>Orujova Gulnar</t>
  </si>
  <si>
    <t>Orucova Gülnar Məhəmməd qızı</t>
  </si>
  <si>
    <t>COM 2091</t>
  </si>
  <si>
    <t>Alakbarzade Turan</t>
  </si>
  <si>
    <t>Ələkbərzadə Turan Baxış oğlu</t>
  </si>
  <si>
    <t>Kiçik mühasib</t>
  </si>
  <si>
    <t>Junior Accountant</t>
  </si>
  <si>
    <t>COM 2437</t>
  </si>
  <si>
    <t>Salamov Imran</t>
  </si>
  <si>
    <t>Salamov İmran Zahi̇d oğlu</t>
  </si>
  <si>
    <t>COM 1167</t>
  </si>
  <si>
    <t>Suleymanov Elin</t>
  </si>
  <si>
    <t>Süleymanov Elin Natiq oğlu</t>
  </si>
  <si>
    <t>Maliyyə bloku/Maliyyə planlaması və analitika departamenti</t>
  </si>
  <si>
    <t>Finance block/FP&amp;A department</t>
  </si>
  <si>
    <t>Maliyyə üzrə biznes tərəfdaş (Logistika)</t>
  </si>
  <si>
    <t>COM 1524</t>
  </si>
  <si>
    <t>Maharramov Nijat</t>
  </si>
  <si>
    <t>Məhərrəmov Nicat Nizami oğlu</t>
  </si>
  <si>
    <t>Budgeting and management reporting division</t>
  </si>
  <si>
    <t>Büdcə və idarəetmə hesabatları şöbəsi</t>
  </si>
  <si>
    <t>Büdcə və idarəetmə hesabatları üzrə mütəxəssis</t>
  </si>
  <si>
    <t>Specialist of Budgeting and Management Reporting Division</t>
  </si>
  <si>
    <t>COM 2079</t>
  </si>
  <si>
    <t>Mehraliyev Vusal</t>
  </si>
  <si>
    <t>Mehrəli̇yev Vüsal Məqsəd oğlu</t>
  </si>
  <si>
    <t>Maliyyə üzrə biznes tərəfdaş</t>
  </si>
  <si>
    <t>Finance Business Partner</t>
  </si>
  <si>
    <t>COM 2113</t>
  </si>
  <si>
    <t>Maharramova Zemfira</t>
  </si>
  <si>
    <t>Məhərrəmova Zemfi̇ra Zöhrab qızı</t>
  </si>
  <si>
    <t>Büdcə və idarəetmə hesabatları şöbəsinin rəhbəri</t>
  </si>
  <si>
    <t>Head of Budgeting &amp; Management Reporting Division</t>
  </si>
  <si>
    <t>COM 2130</t>
  </si>
  <si>
    <t>Mustafayev Murad</t>
  </si>
  <si>
    <t>Mustafayev Murad Nazi̇m oğlu</t>
  </si>
  <si>
    <t>COM 2519</t>
  </si>
  <si>
    <t>Erendzhenov Oleg</t>
  </si>
  <si>
    <t>Maliyyə planlaması və analitika departamentinin direktoru</t>
  </si>
  <si>
    <t>FP&amp;A Department Director</t>
  </si>
  <si>
    <t>COM 2537</t>
  </si>
  <si>
    <t>Tsebekov Victor</t>
  </si>
  <si>
    <t>Financial Business Partner</t>
  </si>
  <si>
    <t>COM 2552</t>
  </si>
  <si>
    <t>Ibrahimova Aysel</t>
  </si>
  <si>
    <t>İbrahi̇mova Aysel Nami̇q qızı</t>
  </si>
  <si>
    <t>COM 2523</t>
  </si>
  <si>
    <t>Farzaliyev Teymur</t>
  </si>
  <si>
    <t>Fərzəli̇yev Teymur Rüfət oğlu</t>
  </si>
  <si>
    <t>Product Technology block</t>
  </si>
  <si>
    <t>Infrastructure Technology Division/Systems &amp; Network team</t>
  </si>
  <si>
    <t>İnfrastruktur Texnologiyaları şöbəsi/Sistemlər və Şəbəkə bölməsi</t>
  </si>
  <si>
    <t>İT üzrə mütəxəssis</t>
  </si>
  <si>
    <t>IT Specialist</t>
  </si>
  <si>
    <t>COM85</t>
  </si>
  <si>
    <t>Agayev Ismayil</t>
  </si>
  <si>
    <t>Ağayev İsmayil Ari̇z oğlu</t>
  </si>
  <si>
    <t>Sistem və şəbəkə idarəetməsi bölməsinin rəhbəri</t>
  </si>
  <si>
    <t>System and network administration team lead</t>
  </si>
  <si>
    <t>COM 561</t>
  </si>
  <si>
    <t>Aliyev Museyib</t>
  </si>
  <si>
    <t>Əliyev Müseyib Rəşid oğlu</t>
  </si>
  <si>
    <t>Infrastructure Technology Division/DevOps Team</t>
  </si>
  <si>
    <t>İnfrastruktur Texnologiyaları şöbəsi/DevOps bölməsi</t>
  </si>
  <si>
    <t>Monitorinq mühəndisi</t>
  </si>
  <si>
    <t>Monitoring Engineer</t>
  </si>
  <si>
    <t>COM 1089</t>
  </si>
  <si>
    <t>Babayev Oktay</t>
  </si>
  <si>
    <t>Babayev Oktay İlham oğlu</t>
  </si>
  <si>
    <t>Sistem administratoru</t>
  </si>
  <si>
    <t>COM 1196</t>
  </si>
  <si>
    <t>Alasgarov Mi̇kayil</t>
  </si>
  <si>
    <t>Ələsgərov Mi̇kayil Ri̇zvan oğlu</t>
  </si>
  <si>
    <t>Infrastructure Technology Division/Site Reliability Engineering team</t>
  </si>
  <si>
    <t>İnfrastruktur Texnologiyaları şöbəsi/Sistemlərin Etibarlılığının Mühəndisliyi bölməsi</t>
  </si>
  <si>
    <t>COM 1317</t>
  </si>
  <si>
    <t>Aghamuradov Arsen</t>
  </si>
  <si>
    <t>Ağamuradov Arsen Şadri̇kovi̇ç</t>
  </si>
  <si>
    <t>Şəbəkə administratoru</t>
  </si>
  <si>
    <t>Network Administrator</t>
  </si>
  <si>
    <t>COM 1476</t>
  </si>
  <si>
    <t>Jafarov Jafar</t>
  </si>
  <si>
    <t>Cəfərov Cəfər Əhməd oğlu</t>
  </si>
  <si>
    <t>Servisin etibarlılığı üzrə mühəndis</t>
  </si>
  <si>
    <t>Service reliability engineer</t>
  </si>
  <si>
    <t>COM 2217</t>
  </si>
  <si>
    <t>Burjaliyev Tural</t>
  </si>
  <si>
    <t>Bürcəli̇yev Tural Məli̇kəjdər oğlu</t>
  </si>
  <si>
    <t>COM 2407</t>
  </si>
  <si>
    <t>Aghalarov Vugar</t>
  </si>
  <si>
    <t>Ağalarov Vüqar Emi̇l oğlu</t>
  </si>
  <si>
    <t>COM 2491</t>
  </si>
  <si>
    <t>Jafarov Yashar</t>
  </si>
  <si>
    <t>Cəfərov Yaşar Ağali̇ oğlu</t>
  </si>
  <si>
    <t>COM 2492</t>
  </si>
  <si>
    <t>Gasimov Etimad</t>
  </si>
  <si>
    <t>Qasımov Eti̇mad Platon oğlu</t>
  </si>
  <si>
    <t>İnfrastruktur Texnologiyaları şöbəsi</t>
  </si>
  <si>
    <t>COM 2493</t>
  </si>
  <si>
    <t>Aliyev Tarlan</t>
  </si>
  <si>
    <t>Əli̇yev Tərlan Ni̇zami̇ oğlu</t>
  </si>
  <si>
    <t>COM4</t>
  </si>
  <si>
    <t>Maharramli Orkhan</t>
  </si>
  <si>
    <t>Məhərrəmli Orxan Ziyəddin oğlu</t>
  </si>
  <si>
    <t>Product Technology block/Engineering department</t>
  </si>
  <si>
    <t>Engineering department/Seller Experience Technology division</t>
  </si>
  <si>
    <t>Mühəndislik departamenti/Satıcı tərəfdaşların  təcrübəsi texnologiyaları şöbəsi</t>
  </si>
  <si>
    <t>Texniki lider</t>
  </si>
  <si>
    <t>Technical Lead</t>
  </si>
  <si>
    <t>COM8</t>
  </si>
  <si>
    <t>Mammadov Chingiz</t>
  </si>
  <si>
    <t>Məmmədov Çingiz Ramiz oğlu</t>
  </si>
  <si>
    <t>Technical Practice/Frontend Practice Team</t>
  </si>
  <si>
    <t>Texniki Təcrübə şöbəsi/Frontend Texnologiyaları bölməsi</t>
  </si>
  <si>
    <t>Frontend təcrübəsi rəhbəri</t>
  </si>
  <si>
    <t>Frontend Practice Lead</t>
  </si>
  <si>
    <t>COM0101</t>
  </si>
  <si>
    <t>Mustafayev Khazan</t>
  </si>
  <si>
    <t>Mustafayev Xəzan Mübari̇z oğlu</t>
  </si>
  <si>
    <t>Logistics&amp;Platform Technology division/ Orde-Logistics Management Team</t>
  </si>
  <si>
    <t>Logistika və Platforma Texnologiyaları şöbəsi/Sifarişlərin-Logistikanın İdarəedilməsi bölməsi</t>
  </si>
  <si>
    <t>Sistem analitiki</t>
  </si>
  <si>
    <t>System analysts</t>
  </si>
  <si>
    <t>COM 107</t>
  </si>
  <si>
    <t>Alizada Adil</t>
  </si>
  <si>
    <t>Əli̇zadə Adi̇l İlqar oğlu</t>
  </si>
  <si>
    <t>COM 179</t>
  </si>
  <si>
    <t>Sultanov Ruslan</t>
  </si>
  <si>
    <t>Sultanov Ruslan Emi̇lyevi̇ç</t>
  </si>
  <si>
    <t>Technical Practice/QA Practice Team</t>
  </si>
  <si>
    <t>Texniki Təcrübə şöbəsi/Keyfiyyət Təminatı Təcrübə bölməsi</t>
  </si>
  <si>
    <t>Keyfiyyətə nəzarət üzrə mühəndis</t>
  </si>
  <si>
    <t>QA Engineer (Junior)</t>
  </si>
  <si>
    <t>COM 687</t>
  </si>
  <si>
    <t>Gadi̇rli̇ Fuad</t>
  </si>
  <si>
    <t>Qədi̇rli̇ Fuad Ceyhun oğlu</t>
  </si>
  <si>
    <t>Logistics&amp;Platform Technology division/Technical Support Team</t>
  </si>
  <si>
    <t>Logistika və Platforma Texnologiyaları şöbəsi/Texniki dəstək bölməsi</t>
  </si>
  <si>
    <t>Texniki dəstək üzrə aparıcı mütəxəssis</t>
  </si>
  <si>
    <t>Lead technical support specialist</t>
  </si>
  <si>
    <t>COM 700</t>
  </si>
  <si>
    <t>Vasylenko Oleksiy</t>
  </si>
  <si>
    <t>Logistics&amp;Platform Technology division</t>
  </si>
  <si>
    <t>Logistika və Platforma Texnologiyaları şöbəsi</t>
  </si>
  <si>
    <t>Logistika üzrə texniki rəhbər</t>
  </si>
  <si>
    <t>Logistics Technical Lead</t>
  </si>
  <si>
    <t>COM 795</t>
  </si>
  <si>
    <t>Babasheva Nuri̇da</t>
  </si>
  <si>
    <t>Babaşeva Nuri̇də Rafi̇q qızı</t>
  </si>
  <si>
    <t>Buyer Experience Technology divison/Navigation Team</t>
  </si>
  <si>
    <t>Alıcı Təcrübəsi Texnologiyaları şöbəsi/Naviqasiya bölməsi</t>
  </si>
  <si>
    <t>Keyfiyyətə nəzarət üzrə mühəndis (2)</t>
  </si>
  <si>
    <t>QA Engineer (Middle)</t>
  </si>
  <si>
    <t>COM 804</t>
  </si>
  <si>
    <t>Babayev Fari̇d</t>
  </si>
  <si>
    <t>Babayev Fəri̇d Vaqi̇f oğlu</t>
  </si>
  <si>
    <t>Buyer Experience Technology divison/Post-Checkout team</t>
  </si>
  <si>
    <t>Alıcı Təcrübəsi Texnologiyaları şöbəsi/Ödənişdən sonrakı mərhələ bölməsi</t>
  </si>
  <si>
    <t>Frontend Proqramçısı (2)</t>
  </si>
  <si>
    <t>Frontend Developer</t>
  </si>
  <si>
    <t>COM 849</t>
  </si>
  <si>
    <t>Yunusov Elvin</t>
  </si>
  <si>
    <t>Seller Experience Technology divison/Personal Account of Merchant Team</t>
  </si>
  <si>
    <t>Satıcı Tərəfdaşların Təcrübəsi Texnologiyaları şöbəsi/Tərəfdaş  üzrə şəxsi hesab bölməsi</t>
  </si>
  <si>
    <t>COM 864</t>
  </si>
  <si>
    <t>Khali̇lov Afgan</t>
  </si>
  <si>
    <t>Xəli̇lov Əfqan Haqverdi̇ oğlu</t>
  </si>
  <si>
    <t>Frontend Proqramçısı (1)</t>
  </si>
  <si>
    <t>COM 1177</t>
  </si>
  <si>
    <t>Dunyamaliyev Fari̇d</t>
  </si>
  <si>
    <t>Dünyamaliyev Fəri̇d Azər oğlu</t>
  </si>
  <si>
    <t>Biznes analitik (İT)</t>
  </si>
  <si>
    <t>Business analyst</t>
  </si>
  <si>
    <t>COM 1223</t>
  </si>
  <si>
    <t>Vali̇yev Ruslan</t>
  </si>
  <si>
    <t>Vəli̇yev Ruslan Valenti̇novi̇ç</t>
  </si>
  <si>
    <t>Texniki dəstək üzrə mütəxəssis (İT - FQ)</t>
  </si>
  <si>
    <t>Technical support specialist (İT - FQ)</t>
  </si>
  <si>
    <t>COM 1236</t>
  </si>
  <si>
    <t>Feyzi̇yev Fai̇g</t>
  </si>
  <si>
    <t>Feyzi̇yev Fai̇q Eldar oğlu</t>
  </si>
  <si>
    <t>COM 1237</t>
  </si>
  <si>
    <t>Yusufkhanov Ali̇</t>
  </si>
  <si>
    <t>Yusufxanov Əli̇ Kazim oğlu</t>
  </si>
  <si>
    <t>COM 1264</t>
  </si>
  <si>
    <t>Davi̇dov Sami̇r</t>
  </si>
  <si>
    <t>Davi̇dov Sami̇r Ri̇natovi̇ç</t>
  </si>
  <si>
    <t>COM 1769</t>
  </si>
  <si>
    <t>Baghirov Huseyn</t>
  </si>
  <si>
    <t>Bağirov Hüseyn Urfan oğlu</t>
  </si>
  <si>
    <t>COM 1952</t>
  </si>
  <si>
    <t>Mustafayev Marat</t>
  </si>
  <si>
    <t>Mustafayev Marat Elxan oğlu</t>
  </si>
  <si>
    <t>Logistics&amp;Platform Technology division/Transportation Management Team</t>
  </si>
  <si>
    <t>Logistika və Platforma Texnologiyaları şöbəsi/Nəqliyyatın İdarəedilməsi bölməsi</t>
  </si>
  <si>
    <t>COM 2004</t>
  </si>
  <si>
    <t>Baghirov Emi̇n</t>
  </si>
  <si>
    <t>Bağirov Emi̇n Arzu oğlu</t>
  </si>
  <si>
    <t>COM 2060</t>
  </si>
  <si>
    <t>Antipin Vladimir</t>
  </si>
  <si>
    <t>Logistika Platformasının Texnologiyalar üzrə Direktoru</t>
  </si>
  <si>
    <t>Chief Technology Officer of Logistics Platform (CTO/LP)</t>
  </si>
  <si>
    <t>COM 2236</t>
  </si>
  <si>
    <t>Alizade Nadir</t>
  </si>
  <si>
    <t>Əli̇zadə Nadi̇r Cəfər oğlu</t>
  </si>
  <si>
    <t>Keyfiyyətə nəzarət üzrə mühəndis (1)</t>
  </si>
  <si>
    <t>QA Engineer (Senior)</t>
  </si>
  <si>
    <t>COM 2273</t>
  </si>
  <si>
    <t>Alizada Mikayil</t>
  </si>
  <si>
    <t>Əli̇zadə Mi̇kayil Kamran oğlu</t>
  </si>
  <si>
    <t>COM 2315</t>
  </si>
  <si>
    <t>Mammadova Aytan</t>
  </si>
  <si>
    <t>Məmmədova Aytən Elçi̇n qızı</t>
  </si>
  <si>
    <t>COM 2561</t>
  </si>
  <si>
    <t>Aghayeva Manisa</t>
  </si>
  <si>
    <t>Ağayeva Manisə Şahlar qızı</t>
  </si>
  <si>
    <t>Client Care and Marketplace Operations department</t>
  </si>
  <si>
    <t>Clinent Care division/Online Support team</t>
  </si>
  <si>
    <t>Müştəri xidməti şöbəsi/Onlayn dəstək bölməsi</t>
  </si>
  <si>
    <t>Onlayn dəstək bölməsinin təmsilçisi</t>
  </si>
  <si>
    <t>Online Support Representative</t>
  </si>
  <si>
    <t>COM 39</t>
  </si>
  <si>
    <t>Museyibli Telli</t>
  </si>
  <si>
    <t>Müseyi̇bli̇ Telli̇ İlham qızı</t>
  </si>
  <si>
    <t>Clinent Care division/Fintech/Payments</t>
  </si>
  <si>
    <t>Müştəri xidməti şöbəsi/Fintek üzrə dəstək bölməsi</t>
  </si>
  <si>
    <t>Fintek üzrə dəstək bölməsinin rəhbəri</t>
  </si>
  <si>
    <t>Fintech Support Team Lead</t>
  </si>
  <si>
    <t>COM 62</t>
  </si>
  <si>
    <t>Allahverdiyeva Aysun</t>
  </si>
  <si>
    <t>Allahverdi̇yeva Aysun Nati̇q qızı</t>
  </si>
  <si>
    <t>Voice of Customer and Continuous Improvement Division/Customer Voice and İnsights team</t>
  </si>
  <si>
    <t>Müştəri səsi və davamlı təkmilləşdirmə şöbəsi/Müştəri səsi və analitika bölməsi</t>
  </si>
  <si>
    <t>Müştəri Səsi və Analitika bölməsinin rəhbəri</t>
  </si>
  <si>
    <t>Customer Voice &amp; Insights Team Lead</t>
  </si>
  <si>
    <t>COM 72</t>
  </si>
  <si>
    <t>Rzayeva Aysun</t>
  </si>
  <si>
    <t>Rzayeva Aysun Ceyhun qızı</t>
  </si>
  <si>
    <t>Quality, Training, Content Management division/Quality Management  team</t>
  </si>
  <si>
    <t>Keyfiyyət, təlim və məzmunun idarə olunması şöbəsi /Keyfiyyətin idarə olunması bölməsi</t>
  </si>
  <si>
    <t>Keyfiyyətin idarə olunması bölməsinin mütəxəssisi</t>
  </si>
  <si>
    <t>Specialist of the Quality Management Team</t>
  </si>
  <si>
    <t>COM 118</t>
  </si>
  <si>
    <t>Gahramanova Gunel</t>
  </si>
  <si>
    <t>Qəhrəmanova Günel Şəmki̇r qızı</t>
  </si>
  <si>
    <t>Onlayn dəstək bölməsinin rəhbəri</t>
  </si>
  <si>
    <t>Online Support Team Lead</t>
  </si>
  <si>
    <t>COM 153</t>
  </si>
  <si>
    <t>Aliyeva Nurana</t>
  </si>
  <si>
    <t>Əliyeva Nuranə Ceyhun qızı</t>
  </si>
  <si>
    <t>COM 199</t>
  </si>
  <si>
    <t>Əli̇yeva Səbi̇nə Mübari̇z qızı</t>
  </si>
  <si>
    <t>Complaint Management division</t>
  </si>
  <si>
    <t>Şikayətlərin idarə olunması şöbəsi</t>
  </si>
  <si>
    <t>Şikayətlərin idarə olunması şöbəsinin rəhbəri</t>
  </si>
  <si>
    <t>Head of the Complaints Management Division</t>
  </si>
  <si>
    <t>COM 802</t>
  </si>
  <si>
    <t>Hajiyev Dadash</t>
  </si>
  <si>
    <t>Haciyev Dadaş İnti̇qam oğlu</t>
  </si>
  <si>
    <t>Fintek üzrə dəstək bölməsinin mütəxəssisi</t>
  </si>
  <si>
    <t>Specialist of Fintech Support Team</t>
  </si>
  <si>
    <t>COM 256</t>
  </si>
  <si>
    <t>Mammadova Ni̇gar</t>
  </si>
  <si>
    <t>Məmmədova Ni̇gar İmran qızı</t>
  </si>
  <si>
    <t>Onlayn dəstək bölməsinin mütəxəssisi</t>
  </si>
  <si>
    <t>Online Support Specialist</t>
  </si>
  <si>
    <t>COM 258</t>
  </si>
  <si>
    <t>Kari̇mova Nazri̇n</t>
  </si>
  <si>
    <t>Kəri̇mova Nəzri̇n Cahi̇l qızı</t>
  </si>
  <si>
    <t>COM 262</t>
  </si>
  <si>
    <t>Gasimzada Goncha</t>
  </si>
  <si>
    <t>Qasimzadə Qönçə Zöhrab qızı</t>
  </si>
  <si>
    <t>Clinent Care division/Call Centre team</t>
  </si>
  <si>
    <t>Müştəri xidməti şöbəsi/Çağrı mərkəzi bölməsi</t>
  </si>
  <si>
    <t>Çağrı Mərkəzi bölmə rəhbəri</t>
  </si>
  <si>
    <t>Call Center Team Lead</t>
  </si>
  <si>
    <t>COM 295</t>
  </si>
  <si>
    <t>Hasanova Zahrabayi̇m</t>
  </si>
  <si>
    <t>Həsənova Zəhrabəyi̇m Vi̇layət qızı</t>
  </si>
  <si>
    <t>COM 320</t>
  </si>
  <si>
    <t>Abdullayeva Nigar</t>
  </si>
  <si>
    <t>Abdullayeva Ni̇gar Əli̇xan qızı</t>
  </si>
  <si>
    <t>Clinent Care division/Telesales and Outbound team</t>
  </si>
  <si>
    <t>Müştəri xidməti şöbəsi/Telesatış və çıxan zənglər bölməsi</t>
  </si>
  <si>
    <t>Telesatış və çıxan zənglər üzrə mütəxəssis</t>
  </si>
  <si>
    <t>Telesales and Outbound Calls Specialist</t>
  </si>
  <si>
    <t>COM 340</t>
  </si>
  <si>
    <t>Ami̇rova Zami̇ra</t>
  </si>
  <si>
    <t>Əmi̇rova Zami̇rə Zi̇yad qızı</t>
  </si>
  <si>
    <t>Customer Voice and İnsights Team division</t>
  </si>
  <si>
    <t>Müştəri Səsi və Davamlı Təkmilləşdirmə şöbəsi</t>
  </si>
  <si>
    <t>Müştəri Səsi və Davamlı Təkmilləşdirmə şöbəsinin rəhbəri</t>
  </si>
  <si>
    <t>Head of Voice of Customer and Continuous Improvement Division</t>
  </si>
  <si>
    <t>COM 353</t>
  </si>
  <si>
    <t>Sokolov Ni̇ki̇ta</t>
  </si>
  <si>
    <t>Sokolov Ni̇ki̇ta Aleksandrovi̇ç</t>
  </si>
  <si>
    <t>Complaint management/Complaints İnvestigation team</t>
  </si>
  <si>
    <t>Şikayətlərin idarə olunması şöbəsi/Şikayətlərin və qaytarmaların həlli bölməsi</t>
  </si>
  <si>
    <t>Şikayətlərin və qaytarmaların həlli bölməsinin bölmə rəhbəri</t>
  </si>
  <si>
    <t>Complaints and Returns Resolution team lead</t>
  </si>
  <si>
    <t>COM 370</t>
  </si>
  <si>
    <t>Jafarov Elchi̇n</t>
  </si>
  <si>
    <t>Cəfərov Elçi̇n Nuhbala oğlu</t>
  </si>
  <si>
    <t>Telesatış və çıxan zənglər üzrə bölmə rəhbəri</t>
  </si>
  <si>
    <t>Telesales and Outbound Calls Team Lead</t>
  </si>
  <si>
    <t>COM 2335</t>
  </si>
  <si>
    <t>Piriyeva Alina</t>
  </si>
  <si>
    <t>Piriyeva Alina İlham qızı</t>
  </si>
  <si>
    <t>COM 1538</t>
  </si>
  <si>
    <t>Afandi̇yev Nazi̇m</t>
  </si>
  <si>
    <t>Əfəndi̇yev Nazi̇m Sadi̇q oğlu</t>
  </si>
  <si>
    <t>Qaytarılma müraciətlərinin araşdırılması və həlli qrupunun baş mütəxəssisi</t>
  </si>
  <si>
    <t>Returns Investigation &amp; Resolution Senior Specialist</t>
  </si>
  <si>
    <t>COM 508</t>
  </si>
  <si>
    <t>Hummatov Anar</t>
  </si>
  <si>
    <t>Hümmətov Anar Mobi̇l oğlu</t>
  </si>
  <si>
    <t>COM 528</t>
  </si>
  <si>
    <t>Muradova Kamala</t>
  </si>
  <si>
    <t>Muradova Kamalə Yusi̇f qızı</t>
  </si>
  <si>
    <t>Şikayətlərin araşdırılması və həlli qrupunun baş mütəxəssisi</t>
  </si>
  <si>
    <t>Complaints Investigation &amp; Resolution Senior Specialist</t>
  </si>
  <si>
    <t>COM 530</t>
  </si>
  <si>
    <t>Babayeva Rimma</t>
  </si>
  <si>
    <t>Babayeva Ri̇mma Ni̇zami̇ qızı</t>
  </si>
  <si>
    <t>Quality, Training, Content Management division/Training team</t>
  </si>
  <si>
    <t>Keyfiyyət, təlim və məzmunun idarə olunması şöbəsi /Təlim bölməsi</t>
  </si>
  <si>
    <t>Təlim bölməsinin baş mütəxəssisi</t>
  </si>
  <si>
    <t>Senior Specialist of the Training Team</t>
  </si>
  <si>
    <t>COM 533</t>
  </si>
  <si>
    <t>Gurbanova Sara</t>
  </si>
  <si>
    <t>Qurbanova Sara Musa qızı</t>
  </si>
  <si>
    <t>Satış məsləhətçisi (yeni)</t>
  </si>
  <si>
    <t>Sales Consultant</t>
  </si>
  <si>
    <t>COM 538</t>
  </si>
  <si>
    <t>Shahhuseynov Kamal</t>
  </si>
  <si>
    <t>Şahhüseynov Kamal Rahi̇b oğlu</t>
  </si>
  <si>
    <t>COM 576</t>
  </si>
  <si>
    <t>Huseynova Fati̇ma</t>
  </si>
  <si>
    <t>Hüseynova Fati̇mə Ələkbər qızı</t>
  </si>
  <si>
    <t>COM 569</t>
  </si>
  <si>
    <t>Gahramanova Aytaj</t>
  </si>
  <si>
    <t>Qəhrəmanova Aytac Pərvi̇z qızı</t>
  </si>
  <si>
    <t>COM 2037</t>
  </si>
  <si>
    <t>Huseynova Farida</t>
  </si>
  <si>
    <t>Hüseynova Fəri̇də Şahi̇n qızı</t>
  </si>
  <si>
    <t>Onlayn dəstək bölməsinin növbə rəhbəri</t>
  </si>
  <si>
    <t>Online Support Shift Lead</t>
  </si>
  <si>
    <t>COM 583</t>
  </si>
  <si>
    <t>Karimli Sevi̇nj</t>
  </si>
  <si>
    <t>Kəri̇mova Sevi̇nc İlqar qızı</t>
  </si>
  <si>
    <t>Çağrı Mərkəzi növbə rəhbəri</t>
  </si>
  <si>
    <t>Call Center Shift Lead</t>
  </si>
  <si>
    <t>COM 597</t>
  </si>
  <si>
    <t>Mammadova Fati̇ma</t>
  </si>
  <si>
    <t>Məmmədova Fati̇mə Nami̇q qızı</t>
  </si>
  <si>
    <t>COM 610</t>
  </si>
  <si>
    <t>Khaki̇yeva Sayali</t>
  </si>
  <si>
    <t>Xaki̇yeva Sayali Vaqi̇f qızı</t>
  </si>
  <si>
    <t>COM 627</t>
  </si>
  <si>
    <t>Baghirzada Fi̇dan</t>
  </si>
  <si>
    <t>Bağirzadə Fi̇dan Ruslan qızı</t>
  </si>
  <si>
    <t>COM 629</t>
  </si>
  <si>
    <t>Ami̇rova Gulnar</t>
  </si>
  <si>
    <t>Əmi̇rova Gülnar Rəhbər qızı</t>
  </si>
  <si>
    <t>COM 635</t>
  </si>
  <si>
    <t>Mehdi̇yeva Nargi̇z</t>
  </si>
  <si>
    <t>Mehdi̇yeva Nərgi̇z Oqtay qızı</t>
  </si>
  <si>
    <t>COM 638</t>
  </si>
  <si>
    <t>Seyi̇dli̇ Fi̇dan</t>
  </si>
  <si>
    <t>Seyi̇dli̇ Fi̇dan Bəyoğlan qızı</t>
  </si>
  <si>
    <t>Fintek üzrə dəstək bölməsinin baş mütəxəssisi</t>
  </si>
  <si>
    <t>Senior Specialist of Fintech Support Team</t>
  </si>
  <si>
    <t>COM 641</t>
  </si>
  <si>
    <t>Zarbali̇yev Eldar</t>
  </si>
  <si>
    <t>Zərbəli̇yev Eldar Elmar oğlu</t>
  </si>
  <si>
    <t>COM 1116</t>
  </si>
  <si>
    <t>Ismayilsoylu Ni̇gar</t>
  </si>
  <si>
    <t>İsmayilsoylu Ni̇gar Əskər qızı</t>
  </si>
  <si>
    <t>COM 790</t>
  </si>
  <si>
    <t>Tahmazova Sevi̇nj</t>
  </si>
  <si>
    <t>Təhməzova Sevi̇nc Qubat qızı</t>
  </si>
  <si>
    <t>COM 812</t>
  </si>
  <si>
    <t>Alamdarli Gulkhara</t>
  </si>
  <si>
    <t>Ələmdarli Gülxarə Ceyhun qızı</t>
  </si>
  <si>
    <t>COM 837</t>
  </si>
  <si>
    <t>Mi̇rzayev Fari̇z</t>
  </si>
  <si>
    <t>Mi̇rzəyev Fari̇z Fazi̇l oğlu</t>
  </si>
  <si>
    <t>COM 882</t>
  </si>
  <si>
    <t>Gasimov Zahi̇r</t>
  </si>
  <si>
    <t>Qasimov Zahi̇r Mahi̇r oğlu</t>
  </si>
  <si>
    <t>Telesatış və çıxan zənglər üzrə təmsilçi</t>
  </si>
  <si>
    <t>Telesales and Outbound Calls Representative</t>
  </si>
  <si>
    <t>COM 883</t>
  </si>
  <si>
    <t>Rzazada Akram</t>
  </si>
  <si>
    <t>Rzazadə Əkrəm Rəşi̇d oğlu</t>
  </si>
  <si>
    <t>COM 890</t>
  </si>
  <si>
    <t>Garagozova Ni̇gar</t>
  </si>
  <si>
    <t>Qaragözova Ni̇gar Həsən qızı</t>
  </si>
  <si>
    <t>Çağrı Mərkəzi Mütəxəssisi</t>
  </si>
  <si>
    <t>Call Center Specialist</t>
  </si>
  <si>
    <t>COM 894</t>
  </si>
  <si>
    <t>Baghirova Sabina</t>
  </si>
  <si>
    <t>Bağirova Səbi̇nə Böyükağa qızı</t>
  </si>
  <si>
    <t>COM 907</t>
  </si>
  <si>
    <t>Suleymanov Asif</t>
  </si>
  <si>
    <t>Süleymanov Asi̇f Rasi̇m oğlu</t>
  </si>
  <si>
    <t>COM 974</t>
  </si>
  <si>
    <t>Ramazanov Ravan</t>
  </si>
  <si>
    <t>Ramazanov Rəvan Ravi oğlu</t>
  </si>
  <si>
    <t>COM 984</t>
  </si>
  <si>
    <t>Hamzatov Elvin</t>
  </si>
  <si>
    <t>Həmzətov Elvi̇n Ni̇zaməddi̇n oğlu</t>
  </si>
  <si>
    <t>Şikayətlərin və qaytarmaların həlli bölməsinin növbə rəhbəri</t>
  </si>
  <si>
    <t>Complaints and Returns Resolution shift lead</t>
  </si>
  <si>
    <t>COM 1002</t>
  </si>
  <si>
    <t>Taghiyeva Sevi̇nj</t>
  </si>
  <si>
    <t>Tağiyeva Sevi̇nc Əbülfəz qızı</t>
  </si>
  <si>
    <t>COM 1020</t>
  </si>
  <si>
    <t>Hasanov Halay</t>
  </si>
  <si>
    <t>Həsənov Halay Mədəd oğlu</t>
  </si>
  <si>
    <t>Qaytarılma müraciətlərinin araşdırılması və həlli qrupunun mütəxəssisi</t>
  </si>
  <si>
    <t>Returns Investigation &amp; Resolution Specialist</t>
  </si>
  <si>
    <t>COM 1025</t>
  </si>
  <si>
    <t>Taghizada Arzu</t>
  </si>
  <si>
    <t>Tağızadə Arzu Həmi̇d qızı</t>
  </si>
  <si>
    <t>COM 2551</t>
  </si>
  <si>
    <t>Eliazov Orkhan</t>
  </si>
  <si>
    <t>Voice of Customer and Continuous Improvement Division/Sevice Optimization team</t>
  </si>
  <si>
    <t>Müştəri səsi və davamlı təkmilləşdirmə şöbəsi/Xidmətin təkmilləşdirilməsi bölməsi</t>
  </si>
  <si>
    <t>Avtomatlaşdırma və proseslərin optimizasiyası mütəxəssisi</t>
  </si>
  <si>
    <t>Automation &amp; Process Optimization Specialist</t>
  </si>
  <si>
    <t>COM 1056</t>
  </si>
  <si>
    <t>Hasanova Rami̇la</t>
  </si>
  <si>
    <t>Həsənova Rami̇lə  Emi̇l qızı</t>
  </si>
  <si>
    <t>COM 1063</t>
  </si>
  <si>
    <t>Mustafayeva Leyla</t>
  </si>
  <si>
    <t>Mustafayeva Leyla Coşqun qızı</t>
  </si>
  <si>
    <t>Telesatış və çıxan zənglər üzrə növbə rəhbəri</t>
  </si>
  <si>
    <t>Telesales and Outbound Calls Shift Lead</t>
  </si>
  <si>
    <t>COM 1069</t>
  </si>
  <si>
    <t>Jafarova Fi̇dan</t>
  </si>
  <si>
    <t>Cəfərova Fi̇dan İlki̇n qızı</t>
  </si>
  <si>
    <t>COM 1071</t>
  </si>
  <si>
    <t>Orujlu Ogtay</t>
  </si>
  <si>
    <t>Oruclu Oqtay İmran oğlu</t>
  </si>
  <si>
    <t>Xidmətin təkmilləşdirilməsi üzrə baş mütəxəssis</t>
  </si>
  <si>
    <t>Service Improvement Senior specialist</t>
  </si>
  <si>
    <t>COM 1267</t>
  </si>
  <si>
    <t>Mammadov Mahammad</t>
  </si>
  <si>
    <t>Məmmədov Məhəmməd Rəşi̇dovi̇ç</t>
  </si>
  <si>
    <t>Müştəri Təcrübəsinin Təkmilləşdirilməsi üzrə Mütəxəssis</t>
  </si>
  <si>
    <t>Customer Experience Improvement Specialist</t>
  </si>
  <si>
    <t>COM 1133</t>
  </si>
  <si>
    <t>Taghiyeva Gulshan</t>
  </si>
  <si>
    <t>Tağiyeva Gülşən Rövşən qızı</t>
  </si>
  <si>
    <t>COM 1134</t>
  </si>
  <si>
    <t>Gojayev Elvin</t>
  </si>
  <si>
    <t>Qocayev Elvi̇n Əzi̇z oğlu</t>
  </si>
  <si>
    <t>COM 1135</t>
  </si>
  <si>
    <t>Gurbanova Gunay</t>
  </si>
  <si>
    <t>Qurbanova Günay Tofi̇q qızı</t>
  </si>
  <si>
    <t>COM 1140</t>
  </si>
  <si>
    <t>Aliyev Anar</t>
  </si>
  <si>
    <t>Əli̇yev Anar Ələddi̇n oğlu</t>
  </si>
  <si>
    <t>COM 1143</t>
  </si>
  <si>
    <t>Mammadov Ilgar</t>
  </si>
  <si>
    <t>Məmmədov İlqar Həsrət oğlu</t>
  </si>
  <si>
    <t>COM 1146</t>
  </si>
  <si>
    <t>Shikhheybatova Ni̇gar</t>
  </si>
  <si>
    <t>Şıxheybətova Ni̇gar Fəri̇d qızı</t>
  </si>
  <si>
    <t>COM 1594</t>
  </si>
  <si>
    <t>Rajabova Elnura</t>
  </si>
  <si>
    <t>Rəcəbova Elnurə Tofi̇k qızı</t>
  </si>
  <si>
    <t>COM 1161</t>
  </si>
  <si>
    <t>Huseynov Azad</t>
  </si>
  <si>
    <t>Hüseynov Azad Hüseyn-Ağa oğlu</t>
  </si>
  <si>
    <t>COM 1164</t>
  </si>
  <si>
    <t>Sultanov Zeyyar</t>
  </si>
  <si>
    <t>Sultanov Zeyyar Alçin oğlu</t>
  </si>
  <si>
    <t>COM 1171</t>
  </si>
  <si>
    <t>Mammadov Ahmad</t>
  </si>
  <si>
    <t>Məmmədov Əhməd Qazi̇yevi̇ç</t>
  </si>
  <si>
    <t>Fintek üzrə dəstək bölməsinin baş mütəxəssisi M.Ə.</t>
  </si>
  <si>
    <t>COM 1189</t>
  </si>
  <si>
    <t>Abdullayev Sami̇r</t>
  </si>
  <si>
    <t>Abdullayev Sami̇r Nami̇q oğlu</t>
  </si>
  <si>
    <t>COM 1211</t>
  </si>
  <si>
    <t>Mammadov Yalchin</t>
  </si>
  <si>
    <t>Məmmədov Yalçin Ri̇zvan oğlu</t>
  </si>
  <si>
    <t>Tənzimləyici sorğuların araşdırılması və cavablandırılması qrupunun koordinatoru</t>
  </si>
  <si>
    <t>Regulatory &amp; Government Requests Coordinator</t>
  </si>
  <si>
    <t>COM 1261</t>
  </si>
  <si>
    <t>Sadulova Sabi̇na</t>
  </si>
  <si>
    <t>Sadulova Səbi̇nə Kati̇b qızı</t>
  </si>
  <si>
    <t>COM 1294</t>
  </si>
  <si>
    <t>Huseynova Narmi̇n</t>
  </si>
  <si>
    <t>Hüseynova Nərmi̇n İmran qızı</t>
  </si>
  <si>
    <t>COM 1301</t>
  </si>
  <si>
    <t>Alisoy Rugiyya</t>
  </si>
  <si>
    <t>Əli̇soy Ruqi̇yyə Elçi̇n qızı</t>
  </si>
  <si>
    <t>COM 1325</t>
  </si>
  <si>
    <t>Salahov Alihuseyn</t>
  </si>
  <si>
    <t>Salahov Əlihüseyn Valehoviç</t>
  </si>
  <si>
    <t>COM 1346</t>
  </si>
  <si>
    <t>Ramazanova Nuray</t>
  </si>
  <si>
    <t>Ramazanova Nuray Mövləddi̇n qızı</t>
  </si>
  <si>
    <t>Quality, Training, Content Management division/Content Management team</t>
  </si>
  <si>
    <t>Keyfiyyət, təlim və məzmunun idarə olunması şöbəsi /Məzmunun idarə olunması bölməsi</t>
  </si>
  <si>
    <t>Məzmunun idarə olunması üzrə mütəxəssis</t>
  </si>
  <si>
    <t>Content Management Specialist</t>
  </si>
  <si>
    <t>COM 2181</t>
  </si>
  <si>
    <t>Allahverdi̇yeva Ami̇na</t>
  </si>
  <si>
    <t>Allahverdi̇yeva Əmi̇nə Nəri̇man qızı</t>
  </si>
  <si>
    <t>COM 1356</t>
  </si>
  <si>
    <t>Orujova Zahra</t>
  </si>
  <si>
    <t>Orucova Zəhra Ehti̇ram qızı</t>
  </si>
  <si>
    <t>COM 1395</t>
  </si>
  <si>
    <t>Asgarli̇ Ami̇n</t>
  </si>
  <si>
    <t>Əsgərli̇ Ami̇n Qurban oğlu</t>
  </si>
  <si>
    <t>COM 1418</t>
  </si>
  <si>
    <t>Mustafayeva Susankhanim</t>
  </si>
  <si>
    <t>Mustafayeva Süsənxanim Qeysər qızı</t>
  </si>
  <si>
    <t>Çağrı Mərkəzi Təmsilçisi</t>
  </si>
  <si>
    <t>Call Center Representative</t>
  </si>
  <si>
    <t>СOM 1466</t>
  </si>
  <si>
    <t>Mammadli̇ Sai̇d</t>
  </si>
  <si>
    <t>Məmmədli̇ Səi̇d Xaləddi̇n oğlu</t>
  </si>
  <si>
    <t>COM 1508</t>
  </si>
  <si>
    <t>Bayramova Aysel</t>
  </si>
  <si>
    <t>Bayramova Aysel Valeh qızı</t>
  </si>
  <si>
    <t>COM 1530</t>
  </si>
  <si>
    <t>Farzaliyeva Saadat</t>
  </si>
  <si>
    <t>Fərzəliyeva Səadət İlham qızı</t>
  </si>
  <si>
    <t>COM 1543</t>
  </si>
  <si>
    <t>İsmi̇yev Maharram</t>
  </si>
  <si>
    <t>İsmi̇yev Məhərrəm Aqşi̇n oğlu</t>
  </si>
  <si>
    <t>COM 1539</t>
  </si>
  <si>
    <t>Asadov Elvi̇n</t>
  </si>
  <si>
    <t>Əsədov Elvi̇n Rafi̇q oğlu</t>
  </si>
  <si>
    <t>Şikayətlərin araşdırılması və həlli qrupunun koordinatoru</t>
  </si>
  <si>
    <t>Complaints Investigation &amp; Resolution Coordinator</t>
  </si>
  <si>
    <t>COM 2138</t>
  </si>
  <si>
    <t>Fataliyev Sanan</t>
  </si>
  <si>
    <t>Fətəli̇yev Sənan Cavanşi̇r oğlu</t>
  </si>
  <si>
    <t>COM 2034</t>
  </si>
  <si>
    <t>Abdullayev Gudrat</t>
  </si>
  <si>
    <t>Abdullayev Qudrət Əli̇ Zadə oğlu</t>
  </si>
  <si>
    <t>COM 1550</t>
  </si>
  <si>
    <t>Habi̇bov Anar</t>
  </si>
  <si>
    <t>Həbi̇bov Anar Tərlan oğlu</t>
  </si>
  <si>
    <t>COM 1551</t>
  </si>
  <si>
    <t>Hasanov Vugar</t>
  </si>
  <si>
    <t>Həsənov Vüqar Əkpər oğlu</t>
  </si>
  <si>
    <t>Qaytarılma müraciətlərinin araşdırılması və həlli qrupunun koordinatoru</t>
  </si>
  <si>
    <t>Returns Investigation &amp; Resolution Coordinator</t>
  </si>
  <si>
    <t>COM 1556</t>
  </si>
  <si>
    <t>Asadova Khadija</t>
  </si>
  <si>
    <t>Əsədova Xədicə İlham qızı</t>
  </si>
  <si>
    <t>COM 1568</t>
  </si>
  <si>
    <t>Ibrahimova Sabrin</t>
  </si>
  <si>
    <t>İbrahimova Səbri̇n Eldar qızı</t>
  </si>
  <si>
    <t>Şikayətlərin araşdırılması və həlli qrupunun mütəxəssisi</t>
  </si>
  <si>
    <t>Complaints Investigation &amp; Resolution Specialis</t>
  </si>
  <si>
    <t>COM 1569</t>
  </si>
  <si>
    <t>Rustamli Nazrin</t>
  </si>
  <si>
    <t>Rüstəmli̇ Nəzri̇n Pərvi̇n qızı</t>
  </si>
  <si>
    <t>COM 1584</t>
  </si>
  <si>
    <t>Mammadzada Sevinj</t>
  </si>
  <si>
    <t>Məmmədzadə Sevi̇nc Elnur qızı</t>
  </si>
  <si>
    <t>COM 1613</t>
  </si>
  <si>
    <t>Talibzada Zeynab</t>
  </si>
  <si>
    <t>Talibzadə Zeynəb Tofi̇q qızı</t>
  </si>
  <si>
    <t>COM 1973</t>
  </si>
  <si>
    <t>Khali̇lov Subhi̇</t>
  </si>
  <si>
    <t>Xəli̇lov Sübhi̇ Elxan oğlu</t>
  </si>
  <si>
    <t>COM 2295</t>
  </si>
  <si>
    <t>Allahverdiyev Mahammad</t>
  </si>
  <si>
    <t>Allahverdi̇yev Məhəmməd Əhməd oğlu</t>
  </si>
  <si>
    <t>COM 1640</t>
  </si>
  <si>
    <t>Novruzova Elana</t>
  </si>
  <si>
    <t>Novruzova Elanə Eldəni̇z qızı</t>
  </si>
  <si>
    <t>COM 1644</t>
  </si>
  <si>
    <t>Mammadov Elvi̇n</t>
  </si>
  <si>
    <t>Məmmədov Elvi̇n Aki̇f oğlu</t>
  </si>
  <si>
    <t>COM 1649</t>
  </si>
  <si>
    <t>Salayeva Sara</t>
  </si>
  <si>
    <t>Salayeva Sara Tamerlan qızı</t>
  </si>
  <si>
    <t>COM 2527</t>
  </si>
  <si>
    <t>Ahmadov Safar</t>
  </si>
  <si>
    <t>Əhmədov Səfər Aydin oğlu</t>
  </si>
  <si>
    <t>COM 1670</t>
  </si>
  <si>
    <t>Kari̇mova Gornova Ni̇gar</t>
  </si>
  <si>
    <t>Kəri̇mova Qornova Ni̇gar Vladi̇mi̇r qızı</t>
  </si>
  <si>
    <t>COM 1699</t>
  </si>
  <si>
    <t>Gardashova Sevi̇nj</t>
  </si>
  <si>
    <t>Qardaşova Sevi̇nc Ağakəri̇m qızı</t>
  </si>
  <si>
    <t>COM 1707</t>
  </si>
  <si>
    <t>Mammadzada Asaf</t>
  </si>
  <si>
    <t>Məmmədzadə Asəf Kami̇l oğlu</t>
  </si>
  <si>
    <t>COM 1741</t>
  </si>
  <si>
    <t>Sadigzada Shakar</t>
  </si>
  <si>
    <t>Sadıqzadə Şəkər Aqi̇l qızı</t>
  </si>
  <si>
    <t>COM 1751</t>
  </si>
  <si>
    <t>Zukhrabova Aygun</t>
  </si>
  <si>
    <t>Zuxrabova Aygün Rai̇di̇n qızı</t>
  </si>
  <si>
    <t>COM 1780</t>
  </si>
  <si>
    <t>Mukhtarov Fuad</t>
  </si>
  <si>
    <t>COM 1827</t>
  </si>
  <si>
    <t>Azi̇zova Roza</t>
  </si>
  <si>
    <t>Əzi̇zova Roza Ceyhun qızı</t>
  </si>
  <si>
    <t>COM 1829</t>
  </si>
  <si>
    <t>Dadashli Ni̇gar</t>
  </si>
  <si>
    <t>Dadaşlı Ni̇gar Elman qızı</t>
  </si>
  <si>
    <t>COM 1836</t>
  </si>
  <si>
    <t>Mammadli̇ İlaha</t>
  </si>
  <si>
    <t>Məmmədli̇ İlahə Zəfər qızı</t>
  </si>
  <si>
    <t>Tənzimləyici sorğuların araşdırılması və cavablandırılması qrupunun mütəxəssisi</t>
  </si>
  <si>
    <t>Regulatory &amp; Government Requests Specialist</t>
  </si>
  <si>
    <t>COM 1879</t>
  </si>
  <si>
    <t>Zi̇nai̇dova Aysu</t>
  </si>
  <si>
    <t>Zi̇nai̇dova Aysu Roman qızı</t>
  </si>
  <si>
    <t>COM 1924</t>
  </si>
  <si>
    <t>Hasanli Agha</t>
  </si>
  <si>
    <t>Həsənli̇ Ağa Kərəm oğlu</t>
  </si>
  <si>
    <t>COM 1925</t>
  </si>
  <si>
    <t>Gochaliyev Orkhan</t>
  </si>
  <si>
    <t>Qoçəli̇yev Orxan İbrahi̇m oğlu</t>
  </si>
  <si>
    <t>COM 1949</t>
  </si>
  <si>
    <t>Ismayilov Rami̇n</t>
  </si>
  <si>
    <t>İsmayilov Rami̇n Ələskər oğlu</t>
  </si>
  <si>
    <t>Client Care and Marketplace Operations division</t>
  </si>
  <si>
    <t>Müştəri Xidmətləri və Marketplace Əməliyyatlar şöbəsi</t>
  </si>
  <si>
    <t>Müştəri xidməti və Marketplace əməliyyatları departamentinin direktoru</t>
  </si>
  <si>
    <t>Client Care and Marketplace Operations Department Director</t>
  </si>
  <si>
    <t>COM 1956</t>
  </si>
  <si>
    <t>Ali̇mova Fi̇dan</t>
  </si>
  <si>
    <t>Əli̇mova Fi̇dan Əsram qızı</t>
  </si>
  <si>
    <t>COM 1961</t>
  </si>
  <si>
    <t>Mehdi̇yev Rufat</t>
  </si>
  <si>
    <t>Mehdi̇yev Rüfət Zaki̇r oğlu</t>
  </si>
  <si>
    <t>COM 1967</t>
  </si>
  <si>
    <t>Rustamli̇ Fi̇dan</t>
  </si>
  <si>
    <t>Rüstəmli̇ Fi̇dan Rəşad qızı</t>
  </si>
  <si>
    <t>COM 1974</t>
  </si>
  <si>
    <t>Suleymanov Elvi̇n</t>
  </si>
  <si>
    <t>Süleymanov Elvi̇n Tahi̇r oğlu</t>
  </si>
  <si>
    <t>COM 1975</t>
  </si>
  <si>
    <t>Aydami̇rova Regi̇na</t>
  </si>
  <si>
    <t>Aydəmi̇rova Regi̇na Racovna</t>
  </si>
  <si>
    <t>COM 1987</t>
  </si>
  <si>
    <t>Nasi̇bova Turkan</t>
  </si>
  <si>
    <t>Nəsi̇bova Türkan Rami̇z qızı</t>
  </si>
  <si>
    <t>COM 2005</t>
  </si>
  <si>
    <t>Hami̇dov Ari̇f</t>
  </si>
  <si>
    <t>Həmi̇dov Ari̇f Murad oğlu</t>
  </si>
  <si>
    <t>COM 2022</t>
  </si>
  <si>
    <t>Khali̇lov Murad</t>
  </si>
  <si>
    <t>Xəli̇lov Murad Fi̇krət oğlu</t>
  </si>
  <si>
    <t>COM 2023</t>
  </si>
  <si>
    <t>Khalilov Nabi</t>
  </si>
  <si>
    <t>Xəli̇lov Nəbi̇ Mi̇kayil oğlu</t>
  </si>
  <si>
    <t>COM 2041</t>
  </si>
  <si>
    <t>Ahmadzada Farid</t>
  </si>
  <si>
    <t>Əhmədzadə Fəri̇d Cavi̇d oğlu</t>
  </si>
  <si>
    <t>COM 2046</t>
  </si>
  <si>
    <t>Valiyev Emin</t>
  </si>
  <si>
    <t>Vəli̇yev Emi̇n Zaki̇r oğlu</t>
  </si>
  <si>
    <t>COM 2066</t>
  </si>
  <si>
    <t>Hajimuradov Zaur</t>
  </si>
  <si>
    <t>Hacimuradov Zaur Hacimurad oğlu</t>
  </si>
  <si>
    <t>COM 2084</t>
  </si>
  <si>
    <t>Abbasova Laman</t>
  </si>
  <si>
    <t>Abbasova Ləman Fi̇krət qızı</t>
  </si>
  <si>
    <t>COM 2097</t>
  </si>
  <si>
    <t>Mahmudzade Yahya</t>
  </si>
  <si>
    <t>Mahmudzadə Yəhya Mahmud oğlu</t>
  </si>
  <si>
    <t>COM 2103</t>
  </si>
  <si>
    <t>Guliyeva Elmira</t>
  </si>
  <si>
    <t>Quli̇yeva Elmi̇ra Müşfi̇q qızı</t>
  </si>
  <si>
    <t>COM 2104</t>
  </si>
  <si>
    <t>Əli̇yeva Səbi̇nə Ceyhun qızı</t>
  </si>
  <si>
    <t>COM 2118</t>
  </si>
  <si>
    <t>Hajiyev Kamran</t>
  </si>
  <si>
    <t>Hacıyev Kamran Nazi̇m oğlu</t>
  </si>
  <si>
    <t>Müştəri səsi üzrə analitik</t>
  </si>
  <si>
    <t>Voice of Customer Analyst</t>
  </si>
  <si>
    <t>COM 2136</t>
  </si>
  <si>
    <t>Hasanova Parvana</t>
  </si>
  <si>
    <t>Həsənova Pərvanə Zəki̇ qızı</t>
  </si>
  <si>
    <t>COM 2137</t>
  </si>
  <si>
    <t>Bayramova Yegana</t>
  </si>
  <si>
    <t>Bayramova Yeganə Fazi̇l qızı</t>
  </si>
  <si>
    <t>COM 2141</t>
  </si>
  <si>
    <t>Aliyeva Samira</t>
  </si>
  <si>
    <t>Əli̇yeva Sami̇rə Fi̇zuli̇ qızı</t>
  </si>
  <si>
    <t>COM 2142</t>
  </si>
  <si>
    <t>Pishyari Kamil</t>
  </si>
  <si>
    <t>Pi̇şyari̇ Kami̇l Nazi̇m oğlu</t>
  </si>
  <si>
    <t>Client Care division</t>
  </si>
  <si>
    <t>Müştəri Xidməti şöbəsi</t>
  </si>
  <si>
    <t>Müştəri xidməti şöbəsinin rəhbəri</t>
  </si>
  <si>
    <t>Head of Client Care</t>
  </si>
  <si>
    <t>COM 2150</t>
  </si>
  <si>
    <t>Mustafayeva Khatira</t>
  </si>
  <si>
    <t>Mustafayeva Xati̇rə Mustafa qızı</t>
  </si>
  <si>
    <t>COM 2184</t>
  </si>
  <si>
    <t>Abdullayeva Aytan</t>
  </si>
  <si>
    <t>Abdullayeva Aytən Ni̇zami̇ qızı</t>
  </si>
  <si>
    <t>COM 2186</t>
  </si>
  <si>
    <t>Orujova Ulkar</t>
  </si>
  <si>
    <t>Orucova Ülkər Eti̇bar qızı</t>
  </si>
  <si>
    <t>COM 2332</t>
  </si>
  <si>
    <t>Bahmanov Bahman</t>
  </si>
  <si>
    <t>Bəhmanov Bəhman Zaki̇r oğlu</t>
  </si>
  <si>
    <t>COM 2379</t>
  </si>
  <si>
    <t>Mammadli Ali</t>
  </si>
  <si>
    <t>Məmmədli̇ Əli̇ Ami̇r oğlu</t>
  </si>
  <si>
    <t>Quality, Training, Content Management division</t>
  </si>
  <si>
    <t>Keyfiyyət, Təlim və Məzmunun idarə Olunması şöbəsi</t>
  </si>
  <si>
    <t>Keyfiyyət, təlim və məzmunun idarə olunması şöbəsinin rəhbəri</t>
  </si>
  <si>
    <t>Head of Quality, Training, Content Management division</t>
  </si>
  <si>
    <t>COM 2399</t>
  </si>
  <si>
    <t>Orujov Oruj</t>
  </si>
  <si>
    <t>Orucov Oruc Ni̇zami̇ oğlu</t>
  </si>
  <si>
    <t>COM 2401</t>
  </si>
  <si>
    <t>Shahverdiyeva Gulnar</t>
  </si>
  <si>
    <t>Şahverdiyeva Gülnar Ruslan qızı</t>
  </si>
  <si>
    <t>COM 2402</t>
  </si>
  <si>
    <t>Abdullayev Abbas</t>
  </si>
  <si>
    <t>Abdullayev Abbas Sərvər oğlu</t>
  </si>
  <si>
    <t>COM 2408</t>
  </si>
  <si>
    <t>Yusifova Aytan</t>
  </si>
  <si>
    <t>Yusi̇fova Aytən Fazi̇l qızı</t>
  </si>
  <si>
    <t>COM 2425</t>
  </si>
  <si>
    <t>Israfilov Telman</t>
  </si>
  <si>
    <t>İsrafi̇lov Telman Əmri̇ oğlu</t>
  </si>
  <si>
    <t>COM 2429</t>
  </si>
  <si>
    <t>Safarzade Rashad</t>
  </si>
  <si>
    <t>Səfərzadə Rəşad Sadi̇q oğlu</t>
  </si>
  <si>
    <t>COM 2430</t>
  </si>
  <si>
    <t>Ismayilzada Agil</t>
  </si>
  <si>
    <t>İsmayılzadə Aqi̇l Abdulxalıq oğlu</t>
  </si>
  <si>
    <t>COM 2433</t>
  </si>
  <si>
    <t>Mehdiyeva Elnara</t>
  </si>
  <si>
    <t>Mehdi̇yeva Elnarə İsmi̇xan qızı</t>
  </si>
  <si>
    <t>COM 2436</t>
  </si>
  <si>
    <t>Novruzova Laman</t>
  </si>
  <si>
    <t>Novruzova Ləman Azər qızı</t>
  </si>
  <si>
    <t>Müştəri səsi layihə meneceri</t>
  </si>
  <si>
    <t>Voice of Customer Project Manager</t>
  </si>
  <si>
    <t>COM 2449</t>
  </si>
  <si>
    <t>Naghdaliyev Javid</t>
  </si>
  <si>
    <t>Nağdəli̇yev Cavi̇d Murad oğlu</t>
  </si>
  <si>
    <t>COM 2506</t>
  </si>
  <si>
    <t>Khanmammadov Kanan</t>
  </si>
  <si>
    <t>Xanməmmədov Kənan Mahi̇r oğlu</t>
  </si>
  <si>
    <t>COM 2511</t>
  </si>
  <si>
    <t>Mammadov Hidayat</t>
  </si>
  <si>
    <t>Məmmədov Hi̇dayət Raul oğlu</t>
  </si>
  <si>
    <t>Client Care team</t>
  </si>
  <si>
    <t>Müştəri Xidməti bölməsi</t>
  </si>
  <si>
    <t>Məhsul üzrə menecer Yeni1</t>
  </si>
  <si>
    <t>COM 2525</t>
  </si>
  <si>
    <t>Nadirova Aytan</t>
  </si>
  <si>
    <t>Nadi̇rova Aytən Cəlal qızı</t>
  </si>
  <si>
    <t>COM 2526</t>
  </si>
  <si>
    <t>Abdullayev Shamil</t>
  </si>
  <si>
    <t>Abdullayev Şami̇l Nadi̇rovi̇ç</t>
  </si>
  <si>
    <t>COM 2528</t>
  </si>
  <si>
    <t>Nabiyeva Emiliya</t>
  </si>
  <si>
    <t>Nəbi̇yeva Emi̇li̇ya Səməd qızı</t>
  </si>
  <si>
    <t>COM 2529</t>
  </si>
  <si>
    <t>Nasibova Javahir</t>
  </si>
  <si>
    <t>Nəsi̇bova Cəvahi̇r Novruz qızı</t>
  </si>
  <si>
    <t>COM 2532</t>
  </si>
  <si>
    <t>Abbasova Zarifa</t>
  </si>
  <si>
    <t>Abbasova Zəri̇fə Nati̇q qızı</t>
  </si>
  <si>
    <t>COM 2533</t>
  </si>
  <si>
    <t>Aliyeva Adila</t>
  </si>
  <si>
    <t>Əli̇yeva Adi̇lə Ələkbər qızı</t>
  </si>
  <si>
    <t>COM 2535</t>
  </si>
  <si>
    <t>Feyzullayev Ramig</t>
  </si>
  <si>
    <t>Feyzullayev Rami̇q Əfqan oğlu</t>
  </si>
  <si>
    <t>COM 2540</t>
  </si>
  <si>
    <t>Babayeva Narmin</t>
  </si>
  <si>
    <t>Babayeva Nərmin Yelmar qızı</t>
  </si>
  <si>
    <t>COM 2541</t>
  </si>
  <si>
    <t>Asadov Toghrul</t>
  </si>
  <si>
    <t>Əsədov Toğrul Araz oğlu</t>
  </si>
  <si>
    <t>COM 2543</t>
  </si>
  <si>
    <t>Aliyev Talib</t>
  </si>
  <si>
    <t>Əliyev Talib Pərviz oğlu</t>
  </si>
  <si>
    <t>COM 2544</t>
  </si>
  <si>
    <t>Sadigov Seyfaddin</t>
  </si>
  <si>
    <t>Sadiqov Seyfəddin Hi̇dayət oğlu</t>
  </si>
  <si>
    <t>COM 2545</t>
  </si>
  <si>
    <t>Mustafayev Nihad</t>
  </si>
  <si>
    <t>Mustafayev Nihad Yusif oğlu</t>
  </si>
  <si>
    <t>COM 2546</t>
  </si>
  <si>
    <t>Rasulzada Islam</t>
  </si>
  <si>
    <t>Rəsul-Zadə İslam Azər oğlu</t>
  </si>
  <si>
    <t>COM 2553</t>
  </si>
  <si>
    <t>Hasanli Hidayat</t>
  </si>
  <si>
    <t>Həsənli Hidayət Pərviz oğlu</t>
  </si>
  <si>
    <t>COM 2554</t>
  </si>
  <si>
    <t>Krasichkova Liya</t>
  </si>
  <si>
    <t>Krasiçkova Liya Valeryevna</t>
  </si>
  <si>
    <t>COM 2556</t>
  </si>
  <si>
    <t>Jabrayilova Masuma</t>
  </si>
  <si>
    <t>Cəbrayılova Məsumə Telman qızı</t>
  </si>
  <si>
    <t>COM 2557</t>
  </si>
  <si>
    <t>Akbarzade Fatima</t>
  </si>
  <si>
    <t>Əkbərzadə Fatimə Vüqar qızı</t>
  </si>
  <si>
    <t>COM 2445</t>
  </si>
  <si>
    <t>Mustafayev Asgar</t>
  </si>
  <si>
    <t>Mustafayev Əsgər Namazəli̇ oğlu</t>
  </si>
  <si>
    <t>HSE division</t>
  </si>
  <si>
    <t>SƏTƏM üzrə mütəxəssis</t>
  </si>
  <si>
    <t>HSE Specialist</t>
  </si>
  <si>
    <t>COM 2566</t>
  </si>
  <si>
    <t>Ahmadov Mammad</t>
  </si>
  <si>
    <t>Əhmədov Məmməd Seyran oğlu</t>
  </si>
  <si>
    <t>Supply Chain block</t>
  </si>
  <si>
    <t>Maintenenance$Facility division</t>
  </si>
  <si>
    <t>Anbar və ehtiyatların uçotu üzrə mütəxəssis</t>
  </si>
  <si>
    <t>Stock Keeper</t>
  </si>
  <si>
    <t>COM 2090</t>
  </si>
  <si>
    <t>Kara Umut Yunus</t>
  </si>
  <si>
    <t>Kara Umut Yunus oğlu</t>
  </si>
  <si>
    <t>Qaytarılma  əməliyyatları üzrə menecer</t>
  </si>
  <si>
    <t>Returns Operations Manager</t>
  </si>
  <si>
    <t>COM03</t>
  </si>
  <si>
    <t>Abdurrahi̇mova Shari̇fa</t>
  </si>
  <si>
    <t>Əbdürrəhi̇mova Şəri̇fə Zi̇yafəddi̇n qızı</t>
  </si>
  <si>
    <t>Müraciətlər və iddialar üzrə mütəxəssis</t>
  </si>
  <si>
    <t>Claims Specialist</t>
  </si>
  <si>
    <t>COM 1479</t>
  </si>
  <si>
    <t>Guliyev Jahangir</t>
  </si>
  <si>
    <t>Quli̇yev Cahangi̇r Bəhram oğlu</t>
  </si>
  <si>
    <t>Əməliyyatlar üzrə mütəxəssis</t>
  </si>
  <si>
    <t>Operations Specialist (new)</t>
  </si>
  <si>
    <t>COM 2567</t>
  </si>
  <si>
    <t>Akbarov Hikmat</t>
  </si>
  <si>
    <t>Əkbərov Hi̇kmət Kamal oğlu</t>
  </si>
  <si>
    <t>Qaytarma əməliyyatları üzrə logistika meneceri</t>
  </si>
  <si>
    <t>Return Logistics Manager</t>
  </si>
  <si>
    <t>COM 308</t>
  </si>
  <si>
    <t>Abbasov Ruslan</t>
  </si>
  <si>
    <t>Abbasov Ruslan Əjdər oğlu</t>
  </si>
  <si>
    <t>COM 2021</t>
  </si>
  <si>
    <t>Sadigova Nargi̇z</t>
  </si>
  <si>
    <t>Sadıqova Nərgi̇z Rafai̇l qızı</t>
  </si>
  <si>
    <t>X-border division</t>
  </si>
  <si>
    <t>Əməliyyatlar üzrə baş mütəxəssis</t>
  </si>
  <si>
    <t>Senior operations specialist</t>
  </si>
  <si>
    <t>COM 391</t>
  </si>
  <si>
    <t>Nazarova Leyla</t>
  </si>
  <si>
    <t>Nəzərova Leyla Əhmədağa qızı</t>
  </si>
  <si>
    <t>COM 2538</t>
  </si>
  <si>
    <t>Hashimov Ruslan</t>
  </si>
  <si>
    <t>Həşimov Ruslan Adil oğlu</t>
  </si>
  <si>
    <t>Texniki Mütəxəssis</t>
  </si>
  <si>
    <t>Technical Specialist</t>
  </si>
  <si>
    <t>COM 2568</t>
  </si>
  <si>
    <t>Asgarov Ilkin</t>
  </si>
  <si>
    <t>Əsgərov İlkin Namiq oğlu</t>
  </si>
  <si>
    <t>COM 2059</t>
  </si>
  <si>
    <t>Məmmədova Leyla Zi̇yəddi̇n qızı</t>
  </si>
  <si>
    <t>COM 851</t>
  </si>
  <si>
    <t>Hajiyeva Sudaba</t>
  </si>
  <si>
    <t>Hacıyeva Südabə Elman qızı</t>
  </si>
  <si>
    <t>İnzibati işlər və təsərrüfat üzrə mütəxəssis</t>
  </si>
  <si>
    <t>Admin&amp;Facility Specialist</t>
  </si>
  <si>
    <t>COM 2015</t>
  </si>
  <si>
    <t>Agha-Zada Tural</t>
  </si>
  <si>
    <t>Ağa-Zadə Tural Aki̇f oğlu</t>
  </si>
  <si>
    <t>Texniki xidmət və inzibati təsərrüfat şöbəsinin rəhbəri</t>
  </si>
  <si>
    <t>Head of Maintenance&amp;Facility division</t>
  </si>
  <si>
    <t>COM 2018</t>
  </si>
  <si>
    <t>Gasimli Javidan</t>
  </si>
  <si>
    <t>Qasımlı Cavi̇dan Dəyanət oğlu</t>
  </si>
  <si>
    <t>Beynəlxalq yükdaşımaları və gömrük xidmətləri şöbəsinin rəhbəri</t>
  </si>
  <si>
    <t>Head of X-border &amp; Customs &amp; AF</t>
  </si>
  <si>
    <t>COM 885</t>
  </si>
  <si>
    <t>Orujova Zhala</t>
  </si>
  <si>
    <t>Orucova Jalə Arzu qızı</t>
  </si>
  <si>
    <t>Monitoring division</t>
  </si>
  <si>
    <t>Logistika dəstəyi üzrə 2 ci xətt meneceri</t>
  </si>
  <si>
    <t>Logistics support 2nd line manager</t>
  </si>
  <si>
    <t>COM 993</t>
  </si>
  <si>
    <t>Abbasova Leyla</t>
  </si>
  <si>
    <t>Abbasova Leyla Səttar qızı</t>
  </si>
  <si>
    <t>Logistika dəstəyi üzrə mütəxəssis</t>
  </si>
  <si>
    <t>Logistics support 2nd line specialist</t>
  </si>
  <si>
    <t>COM 998</t>
  </si>
  <si>
    <t>Dadashova Aysu</t>
  </si>
  <si>
    <t>Dadaşova Aysu Rövşən qızı</t>
  </si>
  <si>
    <t xml:space="preserve"> İnzibati-təsərrüfat məsələləri üzrə menecer</t>
  </si>
  <si>
    <t>Facility Manager</t>
  </si>
  <si>
    <t>COM 1011</t>
  </si>
  <si>
    <t>Hajiyeva Khati̇ra</t>
  </si>
  <si>
    <t>Haciyeva Xati̇rə Əmi̇rşah qızı</t>
  </si>
  <si>
    <t>COM 1315</t>
  </si>
  <si>
    <t>Matatyayev Marat</t>
  </si>
  <si>
    <t>Matatyayev Marat Aydınovi̇ç</t>
  </si>
  <si>
    <t>Monitorinq üzrə menecer</t>
  </si>
  <si>
    <t>Monitoring Manager</t>
  </si>
  <si>
    <t>COM 1328</t>
  </si>
  <si>
    <t>Hasanli̇ Sami̇r</t>
  </si>
  <si>
    <t>Həsənli̇ Sami̇r Oruc oğlu</t>
  </si>
  <si>
    <t>Təmir xidməti üzrə rəhbər</t>
  </si>
  <si>
    <t>Repair Service Lead</t>
  </si>
  <si>
    <t>COM 1352</t>
  </si>
  <si>
    <t>Zamanov Nabi</t>
  </si>
  <si>
    <t>Zamanov Nəbi İbrahim oğlu</t>
  </si>
  <si>
    <t>Gömrük mütəxəssisi</t>
  </si>
  <si>
    <t>Customs specialist</t>
  </si>
  <si>
    <t>COM 1355/2</t>
  </si>
  <si>
    <t>Nazi̇rov Tarlan</t>
  </si>
  <si>
    <t>Nəzi̇rov Tərlan Mahi̇r oğlu</t>
  </si>
  <si>
    <t>Quraşdırma və təmir işləri üzrə qrup rəhbəri</t>
  </si>
  <si>
    <t>Installation and repair team lead</t>
  </si>
  <si>
    <t>COM 1387</t>
  </si>
  <si>
    <t>Hasanova Mehmana</t>
  </si>
  <si>
    <t>Həsənova Mehmanə Əmi̇rşah qızı</t>
  </si>
  <si>
    <t>COM 2010</t>
  </si>
  <si>
    <t>Guliyev Vahid</t>
  </si>
  <si>
    <t>Quli̇yev Vahi̇d Vüqar oğlu</t>
  </si>
  <si>
    <t>Gömrük brokerləri komanda rəhbəri</t>
  </si>
  <si>
    <t>Сustoms brokers teamlead</t>
  </si>
  <si>
    <t>COM 1475</t>
  </si>
  <si>
    <t>Ramenskaya Olga</t>
  </si>
  <si>
    <t>Məhsulun qaytarılması şöbəsinin rəhbəri</t>
  </si>
  <si>
    <t>Head of Return division</t>
  </si>
  <si>
    <t>COM 2019</t>
  </si>
  <si>
    <t>Feyzi̇yeva Ali̇na</t>
  </si>
  <si>
    <t>Feyzi̇yeva Ali̇na Rami̇zovna</t>
  </si>
  <si>
    <t>Beynəlxalq daşınmalar üzrə menecer</t>
  </si>
  <si>
    <t>International transportation manager</t>
  </si>
  <si>
    <t>COM 1865</t>
  </si>
  <si>
    <t>Atayev Kanan</t>
  </si>
  <si>
    <t>Atayev Kənan Sərdar oğlu</t>
  </si>
  <si>
    <t>COM 2244</t>
  </si>
  <si>
    <t>Eminov Ruslan</t>
  </si>
  <si>
    <t>Emi̇nov Ruslan Bəybala oğlu</t>
  </si>
  <si>
    <t>Supply Chain Officer</t>
  </si>
  <si>
    <t>Təchizat Zəncirinin İdarə Edilməsi üzrə Baş Direktor</t>
  </si>
  <si>
    <t>Chief Supply Chain Officer </t>
  </si>
  <si>
    <t>COM 2473</t>
  </si>
  <si>
    <t>Panahli Emil</t>
  </si>
  <si>
    <t>Pənahlı Emi̇l Xanlar oğlu</t>
  </si>
  <si>
    <t>Baş mühəndis</t>
  </si>
  <si>
    <t>Senior engineer</t>
  </si>
  <si>
    <t>COM 2475</t>
  </si>
  <si>
    <t>Ismayilov Tural Aslan</t>
  </si>
  <si>
    <t>İsmayilov Tural Aslan oğlu</t>
  </si>
  <si>
    <t>Texnik</t>
  </si>
  <si>
    <t>Technician</t>
  </si>
  <si>
    <t>COM 2477</t>
  </si>
  <si>
    <t>Abdullayeva Shola Abbas</t>
  </si>
  <si>
    <t>Abdullayeva Şölə Abbas qızı</t>
  </si>
  <si>
    <t>COM 2478</t>
  </si>
  <si>
    <t>Hasanli Ilaha Maharram</t>
  </si>
  <si>
    <t>Həsənli̇ İlahə Məhərrəm qızı</t>
  </si>
  <si>
    <t>COM 2479</t>
  </si>
  <si>
    <t>Abbasova Sabina Malik</t>
  </si>
  <si>
    <t>Abbasova Səbi̇nə Mali̇k qızı</t>
  </si>
  <si>
    <t>COM 2495</t>
  </si>
  <si>
    <t>Badalova Ilhama</t>
  </si>
  <si>
    <t>Bədəlova İlhamə Nazi̇m qızı</t>
  </si>
  <si>
    <t>COM 2496</t>
  </si>
  <si>
    <t>Aliyeva Lala</t>
  </si>
  <si>
    <t>Əli̇yeva Lalə Səfər qızı</t>
  </si>
  <si>
    <t>Təmizlik üzrə qrup rəhbəri</t>
  </si>
  <si>
    <t>Cleaning team leader</t>
  </si>
  <si>
    <t>COM 2503</t>
  </si>
  <si>
    <t>Fatullayeva Istagul Fatiagha</t>
  </si>
  <si>
    <t>Fətullayeva İstəgül Fəti̇ağa qızı</t>
  </si>
  <si>
    <t>COM 2547</t>
  </si>
  <si>
    <t>Huseynov Kanan</t>
  </si>
  <si>
    <t>Hüseynov Kənan Səli̇m oğlu</t>
  </si>
  <si>
    <t>COM245</t>
  </si>
  <si>
    <t>Zakiryaev Fuad</t>
  </si>
  <si>
    <t>Zaki̇ryaev Fuad Rasi̇m oğlu</t>
  </si>
  <si>
    <t>Supply Chain/Logistics Operations</t>
  </si>
  <si>
    <t>Routes planning&amp;Delivery division</t>
  </si>
  <si>
    <t>Marşrutların planlaşdırılması və çatdırılma şöbəsi</t>
  </si>
  <si>
    <t>Marşrutların planlaşdırılması və çatdırılma əməliyyatları üzrə rəhbər</t>
  </si>
  <si>
    <t>Head of Routes planning&amp;Delivery division</t>
  </si>
  <si>
    <t>COM272</t>
  </si>
  <si>
    <t>Alizada Ramin</t>
  </si>
  <si>
    <t>Əlizadə Ramin Baloğlan oğlu</t>
  </si>
  <si>
    <t>Marşrutlar üzrə koordinator (tr&amp;region)</t>
  </si>
  <si>
    <t>Routes Coordinator (tr&amp;region)</t>
  </si>
  <si>
    <t>COM280</t>
  </si>
  <si>
    <t>İbadov Zaur</t>
  </si>
  <si>
    <t>İbadov Zaur Arif oğlu</t>
  </si>
  <si>
    <t>Marşrutlar üzrə koordinator (LM)</t>
  </si>
  <si>
    <t>Routes Coordinator (LM)</t>
  </si>
  <si>
    <t>COM295</t>
  </si>
  <si>
    <t>Guliyev Orkhan</t>
  </si>
  <si>
    <t>Quli̇yev Orxan Şah Hüseyn oğlu</t>
  </si>
  <si>
    <t>Nəqliyyat üzrə menecer</t>
  </si>
  <si>
    <t>Transport Manager</t>
  </si>
  <si>
    <t>COM 130</t>
  </si>
  <si>
    <t>Huseynli Mirish</t>
  </si>
  <si>
    <t>Hüseynli̇ Mi̇ri̇ş Mi̇rabbas oğlu</t>
  </si>
  <si>
    <t>Anbar şöbəsi</t>
  </si>
  <si>
    <t>Çeşidləmə növbə rəhbəri</t>
  </si>
  <si>
    <t>Sorting shift supervisor</t>
  </si>
  <si>
    <t>COM 162</t>
  </si>
  <si>
    <t>Mammadov Orkhan</t>
  </si>
  <si>
    <t>Məmmədov Orxan Şahi̇n oğlu</t>
  </si>
  <si>
    <t>Çeşidləmə komanda rəhbəri</t>
  </si>
  <si>
    <t>Sorting teamlead</t>
  </si>
  <si>
    <t>COM 166</t>
  </si>
  <si>
    <t>Sardarov Vasi̇f</t>
  </si>
  <si>
    <t>Sərdarov Vasi̇f Əli̇ oğlu</t>
  </si>
  <si>
    <t>Nəqliyyat üzrə qrup rəhbəri</t>
  </si>
  <si>
    <t>Teamlead transportation</t>
  </si>
  <si>
    <t>COM 1024</t>
  </si>
  <si>
    <t>Nasibov Babak</t>
  </si>
  <si>
    <t>Nəsi̇bov Babək Nəsi̇b oğlu</t>
  </si>
  <si>
    <t>Çeşidləmə mərkəzinin meneceri</t>
  </si>
  <si>
    <t>Sorting centre manager</t>
  </si>
  <si>
    <t>COM 201</t>
  </si>
  <si>
    <t>Adigozalov Fikrat</t>
  </si>
  <si>
    <t>Adıgözəlov Fi̇krət Asi̇f oğlu</t>
  </si>
  <si>
    <t>Marşrutlar üzrə koordinator (FM)</t>
  </si>
  <si>
    <t>Routes Coordinator (FM)</t>
  </si>
  <si>
    <t>COM 202</t>
  </si>
  <si>
    <t>Ramazanov Jamal</t>
  </si>
  <si>
    <t>Ramazanov Camal Sabi̇t oğlu</t>
  </si>
  <si>
    <t>COM 203</t>
  </si>
  <si>
    <t>Agayev Rustam</t>
  </si>
  <si>
    <t>Ağayev Rüstəm Heybət oğlu</t>
  </si>
  <si>
    <t>Təlim meneceri</t>
  </si>
  <si>
    <t>Training manager</t>
  </si>
  <si>
    <t>COM 245</t>
  </si>
  <si>
    <t>Alkhasov Mahir</t>
  </si>
  <si>
    <t>Alxasov Mahi̇r Tahi̇r oğlu</t>
  </si>
  <si>
    <t>Anbardar (SC)</t>
  </si>
  <si>
    <t>Warehouseman (SC)</t>
  </si>
  <si>
    <t>COM 266</t>
  </si>
  <si>
    <t>Aghayev Nijat</t>
  </si>
  <si>
    <t>Ağayev Ni̇cat Kazim oğlu</t>
  </si>
  <si>
    <t>Anbardar (Sədərək HUB)</t>
  </si>
  <si>
    <t>Warehouseman (Sadarak HUB)</t>
  </si>
  <si>
    <t>COM 276</t>
  </si>
  <si>
    <t>Bayramli Yashar</t>
  </si>
  <si>
    <t>Bayramlı Yaşar Bəhmən oğlu</t>
  </si>
  <si>
    <t>COM 278</t>
  </si>
  <si>
    <t>Zeynalov Asif</t>
  </si>
  <si>
    <t>Zeynalov Asi̇f Kami̇l oğlu</t>
  </si>
  <si>
    <t>COM 279</t>
  </si>
  <si>
    <t>Gabi̇lzada Parvi̇n</t>
  </si>
  <si>
    <t>Qabi̇lzadə Pərvi̇n Şahbaz oğlu</t>
  </si>
  <si>
    <t>COM 286</t>
  </si>
  <si>
    <t>Allahverdiyev Ali</t>
  </si>
  <si>
    <t>Allahverdi̇yev Əli̇ Sultan oğlu</t>
  </si>
  <si>
    <t>Son  mərhələ kuryer xidməti şöbəsinin meneceri</t>
  </si>
  <si>
    <t>Last Mile Manager</t>
  </si>
  <si>
    <t>COM 292</t>
  </si>
  <si>
    <t>Abdullayev Aykhan</t>
  </si>
  <si>
    <t>Abdullayev Ayxan Məhəmməd oğlu</t>
  </si>
  <si>
    <t>Son mərhələ çatdırılma üzrə qrup rəhbəri</t>
  </si>
  <si>
    <t>Teamlead Last Mile</t>
  </si>
  <si>
    <t>COM 379</t>
  </si>
  <si>
    <t>Jabrayilov Jalaladdi̇n</t>
  </si>
  <si>
    <t>Cəbrayılov Cəlaləddi̇n Əli̇ oğlu</t>
  </si>
  <si>
    <t>COM 2549</t>
  </si>
  <si>
    <t>Shovkatzada Umid</t>
  </si>
  <si>
    <t>Şövkətzadə Ümid Elman oğlu</t>
  </si>
  <si>
    <t>COM 480</t>
  </si>
  <si>
    <t>Huseynov Eldost</t>
  </si>
  <si>
    <t>Hüseynov Eldost Telman oğlu</t>
  </si>
  <si>
    <t>Regional Anbar Supervayzeri</t>
  </si>
  <si>
    <t>Regional warehouses supervisor</t>
  </si>
  <si>
    <t>COM 482</t>
  </si>
  <si>
    <t>Muradov Ruslan</t>
  </si>
  <si>
    <t>Muradov Ruslan Sərxan oğlu</t>
  </si>
  <si>
    <t>COM 483</t>
  </si>
  <si>
    <t>Zeynalov Rashid</t>
  </si>
  <si>
    <t>Zeynalov Rəşi̇d Elxan oğlu</t>
  </si>
  <si>
    <t>COM 486</t>
  </si>
  <si>
    <t>Guliyev Murad</t>
  </si>
  <si>
    <t>Quli̇yev Murad Tahi̇r oğlu</t>
  </si>
  <si>
    <t>Anbar şöbəsinin rəhbəri</t>
  </si>
  <si>
    <t>Head of Warehousing</t>
  </si>
  <si>
    <t>COM 487</t>
  </si>
  <si>
    <t>Ahmadov Fuad</t>
  </si>
  <si>
    <t>Əhmədov Fuad Sədayət oğlu</t>
  </si>
  <si>
    <t>COM 493</t>
  </si>
  <si>
    <t>Mardanov Kanan</t>
  </si>
  <si>
    <t>Mərdanov Kənan Vüqar oğlu</t>
  </si>
  <si>
    <t>Regional Hub Meneceri</t>
  </si>
  <si>
    <t>Regional HUB Manager</t>
  </si>
  <si>
    <t>COM 499</t>
  </si>
  <si>
    <t>Tahi̇rzada Vagi̇f</t>
  </si>
  <si>
    <t>Tahi̇rzadə Vaqi̇f İlqar oğlu</t>
  </si>
  <si>
    <t>COM 519</t>
  </si>
  <si>
    <t>Allahverdiyev Anar</t>
  </si>
  <si>
    <t>Allahverdi̇yev Anar Müslümovi̇ç</t>
  </si>
  <si>
    <t>PUDO division</t>
  </si>
  <si>
    <t>Götürmə və təslim etmə nöqtələri şöbəsi</t>
  </si>
  <si>
    <t>PUDO əməliyyatlar üzrə dəstək mütəxəssisi</t>
  </si>
  <si>
    <t>PUDO operations support specialist</t>
  </si>
  <si>
    <t>COM 1200</t>
  </si>
  <si>
    <t>Guliyev Mahammad</t>
  </si>
  <si>
    <t>Quliyev Məhəmməd Bəhruz oğlu</t>
  </si>
  <si>
    <t>Başlanğıc  mərhələ kuryer xidməti  meneceri</t>
  </si>
  <si>
    <t>First Mile Manager</t>
  </si>
  <si>
    <t>COM 551</t>
  </si>
  <si>
    <t>Sadi̇gi̇ Imran</t>
  </si>
  <si>
    <t>Sadi̇qi̇ İmran Şoqi̇ oğlu</t>
  </si>
  <si>
    <t>Fulfillment komandası rəhbəri</t>
  </si>
  <si>
    <t>Fulfillment teamlead</t>
  </si>
  <si>
    <t>COM 592</t>
  </si>
  <si>
    <t>Ali̇yev Vusal</t>
  </si>
  <si>
    <t>Əli̇yev Vüsal Azər oğlu</t>
  </si>
  <si>
    <t>Anbardar</t>
  </si>
  <si>
    <t>COM 557</t>
  </si>
  <si>
    <t>Ali̇yev Kamran</t>
  </si>
  <si>
    <t>Əli̇yev Kamran Əli̇-Pənah oğlu</t>
  </si>
  <si>
    <t>COM 1904</t>
  </si>
  <si>
    <t>Shirinov Azar</t>
  </si>
  <si>
    <t>Şi̇ri̇nov Azər İslam oğlu</t>
  </si>
  <si>
    <t>Anbardar (FF)</t>
  </si>
  <si>
    <t>Warehouseman (FF)</t>
  </si>
  <si>
    <t>COM 588</t>
  </si>
  <si>
    <t>Yagubov Zalman</t>
  </si>
  <si>
    <t>Yaqubov Zalman Yusi̇f oğlu</t>
  </si>
  <si>
    <t>PUDO üzrə baş menecer</t>
  </si>
  <si>
    <t>Pudo senior manager</t>
  </si>
  <si>
    <t>COM 1988</t>
  </si>
  <si>
    <t>Gasimov Ilham</t>
  </si>
  <si>
    <t>Qasımov İlham İkram oğlu</t>
  </si>
  <si>
    <t>Fulfillment WMS operatoru</t>
  </si>
  <si>
    <t>Fulfillment WMS operator</t>
  </si>
  <si>
    <t>COM 669</t>
  </si>
  <si>
    <t>Mustafayev Fai̇g</t>
  </si>
  <si>
    <t>Mustafayev Fai̇q Oruc oğlu</t>
  </si>
  <si>
    <t>Pudo Ödənişlər üzrə mütəxəssis (tərəfdaşlarla iş üzrə)</t>
  </si>
  <si>
    <t>Pudo partners payments specialist</t>
  </si>
  <si>
    <t>СОМ 704</t>
  </si>
  <si>
    <t>Allazova Nİgar</t>
  </si>
  <si>
    <t>Əlləzova Nigar Vaqif qızı</t>
  </si>
  <si>
    <t>COM 747</t>
  </si>
  <si>
    <t>Khankishiyev Huseyn</t>
  </si>
  <si>
    <t>Xankişiyev Hüseyn Telman</t>
  </si>
  <si>
    <t>Təlim mütəxəssisi</t>
  </si>
  <si>
    <t>Training specialist</t>
  </si>
  <si>
    <t>COM 761</t>
  </si>
  <si>
    <t>Rustamov Ali</t>
  </si>
  <si>
    <t>Rüstəmov Əli̇ Zabi̇l oğlu</t>
  </si>
  <si>
    <t>COM 769</t>
  </si>
  <si>
    <t>Atakishiyev Rustam</t>
  </si>
  <si>
    <t>Ataki̇şi̇yev Rüstəm İlham oğlu</t>
  </si>
  <si>
    <t>COM 808</t>
  </si>
  <si>
    <t>Islamov Sami̇r</t>
  </si>
  <si>
    <t>İslamov Sami̇r Mayil oğlu</t>
  </si>
  <si>
    <t>PUDO Genişlənmə Meneceri</t>
  </si>
  <si>
    <t>PUDO Expansion manager</t>
  </si>
  <si>
    <t>COM 816</t>
  </si>
  <si>
    <t>Rakhi̇mov Ri̇ad</t>
  </si>
  <si>
    <t>Rəhi̇mov Ri̇ad Eldar oğlu</t>
  </si>
  <si>
    <t>Çeşidləmə Mərkəzi  WMS operatoru</t>
  </si>
  <si>
    <t>SC WMS operator</t>
  </si>
  <si>
    <t>COM 817</t>
  </si>
  <si>
    <t>Aghayev Kanan</t>
  </si>
  <si>
    <t>Ağayev Kənan Mehman oğlu</t>
  </si>
  <si>
    <t>Qaytarılmalar üzrə WMS operatoru</t>
  </si>
  <si>
    <t>Returns WMS Operator</t>
  </si>
  <si>
    <t>COM 844</t>
  </si>
  <si>
    <t>Asadov Nemat</t>
  </si>
  <si>
    <t>Əsədov Nemət Valeh oğlu</t>
  </si>
  <si>
    <t>COM 845</t>
  </si>
  <si>
    <t>Alaskarov Sadi̇</t>
  </si>
  <si>
    <t>Ələskərov Sədi̇ İlham oğlu</t>
  </si>
  <si>
    <t>COM 2073</t>
  </si>
  <si>
    <t>Balaki̇shi̇yev Garib</t>
  </si>
  <si>
    <t>Balaki̇şi̇yev Qəri̇b Əfqan oğlu</t>
  </si>
  <si>
    <t>COM 856</t>
  </si>
  <si>
    <t>Budagov Rustam</t>
  </si>
  <si>
    <t>Budaqov Rüstəm Mürşüd oğlu</t>
  </si>
  <si>
    <t>Başlanğc mərhələ çatdırılması üzrə qrup rəhbəri</t>
  </si>
  <si>
    <t>Teamlead First Mile</t>
  </si>
  <si>
    <t>COM 873</t>
  </si>
  <si>
    <t>Javadov Aziz</t>
  </si>
  <si>
    <t>Cavadov Əzi̇z Rami̇z oğlu</t>
  </si>
  <si>
    <t>COM 880</t>
  </si>
  <si>
    <t>Garayev Joshgun</t>
  </si>
  <si>
    <t>Qarayev Coşqun Eşqi̇n oğlu</t>
  </si>
  <si>
    <t>COM 892</t>
  </si>
  <si>
    <t>Baghirova Yeman</t>
  </si>
  <si>
    <t>Bağırova Yemən Rafi̇q qızı</t>
  </si>
  <si>
    <t>COM 922</t>
  </si>
  <si>
    <t>Mustafayev Rovshan</t>
  </si>
  <si>
    <t>Mustafayev Rövşən Elşən oğlu</t>
  </si>
  <si>
    <t>Anbardar (Qaytarmarlar)</t>
  </si>
  <si>
    <t>Warehouseman (Returns)</t>
  </si>
  <si>
    <t>COM 959</t>
  </si>
  <si>
    <t>Suleymanli Ogtay</t>
  </si>
  <si>
    <t>Süleymanlı Oqtay Ni̇yaz oğlu</t>
  </si>
  <si>
    <t>COM 927</t>
  </si>
  <si>
    <t>Mi̇ri̇yev Babak</t>
  </si>
  <si>
    <t>Mi̇ri̇yev Babək Elman oğlu</t>
  </si>
  <si>
    <t>COM 929</t>
  </si>
  <si>
    <t>Guli̇yev Vugar</t>
  </si>
  <si>
    <t>Quli̇yev Vüqar Kəri̇m oğlu</t>
  </si>
  <si>
    <t>COM 934</t>
  </si>
  <si>
    <t>Rustamzada Elvi̇n</t>
  </si>
  <si>
    <t>Rüstəmzadə Elvi̇n Fəxrəddi̇n oğlu</t>
  </si>
  <si>
    <t>COM 940</t>
  </si>
  <si>
    <t>Samadov Elchin</t>
  </si>
  <si>
    <t>Səmədov Elçi̇n Tofi̇q oğlu</t>
  </si>
  <si>
    <t>COM 969</t>
  </si>
  <si>
    <t>Rahimov Famil</t>
  </si>
  <si>
    <t>Rəhi̇mov Fami̇l Fazi̇l oğlu</t>
  </si>
  <si>
    <t>COM 982</t>
  </si>
  <si>
    <t>Hasanov Natig</t>
  </si>
  <si>
    <t>Həsənov Natiq İlham oğlu</t>
  </si>
  <si>
    <t>COM 985</t>
  </si>
  <si>
    <t>Ali̇yev Azar</t>
  </si>
  <si>
    <t>Əli̇yev Azər Adi̇l oğlu</t>
  </si>
  <si>
    <t>COM 1033</t>
  </si>
  <si>
    <t>Asmatov Ruslan</t>
  </si>
  <si>
    <t>Əsmətov Ruslan Rəzzaq oğlu</t>
  </si>
  <si>
    <t>Qaytarılmalar üzrə anbar növbə rəhbəri</t>
  </si>
  <si>
    <t>Returns Warehouse shift supervisor</t>
  </si>
  <si>
    <t>COM 1051</t>
  </si>
  <si>
    <t>Babayev Kamran</t>
  </si>
  <si>
    <t>Babayev Kamran Əbülfəz oğlu</t>
  </si>
  <si>
    <t>COM 1064</t>
  </si>
  <si>
    <t>Zeyni̇zada Elvi̇n</t>
  </si>
  <si>
    <t>Zeyni̇zadə Elvi̇n Eyvaz oğlu</t>
  </si>
  <si>
    <t>COM 1079</t>
  </si>
  <si>
    <t>Asadov Elmaddi̇n</t>
  </si>
  <si>
    <t>Əsədov Elməddi̇n İslam oğlu</t>
  </si>
  <si>
    <t>COM 1081</t>
  </si>
  <si>
    <t>Ahmadzada Punhan</t>
  </si>
  <si>
    <t>Əhmədzadə Pünhan Aki̇f oğlu</t>
  </si>
  <si>
    <t>PUDO Əməliyyatlar üzrə menecer (2)</t>
  </si>
  <si>
    <t>PUDO Operations manager</t>
  </si>
  <si>
    <t>COM 1095</t>
  </si>
  <si>
    <t>Mammadov Alabbas</t>
  </si>
  <si>
    <t>Məmmədov Əlabbas Abbas oğlu</t>
  </si>
  <si>
    <t>COM 1687</t>
  </si>
  <si>
    <t>Karimov Elnur</t>
  </si>
  <si>
    <t>Kərimov Elnur Vidadi oğlu</t>
  </si>
  <si>
    <t>COM 1112</t>
  </si>
  <si>
    <t>Shi̇ri̇nov Sadi̇</t>
  </si>
  <si>
    <t>Şi̇ri̇nov Sədi̇ Həmi̇d oğlu</t>
  </si>
  <si>
    <t>COM 1119</t>
  </si>
  <si>
    <t>Abdullayev Mai̇s</t>
  </si>
  <si>
    <t>Abdullayev Mai̇s Mi̇rmahmud oğlu</t>
  </si>
  <si>
    <t>COM 1120</t>
  </si>
  <si>
    <t>Ahmadova Leyla</t>
  </si>
  <si>
    <t>Əhmədova Leyla Fari̇s qızı</t>
  </si>
  <si>
    <t>PUDO anbar işçisi</t>
  </si>
  <si>
    <t>PUDO Storekeeper</t>
  </si>
  <si>
    <t>COM 1149</t>
  </si>
  <si>
    <t>Vali̇yev Garakhan</t>
  </si>
  <si>
    <t>Vəli̇yev Qaraxan Feyruz oğlu</t>
  </si>
  <si>
    <t>COM 1151</t>
  </si>
  <si>
    <t>Rasullu Rovshan</t>
  </si>
  <si>
    <t>Rəsullu Rövşən Mehman oğlu</t>
  </si>
  <si>
    <t>COM 1180</t>
  </si>
  <si>
    <t>Akbarzada Avaz</t>
  </si>
  <si>
    <t>Əkbərzadə Əvəz Fərraş oğlu</t>
  </si>
  <si>
    <t>COM 1192</t>
  </si>
  <si>
    <t>Azi̇zov Fami̇l</t>
  </si>
  <si>
    <t>Əzi̇zov Fami̇l İsmayil oğlu</t>
  </si>
  <si>
    <t>COM 1230</t>
  </si>
  <si>
    <t>Gurbanov Elkhan</t>
  </si>
  <si>
    <t>Qurbanov Elxan Ali̇k oğlu</t>
  </si>
  <si>
    <t>COM 1245</t>
  </si>
  <si>
    <t>Akhmedov Pizuli</t>
  </si>
  <si>
    <t>COM 2102</t>
  </si>
  <si>
    <t>Mutallibzada Huseyn Nasir</t>
  </si>
  <si>
    <t>Mütəlli̇bzadə Hüseyn Nəsi̇r oğlu</t>
  </si>
  <si>
    <t>COM 1263</t>
  </si>
  <si>
    <t>Huseynli̇ Ni̇jat</t>
  </si>
  <si>
    <t>Hüseynli̇ Ni̇cat Səməd oğlu</t>
  </si>
  <si>
    <t>PUDO genişləndirmə mütəxəssisi</t>
  </si>
  <si>
    <t>PUDO expansion specialist</t>
  </si>
  <si>
    <t>COM 1266</t>
  </si>
  <si>
    <t>Jamalova Samira</t>
  </si>
  <si>
    <t>Camalova Sami̇rə Elşad qızı</t>
  </si>
  <si>
    <t>COM 1285</t>
  </si>
  <si>
    <t>Baghirova Gultaki̇n</t>
  </si>
  <si>
    <t>Bağırova Gültəki̇n Mehman qızı</t>
  </si>
  <si>
    <t>COM 1340</t>
  </si>
  <si>
    <t>Mammadova Aytaj</t>
  </si>
  <si>
    <t>Məmmədova Aytac Abbas qızı</t>
  </si>
  <si>
    <t>COM 1369</t>
  </si>
  <si>
    <t>Chingizli Tabriz</t>
  </si>
  <si>
    <t>Çingizli Təbriz Vamiq oğlu</t>
  </si>
  <si>
    <t>Qrup rəhbəri (Yevlax)</t>
  </si>
  <si>
    <t>Team lead (Yevlakh)</t>
  </si>
  <si>
    <t>COM 1374</t>
  </si>
  <si>
    <t>Khanlarli Orkhan</t>
  </si>
  <si>
    <t>Xanlarlı Orxan Maarif oğlu</t>
  </si>
  <si>
    <t>Anbardar (Yevlax HUB)</t>
  </si>
  <si>
    <t>Warehouseman (Yevlakh HUB)</t>
  </si>
  <si>
    <t>COM 1393</t>
  </si>
  <si>
    <t>Ismayilova Nazira</t>
  </si>
  <si>
    <t>İsmayılova Nəzi̇rə Elşad qızı</t>
  </si>
  <si>
    <t>COM 1403</t>
  </si>
  <si>
    <t>Mammadova Ulviyya</t>
  </si>
  <si>
    <t>Məmmədova Ülvi̇yyə Əkbər qızı</t>
  </si>
  <si>
    <t>COM 1413</t>
  </si>
  <si>
    <t>Valiyeva Aytaj</t>
  </si>
  <si>
    <t>Vəli̇yeva Aytac Aydın qızı</t>
  </si>
  <si>
    <t>Götürmə və təslim etmə nöqtələri şöbəsinin rəhbəri</t>
  </si>
  <si>
    <t>Head of PUDO operations division</t>
  </si>
  <si>
    <t>COM 1426</t>
  </si>
  <si>
    <t>Rahimli Faig</t>
  </si>
  <si>
    <t>Rəhimli Faiq Hidayət oğlu</t>
  </si>
  <si>
    <t>COM 1417</t>
  </si>
  <si>
    <t>Gahramanova Gulmira</t>
  </si>
  <si>
    <t>Qəhrəmanova Gülmirə Allahverdi qızı</t>
  </si>
  <si>
    <t>COM 1430</t>
  </si>
  <si>
    <t>Iskandarov Rovshan</t>
  </si>
  <si>
    <t>İskəndərov Rövşən Vi̇dadi̇ oğlu</t>
  </si>
  <si>
    <t>Fulfillment meneceri</t>
  </si>
  <si>
    <t>Fulfillment manager</t>
  </si>
  <si>
    <t>COM 1850</t>
  </si>
  <si>
    <t>Rashidi Ruslan</t>
  </si>
  <si>
    <t>Rəşidi Ruslan Qəzənfər oğlu</t>
  </si>
  <si>
    <t>COM 1438</t>
  </si>
  <si>
    <t>Yolchuyeva Ulduz</t>
  </si>
  <si>
    <t>Yolçuyeva Ulduz İsmi̇xan qızı</t>
  </si>
  <si>
    <t>COM 1512</t>
  </si>
  <si>
    <t>Abushov Tural</t>
  </si>
  <si>
    <t>Abuşov Tural Qadi̇r oğlu</t>
  </si>
  <si>
    <t>COM 2252</t>
  </si>
  <si>
    <t>Huseynov Jami̇l</t>
  </si>
  <si>
    <t>Hüseynov Cəmi̇l Kamal oğlu</t>
  </si>
  <si>
    <t>COM 1526</t>
  </si>
  <si>
    <t>Vi̇layatov Vagi̇f</t>
  </si>
  <si>
    <t>Vi̇layətov Vaqi̇f Baxşəli̇ oğlu</t>
  </si>
  <si>
    <t>Qrup rəhbəri (Şirvan)</t>
  </si>
  <si>
    <t>Team lead (Shirvan)</t>
  </si>
  <si>
    <t>COM 1528</t>
  </si>
  <si>
    <t>Guluzada Gulam</t>
  </si>
  <si>
    <t>Quluzadə Qulam Nemət oğlu</t>
  </si>
  <si>
    <t>Anbardar (Şirvan HUB)</t>
  </si>
  <si>
    <t>Warehouseman (Shirvan HUB)</t>
  </si>
  <si>
    <t>COM 1542</t>
  </si>
  <si>
    <t>Huseynova Natavan</t>
  </si>
  <si>
    <t>Hüseynova Natəvan Seyran qızı</t>
  </si>
  <si>
    <t>COM 1545</t>
  </si>
  <si>
    <t>Hamidli Hamid</t>
  </si>
  <si>
    <t>Həmi̇dli̇ Həmi̇d Əli̇ oğlu</t>
  </si>
  <si>
    <t>COM 1628</t>
  </si>
  <si>
    <t>Afandiyeva Fidan</t>
  </si>
  <si>
    <t>Əfəndi̇yeva Fi̇dan Vüqar qızı</t>
  </si>
  <si>
    <t>PUDO üzrə Anbardar</t>
  </si>
  <si>
    <t>PUDO Warehouseman</t>
  </si>
  <si>
    <t>COM 1629</t>
  </si>
  <si>
    <t>Alishov Elman</t>
  </si>
  <si>
    <t>Alışov Elman İsməli̇ oğlu</t>
  </si>
  <si>
    <t>COM 1691</t>
  </si>
  <si>
    <t>Aliyev Vugar</t>
  </si>
  <si>
    <t>Alıyev Vüqar Rami̇z oğlu</t>
  </si>
  <si>
    <t>COM 1693</t>
  </si>
  <si>
    <t>Jabrayilov Ni̇jat</t>
  </si>
  <si>
    <t>Cəbrayılov Ni̇cat Cəbi̇r oğlu</t>
  </si>
  <si>
    <t>COM 1704</t>
  </si>
  <si>
    <t>Aliyev Fuad</t>
  </si>
  <si>
    <t>Əli̇yev Fuad Əhəd oğlu</t>
  </si>
  <si>
    <t>COM 2026</t>
  </si>
  <si>
    <t>Asadov Hajibaba</t>
  </si>
  <si>
    <t>Əsədov Hacıbaba Rahi̇b oğlu</t>
  </si>
  <si>
    <t>COM 1724</t>
  </si>
  <si>
    <t>Jabbarova Sevinj</t>
  </si>
  <si>
    <t>Cabbarova Sevi̇nc Asi̇f qızı</t>
  </si>
  <si>
    <t>COM 1725</t>
  </si>
  <si>
    <t>Hajizada Fai̇g</t>
  </si>
  <si>
    <t>Hacızadə Fai̇q Rafi̇q oğlu</t>
  </si>
  <si>
    <t>COM 1728</t>
  </si>
  <si>
    <t>Huseynov Shamil</t>
  </si>
  <si>
    <t>Hüseynov Şamil Nazi̇m oğlu</t>
  </si>
  <si>
    <t>COM 1737</t>
  </si>
  <si>
    <t>Dashdamirov Anar</t>
  </si>
  <si>
    <t>Daşdəmi̇rov Anar Rəsul oğlu</t>
  </si>
  <si>
    <t>COM 1739</t>
  </si>
  <si>
    <t>Bağırov Hüseyn Sahi̇b oğlu</t>
  </si>
  <si>
    <t>COM 1746</t>
  </si>
  <si>
    <t>Husuyev Kanan</t>
  </si>
  <si>
    <t>Hüsüyev Kənan Araz oğlu</t>
  </si>
  <si>
    <t>COM 1747</t>
  </si>
  <si>
    <t>Alizada Kanan</t>
  </si>
  <si>
    <t>Əli̇zadə Kənan Fi̇zuli̇ oğlu</t>
  </si>
  <si>
    <t>COM 1759</t>
  </si>
  <si>
    <t>Rahimov Riyad</t>
  </si>
  <si>
    <t>Rəhi̇mov Ri̇yad Rabi̇l oğlu</t>
  </si>
  <si>
    <t>Anbardar (SC KQT)</t>
  </si>
  <si>
    <t>Warehouseman (SC KQT)</t>
  </si>
  <si>
    <t>COM 2201</t>
  </si>
  <si>
    <t>Alakbarov Farhad</t>
  </si>
  <si>
    <t>Ələkbərov Fərhad Asi̇f oğlu</t>
  </si>
  <si>
    <t>COM 1773</t>
  </si>
  <si>
    <t>Khidirov Farhad</t>
  </si>
  <si>
    <t>Xıdırov Fərhad Fəri̇d oğlu</t>
  </si>
  <si>
    <t>COM 1775</t>
  </si>
  <si>
    <t>Hajiyev Ramzi</t>
  </si>
  <si>
    <t>Hacıyev Rəmzi̇ Yalçın oğlu</t>
  </si>
  <si>
    <t>COM 1790</t>
  </si>
  <si>
    <t>Hagverdiyev Farid</t>
  </si>
  <si>
    <t>Haqverdi̇yev Fəri̇d Azər oğlu</t>
  </si>
  <si>
    <t>COM 1791</t>
  </si>
  <si>
    <t>Huseynov Zakir</t>
  </si>
  <si>
    <t>Hüseynov Zaki̇r Mahmud oğlu</t>
  </si>
  <si>
    <t>COM 1794</t>
  </si>
  <si>
    <t>Samadzada Agshin</t>
  </si>
  <si>
    <t>Səmədzadə Aqşi̇n Elsevər oğlu</t>
  </si>
  <si>
    <t>COM 1802</t>
  </si>
  <si>
    <t>Tagiyev Arrahman</t>
  </si>
  <si>
    <t>Tağıyev Ərrəhman Sərdar oğlu</t>
  </si>
  <si>
    <t>COM 1816/1</t>
  </si>
  <si>
    <t>Azimov Nijat</t>
  </si>
  <si>
    <t>Əzi̇mov Ni̇cat Xurşud oğlu</t>
  </si>
  <si>
    <t>COM 1820</t>
  </si>
  <si>
    <t>Amirov Tahir</t>
  </si>
  <si>
    <t>Əmi̇rov Tahi̇r Əli̇səfa oğlu</t>
  </si>
  <si>
    <t>COM 1822</t>
  </si>
  <si>
    <t>Orujlu Mammadali</t>
  </si>
  <si>
    <t>Oruclu Məmmədəli̇ Sevi̇ndi̇k oğlu</t>
  </si>
  <si>
    <t>Anbar qaytarmaları üzrə nəzarətçi</t>
  </si>
  <si>
    <t>WH Returns Supervisor</t>
  </si>
  <si>
    <t>COM 1840</t>
  </si>
  <si>
    <t>Khalilov Yusif</t>
  </si>
  <si>
    <t>Xəli̇lov Yusi̇f Ağamurad oğlu</t>
  </si>
  <si>
    <t>COM 1841</t>
  </si>
  <si>
    <t>Yahyayev Shahmar</t>
  </si>
  <si>
    <t>Yəhyayev Şahmar Elmar oğlu</t>
  </si>
  <si>
    <t>COM 1842</t>
  </si>
  <si>
    <t>Ahmadli Nurlan</t>
  </si>
  <si>
    <t>Əhmədli̇ Nurlan Elxan oğlu</t>
  </si>
  <si>
    <t>COM 2194</t>
  </si>
  <si>
    <t>Mammad-Zada Hikmat</t>
  </si>
  <si>
    <t>Məmməd-Zadə Hi̇kmət İsmət oğlu</t>
  </si>
  <si>
    <t>COM 1849</t>
  </si>
  <si>
    <t>Rahimli Javid</t>
  </si>
  <si>
    <t>Rəhi̇mli̇ Cavi̇d Rami̇z oğlu</t>
  </si>
  <si>
    <t>COM 1854</t>
  </si>
  <si>
    <t>Ahadzada Elvin</t>
  </si>
  <si>
    <t>Əhədzadə Elvi̇n Nadi̇r oğlu</t>
  </si>
  <si>
    <t>COM 1857</t>
  </si>
  <si>
    <t>Asgarzada Khazar</t>
  </si>
  <si>
    <t>Əsgərzadə Xəzər Hi̇cran oğlu</t>
  </si>
  <si>
    <t>COM 1886</t>
  </si>
  <si>
    <t>Aliyeva Tahmina</t>
  </si>
  <si>
    <t>Əli̇yeva Təhmi̇nə Mətləb qızı</t>
  </si>
  <si>
    <t>COM 1913</t>
  </si>
  <si>
    <t>Safarli Aytan</t>
  </si>
  <si>
    <t>Səfərli̇ Aytən Vahi̇d qızı</t>
  </si>
  <si>
    <t>COM 2225</t>
  </si>
  <si>
    <t>Hamidov Elmin</t>
  </si>
  <si>
    <t>Həmi̇dov Elmi̇n Rövşən oğlu</t>
  </si>
  <si>
    <t>COM 2074</t>
  </si>
  <si>
    <t>Yediyarov Rufat</t>
  </si>
  <si>
    <t>Yedi̇yarov Rüfət Azad oğlu</t>
  </si>
  <si>
    <t>COM 1957</t>
  </si>
  <si>
    <t>Babayev İlgar</t>
  </si>
  <si>
    <t>Babayev İlqar Asəf oğlu</t>
  </si>
  <si>
    <t>Qrup rəhbəri (Naxçıvan)</t>
  </si>
  <si>
    <t>Team lead (Nakhchivan)</t>
  </si>
  <si>
    <t>COM 1958</t>
  </si>
  <si>
    <t>Rajov Safar</t>
  </si>
  <si>
    <t>Racov Səfər Mürşüd oğlu</t>
  </si>
  <si>
    <t>COM 1964</t>
  </si>
  <si>
    <t>Abdullayev Ali</t>
  </si>
  <si>
    <t>Abdullayev Əli̇ Ari̇f oğlu</t>
  </si>
  <si>
    <t>COM 2327</t>
  </si>
  <si>
    <t>Bakhishov Rufat</t>
  </si>
  <si>
    <t>Baxışov Rüfət Əvəz oğlu</t>
  </si>
  <si>
    <t>COM 1992</t>
  </si>
  <si>
    <t>Rajabov Sarkhan</t>
  </si>
  <si>
    <t>Rəcəbov Sərxan Tofi̇k oğlu</t>
  </si>
  <si>
    <t>COM 2070</t>
  </si>
  <si>
    <t>Huseynov Hafiz</t>
  </si>
  <si>
    <t>Hüseynov Hafi̇z Tofi̇q oğlu</t>
  </si>
  <si>
    <t>COM 2123</t>
  </si>
  <si>
    <t>Agabalayev Bahman</t>
  </si>
  <si>
    <t>Ağabalayev Bəhman Əlsöhbət oğlu</t>
  </si>
  <si>
    <t>COM 2125</t>
  </si>
  <si>
    <t>Mustafayeva Svetlana</t>
  </si>
  <si>
    <t>Mustafayeva Svetlana Xali̇dovna</t>
  </si>
  <si>
    <t>COM 2129</t>
  </si>
  <si>
    <t>Gadimaliyev Ziya</t>
  </si>
  <si>
    <t>Qədi̇malıyev Zi̇ya Novruz oğlu</t>
  </si>
  <si>
    <t>COM 2134</t>
  </si>
  <si>
    <t>Rahimov Saleh</t>
  </si>
  <si>
    <t>Rəhi̇mov Saleh Əhməd oğlu</t>
  </si>
  <si>
    <t>COM 2153</t>
  </si>
  <si>
    <t>Zamanov Elchin Zaki</t>
  </si>
  <si>
    <t>Zamanov Elçi̇n Zəki̇ oğlu</t>
  </si>
  <si>
    <t>COM 2154</t>
  </si>
  <si>
    <t>Nabiyev Tabriz Namat</t>
  </si>
  <si>
    <t>Nəbi̇yev Təbri̇z Namət oğlu</t>
  </si>
  <si>
    <t>COM 2157</t>
  </si>
  <si>
    <t>Mustafayev Mutalib Rovshan</t>
  </si>
  <si>
    <t>Mustafayev Mütali̇b Rövşən oğlu</t>
  </si>
  <si>
    <t>COM 2170</t>
  </si>
  <si>
    <t>Huseynov Anar</t>
  </si>
  <si>
    <t>Hüseynov Anar Musa oğlu</t>
  </si>
  <si>
    <t>COM 2171</t>
  </si>
  <si>
    <t>Khankishiyev Said</t>
  </si>
  <si>
    <t>Xanki̇şi̇yev Səi̇d Əmi̇rxan oğlu</t>
  </si>
  <si>
    <t>COM 2172</t>
  </si>
  <si>
    <t>Abdullayev Aflatun</t>
  </si>
  <si>
    <t>Abdullayev Əflatun Fəxrəddi̇n oğlu</t>
  </si>
  <si>
    <t>COM 2174</t>
  </si>
  <si>
    <t>Nasirzada Samir</t>
  </si>
  <si>
    <t>Nəsi̇rzadə Sami̇r Əbülfət oğlu</t>
  </si>
  <si>
    <t>COM 2178</t>
  </si>
  <si>
    <t>Ajdarov Seymur</t>
  </si>
  <si>
    <t>Əjdərov Seymur Haki̇m oğlu</t>
  </si>
  <si>
    <t>COM 2192</t>
  </si>
  <si>
    <t>Mirzayev Khazar</t>
  </si>
  <si>
    <t>Mi̇rzəyev Xəzər Oktay oğlu</t>
  </si>
  <si>
    <t>COM 2193</t>
  </si>
  <si>
    <t>Karimov Orkhan</t>
  </si>
  <si>
    <t>Kəri̇mov Orxan Sahi̇b oğlu</t>
  </si>
  <si>
    <t>COM 2195</t>
  </si>
  <si>
    <t>Sultanov Fuad</t>
  </si>
  <si>
    <t>Sultanov Fuad Sahi̇b oğlu</t>
  </si>
  <si>
    <t>COM 2198</t>
  </si>
  <si>
    <t>Orujzada Elmir</t>
  </si>
  <si>
    <t>Oruczadə Elmi̇r Nazi̇m oğlu</t>
  </si>
  <si>
    <t>COM 2202</t>
  </si>
  <si>
    <t>Khalili Elvin</t>
  </si>
  <si>
    <t>Xəli̇lli̇ Elvi̇n Şahi̇n oğlu</t>
  </si>
  <si>
    <t>WH Returns Shift Supervisor</t>
  </si>
  <si>
    <t>COM 2207</t>
  </si>
  <si>
    <t>Aliyev Ali</t>
  </si>
  <si>
    <t>Əli̇yev Əli̇ Çi̇ngi̇z oğlu</t>
  </si>
  <si>
    <t>COM 2220</t>
  </si>
  <si>
    <t>Jafarli Shamil</t>
  </si>
  <si>
    <t>Cəfərli̇ Şami̇l Şəmsəddi̇n oğlu</t>
  </si>
  <si>
    <t>COM 2224</t>
  </si>
  <si>
    <t>Abbsov Mobil</t>
  </si>
  <si>
    <t>Abbasov Mobi̇l Elçi̇n oğlu</t>
  </si>
  <si>
    <t>COM 2227</t>
  </si>
  <si>
    <t>Aliyev Elshad</t>
  </si>
  <si>
    <t>Əli̇yev Elşad Həsən oğlu</t>
  </si>
  <si>
    <t>COM 2240</t>
  </si>
  <si>
    <t>Mammadov Sanan</t>
  </si>
  <si>
    <t>Məmmədov Sənan Habi̇l oğlu</t>
  </si>
  <si>
    <t>COM 2249</t>
  </si>
  <si>
    <t>Aslanov Amil</t>
  </si>
  <si>
    <t>Aslanov Ami̇l İsrayıl oğlu</t>
  </si>
  <si>
    <t>COM 2276</t>
  </si>
  <si>
    <t>Huseynov Javid Vugar</t>
  </si>
  <si>
    <t>Hüseynov Cavi̇d Vüqar oğlu</t>
  </si>
  <si>
    <t>COM 2278</t>
  </si>
  <si>
    <t>Guliyev Nuraddin Khalig</t>
  </si>
  <si>
    <t>Quli̇yev Nurəddi̇n Xaliq oğlu</t>
  </si>
  <si>
    <t>COM 2279</t>
  </si>
  <si>
    <t>Mammadov Nijat Dargah</t>
  </si>
  <si>
    <t>Məmmədov Ni̇cat Dərgah oğlu</t>
  </si>
  <si>
    <t>COM 2500</t>
  </si>
  <si>
    <t>Chogovadze Azer</t>
  </si>
  <si>
    <t>Çoqovadze Azər Məmmədəli oğlu</t>
  </si>
  <si>
    <t>COM 2281</t>
  </si>
  <si>
    <t>Rahmanov Muxtar Suleyman</t>
  </si>
  <si>
    <t>Rəhmanov Muxtar Süleyman oğlu</t>
  </si>
  <si>
    <t>COM 2288</t>
  </si>
  <si>
    <t>Abbasov Yunis</t>
  </si>
  <si>
    <t>Abbasov Yuni̇s Zəka oğlu</t>
  </si>
  <si>
    <t>COM 2286</t>
  </si>
  <si>
    <t>Nasirli Ismayil</t>
  </si>
  <si>
    <t>Nəsi̇rli̇ İsmayıl Sərraf oğlu</t>
  </si>
  <si>
    <t>COM 2285</t>
  </si>
  <si>
    <t>Hasanzade Yusif</t>
  </si>
  <si>
    <t>Həsənzadə Yusi̇f İmran oğlu</t>
  </si>
  <si>
    <t>COM 2294</t>
  </si>
  <si>
    <t>Huseynov Eljan</t>
  </si>
  <si>
    <t>Hüseynov Elcan Umudvar oğlu</t>
  </si>
  <si>
    <t>COM 2293</t>
  </si>
  <si>
    <t>Khamiyev Ali</t>
  </si>
  <si>
    <t>Xami̇yev Əli̇ Rauf oğlu</t>
  </si>
  <si>
    <t>COM 2291</t>
  </si>
  <si>
    <t>Verdiyev Niyameddin</t>
  </si>
  <si>
    <t>Verdi̇yev Ni̇yaməddi̇n Şavağat oğlu</t>
  </si>
  <si>
    <t>COM 2318</t>
  </si>
  <si>
    <t>Abdullayev Orkhan Dilafar</t>
  </si>
  <si>
    <t>Abdullayev Orxan Di̇lafer oğlu</t>
  </si>
  <si>
    <t>COM 2326</t>
  </si>
  <si>
    <t>Huseynov Teyyub Shamil</t>
  </si>
  <si>
    <t>Hüseynov Təyyub Şami̇l oğlu</t>
  </si>
  <si>
    <t>COM 2345</t>
  </si>
  <si>
    <t>Nuriyev Emil</t>
  </si>
  <si>
    <t>Nuri̇yev Emi̇l Qaçay oğlu</t>
  </si>
  <si>
    <t>COM 2348</t>
  </si>
  <si>
    <t>İbishov Kanan</t>
  </si>
  <si>
    <t>İbi̇şov Kənan Vasi̇f oğlu</t>
  </si>
  <si>
    <t>COM 2349</t>
  </si>
  <si>
    <t>Guluzada Fuad</t>
  </si>
  <si>
    <t>Quluzadə Fuad Rəfai̇l oğlu</t>
  </si>
  <si>
    <t>COM 2356</t>
  </si>
  <si>
    <t>Nuruyev Samandar Shahvalad</t>
  </si>
  <si>
    <t>Nuruyev Səməndər Şahvələd oğlu</t>
  </si>
  <si>
    <t>COM 2357</t>
  </si>
  <si>
    <t>Allazov Vugar Ilham</t>
  </si>
  <si>
    <t>Əlləzov Vüqar İlham oğlu</t>
  </si>
  <si>
    <t>COM 2358</t>
  </si>
  <si>
    <t>Agaverdiyev Asim Asif</t>
  </si>
  <si>
    <t>Ağaverdi̇yev Asi̇m Asi̇f oğlu</t>
  </si>
  <si>
    <t>COM 2359</t>
  </si>
  <si>
    <t>Osmanov Rahim Movlud</t>
  </si>
  <si>
    <t>Osmanov Rəhi̇m Mövlüd oğlu</t>
  </si>
  <si>
    <t>COM 2369</t>
  </si>
  <si>
    <t>Aliyev Jeyhun</t>
  </si>
  <si>
    <t>Əli̇yev Ceyhun Şahi̇n oğlu</t>
  </si>
  <si>
    <t>COM 2371</t>
  </si>
  <si>
    <t>Mammadov Abasagha</t>
  </si>
  <si>
    <t>Məmmədov Abasağa İmran oğlu</t>
  </si>
  <si>
    <t>COM 2373</t>
  </si>
  <si>
    <t>Aghayev Elvin</t>
  </si>
  <si>
    <t>Ağayev Elvi̇n Fi̇rudi̇n oğlu</t>
  </si>
  <si>
    <t>COM 2384</t>
  </si>
  <si>
    <t>Mammadov Khayal Alish</t>
  </si>
  <si>
    <t>Məmmədov Xəyal Əli̇ş oğlu</t>
  </si>
  <si>
    <t>COM 2385</t>
  </si>
  <si>
    <t>Mammadov Ali</t>
  </si>
  <si>
    <t>Məmmədov Əli̇ Rafi̇q oğlu</t>
  </si>
  <si>
    <t>COM 2405</t>
  </si>
  <si>
    <t>Allahverdiyev Farid</t>
  </si>
  <si>
    <t>Allahverdi̇yev Fəri̇d Rafi̇q oğlu</t>
  </si>
  <si>
    <t>COM 2406</t>
  </si>
  <si>
    <t>Hasanov Rovshan</t>
  </si>
  <si>
    <t>Həsənov Rövşən Hi̇dayət oğlu</t>
  </si>
  <si>
    <t>COM 2424</t>
  </si>
  <si>
    <t>Rahimov Bilal</t>
  </si>
  <si>
    <t>Rəhi̇mov Bi̇lal Kamal oğlu</t>
  </si>
  <si>
    <t>COM 2516</t>
  </si>
  <si>
    <t>Humbatov Ali</t>
  </si>
  <si>
    <t>Hümbətov Əli Nail oğlu</t>
  </si>
  <si>
    <t>COM 2476</t>
  </si>
  <si>
    <t>Kireichev Egor</t>
  </si>
  <si>
    <t>Logistics Operation Department</t>
  </si>
  <si>
    <t>Logistika əməliyyatları departamenti</t>
  </si>
  <si>
    <t>Logistika əməliyyatları departamentinin rəhbəri</t>
  </si>
  <si>
    <t>Head of Logistics operations</t>
  </si>
  <si>
    <t>COM 2510</t>
  </si>
  <si>
    <t>Adishirinov Ziya Rahim</t>
  </si>
  <si>
    <t>Adışi̇ri̇nov Zi̇ya Rəhi̇m oğlu</t>
  </si>
  <si>
    <t>COM 2539</t>
  </si>
  <si>
    <t>Kalbikhanov Omar</t>
  </si>
  <si>
    <t>Kəlbi̇xanov Omar Ruslan oğlu</t>
  </si>
  <si>
    <t>COM 1828</t>
  </si>
  <si>
    <t>Eyvazov Sarkhan</t>
  </si>
  <si>
    <t>Eyvazov Sərxan Yuni̇s oğlu</t>
  </si>
  <si>
    <t>Supply Chain block/Logistics Product Tribe</t>
  </si>
  <si>
    <t>Logistics Product  department /PUDO Team</t>
  </si>
  <si>
    <t>Logistika Məhsul departamenti/PUDO bölməsi</t>
  </si>
  <si>
    <t>COM 2189</t>
  </si>
  <si>
    <t>Mamedov Seimur</t>
  </si>
  <si>
    <t>Logistics Product  department /Warehouse Management team</t>
  </si>
  <si>
    <t>Logistika Məhsul departamenti/Anbar İdarəetməsi bölməsi</t>
  </si>
  <si>
    <t xml:space="preserve"> Məhsul komandası üzrə lider (Anbar İdarəetmə Sistemi) </t>
  </si>
  <si>
    <t>Product Squad Leader (Warehouse Management System)</t>
  </si>
  <si>
    <t>COM 2489</t>
  </si>
  <si>
    <t>Ayvazova Khanim</t>
  </si>
  <si>
    <t>Ayvazova Xanim Bəki̇r qızı</t>
  </si>
  <si>
    <t>Logistics Product  department/Order Logistics management system team</t>
  </si>
  <si>
    <t>Logistika Məhsul departamenti/Sifariş və Logistika İdarəetmə sistem bölməsi</t>
  </si>
  <si>
    <t>Product Owner</t>
  </si>
  <si>
    <t>Bir-171</t>
  </si>
  <si>
    <t>Mlynarczyk Marcin Tomasz</t>
  </si>
  <si>
    <t>Logistics Product Tribe</t>
  </si>
  <si>
    <t>Logistika Məhsul departamenti</t>
  </si>
  <si>
    <t>Layihələrin İcrası üzrə Rəhbər</t>
  </si>
  <si>
    <t>Project Delivery Lead</t>
  </si>
  <si>
    <t>Bir-173</t>
  </si>
  <si>
    <t>Zakirov Renat Takherovich</t>
  </si>
  <si>
    <t>Закиров Ренат Тахерович</t>
  </si>
  <si>
    <t>IT Marketing</t>
  </si>
  <si>
    <t>İT Marketinqi bölməsi</t>
  </si>
  <si>
    <t>Baş Proqram Tərtibatçı</t>
  </si>
  <si>
    <t>Senior Software Developer</t>
  </si>
  <si>
    <t>Bir-174</t>
  </si>
  <si>
    <t>Dolgov Aleksei</t>
  </si>
  <si>
    <t>Долгов Алексей Валентинович</t>
  </si>
  <si>
    <t>Buyer Experience Technology divison</t>
  </si>
  <si>
    <t>Alıcı Təcrübəsi Texnologiyaları şöbəsi</t>
  </si>
  <si>
    <t>Backend Developer (middle)</t>
  </si>
  <si>
    <t>Bir-175</t>
  </si>
  <si>
    <t>Shiriaev Egor Vladimirovich</t>
  </si>
  <si>
    <t>Ширяев Егор Владимирович</t>
  </si>
  <si>
    <t>Buyer Experience Technology divison/Client Care division</t>
  </si>
  <si>
    <t>Alıcı Təcrübəsi Texnologiyaları şöbəsi/Müştəri Xidməti bölməsi</t>
  </si>
  <si>
    <t>Baş Backend Developer</t>
  </si>
  <si>
    <t>Senior Backend Developer</t>
  </si>
  <si>
    <t>Bir-23</t>
  </si>
  <si>
    <t>Chalov Artem Arkadievich</t>
  </si>
  <si>
    <t>Чалов Артем Аркадьевич</t>
  </si>
  <si>
    <t>Logistics&amp;Platform Technology division/ Order-Returns Flow Team</t>
  </si>
  <si>
    <t>Logistika və Platforma Texnologiyaları şöbəsi/Sifarişlərin-Qaytarma Proseslərinin İdarəedilməsi bölməsi</t>
  </si>
  <si>
    <t>Bir-81</t>
  </si>
  <si>
    <t>Lapitski Pavel Aleksandrovich</t>
  </si>
  <si>
    <t>Лапицкий Павел Александрович</t>
  </si>
  <si>
    <t>DevOps mühəndis</t>
  </si>
  <si>
    <t>DevOps Engineer</t>
  </si>
  <si>
    <t>Bir-117</t>
  </si>
  <si>
    <t>Rudenko Kirill Anatolevich</t>
  </si>
  <si>
    <t>Руденко Кирилл Анатолійович</t>
  </si>
  <si>
    <t>Buyer Experience Technology divison/Billing team</t>
  </si>
  <si>
    <t>Alıcı Təcrübəsi Texnologiyaları şöbəsi/Hesablaşmalar bölməsi</t>
  </si>
  <si>
    <t>IOS Developer</t>
  </si>
  <si>
    <t>Bir-13</t>
  </si>
  <si>
    <t>Bespalov Anton Sergijovych</t>
  </si>
  <si>
    <t>Беспалов Антон Сергійович</t>
  </si>
  <si>
    <t>Bir-17</t>
  </si>
  <si>
    <t>Bolgarov Dmytro Valerievich</t>
  </si>
  <si>
    <t>Болгаров Дмитро Валерiйович</t>
  </si>
  <si>
    <t>QA mühəndisi</t>
  </si>
  <si>
    <t>QA Engineer</t>
  </si>
  <si>
    <t>Bir-44</t>
  </si>
  <si>
    <t>Haliatkin Oleksandr Anatolievich</t>
  </si>
  <si>
    <t>Галяткін Олександр Анатолійович</t>
  </si>
  <si>
    <t>Bir-48</t>
  </si>
  <si>
    <t>Horbachevskyi Valerii Vitalievich</t>
  </si>
  <si>
    <t>Горбачевський Валерій Віталійович</t>
  </si>
  <si>
    <t>Web developer</t>
  </si>
  <si>
    <t>Bir-53</t>
  </si>
  <si>
    <t>Igoshyn Serhii Olekseyevich</t>
  </si>
  <si>
    <t>Ігошин Сергій Олексійович</t>
  </si>
  <si>
    <t>Bir-55</t>
  </si>
  <si>
    <t>Ilchenko Maksym</t>
  </si>
  <si>
    <t>Ільченко Максим Петрович</t>
  </si>
  <si>
    <t>Bir-59</t>
  </si>
  <si>
    <t>Kamenskykh Yuliia Volodymyrivna</t>
  </si>
  <si>
    <t>Каменських Юлія Володимирівна</t>
  </si>
  <si>
    <t>UX/UI Dizayner</t>
  </si>
  <si>
    <t>UX/UI Designer</t>
  </si>
  <si>
    <t>Bir-66</t>
  </si>
  <si>
    <t>Kolbasin Andriy Sergiyovich</t>
  </si>
  <si>
    <t>Колбасін Андрій  Сергійович</t>
  </si>
  <si>
    <t>Bir-69</t>
  </si>
  <si>
    <t>Kostiurenko Oleksandr Vasilievich</t>
  </si>
  <si>
    <t>Костюренко Олександр Васильович</t>
  </si>
  <si>
    <t>Bir-72</t>
  </si>
  <si>
    <t>Kucherenko Ihor Evgenovich</t>
  </si>
  <si>
    <t>Кучеренко Ігор Євгенович</t>
  </si>
  <si>
    <t>Data Engineering CoE division</t>
  </si>
  <si>
    <t>Data mühəndislik ekspert mərkəzi</t>
  </si>
  <si>
    <t>Data Engineer</t>
  </si>
  <si>
    <t>Bir-79</t>
  </si>
  <si>
    <t>Landar Denys Vasilyevich</t>
  </si>
  <si>
    <t>Ландар Денис Васильович</t>
  </si>
  <si>
    <t>Ecosystem Integrations -Acquiring Team</t>
  </si>
  <si>
    <t>Ekosistem İnteqrasiyaları ödənişlərin qəbul edilməsi və emalı xidməti emalı bölməsi</t>
  </si>
  <si>
    <t>İT biznes analitiki</t>
  </si>
  <si>
    <t>IT Business Analyst</t>
  </si>
  <si>
    <t>Bir-84</t>
  </si>
  <si>
    <t>Lukovets Iryna Oleksandrivna</t>
  </si>
  <si>
    <t>Луковець Ірина Олександрівна</t>
  </si>
  <si>
    <t>Bir-94</t>
  </si>
  <si>
    <t>Motorin Yurii Yuriyovych</t>
  </si>
  <si>
    <t>Моторін Юрій Юрійович</t>
  </si>
  <si>
    <t>Bir-99</t>
  </si>
  <si>
    <t>Myroniuk Ihor Anatoliiovych</t>
  </si>
  <si>
    <t>Миронюк Ігор Анатолійович</t>
  </si>
  <si>
    <t>Bir-101</t>
  </si>
  <si>
    <t>Padalka Viktor Ivanovich</t>
  </si>
  <si>
    <t>Падалка Віктор Іванович</t>
  </si>
  <si>
    <t>Technical Practice/Mobile Practice Team</t>
  </si>
  <si>
    <t>Texniki Təcrübə şöbəsi/Mobil Texnologiyaları bölməsi</t>
  </si>
  <si>
    <t>Mobil Praktika Lideri</t>
  </si>
  <si>
    <t>Mobile Practice Lead</t>
  </si>
  <si>
    <t>Bir-110</t>
  </si>
  <si>
    <t>Popchenko Yevhenii Serhiiovych</t>
  </si>
  <si>
    <t>Попченко Євгеній Сергійович</t>
  </si>
  <si>
    <t>Aparıcı QA mühəndisi</t>
  </si>
  <si>
    <t>Lead QA Engineer</t>
  </si>
  <si>
    <t>Bir-112</t>
  </si>
  <si>
    <t>Prysiazhna Kateryna Mykhailivna</t>
  </si>
  <si>
    <t>Bir-118</t>
  </si>
  <si>
    <t>Rudenko Vasyl Yuriyovych</t>
  </si>
  <si>
    <t>Руденко Василь Юрійович</t>
  </si>
  <si>
    <t>Bir-126</t>
  </si>
  <si>
    <t>Semenov Oleksandr Viktorovych</t>
  </si>
  <si>
    <t>Семенов Олександр Вікторович</t>
  </si>
  <si>
    <t>DevOps üzrə Məsləhətçi</t>
  </si>
  <si>
    <t>DevOps Advisor</t>
  </si>
  <si>
    <t>Bir-130</t>
  </si>
  <si>
    <t>Shcherbyna Serhii Yuriyovych</t>
  </si>
  <si>
    <t>Щербина Сергій Юрійович</t>
  </si>
  <si>
    <t>Seller Experience Technology divison/Catalog/SLA Team</t>
  </si>
  <si>
    <t>Satıcı Təcrübəsi Texnologiyaları şöbəsi/Kataloq/SLA bölməsi</t>
  </si>
  <si>
    <t>Ruby developer</t>
  </si>
  <si>
    <t>Bir-138</t>
  </si>
  <si>
    <t>Stepaniuk Bohdan Kyrylovych</t>
  </si>
  <si>
    <t>Mühəndislik Komandası Rəhbəri</t>
  </si>
  <si>
    <t>Engineering Tribe Lead</t>
  </si>
  <si>
    <t>Bir-141</t>
  </si>
  <si>
    <t>Svyrydiuk Mykhailo Serhiiovych</t>
  </si>
  <si>
    <t>Məhsul Analitiki</t>
  </si>
  <si>
    <t>Product Analyst</t>
  </si>
  <si>
    <t>Bir-144</t>
  </si>
  <si>
    <t>Torubarov Serhii Mykolayovych</t>
  </si>
  <si>
    <t>Торубаров Сергій Миколайович</t>
  </si>
  <si>
    <t>Data mühəndislik ekspert mərkəzi şöbəsinin rəhbəri (müvəqqəti)</t>
  </si>
  <si>
    <t>Head of Data Engineering (acting)</t>
  </si>
  <si>
    <t>Bir-157</t>
  </si>
  <si>
    <t>Vovk Oleh Oleksandrovich</t>
  </si>
  <si>
    <t>Вовк Олег Олександрович</t>
  </si>
  <si>
    <t>Android Developer</t>
  </si>
  <si>
    <t>Bir-158</t>
  </si>
  <si>
    <t>Vyshniakov Oleksii Olekseyevich</t>
  </si>
  <si>
    <t>Вишняков Олексій Олексійович</t>
  </si>
  <si>
    <t>Mobil Tətbiq Tərtibatçısı</t>
  </si>
  <si>
    <t>Mobile Developer</t>
  </si>
  <si>
    <t>Bir-163</t>
  </si>
  <si>
    <t>Zaitsev Dmytro Andriyovich</t>
  </si>
  <si>
    <t>Зайцев Дмитро Андрійович</t>
  </si>
  <si>
    <t>Bir-27</t>
  </si>
  <si>
    <t>Chsherba Konstantin Viktorovich</t>
  </si>
  <si>
    <t>Щерба Константин Викторович</t>
  </si>
  <si>
    <t>Bir-108</t>
  </si>
  <si>
    <t>Piurko Vladyslav</t>
  </si>
  <si>
    <t>Пюрко Владислав Сергійович</t>
  </si>
  <si>
    <t>Bir-75</t>
  </si>
  <si>
    <t>Kurmangali Margulan Mukametzhanuly</t>
  </si>
  <si>
    <t>Кұрманғали Марғұлан Мұкаметжанұлы</t>
  </si>
  <si>
    <t>Golang Developer</t>
  </si>
  <si>
    <t>Bir-38</t>
  </si>
  <si>
    <t>Duka Dzmitry Anatolyevich</t>
  </si>
  <si>
    <t>Дука Дмитрий Анатольевич</t>
  </si>
  <si>
    <t>Baş Devops Mühəndisi</t>
  </si>
  <si>
    <t>Senior Devops Engineer</t>
  </si>
  <si>
    <t>Bir-26</t>
  </si>
  <si>
    <t>Chornyi Vasyl</t>
  </si>
  <si>
    <t>Чорний Василь Юрійович</t>
  </si>
  <si>
    <t>Keyfiyyət Təminatı Rəhbəri</t>
  </si>
  <si>
    <t>QA Lead</t>
  </si>
  <si>
    <t>Bir-91</t>
  </si>
  <si>
    <t>Meirkanov Arsen Serikovich</t>
  </si>
  <si>
    <t>Мейрканов Арсен</t>
  </si>
  <si>
    <t>Bir-68</t>
  </si>
  <si>
    <t>Kondratev Aleksandr Aleksandrovich</t>
  </si>
  <si>
    <t>Bir-73</t>
  </si>
  <si>
    <t>Kudrin Dmitriy</t>
  </si>
  <si>
    <t>Kudrin Dmitriy Yevqenyeviç</t>
  </si>
  <si>
    <t>Bir-31</t>
  </si>
  <si>
    <t>Denysenko Yehor Alekseevich</t>
  </si>
  <si>
    <t>Денисенко Єгор Олексійович</t>
  </si>
  <si>
    <t>Bir-29</t>
  </si>
  <si>
    <t>Chumakov Dmytro Volodymyrovych</t>
  </si>
  <si>
    <t>Bir-128</t>
  </si>
  <si>
    <t>Shastakou Ivan Siarheevitch</t>
  </si>
  <si>
    <t>Шестаков Иван Сергеевич</t>
  </si>
  <si>
    <t>Bir-143</t>
  </si>
  <si>
    <t>Taraman Kostiantyn Fedorovych</t>
  </si>
  <si>
    <t>Тараман Костянтин Федорович</t>
  </si>
  <si>
    <t>Baş data mühəndisi</t>
  </si>
  <si>
    <t>Senior data engineer</t>
  </si>
  <si>
    <t>Bir-88</t>
  </si>
  <si>
    <t>Makovetskyi Dmytro Andriiovych</t>
  </si>
  <si>
    <t>Маковецький Дмитро Андрійович</t>
  </si>
  <si>
    <t>Bir-87</t>
  </si>
  <si>
    <t>Makhrov Anton Valeriyovich</t>
  </si>
  <si>
    <t>Махров Антон Валерійович</t>
  </si>
  <si>
    <t>Bir-154</t>
  </si>
  <si>
    <t>Vasylchuk Yurii Vasylovich</t>
  </si>
  <si>
    <t>Mühəndisllik departamenti</t>
  </si>
  <si>
    <t>Engineering department</t>
  </si>
  <si>
    <t>Engineering division</t>
  </si>
  <si>
    <t>Mühəndislik şöbəsi</t>
  </si>
  <si>
    <t>Bir-135</t>
  </si>
  <si>
    <t>Skuratovich Denis Olegovich</t>
  </si>
  <si>
    <t>Bir-155</t>
  </si>
  <si>
    <t>Vasylenko Anastasiia</t>
  </si>
  <si>
    <t>Василенко Анастасія Юріївна</t>
  </si>
  <si>
    <t>UI/UX Dizayner</t>
  </si>
  <si>
    <t>UI/UX Designer</t>
  </si>
  <si>
    <t>Bir-90</t>
  </si>
  <si>
    <t>Mashchonski Dzianis</t>
  </si>
  <si>
    <t>Мащенский Денис Владимирович</t>
  </si>
  <si>
    <t>Bir-96</t>
  </si>
  <si>
    <t>Murzak Lada Hennadiyivna</t>
  </si>
  <si>
    <t>Мурзак Лада Геннадіївна</t>
  </si>
  <si>
    <t>Seller Product Department/Shared Resources: Personal Account of Merchant</t>
  </si>
  <si>
    <t>Satıcı Məhsul departamenti/Ümumi Resurslar: Satıcının Şəxsi Hesabı bölməsi</t>
  </si>
  <si>
    <t>Bir-146</t>
  </si>
  <si>
    <t>Trapashka Yahor Ivanovich</t>
  </si>
  <si>
    <t>Трепашко Егор Иванович</t>
  </si>
  <si>
    <t>Seller  Experience Technology divison/Pricing Team</t>
  </si>
  <si>
    <t>Satıcı Təcrübəsi Texnologiyaları şöbəsi/Qiymətləndirmə bölməsi</t>
  </si>
  <si>
    <t>Bir-57</t>
  </si>
  <si>
    <t>Ismailov Almas</t>
  </si>
  <si>
    <t>Исмаилов Алмас</t>
  </si>
  <si>
    <t>Bir-65</t>
  </si>
  <si>
    <t>Kokuliuk Anatolii Anatoliyovich</t>
  </si>
  <si>
    <t>Кокулюк Анатолій Анатолійович</t>
  </si>
  <si>
    <t>Bir-45</t>
  </si>
  <si>
    <t>Halochka Ihor Volodymyrovych</t>
  </si>
  <si>
    <t>Галочка Ігор Володимирович</t>
  </si>
  <si>
    <t>Bir-4</t>
  </si>
  <si>
    <t>Akhrymenko Andrei Alexandrovich</t>
  </si>
  <si>
    <t>Bir-77</t>
  </si>
  <si>
    <t>Kuzniatsova Darya Uladzimirauna</t>
  </si>
  <si>
    <t>Bir-61</t>
  </si>
  <si>
    <t>Kanavalchyk Artsiom Siarheevich</t>
  </si>
  <si>
    <t>Коновальчик Артем Сергеевич</t>
  </si>
  <si>
    <t>Bir-63</t>
  </si>
  <si>
    <t>Karbovskiy Roman Igorevich</t>
  </si>
  <si>
    <t>Bir-19</t>
  </si>
  <si>
    <t>Bostanov Yerbol</t>
  </si>
  <si>
    <t>Growth block/Buyer Experience Product Department</t>
  </si>
  <si>
    <t>İnkişaf bloku/Alıcı Təcrübəsi Məhsul departamenti</t>
  </si>
  <si>
    <t>Əsas məhsul üzrə qrup rəhbəri</t>
  </si>
  <si>
    <t>Core Product Tribe Leader</t>
  </si>
  <si>
    <t>Bir-64</t>
  </si>
  <si>
    <t>Khyzhun Oleksandr</t>
  </si>
  <si>
    <t>Хижун Олександр Олександрович</t>
  </si>
  <si>
    <t>Bir-10</t>
  </si>
  <si>
    <t>Bednov Aleksei</t>
  </si>
  <si>
    <t>Беднов Алексей Олегович</t>
  </si>
  <si>
    <t>Seller  Experience Technology divison/Billing team</t>
  </si>
  <si>
    <t>SatıcıTəcrübəsi Texnologiyaları şöbəsi/Hesablaşmalar bölməsi</t>
  </si>
  <si>
    <t>Bir-133</t>
  </si>
  <si>
    <t>Shilko Kristina</t>
  </si>
  <si>
    <t>Шилько Кристина Дмитриевна</t>
  </si>
  <si>
    <t>Catalog/SLA team</t>
  </si>
  <si>
    <t>Kataloq - Xidmət Səviyyəsi Razılaşması(SLA) bölməsi</t>
  </si>
  <si>
    <t>Bir-54</t>
  </si>
  <si>
    <t>Ihnatsik Dzianis</t>
  </si>
  <si>
    <t>Игнатик Денис Александрович</t>
  </si>
  <si>
    <t>Bir-149</t>
  </si>
  <si>
    <t>Tsetserov Andrei Leonidovich</t>
  </si>
  <si>
    <t>Цецеров Андрей Леонидович</t>
  </si>
  <si>
    <t>Bir-151</t>
  </si>
  <si>
    <t>Unhur Anhelina</t>
  </si>
  <si>
    <t>Унгур Ангелина Михайловна</t>
  </si>
  <si>
    <t>Bir-120</t>
  </si>
  <si>
    <t>Salauyou Mikita Alexandrovich</t>
  </si>
  <si>
    <t>Соловьёв Никита Александрович</t>
  </si>
  <si>
    <t>QA Manual</t>
  </si>
  <si>
    <t>Bir-16</t>
  </si>
  <si>
    <t>Bobok Serhii Serhiivich</t>
  </si>
  <si>
    <t>Бобок Сергій Сергійович</t>
  </si>
  <si>
    <t>Database administratoru</t>
  </si>
  <si>
    <t>Database Administrator</t>
  </si>
  <si>
    <t>Bir-111</t>
  </si>
  <si>
    <t>Pospielov Andrii Mykolaiovych</t>
  </si>
  <si>
    <t>Поспєлов Андрій Миколайович</t>
  </si>
  <si>
    <t>Bir-161</t>
  </si>
  <si>
    <t>Yurkiv Zinovii Ivanovich</t>
  </si>
  <si>
    <t>Юрків Зіновій Іванович</t>
  </si>
  <si>
    <t>System Reliability Engineer</t>
  </si>
  <si>
    <t>Bir-24</t>
  </si>
  <si>
    <t>Chekan Evgeniy Nikolayevich</t>
  </si>
  <si>
    <t>Чекан Евгений Николаевич</t>
  </si>
  <si>
    <t>Bir-93</t>
  </si>
  <si>
    <t>Monastyrskyi Oleksandr</t>
  </si>
  <si>
    <t>Монастирський Олександр Вячеславович</t>
  </si>
  <si>
    <t>Logistics&amp;Platform Technology division/Warehouse Management Team</t>
  </si>
  <si>
    <t>Logistika və Platforma Texnologiyaları şöbəsi/Anbar İdarəetmə sistem bölməsi</t>
  </si>
  <si>
    <t>Bir-78</t>
  </si>
  <si>
    <t>Kyrylovych Artem Oleksandrovych</t>
  </si>
  <si>
    <t>Кирилович Артем Олександрович</t>
  </si>
  <si>
    <t>Bir-50</t>
  </si>
  <si>
    <t>Huk Dmytro Serhiyovych</t>
  </si>
  <si>
    <t>Гук Дмитро Сергійович</t>
  </si>
  <si>
    <t>Bir-34</t>
  </si>
  <si>
    <t>Dordiuk Oleksandr Serhiyovych</t>
  </si>
  <si>
    <t>Дордюк Олександр Сергійович</t>
  </si>
  <si>
    <t>Bir-97</t>
  </si>
  <si>
    <t>Mussalim Kaisar Amantaiuly</t>
  </si>
  <si>
    <t>Мусалим Кайсар Амантайулы</t>
  </si>
  <si>
    <t>Bir-95</t>
  </si>
  <si>
    <t>Murashov Alexander</t>
  </si>
  <si>
    <t>Мурашов Александр Вениаминович</t>
  </si>
  <si>
    <t>Bir-80</t>
  </si>
  <si>
    <t>Lapenak Uladzimir Maksimovich</t>
  </si>
  <si>
    <t>Лапенок Владимир Максимович</t>
  </si>
  <si>
    <t>Bir-21</t>
  </si>
  <si>
    <t>Buhlayeva Natallia Yuryevna</t>
  </si>
  <si>
    <t>Буглаева Наталья Юрьевна</t>
  </si>
  <si>
    <t>Bir-74</t>
  </si>
  <si>
    <t>Kulchytskyi Artem</t>
  </si>
  <si>
    <t>Кульчицький Артем  В'ячеславович</t>
  </si>
  <si>
    <t>Bir-142</t>
  </si>
  <si>
    <t>Sytnik Alina Sergeevna</t>
  </si>
  <si>
    <t>Сытник Алина Сергеевна</t>
  </si>
  <si>
    <t>Bir-49</t>
  </si>
  <si>
    <t>Hryhoryeu Anton Alexandrovich</t>
  </si>
  <si>
    <t>Григорьев Антон Александрович</t>
  </si>
  <si>
    <t>Bir-82</t>
  </si>
  <si>
    <t>Latyshava Valeryia Andreewna</t>
  </si>
  <si>
    <t>Латышева Валерия Андреевна</t>
  </si>
  <si>
    <t>Bir-102</t>
  </si>
  <si>
    <t>Paliukhovich Anastasiya</t>
  </si>
  <si>
    <t>Полюхович Анастасия Павловна</t>
  </si>
  <si>
    <t>Bir-30</t>
  </si>
  <si>
    <t>Dakov Andrei Urievich</t>
  </si>
  <si>
    <t>Aparıcı Data Analitik</t>
  </si>
  <si>
    <t>Lead Data Analyst</t>
  </si>
  <si>
    <t>Bir-8</t>
  </si>
  <si>
    <t>Askarova Anar Askarkyzy</t>
  </si>
  <si>
    <t>Аскарова Анар Аскаркызы</t>
  </si>
  <si>
    <t>Bir-15</t>
  </si>
  <si>
    <t>Bitno Sofia Viacheslavovna</t>
  </si>
  <si>
    <t>Битно София Вячеславовна</t>
  </si>
  <si>
    <t>Bir-113</t>
  </si>
  <si>
    <t>Riabinkov Ihor Serhiiovych</t>
  </si>
  <si>
    <t>Рябінков Ігор Сергійович</t>
  </si>
  <si>
    <t>Bir-6</t>
  </si>
  <si>
    <t>Alkhimovich Dzmitry</t>
  </si>
  <si>
    <t>Альхимович Дмитрий Михайлович</t>
  </si>
  <si>
    <t>Bir-32</t>
  </si>
  <si>
    <t>Derkach Anatolii Eduardovich</t>
  </si>
  <si>
    <t>Деркач Анатолій Едуардович</t>
  </si>
  <si>
    <t>Bir-134</t>
  </si>
  <si>
    <t>Skachkova Daria Oleksandrivna</t>
  </si>
  <si>
    <t>Скачкова Дарʼя Олександрівна</t>
  </si>
  <si>
    <t>Bir-46</t>
  </si>
  <si>
    <t>Haponenka Aliaksei</t>
  </si>
  <si>
    <t>Гапоненко Алексей Сергеевич</t>
  </si>
  <si>
    <t>Bir-137</t>
  </si>
  <si>
    <t>Staravoitava Yauheniya Matveevna</t>
  </si>
  <si>
    <t>Старовойтова Евгения Матвеевна</t>
  </si>
  <si>
    <t>Bir-107</t>
  </si>
  <si>
    <t>Pipko Dmitry</t>
  </si>
  <si>
    <t>Пипко Дмитрий Сергеевич</t>
  </si>
  <si>
    <t>Bir-7</t>
  </si>
  <si>
    <t>Amangeldiyev Arystan Altynbekovich</t>
  </si>
  <si>
    <t>Амангельдиев Арыстан Алтынбекович</t>
  </si>
  <si>
    <t>Bir-162</t>
  </si>
  <si>
    <t>Zadarozhny Andrei Andreevich</t>
  </si>
  <si>
    <t>Задорожный Андрей Андреевич</t>
  </si>
  <si>
    <t>Bir-165</t>
  </si>
  <si>
    <t>Zhmurskyi Artem Olehovych</t>
  </si>
  <si>
    <t>Жмурський Артем Олегович</t>
  </si>
  <si>
    <t>Bir-18</t>
  </si>
  <si>
    <t>Borakovska Svitlana Oleksandrivna</t>
  </si>
  <si>
    <t>Бораковська Світлана Олександрівна</t>
  </si>
  <si>
    <t>Bir-159</t>
  </si>
  <si>
    <t>Yahalovich Aliaksandr Mihaylavich</t>
  </si>
  <si>
    <t>Яголович Александр Михайлович</t>
  </si>
  <si>
    <t>Bir-3</t>
  </si>
  <si>
    <t>Akhmet Timur</t>
  </si>
  <si>
    <t>Ахмет Тимур Тахирович</t>
  </si>
  <si>
    <t>Aparıcı Məhsul Analitiki</t>
  </si>
  <si>
    <t>Lead Product Analyst</t>
  </si>
  <si>
    <t>Bir-98</t>
  </si>
  <si>
    <t>Mylka Artur</t>
  </si>
  <si>
    <t>Мылка Артур Вячеславович</t>
  </si>
  <si>
    <t>Bir-172</t>
  </si>
  <si>
    <t>Gordiienko Dmytro Sergiyovich</t>
  </si>
  <si>
    <t>Гордієнко Дмитро Сергійович</t>
  </si>
  <si>
    <t>Avtomatlaşdırma üzrə QA  Mühəndisi</t>
  </si>
  <si>
    <t>Automation QA engineer</t>
  </si>
  <si>
    <t>Bir-150</t>
  </si>
  <si>
    <t>Turanov Iskender Erikovich</t>
  </si>
  <si>
    <t>Туранов Искендер Эрикович</t>
  </si>
  <si>
    <t>Bir-136</t>
  </si>
  <si>
    <t>Solovei Viktor Vladimirovich</t>
  </si>
  <si>
    <t>Соловей Виктор Владимирович</t>
  </si>
  <si>
    <t>Bir-35</t>
  </si>
  <si>
    <t>Dubrouik Artsiom Evgenievich</t>
  </si>
  <si>
    <t>Дубровник Артём Евгеньевич</t>
  </si>
  <si>
    <t>Bir-67</t>
  </si>
  <si>
    <t>Kolomoiets Oleksandr Mykolayovych</t>
  </si>
  <si>
    <t>Коломоєць Олександр Миколайович</t>
  </si>
  <si>
    <t>Bir-5</t>
  </si>
  <si>
    <t>Aleksandrov Maksim</t>
  </si>
  <si>
    <t>Portfolio Hiring Lead</t>
  </si>
  <si>
    <t>Bir 1</t>
  </si>
  <si>
    <t>Abdrakhmanov Anuar Serikovich</t>
  </si>
  <si>
    <t>Абдрахманов Ануар Серикович</t>
  </si>
  <si>
    <t>Seller  Experience Technology divison/e-Kassa Team</t>
  </si>
  <si>
    <t>Satıcı Təcrübəsi Texnologiyaları şöbəsi/e-Kassa bölməsi</t>
  </si>
  <si>
    <t>Bir-132</t>
  </si>
  <si>
    <t>Shevchuk Yevhen Vadimovich</t>
  </si>
  <si>
    <t>Шевчук Євген Вадимович</t>
  </si>
  <si>
    <t>Bir-114</t>
  </si>
  <si>
    <t>Rodnykh Dmitry</t>
  </si>
  <si>
    <t>Родних Дмитро Сергійович</t>
  </si>
  <si>
    <t>Bir-103</t>
  </si>
  <si>
    <t>Papushoi Ivan</t>
  </si>
  <si>
    <t>Папушой Иван Витальевич</t>
  </si>
  <si>
    <t>Bir-9</t>
  </si>
  <si>
    <t>Baizhumanov Alisher</t>
  </si>
  <si>
    <t>Байжуманов Алишер Аскарулы</t>
  </si>
  <si>
    <t>Bir-100</t>
  </si>
  <si>
    <t>Ovchinnikov Danila</t>
  </si>
  <si>
    <t>Овчинников Данила Алекceевич</t>
  </si>
  <si>
    <t>Bir-14</t>
  </si>
  <si>
    <t>Bielik Oleksandr</t>
  </si>
  <si>
    <t>Бєлік Олександр Володимирович</t>
  </si>
  <si>
    <t>Bir-160</t>
  </si>
  <si>
    <t>Yerzhanova Aiganym</t>
  </si>
  <si>
    <t>Ержанова Айганым Ержановна</t>
  </si>
  <si>
    <t>Buyer Experience Product Tribe/Navigation Team</t>
  </si>
  <si>
    <t>Alıcı Təcrübəsi Məhsul departamenti/Naviqasiya bölməsi</t>
  </si>
  <si>
    <t>Bir-140</t>
  </si>
  <si>
    <t>Svistunov Kirill</t>
  </si>
  <si>
    <t>Logistics Product  department/Transportation management system team</t>
  </si>
  <si>
    <t>Logistika Məhsul departamenti/ Nəqliyyat idarəetmə bölməsi</t>
  </si>
  <si>
    <t>Bir-153</t>
  </si>
  <si>
    <t>Uskov Sergey</t>
  </si>
  <si>
    <t>Усков Сергей Анатольевич</t>
  </si>
  <si>
    <t>IT memar</t>
  </si>
  <si>
    <t xml:space="preserve"> IT Architect</t>
  </si>
  <si>
    <t>Bir-86</t>
  </si>
  <si>
    <t>Makarov Stanislav</t>
  </si>
  <si>
    <t>Макаров Станислав Александрович</t>
  </si>
  <si>
    <t>Təchizat zənciri texnologiyaları qrupu</t>
  </si>
  <si>
    <t>Supply chain technology tribe</t>
  </si>
  <si>
    <t>Backend mühəndisi</t>
  </si>
  <si>
    <t>Backend engineer</t>
  </si>
  <si>
    <t>Bir-127</t>
  </si>
  <si>
    <t>Serhunin Oleksandr</t>
  </si>
  <si>
    <t>Сергунін Олександр Олександрівич</t>
  </si>
  <si>
    <t>Technology Division</t>
  </si>
  <si>
    <t>Logistic product manager</t>
  </si>
  <si>
    <t>Bir-41</t>
  </si>
  <si>
    <t>Gaidukov Andrei</t>
  </si>
  <si>
    <t>Гайдуков Андрей Анатольевич</t>
  </si>
  <si>
    <t>Bir-60</t>
  </si>
  <si>
    <t>Kamilov Ramazan Magomedovich</t>
  </si>
  <si>
    <t>Камилов Рамазан Магомедович</t>
  </si>
  <si>
    <t>Bir-56</t>
  </si>
  <si>
    <t>Iolchu Ramil</t>
  </si>
  <si>
    <t>Иолчу Рамиль Ровшан оглы</t>
  </si>
  <si>
    <t>Bir-125</t>
  </si>
  <si>
    <t>Selianin Valerii</t>
  </si>
  <si>
    <t>Селянин Валерий Валерьевич</t>
  </si>
  <si>
    <t>Bir-166</t>
  </si>
  <si>
    <t>Zhumabekov Adil</t>
  </si>
  <si>
    <t>Жумабеков Aдил</t>
  </si>
  <si>
    <t>Bir-71</t>
  </si>
  <si>
    <t>Kryvonohykh Oleksii</t>
  </si>
  <si>
    <t>Кривоногих Олексій Едуардович</t>
  </si>
  <si>
    <t>Bir-37</t>
  </si>
  <si>
    <t>Duenko Gleb</t>
  </si>
  <si>
    <t>Performans üzrə bölmə rəhbəri</t>
  </si>
  <si>
    <t>Tribe Performance Lead</t>
  </si>
  <si>
    <t>Bir-76</t>
  </si>
  <si>
    <t>Kutiavin  Igor</t>
  </si>
  <si>
    <t>Financal services &amp; Ecosystem Integration team</t>
  </si>
  <si>
    <t>Maliyyə Xidmətləri və Ekosistem İnteqrasiyası bölməsi</t>
  </si>
  <si>
    <t>Texniki Rəhbər</t>
  </si>
  <si>
    <t>Bir-129</t>
  </si>
  <si>
    <t>Shcherbakov Kirill Tarasovich</t>
  </si>
  <si>
    <t>Shcherbakov Kirill</t>
  </si>
  <si>
    <t>Bir-28</t>
  </si>
  <si>
    <t>Chumak Mikhail Aleksandrovich</t>
  </si>
  <si>
    <t>Go Developer</t>
  </si>
  <si>
    <t>Bir-106</t>
  </si>
  <si>
    <t>Pilyutik Anna</t>
  </si>
  <si>
    <t>Пилютик Анна Андреевна</t>
  </si>
  <si>
    <t>Əsas Məhsul Qrupu</t>
  </si>
  <si>
    <t>Core Product Tribe</t>
  </si>
  <si>
    <t>Checkout experience squard</t>
  </si>
  <si>
    <t>Ödəniş təcrübəsi bölməsi</t>
  </si>
  <si>
    <t>Senior Service Designer</t>
  </si>
  <si>
    <t>Bir-122</t>
  </si>
  <si>
    <t>Samarova Olessya</t>
  </si>
  <si>
    <t>Bir-145</t>
  </si>
  <si>
    <t>Tovpinets Maria</t>
  </si>
  <si>
    <t>İşçi Performansının Təkmilləşdirilməsi Departamentinin rəhbəri</t>
  </si>
  <si>
    <t>Head of Performance Excellence</t>
  </si>
  <si>
    <t>Bir-12</t>
  </si>
  <si>
    <t>Belogliadov Daniil</t>
  </si>
  <si>
    <t>Fulfillment üzrə texnoloq</t>
  </si>
  <si>
    <t>Fulfillment Technologist</t>
  </si>
  <si>
    <t>Bir-20</t>
  </si>
  <si>
    <t>Bravyi Artem Vladimirovich</t>
  </si>
  <si>
    <t>Bir-40</t>
  </si>
  <si>
    <t>Evlampiev Aleksandr</t>
  </si>
  <si>
    <t>Bir-167</t>
  </si>
  <si>
    <t>Maslov Konstantin</t>
  </si>
  <si>
    <t>Kommersiya Bloku üzrə Strateji Tərəfdaş</t>
  </si>
  <si>
    <t>Chief Commercial Officer</t>
  </si>
  <si>
    <t>Bir-169</t>
  </si>
  <si>
    <t>Tushin Aleksey Nikolayevich</t>
  </si>
  <si>
    <t>Тушин Алексей Николаевич</t>
  </si>
  <si>
    <t>Bir-170</t>
  </si>
  <si>
    <t>Moldokasymov Iskhak</t>
  </si>
  <si>
    <t>Молдокасымов Исхак Кыясович</t>
  </si>
  <si>
    <t>İnfrastruktur texnologiyalar şöbəsi</t>
  </si>
  <si>
    <t>XM-480</t>
  </si>
  <si>
    <t>Jafarova Jala</t>
  </si>
  <si>
    <t>Cəfərova Jalə Tahir qızı</t>
  </si>
  <si>
    <t>Logistika Departamenti</t>
  </si>
  <si>
    <t>Logistics Department</t>
  </si>
  <si>
    <t>Courier-driver division</t>
  </si>
  <si>
    <t>Kuryer-sürücü şöbəsi</t>
  </si>
  <si>
    <t>Sürücü MP</t>
  </si>
  <si>
    <t>XM-481</t>
  </si>
  <si>
    <t>Azizov Namig</t>
  </si>
  <si>
    <t>Əzizov Namiq Arzu oğlu</t>
  </si>
  <si>
    <t>XM-479</t>
  </si>
  <si>
    <t>İsmayılov İbrahim</t>
  </si>
  <si>
    <t>İsmayılov İbrahim Rasim oğlu</t>
  </si>
  <si>
    <t>XM-487</t>
  </si>
  <si>
    <t>Karimov Rashid</t>
  </si>
  <si>
    <t>Kərimov Rəşid Məlik oğlu</t>
  </si>
  <si>
    <t>Driver-courier division MP</t>
  </si>
  <si>
    <t>Sürücü-kuryer şöbəsi MP</t>
  </si>
  <si>
    <t>XM-482</t>
  </si>
  <si>
    <t>Zakaryayev Ismail</t>
  </si>
  <si>
    <t>Zəkəryəyev İsmayıl Qabil oğlu</t>
  </si>
  <si>
    <t>XM-478</t>
  </si>
  <si>
    <t>Abbasquliyev Rasim</t>
  </si>
  <si>
    <t>Abbasquliyev Rasim Ramiz oğlu</t>
  </si>
  <si>
    <t>XM-484</t>
  </si>
  <si>
    <t>Dadashov Oguzkhan</t>
  </si>
  <si>
    <t>Dadaşov Oğuzxan Mehmed oğlu</t>
  </si>
  <si>
    <t>XM-483</t>
  </si>
  <si>
    <t>Amiraslanov Elgun</t>
  </si>
  <si>
    <t>Əmiraslanov Elgün Əmiraslan oğlu</t>
  </si>
  <si>
    <t>XM-495</t>
  </si>
  <si>
    <t>Baghirov Tarlan</t>
  </si>
  <si>
    <t>Bağırov Tərlan Tahir oğlu</t>
  </si>
  <si>
    <t>XM-489</t>
  </si>
  <si>
    <t>Huseynov Firuz</t>
  </si>
  <si>
    <t>Hüseynov Firuz Mehman oğlu</t>
  </si>
  <si>
    <t>XM-496</t>
  </si>
  <si>
    <t>Mammadov Elvin</t>
  </si>
  <si>
    <t>Məmmədov Elvin Abdulla oğlu</t>
  </si>
  <si>
    <t>XM-492</t>
  </si>
  <si>
    <t>Melikov Nahid</t>
  </si>
  <si>
    <t>Məlikov Nahid Həkim oğlu</t>
  </si>
  <si>
    <t>XM-490</t>
  </si>
  <si>
    <t>Babayev Elnur</t>
  </si>
  <si>
    <t>Babayev Elnur Təvəkkül oğlu</t>
  </si>
  <si>
    <t>XM-491</t>
  </si>
  <si>
    <t>Bayramov Veyis</t>
  </si>
  <si>
    <t>Bayramov Veyis Baxış oğlu</t>
  </si>
  <si>
    <t>XM-493</t>
  </si>
  <si>
    <t xml:space="preserve"> Mashadiyev Momin </t>
  </si>
  <si>
    <t>Məşədiyev Mömin Əşrəf oğlu</t>
  </si>
  <si>
    <t>XM-494</t>
  </si>
  <si>
    <t>Alizade Mikayil</t>
  </si>
  <si>
    <t>Əlizadə Mikayıl Müşfiq oğlu</t>
  </si>
  <si>
    <t>XM-507</t>
  </si>
  <si>
    <t>Guliyev Khaqan</t>
  </si>
  <si>
    <t>Quliyev Xaqan Elşad oğlu</t>
  </si>
  <si>
    <t>XM-505</t>
  </si>
  <si>
    <t>Abbasov Elshad</t>
  </si>
  <si>
    <t>Abbasov Elşad Fərhad oğlu</t>
  </si>
  <si>
    <t>XM-504</t>
  </si>
  <si>
    <t>Seyidov Rauf</t>
  </si>
  <si>
    <t>Seyidov Rauf Söyün oğlu</t>
  </si>
  <si>
    <t>XM-501</t>
  </si>
  <si>
    <t>Əliyev Ceyhun Seyran oğlu</t>
  </si>
  <si>
    <t>XM-506</t>
  </si>
  <si>
    <t>Malikzada Ali</t>
  </si>
  <si>
    <t>Məlikzadə Əli Eldar oğlu</t>
  </si>
  <si>
    <t>XM-500</t>
  </si>
  <si>
    <t>Sharifov Ruslan</t>
  </si>
  <si>
    <t>Şərifov Ruslan Sərdər oğlu</t>
  </si>
  <si>
    <t>XM-499</t>
  </si>
  <si>
    <t>Suvarov Tarlan</t>
  </si>
  <si>
    <t>Suvarov Tərlan Feyruz oğlu</t>
  </si>
  <si>
    <t>XM-502</t>
  </si>
  <si>
    <t>Aliyev Nurlan</t>
  </si>
  <si>
    <t>Əliyev Nurlan Eldəniz oğlu</t>
  </si>
  <si>
    <t>XM-503</t>
  </si>
  <si>
    <t>Jafarov Shamil</t>
  </si>
  <si>
    <t>Cəfərov Şamil Rövşən oğlu</t>
  </si>
  <si>
    <t>XM-509</t>
  </si>
  <si>
    <t>Safili Ittifaq</t>
  </si>
  <si>
    <t>Səfili İttifaq Aqil oğlu</t>
  </si>
  <si>
    <t>XM-510</t>
  </si>
  <si>
    <t>Babayev Sarhang</t>
  </si>
  <si>
    <t>Babayev Sərhəng İlham oğlu</t>
  </si>
  <si>
    <t>XM-512</t>
  </si>
  <si>
    <t>Garayev Khanlar</t>
  </si>
  <si>
    <t>Qarayev Xanlar Əbülfəz oğlu</t>
  </si>
  <si>
    <t>XM-511</t>
  </si>
  <si>
    <t>Guliyev Teymur</t>
  </si>
  <si>
    <t>Quliyev Teymur Telman oğlu</t>
  </si>
  <si>
    <t>XM-508</t>
  </si>
  <si>
    <t>Naghiyev Turan</t>
  </si>
  <si>
    <t>Nağıyev Turan Məzahir oğlu</t>
  </si>
  <si>
    <t>XM-64</t>
  </si>
  <si>
    <t>Dilbazov Ilkin</t>
  </si>
  <si>
    <t>Di̇lbazov İlki̇n Fərman oğlu</t>
  </si>
  <si>
    <t>XM-123</t>
  </si>
  <si>
    <t>Abdullayev Orkhan</t>
  </si>
  <si>
    <t>Abdullayev Orxan Çi̇ngi̇z oğlu</t>
  </si>
  <si>
    <t>XM-5</t>
  </si>
  <si>
    <t>DASHDAMIROV AGHABAY</t>
  </si>
  <si>
    <t>DAŞDƏMİROV AĞABƏY ƏBDÜLƏMİN OĞLU</t>
  </si>
  <si>
    <t>XM-1</t>
  </si>
  <si>
    <t>JAFAROV ASLAN</t>
  </si>
  <si>
    <t>CƏFƏROV ASLAN ZAKİR OĞLU</t>
  </si>
  <si>
    <t>XM-18</t>
  </si>
  <si>
    <t>IBRAHIMOV ATIN</t>
  </si>
  <si>
    <t>İBRAHİMOV ATİN SALƏDDİN OĞLU</t>
  </si>
  <si>
    <t>XM-19</t>
  </si>
  <si>
    <t>Mukhtarov Azar</t>
  </si>
  <si>
    <t>Muxtarov Azər Kamil oğlu</t>
  </si>
  <si>
    <t>XM-8</t>
  </si>
  <si>
    <t>Majıdzada Bahruz</t>
  </si>
  <si>
    <t>Məcidzadə Bəhruz  Bəhram oğlu</t>
  </si>
  <si>
    <t>XM-21</t>
  </si>
  <si>
    <t>ALLAHVERDIYEV AKBAR</t>
  </si>
  <si>
    <t>ALLAHVERDİYEV ƏKBƏR RƏŞİD OĞLU</t>
  </si>
  <si>
    <t>XM-20</t>
  </si>
  <si>
    <t>KARIMOV ELCHIN</t>
  </si>
  <si>
    <t>KƏRİMOV ELÇİN NİZAMİ OĞLU</t>
  </si>
  <si>
    <t>XM-447</t>
  </si>
  <si>
    <t>Dunyamaliyev Eldeniz</t>
  </si>
  <si>
    <t>Dünyamalıyev Eldəniz Dünyamalı oğlu</t>
  </si>
  <si>
    <t>XM-7</t>
  </si>
  <si>
    <t>AGHAYEV ALI</t>
  </si>
  <si>
    <t>Ağayev Əli Məhəmmədəli oğlu</t>
  </si>
  <si>
    <t>XM-26</t>
  </si>
  <si>
    <t>GADIRLI ELNUR</t>
  </si>
  <si>
    <t>QƏDİRLİ ELNUR MÜZƏFFƏR OĞLU</t>
  </si>
  <si>
    <t>XM-12</t>
  </si>
  <si>
    <t>ATAYEV ELSHAN</t>
  </si>
  <si>
    <t>ATAYEV ELŞƏN RAFİQ OĞLU</t>
  </si>
  <si>
    <t>XM-14</t>
  </si>
  <si>
    <t>MIRZAMOV FUAD</t>
  </si>
  <si>
    <t>MİRZAMOV FUAD HEYBƏT OĞLU</t>
  </si>
  <si>
    <t>XM-11</t>
  </si>
  <si>
    <t>Rustamov Maftun</t>
  </si>
  <si>
    <t>Rüstəmov Məftun Maqsud oğlu</t>
  </si>
  <si>
    <t>XM-15</t>
  </si>
  <si>
    <t>MAMEDOV MAHARRAM</t>
  </si>
  <si>
    <t>MAMEDOV MƏHƏRRƏM ƏŞRƏF OĞLU</t>
  </si>
  <si>
    <t>XM-2</t>
  </si>
  <si>
    <t>Majıdzada Mushvıg</t>
  </si>
  <si>
    <t>Məcidzadə Müşviq Təvəkkül oğlu</t>
  </si>
  <si>
    <t>XM-28</t>
  </si>
  <si>
    <t>İMANOV GAZANFAR</t>
  </si>
  <si>
    <t>İMANOV QƏZƏNFƏR ATƏŞ OĞLU</t>
  </si>
  <si>
    <t>XM-16</t>
  </si>
  <si>
    <t>MUSAYEV GULU</t>
  </si>
  <si>
    <t>MUSAYEV QULU GÜNDÜZ OĞLU</t>
  </si>
  <si>
    <t>XM-9</t>
  </si>
  <si>
    <t>GULAMOV RASİM</t>
  </si>
  <si>
    <t>QULAMOV RASİM İMAMƏLİ OĞLU</t>
  </si>
  <si>
    <t>XM-6</t>
  </si>
  <si>
    <t>SHIRINOV RASIM</t>
  </si>
  <si>
    <t>ŞİRİNOV RASİM RAFİQOVİÇ</t>
  </si>
  <si>
    <t>XM-23</t>
  </si>
  <si>
    <t>MUSTAFAYEV RASHAD</t>
  </si>
  <si>
    <t>MUSTAFAYEV RƏŞAD RƏFAİL OĞLU</t>
  </si>
  <si>
    <t>XM-17</t>
  </si>
  <si>
    <t>Aliyev Samir</t>
  </si>
  <si>
    <t>Əliyev Samir Əli oğlu</t>
  </si>
  <si>
    <t>Driver-courier division Trandyol</t>
  </si>
  <si>
    <t>Sürücü-kuryer şöbəsi Trendyol</t>
  </si>
  <si>
    <t>Sürücü- trendyol</t>
  </si>
  <si>
    <t>XM-27</t>
  </si>
  <si>
    <t>Huseynov Samır</t>
  </si>
  <si>
    <t>Hüseynov Samir Ağakişi oğlu</t>
  </si>
  <si>
    <t>XM-4</t>
  </si>
  <si>
    <t>Hajıyev Sarkhan</t>
  </si>
  <si>
    <t>Hacıyev Sərxan Nəcəf oğlu</t>
  </si>
  <si>
    <t>XM-13</t>
  </si>
  <si>
    <t>ALIYEV TALEH</t>
  </si>
  <si>
    <t>ƏLİYEV TALEH ƏLİŞİR OĞLU</t>
  </si>
  <si>
    <t>XM-10</t>
  </si>
  <si>
    <t>HAJIYEV TARLAN</t>
  </si>
  <si>
    <t>HACIYEV TƏRLAN İLQAR OĞLU</t>
  </si>
  <si>
    <t>XM-25</t>
  </si>
  <si>
    <t>TALIBOV TARLAN</t>
  </si>
  <si>
    <t>Talıbov Tərlan Bəhruz oğlu</t>
  </si>
  <si>
    <t>XM-24</t>
  </si>
  <si>
    <t>GULIYEV TURAL</t>
  </si>
  <si>
    <t>QULİYEV TURAL RASİM OĞLU</t>
  </si>
  <si>
    <t>XM-3</t>
  </si>
  <si>
    <t>GULMAMMADOV VUSAL</t>
  </si>
  <si>
    <t>GÜLMƏMMƏDOV VÜSAL AYDIN OĞLU</t>
  </si>
  <si>
    <t>XM-22</t>
  </si>
  <si>
    <t>Hajıyev Vusal</t>
  </si>
  <si>
    <t>Hacıyev Vüsal Valeh oğlu</t>
  </si>
  <si>
    <t>XM-29</t>
  </si>
  <si>
    <t>ALIYEV ZAUR</t>
  </si>
  <si>
    <t>ƏLİYEV ZAUR ƏLİ OĞLU</t>
  </si>
  <si>
    <t>XM-454</t>
  </si>
  <si>
    <t>ASGAROV FARİD</t>
  </si>
  <si>
    <t>Əsgərov Fərid Sabir oğlu</t>
  </si>
  <si>
    <t>XM-30</t>
  </si>
  <si>
    <t>RUSTAMOV ELCHIN</t>
  </si>
  <si>
    <t>RÜSTƏMOV ELÇİN İSLAM OĞLU</t>
  </si>
  <si>
    <t>XM-31</t>
  </si>
  <si>
    <t>ISLAMOV TURAL</t>
  </si>
  <si>
    <t>İslamov Tural Bahadur oğlu</t>
  </si>
  <si>
    <t>XM-32</t>
  </si>
  <si>
    <t>Alıyev Emın</t>
  </si>
  <si>
    <t>Əliyev Emin Telman oğlu</t>
  </si>
  <si>
    <t>XM-33</t>
  </si>
  <si>
    <t>Sadigov Elbrus</t>
  </si>
  <si>
    <t>Sadıqov Elbrus İlqar oğlu</t>
  </si>
  <si>
    <t>XM-34</t>
  </si>
  <si>
    <t>Aliyev Rashad</t>
  </si>
  <si>
    <t>Əliyev Rəşad Abdulla oğlu</t>
  </si>
  <si>
    <t>XM-35</t>
  </si>
  <si>
    <t>Isgandarov Nasimi</t>
  </si>
  <si>
    <t>İsgəndərov Nəsimi Tofiq oğlu</t>
  </si>
  <si>
    <t>XM-36</t>
  </si>
  <si>
    <t>Babayev Emin</t>
  </si>
  <si>
    <t>Babayev Emin Rasim oğlu</t>
  </si>
  <si>
    <t>XM-37</t>
  </si>
  <si>
    <t>Abbasov Huseyn</t>
  </si>
  <si>
    <t>Abbasov Hüseyn Lətif oğlu</t>
  </si>
  <si>
    <t>XM-38</t>
  </si>
  <si>
    <t>Balaoglanov Hafiz</t>
  </si>
  <si>
    <t>Balaoğlanov Hafiz İsa oğlu</t>
  </si>
  <si>
    <t>XM-39</t>
  </si>
  <si>
    <t>Musayev Fazil</t>
  </si>
  <si>
    <t>Musayev Fazil Əli oğlu</t>
  </si>
  <si>
    <t>XM-40</t>
  </si>
  <si>
    <t>Rizayev Kamran</t>
  </si>
  <si>
    <t>Rizayev Kamran Vaqif oğlu</t>
  </si>
  <si>
    <t>XM-41</t>
  </si>
  <si>
    <t>Mammadov Ismayil</t>
  </si>
  <si>
    <t>Məmmədov İsmayıl İbrahim oğlu</t>
  </si>
  <si>
    <t>XM-42</t>
  </si>
  <si>
    <t>Isgandarov Ruslan</t>
  </si>
  <si>
    <t>İsgəndərov Ruslan Xəzail oğlu</t>
  </si>
  <si>
    <t>XM-43</t>
  </si>
  <si>
    <t>Hajiyev Anar</t>
  </si>
  <si>
    <t>Hacıyev Anar Ramiz oğlu</t>
  </si>
  <si>
    <t>XM-44</t>
  </si>
  <si>
    <t>Aghamammadov Alihormat</t>
  </si>
  <si>
    <t>Ağaməmmədov Əlihörmət Əbülfət oğlu</t>
  </si>
  <si>
    <t>XM-45</t>
  </si>
  <si>
    <t>Yusubov Elvin</t>
  </si>
  <si>
    <t>Yusubov Elvin Nazim oğlu</t>
  </si>
  <si>
    <t>XM-47</t>
  </si>
  <si>
    <t>Salimov Rauf</t>
  </si>
  <si>
    <t>Səlimov Rauf Hacıbabab oğlu</t>
  </si>
  <si>
    <t>XM-48</t>
  </si>
  <si>
    <t>Fatullayev Imran</t>
  </si>
  <si>
    <t>Fətullayev İmran İkraməddin oğlu</t>
  </si>
  <si>
    <t>XM-49</t>
  </si>
  <si>
    <t>Hashimov Rashad</t>
  </si>
  <si>
    <t>Həşimov Rəşad Həsən oğlu</t>
  </si>
  <si>
    <t>XM-50</t>
  </si>
  <si>
    <t>Hajiyev Khayal</t>
  </si>
  <si>
    <t>Hacıyev Xəyal Valeh oğlu</t>
  </si>
  <si>
    <t>XM-53</t>
  </si>
  <si>
    <t>Sadigov Feyruz</t>
  </si>
  <si>
    <t>Sadıqov Feyruz Ağasoltan oğlu</t>
  </si>
  <si>
    <t>XM-54</t>
  </si>
  <si>
    <t>Mammadov Elnur</t>
  </si>
  <si>
    <t>Məmmədov Elnur Namiq oğlu</t>
  </si>
  <si>
    <t>XM-55</t>
  </si>
  <si>
    <t>Aghayev Sahib</t>
  </si>
  <si>
    <t>Ağayev Sahi̇b Manaf oğlu</t>
  </si>
  <si>
    <t>XM-429</t>
  </si>
  <si>
    <t>Heydarli Jamil</t>
  </si>
  <si>
    <t>Heydərli Cəmil Əjdər oğlu</t>
  </si>
  <si>
    <t>XM-56</t>
  </si>
  <si>
    <t>Guliyev Anar</t>
  </si>
  <si>
    <t>Quliyev Anar Arif oğlu</t>
  </si>
  <si>
    <t>XM-57</t>
  </si>
  <si>
    <t>Karimov Rauf</t>
  </si>
  <si>
    <t>Kərimov Rauf Kərim oğlu</t>
  </si>
  <si>
    <t>XM-58</t>
  </si>
  <si>
    <t>Jafarov Elmir</t>
  </si>
  <si>
    <t>Cəfərov Elmir Rəşid oğlu</t>
  </si>
  <si>
    <t>XM-59</t>
  </si>
  <si>
    <t>Allahverdiyev Mardan</t>
  </si>
  <si>
    <t>Allahverdiyev Mərdan İsa oğlu</t>
  </si>
  <si>
    <t>XM-239</t>
  </si>
  <si>
    <t>Bayramov Intigam</t>
  </si>
  <si>
    <t>Bayramov İntiqam İlham oğlu</t>
  </si>
  <si>
    <t>XM-189</t>
  </si>
  <si>
    <t>Sali̇mov Araz</t>
  </si>
  <si>
    <t>Səli̇mov Araz Mehdi̇xan oğlu</t>
  </si>
  <si>
    <t>Piyada kuryer</t>
  </si>
  <si>
    <t>Foot Courier</t>
  </si>
  <si>
    <t>XM-60</t>
  </si>
  <si>
    <t>Ibrahimzada Rashad</t>
  </si>
  <si>
    <t>İbrahimzadə Rəşad Rasim oğlu</t>
  </si>
  <si>
    <t>XM-61</t>
  </si>
  <si>
    <t>Safarov Tural</t>
  </si>
  <si>
    <t>Səfərov Tural Əli oğlu</t>
  </si>
  <si>
    <t>XM-62</t>
  </si>
  <si>
    <t>Guseinovi Baiaz</t>
  </si>
  <si>
    <t>XM-63</t>
  </si>
  <si>
    <t>Alakbarov Vasif</t>
  </si>
  <si>
    <t>Ələkbərov Vasif Natiq oğlu</t>
  </si>
  <si>
    <t>XM-65</t>
  </si>
  <si>
    <t>Rustambayli Elmar</t>
  </si>
  <si>
    <t>Rüstəmbəyli Elmar Qismət oğlu</t>
  </si>
  <si>
    <t>XM-66</t>
  </si>
  <si>
    <t>Ibrahimov Aykhan</t>
  </si>
  <si>
    <t>İbrahimov Ayxan Şükür oğlu</t>
  </si>
  <si>
    <t>XM-67</t>
  </si>
  <si>
    <t>Shirinov Rafig</t>
  </si>
  <si>
    <t>Şirinov Rafiq Vilayət oğlu</t>
  </si>
  <si>
    <t>XM-68</t>
  </si>
  <si>
    <t>Rzayev Khayal</t>
  </si>
  <si>
    <t>Rzayev Xəyal Sultan oğlu</t>
  </si>
  <si>
    <t>XM-69</t>
  </si>
  <si>
    <t>Isayev Elchin</t>
  </si>
  <si>
    <t>İsayev Elçin Caməmməd oğlu</t>
  </si>
  <si>
    <t>XM-70</t>
  </si>
  <si>
    <t>Orujov Aziz</t>
  </si>
  <si>
    <t>Orucov Əziz İlham oğlu</t>
  </si>
  <si>
    <t>XM-71</t>
  </si>
  <si>
    <t>Niftiyev Shahriyar</t>
  </si>
  <si>
    <t>Niftiyev Şəhriyar Xanəhməd oğlu</t>
  </si>
  <si>
    <t>XM-72</t>
  </si>
  <si>
    <t>Mammadov Urfat</t>
  </si>
  <si>
    <t>Məmmədov Ürfət Əli oğlu</t>
  </si>
  <si>
    <t>XM-513</t>
  </si>
  <si>
    <t>Majidzada Farid</t>
  </si>
  <si>
    <t>Məci̇dzadə Fəri̇d Müşvi̇q oğlu</t>
  </si>
  <si>
    <t>XM-160</t>
  </si>
  <si>
    <t>Nasibov Faiz</t>
  </si>
  <si>
    <t>Nəsi̇bov Fai̇z İlqar oğlu</t>
  </si>
  <si>
    <t>XM-73</t>
  </si>
  <si>
    <t>Aghayev Aziz</t>
  </si>
  <si>
    <t>Ağayev Əziz Həsən oğlu</t>
  </si>
  <si>
    <t>XM-74</t>
  </si>
  <si>
    <t>Malikov Javid</t>
  </si>
  <si>
    <t>Məlikov Cavid Ağasadıx oğlu</t>
  </si>
  <si>
    <t>XM-185</t>
  </si>
  <si>
    <t>Mustafayev Rizvan</t>
  </si>
  <si>
    <t>Mustafayev Ri̇zvan Vaqi̇f oğlu</t>
  </si>
  <si>
    <t>XM-75</t>
  </si>
  <si>
    <t>Guseinov Kamran</t>
  </si>
  <si>
    <t>XM-76</t>
  </si>
  <si>
    <t>Mammadova Mahira</t>
  </si>
  <si>
    <t>Məmmədova Mahirə Nehmət qızı</t>
  </si>
  <si>
    <t>XM-77</t>
  </si>
  <si>
    <t>Akhmadli Royal Namig</t>
  </si>
  <si>
    <t>Əhmədli Röyal Namiq oğlu</t>
  </si>
  <si>
    <t>XM-81</t>
  </si>
  <si>
    <t>Alakbarov Vusal Natig</t>
  </si>
  <si>
    <t>Ələkbərov Vüsal Natiq oğlu</t>
  </si>
  <si>
    <t>XM-248</t>
  </si>
  <si>
    <t>Isayev Orkhan</t>
  </si>
  <si>
    <t>İsayev Orxan İlham oğlu</t>
  </si>
  <si>
    <t>XM-389</t>
  </si>
  <si>
    <t>Ismayilov Emil Osman</t>
  </si>
  <si>
    <t>İsmayılov Emil Osman oğlu</t>
  </si>
  <si>
    <t>XM-79</t>
  </si>
  <si>
    <t>Azizov Rashad</t>
  </si>
  <si>
    <t>Əzizov Rəşad Ehtiram oğlu</t>
  </si>
  <si>
    <t>XM-80</t>
  </si>
  <si>
    <t>Babayev Rashad</t>
  </si>
  <si>
    <t>Babayev Rəşad Hüseyn oğlu</t>
  </si>
  <si>
    <t>XM-82</t>
  </si>
  <si>
    <t>Aliyev Elshan</t>
  </si>
  <si>
    <t>Əliyev Elşən Eyvaz oğlu</t>
  </si>
  <si>
    <t>XM-111</t>
  </si>
  <si>
    <t>Jafarov Tural</t>
  </si>
  <si>
    <t>Cəfərov Tural Məhərrəm oğlu</t>
  </si>
  <si>
    <t>XM-83</t>
  </si>
  <si>
    <t>Aliyev Seymur</t>
  </si>
  <si>
    <t>Əliyev Seymur Yaqub oğlu</t>
  </si>
  <si>
    <t>XM-84</t>
  </si>
  <si>
    <t>Namatov Hasan</t>
  </si>
  <si>
    <t>Namətov Həsən Mehman oğlu</t>
  </si>
  <si>
    <t>XM-85</t>
  </si>
  <si>
    <t>Abiyev Teymur</t>
  </si>
  <si>
    <t>Abiyev Teymur Fuad oğlu</t>
  </si>
  <si>
    <t>XM-336</t>
  </si>
  <si>
    <t>Maharramli Toghrul</t>
  </si>
  <si>
    <t>Məhərrəmli Toğrul Sənani oğlu</t>
  </si>
  <si>
    <t>XM-251</t>
  </si>
  <si>
    <t>Seyfullayev Bashir</t>
  </si>
  <si>
    <t>Seyfullayev Bəşir Tələtdin oğlu</t>
  </si>
  <si>
    <t>XM-173</t>
  </si>
  <si>
    <t>Məmmədov Kənan İlqar oğlu</t>
  </si>
  <si>
    <t>Moto-kuryer</t>
  </si>
  <si>
    <t>Moto courier</t>
  </si>
  <si>
    <t>XM-86</t>
  </si>
  <si>
    <t>Gambayev Ikram</t>
  </si>
  <si>
    <t>Qambayev İkram Heybət oğlu</t>
  </si>
  <si>
    <t>XM-87</t>
  </si>
  <si>
    <t>Guluyev Royal</t>
  </si>
  <si>
    <t>Quluyev Röyal İmamzadə oğlu</t>
  </si>
  <si>
    <t>XM-88</t>
  </si>
  <si>
    <t>Shukurov Jafar</t>
  </si>
  <si>
    <t>Şükürov Cəfər İsmayıl oğlu</t>
  </si>
  <si>
    <t>XM-322</t>
  </si>
  <si>
    <t>Gafarov Rovshan</t>
  </si>
  <si>
    <t>Qafarov Rövşən Alımurad oğlu</t>
  </si>
  <si>
    <t>XM-89</t>
  </si>
  <si>
    <t>Khalilov Ilham</t>
  </si>
  <si>
    <t>Xəlilov İlham Səhənbər oğlu</t>
  </si>
  <si>
    <t>XM-90</t>
  </si>
  <si>
    <t>Karimov Samir</t>
  </si>
  <si>
    <t>Kərimov Samir Əliheybət oğlu</t>
  </si>
  <si>
    <t>XM-91</t>
  </si>
  <si>
    <t>Farajov Murad</t>
  </si>
  <si>
    <t>Fərəcov Murad İlqar oğlu</t>
  </si>
  <si>
    <t>XM-388</t>
  </si>
  <si>
    <t>Heybatov Hamid</t>
  </si>
  <si>
    <t>Heybətov Həmid Gülağa oğlu</t>
  </si>
  <si>
    <t>XM-172</t>
  </si>
  <si>
    <t>Mahmudov Mahmud</t>
  </si>
  <si>
    <t>Mahmudov Mahmud Vaqif oğlu</t>
  </si>
  <si>
    <t>XM-92</t>
  </si>
  <si>
    <t>Surkhayzada Bakhtiyar</t>
  </si>
  <si>
    <t>Surxayzadə Bəxtiyar Salman oğlu</t>
  </si>
  <si>
    <t>XM-93</t>
  </si>
  <si>
    <t>Babayev Nazim</t>
  </si>
  <si>
    <t>Babayev Nazim Ağagül oğlu</t>
  </si>
  <si>
    <t>XM-94</t>
  </si>
  <si>
    <t>Zeynalov Alim</t>
  </si>
  <si>
    <t>Zeynalov Alim Allahverdi oğlu</t>
  </si>
  <si>
    <t>XM-95</t>
  </si>
  <si>
    <t>Mammadov Rahman</t>
  </si>
  <si>
    <t>Məmmədov Rəhman Taleh oğlu</t>
  </si>
  <si>
    <t>XM-96</t>
  </si>
  <si>
    <t>Ganiyev Shahriyar</t>
  </si>
  <si>
    <t>Qəniyev Şəhriyar Kərim oğlu</t>
  </si>
  <si>
    <t>XM-97</t>
  </si>
  <si>
    <t>Salmanov Elmin</t>
  </si>
  <si>
    <t>Salmanov Elmin Cabir oğlu</t>
  </si>
  <si>
    <t>XM-98</t>
  </si>
  <si>
    <t>Allahverdiyev Zaur</t>
  </si>
  <si>
    <t>Allahverdiyev Zaur Kərim oğlu</t>
  </si>
  <si>
    <t>XM-99</t>
  </si>
  <si>
    <t>Babayev Rovshan</t>
  </si>
  <si>
    <t>Babayev Rövşən Nizami oğlu</t>
  </si>
  <si>
    <t>XM-188</t>
  </si>
  <si>
    <t>Farajov Joshgun</t>
  </si>
  <si>
    <t>Fərəcov Coşqun Mahi̇r oğlu</t>
  </si>
  <si>
    <t>XM-100</t>
  </si>
  <si>
    <t>Abdullayev Abdulla</t>
  </si>
  <si>
    <t>Abdullayev Abdulla Şahin oğlu</t>
  </si>
  <si>
    <t>XM-101</t>
  </si>
  <si>
    <t>Shahsuvarov Muzaffar Ramiz</t>
  </si>
  <si>
    <t>Şahsuvarov Müzəffər Ramiz oğlu</t>
  </si>
  <si>
    <t>XM-102</t>
  </si>
  <si>
    <t>Ibrahimli Ibrahim Sakhavat</t>
  </si>
  <si>
    <t>İbrahimli İbrahim Səxavət oğlu</t>
  </si>
  <si>
    <t>XM-103</t>
  </si>
  <si>
    <t>Zeynalov Yusif</t>
  </si>
  <si>
    <t>Zeynalov Yusif Azad oğlu</t>
  </si>
  <si>
    <t>XM-198</t>
  </si>
  <si>
    <t>Huseynov Alakbar Huseyn</t>
  </si>
  <si>
    <t>Hüseynov Ələkbər Hüseyn oğlu</t>
  </si>
  <si>
    <t>XM-104</t>
  </si>
  <si>
    <t>Alakbarov Jahangir</t>
  </si>
  <si>
    <t>Ələkbərov Cahangir Cavanşir oğlu</t>
  </si>
  <si>
    <t>XM-252</t>
  </si>
  <si>
    <t>Teyyublu Tural Shamsaddin</t>
  </si>
  <si>
    <t>Teyyubbəyli̇ Tural Şəmsəddi̇n oğlu</t>
  </si>
  <si>
    <t>XM-105</t>
  </si>
  <si>
    <t>Dashdamirov Elshan</t>
  </si>
  <si>
    <t>Daşdəmirov Elşən Yadigar oğlu</t>
  </si>
  <si>
    <t>XM-106</t>
  </si>
  <si>
    <t>Farigov Samir</t>
  </si>
  <si>
    <t>Fariqov Samir Rəcəb oğlu</t>
  </si>
  <si>
    <t>XM-107</t>
  </si>
  <si>
    <t>Aliyev Bakhruz</t>
  </si>
  <si>
    <t>Əliyev Bəhruz Mərdan oğlu</t>
  </si>
  <si>
    <t>XM-108</t>
  </si>
  <si>
    <t>Mamedov Ashraf</t>
  </si>
  <si>
    <t>Mamedov Əşrəf Kərim oğlu</t>
  </si>
  <si>
    <t>XM-109</t>
  </si>
  <si>
    <t>Mammadov Zamin</t>
  </si>
  <si>
    <t>Məmmədov Zamin Vəkil oğlu</t>
  </si>
  <si>
    <t>Sürücü HUB</t>
  </si>
  <si>
    <t>HUB Driver</t>
  </si>
  <si>
    <t>XM-475</t>
  </si>
  <si>
    <t>Gadirov Anar</t>
  </si>
  <si>
    <t>Qədirov Anar Cəbrayıl oğlu</t>
  </si>
  <si>
    <t>XM-153</t>
  </si>
  <si>
    <t>Feyzi Elmar</t>
  </si>
  <si>
    <t>Feyzi̇ Elmar Elçi̇n oğlu</t>
  </si>
  <si>
    <t>XM-110</t>
  </si>
  <si>
    <t>Jabbarli Kamran</t>
  </si>
  <si>
    <t>Cabbarlı Kamran Bayram oğlu</t>
  </si>
  <si>
    <t>XM-125</t>
  </si>
  <si>
    <t>Ibrahimov Toghrul</t>
  </si>
  <si>
    <t>İbrahimov Toğrul Surxay oğlu</t>
  </si>
  <si>
    <t>XM-112</t>
  </si>
  <si>
    <t>Akhmadov Orkhan</t>
  </si>
  <si>
    <t>Əhmədov Orxan Əli oğlu</t>
  </si>
  <si>
    <t>XM-113</t>
  </si>
  <si>
    <t>Mustafayev Vugar</t>
  </si>
  <si>
    <t>Mustafayev Vüqar Əli oğlu</t>
  </si>
  <si>
    <t>XM-114</t>
  </si>
  <si>
    <t>Dashdamirov Kamran</t>
  </si>
  <si>
    <t>Daşdəmirov Kamran Sabir oğlu</t>
  </si>
  <si>
    <t>XM-217</t>
  </si>
  <si>
    <t>Ali̇yev Seyfaddi̇n</t>
  </si>
  <si>
    <t>Əli̇yev Seyfəddi̇n Əkrəm oğlu</t>
  </si>
  <si>
    <t>Kuryer köməkçisi</t>
  </si>
  <si>
    <t>Courier Assistant</t>
  </si>
  <si>
    <t>XM-115</t>
  </si>
  <si>
    <t>Guliyev Vugar</t>
  </si>
  <si>
    <t>Quliyev Vüqar Müzəffər oğlu</t>
  </si>
  <si>
    <t>XM-116</t>
  </si>
  <si>
    <t>Məmmədov Əli Əhməd oğlu</t>
  </si>
  <si>
    <t>XM-117</t>
  </si>
  <si>
    <t>Abdullayev Shirkhan</t>
  </si>
  <si>
    <t>Abdullayev Şirxan Yusif oğlu</t>
  </si>
  <si>
    <t>XM-118</t>
  </si>
  <si>
    <t>Habibov Subhan</t>
  </si>
  <si>
    <t>Həbibov Sübhan Əfqan oğlu</t>
  </si>
  <si>
    <t>XM-119</t>
  </si>
  <si>
    <t>Jamalov Tural</t>
  </si>
  <si>
    <t>Camalov Tural Qəhrəman oğlu</t>
  </si>
  <si>
    <t>XM-321</t>
  </si>
  <si>
    <t>Guluyev Araz</t>
  </si>
  <si>
    <t>Quluyev Araz İslam oğlu</t>
  </si>
  <si>
    <t>XM-121</t>
  </si>
  <si>
    <t>Samadov Allahverdi</t>
  </si>
  <si>
    <t>Səmədov Allahverdi Təhməz oğlu</t>
  </si>
  <si>
    <t>XM-269</t>
  </si>
  <si>
    <t>Hasanov Ilfan</t>
  </si>
  <si>
    <t>Həsənov İlfan İlham oğlu</t>
  </si>
  <si>
    <t>XM-122</t>
  </si>
  <si>
    <t>Abbaszada Mehdi</t>
  </si>
  <si>
    <t>Abbaszadə Mehdi Hacılətif oğlu</t>
  </si>
  <si>
    <t>XM-124</t>
  </si>
  <si>
    <t>Valizada Asim</t>
  </si>
  <si>
    <t>Vəlizadə Asim Ramiz oğlu</t>
  </si>
  <si>
    <t>XM-246</t>
  </si>
  <si>
    <t>Hasanzada Elvi̇n</t>
  </si>
  <si>
    <t>Həsənzadə Elvi̇n Vahi̇d oğlu</t>
  </si>
  <si>
    <t>XM-234</t>
  </si>
  <si>
    <t>Aliyev Aflatun</t>
  </si>
  <si>
    <t>Əli̇yev Əflatun Fi̇ruz oğlu</t>
  </si>
  <si>
    <t>XM-296</t>
  </si>
  <si>
    <t>Aliyev Mehman</t>
  </si>
  <si>
    <t>Əli̇yev Mehman Zaki̇r oğlu</t>
  </si>
  <si>
    <t>XM-268</t>
  </si>
  <si>
    <t>Mi̇rzazada Vusal</t>
  </si>
  <si>
    <t>Mi̇rzəzadə Vüsal Hi̇lal oğlu</t>
  </si>
  <si>
    <t>XM-126</t>
  </si>
  <si>
    <t>Imanov Subhan</t>
  </si>
  <si>
    <t>İmanov Sübhan Malik oğlu</t>
  </si>
  <si>
    <t>XM-127</t>
  </si>
  <si>
    <t>Abushov Orkhan</t>
  </si>
  <si>
    <t>Abuşov Orxan Natiq oğlu</t>
  </si>
  <si>
    <t>XM-128</t>
  </si>
  <si>
    <t>Rzayev Polad</t>
  </si>
  <si>
    <t>Rzayev Polad Rza oğlu</t>
  </si>
  <si>
    <t>XM-129</t>
  </si>
  <si>
    <t>Imanov Habil</t>
  </si>
  <si>
    <t>İmanov Habil Abbas oğlu</t>
  </si>
  <si>
    <t>XM-130</t>
  </si>
  <si>
    <t>Jafarli Elburus</t>
  </si>
  <si>
    <t>Cəfərli Elburus İlqar oğlu</t>
  </si>
  <si>
    <t>XM-131</t>
  </si>
  <si>
    <t>Mammadov Namig</t>
  </si>
  <si>
    <t>Məmmədov Namiq Natiq oğlu</t>
  </si>
  <si>
    <t>XM-132</t>
  </si>
  <si>
    <t>Huseynov Taleh</t>
  </si>
  <si>
    <t>Hüseynov Taleh Maxsudoviç</t>
  </si>
  <si>
    <t>XM-253</t>
  </si>
  <si>
    <t>Mamiyev Vugar</t>
  </si>
  <si>
    <t>Məmi̇yev Vüqar Aki̇f oğlu</t>
  </si>
  <si>
    <t>XM-133</t>
  </si>
  <si>
    <t>Mammadov Taleh</t>
  </si>
  <si>
    <t>Məmmədov Taleh Allahverdi oğlu</t>
  </si>
  <si>
    <t>XM-134</t>
  </si>
  <si>
    <t>Aghayev Elsevar</t>
  </si>
  <si>
    <t>Ağayev Elsevər Rasim oğlu</t>
  </si>
  <si>
    <t>XM-412</t>
  </si>
  <si>
    <t>Musayev Nadir</t>
  </si>
  <si>
    <t>Musayev Nadir Fəzail oğlu</t>
  </si>
  <si>
    <t>XM-135</t>
  </si>
  <si>
    <t>Abbaszada Jalal</t>
  </si>
  <si>
    <t>Abbaszadə Cəlal Ceyhun oğlu</t>
  </si>
  <si>
    <t>XM-136</t>
  </si>
  <si>
    <t>Abushov Rasif</t>
  </si>
  <si>
    <t>Abuşov Rasif Asif oğlu</t>
  </si>
  <si>
    <t>XM-138</t>
  </si>
  <si>
    <t>Mammadov Jasarat</t>
  </si>
  <si>
    <t>Məmmədov Cəsarət Həsrət oğlu</t>
  </si>
  <si>
    <t>XM-137</t>
  </si>
  <si>
    <t>Shirvanov Zohrab</t>
  </si>
  <si>
    <t>Şirvanov Zöhrab Maarif oğlu</t>
  </si>
  <si>
    <t>XM-180</t>
  </si>
  <si>
    <t>Ilichev Dmitriy</t>
  </si>
  <si>
    <t>İli̇çev Dmi̇tri̇y Aleksandrovi̇ç</t>
  </si>
  <si>
    <t>XM-181</t>
  </si>
  <si>
    <t>Musayev Jahandar</t>
  </si>
  <si>
    <t>Musayev Cahandar Nami̇q oğlu</t>
  </si>
  <si>
    <t>XM-455</t>
  </si>
  <si>
    <t>Shirinov Yunis</t>
  </si>
  <si>
    <t>Şi̇ri̇nov Yuni̇s Sahi̇b oğlu</t>
  </si>
  <si>
    <t>XM-139</t>
  </si>
  <si>
    <t>Aghayev Jabrayil</t>
  </si>
  <si>
    <t>Ağayev Cəbrayıl Tarverdi oğlu</t>
  </si>
  <si>
    <t>XM-140</t>
  </si>
  <si>
    <t>Dadashova Jamala</t>
  </si>
  <si>
    <t>Dadaşova Camala Gülbala qızı</t>
  </si>
  <si>
    <t>XM-141</t>
  </si>
  <si>
    <t>Allahverdiyev Elmaddin</t>
  </si>
  <si>
    <t>Allahverdiyev Elməddin Təvəkkül oğlu</t>
  </si>
  <si>
    <t>XM-142</t>
  </si>
  <si>
    <t>Aliyev Jafar</t>
  </si>
  <si>
    <t>Əliyev Cəfər Zahid oğlu</t>
  </si>
  <si>
    <t>XM-143</t>
  </si>
  <si>
    <t>Hasanov Tamirlan</t>
  </si>
  <si>
    <t>Həsənov Tamirlan Vaqif oğlu</t>
  </si>
  <si>
    <t>XM-144</t>
  </si>
  <si>
    <t>Abiyev Parviz</t>
  </si>
  <si>
    <t>Abıyev Pərviz Əhməd oğlu</t>
  </si>
  <si>
    <t>XM-145</t>
  </si>
  <si>
    <t>Jabbarli Sarkhan</t>
  </si>
  <si>
    <t>Cabbarlı Sərxan Bayram oğlu</t>
  </si>
  <si>
    <t>XM-471</t>
  </si>
  <si>
    <t>Gudratov Ilgar</t>
  </si>
  <si>
    <t>Qüdrətov İlqar Mətləb oğlu</t>
  </si>
  <si>
    <t>XM-146</t>
  </si>
  <si>
    <t>Davudov Rahim</t>
  </si>
  <si>
    <t>Davudov Rəhim Həmdulla oğlu</t>
  </si>
  <si>
    <t>XM-147</t>
  </si>
  <si>
    <t>Shahmuradov Samir</t>
  </si>
  <si>
    <t>Şahmuradov Samir Ziyəddin oğlu</t>
  </si>
  <si>
    <t>XM-148</t>
  </si>
  <si>
    <t>Mammadov Anar</t>
  </si>
  <si>
    <t>Məmmədov Anar Xanbəyi oğlu</t>
  </si>
  <si>
    <t>XM-149</t>
  </si>
  <si>
    <t>Musayev Bahruz</t>
  </si>
  <si>
    <t>Musayev Bəhruz Heydər oğlu</t>
  </si>
  <si>
    <t>XM-150</t>
  </si>
  <si>
    <t>Agayev Ilkin</t>
  </si>
  <si>
    <t>Ağayev İlkin Zöhrab oğlu</t>
  </si>
  <si>
    <t>XM-151</t>
  </si>
  <si>
    <t>Eynullayev Eynulla</t>
  </si>
  <si>
    <t>Eynullayev Eynulla Yasər oğlu</t>
  </si>
  <si>
    <t>XM-197</t>
  </si>
  <si>
    <t>Babayev Rahib</t>
  </si>
  <si>
    <t>Babayev Rahi̇b Oktay oğlu</t>
  </si>
  <si>
    <t>XM-157</t>
  </si>
  <si>
    <t>Mammadov Vusal</t>
  </si>
  <si>
    <t>Məmmədov Vüsal Vəkil oğlu</t>
  </si>
  <si>
    <t>XM-297</t>
  </si>
  <si>
    <t>Nureddinov Khayal</t>
  </si>
  <si>
    <t>Nurəddinov Xəyal Nurəddin oğlu</t>
  </si>
  <si>
    <t>XM-154</t>
  </si>
  <si>
    <t>Tanriverdiyev Zamin</t>
  </si>
  <si>
    <t>Tanrıverdiyev Zamin Allahverdi oğlu</t>
  </si>
  <si>
    <t>XM-155</t>
  </si>
  <si>
    <t>Khalilov Afgan</t>
  </si>
  <si>
    <t>Xəlilov Əfqan İlqar oğlu</t>
  </si>
  <si>
    <t>XM-159</t>
  </si>
  <si>
    <t>İsmayilov Taleh</t>
  </si>
  <si>
    <t>İsmayılov Taleh Tapdıq oğlu</t>
  </si>
  <si>
    <t>XM-283</t>
  </si>
  <si>
    <t>Nuriyev Nijat</t>
  </si>
  <si>
    <t>Nuri̇yev Ni̇cat Fərhad oğlu</t>
  </si>
  <si>
    <t>XM-158</t>
  </si>
  <si>
    <t>Huseynov Bahruz</t>
  </si>
  <si>
    <t>Hüseynov Bəhruz Bəylər oğlu</t>
  </si>
  <si>
    <t>XM-247</t>
  </si>
  <si>
    <t>Məmmədov Elnur Məhəmməd oğlu</t>
  </si>
  <si>
    <t>XM-430</t>
  </si>
  <si>
    <t>Gadirli Murad</t>
  </si>
  <si>
    <t>Qədi̇rli̇ Murad Sami̇r oğlu</t>
  </si>
  <si>
    <t>XM-232</t>
  </si>
  <si>
    <t>Mirzayev Vahid</t>
  </si>
  <si>
    <t>Mi̇rzəyev Vahi̇d Vaqi̇f oğlu</t>
  </si>
  <si>
    <t>XM-162</t>
  </si>
  <si>
    <t>Mirzayev İbrahim</t>
  </si>
  <si>
    <t>Mirzəyev İbrahim İlqar oğlu</t>
  </si>
  <si>
    <t>XM-163</t>
  </si>
  <si>
    <t>Gurbanov Arif</t>
  </si>
  <si>
    <t>Qurbanov Arif Əhəd oğlu</t>
  </si>
  <si>
    <t>XM-164</t>
  </si>
  <si>
    <t>Mustafayev Maharram</t>
  </si>
  <si>
    <t>Mustafayev Məhərrəm Məmməd oğlu</t>
  </si>
  <si>
    <t>XM-165</t>
  </si>
  <si>
    <t>Hamidli Sanan</t>
  </si>
  <si>
    <t>Həmidli Sənan Teyyub oğlu</t>
  </si>
  <si>
    <t>XM-260</t>
  </si>
  <si>
    <t>Əliyev Ruslan Rüstəm oğlu</t>
  </si>
  <si>
    <t>XM-166</t>
  </si>
  <si>
    <t>Jamalli Nijad</t>
  </si>
  <si>
    <t>Camallı Nicad Elbrus oğlu</t>
  </si>
  <si>
    <t>XM-167</t>
  </si>
  <si>
    <t>Shirinov Murad</t>
  </si>
  <si>
    <t>Şirinov Murad Elxan oğlu</t>
  </si>
  <si>
    <t>XM-168</t>
  </si>
  <si>
    <t>Mirzayev Rashad</t>
  </si>
  <si>
    <t>Mirzəyev Rəşad Hüseyn oğlu</t>
  </si>
  <si>
    <t>XM-170</t>
  </si>
  <si>
    <t>Huseynov Ramil</t>
  </si>
  <si>
    <t>Hüseynov Ramil Qəzənfər oğlu</t>
  </si>
  <si>
    <t>XM-171</t>
  </si>
  <si>
    <t>Safarova Khayala</t>
  </si>
  <si>
    <t>Səfərova Xəyalə Əbülfət qızı</t>
  </si>
  <si>
    <t>XM-387</t>
  </si>
  <si>
    <t>Rahimov Murad</t>
  </si>
  <si>
    <t>Rəhimov Murad Nizami oğlu</t>
  </si>
  <si>
    <t>XM-51</t>
  </si>
  <si>
    <t>Aliyev Nizami</t>
  </si>
  <si>
    <t>Əliyev Nizami Afər oğlu</t>
  </si>
  <si>
    <t>XM-52</t>
  </si>
  <si>
    <t>Jafarov Nurlan</t>
  </si>
  <si>
    <t>Cəfərov Nurlan Murad oğlu</t>
  </si>
  <si>
    <t>XM-335</t>
  </si>
  <si>
    <t>Bagirli Kanan</t>
  </si>
  <si>
    <t>Bağırlı Kənan Xalid oğlu</t>
  </si>
  <si>
    <t>XM-174</t>
  </si>
  <si>
    <t>Aljanov Gadim</t>
  </si>
  <si>
    <t>Alcanov Qədim Əlaidin oğlu</t>
  </si>
  <si>
    <t>XM-175</t>
  </si>
  <si>
    <t>Əliyev Nurlan Nazim oğlu</t>
  </si>
  <si>
    <t>XM-176</t>
  </si>
  <si>
    <t>Babayev Sarkhan</t>
  </si>
  <si>
    <t>Babayev Sərxan Zakir oğlu</t>
  </si>
  <si>
    <t>XM-177</t>
  </si>
  <si>
    <t>Huseynov Kamil</t>
  </si>
  <si>
    <t>Hüseynov Kamil Vaqif oğlu</t>
  </si>
  <si>
    <t>XM-178</t>
  </si>
  <si>
    <t>Mammadov Nurlan Sahib</t>
  </si>
  <si>
    <t>Məmmədov Nurlan Sahib oğlu</t>
  </si>
  <si>
    <t>XM-182</t>
  </si>
  <si>
    <t>Mammadov Famil</t>
  </si>
  <si>
    <t>Məmmədov Famil Abdulla oğlu</t>
  </si>
  <si>
    <t>XM-183</t>
  </si>
  <si>
    <t>İmanov Mukhtar</t>
  </si>
  <si>
    <t>İmanov Muxtar Əliqismət oğlu</t>
  </si>
  <si>
    <t>Division Micro Hub</t>
  </si>
  <si>
    <t>Mikro Hub şöbəsi</t>
  </si>
  <si>
    <t>XM-184</t>
  </si>
  <si>
    <t>Abdullayev Khatai</t>
  </si>
  <si>
    <t>Abdullayev Xətai Elçin oğlu</t>
  </si>
  <si>
    <t>XM-439</t>
  </si>
  <si>
    <t>Alishzada Orkhan</t>
  </si>
  <si>
    <t>Əli̇şzadə Orxan Fəzai̇l oğlu</t>
  </si>
  <si>
    <t>XM-386</t>
  </si>
  <si>
    <t>Babayev Aghatalib</t>
  </si>
  <si>
    <t>Babayev Ağatalıb İsrafi̇l oğlu</t>
  </si>
  <si>
    <t>XM-187</t>
  </si>
  <si>
    <t>Shikhaliyev Hasan</t>
  </si>
  <si>
    <t>Şıxəliyev Həsən Tahir oğlu</t>
  </si>
  <si>
    <t>XM-312</t>
  </si>
  <si>
    <t>Alimammadov Anar</t>
  </si>
  <si>
    <t>Əliməmmədov Anar Rövşən oğlu</t>
  </si>
  <si>
    <t>XM-434</t>
  </si>
  <si>
    <t>Rzayev Murad</t>
  </si>
  <si>
    <t>Rzayev Murad Zaur oğlu</t>
  </si>
  <si>
    <t>XM-190</t>
  </si>
  <si>
    <t>Khakhverdiyev Samand</t>
  </si>
  <si>
    <t>Haxverdiyev Səmənd Mənsur oğlu</t>
  </si>
  <si>
    <t>XM-193</t>
  </si>
  <si>
    <t>Gadimov Jeyhun</t>
  </si>
  <si>
    <t>Qədimov Ceyhun Fuad oğlu</t>
  </si>
  <si>
    <t>XM-194</t>
  </si>
  <si>
    <t>Aliyev Denis</t>
  </si>
  <si>
    <t>Əliyev Denis Aleksandroviç</t>
  </si>
  <si>
    <t>XM-196</t>
  </si>
  <si>
    <t>Abishov Elvin</t>
  </si>
  <si>
    <t>Abışov Elvin Asif oğlu</t>
  </si>
  <si>
    <t>XM-199</t>
  </si>
  <si>
    <t>Hadiyev Elchin</t>
  </si>
  <si>
    <t>Hadıyev Elçin Eldar oğlu</t>
  </si>
  <si>
    <t>XM-200</t>
  </si>
  <si>
    <t>Aliyev Elchin</t>
  </si>
  <si>
    <t>Əliyev Elçin Zahid oğlu</t>
  </si>
  <si>
    <t>XM-201</t>
  </si>
  <si>
    <t>Mirzayev Elnur</t>
  </si>
  <si>
    <t>Mirzəyev Elnur Elşən oğlu</t>
  </si>
  <si>
    <t>XM-202</t>
  </si>
  <si>
    <t>Hajiyev Suleyman</t>
  </si>
  <si>
    <t>Hacıyev Süleyman Adil oğlu</t>
  </si>
  <si>
    <t>XM-204</t>
  </si>
  <si>
    <t>Aliyev Tural</t>
  </si>
  <si>
    <t>Əliyev Tural Hüseyn oğlu</t>
  </si>
  <si>
    <t>XM-205</t>
  </si>
  <si>
    <t>Mammadov Yolchu</t>
  </si>
  <si>
    <t>Məmmədov Yolçu Etibar oğlu</t>
  </si>
  <si>
    <t>XM-206</t>
  </si>
  <si>
    <t>Yusifzade Turan</t>
  </si>
  <si>
    <t>Yusifzadə Turan Fəxrəddin oğlu</t>
  </si>
  <si>
    <t>XM-207</t>
  </si>
  <si>
    <t>Valiyev Amil</t>
  </si>
  <si>
    <t>Vəliyev Amil Habil oğlu</t>
  </si>
  <si>
    <t>XM-211</t>
  </si>
  <si>
    <t>Imanov Punhan Malik oglu</t>
  </si>
  <si>
    <t>İmanov Pünhan Malik oğlu</t>
  </si>
  <si>
    <t>XM-212</t>
  </si>
  <si>
    <t>Ibayev Nazir Valeh</t>
  </si>
  <si>
    <t>İbayev Nazir Valeh oğlu</t>
  </si>
  <si>
    <t>XM-213</t>
  </si>
  <si>
    <t>Garali Alisahib Eldar</t>
  </si>
  <si>
    <t>Qaralı Əlisahib Eldar oğlu</t>
  </si>
  <si>
    <t>XM-214</t>
  </si>
  <si>
    <t>Allahverdiyev Nihad Huseyn</t>
  </si>
  <si>
    <t>Allahverdiyev Nihad Hüseyn oğlu</t>
  </si>
  <si>
    <t>XM-215</t>
  </si>
  <si>
    <t>Gasimov Ali Mubariz</t>
  </si>
  <si>
    <t>Qasımov Əli Mübariz oğlu</t>
  </si>
  <si>
    <t>XM-216</t>
  </si>
  <si>
    <t>Garayev Hikmat Karam</t>
  </si>
  <si>
    <t>Qarayev Hikmət Kərəm oğlu</t>
  </si>
  <si>
    <t>XM-413</t>
  </si>
  <si>
    <t>Mustafayev İlkin</t>
  </si>
  <si>
    <t>Mustafayev İlkin Mehmanoviç</t>
  </si>
  <si>
    <t>XM-218</t>
  </si>
  <si>
    <t>Mehdiyev Elshad</t>
  </si>
  <si>
    <t>Mehdiyev Elşad Eldar oğlu</t>
  </si>
  <si>
    <t>XM-219</t>
  </si>
  <si>
    <t>Khanjanov Nail</t>
  </si>
  <si>
    <t>Xancanov Nail Vidadi oğlu</t>
  </si>
  <si>
    <t>XM-220</t>
  </si>
  <si>
    <t>Azizov Amrah</t>
  </si>
  <si>
    <t>Əzizov Əmrah Dilavər oğlu</t>
  </si>
  <si>
    <t>XM-221</t>
  </si>
  <si>
    <t>Alizade Teymur</t>
  </si>
  <si>
    <t>Alizadə Teymur Vüqar oğlu</t>
  </si>
  <si>
    <t>XM-457</t>
  </si>
  <si>
    <t>Allahyarov Adil</t>
  </si>
  <si>
    <t>Allahyarov Adil Fərəc oğlu</t>
  </si>
  <si>
    <t>XM-222</t>
  </si>
  <si>
    <t>Məmmədov Əli Rəşad oğlu</t>
  </si>
  <si>
    <t>XM-223</t>
  </si>
  <si>
    <t>Samadli Vahid</t>
  </si>
  <si>
    <t>Səmədli Vahid İlqar oğlu</t>
  </si>
  <si>
    <t>XM-224</t>
  </si>
  <si>
    <t>Khankishiyev Vusal</t>
  </si>
  <si>
    <t>Xankişiyev Vüsal Məhərrəm oğlu</t>
  </si>
  <si>
    <t>XM-226</t>
  </si>
  <si>
    <t>Movlayev Emil</t>
  </si>
  <si>
    <t>Mövlayev Emil Vahid oğlu</t>
  </si>
  <si>
    <t>XM-227</t>
  </si>
  <si>
    <t>Rzayev Fuad Elmir</t>
  </si>
  <si>
    <t>Rzayev Fuad Elmir oğlu</t>
  </si>
  <si>
    <t>XM-228</t>
  </si>
  <si>
    <t>Hagverdiyev Safa Maharram</t>
  </si>
  <si>
    <t>Haqverdiyev Səfa Məhərrəm oğlu</t>
  </si>
  <si>
    <t>XM-341</t>
  </si>
  <si>
    <t>Azizov Raji Zamin</t>
  </si>
  <si>
    <t>Əzizov Raci Zamin oğlu</t>
  </si>
  <si>
    <t>XM-229</t>
  </si>
  <si>
    <t>Mehdiyev Elmaddin Rovshan</t>
  </si>
  <si>
    <t>Mehdiyev Elməddin Rövşən oğlu</t>
  </si>
  <si>
    <t>XM-235</t>
  </si>
  <si>
    <t>Sadiyev Ravan</t>
  </si>
  <si>
    <t>Sadiyev Rəvan Tahir oğlu</t>
  </si>
  <si>
    <t>XM-236</t>
  </si>
  <si>
    <t>Asgarov Shahin</t>
  </si>
  <si>
    <t>Əsgərov Şahin Şəkərəli oğlu</t>
  </si>
  <si>
    <t>XM-237</t>
  </si>
  <si>
    <t>Jafarli Fuad</t>
  </si>
  <si>
    <t>Cəfərli Fuad Faiq oğlu</t>
  </si>
  <si>
    <t>XM-238</t>
  </si>
  <si>
    <t>Guluyev Kanan</t>
  </si>
  <si>
    <t>Quluyev Kənan Qəzənfər oğlu</t>
  </si>
  <si>
    <t>XM-240</t>
  </si>
  <si>
    <t>Shiraslanli Shamistan</t>
  </si>
  <si>
    <t>Şiraslanlı Şəmistan Elman oğlu</t>
  </si>
  <si>
    <t>XM-497</t>
  </si>
  <si>
    <t>Rahimov Ramig</t>
  </si>
  <si>
    <t>Rəhimov Ramiq Rafiq oğlu</t>
  </si>
  <si>
    <t>XM-242</t>
  </si>
  <si>
    <t>Tagizada Khalil</t>
  </si>
  <si>
    <t>Tağızadə Xəlil Ariz oğlu</t>
  </si>
  <si>
    <t>XM-244</t>
  </si>
  <si>
    <t>Gahramanov Rafail Mahammad</t>
  </si>
  <si>
    <t>Qəhrəmanov Rəfail Məhəmməd oğlu</t>
  </si>
  <si>
    <t>XM-245</t>
  </si>
  <si>
    <t>Hajiyev Samir Adigozalovich</t>
  </si>
  <si>
    <t>Hacıyev Samir Adıgözəl oğlu</t>
  </si>
  <si>
    <t>XM-249</t>
  </si>
  <si>
    <t>Gojayev Rauf</t>
  </si>
  <si>
    <t>Qocayev Rauf Aydın oğlu</t>
  </si>
  <si>
    <t>XM-250</t>
  </si>
  <si>
    <t>Agayev Hikmat Ismayil</t>
  </si>
  <si>
    <t>Ağayev Hikmət İsmayıl oğlu</t>
  </si>
  <si>
    <t>XM-254</t>
  </si>
  <si>
    <t>Hasanov Murad Mahir</t>
  </si>
  <si>
    <t>Həsənov Murad Mahir oğlu</t>
  </si>
  <si>
    <t>XM-456</t>
  </si>
  <si>
    <t>Baghirov Dashgin Khanali</t>
  </si>
  <si>
    <t>Bağırov Daşqın Xanəli oğlu</t>
  </si>
  <si>
    <t>XM-255</t>
  </si>
  <si>
    <t>Aliyev Kenan</t>
  </si>
  <si>
    <t>Alıyev Kənan Qənahət oğlu</t>
  </si>
  <si>
    <t>XM-256</t>
  </si>
  <si>
    <t>Abbasov Namig Mubariz</t>
  </si>
  <si>
    <t>Abbasov Namiq Mübariz oğlu</t>
  </si>
  <si>
    <t>XM-257</t>
  </si>
  <si>
    <t>Baghirov Nadir Jamil</t>
  </si>
  <si>
    <t>Bağırov Nadir Cəmil oğlu</t>
  </si>
  <si>
    <t>XM-258</t>
  </si>
  <si>
    <t>Valiyev Akbar</t>
  </si>
  <si>
    <t>Vəliyev Əkbər İlqar oğlu</t>
  </si>
  <si>
    <t>XM-259</t>
  </si>
  <si>
    <t>Agamalizade Zeynal</t>
  </si>
  <si>
    <t>Ağamalızadə Zeynal Elşad oğlu</t>
  </si>
  <si>
    <t>XM-261</t>
  </si>
  <si>
    <t>İdrisova Elnarə</t>
  </si>
  <si>
    <t>İdrisova Elnarə Şakir qızı</t>
  </si>
  <si>
    <t>XM-262</t>
  </si>
  <si>
    <t>Alpashayev Zaur</t>
  </si>
  <si>
    <t>Alpaşayev Zaur Fizuli oğlu</t>
  </si>
  <si>
    <t>XM-263</t>
  </si>
  <si>
    <t>Zeynalli Kamil</t>
  </si>
  <si>
    <t>Zeynallı Kamil Mükafat oğlu</t>
  </si>
  <si>
    <t>XM-265</t>
  </si>
  <si>
    <t>Agakishiyev Emin Valekh</t>
  </si>
  <si>
    <t>Ağakişiyev Emin Valeh oğlu</t>
  </si>
  <si>
    <t>XM-266</t>
  </si>
  <si>
    <t>Imanov Elnur</t>
  </si>
  <si>
    <t>İmanov Elnur Murad oğlu</t>
  </si>
  <si>
    <t>XM-267</t>
  </si>
  <si>
    <t>Abbaszadeh Ilkay</t>
  </si>
  <si>
    <t>Abbaszadə İlkay Samir oğlu</t>
  </si>
  <si>
    <t>XM-270</t>
  </si>
  <si>
    <t>Rustamov Murad</t>
  </si>
  <si>
    <t>Rüstəmov Murad Vüqar oğlu</t>
  </si>
  <si>
    <t>XM-271</t>
  </si>
  <si>
    <t>Bagirov Zohrab</t>
  </si>
  <si>
    <t>Bağırov Zöhrab Şamil oğlu</t>
  </si>
  <si>
    <t>XM-272</t>
  </si>
  <si>
    <t>Safarov Isa</t>
  </si>
  <si>
    <t>Səfərov İsa Məhərrəm oğlu</t>
  </si>
  <si>
    <t>XM-273</t>
  </si>
  <si>
    <t>Atakishiyev Tamirlan</t>
  </si>
  <si>
    <t>Atakişiyev Tamirlan Temran oğlu</t>
  </si>
  <si>
    <t>XM-274</t>
  </si>
  <si>
    <t>Abdullayev Afig Bilal</t>
  </si>
  <si>
    <t>Abdullayev Afiq Bilal oğlu</t>
  </si>
  <si>
    <t>XM-275</t>
  </si>
  <si>
    <t>Aydinzada Anar</t>
  </si>
  <si>
    <t>Aydınzadə Anar Tahir oğlu</t>
  </si>
  <si>
    <t>XM-276</t>
  </si>
  <si>
    <t>Abbasov Elmar</t>
  </si>
  <si>
    <t>Abbasov Elmar Valeh oğlu</t>
  </si>
  <si>
    <t>XM-277</t>
  </si>
  <si>
    <t>Teyyublu Ismat Akif</t>
  </si>
  <si>
    <t>Teyyublu İsmət Akif oğlu</t>
  </si>
  <si>
    <t>XM-278</t>
  </si>
  <si>
    <t>Agabayov Parviz Alikram</t>
  </si>
  <si>
    <t>Ağabəyov Pərviz Əlikram oğlu</t>
  </si>
  <si>
    <t>XM-279</t>
  </si>
  <si>
    <t>Musayev Elgiz Sabir</t>
  </si>
  <si>
    <t>Musayev Elgiz Sabir oğlu</t>
  </si>
  <si>
    <t>XM-280</t>
  </si>
  <si>
    <t>Jalilov Araz Anar</t>
  </si>
  <si>
    <t>Cəlilov Araz Anar oğlu</t>
  </si>
  <si>
    <t>XM-282</t>
  </si>
  <si>
    <t>Ahmadov Ulvi Vagif</t>
  </si>
  <si>
    <t>Əhmədov Ülvi Vaqif oğlu</t>
  </si>
  <si>
    <t>XM-284</t>
  </si>
  <si>
    <t>Məmmədov Elvin Sahib oğlu</t>
  </si>
  <si>
    <t>XM-285</t>
  </si>
  <si>
    <t>Huseynli Amin</t>
  </si>
  <si>
    <t>Hüseynli Amin Nadir oğlu</t>
  </si>
  <si>
    <t>XM-288</t>
  </si>
  <si>
    <t>Ismayilov Murad</t>
  </si>
  <si>
    <t>İsmayılov Murad Rövşən oğlu</t>
  </si>
  <si>
    <t>XM-289</t>
  </si>
  <si>
    <t>Askerbeyli Hikmet</t>
  </si>
  <si>
    <t>Əsgərbəyli Hikmət Akif oğlu</t>
  </si>
  <si>
    <t>XM-290</t>
  </si>
  <si>
    <t>Mammadov Murad</t>
  </si>
  <si>
    <t>Məmmədov Murad Məcnun oğlu</t>
  </si>
  <si>
    <t>XM-291</t>
  </si>
  <si>
    <t>Farajov Samir</t>
  </si>
  <si>
    <t>Fərəcov Samir Zakir oğlu</t>
  </si>
  <si>
    <t>XM-292</t>
  </si>
  <si>
    <t>Karimli Ashraf</t>
  </si>
  <si>
    <t>Kərimli Əşrəf Pənah oğlu</t>
  </si>
  <si>
    <t>XM-293</t>
  </si>
  <si>
    <t>Ilkhaszade Aykhan Fuad oglu</t>
  </si>
  <si>
    <t>İlxaszadə Ayxan Fuad oğlu</t>
  </si>
  <si>
    <t>XM-294</t>
  </si>
  <si>
    <t>Askerov Eynulla</t>
  </si>
  <si>
    <t>Dəmirov Natiq Beydulla oğlu</t>
  </si>
  <si>
    <t>XM-295</t>
  </si>
  <si>
    <t>Mammadov Rovshan</t>
  </si>
  <si>
    <t>Məmmədov Rövşən Ağaverdi oğlu</t>
  </si>
  <si>
    <t>XM-298</t>
  </si>
  <si>
    <t>Imranov Agil</t>
  </si>
  <si>
    <t>İmranov Aqil Elşən oğlu</t>
  </si>
  <si>
    <t>XM-300</t>
  </si>
  <si>
    <t>Gachayli Zia</t>
  </si>
  <si>
    <t>Qaçaylı Ziya Abbas oğlu</t>
  </si>
  <si>
    <t>XM-301</t>
  </si>
  <si>
    <t>Salimov Rashad</t>
  </si>
  <si>
    <t>Səlimov Rəşad Hacıbaba oğlu</t>
  </si>
  <si>
    <t>XM-303</t>
  </si>
  <si>
    <t>Ibrahimov Vasif</t>
  </si>
  <si>
    <t>İbrahimov Vasif Bəybala oğlu</t>
  </si>
  <si>
    <t>XM-304</t>
  </si>
  <si>
    <t>Zaidov Elshad</t>
  </si>
  <si>
    <t>Zaidov Elşad Mirşad oğlu</t>
  </si>
  <si>
    <t>XM-305</t>
  </si>
  <si>
    <t>Ulviyya Nizami gizi Karimova</t>
  </si>
  <si>
    <t>Kərimova Ülviyyə Nizami qızı</t>
  </si>
  <si>
    <t>XM-306</t>
  </si>
  <si>
    <t>Ramazanov Ali Adil oglu</t>
  </si>
  <si>
    <t>Ramazanov Əli Adil oğlu</t>
  </si>
  <si>
    <t>XM-307</t>
  </si>
  <si>
    <t>Kamalov Azer</t>
  </si>
  <si>
    <t>Kamalov Azər İlqar oğlu</t>
  </si>
  <si>
    <t>XM-308</t>
  </si>
  <si>
    <t>Kamalov Rahim</t>
  </si>
  <si>
    <t>Kamalov Rəhim İlqar oğlu</t>
  </si>
  <si>
    <t>XM-309</t>
  </si>
  <si>
    <t>Khalilli Jahandar</t>
  </si>
  <si>
    <t>Xəlilli Cahandar Ehtiram oğlu</t>
  </si>
  <si>
    <t>XM-310</t>
  </si>
  <si>
    <t>Asadzade Alisa</t>
  </si>
  <si>
    <t>Əsədzadə Əlisa Fərman oğlu</t>
  </si>
  <si>
    <t>XM-315</t>
  </si>
  <si>
    <t>Guluzade Fuad</t>
  </si>
  <si>
    <t>Quluzadə Fuad Teymur oğlu</t>
  </si>
  <si>
    <t>XM-316</t>
  </si>
  <si>
    <t>Guluzade Rahim</t>
  </si>
  <si>
    <t>Quluzadə Rəhim Teymur oğlu</t>
  </si>
  <si>
    <t>XM-319</t>
  </si>
  <si>
    <t>Əliyev Əli Bəhlul oğlu</t>
  </si>
  <si>
    <t>XM-320</t>
  </si>
  <si>
    <t>Heydarov Fuzuli</t>
  </si>
  <si>
    <t>Heydərov Füzuli Əbülfət oğlu</t>
  </si>
  <si>
    <t>XM-414</t>
  </si>
  <si>
    <t>Eyvazov Elvin</t>
  </si>
  <si>
    <t>Eyvazov Elvin Yusif oğlu</t>
  </si>
  <si>
    <t>XM-323</t>
  </si>
  <si>
    <t>Khanaliyev Nijat</t>
  </si>
  <si>
    <t>Xanaliyev Nicat Məhəmməd oğlu</t>
  </si>
  <si>
    <t>XM-324</t>
  </si>
  <si>
    <t>Shirinov Anar</t>
  </si>
  <si>
    <t>Şirinov Anar Sahib oğlu</t>
  </si>
  <si>
    <t>XM-325</t>
  </si>
  <si>
    <t>Aslanov Elmir Famil oğlu</t>
  </si>
  <si>
    <t>XM-326</t>
  </si>
  <si>
    <t>Ismayilov Elmar</t>
  </si>
  <si>
    <t>İsmayılov Elmar Ramiz oğlu</t>
  </si>
  <si>
    <t>XM-327</t>
  </si>
  <si>
    <t>Nasirov Elnur Bayram oglu</t>
  </si>
  <si>
    <t>Nəsirov Elnur Bayram oğlu</t>
  </si>
  <si>
    <t>XM-329</t>
  </si>
  <si>
    <t>Babazade Nariman</t>
  </si>
  <si>
    <t>Babazadə Nəriman Əhməd oğlu</t>
  </si>
  <si>
    <t>XM-330</t>
  </si>
  <si>
    <t>Jafarov Elshan</t>
  </si>
  <si>
    <t>Cəfərov Elşən Cəfər oğlu</t>
  </si>
  <si>
    <t>XM-331</t>
  </si>
  <si>
    <t>Maharramov Darya</t>
  </si>
  <si>
    <t>Məhərrəmov Dərya Zabil oğlu</t>
  </si>
  <si>
    <t>XM-334</t>
  </si>
  <si>
    <t>Garayev Aykhan</t>
  </si>
  <si>
    <t>Qarayev Ayxan Cahid oğlu</t>
  </si>
  <si>
    <t>XM-337</t>
  </si>
  <si>
    <t>Jabrayilova Aliya</t>
  </si>
  <si>
    <t>Cəbrayılova Aliyə Azər qızı</t>
  </si>
  <si>
    <t>XM-338</t>
  </si>
  <si>
    <t>Lalayev Elvin</t>
  </si>
  <si>
    <t>Lalayev Elvin Nizami oğlu</t>
  </si>
  <si>
    <t>XM-342</t>
  </si>
  <si>
    <t>Maharramzada Mammad</t>
  </si>
  <si>
    <t>Məhərrəmzadə Məmməd Fərhad oğlu</t>
  </si>
  <si>
    <t>XM-343</t>
  </si>
  <si>
    <t>Jafarov Ramil</t>
  </si>
  <si>
    <t>Cəfərov Ramil Ramiz oğlu</t>
  </si>
  <si>
    <t>XM-368</t>
  </si>
  <si>
    <t>Aghazada Rufat Azar</t>
  </si>
  <si>
    <t>Ağazadə Rüfət Anar oğlu</t>
  </si>
  <si>
    <t>XM-339</t>
  </si>
  <si>
    <t>Shahbazli Isa</t>
  </si>
  <si>
    <t>Şahbazlı İsa Xıdır oğlu</t>
  </si>
  <si>
    <t>XM-344</t>
  </si>
  <si>
    <t>Huseynov Vahid</t>
  </si>
  <si>
    <t>Hüseynov Vahid Vidadi oğlu</t>
  </si>
  <si>
    <t>XM-345</t>
  </si>
  <si>
    <t>Mammadov Sarkhan</t>
  </si>
  <si>
    <t>Məmmədov Sarxan Mahir oğlu</t>
  </si>
  <si>
    <t>XM-349</t>
  </si>
  <si>
    <t>Aliabadov Nihad</t>
  </si>
  <si>
    <t>Əliabadov Nihad Zaur oğlu</t>
  </si>
  <si>
    <t>XM-350</t>
  </si>
  <si>
    <t>Aliyev Emil Chingiz</t>
  </si>
  <si>
    <t>Əliyev Emil Çingiz oğlu</t>
  </si>
  <si>
    <t>XM-351</t>
  </si>
  <si>
    <t>Mahmudov Kamran</t>
  </si>
  <si>
    <t>Mahmudov Kamran Kamal oğlu</t>
  </si>
  <si>
    <t>XM-352</t>
  </si>
  <si>
    <t>Amiraslanov Zaur Yaqub oglu</t>
  </si>
  <si>
    <t>Əmiraslanov Zaur Yaqub oğlu</t>
  </si>
  <si>
    <t>XM-353</t>
  </si>
  <si>
    <t>Orujov Mahammadali Ilham</t>
  </si>
  <si>
    <t>Orucov Məhəmmədəli İlham oğlu</t>
  </si>
  <si>
    <t>XM-416</t>
  </si>
  <si>
    <t>Aliyev Emil</t>
  </si>
  <si>
    <t>Əliyev Emil Qüdəsər oğlu</t>
  </si>
  <si>
    <t>XM-357</t>
  </si>
  <si>
    <t>Piri-zadeh Mammad</t>
  </si>
  <si>
    <t>Piri-zadə Məmməd Əjdər oğlu</t>
  </si>
  <si>
    <t>XM-358</t>
  </si>
  <si>
    <t>Huseynov Elchin</t>
  </si>
  <si>
    <t>Hüseynov Elçin Şahin oğlu</t>
  </si>
  <si>
    <t>XM-359</t>
  </si>
  <si>
    <t>Mammadaliyev Joshgun</t>
  </si>
  <si>
    <t>Məmmədəliyev Coşqun Vüqar oğlu</t>
  </si>
  <si>
    <t>XM-361</t>
  </si>
  <si>
    <t>Bagirov Agil</t>
  </si>
  <si>
    <t>Bağırov Aqil Famil oğlu</t>
  </si>
  <si>
    <t>XM-362</t>
  </si>
  <si>
    <t>Gulamzade Ragif</t>
  </si>
  <si>
    <t>Qulamzadə Raqif Naib oğlu</t>
  </si>
  <si>
    <t>XM-365</t>
  </si>
  <si>
    <t>Ramazanov Murad</t>
  </si>
  <si>
    <t>Ramazanov Murad Zal oğlu</t>
  </si>
  <si>
    <t>XM-366</t>
  </si>
  <si>
    <t>Aliyev Mirkazim</t>
  </si>
  <si>
    <t>Əliyev Mirkazım Elşən oğlu</t>
  </si>
  <si>
    <t>XM-367</t>
  </si>
  <si>
    <t>Jafarov Rashad</t>
  </si>
  <si>
    <t>Cəfərov Rəşad Qəfər oğlu</t>
  </si>
  <si>
    <t>XM-369</t>
  </si>
  <si>
    <t>Murton Rena</t>
  </si>
  <si>
    <t>Murton Rena Abbasovna</t>
  </si>
  <si>
    <t>XM-370</t>
  </si>
  <si>
    <t>Karimova Narmin</t>
  </si>
  <si>
    <t>Kərimova Nərmin Oktay qızı</t>
  </si>
  <si>
    <t>XM-372</t>
  </si>
  <si>
    <t>Mehdiyev Emil</t>
  </si>
  <si>
    <t>Mehdiyev Emil Şakir oğlu</t>
  </si>
  <si>
    <t>XM-373</t>
  </si>
  <si>
    <t>Namazov Orkhan</t>
  </si>
  <si>
    <t>Namazov Orxan Zakir oğlu</t>
  </si>
  <si>
    <t>XM-377</t>
  </si>
  <si>
    <t>Aliyev Farid</t>
  </si>
  <si>
    <t>Əliyev Fərid Kərəm oğlu</t>
  </si>
  <si>
    <t>XM-374</t>
  </si>
  <si>
    <t>Mammadbeyov Jafar</t>
  </si>
  <si>
    <t>Məmmədbəyov Cəfər Tamerlan oğlu</t>
  </si>
  <si>
    <t>XM-375</t>
  </si>
  <si>
    <t>Hasanov Sanan</t>
  </si>
  <si>
    <t>Həsənov Sənan Milami oğlu</t>
  </si>
  <si>
    <t>XM-376</t>
  </si>
  <si>
    <t>Balaoghlanov Balaoghlan</t>
  </si>
  <si>
    <t>Balaoğlanov Balaoğlan İsa oğlu</t>
  </si>
  <si>
    <t>XM-397</t>
  </si>
  <si>
    <t>Amiraslanov Farid</t>
  </si>
  <si>
    <t>Əmiraslanov Fərid Nadir oğlu</t>
  </si>
  <si>
    <t>XM-398</t>
  </si>
  <si>
    <t>Allahverdiyev Zaur Allahverdi</t>
  </si>
  <si>
    <t>Allahverdiyev Zaur Allahverdi oğlu</t>
  </si>
  <si>
    <t>XM-378</t>
  </si>
  <si>
    <t>Mehdizada Murad Vilayat</t>
  </si>
  <si>
    <t>Mehdizadə Murad Vilayət oğlu</t>
  </si>
  <si>
    <t>XM-379</t>
  </si>
  <si>
    <t>Hikmatli Elshan</t>
  </si>
  <si>
    <t>Hikmətli Elşən İlham oğlu</t>
  </si>
  <si>
    <t>XM-380</t>
  </si>
  <si>
    <t>Musayev İsbandiyar</t>
  </si>
  <si>
    <t>Musayev İsbəndiyar Allahyar oğlu</t>
  </si>
  <si>
    <t>XM-381</t>
  </si>
  <si>
    <t>Aghayev Aliyusif</t>
  </si>
  <si>
    <t>Ağayev Əliyusif Faiq oğlu</t>
  </si>
  <si>
    <t>XM-383</t>
  </si>
  <si>
    <t>Gurbanov Nurlan</t>
  </si>
  <si>
    <t>Qurbanov Nurlan Mübariz oğlu</t>
  </si>
  <si>
    <t>XM-384</t>
  </si>
  <si>
    <t>Aliyev Yagub</t>
  </si>
  <si>
    <t>Əliyev Yaqub Faiq oğlu</t>
  </si>
  <si>
    <t>XM-385</t>
  </si>
  <si>
    <t>Gulamov Jalal</t>
  </si>
  <si>
    <t>Qulamov Calal Təzəxan oğlu</t>
  </si>
  <si>
    <t>XM-161</t>
  </si>
  <si>
    <t>Jafarli Orkhan</t>
  </si>
  <si>
    <t>Cəfərli Orxan İsmayıl oğlu</t>
  </si>
  <si>
    <t>XM-391</t>
  </si>
  <si>
    <t>Murshudov Vasif</t>
  </si>
  <si>
    <t>Mürşüdov Vasif Çingiz oğlu</t>
  </si>
  <si>
    <t>XM-392</t>
  </si>
  <si>
    <t>Gulaliyev Jeyhun</t>
  </si>
  <si>
    <t>Gülalıyev Ceyhun Ağalar oğlu</t>
  </si>
  <si>
    <t>XM-394</t>
  </si>
  <si>
    <t>Aslanov Matlab</t>
  </si>
  <si>
    <t>Aslanov Mətləb Nizami oğlu</t>
  </si>
  <si>
    <t>XM-396</t>
  </si>
  <si>
    <t>Khalilov Azer XXX</t>
  </si>
  <si>
    <t>XM-399</t>
  </si>
  <si>
    <t>Kazimov Ilkin</t>
  </si>
  <si>
    <t>Kazımov İlkin Elşən oğlu</t>
  </si>
  <si>
    <t>XM-400</t>
  </si>
  <si>
    <t>Mirzayev Firudin</t>
  </si>
  <si>
    <t>Mirzəyev Firudin Tofiq oğlu</t>
  </si>
  <si>
    <t>XM-401</t>
  </si>
  <si>
    <t>Piriyev Samir</t>
  </si>
  <si>
    <t>Piriyev Samir Yaqub oğlu</t>
  </si>
  <si>
    <t>XM-402</t>
  </si>
  <si>
    <t>Hajizadeh Orkhan</t>
  </si>
  <si>
    <t>Hacızadə Orxan Nəcəf oğlu</t>
  </si>
  <si>
    <t>XM-403</t>
  </si>
  <si>
    <t>Mammadgil Eltaj</t>
  </si>
  <si>
    <t>Məmmədgil Eltac Elçin oğlu</t>
  </si>
  <si>
    <t>XM-404</t>
  </si>
  <si>
    <t>Mammadov Kenan</t>
  </si>
  <si>
    <t>Məmmədov Kənan Məmmədtağı oğlu</t>
  </si>
  <si>
    <t>XM-406</t>
  </si>
  <si>
    <t>Huseynova Nargiz</t>
  </si>
  <si>
    <t>Hüseynova Nərgiz Araz qızı</t>
  </si>
  <si>
    <t>XM-407</t>
  </si>
  <si>
    <t>Bayramov Javid</t>
  </si>
  <si>
    <t>Bayramov Cavid Əlizamin oğlu</t>
  </si>
  <si>
    <t>XM-408</t>
  </si>
  <si>
    <t>Sultanov Mammad</t>
  </si>
  <si>
    <t>Sultanov Məmməd Elçin oğlu</t>
  </si>
  <si>
    <t>XM-409</t>
  </si>
  <si>
    <t>Gadirov Elvin</t>
  </si>
  <si>
    <t>Qədirov Elvin Zeynur oğlu</t>
  </si>
  <si>
    <t>XM-410</t>
  </si>
  <si>
    <t>Məmmədov İsmayıl Vasif oğlu</t>
  </si>
  <si>
    <t>XM-415</t>
  </si>
  <si>
    <t>Bagirov Samandar</t>
  </si>
  <si>
    <t>Bağırov Səməndər Etibaroviç</t>
  </si>
  <si>
    <t>XM-417</t>
  </si>
  <si>
    <t>Huseynov Vusal</t>
  </si>
  <si>
    <t>Hüseynov Vüsal Əjdər oğlu</t>
  </si>
  <si>
    <t>XM-418</t>
  </si>
  <si>
    <t>Ahmadilov Murtuzali</t>
  </si>
  <si>
    <t>Əhmədilov Murtuzəli Xızri oğlu</t>
  </si>
  <si>
    <t>XM-419</t>
  </si>
  <si>
    <t>Abdullayeva Fidan</t>
  </si>
  <si>
    <t>Abdullayeva Fidan Qəribəli qızı</t>
  </si>
  <si>
    <t>XM-421</t>
  </si>
  <si>
    <t>İsmayilov Qafqaz</t>
  </si>
  <si>
    <t>İsmayılov Qafqaz Mehdi oğlu</t>
  </si>
  <si>
    <t>XM-423</t>
  </si>
  <si>
    <t>Nabiev Elvar</t>
  </si>
  <si>
    <t>Nabiev Elvar XXX</t>
  </si>
  <si>
    <t>XM-425</t>
  </si>
  <si>
    <t>Gafarzade Elshan Nurali oglu</t>
  </si>
  <si>
    <t>Qafarzadə Elşən Nurəli oğlu</t>
  </si>
  <si>
    <t>XM-427</t>
  </si>
  <si>
    <t>Huseynov Rustam</t>
  </si>
  <si>
    <t>Hüseynov Rüstəm İdris oğlu</t>
  </si>
  <si>
    <t>XM-431</t>
  </si>
  <si>
    <t>Maharramov Elshan</t>
  </si>
  <si>
    <t>Məhərrəmov Elşən Nadir oğlu</t>
  </si>
  <si>
    <t>XM-433</t>
  </si>
  <si>
    <t>Nazirli Vusal</t>
  </si>
  <si>
    <t>Nəzirli Vüsal Elçin oğlu</t>
  </si>
  <si>
    <t>XM-435</t>
  </si>
  <si>
    <t>Huseynov Huseyn</t>
  </si>
  <si>
    <t>Hüseynov Hüseyn Sahib oğlu</t>
  </si>
  <si>
    <t>XM-436</t>
  </si>
  <si>
    <t>Aliyev Orkhan</t>
  </si>
  <si>
    <t>Əliyev Orxan Namiq oğlu</t>
  </si>
  <si>
    <t>XM-440</t>
  </si>
  <si>
    <t>Talibov Umud</t>
  </si>
  <si>
    <t>Talıbov Ümüd Sabir oğlu</t>
  </si>
  <si>
    <t>XM-441</t>
  </si>
  <si>
    <t>Abtalibov Afrayil</t>
  </si>
  <si>
    <t>Abtalıbov Əfrayıl Talıb oğlu</t>
  </si>
  <si>
    <t>XM-442</t>
  </si>
  <si>
    <t>Rahimov Elchin</t>
  </si>
  <si>
    <t>Rəhimov Elçin Məhərrəm oğlu</t>
  </si>
  <si>
    <t>XM-443</t>
  </si>
  <si>
    <t>Mahmudov Alibaba</t>
  </si>
  <si>
    <t>Mahmudov Əlibaba Eldar oğlu</t>
  </si>
  <si>
    <t>XM-444</t>
  </si>
  <si>
    <t>Nasirli Aladdin</t>
  </si>
  <si>
    <t>Nəsirli Aləddin Əli oğlu</t>
  </si>
  <si>
    <t>XM-445</t>
  </si>
  <si>
    <t>Abdullayev Shohrat</t>
  </si>
  <si>
    <t>Abdullayev Şöhrət İspəndər oğlu</t>
  </si>
  <si>
    <t>XM-446</t>
  </si>
  <si>
    <t>Allahverdiyev Elgun</t>
  </si>
  <si>
    <t>Allahverdiyev Elgün Məzahir oğlu</t>
  </si>
  <si>
    <t>XM-448</t>
  </si>
  <si>
    <t>Mustafayev Sultan</t>
  </si>
  <si>
    <t>Mustafayev Sultan Yaqub oğlu</t>
  </si>
  <si>
    <t>XM-449</t>
  </si>
  <si>
    <t>Jahandar Agaminli</t>
  </si>
  <si>
    <t>Ağaminli Cahandar Kamil oğlu</t>
  </si>
  <si>
    <t>XM-450</t>
  </si>
  <si>
    <t>Mammadov Muzaffar</t>
  </si>
  <si>
    <t>Məmmədov Müzəffər Şükran oğlu</t>
  </si>
  <si>
    <t>XM-451</t>
  </si>
  <si>
    <t>Ismayilzade Ismayil</t>
  </si>
  <si>
    <t>İsmayılzadə İsmayıl Əli oğlu</t>
  </si>
  <si>
    <t>XM-452</t>
  </si>
  <si>
    <t>Hasanov Fargan</t>
  </si>
  <si>
    <t>Həsənov Fərqan Kainat oğlu</t>
  </si>
  <si>
    <t>XM-453</t>
  </si>
  <si>
    <t>Mammadov Ruslan</t>
  </si>
  <si>
    <t>Məmmədov Ruslan Ələddin oğlu</t>
  </si>
  <si>
    <t>XM-458</t>
  </si>
  <si>
    <t>İbrahimov Tural</t>
  </si>
  <si>
    <t>İbrahimov Tural İbrahim oğlu</t>
  </si>
  <si>
    <t>XM-459</t>
  </si>
  <si>
    <t>Abdullayev Zohrab</t>
  </si>
  <si>
    <t>Abdullayev Zöhrab Sakit oğlu</t>
  </si>
  <si>
    <t>XM-460</t>
  </si>
  <si>
    <t>Amiraslanov Murad</t>
  </si>
  <si>
    <t>Əmiraslanov Murad Rasim oğlu</t>
  </si>
  <si>
    <t>XM-461</t>
  </si>
  <si>
    <t>Rasulzadeh Aslan</t>
  </si>
  <si>
    <t>Rasulzadə Aslan Bəxtiyar oğlu</t>
  </si>
  <si>
    <t>XM-462</t>
  </si>
  <si>
    <t>Izmaylov Kenan</t>
  </si>
  <si>
    <t>İzmayılov Kənan Rafiz oğlu</t>
  </si>
  <si>
    <t>XM-464</t>
  </si>
  <si>
    <t>Demirchiyev Ahmed</t>
  </si>
  <si>
    <t>Dəmirçiyev Əhməd Elçin oğlu</t>
  </si>
  <si>
    <t>XM-465</t>
  </si>
  <si>
    <t>Ismayilov Rajab</t>
  </si>
  <si>
    <t>İsmayılov Rəcəb Alış oğlu</t>
  </si>
  <si>
    <t>XM-469</t>
  </si>
  <si>
    <t>Dashdiyev Nurlan</t>
  </si>
  <si>
    <t>Daşdiyev Nurlan Aydın oğlu</t>
  </si>
  <si>
    <t>XM-470</t>
  </si>
  <si>
    <t>Allahverdiyev Məhəmməd</t>
  </si>
  <si>
    <t>Allahverdiyev Məhəmməd Samir oğlu</t>
  </si>
  <si>
    <t>XM-472</t>
  </si>
  <si>
    <t>Safarov Ajdar</t>
  </si>
  <si>
    <t>Səfərov Əjdər Vahid oğlu</t>
  </si>
  <si>
    <t>XM-474</t>
  </si>
  <si>
    <t>Allahverdiyev Emin</t>
  </si>
  <si>
    <t>Allahverdiyev Emin Amil oğlu</t>
  </si>
  <si>
    <t>XM-473</t>
  </si>
  <si>
    <t>Valiyev Kamran</t>
  </si>
  <si>
    <t>Vəliyev Kamran Habil oğlu</t>
  </si>
  <si>
    <t>XM-477</t>
  </si>
  <si>
    <t>Najafli Khalid</t>
  </si>
  <si>
    <t>Nəcəfli Xalid Xaləddin oğlu</t>
  </si>
  <si>
    <t>XM-476</t>
  </si>
  <si>
    <t>Anvarov Mammad</t>
  </si>
  <si>
    <t>Ənvərov Məmməd Əbdülvahidoviç</t>
  </si>
  <si>
    <t>Faktiki işçi sayı</t>
  </si>
  <si>
    <t>Müvəqqəti işçi sayı</t>
  </si>
  <si>
    <t>Vakant ştat</t>
  </si>
  <si>
    <t>Struktur dəyişikliyindən əvvəl</t>
  </si>
  <si>
    <t>Struktur dəyişikliyindən sonra</t>
  </si>
  <si>
    <t>Daxili kommunikasiya və Korporativ Sosial Məsuliyyət şöbəsi</t>
  </si>
  <si>
    <t>Pasha holding</t>
  </si>
  <si>
    <t>İstedadların idarə edilməsi departamenti(Xuraman H, Mujgan R)</t>
  </si>
  <si>
    <t>Pashapay(Zabeta)</t>
  </si>
  <si>
    <t>Hardan gəlib</t>
  </si>
  <si>
    <t>Say</t>
  </si>
  <si>
    <t>Baloğlanlı Ziyafət Seymur oğlu</t>
  </si>
  <si>
    <t>Əliyeva Zəhra Abasəli qızı</t>
  </si>
  <si>
    <t>Əsgərova Mətanət Vaqif qızı</t>
  </si>
  <si>
    <t>Abbasova Jalə Ceyhun qızı</t>
  </si>
  <si>
    <t>Zeynalova Leyla Bəxtiyar</t>
  </si>
  <si>
    <t>Yeni qəbul</t>
  </si>
  <si>
    <t>İşə başlama tarixi</t>
  </si>
  <si>
    <t>Vəzifə</t>
  </si>
  <si>
    <t>Bölmə</t>
  </si>
  <si>
    <t>Əzizov Emil Müslət</t>
  </si>
  <si>
    <t>Oktaylı İqrar Oktay</t>
  </si>
  <si>
    <t>İşə qəbul</t>
  </si>
  <si>
    <t>Abdullayeva Gülşən</t>
  </si>
  <si>
    <t>Elmira Hacıyeva</t>
  </si>
  <si>
    <t>Hansı şöbə</t>
  </si>
  <si>
    <t>Kimin yerinə</t>
  </si>
  <si>
    <t>Vakant olmalıdır amma ştat yoxdur</t>
  </si>
  <si>
    <t>Mujgan Rustəmli</t>
  </si>
  <si>
    <t>Nərmin Əhmədova</t>
  </si>
  <si>
    <t>George Bakhtin</t>
  </si>
  <si>
    <t>Ştatı Ayrat verməli</t>
  </si>
  <si>
    <t>Sual altında olan məsələlər</t>
  </si>
  <si>
    <t>Ştat</t>
  </si>
  <si>
    <t xml:space="preserve">Cəbrayılov Fehruz Nizami oğlu </t>
  </si>
  <si>
    <t>Aygün xanımın şifahi razılığı əsasında işə götürülüb</t>
  </si>
  <si>
    <t>HR ştatından götürülüb</t>
  </si>
  <si>
    <t>Rüstəmova Vəfa Elbrus qızı</t>
  </si>
  <si>
    <t>COM 2571</t>
  </si>
  <si>
    <t>Hagverdiyeva Raksana</t>
  </si>
  <si>
    <t>Haqverdi̇yeva Raksana Qurban qızı</t>
  </si>
  <si>
    <t>Əməliyyatlar üzrə mütəxəssis(yeni)</t>
  </si>
  <si>
    <t>COM 2572</t>
  </si>
  <si>
    <t>Zeynalov Murvat Habil</t>
  </si>
  <si>
    <t>Zeynalov Mürvət Habil oğlu</t>
  </si>
  <si>
    <t>COM 2573</t>
  </si>
  <si>
    <t>Alakbarli İlkin</t>
  </si>
  <si>
    <t>Ələkbərli İlkin Nazir oğlu</t>
  </si>
  <si>
    <t>COM 2574</t>
  </si>
  <si>
    <t>Malikov Malik</t>
  </si>
  <si>
    <t>Məlikov Məlik Aqif oğlu</t>
  </si>
  <si>
    <t>COM 2575</t>
  </si>
  <si>
    <t>Yusifzada Dilara</t>
  </si>
  <si>
    <t>Yusifzadə Dilarə Elçin qızı</t>
  </si>
  <si>
    <t>Kateqoriya üzrə menecer Elektronika vertikalı</t>
  </si>
  <si>
    <t>Category Manager, Electronics Vertical</t>
  </si>
  <si>
    <t>COM 2576</t>
  </si>
  <si>
    <t>İmanov Aykhan</t>
  </si>
  <si>
    <t>İmanov Ayxan Kamil oğlu</t>
  </si>
  <si>
    <t>Technology division</t>
  </si>
  <si>
    <t>Planlaşdırma və çatdırılma texnoloq</t>
  </si>
  <si>
    <t>Planning and Delivery Technologist</t>
  </si>
  <si>
    <t>COM 2577</t>
  </si>
  <si>
    <t>Aliyeva Sona Azad</t>
  </si>
  <si>
    <t>Əliyeva Sona Azad qızı</t>
  </si>
  <si>
    <t>COM 2578</t>
  </si>
  <si>
    <t>Hajizada Murad</t>
  </si>
  <si>
    <t>Hacızadə Murad Əli oğlu</t>
  </si>
  <si>
    <t>XM-514</t>
  </si>
  <si>
    <t>Ağayev Qaraxan Çingiz oğlu</t>
  </si>
  <si>
    <t>XM-515</t>
  </si>
  <si>
    <t>Əhlimanzadə Asəf Azər oğlu</t>
  </si>
  <si>
    <t>XM-516</t>
  </si>
  <si>
    <t>Abbasov Orxan Məzahir oğlu</t>
  </si>
  <si>
    <t>XM-517</t>
  </si>
  <si>
    <t>Heydərli Əmrah Vaqif oğlu</t>
  </si>
  <si>
    <t>XM-518</t>
  </si>
  <si>
    <t>Əkbərov Rasim İmran oğlu</t>
  </si>
  <si>
    <t>XM-519</t>
  </si>
  <si>
    <t>Abidov Elməddin Eldəniz oğlu</t>
  </si>
  <si>
    <t>XM-521</t>
  </si>
  <si>
    <t>Tariyev Ravil Tari oğlu</t>
  </si>
  <si>
    <t>XM-523</t>
  </si>
  <si>
    <t>Əliyev Adil Hikmət oğlu</t>
  </si>
  <si>
    <t>XM-522</t>
  </si>
  <si>
    <t>Romanenko Yanush Nikolayevich</t>
  </si>
  <si>
    <t>Romanenko Yanuş Nikolayeviç</t>
  </si>
  <si>
    <t>XM-520</t>
  </si>
  <si>
    <t>Korotkikh Ruslan</t>
  </si>
  <si>
    <t>Korotkix Ruslan Konstantinoviç</t>
  </si>
  <si>
    <t>Vakantlar</t>
  </si>
  <si>
    <t>Abdullayeva Sugra</t>
  </si>
  <si>
    <t>Muradova Kəmalə</t>
  </si>
  <si>
    <t>Ştat ixtisar-HR</t>
  </si>
  <si>
    <t>Kərimova Nəzrin</t>
  </si>
  <si>
    <t>İşəgötürən brendi və KSM funksional sahəsi, İnternal communications function</t>
  </si>
  <si>
    <t>Strukturu</t>
  </si>
  <si>
    <t>İnsanlar və korporativ mədəniyyət departamenti-İnsan Resursları əməliyyatları və əmək haqqı hesablanması şöbəsi-İnsan Resursları üzrə baş mütəxəssis</t>
  </si>
  <si>
    <t>Məmmədova Səmidə</t>
  </si>
  <si>
    <t>İstedadların idarə edilməsi departamenti, İstedadların cəlbi və biznes partnyorluq şöbəsi,İnsan Resursları üzrə Biznes tərəfdaş</t>
  </si>
  <si>
    <t>İstedadların idarə edilməsi departamenti, Performansın idarə edilməsi və işçi bağlılığı şöbəsi, İnsan resursları üzrə mütəxəssis</t>
  </si>
  <si>
    <t>İnsanlar və korporativ mədəniyyət departamenti-İnsan Resursları əməliyyatları və əmək haqqı hesablanması şöbəsi-İnsan Resursları üzrə mütəxəssis</t>
  </si>
  <si>
    <t>ştatı ixtisar edilib, özünü birmarketdə CC  boş vakanta keçiriblər-08.06.2026</t>
  </si>
  <si>
    <t>1i pashapaydan verildi bura</t>
  </si>
  <si>
    <t>1i bdd yə po</t>
  </si>
  <si>
    <t>1- i birbank biznesdən</t>
  </si>
  <si>
    <t>1 əlavə orxan</t>
  </si>
  <si>
    <t>İxtisardan əvvəlki vakant</t>
  </si>
  <si>
    <t>Şifahi bildirilib ki yenə ixtisar olacaq</t>
  </si>
  <si>
    <t>Yeni layihələrə görə reserved  saxlayır</t>
  </si>
  <si>
    <t>Əvvəlki təsdiqlənən ştat sayı</t>
  </si>
  <si>
    <t>İxtisardan sonra təsdiqlənəcək ştat sayı</t>
  </si>
  <si>
    <t>İxtisardan sonrakı vakant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</si>
</sst>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;[Red]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"/>
      <family val="2"/>
    </font>
    <font>
      <sz val="11"/>
      <color rgb="FF000000"/>
      <name val="Aptos Narrow"/>
      <family val="2"/>
      <scheme val="minor"/>
    </font>
    <font>
      <sz val="11"/>
      <color rgb="FF0563C1"/>
      <name val="Aptos Narrow"/>
      <family val="2"/>
      <scheme val="minor"/>
    </font>
    <font>
      <sz val="12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charset val="204"/>
      <scheme val="minor"/>
    </font>
    <font>
      <b/>
      <sz val="8"/>
      <name val="Arial"/>
    </font>
    <font>
      <sz val="8"/>
      <name val="Arial"/>
    </font>
    <font>
      <sz val="11"/>
      <name val="Aptos Narrow"/>
      <family val="2"/>
      <charset val="186"/>
      <scheme val="minor"/>
    </font>
    <font>
      <sz val="11"/>
      <color rgb="FF000000"/>
      <name val="Aptos Narrow"/>
      <family val="2"/>
    </font>
    <font>
      <sz val="10"/>
      <color rgb="FF080808"/>
      <name val="Arial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8" tint="0.399975585192419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2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/>
    <xf numFmtId="14" fontId="0" fillId="0" borderId="0" xfId="0" applyNumberFormat="1" applyFill="1"/>
    <xf numFmtId="0" fontId="0" fillId="0" borderId="1" xfId="0" applyBorder="1"/>
    <xf numFmtId="0" fontId="7" fillId="0" borderId="1" xfId="2" applyFont="1" applyBorder="1" applyAlignment="1">
      <alignment vertical="center" wrapText="1"/>
    </xf>
    <xf numFmtId="0" fontId="3" fillId="0" borderId="1" xfId="2" applyBorder="1" applyAlignment="1">
      <alignment vertical="center" wrapText="1"/>
    </xf>
    <xf numFmtId="0" fontId="0" fillId="0" borderId="0" xfId="0" applyAlignment="1">
      <alignment wrapText="1"/>
    </xf>
    <xf numFmtId="49" fontId="6" fillId="7" borderId="1" xfId="0" applyNumberFormat="1" applyFont="1" applyFill="1" applyBorder="1"/>
    <xf numFmtId="0" fontId="3" fillId="0" borderId="1" xfId="2" applyBorder="1"/>
    <xf numFmtId="0" fontId="6" fillId="7" borderId="1" xfId="0" applyFont="1" applyFill="1" applyBorder="1" applyAlignment="1">
      <alignment horizontal="center"/>
    </xf>
    <xf numFmtId="0" fontId="3" fillId="7" borderId="1" xfId="2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/>
    <xf numFmtId="14" fontId="0" fillId="2" borderId="0" xfId="0" applyNumberFormat="1" applyFill="1" applyAlignment="1">
      <alignment horizontal="left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8" fillId="0" borderId="1" xfId="0" applyFont="1" applyBorder="1"/>
    <xf numFmtId="0" fontId="18" fillId="0" borderId="1" xfId="0" applyFont="1" applyBorder="1" applyAlignment="1">
      <alignment horizontal="left" vertical="center"/>
    </xf>
    <xf numFmtId="0" fontId="18" fillId="0" borderId="1" xfId="0" applyFon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0" borderId="1" xfId="0" applyBorder="1" applyAlignment="1"/>
    <xf numFmtId="0" fontId="12" fillId="0" borderId="0" xfId="0" applyFont="1" applyAlignment="1">
      <alignment vertical="center"/>
    </xf>
    <xf numFmtId="0" fontId="0" fillId="0" borderId="1" xfId="0" applyFill="1" applyBorder="1"/>
    <xf numFmtId="0" fontId="0" fillId="9" borderId="1" xfId="0" applyFill="1" applyBorder="1"/>
    <xf numFmtId="0" fontId="15" fillId="0" borderId="2" xfId="0" applyFont="1" applyBorder="1" applyAlignment="1">
      <alignment horizontal="center" vertical="center"/>
    </xf>
    <xf numFmtId="0" fontId="18" fillId="0" borderId="2" xfId="0" applyFont="1" applyFill="1" applyBorder="1"/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 wrapText="1"/>
    </xf>
    <xf numFmtId="0" fontId="19" fillId="0" borderId="0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0" fillId="2" borderId="0" xfId="0" applyNumberFormat="1" applyFill="1"/>
    <xf numFmtId="0" fontId="0" fillId="0" borderId="0" xfId="0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5" fillId="3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7" borderId="1" xfId="0" applyFont="1" applyFill="1" applyBorder="1"/>
    <xf numFmtId="16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/>
    </xf>
    <xf numFmtId="1" fontId="6" fillId="7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165" fontId="6" fillId="7" borderId="1" xfId="0" applyNumberFormat="1" applyFont="1" applyFill="1" applyBorder="1" applyAlignment="1">
      <alignment horizontal="left"/>
    </xf>
    <xf numFmtId="0" fontId="6" fillId="7" borderId="1" xfId="0" applyFont="1" applyFill="1" applyBorder="1" applyAlignment="1">
      <alignment horizontal="left" vertical="center"/>
    </xf>
    <xf numFmtId="0" fontId="0" fillId="7" borderId="1" xfId="0" applyFill="1" applyBorder="1"/>
    <xf numFmtId="14" fontId="6" fillId="7" borderId="1" xfId="0" applyNumberFormat="1" applyFont="1" applyFill="1" applyBorder="1" applyAlignment="1">
      <alignment horizontal="center"/>
    </xf>
    <xf numFmtId="14" fontId="6" fillId="7" borderId="1" xfId="0" applyNumberFormat="1" applyFont="1" applyFill="1" applyBorder="1" applyAlignment="1">
      <alignment horizontal="center" vertical="center"/>
    </xf>
    <xf numFmtId="15" fontId="6" fillId="7" borderId="1" xfId="0" applyNumberFormat="1" applyFont="1" applyFill="1" applyBorder="1" applyAlignment="1">
      <alignment horizontal="center" vertical="center"/>
    </xf>
    <xf numFmtId="0" fontId="8" fillId="7" borderId="1" xfId="2" applyFont="1" applyFill="1" applyBorder="1" applyAlignment="1">
      <alignment horizontal="left" vertical="center"/>
    </xf>
    <xf numFmtId="0" fontId="6" fillId="7" borderId="1" xfId="0" applyFont="1" applyFill="1" applyBorder="1" applyAlignment="1">
      <alignment vertical="center" wrapText="1"/>
    </xf>
    <xf numFmtId="15" fontId="6" fillId="7" borderId="1" xfId="0" applyNumberFormat="1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0" fontId="6" fillId="7" borderId="1" xfId="2" applyFont="1" applyFill="1" applyBorder="1" applyAlignment="1">
      <alignment vertical="center"/>
    </xf>
    <xf numFmtId="165" fontId="6" fillId="7" borderId="1" xfId="0" applyNumberFormat="1" applyFont="1" applyFill="1" applyBorder="1"/>
    <xf numFmtId="0" fontId="6" fillId="0" borderId="1" xfId="0" applyFont="1" applyBorder="1" applyAlignment="1">
      <alignment horizontal="center"/>
    </xf>
    <xf numFmtId="0" fontId="0" fillId="7" borderId="1" xfId="0" applyFill="1" applyBorder="1" applyAlignment="1">
      <alignment horizontal="left" vertical="center"/>
    </xf>
    <xf numFmtId="14" fontId="6" fillId="7" borderId="1" xfId="1" applyNumberFormat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left"/>
    </xf>
    <xf numFmtId="1" fontId="6" fillId="7" borderId="1" xfId="0" applyNumberFormat="1" applyFont="1" applyFill="1" applyBorder="1"/>
    <xf numFmtId="164" fontId="0" fillId="0" borderId="1" xfId="0" applyNumberFormat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left" vertical="center"/>
    </xf>
    <xf numFmtId="49" fontId="9" fillId="7" borderId="1" xfId="0" applyNumberFormat="1" applyFont="1" applyFill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49" fontId="0" fillId="7" borderId="1" xfId="0" applyNumberFormat="1" applyFill="1" applyBorder="1"/>
    <xf numFmtId="0" fontId="3" fillId="7" borderId="1" xfId="2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" fontId="0" fillId="0" borderId="1" xfId="0" applyNumberFormat="1" applyBorder="1"/>
    <xf numFmtId="0" fontId="6" fillId="7" borderId="1" xfId="0" applyFont="1" applyFill="1" applyBorder="1" applyAlignment="1">
      <alignment horizontal="left" wrapText="1"/>
    </xf>
    <xf numFmtId="0" fontId="3" fillId="0" borderId="1" xfId="2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/>
    <xf numFmtId="11" fontId="6" fillId="7" borderId="1" xfId="0" applyNumberFormat="1" applyFont="1" applyFill="1" applyBorder="1"/>
    <xf numFmtId="1" fontId="6" fillId="7" borderId="1" xfId="1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6" fillId="8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14" fontId="6" fillId="8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8" borderId="1" xfId="0" applyFont="1" applyFill="1" applyBorder="1" applyAlignment="1">
      <alignment horizontal="center"/>
    </xf>
    <xf numFmtId="0" fontId="12" fillId="0" borderId="1" xfId="0" applyFont="1" applyBorder="1"/>
    <xf numFmtId="0" fontId="6" fillId="8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7A873330-A0FF-4662-A4EB-A4697CC7ED35}"/>
  </cellStyles>
  <dxfs count="802"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19" formatCode="dd/mm/yyyy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95F8C-C2FE-47C1-9D65-25FF10BC249D}" name="Table2" displayName="Table2" ref="A1:M94" totalsRowShown="0" headerRowDxfId="801">
  <autoFilter ref="A1:M94" xr:uid="{EDE95F8C-C2FE-47C1-9D65-25FF10BC249D}"/>
  <tableColumns count="13">
    <tableColumn id="1" xr3:uid="{306CCEE5-83BB-49D0-8A5E-A36484AE4004}" name="New"/>
    <tableColumn id="2" xr3:uid="{850A83DF-3101-4BE0-9162-AD47B034E187}" name="Cəmi" dataDxfId="800"/>
    <tableColumn id="3" xr3:uid="{6D1A5002-7D93-44D2-87F9-3D781F8993F6}" name="İşçi sayı" dataDxfId="799"/>
    <tableColumn id="4" xr3:uid="{D4EB6343-D7CA-4A8F-887F-50923B6900AA}" name="müvəqqəti" dataDxfId="798"/>
    <tableColumn id="5" xr3:uid="{FF631699-DDC4-46C3-A38A-24A97DCED3B5}" name="vakant" dataDxfId="797"/>
    <tableColumn id="6" xr3:uid="{AEEDDC39-58D5-476E-9587-DB9EDF1824CB}" name="Non agile, agile, filial" dataDxfId="796"/>
    <tableColumn id="7" xr3:uid="{B125B827-F96C-4817-AEA7-14250139E4DB}" name="qeyd" dataDxfId="795"/>
    <tableColumn id="8" xr3:uid="{30433B32-B4A4-41E1-80A5-7D58ABE329E1}" name="Vertical" dataDxfId="794"/>
    <tableColumn id="9" xr3:uid="{88297F88-46F1-4BD4-BFEA-BCAF8687FE93}" name="Pashapay"/>
    <tableColumn id="10" xr3:uid="{5A5799C2-668F-40AB-91B0-47118B3DB74D}" name="Birmarket"/>
    <tableColumn id="11" xr3:uid="{9CEB20E2-ADC6-4858-8A03-FAA61A22F0B4}" name="Paşa holding"/>
    <tableColumn id="12" xr3:uid="{9B24F2BF-28C2-40C9-992B-226B50F09B63}" name="Future lab"/>
    <tableColumn id="13" xr3:uid="{9D897902-1DCC-466E-A45B-989490412BB9}" name="Cəmi keçid sayı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40E0A4-41F9-4CDF-B3E7-4F8E1DBAC44A}" name="Table3" displayName="Table3" ref="A1:M6317" totalsRowShown="0" headerRowDxfId="793">
  <autoFilter ref="A1:M6317" xr:uid="{0F159D4E-EC0B-45F4-8B58-22F524F3CD86}"/>
  <tableColumns count="13">
    <tableColumn id="1" xr3:uid="{EA127267-4E60-4415-8BD9-63A618BC3914}" name="Personal kod"/>
    <tableColumn id="2" xr3:uid="{774044A2-BBE7-4D34-860D-16B1EFD20CBE}" name="Soyadı, adı və ata adı_x000a_(Surname, name, father name)"/>
    <tableColumn id="3" xr3:uid="{9135231F-600E-4FC6-9D19-7CDE6CC6A4DA}" name="Departament_x000a_(Department)"/>
    <tableColumn id="4" xr3:uid="{9F39A9FA-D861-4CD0-BFBB-22DA24193E13}" name="Şöbə_x000a_(Section)"/>
    <tableColumn id="5" xr3:uid="{B473F3E1-D47F-4BA4-A3A9-11E1FF39B86D}" name="Bölmə _x000a_(Subsection)"/>
    <tableColumn id="6" xr3:uid="{3115E6E9-D422-4FFD-8A57-94D9D079E3D8}" name="Vəzifə_x000a_(Position)"/>
    <tableColumn id="7" xr3:uid="{C3AFAAA7-3072-408C-A18A-6B7B6F652AF4}" name="Aktiv, Passiv, HX, SM (Active, Passive,Social vacation)"/>
    <tableColumn id="8" xr3:uid="{59CC2785-6229-48CA-A2D2-C2A0666D550D}" name="Status"/>
    <tableColumn id="9" xr3:uid="{6F3C2B82-31C5-46BE-A03B-49DFCC885350}" name="Keçid etdiyi şirkət"/>
    <tableColumn id="10" xr3:uid="{A501C212-559A-4B89-9255-45A8F4625F57}" name="Kapital Banka işə qəbul olunduğu tarix _x000a_(Hire date)" dataDxfId="792"/>
    <tableColumn id="11" xr3:uid="{929C42CC-D5DA-4266-AC42-B62CBAE85094}" name="Non agile filial"/>
    <tableColumn id="12" xr3:uid="{87CFEF5B-3CC7-4915-B1E5-1673A916187B}" name="İşdən çıxma tarixi" dataDxfId="791"/>
    <tableColumn id="13" xr3:uid="{BB614C85-55E4-4FAA-BE37-46373080E4CB}" name="Qey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64C81-6F2F-4AA2-B882-29C3720756E5}" name="Table1" displayName="Table1" ref="A1:G7" totalsRowCount="1" headerRowDxfId="790">
  <autoFilter ref="A1:G6" xr:uid="{4B164C81-6F2F-4AA2-B882-29C3720756E5}"/>
  <tableColumns count="7">
    <tableColumn id="1" xr3:uid="{D6CB7786-B93A-4C5E-A3DE-C205676B88E4}" name="Sahə" totalsRowLabel="CƏMİ"/>
    <tableColumn id="2" xr3:uid="{17B53584-D921-43AF-897D-CE99BA3B819A}" name="Əvvəlki təsdiqlənən ştat sayı"/>
    <tableColumn id="3" xr3:uid="{58334F6E-FEDF-4779-9726-96607423994C}" name="İxtisardan sonra təsdiqlənəcək ştat sayı"/>
    <tableColumn id="4" xr3:uid="{5130ECA0-673B-4762-9EBE-CCC9E4E4475D}" name="İxtisar olunan ştat sayı" totalsRowFunction="custom">
      <totalsRowFormula>SUM(Table1[İxtisar olunan ştat sayı])</totalsRowFormula>
    </tableColumn>
    <tableColumn id="6" xr3:uid="{3A18ED5E-C4AB-475C-A900-7B53102CD5A1}" name="İxtisardan əvvəlki vakant" totalsRowFunction="custom">
      <totalsRowFormula>SUM(Table1[İxtisardan əvvəlki vakant])</totalsRowFormula>
    </tableColumn>
    <tableColumn id="7" xr3:uid="{27640600-6FB5-4D30-93F0-842632ABC9EC}" name="İxtisardan sonrakı vakant" totalsRowFunction="custom" dataDxfId="789">
      <calculatedColumnFormula>Table1[[#This Row],[İxtisardan əvvəlki vakant]]-Table1[[#This Row],[İxtisar olunan ştat sayı]]</calculatedColumnFormula>
      <totalsRowFormula>SUM(Table1[İxtisardan sonrakı vakant])</totalsRowFormula>
    </tableColumn>
    <tableColumn id="8" xr3:uid="{F4CFB57F-7535-4B47-BCFA-3383FCEC286A}" name="Statu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5614BF-A4EB-4D9E-95E5-6F3B4555820A}" name="Table9" displayName="Table9" ref="A1:C23" totalsRowShown="0">
  <autoFilter ref="A1:C23" xr:uid="{055614BF-A4EB-4D9E-95E5-6F3B4555820A}"/>
  <tableColumns count="3">
    <tableColumn id="1" xr3:uid="{AFFDE556-B2AA-4280-B2DC-17E81918A925}" name="Row Labels"/>
    <tableColumn id="2" xr3:uid="{8A18223E-4101-4A7E-98C0-EC1637767E6C}" name="Staff"/>
    <tableColumn id="3" xr3:uid="{B043DE09-6FE7-4A14-9690-011438979E36}" name="Vakant" dataDxfId="788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2525B9-B511-44CA-9C9A-0C9E1E87EA01}" name="Table4" displayName="Table4" ref="A2:F40" totalsRowShown="0" headerRowDxfId="787" dataDxfId="786">
  <autoFilter ref="A2:F40" xr:uid="{682525B9-B511-44CA-9C9A-0C9E1E87EA01}"/>
  <tableColumns count="6">
    <tableColumn id="1" xr3:uid="{C5042A69-F6D0-4689-9B36-AE77A3E55403}" name="Sahə adı" dataDxfId="785"/>
    <tableColumn id="2" xr3:uid="{6FDE2FBB-DACF-49B8-BD86-3994CC97F7A4}" name="İşçi sayı-əmək müqaviləsi" dataDxfId="784"/>
    <tableColumn id="3" xr3:uid="{E00F3469-58C3-4F7B-9B74-D1917F214B4B}" name="Vakant sayı-əmək müqaviləsi" dataDxfId="783"/>
    <tableColumn id="4" xr3:uid="{65EA6B52-8BEC-4112-8864-7D09F62C0F23}" name="İşçi sayı-xidməti müqavilə(expat)" dataDxfId="782"/>
    <tableColumn id="7" xr3:uid="{96578EA6-7FF5-4ED4-8CEA-C47F61248A95}" name="İşçi sayı-xidməti müqavilə(yerli)" dataDxfId="781"/>
    <tableColumn id="6" xr3:uid="{975E556A-0EE7-434A-BCB9-949C213D4B2E}" name="Vakant sayı-xidməti müqavilə(yerli)" dataDxfId="78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elmira.adigozalli@gmail.com" TargetMode="External"/><Relationship Id="rId21" Type="http://schemas.openxmlformats.org/officeDocument/2006/relationships/hyperlink" Target="mailto:orxanshahverenov@gmail.com" TargetMode="External"/><Relationship Id="rId42" Type="http://schemas.openxmlformats.org/officeDocument/2006/relationships/hyperlink" Target="mailto:nigar.hasanova@pashapay.az" TargetMode="External"/><Relationship Id="rId63" Type="http://schemas.openxmlformats.org/officeDocument/2006/relationships/hyperlink" Target="mailto:vusala.ismayilova@pashapay.az" TargetMode="External"/><Relationship Id="rId84" Type="http://schemas.openxmlformats.org/officeDocument/2006/relationships/hyperlink" Target="mailto:ibrahim.tacibov@pashapay.az" TargetMode="External"/><Relationship Id="rId138" Type="http://schemas.openxmlformats.org/officeDocument/2006/relationships/hyperlink" Target="mailto:tarlanahmadkhanov@yahoo.com" TargetMode="External"/><Relationship Id="rId159" Type="http://schemas.openxmlformats.org/officeDocument/2006/relationships/hyperlink" Target="mailto:i.agshana86@gmail.com" TargetMode="External"/><Relationship Id="rId170" Type="http://schemas.openxmlformats.org/officeDocument/2006/relationships/hyperlink" Target="mailto:elman.haydarli@gmail.com" TargetMode="External"/><Relationship Id="rId107" Type="http://schemas.openxmlformats.org/officeDocument/2006/relationships/hyperlink" Target="mailto:aliyevaayten77@gmail.com" TargetMode="External"/><Relationship Id="rId11" Type="http://schemas.openxmlformats.org/officeDocument/2006/relationships/hyperlink" Target="mailto:samir.mammadzada@pashapay.az" TargetMode="External"/><Relationship Id="rId32" Type="http://schemas.openxmlformats.org/officeDocument/2006/relationships/hyperlink" Target="mailto:narmin.rasulova@pashapay.az" TargetMode="External"/><Relationship Id="rId53" Type="http://schemas.openxmlformats.org/officeDocument/2006/relationships/hyperlink" Target="mailto:narmin.akbarli@pashapay.az" TargetMode="External"/><Relationship Id="rId74" Type="http://schemas.openxmlformats.org/officeDocument/2006/relationships/hyperlink" Target="mailto:Bekirbekirov97@gmail.com" TargetMode="External"/><Relationship Id="rId128" Type="http://schemas.openxmlformats.org/officeDocument/2006/relationships/hyperlink" Target="mailto:sanan.jafarli01@gmail.com" TargetMode="External"/><Relationship Id="rId149" Type="http://schemas.openxmlformats.org/officeDocument/2006/relationships/hyperlink" Target="mailto:uvnasirov@yandex.ru" TargetMode="External"/><Relationship Id="rId5" Type="http://schemas.openxmlformats.org/officeDocument/2006/relationships/hyperlink" Target="mailto:rinat.mammadov@pashapay.az" TargetMode="External"/><Relationship Id="rId95" Type="http://schemas.openxmlformats.org/officeDocument/2006/relationships/hyperlink" Target="mailto:gulbaniz.f@gmail.com" TargetMode="External"/><Relationship Id="rId160" Type="http://schemas.openxmlformats.org/officeDocument/2006/relationships/hyperlink" Target="mailto:murad.muradov@pashapay.az" TargetMode="External"/><Relationship Id="rId22" Type="http://schemas.openxmlformats.org/officeDocument/2006/relationships/hyperlink" Target="mailto:rauf.gafarov@pashapay.az" TargetMode="External"/><Relationship Id="rId43" Type="http://schemas.openxmlformats.org/officeDocument/2006/relationships/hyperlink" Target="mailto:turan.ali@pashapay.az" TargetMode="External"/><Relationship Id="rId64" Type="http://schemas.openxmlformats.org/officeDocument/2006/relationships/hyperlink" Target="mailto:nargiz.karimova@pashapay.az" TargetMode="External"/><Relationship Id="rId118" Type="http://schemas.openxmlformats.org/officeDocument/2006/relationships/hyperlink" Target="mailto:ibrahimovmehdi@gmail.com" TargetMode="External"/><Relationship Id="rId139" Type="http://schemas.openxmlformats.org/officeDocument/2006/relationships/hyperlink" Target="mailto:Mamedovmo-11@yandex.ru" TargetMode="External"/><Relationship Id="rId85" Type="http://schemas.openxmlformats.org/officeDocument/2006/relationships/hyperlink" Target="mailto:eebra.t42@gmail.com" TargetMode="External"/><Relationship Id="rId150" Type="http://schemas.openxmlformats.org/officeDocument/2006/relationships/hyperlink" Target="mailto:alimetov_2018@gmail.com" TargetMode="External"/><Relationship Id="rId171" Type="http://schemas.openxmlformats.org/officeDocument/2006/relationships/hyperlink" Target="mailto:escfan.97@gmail.com" TargetMode="External"/><Relationship Id="rId12" Type="http://schemas.openxmlformats.org/officeDocument/2006/relationships/hyperlink" Target="mailto:mina.imanverdiyeva@gmail.com" TargetMode="External"/><Relationship Id="rId33" Type="http://schemas.openxmlformats.org/officeDocument/2006/relationships/hyperlink" Target="mailto:emin.naibov@pashapay.az" TargetMode="External"/><Relationship Id="rId108" Type="http://schemas.openxmlformats.org/officeDocument/2006/relationships/hyperlink" Target="mailto:narmin.x.huseynova@gmail.com" TargetMode="External"/><Relationship Id="rId129" Type="http://schemas.openxmlformats.org/officeDocument/2006/relationships/hyperlink" Target="mailto:rza.medjidov@mail.ru" TargetMode="External"/><Relationship Id="rId54" Type="http://schemas.openxmlformats.org/officeDocument/2006/relationships/hyperlink" Target="mailto:maya.karimli@pashapay.az" TargetMode="External"/><Relationship Id="rId75" Type="http://schemas.openxmlformats.org/officeDocument/2006/relationships/hyperlink" Target="mailto:Talib.novruzov@internet.ru" TargetMode="External"/><Relationship Id="rId96" Type="http://schemas.openxmlformats.org/officeDocument/2006/relationships/hyperlink" Target="mailto:minaye.azizova@gmail.com" TargetMode="External"/><Relationship Id="rId140" Type="http://schemas.openxmlformats.org/officeDocument/2006/relationships/hyperlink" Target="mailto:xaliq0992@gmail.com" TargetMode="External"/><Relationship Id="rId161" Type="http://schemas.openxmlformats.org/officeDocument/2006/relationships/hyperlink" Target="mailto:mr.jayhoon@mail.ru" TargetMode="External"/><Relationship Id="rId6" Type="http://schemas.openxmlformats.org/officeDocument/2006/relationships/hyperlink" Target="mailto:madina.racabova@pashapay.az" TargetMode="External"/><Relationship Id="rId23" Type="http://schemas.openxmlformats.org/officeDocument/2006/relationships/hyperlink" Target="mailto:farid.afandiyev@pashapay.az" TargetMode="External"/><Relationship Id="rId28" Type="http://schemas.openxmlformats.org/officeDocument/2006/relationships/hyperlink" Target="mailto:parvin.bakhshaliyeva@pashapay.az" TargetMode="External"/><Relationship Id="rId49" Type="http://schemas.openxmlformats.org/officeDocument/2006/relationships/hyperlink" Target="mailto:elnur.baydizada@pashapay.az" TargetMode="External"/><Relationship Id="rId114" Type="http://schemas.openxmlformats.org/officeDocument/2006/relationships/hyperlink" Target="mailto:mehdiyev.nagi@gmail.com" TargetMode="External"/><Relationship Id="rId119" Type="http://schemas.openxmlformats.org/officeDocument/2006/relationships/hyperlink" Target="mailto:gulya.albandova@gmail.com" TargetMode="External"/><Relationship Id="rId44" Type="http://schemas.openxmlformats.org/officeDocument/2006/relationships/hyperlink" Target="mailto:khagani.farzaliyev@pashapay.az" TargetMode="External"/><Relationship Id="rId60" Type="http://schemas.openxmlformats.org/officeDocument/2006/relationships/hyperlink" Target="mailto:hasrat.mammadov@pashapay.az" TargetMode="External"/><Relationship Id="rId65" Type="http://schemas.openxmlformats.org/officeDocument/2006/relationships/hyperlink" Target="mailto:ilya.rafailov@list.ru" TargetMode="External"/><Relationship Id="rId81" Type="http://schemas.openxmlformats.org/officeDocument/2006/relationships/hyperlink" Target="mailto:gunduz.bayramov@pashapay.az" TargetMode="External"/><Relationship Id="rId86" Type="http://schemas.openxmlformats.org/officeDocument/2006/relationships/hyperlink" Target="mailto:aylin.abdullayeva@pashapay.az" TargetMode="External"/><Relationship Id="rId130" Type="http://schemas.openxmlformats.org/officeDocument/2006/relationships/hyperlink" Target="mailto:aysunsuleymanova02@gmail.com" TargetMode="External"/><Relationship Id="rId135" Type="http://schemas.openxmlformats.org/officeDocument/2006/relationships/hyperlink" Target="mailto:yeg.bay@mail.ru" TargetMode="External"/><Relationship Id="rId151" Type="http://schemas.openxmlformats.org/officeDocument/2006/relationships/hyperlink" Target="mailto:guliyevruslan08@gmail.com" TargetMode="External"/><Relationship Id="rId156" Type="http://schemas.openxmlformats.org/officeDocument/2006/relationships/hyperlink" Target="mailto:e.bafadarov04@gmail.com" TargetMode="External"/><Relationship Id="rId177" Type="http://schemas.openxmlformats.org/officeDocument/2006/relationships/hyperlink" Target="mailto:samir.bayramov@pashapay.az" TargetMode="External"/><Relationship Id="rId172" Type="http://schemas.openxmlformats.org/officeDocument/2006/relationships/hyperlink" Target="mailto:ahmadzada.e@gmail.com" TargetMode="External"/><Relationship Id="rId13" Type="http://schemas.openxmlformats.org/officeDocument/2006/relationships/hyperlink" Target="mailto:minakhanum.imanverdiyeva@pashapay.az" TargetMode="External"/><Relationship Id="rId18" Type="http://schemas.openxmlformats.org/officeDocument/2006/relationships/hyperlink" Target="mailto:fidan.mammadzada@pashapay.az" TargetMode="External"/><Relationship Id="rId39" Type="http://schemas.openxmlformats.org/officeDocument/2006/relationships/hyperlink" Target="mailto:ayyub.salmanov@pashapay.az" TargetMode="External"/><Relationship Id="rId109" Type="http://schemas.openxmlformats.org/officeDocument/2006/relationships/hyperlink" Target="mailto:nicatsuleymanov7@gmail.com" TargetMode="External"/><Relationship Id="rId34" Type="http://schemas.openxmlformats.org/officeDocument/2006/relationships/hyperlink" Target="mailto:ramin.aghazada@pashapay.az" TargetMode="External"/><Relationship Id="rId50" Type="http://schemas.openxmlformats.org/officeDocument/2006/relationships/hyperlink" Target="mailto:elgiz.mammadli@pashapay.az" TargetMode="External"/><Relationship Id="rId55" Type="http://schemas.openxmlformats.org/officeDocument/2006/relationships/hyperlink" Target="mailto:amina.karimli@pashapay.az" TargetMode="External"/><Relationship Id="rId76" Type="http://schemas.openxmlformats.org/officeDocument/2006/relationships/hyperlink" Target="mailto:aliyataghiyeva@gmail.com" TargetMode="External"/><Relationship Id="rId97" Type="http://schemas.openxmlformats.org/officeDocument/2006/relationships/hyperlink" Target="mailto:orkhan1987@gmail.com" TargetMode="External"/><Relationship Id="rId104" Type="http://schemas.openxmlformats.org/officeDocument/2006/relationships/hyperlink" Target="mailto:hesenzade.nigar.f.@gmail.com" TargetMode="External"/><Relationship Id="rId120" Type="http://schemas.openxmlformats.org/officeDocument/2006/relationships/hyperlink" Target="mailto:xan.tac@mail.ru" TargetMode="External"/><Relationship Id="rId125" Type="http://schemas.openxmlformats.org/officeDocument/2006/relationships/hyperlink" Target="mailto:tanriverdiyevpunhan754@gmail.com" TargetMode="External"/><Relationship Id="rId141" Type="http://schemas.openxmlformats.org/officeDocument/2006/relationships/hyperlink" Target="mailto:lyaman.zeynalli08@gmail.com" TargetMode="External"/><Relationship Id="rId146" Type="http://schemas.openxmlformats.org/officeDocument/2006/relationships/hyperlink" Target="mailto:amiraliyevcavidan@gmail.com" TargetMode="External"/><Relationship Id="rId167" Type="http://schemas.openxmlformats.org/officeDocument/2006/relationships/hyperlink" Target="mailto:ismayilovparvin990@gmail.com" TargetMode="External"/><Relationship Id="rId7" Type="http://schemas.openxmlformats.org/officeDocument/2006/relationships/hyperlink" Target="mailto:shanay.mehdiyeva@pashapay.az" TargetMode="External"/><Relationship Id="rId71" Type="http://schemas.openxmlformats.org/officeDocument/2006/relationships/hyperlink" Target="mailto:hafizmammadov@outlook.com" TargetMode="External"/><Relationship Id="rId92" Type="http://schemas.openxmlformats.org/officeDocument/2006/relationships/hyperlink" Target="mailto:qalibkh@gmail.com" TargetMode="External"/><Relationship Id="rId162" Type="http://schemas.openxmlformats.org/officeDocument/2006/relationships/hyperlink" Target="mailto:matanat.huseynova@pashapay.az" TargetMode="External"/><Relationship Id="rId2" Type="http://schemas.openxmlformats.org/officeDocument/2006/relationships/hyperlink" Target="mailto:emin.mehdiyev@pashapay.az" TargetMode="External"/><Relationship Id="rId29" Type="http://schemas.openxmlformats.org/officeDocument/2006/relationships/hyperlink" Target="mailto:ali.zamanli@pashapay.az" TargetMode="External"/><Relationship Id="rId24" Type="http://schemas.openxmlformats.org/officeDocument/2006/relationships/hyperlink" Target="mailto:nijat.karimov@pashapay.az" TargetMode="External"/><Relationship Id="rId40" Type="http://schemas.openxmlformats.org/officeDocument/2006/relationships/hyperlink" Target="mailto:khagani.samadov@pashapay.az" TargetMode="External"/><Relationship Id="rId45" Type="http://schemas.openxmlformats.org/officeDocument/2006/relationships/hyperlink" Target="mailto:toghrul.abbasov@pashapay.az" TargetMode="External"/><Relationship Id="rId66" Type="http://schemas.openxmlformats.org/officeDocument/2006/relationships/hyperlink" Target="mailto:n.hesenli2006@gmail.com" TargetMode="External"/><Relationship Id="rId87" Type="http://schemas.openxmlformats.org/officeDocument/2006/relationships/hyperlink" Target="mailto:aylin.abdullayeva.2001@mail.ru" TargetMode="External"/><Relationship Id="rId110" Type="http://schemas.openxmlformats.org/officeDocument/2006/relationships/hyperlink" Target="mailto:tagievas96@mail.ru" TargetMode="External"/><Relationship Id="rId115" Type="http://schemas.openxmlformats.org/officeDocument/2006/relationships/hyperlink" Target="mailto:baxman.a@gmail.com" TargetMode="External"/><Relationship Id="rId131" Type="http://schemas.openxmlformats.org/officeDocument/2006/relationships/hyperlink" Target="mailto:Fidanbayramova@mail.ru" TargetMode="External"/><Relationship Id="rId136" Type="http://schemas.openxmlformats.org/officeDocument/2006/relationships/hyperlink" Target="mailto:kamrandamir@gmail.com" TargetMode="External"/><Relationship Id="rId157" Type="http://schemas.openxmlformats.org/officeDocument/2006/relationships/hyperlink" Target="mailto:recebov_elvin@bk.ru" TargetMode="External"/><Relationship Id="rId178" Type="http://schemas.openxmlformats.org/officeDocument/2006/relationships/vmlDrawing" Target="../drawings/vmlDrawing1.vml"/><Relationship Id="rId61" Type="http://schemas.openxmlformats.org/officeDocument/2006/relationships/hyperlink" Target="mailto:ramin.suleymanov@pashapay.az" TargetMode="External"/><Relationship Id="rId82" Type="http://schemas.openxmlformats.org/officeDocument/2006/relationships/hyperlink" Target="mailto:Farid.namazov@mail.ru" TargetMode="External"/><Relationship Id="rId152" Type="http://schemas.openxmlformats.org/officeDocument/2006/relationships/hyperlink" Target="mailto:aismayilzade93@mail.ru" TargetMode="External"/><Relationship Id="rId173" Type="http://schemas.openxmlformats.org/officeDocument/2006/relationships/hyperlink" Target="mailto:babayevsamir96@gmail.com" TargetMode="External"/><Relationship Id="rId19" Type="http://schemas.openxmlformats.org/officeDocument/2006/relationships/hyperlink" Target="mailto:zahra.pashayeva@pashapay.az" TargetMode="External"/><Relationship Id="rId14" Type="http://schemas.openxmlformats.org/officeDocument/2006/relationships/hyperlink" Target="mailto:alexander.mikhailov@pashapay.az" TargetMode="External"/><Relationship Id="rId30" Type="http://schemas.openxmlformats.org/officeDocument/2006/relationships/hyperlink" Target="mailto:laman.mammadova@pashapay.az" TargetMode="External"/><Relationship Id="rId35" Type="http://schemas.openxmlformats.org/officeDocument/2006/relationships/hyperlink" Target="mailto:fizuli.alakbarli@pashapay.az" TargetMode="External"/><Relationship Id="rId56" Type="http://schemas.openxmlformats.org/officeDocument/2006/relationships/hyperlink" Target="mailto:abdulla.piriyev@pashapay.az" TargetMode="External"/><Relationship Id="rId77" Type="http://schemas.openxmlformats.org/officeDocument/2006/relationships/hyperlink" Target="mailto:Leylaquliyeva0927@gmail.com" TargetMode="External"/><Relationship Id="rId100" Type="http://schemas.openxmlformats.org/officeDocument/2006/relationships/hyperlink" Target="mailto:rbayramova585@gmail.com" TargetMode="External"/><Relationship Id="rId105" Type="http://schemas.openxmlformats.org/officeDocument/2006/relationships/hyperlink" Target="mailto:allimamed704514@gmail.com" TargetMode="External"/><Relationship Id="rId126" Type="http://schemas.openxmlformats.org/officeDocument/2006/relationships/hyperlink" Target="mailto:a.huseynli91@mail.ru" TargetMode="External"/><Relationship Id="rId147" Type="http://schemas.openxmlformats.org/officeDocument/2006/relationships/hyperlink" Target="mailto:aysu.huseynzade1602@gmail.com" TargetMode="External"/><Relationship Id="rId168" Type="http://schemas.openxmlformats.org/officeDocument/2006/relationships/hyperlink" Target="mailto:rustem19840904@gmail.com" TargetMode="External"/><Relationship Id="rId8" Type="http://schemas.openxmlformats.org/officeDocument/2006/relationships/hyperlink" Target="mailto:elmira.khalilova@pashapay.az" TargetMode="External"/><Relationship Id="rId51" Type="http://schemas.openxmlformats.org/officeDocument/2006/relationships/hyperlink" Target="mailto:gulnara.shahveranova@pashapay.az" TargetMode="External"/><Relationship Id="rId72" Type="http://schemas.openxmlformats.org/officeDocument/2006/relationships/hyperlink" Target="mailto:muradsuleymanli21@gmail.com" TargetMode="External"/><Relationship Id="rId93" Type="http://schemas.openxmlformats.org/officeDocument/2006/relationships/hyperlink" Target="mailto:seyidcom2@gmail.com" TargetMode="External"/><Relationship Id="rId98" Type="http://schemas.openxmlformats.org/officeDocument/2006/relationships/hyperlink" Target="mailto:karimov.orkhan@pashapay.az" TargetMode="External"/><Relationship Id="rId121" Type="http://schemas.openxmlformats.org/officeDocument/2006/relationships/hyperlink" Target="mailto:safaraliyev.r1@gmail.com" TargetMode="External"/><Relationship Id="rId142" Type="http://schemas.openxmlformats.org/officeDocument/2006/relationships/hyperlink" Target="mailto:xamisha.mamedova@bk.ru" TargetMode="External"/><Relationship Id="rId163" Type="http://schemas.openxmlformats.org/officeDocument/2006/relationships/hyperlink" Target="mailto:narmin.valiyeva@pashapay.az" TargetMode="External"/><Relationship Id="rId3" Type="http://schemas.openxmlformats.org/officeDocument/2006/relationships/hyperlink" Target="mailto:nabi.ismayilov@pashapay.az" TargetMode="External"/><Relationship Id="rId25" Type="http://schemas.openxmlformats.org/officeDocument/2006/relationships/hyperlink" Target="mailto:sevinj.usubova@pashapay.az" TargetMode="External"/><Relationship Id="rId46" Type="http://schemas.openxmlformats.org/officeDocument/2006/relationships/hyperlink" Target="mailto:lala.mikayilova@pashapay.az" TargetMode="External"/><Relationship Id="rId67" Type="http://schemas.openxmlformats.org/officeDocument/2006/relationships/hyperlink" Target="mailto:bagishlisarkan@icloud.com" TargetMode="External"/><Relationship Id="rId116" Type="http://schemas.openxmlformats.org/officeDocument/2006/relationships/hyperlink" Target="mailto:savalan.amirov@yahoo.com" TargetMode="External"/><Relationship Id="rId137" Type="http://schemas.openxmlformats.org/officeDocument/2006/relationships/hyperlink" Target="mailto:ismayilovanrmin871@gmail.com" TargetMode="External"/><Relationship Id="rId158" Type="http://schemas.openxmlformats.org/officeDocument/2006/relationships/hyperlink" Target="mailto:cicek.mmmdov@mail.ru" TargetMode="External"/><Relationship Id="rId20" Type="http://schemas.openxmlformats.org/officeDocument/2006/relationships/hyperlink" Target="mailto:mahmudovnecef444@gmail.com" TargetMode="External"/><Relationship Id="rId41" Type="http://schemas.openxmlformats.org/officeDocument/2006/relationships/hyperlink" Target="mailto:ibrahim.mustafayev@pashapay.az" TargetMode="External"/><Relationship Id="rId62" Type="http://schemas.openxmlformats.org/officeDocument/2006/relationships/hyperlink" Target="mailto:javid.mansimov@pashapay.az" TargetMode="External"/><Relationship Id="rId83" Type="http://schemas.openxmlformats.org/officeDocument/2006/relationships/hyperlink" Target="mailto:farid.namazov@pashapay.az" TargetMode="External"/><Relationship Id="rId88" Type="http://schemas.openxmlformats.org/officeDocument/2006/relationships/hyperlink" Target="mailto:sadigibragimli@gmail.com" TargetMode="External"/><Relationship Id="rId111" Type="http://schemas.openxmlformats.org/officeDocument/2006/relationships/hyperlink" Target="mailto:svnjrasulova@gmail.com" TargetMode="External"/><Relationship Id="rId132" Type="http://schemas.openxmlformats.org/officeDocument/2006/relationships/hyperlink" Target="mailto:nargiz0297@gmail.com" TargetMode="External"/><Relationship Id="rId153" Type="http://schemas.openxmlformats.org/officeDocument/2006/relationships/hyperlink" Target="mailto:sultanarasulova2002@gmail.com" TargetMode="External"/><Relationship Id="rId174" Type="http://schemas.openxmlformats.org/officeDocument/2006/relationships/hyperlink" Target="mailto:jamal.taghiyev@pashapay.az" TargetMode="External"/><Relationship Id="rId179" Type="http://schemas.openxmlformats.org/officeDocument/2006/relationships/comments" Target="../comments1.xml"/><Relationship Id="rId15" Type="http://schemas.openxmlformats.org/officeDocument/2006/relationships/hyperlink" Target="mailto:ayla.gasimova@pashapay.az" TargetMode="External"/><Relationship Id="rId36" Type="http://schemas.openxmlformats.org/officeDocument/2006/relationships/hyperlink" Target="mailto:ramis.ramazanov@pashapay.az" TargetMode="External"/><Relationship Id="rId57" Type="http://schemas.openxmlformats.org/officeDocument/2006/relationships/hyperlink" Target="mailto:sergey.kozhevnikov@pashapay.az" TargetMode="External"/><Relationship Id="rId106" Type="http://schemas.openxmlformats.org/officeDocument/2006/relationships/hyperlink" Target="mailto:rashad.h@pashapay.az" TargetMode="External"/><Relationship Id="rId127" Type="http://schemas.openxmlformats.org/officeDocument/2006/relationships/hyperlink" Target="mailto:ayhanhuseynov27@gmail.com" TargetMode="External"/><Relationship Id="rId10" Type="http://schemas.openxmlformats.org/officeDocument/2006/relationships/hyperlink" Target="mailto:antiga.taghiyeva@pashapay.az" TargetMode="External"/><Relationship Id="rId31" Type="http://schemas.openxmlformats.org/officeDocument/2006/relationships/hyperlink" Target="mailto:khalig.babayev@pashapay.az" TargetMode="External"/><Relationship Id="rId52" Type="http://schemas.openxmlformats.org/officeDocument/2006/relationships/hyperlink" Target="mailto:zakhrakhanim.zeynalova@pashapay.az" TargetMode="External"/><Relationship Id="rId73" Type="http://schemas.openxmlformats.org/officeDocument/2006/relationships/hyperlink" Target="mailto:Ilahe.asad99@gmail.com" TargetMode="External"/><Relationship Id="rId78" Type="http://schemas.openxmlformats.org/officeDocument/2006/relationships/hyperlink" Target="mailto:Ferid.fm.memmedli@gmail.com" TargetMode="External"/><Relationship Id="rId94" Type="http://schemas.openxmlformats.org/officeDocument/2006/relationships/hyperlink" Target="mailto:adilmammadyarov@gmail.com" TargetMode="External"/><Relationship Id="rId99" Type="http://schemas.openxmlformats.org/officeDocument/2006/relationships/hyperlink" Target="mailto:aysuxalili@gmail.com" TargetMode="External"/><Relationship Id="rId101" Type="http://schemas.openxmlformats.org/officeDocument/2006/relationships/hyperlink" Target="mailto:ayyubovasaadat@gmail.com" TargetMode="External"/><Relationship Id="rId122" Type="http://schemas.openxmlformats.org/officeDocument/2006/relationships/hyperlink" Target="mailto:hajiyevasabinaa@gmail.com" TargetMode="External"/><Relationship Id="rId143" Type="http://schemas.openxmlformats.org/officeDocument/2006/relationships/hyperlink" Target="mailto:hasanovaaygun142@gmail.com" TargetMode="External"/><Relationship Id="rId148" Type="http://schemas.openxmlformats.org/officeDocument/2006/relationships/hyperlink" Target="mailto:tarlana11@mail.ru" TargetMode="External"/><Relationship Id="rId164" Type="http://schemas.openxmlformats.org/officeDocument/2006/relationships/hyperlink" Target="mailto:zaurz6888@gmail.com" TargetMode="External"/><Relationship Id="rId169" Type="http://schemas.openxmlformats.org/officeDocument/2006/relationships/hyperlink" Target="mailto:muradrzazade@mail.ru" TargetMode="External"/><Relationship Id="rId4" Type="http://schemas.openxmlformats.org/officeDocument/2006/relationships/hyperlink" Target="mailto:abbaszade.nazim1991@gmail.com" TargetMode="External"/><Relationship Id="rId9" Type="http://schemas.openxmlformats.org/officeDocument/2006/relationships/hyperlink" Target="mailto:jeyhun.yahyayev@pashapay.az" TargetMode="External"/><Relationship Id="rId26" Type="http://schemas.openxmlformats.org/officeDocument/2006/relationships/hyperlink" Target="mailto:oktay.gozalov@pashapay.az" TargetMode="External"/><Relationship Id="rId47" Type="http://schemas.openxmlformats.org/officeDocument/2006/relationships/hyperlink" Target="mailto:leyla.baghirzada@pashapay.az" TargetMode="External"/><Relationship Id="rId68" Type="http://schemas.openxmlformats.org/officeDocument/2006/relationships/hyperlink" Target="mailto:naggiyyev@gmail.com" TargetMode="External"/><Relationship Id="rId89" Type="http://schemas.openxmlformats.org/officeDocument/2006/relationships/hyperlink" Target="mailto:sadig.ibrahimli@pashapay.az" TargetMode="External"/><Relationship Id="rId112" Type="http://schemas.openxmlformats.org/officeDocument/2006/relationships/hyperlink" Target="mailto:abbasovax813@gmail.com" TargetMode="External"/><Relationship Id="rId133" Type="http://schemas.openxmlformats.org/officeDocument/2006/relationships/hyperlink" Target="mailto:axmedov.aqshin@mail.ru" TargetMode="External"/><Relationship Id="rId154" Type="http://schemas.openxmlformats.org/officeDocument/2006/relationships/hyperlink" Target="mailto:ilaha.ahmadovass@gmail.com" TargetMode="External"/><Relationship Id="rId175" Type="http://schemas.openxmlformats.org/officeDocument/2006/relationships/hyperlink" Target="mailto:Senan.s.s@mail.ru" TargetMode="External"/><Relationship Id="rId16" Type="http://schemas.openxmlformats.org/officeDocument/2006/relationships/hyperlink" Target="mailto:sakit.amirli@pashapay.az" TargetMode="External"/><Relationship Id="rId37" Type="http://schemas.openxmlformats.org/officeDocument/2006/relationships/hyperlink" Target="mailto:narmin.safarova@pashapay.az" TargetMode="External"/><Relationship Id="rId58" Type="http://schemas.openxmlformats.org/officeDocument/2006/relationships/hyperlink" Target="mailto:orkhan.khanjanov@pashapay.az" TargetMode="External"/><Relationship Id="rId79" Type="http://schemas.openxmlformats.org/officeDocument/2006/relationships/hyperlink" Target="mailto:feridahmedov99@gmail.com" TargetMode="External"/><Relationship Id="rId102" Type="http://schemas.openxmlformats.org/officeDocument/2006/relationships/hyperlink" Target="mailto:sanayevmuxtar2036@gmail.com" TargetMode="External"/><Relationship Id="rId123" Type="http://schemas.openxmlformats.org/officeDocument/2006/relationships/hyperlink" Target="mailto:sems_sireliyeva00@gmail.com" TargetMode="External"/><Relationship Id="rId144" Type="http://schemas.openxmlformats.org/officeDocument/2006/relationships/hyperlink" Target="mailto:aslanovaemilia90@gmail.com" TargetMode="External"/><Relationship Id="rId90" Type="http://schemas.openxmlformats.org/officeDocument/2006/relationships/hyperlink" Target="mailto:farid.maharramov@pashapay.az" TargetMode="External"/><Relationship Id="rId165" Type="http://schemas.openxmlformats.org/officeDocument/2006/relationships/hyperlink" Target="mailto:elgiz892sadiqov@gmail.com" TargetMode="External"/><Relationship Id="rId27" Type="http://schemas.openxmlformats.org/officeDocument/2006/relationships/hyperlink" Target="mailto:nargiz.amirova@pashapay.az" TargetMode="External"/><Relationship Id="rId48" Type="http://schemas.openxmlformats.org/officeDocument/2006/relationships/hyperlink" Target="mailto:karim.karimov@pashapay.az" TargetMode="External"/><Relationship Id="rId69" Type="http://schemas.openxmlformats.org/officeDocument/2006/relationships/hyperlink" Target="mailto:aysel03babayeva@gmail.com" TargetMode="External"/><Relationship Id="rId113" Type="http://schemas.openxmlformats.org/officeDocument/2006/relationships/hyperlink" Target="mailto:majidov_orkhan@mail.ru" TargetMode="External"/><Relationship Id="rId134" Type="http://schemas.openxmlformats.org/officeDocument/2006/relationships/hyperlink" Target="mailto:mcasadova@gmail.com" TargetMode="External"/><Relationship Id="rId80" Type="http://schemas.openxmlformats.org/officeDocument/2006/relationships/hyperlink" Target="mailto:gunduzbayramovfh@gmail.com" TargetMode="External"/><Relationship Id="rId155" Type="http://schemas.openxmlformats.org/officeDocument/2006/relationships/hyperlink" Target="mailto:aynifarzali@gmail.com" TargetMode="External"/><Relationship Id="rId176" Type="http://schemas.openxmlformats.org/officeDocument/2006/relationships/hyperlink" Target="mailto:narminalieva2328@gmail.com" TargetMode="External"/><Relationship Id="rId17" Type="http://schemas.openxmlformats.org/officeDocument/2006/relationships/hyperlink" Target="mailto:narmin.orujova@pashapay.az" TargetMode="External"/><Relationship Id="rId38" Type="http://schemas.openxmlformats.org/officeDocument/2006/relationships/hyperlink" Target="mailto:faig.hajiyev@pashapay.az" TargetMode="External"/><Relationship Id="rId59" Type="http://schemas.openxmlformats.org/officeDocument/2006/relationships/hyperlink" Target="mailto:mirza.akhundov@pashapay.az" TargetMode="External"/><Relationship Id="rId103" Type="http://schemas.openxmlformats.org/officeDocument/2006/relationships/hyperlink" Target="mailto:leyla.rzayeva.0111@mail.ru" TargetMode="External"/><Relationship Id="rId124" Type="http://schemas.openxmlformats.org/officeDocument/2006/relationships/hyperlink" Target="mailto:amina.melikova@bk.ru" TargetMode="External"/><Relationship Id="rId70" Type="http://schemas.openxmlformats.org/officeDocument/2006/relationships/hyperlink" Target="mailto:hafiz.mammadov@pashapay.az" TargetMode="External"/><Relationship Id="rId91" Type="http://schemas.openxmlformats.org/officeDocument/2006/relationships/hyperlink" Target="mailto:fmaharramov14098@ada.edu.az" TargetMode="External"/><Relationship Id="rId145" Type="http://schemas.openxmlformats.org/officeDocument/2006/relationships/hyperlink" Target="mailto:mhuseynov2002@mail.ru" TargetMode="External"/><Relationship Id="rId166" Type="http://schemas.openxmlformats.org/officeDocument/2006/relationships/hyperlink" Target="mailto:ramilhsnov418@gmail.com" TargetMode="External"/><Relationship Id="rId1" Type="http://schemas.openxmlformats.org/officeDocument/2006/relationships/hyperlink" Target="mailto:nicat.soltanov@pashapay.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FBBB-6119-40D3-9F51-7B21E2014D34}">
  <dimension ref="A1:M94"/>
  <sheetViews>
    <sheetView tabSelected="1" workbookViewId="0">
      <selection activeCell="A2" sqref="A2"/>
    </sheetView>
  </sheetViews>
  <sheetFormatPr defaultRowHeight="14.4" x14ac:dyDescent="0.3"/>
  <cols>
    <col min="1" max="1" width="46.5546875" customWidth="1"/>
    <col min="2" max="2" width="18.77734375" style="2" customWidth="1"/>
    <col min="3" max="3" width="9.5546875" customWidth="1"/>
    <col min="4" max="4" width="11.88671875" customWidth="1"/>
    <col min="5" max="5" width="17.33203125" customWidth="1"/>
    <col min="6" max="6" width="20.109375" customWidth="1"/>
    <col min="8" max="8" width="9.44140625" customWidth="1"/>
    <col min="9" max="9" width="10.88671875" customWidth="1"/>
    <col min="10" max="10" width="11.21875" customWidth="1"/>
    <col min="11" max="11" width="13.33203125" customWidth="1"/>
    <col min="12" max="12" width="11.21875" customWidth="1"/>
    <col min="13" max="13" width="10.33203125" customWidth="1"/>
  </cols>
  <sheetData>
    <row r="1" spans="1:13" x14ac:dyDescent="0.3">
      <c r="A1" s="3" t="s">
        <v>7200</v>
      </c>
      <c r="B1" s="3" t="s">
        <v>7201</v>
      </c>
      <c r="C1" s="3" t="s">
        <v>7202</v>
      </c>
      <c r="D1" s="3" t="s">
        <v>7203</v>
      </c>
      <c r="E1" s="3" t="s">
        <v>7204</v>
      </c>
      <c r="F1" s="3" t="s">
        <v>7205</v>
      </c>
      <c r="G1" s="3" t="s">
        <v>7206</v>
      </c>
      <c r="H1" s="3" t="s">
        <v>7207</v>
      </c>
      <c r="I1" s="2" t="s">
        <v>7238</v>
      </c>
      <c r="J1" s="2" t="s">
        <v>7162</v>
      </c>
      <c r="K1" s="2" t="s">
        <v>7239</v>
      </c>
      <c r="L1" s="2" t="s">
        <v>7161</v>
      </c>
      <c r="M1" s="2" t="s">
        <v>7251</v>
      </c>
    </row>
    <row r="2" spans="1:13" x14ac:dyDescent="0.3">
      <c r="A2" s="5" t="s">
        <v>6666</v>
      </c>
      <c r="B2" s="5">
        <v>19</v>
      </c>
      <c r="C2" s="5">
        <v>20</v>
      </c>
      <c r="D2" s="5">
        <v>0</v>
      </c>
      <c r="E2" s="5">
        <f t="shared" ref="E2:E24" si="0">B2-C2+D2</f>
        <v>-1</v>
      </c>
      <c r="F2" s="5" t="s">
        <v>7164</v>
      </c>
      <c r="G2" s="5" t="s">
        <v>7236</v>
      </c>
      <c r="H2" s="5" t="s">
        <v>7208</v>
      </c>
      <c r="I2" s="8">
        <f>COUNTIFS('baza-04.10.2026'!C:C,'Birbank Ştat'!A:A,'baza-04.10.2026'!I:I,"Bir Payment")</f>
        <v>0</v>
      </c>
      <c r="J2" s="8">
        <f>COUNTIFS('baza-04.10.2026'!C:C,'Birbank Ştat'!A:A,'baza-04.10.2026'!I:I,"BirMarket")</f>
        <v>5</v>
      </c>
      <c r="K2" s="8">
        <f>COUNTIFS('baza-04.10.2026'!C:C,'Birbank Ştat'!A:A,'baza-04.10.2026'!I:I,"Paşa Holding")</f>
        <v>1</v>
      </c>
      <c r="L2" s="8">
        <f>COUNTIFS('baza-04.10.2026'!C:C,'Birbank Ştat'!A:A,'baza-04.10.2026'!I:I,"Future lab")</f>
        <v>0</v>
      </c>
      <c r="M2" s="8">
        <f>Table2[[#This Row],[Pashapay]]+Table2[[#This Row],[Birmarket]]+Table2[[#This Row],[Paşa holding]]+Table2[[#This Row],[Future lab]]</f>
        <v>6</v>
      </c>
    </row>
    <row r="3" spans="1:13" x14ac:dyDescent="0.3">
      <c r="A3" s="5" t="s">
        <v>6931</v>
      </c>
      <c r="B3" s="5">
        <v>3</v>
      </c>
      <c r="C3" s="5">
        <v>4</v>
      </c>
      <c r="D3" s="5">
        <v>0</v>
      </c>
      <c r="E3" s="5">
        <f t="shared" si="0"/>
        <v>-1</v>
      </c>
      <c r="F3" s="5" t="s">
        <v>7164</v>
      </c>
      <c r="G3" s="5" t="s">
        <v>7236</v>
      </c>
      <c r="H3" s="5" t="s">
        <v>7209</v>
      </c>
      <c r="I3" s="8">
        <f>COUNTIFS('baza-04.10.2026'!C:C,'Birbank Ştat'!A:A,'baza-04.10.2026'!I:I,"Bir Payment")</f>
        <v>0</v>
      </c>
      <c r="J3" s="8">
        <f>COUNTIFS('baza-04.10.2026'!C:C,'Birbank Ştat'!A:A,'baza-04.10.2026'!I:I,"BirMarket")</f>
        <v>0</v>
      </c>
      <c r="K3" s="8">
        <f>COUNTIFS('baza-04.10.2026'!C:C,'Birbank Ştat'!A:A,'baza-04.10.2026'!I:I,"Paşa Holding")</f>
        <v>0</v>
      </c>
      <c r="L3" s="8">
        <f>COUNTIFS('baza-04.10.2026'!C:C,'Birbank Ştat'!A:A,'baza-04.10.2026'!I:I,"Future lab")</f>
        <v>0</v>
      </c>
      <c r="M3" s="8">
        <f>Table2[[#This Row],[Pashapay]]+Table2[[#This Row],[Birmarket]]+Table2[[#This Row],[Paşa holding]]+Table2[[#This Row],[Future lab]]</f>
        <v>0</v>
      </c>
    </row>
    <row r="4" spans="1:13" x14ac:dyDescent="0.3">
      <c r="A4" s="5" t="s">
        <v>6456</v>
      </c>
      <c r="B4" s="5">
        <v>38</v>
      </c>
      <c r="C4" s="5">
        <v>38</v>
      </c>
      <c r="D4" s="5">
        <v>0</v>
      </c>
      <c r="E4" s="5">
        <f t="shared" si="0"/>
        <v>0</v>
      </c>
      <c r="F4" s="5" t="s">
        <v>7163</v>
      </c>
      <c r="G4" s="5"/>
      <c r="H4" s="5" t="s">
        <v>7210</v>
      </c>
      <c r="I4" s="8">
        <f>COUNTIFS('baza-04.10.2026'!C:C,'Birbank Ştat'!A:A,'baza-04.10.2026'!I:I,"Bir Payment")</f>
        <v>3</v>
      </c>
      <c r="J4" s="8">
        <f>COUNTIFS('baza-04.10.2026'!C:C,'Birbank Ştat'!A:A,'baza-04.10.2026'!I:I,"BirMarket")</f>
        <v>1</v>
      </c>
      <c r="K4" s="8">
        <f>COUNTIFS('baza-04.10.2026'!C:C,'Birbank Ştat'!A:A,'baza-04.10.2026'!I:I,"Paşa Holding")</f>
        <v>0</v>
      </c>
      <c r="L4" s="8">
        <f>COUNTIFS('baza-04.10.2026'!C:C,'Birbank Ştat'!A:A,'baza-04.10.2026'!I:I,"Future lab")</f>
        <v>0</v>
      </c>
      <c r="M4" s="8">
        <f>Table2[[#This Row],[Pashapay]]+Table2[[#This Row],[Birmarket]]+Table2[[#This Row],[Paşa holding]]+Table2[[#This Row],[Future lab]]</f>
        <v>4</v>
      </c>
    </row>
    <row r="5" spans="1:13" x14ac:dyDescent="0.3">
      <c r="A5" s="5" t="s">
        <v>6442</v>
      </c>
      <c r="B5" s="5">
        <v>53</v>
      </c>
      <c r="C5" s="5">
        <v>54</v>
      </c>
      <c r="D5" s="5">
        <v>2</v>
      </c>
      <c r="E5" s="5">
        <f t="shared" si="0"/>
        <v>1</v>
      </c>
      <c r="F5" s="5" t="s">
        <v>7163</v>
      </c>
      <c r="G5" s="5" t="s">
        <v>7211</v>
      </c>
      <c r="H5" s="5" t="s">
        <v>7210</v>
      </c>
      <c r="I5" s="8">
        <f>COUNTIFS('baza-04.10.2026'!C:C,'Birbank Ştat'!A:A,'baza-04.10.2026'!I:I,"Bir Payment")</f>
        <v>3</v>
      </c>
      <c r="J5" s="8">
        <f>COUNTIFS('baza-04.10.2026'!C:C,'Birbank Ştat'!A:A,'baza-04.10.2026'!I:I,"BirMarket")</f>
        <v>1</v>
      </c>
      <c r="K5" s="8">
        <f>COUNTIFS('baza-04.10.2026'!C:C,'Birbank Ştat'!A:A,'baza-04.10.2026'!I:I,"Paşa Holding")</f>
        <v>0</v>
      </c>
      <c r="L5" s="8">
        <f>COUNTIFS('baza-04.10.2026'!C:C,'Birbank Ştat'!A:A,'baza-04.10.2026'!I:I,"Future lab")</f>
        <v>0</v>
      </c>
      <c r="M5" s="8">
        <f>Table2[[#This Row],[Pashapay]]+Table2[[#This Row],[Birmarket]]+Table2[[#This Row],[Paşa holding]]+Table2[[#This Row],[Future lab]]</f>
        <v>4</v>
      </c>
    </row>
    <row r="6" spans="1:13" x14ac:dyDescent="0.3">
      <c r="A6" s="5" t="s">
        <v>6824</v>
      </c>
      <c r="B6" s="5">
        <v>12</v>
      </c>
      <c r="C6" s="5">
        <v>12</v>
      </c>
      <c r="D6" s="5">
        <v>0</v>
      </c>
      <c r="E6" s="5">
        <f t="shared" si="0"/>
        <v>0</v>
      </c>
      <c r="F6" s="5" t="s">
        <v>7164</v>
      </c>
      <c r="G6" s="5"/>
      <c r="H6" s="5" t="s">
        <v>7209</v>
      </c>
      <c r="I6" s="8">
        <f>COUNTIFS('baza-04.10.2026'!C:C,'Birbank Ştat'!A:A,'baza-04.10.2026'!I:I,"Bir Payment")</f>
        <v>0</v>
      </c>
      <c r="J6" s="8">
        <f>COUNTIFS('baza-04.10.2026'!C:C,'Birbank Ştat'!A:A,'baza-04.10.2026'!I:I,"BirMarket")</f>
        <v>0</v>
      </c>
      <c r="K6" s="8">
        <f>COUNTIFS('baza-04.10.2026'!C:C,'Birbank Ştat'!A:A,'baza-04.10.2026'!I:I,"Paşa Holding")</f>
        <v>0</v>
      </c>
      <c r="L6" s="8">
        <f>COUNTIFS('baza-04.10.2026'!C:C,'Birbank Ştat'!A:A,'baza-04.10.2026'!I:I,"Future lab")</f>
        <v>0</v>
      </c>
      <c r="M6" s="8">
        <f>Table2[[#This Row],[Pashapay]]+Table2[[#This Row],[Birmarket]]+Table2[[#This Row],[Paşa holding]]+Table2[[#This Row],[Future lab]]</f>
        <v>0</v>
      </c>
    </row>
    <row r="7" spans="1:13" x14ac:dyDescent="0.3">
      <c r="A7" s="5" t="s">
        <v>6674</v>
      </c>
      <c r="B7" s="5">
        <v>6</v>
      </c>
      <c r="C7" s="5">
        <v>6</v>
      </c>
      <c r="D7" s="5">
        <v>0</v>
      </c>
      <c r="E7" s="5">
        <f t="shared" si="0"/>
        <v>0</v>
      </c>
      <c r="F7" s="5" t="s">
        <v>7164</v>
      </c>
      <c r="G7" s="5"/>
      <c r="H7" s="5" t="s">
        <v>7210</v>
      </c>
      <c r="I7" s="8">
        <f>COUNTIFS('baza-04.10.2026'!C:C,'Birbank Ştat'!A:A,'baza-04.10.2026'!I:I,"Bir Payment")</f>
        <v>0</v>
      </c>
      <c r="J7" s="8">
        <f>COUNTIFS('baza-04.10.2026'!C:C,'Birbank Ştat'!A:A,'baza-04.10.2026'!I:I,"BirMarket")</f>
        <v>0</v>
      </c>
      <c r="K7" s="8">
        <f>COUNTIFS('baza-04.10.2026'!C:C,'Birbank Ştat'!A:A,'baza-04.10.2026'!I:I,"Paşa Holding")</f>
        <v>0</v>
      </c>
      <c r="L7" s="8">
        <f>COUNTIFS('baza-04.10.2026'!C:C,'Birbank Ştat'!A:A,'baza-04.10.2026'!I:I,"Future lab")</f>
        <v>0</v>
      </c>
      <c r="M7" s="8">
        <f>Table2[[#This Row],[Pashapay]]+Table2[[#This Row],[Birmarket]]+Table2[[#This Row],[Paşa holding]]+Table2[[#This Row],[Future lab]]</f>
        <v>0</v>
      </c>
    </row>
    <row r="8" spans="1:13" x14ac:dyDescent="0.3">
      <c r="A8" s="5" t="s">
        <v>6457</v>
      </c>
      <c r="B8" s="5">
        <v>15</v>
      </c>
      <c r="C8" s="5">
        <v>14</v>
      </c>
      <c r="D8" s="5">
        <v>1</v>
      </c>
      <c r="E8" s="5">
        <f t="shared" si="0"/>
        <v>2</v>
      </c>
      <c r="F8" s="5" t="s">
        <v>7163</v>
      </c>
      <c r="G8" s="5" t="s">
        <v>7212</v>
      </c>
      <c r="H8" s="5" t="s">
        <v>7208</v>
      </c>
      <c r="I8" s="8">
        <f>COUNTIFS('baza-04.10.2026'!C:C,'Birbank Ştat'!A:A,'baza-04.10.2026'!I:I,"Bir Payment")</f>
        <v>0</v>
      </c>
      <c r="J8" s="8">
        <f>COUNTIFS('baza-04.10.2026'!C:C,'Birbank Ştat'!A:A,'baza-04.10.2026'!I:I,"BirMarket")</f>
        <v>0</v>
      </c>
      <c r="K8" s="8">
        <f>COUNTIFS('baza-04.10.2026'!C:C,'Birbank Ştat'!A:A,'baza-04.10.2026'!I:I,"Paşa Holding")</f>
        <v>0</v>
      </c>
      <c r="L8" s="8">
        <f>COUNTIFS('baza-04.10.2026'!C:C,'Birbank Ştat'!A:A,'baza-04.10.2026'!I:I,"Future lab")</f>
        <v>0</v>
      </c>
      <c r="M8" s="8">
        <f>Table2[[#This Row],[Pashapay]]+Table2[[#This Row],[Birmarket]]+Table2[[#This Row],[Paşa holding]]+Table2[[#This Row],[Future lab]]</f>
        <v>0</v>
      </c>
    </row>
    <row r="9" spans="1:13" x14ac:dyDescent="0.3">
      <c r="A9" s="5" t="s">
        <v>6733</v>
      </c>
      <c r="B9" s="5">
        <v>3</v>
      </c>
      <c r="C9" s="5">
        <v>3</v>
      </c>
      <c r="D9" s="5">
        <v>0</v>
      </c>
      <c r="E9" s="5">
        <f t="shared" si="0"/>
        <v>0</v>
      </c>
      <c r="F9" s="5" t="s">
        <v>7164</v>
      </c>
      <c r="G9" s="5"/>
      <c r="H9" s="5" t="s">
        <v>7210</v>
      </c>
      <c r="I9" s="8">
        <f>COUNTIFS('baza-04.10.2026'!C:C,'Birbank Ştat'!A:A,'baza-04.10.2026'!I:I,"Bir Payment")</f>
        <v>0</v>
      </c>
      <c r="J9" s="8">
        <f>COUNTIFS('baza-04.10.2026'!C:C,'Birbank Ştat'!A:A,'baza-04.10.2026'!I:I,"BirMarket")</f>
        <v>0</v>
      </c>
      <c r="K9" s="8">
        <f>COUNTIFS('baza-04.10.2026'!C:C,'Birbank Ştat'!A:A,'baza-04.10.2026'!I:I,"Paşa Holding")</f>
        <v>0</v>
      </c>
      <c r="L9" s="8">
        <f>COUNTIFS('baza-04.10.2026'!C:C,'Birbank Ştat'!A:A,'baza-04.10.2026'!I:I,"Future lab")</f>
        <v>0</v>
      </c>
      <c r="M9" s="8">
        <f>Table2[[#This Row],[Pashapay]]+Table2[[#This Row],[Birmarket]]+Table2[[#This Row],[Paşa holding]]+Table2[[#This Row],[Future lab]]</f>
        <v>0</v>
      </c>
    </row>
    <row r="10" spans="1:13" x14ac:dyDescent="0.3">
      <c r="A10" s="5" t="s">
        <v>6751</v>
      </c>
      <c r="B10" s="5">
        <v>3</v>
      </c>
      <c r="C10" s="5">
        <v>3</v>
      </c>
      <c r="D10" s="5">
        <v>0</v>
      </c>
      <c r="E10" s="5">
        <f t="shared" si="0"/>
        <v>0</v>
      </c>
      <c r="F10" s="5" t="s">
        <v>7164</v>
      </c>
      <c r="G10" s="5"/>
      <c r="H10" s="5" t="s">
        <v>7209</v>
      </c>
      <c r="I10" s="8">
        <f>COUNTIFS('baza-04.10.2026'!C:C,'Birbank Ştat'!A:A,'baza-04.10.2026'!I:I,"Bir Payment")</f>
        <v>0</v>
      </c>
      <c r="J10" s="8">
        <f>COUNTIFS('baza-04.10.2026'!C:C,'Birbank Ştat'!A:A,'baza-04.10.2026'!I:I,"BirMarket")</f>
        <v>0</v>
      </c>
      <c r="K10" s="8">
        <f>COUNTIFS('baza-04.10.2026'!C:C,'Birbank Ştat'!A:A,'baza-04.10.2026'!I:I,"Paşa Holding")</f>
        <v>0</v>
      </c>
      <c r="L10" s="8">
        <f>COUNTIFS('baza-04.10.2026'!C:C,'Birbank Ştat'!A:A,'baza-04.10.2026'!I:I,"Future lab")</f>
        <v>0</v>
      </c>
      <c r="M10" s="8">
        <f>Table2[[#This Row],[Pashapay]]+Table2[[#This Row],[Birmarket]]+Table2[[#This Row],[Paşa holding]]+Table2[[#This Row],[Future lab]]</f>
        <v>0</v>
      </c>
    </row>
    <row r="11" spans="1:13" x14ac:dyDescent="0.3">
      <c r="A11" s="5" t="s">
        <v>6703</v>
      </c>
      <c r="B11" s="5">
        <v>3</v>
      </c>
      <c r="C11" s="5">
        <v>3</v>
      </c>
      <c r="D11" s="5">
        <v>0</v>
      </c>
      <c r="E11" s="5">
        <f t="shared" si="0"/>
        <v>0</v>
      </c>
      <c r="F11" s="5" t="s">
        <v>7164</v>
      </c>
      <c r="G11" s="5"/>
      <c r="H11" s="5" t="s">
        <v>7210</v>
      </c>
      <c r="I11" s="8">
        <f>COUNTIFS('baza-04.10.2026'!C:C,'Birbank Ştat'!A:A,'baza-04.10.2026'!I:I,"Bir Payment")</f>
        <v>0</v>
      </c>
      <c r="J11" s="8">
        <f>COUNTIFS('baza-04.10.2026'!C:C,'Birbank Ştat'!A:A,'baza-04.10.2026'!I:I,"BirMarket")</f>
        <v>0</v>
      </c>
      <c r="K11" s="8">
        <f>COUNTIFS('baza-04.10.2026'!C:C,'Birbank Ştat'!A:A,'baza-04.10.2026'!I:I,"Paşa Holding")</f>
        <v>0</v>
      </c>
      <c r="L11" s="8">
        <f>COUNTIFS('baza-04.10.2026'!C:C,'Birbank Ştat'!A:A,'baza-04.10.2026'!I:I,"Future lab")</f>
        <v>0</v>
      </c>
      <c r="M11" s="8">
        <f>Table2[[#This Row],[Pashapay]]+Table2[[#This Row],[Birmarket]]+Table2[[#This Row],[Paşa holding]]+Table2[[#This Row],[Future lab]]</f>
        <v>0</v>
      </c>
    </row>
    <row r="12" spans="1:13" x14ac:dyDescent="0.3">
      <c r="A12" s="5" t="s">
        <v>6819</v>
      </c>
      <c r="B12" s="5">
        <v>3</v>
      </c>
      <c r="C12" s="5">
        <v>3</v>
      </c>
      <c r="D12" s="5">
        <v>0</v>
      </c>
      <c r="E12" s="5">
        <f t="shared" si="0"/>
        <v>0</v>
      </c>
      <c r="F12" s="5" t="s">
        <v>7164</v>
      </c>
      <c r="G12" s="5"/>
      <c r="H12" s="5" t="s">
        <v>7209</v>
      </c>
      <c r="I12" s="8">
        <f>COUNTIFS('baza-04.10.2026'!C:C,'Birbank Ştat'!A:A,'baza-04.10.2026'!I:I,"Bir Payment")</f>
        <v>0</v>
      </c>
      <c r="J12" s="8">
        <f>COUNTIFS('baza-04.10.2026'!C:C,'Birbank Ştat'!A:A,'baza-04.10.2026'!I:I,"BirMarket")</f>
        <v>0</v>
      </c>
      <c r="K12" s="8">
        <f>COUNTIFS('baza-04.10.2026'!C:C,'Birbank Ştat'!A:A,'baza-04.10.2026'!I:I,"Paşa Holding")</f>
        <v>0</v>
      </c>
      <c r="L12" s="8">
        <f>COUNTIFS('baza-04.10.2026'!C:C,'Birbank Ştat'!A:A,'baza-04.10.2026'!I:I,"Future lab")</f>
        <v>0</v>
      </c>
      <c r="M12" s="8">
        <f>Table2[[#This Row],[Pashapay]]+Table2[[#This Row],[Birmarket]]+Table2[[#This Row],[Paşa holding]]+Table2[[#This Row],[Future lab]]</f>
        <v>0</v>
      </c>
    </row>
    <row r="13" spans="1:13" x14ac:dyDescent="0.3">
      <c r="A13" s="5" t="s">
        <v>6820</v>
      </c>
      <c r="B13" s="5">
        <v>2</v>
      </c>
      <c r="C13" s="5">
        <v>2</v>
      </c>
      <c r="D13" s="5">
        <v>0</v>
      </c>
      <c r="E13" s="5">
        <f t="shared" si="0"/>
        <v>0</v>
      </c>
      <c r="F13" s="5" t="s">
        <v>7164</v>
      </c>
      <c r="G13" s="5"/>
      <c r="H13" s="5" t="s">
        <v>7209</v>
      </c>
      <c r="I13" s="8">
        <f>COUNTIFS('baza-04.10.2026'!C:C,'Birbank Ştat'!A:A,'baza-04.10.2026'!I:I,"Bir Payment")</f>
        <v>1</v>
      </c>
      <c r="J13" s="8">
        <f>COUNTIFS('baza-04.10.2026'!C:C,'Birbank Ştat'!A:A,'baza-04.10.2026'!I:I,"BirMarket")</f>
        <v>0</v>
      </c>
      <c r="K13" s="8">
        <f>COUNTIFS('baza-04.10.2026'!C:C,'Birbank Ştat'!A:A,'baza-04.10.2026'!I:I,"Paşa Holding")</f>
        <v>0</v>
      </c>
      <c r="L13" s="8">
        <f>COUNTIFS('baza-04.10.2026'!C:C,'Birbank Ştat'!A:A,'baza-04.10.2026'!I:I,"Future lab")</f>
        <v>0</v>
      </c>
      <c r="M13" s="8">
        <f>Table2[[#This Row],[Pashapay]]+Table2[[#This Row],[Birmarket]]+Table2[[#This Row],[Paşa holding]]+Table2[[#This Row],[Future lab]]</f>
        <v>1</v>
      </c>
    </row>
    <row r="14" spans="1:13" x14ac:dyDescent="0.3">
      <c r="A14" s="5" t="s">
        <v>6470</v>
      </c>
      <c r="B14" s="5">
        <v>12</v>
      </c>
      <c r="C14" s="5">
        <v>11</v>
      </c>
      <c r="D14" s="5">
        <v>0</v>
      </c>
      <c r="E14" s="5">
        <f t="shared" si="0"/>
        <v>1</v>
      </c>
      <c r="F14" s="5" t="s">
        <v>7163</v>
      </c>
      <c r="G14" s="5"/>
      <c r="H14" s="5" t="s">
        <v>7209</v>
      </c>
      <c r="I14" s="8">
        <f>COUNTIFS('baza-04.10.2026'!C:C,'Birbank Ştat'!A:A,'baza-04.10.2026'!I:I,"Bir Payment")</f>
        <v>0</v>
      </c>
      <c r="J14" s="8">
        <f>COUNTIFS('baza-04.10.2026'!C:C,'Birbank Ştat'!A:A,'baza-04.10.2026'!I:I,"BirMarket")</f>
        <v>0</v>
      </c>
      <c r="K14" s="8">
        <f>COUNTIFS('baza-04.10.2026'!C:C,'Birbank Ştat'!A:A,'baza-04.10.2026'!I:I,"Paşa Holding")</f>
        <v>0</v>
      </c>
      <c r="L14" s="8">
        <f>COUNTIFS('baza-04.10.2026'!C:C,'Birbank Ştat'!A:A,'baza-04.10.2026'!I:I,"Future lab")</f>
        <v>0</v>
      </c>
      <c r="M14" s="8">
        <f>Table2[[#This Row],[Pashapay]]+Table2[[#This Row],[Birmarket]]+Table2[[#This Row],[Paşa holding]]+Table2[[#This Row],[Future lab]]</f>
        <v>0</v>
      </c>
    </row>
    <row r="15" spans="1:13" x14ac:dyDescent="0.3">
      <c r="A15" s="5" t="s">
        <v>6753</v>
      </c>
      <c r="B15" s="5">
        <v>4</v>
      </c>
      <c r="C15" s="5">
        <v>4</v>
      </c>
      <c r="D15" s="5">
        <v>0</v>
      </c>
      <c r="E15" s="5">
        <f t="shared" si="0"/>
        <v>0</v>
      </c>
      <c r="F15" s="5" t="s">
        <v>7164</v>
      </c>
      <c r="G15" s="5"/>
      <c r="H15" s="5" t="s">
        <v>7209</v>
      </c>
      <c r="I15" s="8">
        <f>COUNTIFS('baza-04.10.2026'!C:C,'Birbank Ştat'!A:A,'baza-04.10.2026'!I:I,"Bir Payment")</f>
        <v>0</v>
      </c>
      <c r="J15" s="8">
        <f>COUNTIFS('baza-04.10.2026'!C:C,'Birbank Ştat'!A:A,'baza-04.10.2026'!I:I,"BirMarket")</f>
        <v>0</v>
      </c>
      <c r="K15" s="8">
        <f>COUNTIFS('baza-04.10.2026'!C:C,'Birbank Ştat'!A:A,'baza-04.10.2026'!I:I,"Paşa Holding")</f>
        <v>0</v>
      </c>
      <c r="L15" s="8">
        <f>COUNTIFS('baza-04.10.2026'!C:C,'Birbank Ştat'!A:A,'baza-04.10.2026'!I:I,"Future lab")</f>
        <v>0</v>
      </c>
      <c r="M15" s="8">
        <f>Table2[[#This Row],[Pashapay]]+Table2[[#This Row],[Birmarket]]+Table2[[#This Row],[Paşa holding]]+Table2[[#This Row],[Future lab]]</f>
        <v>0</v>
      </c>
    </row>
    <row r="16" spans="1:13" x14ac:dyDescent="0.3">
      <c r="A16" s="5" t="s">
        <v>6316</v>
      </c>
      <c r="B16" s="5">
        <v>1</v>
      </c>
      <c r="C16" s="5">
        <v>1</v>
      </c>
      <c r="D16" s="5">
        <v>0</v>
      </c>
      <c r="E16" s="5">
        <f t="shared" si="0"/>
        <v>0</v>
      </c>
      <c r="F16" s="5" t="s">
        <v>7163</v>
      </c>
      <c r="G16" s="5"/>
      <c r="H16" s="5" t="s">
        <v>7210</v>
      </c>
      <c r="I16" s="8">
        <f>COUNTIFS('baza-04.10.2026'!C:C,'Birbank Ştat'!A:A,'baza-04.10.2026'!I:I,"Bir Payment")</f>
        <v>0</v>
      </c>
      <c r="J16" s="8">
        <f>COUNTIFS('baza-04.10.2026'!C:C,'Birbank Ştat'!A:A,'baza-04.10.2026'!I:I,"BirMarket")</f>
        <v>0</v>
      </c>
      <c r="K16" s="8">
        <f>COUNTIFS('baza-04.10.2026'!C:C,'Birbank Ştat'!A:A,'baza-04.10.2026'!I:I,"Paşa Holding")</f>
        <v>0</v>
      </c>
      <c r="L16" s="8">
        <f>COUNTIFS('baza-04.10.2026'!C:C,'Birbank Ştat'!A:A,'baza-04.10.2026'!I:I,"Future lab")</f>
        <v>0</v>
      </c>
      <c r="M16" s="8">
        <f>Table2[[#This Row],[Pashapay]]+Table2[[#This Row],[Birmarket]]+Table2[[#This Row],[Paşa holding]]+Table2[[#This Row],[Future lab]]</f>
        <v>0</v>
      </c>
    </row>
    <row r="17" spans="1:13" x14ac:dyDescent="0.3">
      <c r="A17" s="5" t="s">
        <v>6311</v>
      </c>
      <c r="B17" s="5">
        <v>2</v>
      </c>
      <c r="C17" s="5">
        <v>2</v>
      </c>
      <c r="D17" s="5">
        <v>0</v>
      </c>
      <c r="E17" s="5">
        <f t="shared" si="0"/>
        <v>0</v>
      </c>
      <c r="F17" s="5" t="s">
        <v>7164</v>
      </c>
      <c r="G17" s="5"/>
      <c r="H17" s="5" t="s">
        <v>7208</v>
      </c>
      <c r="I17" s="8">
        <f>COUNTIFS('baza-04.10.2026'!C:C,'Birbank Ştat'!A:A,'baza-04.10.2026'!I:I,"Bir Payment")</f>
        <v>0</v>
      </c>
      <c r="J17" s="8">
        <f>COUNTIFS('baza-04.10.2026'!C:C,'Birbank Ştat'!A:A,'baza-04.10.2026'!I:I,"BirMarket")</f>
        <v>0</v>
      </c>
      <c r="K17" s="8">
        <f>COUNTIFS('baza-04.10.2026'!C:C,'Birbank Ştat'!A:A,'baza-04.10.2026'!I:I,"Paşa Holding")</f>
        <v>0</v>
      </c>
      <c r="L17" s="8">
        <f>COUNTIFS('baza-04.10.2026'!C:C,'Birbank Ştat'!A:A,'baza-04.10.2026'!I:I,"Future lab")</f>
        <v>0</v>
      </c>
      <c r="M17" s="8">
        <f>Table2[[#This Row],[Pashapay]]+Table2[[#This Row],[Birmarket]]+Table2[[#This Row],[Paşa holding]]+Table2[[#This Row],[Future lab]]</f>
        <v>0</v>
      </c>
    </row>
    <row r="18" spans="1:13" x14ac:dyDescent="0.3">
      <c r="A18" s="5" t="s">
        <v>6298</v>
      </c>
      <c r="B18" s="5">
        <v>15</v>
      </c>
      <c r="C18" s="5">
        <v>15</v>
      </c>
      <c r="D18" s="5">
        <v>0</v>
      </c>
      <c r="E18" s="5">
        <f t="shared" si="0"/>
        <v>0</v>
      </c>
      <c r="F18" s="5" t="s">
        <v>7163</v>
      </c>
      <c r="G18" s="5"/>
      <c r="H18" s="5" t="s">
        <v>7208</v>
      </c>
      <c r="I18" s="8">
        <f>COUNTIFS('baza-04.10.2026'!C:C,'Birbank Ştat'!A:A,'baza-04.10.2026'!I:I,"Bir Payment")</f>
        <v>1</v>
      </c>
      <c r="J18" s="8">
        <f>COUNTIFS('baza-04.10.2026'!C:C,'Birbank Ştat'!A:A,'baza-04.10.2026'!I:I,"BirMarket")</f>
        <v>2</v>
      </c>
      <c r="K18" s="8">
        <f>COUNTIFS('baza-04.10.2026'!C:C,'Birbank Ştat'!A:A,'baza-04.10.2026'!I:I,"Paşa Holding")</f>
        <v>0</v>
      </c>
      <c r="L18" s="8">
        <f>COUNTIFS('baza-04.10.2026'!C:C,'Birbank Ştat'!A:A,'baza-04.10.2026'!I:I,"Future lab")</f>
        <v>0</v>
      </c>
      <c r="M18" s="8">
        <f>Table2[[#This Row],[Pashapay]]+Table2[[#This Row],[Birmarket]]+Table2[[#This Row],[Paşa holding]]+Table2[[#This Row],[Future lab]]</f>
        <v>3</v>
      </c>
    </row>
    <row r="19" spans="1:13" x14ac:dyDescent="0.3">
      <c r="A19" s="5" t="s">
        <v>6320</v>
      </c>
      <c r="B19" s="5">
        <v>1</v>
      </c>
      <c r="C19" s="5">
        <v>1</v>
      </c>
      <c r="D19" s="5">
        <v>0</v>
      </c>
      <c r="E19" s="5">
        <f t="shared" si="0"/>
        <v>0</v>
      </c>
      <c r="F19" s="5" t="s">
        <v>7163</v>
      </c>
      <c r="G19" s="5"/>
      <c r="H19" s="5" t="s">
        <v>7210</v>
      </c>
      <c r="I19" s="8">
        <f>COUNTIFS('baza-04.10.2026'!C:C,'Birbank Ştat'!A:A,'baza-04.10.2026'!I:I,"Bir Payment")</f>
        <v>0</v>
      </c>
      <c r="J19" s="8">
        <f>COUNTIFS('baza-04.10.2026'!C:C,'Birbank Ştat'!A:A,'baza-04.10.2026'!I:I,"BirMarket")</f>
        <v>0</v>
      </c>
      <c r="K19" s="8">
        <f>COUNTIFS('baza-04.10.2026'!C:C,'Birbank Ştat'!A:A,'baza-04.10.2026'!I:I,"Paşa Holding")</f>
        <v>0</v>
      </c>
      <c r="L19" s="8">
        <f>COUNTIFS('baza-04.10.2026'!C:C,'Birbank Ştat'!A:A,'baza-04.10.2026'!I:I,"Future lab")</f>
        <v>0</v>
      </c>
      <c r="M19" s="8">
        <f>Table2[[#This Row],[Pashapay]]+Table2[[#This Row],[Birmarket]]+Table2[[#This Row],[Paşa holding]]+Table2[[#This Row],[Future lab]]</f>
        <v>0</v>
      </c>
    </row>
    <row r="20" spans="1:13" x14ac:dyDescent="0.3">
      <c r="A20" s="5" t="s">
        <v>6315</v>
      </c>
      <c r="B20" s="5">
        <v>1</v>
      </c>
      <c r="C20" s="5">
        <v>1</v>
      </c>
      <c r="D20" s="5">
        <v>0</v>
      </c>
      <c r="E20" s="5">
        <f t="shared" si="0"/>
        <v>0</v>
      </c>
      <c r="F20" s="5" t="s">
        <v>7163</v>
      </c>
      <c r="G20" s="5"/>
      <c r="H20" s="5" t="s">
        <v>7208</v>
      </c>
      <c r="I20" s="8">
        <f>COUNTIFS('baza-04.10.2026'!C:C,'Birbank Ştat'!A:A,'baza-04.10.2026'!I:I,"Bir Payment")</f>
        <v>0</v>
      </c>
      <c r="J20" s="8">
        <f>COUNTIFS('baza-04.10.2026'!C:C,'Birbank Ştat'!A:A,'baza-04.10.2026'!I:I,"BirMarket")</f>
        <v>0</v>
      </c>
      <c r="K20" s="8">
        <f>COUNTIFS('baza-04.10.2026'!C:C,'Birbank Ştat'!A:A,'baza-04.10.2026'!I:I,"Paşa Holding")</f>
        <v>1</v>
      </c>
      <c r="L20" s="8">
        <f>COUNTIFS('baza-04.10.2026'!C:C,'Birbank Ştat'!A:A,'baza-04.10.2026'!I:I,"Future lab")</f>
        <v>0</v>
      </c>
      <c r="M20" s="8">
        <f>Table2[[#This Row],[Pashapay]]+Table2[[#This Row],[Birmarket]]+Table2[[#This Row],[Paşa holding]]+Table2[[#This Row],[Future lab]]</f>
        <v>1</v>
      </c>
    </row>
    <row r="21" spans="1:13" x14ac:dyDescent="0.3">
      <c r="A21" s="5" t="s">
        <v>6314</v>
      </c>
      <c r="B21" s="5">
        <v>1</v>
      </c>
      <c r="C21" s="5">
        <v>1</v>
      </c>
      <c r="D21" s="5">
        <v>0</v>
      </c>
      <c r="E21" s="5">
        <f t="shared" si="0"/>
        <v>0</v>
      </c>
      <c r="F21" s="5" t="s">
        <v>7164</v>
      </c>
      <c r="G21" s="5"/>
      <c r="H21" s="5" t="s">
        <v>7208</v>
      </c>
      <c r="I21" s="8">
        <f>COUNTIFS('baza-04.10.2026'!C:C,'Birbank Ştat'!A:A,'baza-04.10.2026'!I:I,"Bir Payment")</f>
        <v>0</v>
      </c>
      <c r="J21" s="8">
        <f>COUNTIFS('baza-04.10.2026'!C:C,'Birbank Ştat'!A:A,'baza-04.10.2026'!I:I,"BirMarket")</f>
        <v>0</v>
      </c>
      <c r="K21" s="8">
        <f>COUNTIFS('baza-04.10.2026'!C:C,'Birbank Ştat'!A:A,'baza-04.10.2026'!I:I,"Paşa Holding")</f>
        <v>1</v>
      </c>
      <c r="L21" s="8">
        <f>COUNTIFS('baza-04.10.2026'!C:C,'Birbank Ştat'!A:A,'baza-04.10.2026'!I:I,"Future lab")</f>
        <v>0</v>
      </c>
      <c r="M21" s="8">
        <f>Table2[[#This Row],[Pashapay]]+Table2[[#This Row],[Birmarket]]+Table2[[#This Row],[Paşa holding]]+Table2[[#This Row],[Future lab]]</f>
        <v>1</v>
      </c>
    </row>
    <row r="22" spans="1:13" x14ac:dyDescent="0.3">
      <c r="A22" s="5" t="s">
        <v>6319</v>
      </c>
      <c r="B22" s="5">
        <v>1</v>
      </c>
      <c r="C22" s="5">
        <v>1</v>
      </c>
      <c r="D22" s="5">
        <v>0</v>
      </c>
      <c r="E22" s="5">
        <f t="shared" si="0"/>
        <v>0</v>
      </c>
      <c r="F22" s="5" t="s">
        <v>7163</v>
      </c>
      <c r="G22" s="5"/>
      <c r="H22" s="5" t="s">
        <v>7210</v>
      </c>
      <c r="I22" s="8">
        <f>COUNTIFS('baza-04.10.2026'!C:C,'Birbank Ştat'!A:A,'baza-04.10.2026'!I:I,"Bir Payment")</f>
        <v>0</v>
      </c>
      <c r="J22" s="8">
        <f>COUNTIFS('baza-04.10.2026'!C:C,'Birbank Ştat'!A:A,'baza-04.10.2026'!I:I,"BirMarket")</f>
        <v>0</v>
      </c>
      <c r="K22" s="8">
        <f>COUNTIFS('baza-04.10.2026'!C:C,'Birbank Ştat'!A:A,'baza-04.10.2026'!I:I,"Paşa Holding")</f>
        <v>0</v>
      </c>
      <c r="L22" s="8">
        <f>COUNTIFS('baza-04.10.2026'!C:C,'Birbank Ştat'!A:A,'baza-04.10.2026'!I:I,"Future lab")</f>
        <v>0</v>
      </c>
      <c r="M22" s="8">
        <f>Table2[[#This Row],[Pashapay]]+Table2[[#This Row],[Birmarket]]+Table2[[#This Row],[Paşa holding]]+Table2[[#This Row],[Future lab]]</f>
        <v>0</v>
      </c>
    </row>
    <row r="23" spans="1:13" x14ac:dyDescent="0.3">
      <c r="A23" s="5" t="s">
        <v>6317</v>
      </c>
      <c r="B23" s="5">
        <v>1</v>
      </c>
      <c r="C23" s="5">
        <v>1</v>
      </c>
      <c r="D23" s="5">
        <v>0</v>
      </c>
      <c r="E23" s="5">
        <f t="shared" si="0"/>
        <v>0</v>
      </c>
      <c r="F23" s="5" t="s">
        <v>7164</v>
      </c>
      <c r="G23" s="5"/>
      <c r="H23" s="5" t="s">
        <v>7209</v>
      </c>
      <c r="I23" s="8">
        <f>COUNTIFS('baza-04.10.2026'!C:C,'Birbank Ştat'!A:A,'baza-04.10.2026'!I:I,"Bir Payment")</f>
        <v>0</v>
      </c>
      <c r="J23" s="8">
        <f>COUNTIFS('baza-04.10.2026'!C:C,'Birbank Ştat'!A:A,'baza-04.10.2026'!I:I,"BirMarket")</f>
        <v>0</v>
      </c>
      <c r="K23" s="8">
        <f>COUNTIFS('baza-04.10.2026'!C:C,'Birbank Ştat'!A:A,'baza-04.10.2026'!I:I,"Paşa Holding")</f>
        <v>0</v>
      </c>
      <c r="L23" s="8">
        <f>COUNTIFS('baza-04.10.2026'!C:C,'Birbank Ştat'!A:A,'baza-04.10.2026'!I:I,"Future lab")</f>
        <v>0</v>
      </c>
      <c r="M23" s="8">
        <f>Table2[[#This Row],[Pashapay]]+Table2[[#This Row],[Birmarket]]+Table2[[#This Row],[Paşa holding]]+Table2[[#This Row],[Future lab]]</f>
        <v>0</v>
      </c>
    </row>
    <row r="24" spans="1:13" x14ac:dyDescent="0.3">
      <c r="A24" s="5" t="s">
        <v>6318</v>
      </c>
      <c r="B24" s="5">
        <v>1</v>
      </c>
      <c r="C24" s="5">
        <v>1</v>
      </c>
      <c r="D24" s="5">
        <v>0</v>
      </c>
      <c r="E24" s="5">
        <f t="shared" si="0"/>
        <v>0</v>
      </c>
      <c r="F24" s="5" t="s">
        <v>7164</v>
      </c>
      <c r="G24" s="5"/>
      <c r="H24" s="5" t="s">
        <v>7209</v>
      </c>
      <c r="I24" s="8">
        <f>COUNTIFS('baza-04.10.2026'!C:C,'Birbank Ştat'!A:A,'baza-04.10.2026'!I:I,"Bir Payment")</f>
        <v>0</v>
      </c>
      <c r="J24" s="8">
        <f>COUNTIFS('baza-04.10.2026'!C:C,'Birbank Ştat'!A:A,'baza-04.10.2026'!I:I,"BirMarket")</f>
        <v>0</v>
      </c>
      <c r="K24" s="8">
        <f>COUNTIFS('baza-04.10.2026'!C:C,'Birbank Ştat'!A:A,'baza-04.10.2026'!I:I,"Paşa Holding")</f>
        <v>0</v>
      </c>
      <c r="L24" s="8">
        <f>COUNTIFS('baza-04.10.2026'!C:C,'Birbank Ştat'!A:A,'baza-04.10.2026'!I:I,"Future lab")</f>
        <v>0</v>
      </c>
      <c r="M24" s="8">
        <f>Table2[[#This Row],[Pashapay]]+Table2[[#This Row],[Birmarket]]+Table2[[#This Row],[Paşa holding]]+Table2[[#This Row],[Future lab]]</f>
        <v>0</v>
      </c>
    </row>
    <row r="25" spans="1:13" x14ac:dyDescent="0.3">
      <c r="A25" s="5" t="s">
        <v>6644</v>
      </c>
      <c r="B25" s="5">
        <v>2</v>
      </c>
      <c r="C25" s="5">
        <v>4</v>
      </c>
      <c r="D25" s="5">
        <v>0</v>
      </c>
      <c r="E25" s="5">
        <v>0</v>
      </c>
      <c r="F25" s="5" t="s">
        <v>7164</v>
      </c>
      <c r="G25" s="5" t="s">
        <v>7233</v>
      </c>
      <c r="H25" s="5" t="s">
        <v>7209</v>
      </c>
      <c r="I25" s="8">
        <f>COUNTIFS('baza-04.10.2026'!C:C,'Birbank Ştat'!A:A,'baza-04.10.2026'!I:I,"Bir Payment")</f>
        <v>0</v>
      </c>
      <c r="J25" s="8">
        <f>COUNTIFS('baza-04.10.2026'!C:C,'Birbank Ştat'!A:A,'baza-04.10.2026'!I:I,"BirMarket")</f>
        <v>0</v>
      </c>
      <c r="K25" s="8">
        <f>COUNTIFS('baza-04.10.2026'!C:C,'Birbank Ştat'!A:A,'baza-04.10.2026'!I:I,"Paşa Holding")</f>
        <v>0</v>
      </c>
      <c r="L25" s="8">
        <f>COUNTIFS('baza-04.10.2026'!C:C,'Birbank Ştat'!A:A,'baza-04.10.2026'!I:I,"Future lab")</f>
        <v>0</v>
      </c>
      <c r="M25" s="8">
        <f>Table2[[#This Row],[Pashapay]]+Table2[[#This Row],[Birmarket]]+Table2[[#This Row],[Paşa holding]]+Table2[[#This Row],[Future lab]]</f>
        <v>0</v>
      </c>
    </row>
    <row r="26" spans="1:13" x14ac:dyDescent="0.3">
      <c r="A26" s="5" t="s">
        <v>6654</v>
      </c>
      <c r="B26" s="5">
        <v>5</v>
      </c>
      <c r="C26" s="5">
        <v>5</v>
      </c>
      <c r="D26" s="5">
        <v>0</v>
      </c>
      <c r="E26" s="5">
        <v>0</v>
      </c>
      <c r="F26" s="5" t="s">
        <v>7164</v>
      </c>
      <c r="G26" s="5" t="s">
        <v>7231</v>
      </c>
      <c r="H26" s="5" t="s">
        <v>7208</v>
      </c>
      <c r="I26" s="8">
        <f>COUNTIFS('baza-04.10.2026'!C:C,'Birbank Ştat'!A:A,'baza-04.10.2026'!I:I,"Bir Payment")</f>
        <v>0</v>
      </c>
      <c r="J26" s="8">
        <f>COUNTIFS('baza-04.10.2026'!C:C,'Birbank Ştat'!A:A,'baza-04.10.2026'!I:I,"BirMarket")</f>
        <v>0</v>
      </c>
      <c r="K26" s="8">
        <f>COUNTIFS('baza-04.10.2026'!C:C,'Birbank Ştat'!A:A,'baza-04.10.2026'!I:I,"Paşa Holding")</f>
        <v>0</v>
      </c>
      <c r="L26" s="8">
        <f>COUNTIFS('baza-04.10.2026'!C:C,'Birbank Ştat'!A:A,'baza-04.10.2026'!I:I,"Future lab")</f>
        <v>0</v>
      </c>
      <c r="M26" s="8">
        <f>Table2[[#This Row],[Pashapay]]+Table2[[#This Row],[Birmarket]]+Table2[[#This Row],[Paşa holding]]+Table2[[#This Row],[Future lab]]</f>
        <v>0</v>
      </c>
    </row>
    <row r="27" spans="1:13" x14ac:dyDescent="0.3">
      <c r="A27" s="5" t="s">
        <v>6857</v>
      </c>
      <c r="B27" s="5">
        <v>1</v>
      </c>
      <c r="C27" s="5">
        <v>1</v>
      </c>
      <c r="D27" s="5">
        <v>0</v>
      </c>
      <c r="E27" s="5">
        <v>0</v>
      </c>
      <c r="F27" s="5" t="s">
        <v>7164</v>
      </c>
      <c r="G27" s="5" t="s">
        <v>7231</v>
      </c>
      <c r="H27" s="5" t="s">
        <v>7209</v>
      </c>
      <c r="I27" s="8">
        <f>COUNTIFS('baza-04.10.2026'!C:C,'Birbank Ştat'!A:A,'baza-04.10.2026'!I:I,"Bir Payment")</f>
        <v>0</v>
      </c>
      <c r="J27" s="8">
        <f>COUNTIFS('baza-04.10.2026'!C:C,'Birbank Ştat'!A:A,'baza-04.10.2026'!I:I,"BirMarket")</f>
        <v>0</v>
      </c>
      <c r="K27" s="8">
        <f>COUNTIFS('baza-04.10.2026'!C:C,'Birbank Ştat'!A:A,'baza-04.10.2026'!I:I,"Paşa Holding")</f>
        <v>0</v>
      </c>
      <c r="L27" s="8">
        <f>COUNTIFS('baza-04.10.2026'!C:C,'Birbank Ştat'!A:A,'baza-04.10.2026'!I:I,"Future lab")</f>
        <v>0</v>
      </c>
      <c r="M27" s="8">
        <f>Table2[[#This Row],[Pashapay]]+Table2[[#This Row],[Birmarket]]+Table2[[#This Row],[Paşa holding]]+Table2[[#This Row],[Future lab]]</f>
        <v>0</v>
      </c>
    </row>
    <row r="28" spans="1:13" x14ac:dyDescent="0.3">
      <c r="A28" s="5" t="s">
        <v>7213</v>
      </c>
      <c r="B28" s="5">
        <v>1</v>
      </c>
      <c r="C28" s="5">
        <v>0</v>
      </c>
      <c r="D28" s="5">
        <v>0</v>
      </c>
      <c r="E28" s="5">
        <v>0</v>
      </c>
      <c r="F28" s="5" t="s">
        <v>7164</v>
      </c>
      <c r="G28" s="5" t="s">
        <v>7232</v>
      </c>
      <c r="H28" s="5" t="s">
        <v>7208</v>
      </c>
      <c r="I28" s="8">
        <f>COUNTIFS('baza-04.10.2026'!C:C,'Birbank Ştat'!A:A,'baza-04.10.2026'!I:I,"Bir Payment")</f>
        <v>0</v>
      </c>
      <c r="J28" s="8">
        <f>COUNTIFS('baza-04.10.2026'!C:C,'Birbank Ştat'!A:A,'baza-04.10.2026'!I:I,"BirMarket")</f>
        <v>0</v>
      </c>
      <c r="K28" s="8">
        <f>COUNTIFS('baza-04.10.2026'!C:C,'Birbank Ştat'!A:A,'baza-04.10.2026'!I:I,"Paşa Holding")</f>
        <v>0</v>
      </c>
      <c r="L28" s="8">
        <f>COUNTIFS('baza-04.10.2026'!C:C,'Birbank Ştat'!A:A,'baza-04.10.2026'!I:I,"Future lab")</f>
        <v>0</v>
      </c>
      <c r="M28" s="8">
        <f>Table2[[#This Row],[Pashapay]]+Table2[[#This Row],[Birmarket]]+Table2[[#This Row],[Paşa holding]]+Table2[[#This Row],[Future lab]]</f>
        <v>0</v>
      </c>
    </row>
    <row r="29" spans="1:13" x14ac:dyDescent="0.3">
      <c r="A29" s="5" t="s">
        <v>6855</v>
      </c>
      <c r="B29" s="5">
        <v>5</v>
      </c>
      <c r="C29" s="5">
        <v>4</v>
      </c>
      <c r="D29" s="5">
        <v>0</v>
      </c>
      <c r="E29" s="5">
        <f t="shared" ref="E29:E60" si="1">B29-C29+D29</f>
        <v>1</v>
      </c>
      <c r="F29" s="5" t="s">
        <v>7164</v>
      </c>
      <c r="G29" s="5"/>
      <c r="H29" s="5" t="s">
        <v>7209</v>
      </c>
      <c r="I29" s="8">
        <f>COUNTIFS('baza-04.10.2026'!C:C,'Birbank Ştat'!A:A,'baza-04.10.2026'!I:I,"Bir Payment")</f>
        <v>0</v>
      </c>
      <c r="J29" s="8">
        <f>COUNTIFS('baza-04.10.2026'!C:C,'Birbank Ştat'!A:A,'baza-04.10.2026'!I:I,"BirMarket")</f>
        <v>0</v>
      </c>
      <c r="K29" s="8">
        <f>COUNTIFS('baza-04.10.2026'!C:C,'Birbank Ştat'!A:A,'baza-04.10.2026'!I:I,"Paşa Holding")</f>
        <v>0</v>
      </c>
      <c r="L29" s="8">
        <f>COUNTIFS('baza-04.10.2026'!C:C,'Birbank Ştat'!A:A,'baza-04.10.2026'!I:I,"Future lab")</f>
        <v>0</v>
      </c>
      <c r="M29" s="8">
        <f>Table2[[#This Row],[Pashapay]]+Table2[[#This Row],[Birmarket]]+Table2[[#This Row],[Paşa holding]]+Table2[[#This Row],[Future lab]]</f>
        <v>0</v>
      </c>
    </row>
    <row r="30" spans="1:13" x14ac:dyDescent="0.3">
      <c r="A30" s="5" t="s">
        <v>6719</v>
      </c>
      <c r="B30" s="5">
        <v>8</v>
      </c>
      <c r="C30" s="5">
        <v>7</v>
      </c>
      <c r="D30" s="5">
        <v>0</v>
      </c>
      <c r="E30" s="5">
        <f t="shared" si="1"/>
        <v>1</v>
      </c>
      <c r="F30" s="5" t="s">
        <v>7164</v>
      </c>
      <c r="G30" s="5"/>
      <c r="H30" s="5" t="s">
        <v>7208</v>
      </c>
      <c r="I30" s="8">
        <f>COUNTIFS('baza-04.10.2026'!C:C,'Birbank Ştat'!A:A,'baza-04.10.2026'!I:I,"Bir Payment")</f>
        <v>0</v>
      </c>
      <c r="J30" s="8">
        <f>COUNTIFS('baza-04.10.2026'!C:C,'Birbank Ştat'!A:A,'baza-04.10.2026'!I:I,"BirMarket")</f>
        <v>0</v>
      </c>
      <c r="K30" s="8">
        <f>COUNTIFS('baza-04.10.2026'!C:C,'Birbank Ştat'!A:A,'baza-04.10.2026'!I:I,"Paşa Holding")</f>
        <v>0</v>
      </c>
      <c r="L30" s="8">
        <f>COUNTIFS('baza-04.10.2026'!C:C,'Birbank Ştat'!A:A,'baza-04.10.2026'!I:I,"Future lab")</f>
        <v>0</v>
      </c>
      <c r="M30" s="8">
        <f>Table2[[#This Row],[Pashapay]]+Table2[[#This Row],[Birmarket]]+Table2[[#This Row],[Paşa holding]]+Table2[[#This Row],[Future lab]]</f>
        <v>0</v>
      </c>
    </row>
    <row r="31" spans="1:13" x14ac:dyDescent="0.3">
      <c r="A31" s="5" t="s">
        <v>6789</v>
      </c>
      <c r="B31" s="5">
        <v>5</v>
      </c>
      <c r="C31" s="5">
        <v>4</v>
      </c>
      <c r="D31" s="5">
        <v>0</v>
      </c>
      <c r="E31" s="5">
        <f t="shared" si="1"/>
        <v>1</v>
      </c>
      <c r="F31" s="5" t="s">
        <v>7164</v>
      </c>
      <c r="G31" s="5"/>
      <c r="H31" s="5" t="s">
        <v>7210</v>
      </c>
      <c r="I31" s="8">
        <f>COUNTIFS('baza-04.10.2026'!C:C,'Birbank Ştat'!A:A,'baza-04.10.2026'!I:I,"Bir Payment")</f>
        <v>0</v>
      </c>
      <c r="J31" s="8">
        <f>COUNTIFS('baza-04.10.2026'!C:C,'Birbank Ştat'!A:A,'baza-04.10.2026'!I:I,"BirMarket")</f>
        <v>0</v>
      </c>
      <c r="K31" s="8">
        <f>COUNTIFS('baza-04.10.2026'!C:C,'Birbank Ştat'!A:A,'baza-04.10.2026'!I:I,"Paşa Holding")</f>
        <v>0</v>
      </c>
      <c r="L31" s="8">
        <f>COUNTIFS('baza-04.10.2026'!C:C,'Birbank Ştat'!A:A,'baza-04.10.2026'!I:I,"Future lab")</f>
        <v>0</v>
      </c>
      <c r="M31" s="8">
        <f>Table2[[#This Row],[Pashapay]]+Table2[[#This Row],[Birmarket]]+Table2[[#This Row],[Paşa holding]]+Table2[[#This Row],[Future lab]]</f>
        <v>0</v>
      </c>
    </row>
    <row r="32" spans="1:13" x14ac:dyDescent="0.3">
      <c r="A32" s="5" t="s">
        <v>6723</v>
      </c>
      <c r="B32" s="5">
        <v>5</v>
      </c>
      <c r="C32" s="5">
        <v>4</v>
      </c>
      <c r="D32" s="5">
        <v>0</v>
      </c>
      <c r="E32" s="5">
        <f t="shared" si="1"/>
        <v>1</v>
      </c>
      <c r="F32" s="5" t="s">
        <v>7164</v>
      </c>
      <c r="G32" s="5"/>
      <c r="H32" s="5" t="s">
        <v>7208</v>
      </c>
      <c r="I32" s="8">
        <f>COUNTIFS('baza-04.10.2026'!C:C,'Birbank Ştat'!A:A,'baza-04.10.2026'!I:I,"Bir Payment")</f>
        <v>0</v>
      </c>
      <c r="J32" s="8">
        <f>COUNTIFS('baza-04.10.2026'!C:C,'Birbank Ştat'!A:A,'baza-04.10.2026'!I:I,"BirMarket")</f>
        <v>0</v>
      </c>
      <c r="K32" s="8">
        <f>COUNTIFS('baza-04.10.2026'!C:C,'Birbank Ştat'!A:A,'baza-04.10.2026'!I:I,"Paşa Holding")</f>
        <v>0</v>
      </c>
      <c r="L32" s="8">
        <f>COUNTIFS('baza-04.10.2026'!C:C,'Birbank Ştat'!A:A,'baza-04.10.2026'!I:I,"Future lab")</f>
        <v>0</v>
      </c>
      <c r="M32" s="8">
        <f>Table2[[#This Row],[Pashapay]]+Table2[[#This Row],[Birmarket]]+Table2[[#This Row],[Paşa holding]]+Table2[[#This Row],[Future lab]]</f>
        <v>0</v>
      </c>
    </row>
    <row r="33" spans="1:13" x14ac:dyDescent="0.3">
      <c r="A33" s="5" t="s">
        <v>6699</v>
      </c>
      <c r="B33" s="5">
        <v>5</v>
      </c>
      <c r="C33" s="5">
        <v>4</v>
      </c>
      <c r="D33" s="5">
        <v>0</v>
      </c>
      <c r="E33" s="5">
        <f t="shared" si="1"/>
        <v>1</v>
      </c>
      <c r="F33" s="5" t="s">
        <v>7164</v>
      </c>
      <c r="G33" s="5"/>
      <c r="H33" s="5" t="s">
        <v>7208</v>
      </c>
      <c r="I33" s="8">
        <f>COUNTIFS('baza-04.10.2026'!C:C,'Birbank Ştat'!A:A,'baza-04.10.2026'!I:I,"Bir Payment")</f>
        <v>0</v>
      </c>
      <c r="J33" s="8">
        <f>COUNTIFS('baza-04.10.2026'!C:C,'Birbank Ştat'!A:A,'baza-04.10.2026'!I:I,"BirMarket")</f>
        <v>0</v>
      </c>
      <c r="K33" s="8">
        <f>COUNTIFS('baza-04.10.2026'!C:C,'Birbank Ştat'!A:A,'baza-04.10.2026'!I:I,"Paşa Holding")</f>
        <v>0</v>
      </c>
      <c r="L33" s="8">
        <f>COUNTIFS('baza-04.10.2026'!C:C,'Birbank Ştat'!A:A,'baza-04.10.2026'!I:I,"Future lab")</f>
        <v>0</v>
      </c>
      <c r="M33" s="8">
        <f>Table2[[#This Row],[Pashapay]]+Table2[[#This Row],[Birmarket]]+Table2[[#This Row],[Paşa holding]]+Table2[[#This Row],[Future lab]]</f>
        <v>0</v>
      </c>
    </row>
    <row r="34" spans="1:13" x14ac:dyDescent="0.3">
      <c r="A34" s="5" t="s">
        <v>6390</v>
      </c>
      <c r="B34" s="5">
        <v>21</v>
      </c>
      <c r="C34" s="5">
        <v>20</v>
      </c>
      <c r="D34" s="5">
        <v>0</v>
      </c>
      <c r="E34" s="5">
        <f t="shared" si="1"/>
        <v>1</v>
      </c>
      <c r="F34" s="5" t="s">
        <v>7163</v>
      </c>
      <c r="G34" s="5"/>
      <c r="H34" s="5" t="s">
        <v>7210</v>
      </c>
      <c r="I34" s="8">
        <f>COUNTIFS('baza-04.10.2026'!C:C,'Birbank Ştat'!A:A,'baza-04.10.2026'!I:I,"Bir Payment")</f>
        <v>0</v>
      </c>
      <c r="J34" s="8">
        <f>COUNTIFS('baza-04.10.2026'!C:C,'Birbank Ştat'!A:A,'baza-04.10.2026'!I:I,"BirMarket")</f>
        <v>0</v>
      </c>
      <c r="K34" s="8">
        <f>COUNTIFS('baza-04.10.2026'!C:C,'Birbank Ştat'!A:A,'baza-04.10.2026'!I:I,"Paşa Holding")</f>
        <v>0</v>
      </c>
      <c r="L34" s="8">
        <f>COUNTIFS('baza-04.10.2026'!C:C,'Birbank Ştat'!A:A,'baza-04.10.2026'!I:I,"Future lab")</f>
        <v>0</v>
      </c>
      <c r="M34" s="8">
        <f>Table2[[#This Row],[Pashapay]]+Table2[[#This Row],[Birmarket]]+Table2[[#This Row],[Paşa holding]]+Table2[[#This Row],[Future lab]]</f>
        <v>0</v>
      </c>
    </row>
    <row r="35" spans="1:13" x14ac:dyDescent="0.3">
      <c r="A35" s="5" t="s">
        <v>6870</v>
      </c>
      <c r="B35" s="5">
        <v>58</v>
      </c>
      <c r="C35" s="5">
        <v>57</v>
      </c>
      <c r="D35" s="5">
        <v>0</v>
      </c>
      <c r="E35" s="5">
        <f t="shared" si="1"/>
        <v>1</v>
      </c>
      <c r="F35" s="5" t="s">
        <v>7163</v>
      </c>
      <c r="G35" s="5"/>
      <c r="H35" s="5" t="s">
        <v>7210</v>
      </c>
      <c r="I35" s="8">
        <f>COUNTIFS('baza-04.10.2026'!C:C,'Birbank Ştat'!A:A,'baza-04.10.2026'!I:I,"Bir Payment")</f>
        <v>0</v>
      </c>
      <c r="J35" s="8">
        <f>COUNTIFS('baza-04.10.2026'!C:C,'Birbank Ştat'!A:A,'baza-04.10.2026'!I:I,"BirMarket")</f>
        <v>0</v>
      </c>
      <c r="K35" s="8">
        <f>COUNTIFS('baza-04.10.2026'!C:C,'Birbank Ştat'!A:A,'baza-04.10.2026'!I:I,"Paşa Holding")</f>
        <v>0</v>
      </c>
      <c r="L35" s="8">
        <f>COUNTIFS('baza-04.10.2026'!C:C,'Birbank Ştat'!A:A,'baza-04.10.2026'!I:I,"Future lab")</f>
        <v>0</v>
      </c>
      <c r="M35" s="8">
        <f>Table2[[#This Row],[Pashapay]]+Table2[[#This Row],[Birmarket]]+Table2[[#This Row],[Paşa holding]]+Table2[[#This Row],[Future lab]]</f>
        <v>0</v>
      </c>
    </row>
    <row r="36" spans="1:13" x14ac:dyDescent="0.3">
      <c r="A36" s="5" t="s">
        <v>6920</v>
      </c>
      <c r="B36" s="5">
        <v>12</v>
      </c>
      <c r="C36" s="5">
        <v>11</v>
      </c>
      <c r="D36" s="5">
        <v>0</v>
      </c>
      <c r="E36" s="5">
        <f t="shared" si="1"/>
        <v>1</v>
      </c>
      <c r="F36" s="5" t="s">
        <v>7164</v>
      </c>
      <c r="G36" s="5"/>
      <c r="H36" s="5" t="s">
        <v>7208</v>
      </c>
      <c r="I36" s="8">
        <f>COUNTIFS('baza-04.10.2026'!C:C,'Birbank Ştat'!A:A,'baza-04.10.2026'!I:I,"Bir Payment")</f>
        <v>0</v>
      </c>
      <c r="J36" s="8">
        <f>COUNTIFS('baza-04.10.2026'!C:C,'Birbank Ştat'!A:A,'baza-04.10.2026'!I:I,"BirMarket")</f>
        <v>0</v>
      </c>
      <c r="K36" s="8">
        <f>COUNTIFS('baza-04.10.2026'!C:C,'Birbank Ştat'!A:A,'baza-04.10.2026'!I:I,"Paşa Holding")</f>
        <v>0</v>
      </c>
      <c r="L36" s="8">
        <f>COUNTIFS('baza-04.10.2026'!C:C,'Birbank Ştat'!A:A,'baza-04.10.2026'!I:I,"Future lab")</f>
        <v>0</v>
      </c>
      <c r="M36" s="8">
        <f>Table2[[#This Row],[Pashapay]]+Table2[[#This Row],[Birmarket]]+Table2[[#This Row],[Paşa holding]]+Table2[[#This Row],[Future lab]]</f>
        <v>0</v>
      </c>
    </row>
    <row r="37" spans="1:13" x14ac:dyDescent="0.3">
      <c r="A37" s="5" t="s">
        <v>6354</v>
      </c>
      <c r="B37" s="5">
        <v>9</v>
      </c>
      <c r="C37" s="5">
        <v>8</v>
      </c>
      <c r="D37" s="5">
        <v>0</v>
      </c>
      <c r="E37" s="5">
        <f t="shared" si="1"/>
        <v>1</v>
      </c>
      <c r="F37" s="5" t="s">
        <v>7163</v>
      </c>
      <c r="G37" s="5"/>
      <c r="H37" s="5" t="s">
        <v>7210</v>
      </c>
      <c r="I37" s="8">
        <f>COUNTIFS('baza-04.10.2026'!C:C,'Birbank Ştat'!A:A,'baza-04.10.2026'!I:I,"Bir Payment")</f>
        <v>0</v>
      </c>
      <c r="J37" s="8">
        <f>COUNTIFS('baza-04.10.2026'!C:C,'Birbank Ştat'!A:A,'baza-04.10.2026'!I:I,"BirMarket")</f>
        <v>0</v>
      </c>
      <c r="K37" s="8">
        <f>COUNTIFS('baza-04.10.2026'!C:C,'Birbank Ştat'!A:A,'baza-04.10.2026'!I:I,"Paşa Holding")</f>
        <v>0</v>
      </c>
      <c r="L37" s="8">
        <f>COUNTIFS('baza-04.10.2026'!C:C,'Birbank Ştat'!A:A,'baza-04.10.2026'!I:I,"Future lab")</f>
        <v>0</v>
      </c>
      <c r="M37" s="8">
        <f>Table2[[#This Row],[Pashapay]]+Table2[[#This Row],[Birmarket]]+Table2[[#This Row],[Paşa holding]]+Table2[[#This Row],[Future lab]]</f>
        <v>0</v>
      </c>
    </row>
    <row r="38" spans="1:13" x14ac:dyDescent="0.3">
      <c r="A38" s="5" t="s">
        <v>6642</v>
      </c>
      <c r="B38" s="5">
        <v>15</v>
      </c>
      <c r="C38" s="5">
        <v>16</v>
      </c>
      <c r="D38" s="5">
        <v>3</v>
      </c>
      <c r="E38" s="5">
        <f t="shared" si="1"/>
        <v>2</v>
      </c>
      <c r="F38" s="5" t="s">
        <v>7164</v>
      </c>
      <c r="G38" s="5" t="s">
        <v>7214</v>
      </c>
      <c r="H38" s="5" t="s">
        <v>7208</v>
      </c>
      <c r="I38" s="8">
        <f>COUNTIFS('baza-04.10.2026'!C:C,'Birbank Ştat'!A:A,'baza-04.10.2026'!I:I,"Bir Payment")</f>
        <v>0</v>
      </c>
      <c r="J38" s="8">
        <f>COUNTIFS('baza-04.10.2026'!C:C,'Birbank Ştat'!A:A,'baza-04.10.2026'!I:I,"BirMarket")</f>
        <v>0</v>
      </c>
      <c r="K38" s="8">
        <f>COUNTIFS('baza-04.10.2026'!C:C,'Birbank Ştat'!A:A,'baza-04.10.2026'!I:I,"Paşa Holding")</f>
        <v>0</v>
      </c>
      <c r="L38" s="8">
        <f>COUNTIFS('baza-04.10.2026'!C:C,'Birbank Ştat'!A:A,'baza-04.10.2026'!I:I,"Future lab")</f>
        <v>1</v>
      </c>
      <c r="M38" s="8">
        <f>Table2[[#This Row],[Pashapay]]+Table2[[#This Row],[Birmarket]]+Table2[[#This Row],[Paşa holding]]+Table2[[#This Row],[Future lab]]</f>
        <v>1</v>
      </c>
    </row>
    <row r="39" spans="1:13" x14ac:dyDescent="0.3">
      <c r="A39" s="5" t="s">
        <v>6488</v>
      </c>
      <c r="B39" s="5">
        <v>19</v>
      </c>
      <c r="C39" s="5">
        <v>18</v>
      </c>
      <c r="D39" s="5">
        <v>0</v>
      </c>
      <c r="E39" s="5">
        <f t="shared" si="1"/>
        <v>1</v>
      </c>
      <c r="F39" s="5" t="s">
        <v>7163</v>
      </c>
      <c r="G39" s="5"/>
      <c r="H39" s="5" t="s">
        <v>7210</v>
      </c>
      <c r="I39" s="8">
        <f>COUNTIFS('baza-04.10.2026'!C:C,'Birbank Ştat'!A:A,'baza-04.10.2026'!I:I,"Bir Payment")</f>
        <v>0</v>
      </c>
      <c r="J39" s="8">
        <f>COUNTIFS('baza-04.10.2026'!C:C,'Birbank Ştat'!A:A,'baza-04.10.2026'!I:I,"BirMarket")</f>
        <v>0</v>
      </c>
      <c r="K39" s="8">
        <f>COUNTIFS('baza-04.10.2026'!C:C,'Birbank Ştat'!A:A,'baza-04.10.2026'!I:I,"Paşa Holding")</f>
        <v>0</v>
      </c>
      <c r="L39" s="8">
        <f>COUNTIFS('baza-04.10.2026'!C:C,'Birbank Ştat'!A:A,'baza-04.10.2026'!I:I,"Future lab")</f>
        <v>0</v>
      </c>
      <c r="M39" s="8">
        <f>Table2[[#This Row],[Pashapay]]+Table2[[#This Row],[Birmarket]]+Table2[[#This Row],[Paşa holding]]+Table2[[#This Row],[Future lab]]</f>
        <v>0</v>
      </c>
    </row>
    <row r="40" spans="1:13" x14ac:dyDescent="0.3">
      <c r="A40" s="5" t="s">
        <v>6331</v>
      </c>
      <c r="B40" s="5">
        <v>3</v>
      </c>
      <c r="C40" s="5">
        <v>2</v>
      </c>
      <c r="D40" s="5">
        <v>0</v>
      </c>
      <c r="E40" s="5">
        <f t="shared" si="1"/>
        <v>1</v>
      </c>
      <c r="F40" s="5" t="s">
        <v>7164</v>
      </c>
      <c r="G40" s="5"/>
      <c r="H40" s="5" t="s">
        <v>7208</v>
      </c>
      <c r="I40" s="8">
        <f>COUNTIFS('baza-04.10.2026'!C:C,'Birbank Ştat'!A:A,'baza-04.10.2026'!I:I,"Bir Payment")</f>
        <v>0</v>
      </c>
      <c r="J40" s="8">
        <f>COUNTIFS('baza-04.10.2026'!C:C,'Birbank Ştat'!A:A,'baza-04.10.2026'!I:I,"BirMarket")</f>
        <v>0</v>
      </c>
      <c r="K40" s="8">
        <f>COUNTIFS('baza-04.10.2026'!C:C,'Birbank Ştat'!A:A,'baza-04.10.2026'!I:I,"Paşa Holding")</f>
        <v>0</v>
      </c>
      <c r="L40" s="8">
        <f>COUNTIFS('baza-04.10.2026'!C:C,'Birbank Ştat'!A:A,'baza-04.10.2026'!I:I,"Future lab")</f>
        <v>0</v>
      </c>
      <c r="M40" s="8">
        <f>Table2[[#This Row],[Pashapay]]+Table2[[#This Row],[Birmarket]]+Table2[[#This Row],[Paşa holding]]+Table2[[#This Row],[Future lab]]</f>
        <v>0</v>
      </c>
    </row>
    <row r="41" spans="1:13" x14ac:dyDescent="0.3">
      <c r="A41" s="5" t="s">
        <v>6627</v>
      </c>
      <c r="B41" s="5">
        <v>7</v>
      </c>
      <c r="C41" s="5">
        <v>6</v>
      </c>
      <c r="D41" s="5">
        <v>0</v>
      </c>
      <c r="E41" s="5">
        <f t="shared" si="1"/>
        <v>1</v>
      </c>
      <c r="F41" s="5" t="s">
        <v>7164</v>
      </c>
      <c r="G41" s="5"/>
      <c r="H41" s="5" t="s">
        <v>7208</v>
      </c>
      <c r="I41" s="8">
        <f>COUNTIFS('baza-04.10.2026'!C:C,'Birbank Ştat'!A:A,'baza-04.10.2026'!I:I,"Bir Payment")</f>
        <v>1</v>
      </c>
      <c r="J41" s="8">
        <f>COUNTIFS('baza-04.10.2026'!C:C,'Birbank Ştat'!A:A,'baza-04.10.2026'!I:I,"BirMarket")</f>
        <v>0</v>
      </c>
      <c r="K41" s="8">
        <f>COUNTIFS('baza-04.10.2026'!C:C,'Birbank Ştat'!A:A,'baza-04.10.2026'!I:I,"Paşa Holding")</f>
        <v>0</v>
      </c>
      <c r="L41" s="8">
        <f>COUNTIFS('baza-04.10.2026'!C:C,'Birbank Ştat'!A:A,'baza-04.10.2026'!I:I,"Future lab")</f>
        <v>0</v>
      </c>
      <c r="M41" s="8">
        <f>Table2[[#This Row],[Pashapay]]+Table2[[#This Row],[Birmarket]]+Table2[[#This Row],[Paşa holding]]+Table2[[#This Row],[Future lab]]</f>
        <v>1</v>
      </c>
    </row>
    <row r="42" spans="1:13" x14ac:dyDescent="0.3">
      <c r="A42" s="5" t="s">
        <v>6313</v>
      </c>
      <c r="B42" s="5">
        <v>2</v>
      </c>
      <c r="C42" s="5">
        <v>1</v>
      </c>
      <c r="D42" s="5">
        <v>0</v>
      </c>
      <c r="E42" s="5">
        <f t="shared" si="1"/>
        <v>1</v>
      </c>
      <c r="F42" s="5" t="s">
        <v>7164</v>
      </c>
      <c r="G42" s="5"/>
      <c r="H42" s="5" t="s">
        <v>7208</v>
      </c>
      <c r="I42" s="8">
        <f>COUNTIFS('baza-04.10.2026'!C:C,'Birbank Ştat'!A:A,'baza-04.10.2026'!I:I,"Bir Payment")</f>
        <v>0</v>
      </c>
      <c r="J42" s="8">
        <f>COUNTIFS('baza-04.10.2026'!C:C,'Birbank Ştat'!A:A,'baza-04.10.2026'!I:I,"BirMarket")</f>
        <v>0</v>
      </c>
      <c r="K42" s="8">
        <f>COUNTIFS('baza-04.10.2026'!C:C,'Birbank Ştat'!A:A,'baza-04.10.2026'!I:I,"Paşa Holding")</f>
        <v>0</v>
      </c>
      <c r="L42" s="8">
        <f>COUNTIFS('baza-04.10.2026'!C:C,'Birbank Ştat'!A:A,'baza-04.10.2026'!I:I,"Future lab")</f>
        <v>0</v>
      </c>
      <c r="M42" s="8">
        <f>Table2[[#This Row],[Pashapay]]+Table2[[#This Row],[Birmarket]]+Table2[[#This Row],[Paşa holding]]+Table2[[#This Row],[Future lab]]</f>
        <v>0</v>
      </c>
    </row>
    <row r="43" spans="1:13" x14ac:dyDescent="0.3">
      <c r="A43" s="5" t="s">
        <v>7215</v>
      </c>
      <c r="B43" s="5">
        <v>1</v>
      </c>
      <c r="C43" s="5">
        <v>0</v>
      </c>
      <c r="D43" s="5">
        <v>0</v>
      </c>
      <c r="E43" s="5">
        <f t="shared" si="1"/>
        <v>1</v>
      </c>
      <c r="F43" s="5" t="s">
        <v>7164</v>
      </c>
      <c r="G43" s="5"/>
      <c r="H43" s="5" t="s">
        <v>7210</v>
      </c>
      <c r="I43" s="8">
        <f>COUNTIFS('baza-04.10.2026'!C:C,'Birbank Ştat'!A:A,'baza-04.10.2026'!I:I,"Bir Payment")</f>
        <v>0</v>
      </c>
      <c r="J43" s="8">
        <f>COUNTIFS('baza-04.10.2026'!C:C,'Birbank Ştat'!A:A,'baza-04.10.2026'!I:I,"BirMarket")</f>
        <v>0</v>
      </c>
      <c r="K43" s="8">
        <f>COUNTIFS('baza-04.10.2026'!C:C,'Birbank Ştat'!A:A,'baza-04.10.2026'!I:I,"Paşa Holding")</f>
        <v>0</v>
      </c>
      <c r="L43" s="8">
        <f>COUNTIFS('baza-04.10.2026'!C:C,'Birbank Ştat'!A:A,'baza-04.10.2026'!I:I,"Future lab")</f>
        <v>0</v>
      </c>
      <c r="M43" s="8">
        <f>Table2[[#This Row],[Pashapay]]+Table2[[#This Row],[Birmarket]]+Table2[[#This Row],[Paşa holding]]+Table2[[#This Row],[Future lab]]</f>
        <v>0</v>
      </c>
    </row>
    <row r="44" spans="1:13" x14ac:dyDescent="0.3">
      <c r="A44" s="5" t="s">
        <v>6678</v>
      </c>
      <c r="B44" s="5">
        <v>2</v>
      </c>
      <c r="C44" s="5">
        <v>1</v>
      </c>
      <c r="D44" s="5">
        <v>0</v>
      </c>
      <c r="E44" s="5">
        <f t="shared" si="1"/>
        <v>1</v>
      </c>
      <c r="F44" s="5" t="s">
        <v>7164</v>
      </c>
      <c r="G44" s="5"/>
      <c r="H44" s="5" t="s">
        <v>7209</v>
      </c>
      <c r="I44" s="8">
        <f>COUNTIFS('baza-04.10.2026'!C:C,'Birbank Ştat'!A:A,'baza-04.10.2026'!I:I,"Bir Payment")</f>
        <v>0</v>
      </c>
      <c r="J44" s="8">
        <f>COUNTIFS('baza-04.10.2026'!C:C,'Birbank Ştat'!A:A,'baza-04.10.2026'!I:I,"BirMarket")</f>
        <v>0</v>
      </c>
      <c r="K44" s="8">
        <f>COUNTIFS('baza-04.10.2026'!C:C,'Birbank Ştat'!A:A,'baza-04.10.2026'!I:I,"Paşa Holding")</f>
        <v>0</v>
      </c>
      <c r="L44" s="8">
        <f>COUNTIFS('baza-04.10.2026'!C:C,'Birbank Ştat'!A:A,'baza-04.10.2026'!I:I,"Future lab")</f>
        <v>0</v>
      </c>
      <c r="M44" s="8">
        <f>Table2[[#This Row],[Pashapay]]+Table2[[#This Row],[Birmarket]]+Table2[[#This Row],[Paşa holding]]+Table2[[#This Row],[Future lab]]</f>
        <v>0</v>
      </c>
    </row>
    <row r="45" spans="1:13" x14ac:dyDescent="0.3">
      <c r="A45" s="5" t="s">
        <v>6798</v>
      </c>
      <c r="B45" s="5">
        <v>26</v>
      </c>
      <c r="C45" s="5">
        <v>25</v>
      </c>
      <c r="D45" s="5">
        <v>0</v>
      </c>
      <c r="E45" s="5">
        <f t="shared" si="1"/>
        <v>1</v>
      </c>
      <c r="F45" s="5" t="s">
        <v>7164</v>
      </c>
      <c r="G45" s="5" t="s">
        <v>7216</v>
      </c>
      <c r="H45" s="5" t="s">
        <v>7208</v>
      </c>
      <c r="I45" s="8">
        <f>COUNTIFS('baza-04.10.2026'!C:C,'Birbank Ştat'!A:A,'baza-04.10.2026'!I:I,"Bir Payment")</f>
        <v>7</v>
      </c>
      <c r="J45" s="8">
        <f>COUNTIFS('baza-04.10.2026'!C:C,'Birbank Ştat'!A:A,'baza-04.10.2026'!I:I,"BirMarket")</f>
        <v>2</v>
      </c>
      <c r="K45" s="8">
        <f>COUNTIFS('baza-04.10.2026'!C:C,'Birbank Ştat'!A:A,'baza-04.10.2026'!I:I,"Paşa Holding")</f>
        <v>0</v>
      </c>
      <c r="L45" s="8">
        <f>COUNTIFS('baza-04.10.2026'!C:C,'Birbank Ştat'!A:A,'baza-04.10.2026'!I:I,"Future lab")</f>
        <v>2</v>
      </c>
      <c r="M45" s="8">
        <f>Table2[[#This Row],[Pashapay]]+Table2[[#This Row],[Birmarket]]+Table2[[#This Row],[Paşa holding]]+Table2[[#This Row],[Future lab]]</f>
        <v>11</v>
      </c>
    </row>
    <row r="46" spans="1:13" x14ac:dyDescent="0.3">
      <c r="A46" s="5" t="s">
        <v>6711</v>
      </c>
      <c r="B46" s="5">
        <v>16</v>
      </c>
      <c r="C46" s="5">
        <v>14</v>
      </c>
      <c r="D46" s="5">
        <v>0</v>
      </c>
      <c r="E46" s="5">
        <f t="shared" si="1"/>
        <v>2</v>
      </c>
      <c r="F46" s="5" t="s">
        <v>7164</v>
      </c>
      <c r="G46" s="5"/>
      <c r="H46" s="5" t="s">
        <v>7210</v>
      </c>
      <c r="I46" s="8">
        <f>COUNTIFS('baza-04.10.2026'!C:C,'Birbank Ştat'!A:A,'baza-04.10.2026'!I:I,"Bir Payment")</f>
        <v>0</v>
      </c>
      <c r="J46" s="8">
        <f>COUNTIFS('baza-04.10.2026'!C:C,'Birbank Ştat'!A:A,'baza-04.10.2026'!I:I,"BirMarket")</f>
        <v>0</v>
      </c>
      <c r="K46" s="8">
        <f>COUNTIFS('baza-04.10.2026'!C:C,'Birbank Ştat'!A:A,'baza-04.10.2026'!I:I,"Paşa Holding")</f>
        <v>0</v>
      </c>
      <c r="L46" s="8">
        <f>COUNTIFS('baza-04.10.2026'!C:C,'Birbank Ştat'!A:A,'baza-04.10.2026'!I:I,"Future lab")</f>
        <v>0</v>
      </c>
      <c r="M46" s="8">
        <f>Table2[[#This Row],[Pashapay]]+Table2[[#This Row],[Birmarket]]+Table2[[#This Row],[Paşa holding]]+Table2[[#This Row],[Future lab]]</f>
        <v>0</v>
      </c>
    </row>
    <row r="47" spans="1:13" x14ac:dyDescent="0.3">
      <c r="A47" s="5" t="s">
        <v>6749</v>
      </c>
      <c r="B47" s="5">
        <v>7</v>
      </c>
      <c r="C47" s="5">
        <v>5</v>
      </c>
      <c r="D47" s="5">
        <v>0</v>
      </c>
      <c r="E47" s="5">
        <f t="shared" si="1"/>
        <v>2</v>
      </c>
      <c r="F47" s="5" t="s">
        <v>7164</v>
      </c>
      <c r="G47" s="5"/>
      <c r="H47" s="5" t="s">
        <v>7210</v>
      </c>
      <c r="I47" s="8">
        <f>COUNTIFS('baza-04.10.2026'!C:C,'Birbank Ştat'!A:A,'baza-04.10.2026'!I:I,"Bir Payment")</f>
        <v>0</v>
      </c>
      <c r="J47" s="8">
        <f>COUNTIFS('baza-04.10.2026'!C:C,'Birbank Ştat'!A:A,'baza-04.10.2026'!I:I,"BirMarket")</f>
        <v>0</v>
      </c>
      <c r="K47" s="8">
        <f>COUNTIFS('baza-04.10.2026'!C:C,'Birbank Ştat'!A:A,'baza-04.10.2026'!I:I,"Paşa Holding")</f>
        <v>0</v>
      </c>
      <c r="L47" s="8">
        <f>COUNTIFS('baza-04.10.2026'!C:C,'Birbank Ştat'!A:A,'baza-04.10.2026'!I:I,"Future lab")</f>
        <v>0</v>
      </c>
      <c r="M47" s="8">
        <f>Table2[[#This Row],[Pashapay]]+Table2[[#This Row],[Birmarket]]+Table2[[#This Row],[Paşa holding]]+Table2[[#This Row],[Future lab]]</f>
        <v>0</v>
      </c>
    </row>
    <row r="48" spans="1:13" x14ac:dyDescent="0.3">
      <c r="A48" s="5" t="s">
        <v>6477</v>
      </c>
      <c r="B48" s="5">
        <v>10</v>
      </c>
      <c r="C48" s="5">
        <v>9</v>
      </c>
      <c r="D48" s="5">
        <v>0</v>
      </c>
      <c r="E48" s="5">
        <f t="shared" si="1"/>
        <v>1</v>
      </c>
      <c r="F48" s="5" t="s">
        <v>7163</v>
      </c>
      <c r="G48" s="5" t="s">
        <v>7217</v>
      </c>
      <c r="H48" s="5" t="s">
        <v>7208</v>
      </c>
      <c r="I48" s="8">
        <f>COUNTIFS('baza-04.10.2026'!C:C,'Birbank Ştat'!A:A,'baza-04.10.2026'!I:I,"Bir Payment")</f>
        <v>1</v>
      </c>
      <c r="J48" s="8">
        <f>COUNTIFS('baza-04.10.2026'!C:C,'Birbank Ştat'!A:A,'baza-04.10.2026'!I:I,"BirMarket")</f>
        <v>0</v>
      </c>
      <c r="K48" s="8">
        <f>COUNTIFS('baza-04.10.2026'!C:C,'Birbank Ştat'!A:A,'baza-04.10.2026'!I:I,"Paşa Holding")</f>
        <v>8</v>
      </c>
      <c r="L48" s="8">
        <f>COUNTIFS('baza-04.10.2026'!C:C,'Birbank Ştat'!A:A,'baza-04.10.2026'!I:I,"Future lab")</f>
        <v>0</v>
      </c>
      <c r="M48" s="8">
        <f>Table2[[#This Row],[Pashapay]]+Table2[[#This Row],[Birmarket]]+Table2[[#This Row],[Paşa holding]]+Table2[[#This Row],[Future lab]]</f>
        <v>9</v>
      </c>
    </row>
    <row r="49" spans="1:13" x14ac:dyDescent="0.3">
      <c r="A49" s="5" t="s">
        <v>6720</v>
      </c>
      <c r="B49" s="5">
        <v>5</v>
      </c>
      <c r="C49" s="5">
        <v>4</v>
      </c>
      <c r="D49" s="5">
        <v>0</v>
      </c>
      <c r="E49" s="5">
        <f t="shared" si="1"/>
        <v>1</v>
      </c>
      <c r="F49" s="5" t="s">
        <v>7164</v>
      </c>
      <c r="G49" s="5"/>
      <c r="H49" s="5" t="s">
        <v>7209</v>
      </c>
      <c r="I49" s="8">
        <f>COUNTIFS('baza-04.10.2026'!C:C,'Birbank Ştat'!A:A,'baza-04.10.2026'!I:I,"Bir Payment")</f>
        <v>0</v>
      </c>
      <c r="J49" s="8">
        <f>COUNTIFS('baza-04.10.2026'!C:C,'Birbank Ştat'!A:A,'baza-04.10.2026'!I:I,"BirMarket")</f>
        <v>0</v>
      </c>
      <c r="K49" s="8">
        <f>COUNTIFS('baza-04.10.2026'!C:C,'Birbank Ştat'!A:A,'baza-04.10.2026'!I:I,"Paşa Holding")</f>
        <v>0</v>
      </c>
      <c r="L49" s="8">
        <f>COUNTIFS('baza-04.10.2026'!C:C,'Birbank Ştat'!A:A,'baza-04.10.2026'!I:I,"Future lab")</f>
        <v>0</v>
      </c>
      <c r="M49" s="8">
        <f>Table2[[#This Row],[Pashapay]]+Table2[[#This Row],[Birmarket]]+Table2[[#This Row],[Paşa holding]]+Table2[[#This Row],[Future lab]]</f>
        <v>0</v>
      </c>
    </row>
    <row r="50" spans="1:13" x14ac:dyDescent="0.3">
      <c r="A50" s="5" t="s">
        <v>6421</v>
      </c>
      <c r="B50" s="5">
        <v>23</v>
      </c>
      <c r="C50" s="5">
        <v>22</v>
      </c>
      <c r="D50" s="5">
        <v>1</v>
      </c>
      <c r="E50" s="5">
        <f t="shared" si="1"/>
        <v>2</v>
      </c>
      <c r="F50" s="5" t="s">
        <v>7163</v>
      </c>
      <c r="G50" s="5"/>
      <c r="H50" s="5" t="s">
        <v>7210</v>
      </c>
      <c r="I50" s="8">
        <f>COUNTIFS('baza-04.10.2026'!C:C,'Birbank Ştat'!A:A,'baza-04.10.2026'!I:I,"Bir Payment")</f>
        <v>0</v>
      </c>
      <c r="J50" s="8">
        <f>COUNTIFS('baza-04.10.2026'!C:C,'Birbank Ştat'!A:A,'baza-04.10.2026'!I:I,"BirMarket")</f>
        <v>1</v>
      </c>
      <c r="K50" s="8">
        <f>COUNTIFS('baza-04.10.2026'!C:C,'Birbank Ştat'!A:A,'baza-04.10.2026'!I:I,"Paşa Holding")</f>
        <v>0</v>
      </c>
      <c r="L50" s="8">
        <f>COUNTIFS('baza-04.10.2026'!C:C,'Birbank Ştat'!A:A,'baza-04.10.2026'!I:I,"Future lab")</f>
        <v>0</v>
      </c>
      <c r="M50" s="8">
        <f>Table2[[#This Row],[Pashapay]]+Table2[[#This Row],[Birmarket]]+Table2[[#This Row],[Paşa holding]]+Table2[[#This Row],[Future lab]]</f>
        <v>1</v>
      </c>
    </row>
    <row r="51" spans="1:13" x14ac:dyDescent="0.3">
      <c r="A51" s="5" t="s">
        <v>6659</v>
      </c>
      <c r="B51" s="5">
        <v>27</v>
      </c>
      <c r="C51" s="5">
        <v>23</v>
      </c>
      <c r="D51" s="5">
        <v>0</v>
      </c>
      <c r="E51" s="5">
        <f t="shared" si="1"/>
        <v>4</v>
      </c>
      <c r="F51" s="5" t="s">
        <v>7164</v>
      </c>
      <c r="G51" s="5"/>
      <c r="H51" s="5" t="s">
        <v>7208</v>
      </c>
      <c r="I51" s="8">
        <f>COUNTIFS('baza-04.10.2026'!C:C,'Birbank Ştat'!A:A,'baza-04.10.2026'!I:I,"Bir Payment")</f>
        <v>4</v>
      </c>
      <c r="J51" s="8">
        <f>COUNTIFS('baza-04.10.2026'!C:C,'Birbank Ştat'!A:A,'baza-04.10.2026'!I:I,"BirMarket")</f>
        <v>0</v>
      </c>
      <c r="K51" s="8">
        <f>COUNTIFS('baza-04.10.2026'!C:C,'Birbank Ştat'!A:A,'baza-04.10.2026'!I:I,"Paşa Holding")</f>
        <v>0</v>
      </c>
      <c r="L51" s="8">
        <f>COUNTIFS('baza-04.10.2026'!C:C,'Birbank Ştat'!A:A,'baza-04.10.2026'!I:I,"Future lab")</f>
        <v>0</v>
      </c>
      <c r="M51" s="8">
        <f>Table2[[#This Row],[Pashapay]]+Table2[[#This Row],[Birmarket]]+Table2[[#This Row],[Paşa holding]]+Table2[[#This Row],[Future lab]]</f>
        <v>4</v>
      </c>
    </row>
    <row r="52" spans="1:13" x14ac:dyDescent="0.3">
      <c r="A52" s="5" t="s">
        <v>6849</v>
      </c>
      <c r="B52" s="5">
        <v>7</v>
      </c>
      <c r="C52" s="5">
        <v>5</v>
      </c>
      <c r="D52" s="5">
        <v>0</v>
      </c>
      <c r="E52" s="5">
        <f t="shared" si="1"/>
        <v>2</v>
      </c>
      <c r="F52" s="5" t="s">
        <v>7164</v>
      </c>
      <c r="G52" s="5"/>
      <c r="H52" s="5" t="s">
        <v>7210</v>
      </c>
      <c r="I52" s="8">
        <f>COUNTIFS('baza-04.10.2026'!C:C,'Birbank Ştat'!A:A,'baza-04.10.2026'!I:I,"Bir Payment")</f>
        <v>0</v>
      </c>
      <c r="J52" s="8">
        <f>COUNTIFS('baza-04.10.2026'!C:C,'Birbank Ştat'!A:A,'baza-04.10.2026'!I:I,"BirMarket")</f>
        <v>0</v>
      </c>
      <c r="K52" s="8">
        <f>COUNTIFS('baza-04.10.2026'!C:C,'Birbank Ştat'!A:A,'baza-04.10.2026'!I:I,"Paşa Holding")</f>
        <v>0</v>
      </c>
      <c r="L52" s="8">
        <f>COUNTIFS('baza-04.10.2026'!C:C,'Birbank Ştat'!A:A,'baza-04.10.2026'!I:I,"Future lab")</f>
        <v>0</v>
      </c>
      <c r="M52" s="8">
        <f>Table2[[#This Row],[Pashapay]]+Table2[[#This Row],[Birmarket]]+Table2[[#This Row],[Paşa holding]]+Table2[[#This Row],[Future lab]]</f>
        <v>0</v>
      </c>
    </row>
    <row r="53" spans="1:13" x14ac:dyDescent="0.3">
      <c r="A53" s="5" t="s">
        <v>6326</v>
      </c>
      <c r="B53" s="5">
        <v>6</v>
      </c>
      <c r="C53" s="5">
        <v>5</v>
      </c>
      <c r="D53" s="5">
        <v>0</v>
      </c>
      <c r="E53" s="5">
        <f t="shared" si="1"/>
        <v>1</v>
      </c>
      <c r="F53" s="5" t="s">
        <v>7164</v>
      </c>
      <c r="G53" s="5" t="s">
        <v>12558</v>
      </c>
      <c r="H53" s="5" t="s">
        <v>7209</v>
      </c>
      <c r="I53" s="8">
        <f>COUNTIFS('baza-04.10.2026'!C:C,'Birbank Ştat'!A:A,'baza-04.10.2026'!I:I,"Bir Payment")</f>
        <v>0</v>
      </c>
      <c r="J53" s="8">
        <f>COUNTIFS('baza-04.10.2026'!C:C,'Birbank Ştat'!A:A,'baza-04.10.2026'!I:I,"BirMarket")</f>
        <v>0</v>
      </c>
      <c r="K53" s="8">
        <f>COUNTIFS('baza-04.10.2026'!C:C,'Birbank Ştat'!A:A,'baza-04.10.2026'!I:I,"Paşa Holding")</f>
        <v>0</v>
      </c>
      <c r="L53" s="8">
        <f>COUNTIFS('baza-04.10.2026'!C:C,'Birbank Ştat'!A:A,'baza-04.10.2026'!I:I,"Future lab")</f>
        <v>0</v>
      </c>
      <c r="M53" s="8">
        <f>Table2[[#This Row],[Pashapay]]+Table2[[#This Row],[Birmarket]]+Table2[[#This Row],[Paşa holding]]+Table2[[#This Row],[Future lab]]</f>
        <v>0</v>
      </c>
    </row>
    <row r="54" spans="1:13" x14ac:dyDescent="0.3">
      <c r="A54" s="5" t="s">
        <v>7218</v>
      </c>
      <c r="B54" s="5">
        <v>2</v>
      </c>
      <c r="C54" s="5">
        <v>0</v>
      </c>
      <c r="D54" s="5">
        <v>0</v>
      </c>
      <c r="E54" s="5">
        <f t="shared" si="1"/>
        <v>2</v>
      </c>
      <c r="F54" s="5" t="s">
        <v>7163</v>
      </c>
      <c r="G54" s="5"/>
      <c r="H54" s="5" t="s">
        <v>7210</v>
      </c>
      <c r="I54" s="8">
        <f>COUNTIFS('baza-04.10.2026'!C:C,'Birbank Ştat'!A:A,'baza-04.10.2026'!I:I,"Bir Payment")</f>
        <v>0</v>
      </c>
      <c r="J54" s="8">
        <f>COUNTIFS('baza-04.10.2026'!C:C,'Birbank Ştat'!A:A,'baza-04.10.2026'!I:I,"BirMarket")</f>
        <v>0</v>
      </c>
      <c r="K54" s="8">
        <f>COUNTIFS('baza-04.10.2026'!C:C,'Birbank Ştat'!A:A,'baza-04.10.2026'!I:I,"Paşa Holding")</f>
        <v>0</v>
      </c>
      <c r="L54" s="8">
        <f>COUNTIFS('baza-04.10.2026'!C:C,'Birbank Ştat'!A:A,'baza-04.10.2026'!I:I,"Future lab")</f>
        <v>0</v>
      </c>
      <c r="M54" s="8">
        <f>Table2[[#This Row],[Pashapay]]+Table2[[#This Row],[Birmarket]]+Table2[[#This Row],[Paşa holding]]+Table2[[#This Row],[Future lab]]</f>
        <v>0</v>
      </c>
    </row>
    <row r="55" spans="1:13" x14ac:dyDescent="0.3">
      <c r="A55" s="5" t="s">
        <v>7219</v>
      </c>
      <c r="B55" s="5">
        <v>4</v>
      </c>
      <c r="C55" s="5">
        <v>2</v>
      </c>
      <c r="D55" s="5">
        <v>0</v>
      </c>
      <c r="E55" s="5">
        <f t="shared" si="1"/>
        <v>2</v>
      </c>
      <c r="F55" s="5" t="s">
        <v>7163</v>
      </c>
      <c r="G55" s="5"/>
      <c r="H55" s="5" t="s">
        <v>7208</v>
      </c>
      <c r="I55" s="8">
        <f>COUNTIFS('baza-04.10.2026'!C:C,'Birbank Ştat'!A:A,'baza-04.10.2026'!I:I,"Bir Payment")</f>
        <v>0</v>
      </c>
      <c r="J55" s="8">
        <f>COUNTIFS('baza-04.10.2026'!C:C,'Birbank Ştat'!A:A,'baza-04.10.2026'!I:I,"BirMarket")</f>
        <v>0</v>
      </c>
      <c r="K55" s="8">
        <f>COUNTIFS('baza-04.10.2026'!C:C,'Birbank Ştat'!A:A,'baza-04.10.2026'!I:I,"Paşa Holding")</f>
        <v>0</v>
      </c>
      <c r="L55" s="8">
        <f>COUNTIFS('baza-04.10.2026'!C:C,'Birbank Ştat'!A:A,'baza-04.10.2026'!I:I,"Future lab")</f>
        <v>0</v>
      </c>
      <c r="M55" s="8">
        <f>Table2[[#This Row],[Pashapay]]+Table2[[#This Row],[Birmarket]]+Table2[[#This Row],[Paşa holding]]+Table2[[#This Row],[Future lab]]</f>
        <v>0</v>
      </c>
    </row>
    <row r="56" spans="1:13" x14ac:dyDescent="0.3">
      <c r="A56" s="5" t="s">
        <v>6770</v>
      </c>
      <c r="B56" s="5">
        <v>34</v>
      </c>
      <c r="C56" s="5">
        <v>31</v>
      </c>
      <c r="D56" s="5">
        <v>0</v>
      </c>
      <c r="E56" s="5">
        <f t="shared" si="1"/>
        <v>3</v>
      </c>
      <c r="F56" s="5" t="s">
        <v>7164</v>
      </c>
      <c r="G56" s="5"/>
      <c r="H56" s="5" t="s">
        <v>7210</v>
      </c>
      <c r="I56" s="8">
        <f>COUNTIFS('baza-04.10.2026'!C:C,'Birbank Ştat'!A:A,'baza-04.10.2026'!I:I,"Bir Payment")</f>
        <v>0</v>
      </c>
      <c r="J56" s="8">
        <f>COUNTIFS('baza-04.10.2026'!C:C,'Birbank Ştat'!A:A,'baza-04.10.2026'!I:I,"BirMarket")</f>
        <v>0</v>
      </c>
      <c r="K56" s="8">
        <f>COUNTIFS('baza-04.10.2026'!C:C,'Birbank Ştat'!A:A,'baza-04.10.2026'!I:I,"Paşa Holding")</f>
        <v>0</v>
      </c>
      <c r="L56" s="8">
        <f>COUNTIFS('baza-04.10.2026'!C:C,'Birbank Ştat'!A:A,'baza-04.10.2026'!I:I,"Future lab")</f>
        <v>0</v>
      </c>
      <c r="M56" s="8">
        <f>Table2[[#This Row],[Pashapay]]+Table2[[#This Row],[Birmarket]]+Table2[[#This Row],[Paşa holding]]+Table2[[#This Row],[Future lab]]</f>
        <v>0</v>
      </c>
    </row>
    <row r="57" spans="1:13" x14ac:dyDescent="0.3">
      <c r="A57" s="5" t="s">
        <v>6452</v>
      </c>
      <c r="B57" s="5">
        <v>29</v>
      </c>
      <c r="C57" s="5">
        <v>26</v>
      </c>
      <c r="D57" s="5">
        <v>0</v>
      </c>
      <c r="E57" s="5">
        <f t="shared" si="1"/>
        <v>3</v>
      </c>
      <c r="F57" s="5" t="s">
        <v>7163</v>
      </c>
      <c r="G57" s="5"/>
      <c r="H57" s="5" t="s">
        <v>7210</v>
      </c>
      <c r="I57" s="8">
        <f>COUNTIFS('baza-04.10.2026'!C:C,'Birbank Ştat'!A:A,'baza-04.10.2026'!I:I,"Bir Payment")</f>
        <v>0</v>
      </c>
      <c r="J57" s="8">
        <f>COUNTIFS('baza-04.10.2026'!C:C,'Birbank Ştat'!A:A,'baza-04.10.2026'!I:I,"BirMarket")</f>
        <v>0</v>
      </c>
      <c r="K57" s="8">
        <f>COUNTIFS('baza-04.10.2026'!C:C,'Birbank Ştat'!A:A,'baza-04.10.2026'!I:I,"Paşa Holding")</f>
        <v>0</v>
      </c>
      <c r="L57" s="8">
        <f>COUNTIFS('baza-04.10.2026'!C:C,'Birbank Ştat'!A:A,'baza-04.10.2026'!I:I,"Future lab")</f>
        <v>0</v>
      </c>
      <c r="M57" s="8">
        <f>Table2[[#This Row],[Pashapay]]+Table2[[#This Row],[Birmarket]]+Table2[[#This Row],[Paşa holding]]+Table2[[#This Row],[Future lab]]</f>
        <v>0</v>
      </c>
    </row>
    <row r="58" spans="1:13" x14ac:dyDescent="0.3">
      <c r="A58" s="5" t="s">
        <v>6471</v>
      </c>
      <c r="B58" s="5">
        <v>26</v>
      </c>
      <c r="C58" s="5">
        <v>25</v>
      </c>
      <c r="D58" s="5">
        <v>0</v>
      </c>
      <c r="E58" s="5">
        <f t="shared" si="1"/>
        <v>1</v>
      </c>
      <c r="F58" s="5" t="s">
        <v>7163</v>
      </c>
      <c r="G58" s="5" t="s">
        <v>7220</v>
      </c>
      <c r="H58" s="5" t="s">
        <v>7210</v>
      </c>
      <c r="I58" s="8">
        <f>COUNTIFS('baza-04.10.2026'!C:C,'Birbank Ştat'!A:A,'baza-04.10.2026'!I:I,"Bir Payment")</f>
        <v>0</v>
      </c>
      <c r="J58" s="8">
        <f>COUNTIFS('baza-04.10.2026'!C:C,'Birbank Ştat'!A:A,'baza-04.10.2026'!I:I,"BirMarket")</f>
        <v>0</v>
      </c>
      <c r="K58" s="8">
        <f>COUNTIFS('baza-04.10.2026'!C:C,'Birbank Ştat'!A:A,'baza-04.10.2026'!I:I,"Paşa Holding")</f>
        <v>0</v>
      </c>
      <c r="L58" s="8">
        <f>COUNTIFS('baza-04.10.2026'!C:C,'Birbank Ştat'!A:A,'baza-04.10.2026'!I:I,"Future lab")</f>
        <v>0</v>
      </c>
      <c r="M58" s="8">
        <f>Table2[[#This Row],[Pashapay]]+Table2[[#This Row],[Birmarket]]+Table2[[#This Row],[Paşa holding]]+Table2[[#This Row],[Future lab]]</f>
        <v>0</v>
      </c>
    </row>
    <row r="59" spans="1:13" x14ac:dyDescent="0.3">
      <c r="A59" s="5" t="s">
        <v>6756</v>
      </c>
      <c r="B59" s="5">
        <v>57</v>
      </c>
      <c r="C59" s="5">
        <v>54</v>
      </c>
      <c r="D59" s="5">
        <v>0</v>
      </c>
      <c r="E59" s="5">
        <f t="shared" si="1"/>
        <v>3</v>
      </c>
      <c r="F59" s="5" t="s">
        <v>7164</v>
      </c>
      <c r="G59" s="5"/>
      <c r="H59" s="5" t="s">
        <v>7208</v>
      </c>
      <c r="I59" s="8">
        <f>COUNTIFS('baza-04.10.2026'!C:C,'Birbank Ştat'!A:A,'baza-04.10.2026'!I:I,"Bir Payment")</f>
        <v>2</v>
      </c>
      <c r="J59" s="8">
        <f>COUNTIFS('baza-04.10.2026'!C:C,'Birbank Ştat'!A:A,'baza-04.10.2026'!I:I,"BirMarket")</f>
        <v>0</v>
      </c>
      <c r="K59" s="8">
        <f>COUNTIFS('baza-04.10.2026'!C:C,'Birbank Ştat'!A:A,'baza-04.10.2026'!I:I,"Paşa Holding")</f>
        <v>0</v>
      </c>
      <c r="L59" s="8">
        <f>COUNTIFS('baza-04.10.2026'!C:C,'Birbank Ştat'!A:A,'baza-04.10.2026'!I:I,"Future lab")</f>
        <v>0</v>
      </c>
      <c r="M59" s="8">
        <f>Table2[[#This Row],[Pashapay]]+Table2[[#This Row],[Birmarket]]+Table2[[#This Row],[Paşa holding]]+Table2[[#This Row],[Future lab]]</f>
        <v>2</v>
      </c>
    </row>
    <row r="60" spans="1:13" x14ac:dyDescent="0.3">
      <c r="A60" s="5" t="s">
        <v>6523</v>
      </c>
      <c r="B60" s="5">
        <v>41</v>
      </c>
      <c r="C60" s="5">
        <v>38</v>
      </c>
      <c r="D60" s="5">
        <v>0</v>
      </c>
      <c r="E60" s="5">
        <f t="shared" si="1"/>
        <v>3</v>
      </c>
      <c r="F60" s="5"/>
      <c r="G60" s="5" t="s">
        <v>7221</v>
      </c>
      <c r="H60" s="5" t="s">
        <v>7209</v>
      </c>
      <c r="I60" s="8">
        <f>COUNTIFS('baza-04.10.2026'!C:C,'Birbank Ştat'!A:A,'baza-04.10.2026'!I:I,"Bir Payment")</f>
        <v>1</v>
      </c>
      <c r="J60" s="8">
        <f>COUNTIFS('baza-04.10.2026'!C:C,'Birbank Ştat'!A:A,'baza-04.10.2026'!I:I,"BirMarket")</f>
        <v>0</v>
      </c>
      <c r="K60" s="8">
        <f>COUNTIFS('baza-04.10.2026'!C:C,'Birbank Ştat'!A:A,'baza-04.10.2026'!I:I,"Paşa Holding")</f>
        <v>0</v>
      </c>
      <c r="L60" s="8">
        <f>COUNTIFS('baza-04.10.2026'!C:C,'Birbank Ştat'!A:A,'baza-04.10.2026'!I:I,"Future lab")</f>
        <v>0</v>
      </c>
      <c r="M60" s="8">
        <f>Table2[[#This Row],[Pashapay]]+Table2[[#This Row],[Birmarket]]+Table2[[#This Row],[Paşa holding]]+Table2[[#This Row],[Future lab]]</f>
        <v>1</v>
      </c>
    </row>
    <row r="61" spans="1:13" x14ac:dyDescent="0.3">
      <c r="A61" s="5" t="s">
        <v>6529</v>
      </c>
      <c r="B61" s="5">
        <v>59</v>
      </c>
      <c r="C61" s="5">
        <v>58</v>
      </c>
      <c r="D61" s="5">
        <v>0</v>
      </c>
      <c r="E61" s="5">
        <f t="shared" ref="E61:E92" si="2">B61-C61+D61</f>
        <v>1</v>
      </c>
      <c r="F61" s="5" t="s">
        <v>7163</v>
      </c>
      <c r="G61" s="5" t="s">
        <v>7222</v>
      </c>
      <c r="H61" s="5" t="s">
        <v>7209</v>
      </c>
      <c r="I61" s="8">
        <f>COUNTIFS('baza-04.10.2026'!C:C,'Birbank Ştat'!A:A,'baza-04.10.2026'!I:I,"Bir Payment")</f>
        <v>31</v>
      </c>
      <c r="J61" s="8">
        <f>COUNTIFS('baza-04.10.2026'!C:C,'Birbank Ştat'!A:A,'baza-04.10.2026'!I:I,"BirMarket")</f>
        <v>0</v>
      </c>
      <c r="K61" s="8">
        <f>COUNTIFS('baza-04.10.2026'!C:C,'Birbank Ştat'!A:A,'baza-04.10.2026'!I:I,"Paşa Holding")</f>
        <v>0</v>
      </c>
      <c r="L61" s="8">
        <f>COUNTIFS('baza-04.10.2026'!C:C,'Birbank Ştat'!A:A,'baza-04.10.2026'!I:I,"Future lab")</f>
        <v>0</v>
      </c>
      <c r="M61" s="8">
        <f>Table2[[#This Row],[Pashapay]]+Table2[[#This Row],[Birmarket]]+Table2[[#This Row],[Paşa holding]]+Table2[[#This Row],[Future lab]]</f>
        <v>31</v>
      </c>
    </row>
    <row r="62" spans="1:13" x14ac:dyDescent="0.3">
      <c r="A62" s="5" t="s">
        <v>6506</v>
      </c>
      <c r="B62" s="5">
        <v>25</v>
      </c>
      <c r="C62" s="5">
        <v>25</v>
      </c>
      <c r="D62" s="5">
        <v>1</v>
      </c>
      <c r="E62" s="5">
        <f t="shared" si="2"/>
        <v>1</v>
      </c>
      <c r="F62" s="5" t="s">
        <v>7164</v>
      </c>
      <c r="G62" s="5" t="s">
        <v>7235</v>
      </c>
      <c r="H62" s="5" t="s">
        <v>7208</v>
      </c>
      <c r="I62" s="8">
        <v>3</v>
      </c>
      <c r="J62" s="8">
        <f>COUNTIFS('baza-04.10.2026'!C:C,'Birbank Ştat'!A:A,'baza-04.10.2026'!I:I,"BirMarket")</f>
        <v>0</v>
      </c>
      <c r="K62" s="8">
        <f>COUNTIFS('baza-04.10.2026'!C:C,'Birbank Ştat'!A:A,'baza-04.10.2026'!I:I,"Paşa Holding")</f>
        <v>0</v>
      </c>
      <c r="L62" s="8">
        <f>COUNTIFS('baza-04.10.2026'!C:C,'Birbank Ştat'!A:A,'baza-04.10.2026'!I:I,"Future lab")</f>
        <v>0</v>
      </c>
      <c r="M62" s="8">
        <f>Table2[[#This Row],[Pashapay]]+Table2[[#This Row],[Birmarket]]+Table2[[#This Row],[Paşa holding]]+Table2[[#This Row],[Future lab]]</f>
        <v>3</v>
      </c>
    </row>
    <row r="63" spans="1:13" x14ac:dyDescent="0.3">
      <c r="A63" s="5" t="s">
        <v>6334</v>
      </c>
      <c r="B63" s="5">
        <v>6</v>
      </c>
      <c r="C63" s="5">
        <v>2</v>
      </c>
      <c r="D63" s="5">
        <v>0</v>
      </c>
      <c r="E63" s="5">
        <f t="shared" si="2"/>
        <v>4</v>
      </c>
      <c r="F63" s="5" t="s">
        <v>7163</v>
      </c>
      <c r="G63" s="5"/>
      <c r="H63" s="5" t="s">
        <v>7208</v>
      </c>
      <c r="I63" s="8">
        <f>COUNTIFS('baza-04.10.2026'!C:C,'Birbank Ştat'!A:A,'baza-04.10.2026'!I:I,"Bir Payment")</f>
        <v>0</v>
      </c>
      <c r="J63" s="8">
        <f>COUNTIFS('baza-04.10.2026'!C:C,'Birbank Ştat'!A:A,'baza-04.10.2026'!I:I,"BirMarket")</f>
        <v>0</v>
      </c>
      <c r="K63" s="8">
        <f>COUNTIFS('baza-04.10.2026'!C:C,'Birbank Ştat'!A:A,'baza-04.10.2026'!I:I,"Paşa Holding")</f>
        <v>0</v>
      </c>
      <c r="L63" s="8">
        <f>COUNTIFS('baza-04.10.2026'!C:C,'Birbank Ştat'!A:A,'baza-04.10.2026'!I:I,"Future lab")</f>
        <v>0</v>
      </c>
      <c r="M63" s="8">
        <f>Table2[[#This Row],[Pashapay]]+Table2[[#This Row],[Birmarket]]+Table2[[#This Row],[Paşa holding]]+Table2[[#This Row],[Future lab]]</f>
        <v>0</v>
      </c>
    </row>
    <row r="64" spans="1:13" x14ac:dyDescent="0.3">
      <c r="A64" s="5" t="s">
        <v>6349</v>
      </c>
      <c r="B64" s="5">
        <v>83</v>
      </c>
      <c r="C64" s="5">
        <v>80</v>
      </c>
      <c r="D64" s="5">
        <v>3</v>
      </c>
      <c r="E64" s="5">
        <f t="shared" si="2"/>
        <v>6</v>
      </c>
      <c r="F64" s="5" t="s">
        <v>7163</v>
      </c>
      <c r="G64" s="5"/>
      <c r="H64" s="5" t="s">
        <v>7208</v>
      </c>
      <c r="I64" s="8">
        <f>COUNTIFS('baza-04.10.2026'!C:C,'Birbank Ştat'!A:A,'baza-04.10.2026'!I:I,"Bir Payment")</f>
        <v>9</v>
      </c>
      <c r="J64" s="8">
        <f>COUNTIFS('baza-04.10.2026'!C:C,'Birbank Ştat'!A:A,'baza-04.10.2026'!I:I,"BirMarket")</f>
        <v>12</v>
      </c>
      <c r="K64" s="8">
        <f>COUNTIFS('baza-04.10.2026'!C:C,'Birbank Ştat'!A:A,'baza-04.10.2026'!I:I,"Paşa Holding")</f>
        <v>2</v>
      </c>
      <c r="L64" s="8">
        <f>COUNTIFS('baza-04.10.2026'!C:C,'Birbank Ştat'!A:A,'baza-04.10.2026'!I:I,"Future lab")</f>
        <v>1</v>
      </c>
      <c r="M64" s="8">
        <f>Table2[[#This Row],[Pashapay]]+Table2[[#This Row],[Birmarket]]+Table2[[#This Row],[Paşa holding]]+Table2[[#This Row],[Future lab]]</f>
        <v>24</v>
      </c>
    </row>
    <row r="65" spans="1:13" x14ac:dyDescent="0.3">
      <c r="A65" s="5" t="s">
        <v>6774</v>
      </c>
      <c r="B65" s="5">
        <v>42</v>
      </c>
      <c r="C65" s="5">
        <v>37</v>
      </c>
      <c r="D65" s="5">
        <v>1</v>
      </c>
      <c r="E65" s="5">
        <f t="shared" si="2"/>
        <v>6</v>
      </c>
      <c r="F65" s="5" t="s">
        <v>7163</v>
      </c>
      <c r="G65" s="5" t="s">
        <v>7223</v>
      </c>
      <c r="H65" s="5" t="s">
        <v>7210</v>
      </c>
      <c r="I65" s="8">
        <f>COUNTIFS('baza-04.10.2026'!C:C,'Birbank Ştat'!A:A,'baza-04.10.2026'!I:I,"Bir Payment")</f>
        <v>1</v>
      </c>
      <c r="J65" s="8">
        <f>COUNTIFS('baza-04.10.2026'!C:C,'Birbank Ştat'!A:A,'baza-04.10.2026'!I:I,"BirMarket")</f>
        <v>0</v>
      </c>
      <c r="K65" s="8">
        <f>COUNTIFS('baza-04.10.2026'!C:C,'Birbank Ştat'!A:A,'baza-04.10.2026'!I:I,"Paşa Holding")</f>
        <v>0</v>
      </c>
      <c r="L65" s="8">
        <f>COUNTIFS('baza-04.10.2026'!C:C,'Birbank Ştat'!A:A,'baza-04.10.2026'!I:I,"Future lab")</f>
        <v>0</v>
      </c>
      <c r="M65" s="8">
        <f>Table2[[#This Row],[Pashapay]]+Table2[[#This Row],[Birmarket]]+Table2[[#This Row],[Paşa holding]]+Table2[[#This Row],[Future lab]]</f>
        <v>1</v>
      </c>
    </row>
    <row r="66" spans="1:13" x14ac:dyDescent="0.3">
      <c r="A66" s="5" t="s">
        <v>6515</v>
      </c>
      <c r="B66" s="5">
        <f>12-1</f>
        <v>11</v>
      </c>
      <c r="C66" s="5">
        <v>8</v>
      </c>
      <c r="D66" s="5">
        <v>0</v>
      </c>
      <c r="E66" s="5">
        <f t="shared" si="2"/>
        <v>3</v>
      </c>
      <c r="F66" s="5" t="s">
        <v>7164</v>
      </c>
      <c r="G66" s="5" t="s">
        <v>17036</v>
      </c>
      <c r="H66" s="5" t="s">
        <v>7210</v>
      </c>
      <c r="I66" s="8">
        <f>COUNTIFS('baza-04.10.2026'!C:C,'Birbank Ştat'!A:A,'baza-04.10.2026'!I:I,"Bir Payment")</f>
        <v>0</v>
      </c>
      <c r="J66" s="8">
        <f>COUNTIFS('baza-04.10.2026'!C:C,'Birbank Ştat'!A:A,'baza-04.10.2026'!I:I,"BirMarket")</f>
        <v>0</v>
      </c>
      <c r="K66" s="8">
        <f>COUNTIFS('baza-04.10.2026'!C:C,'Birbank Ştat'!A:A,'baza-04.10.2026'!I:I,"Paşa Holding")</f>
        <v>0</v>
      </c>
      <c r="L66" s="8">
        <f>COUNTIFS('baza-04.10.2026'!C:C,'Birbank Ştat'!A:A,'baza-04.10.2026'!I:I,"Future lab")</f>
        <v>0</v>
      </c>
      <c r="M66" s="8">
        <f>Table2[[#This Row],[Pashapay]]+Table2[[#This Row],[Birmarket]]+Table2[[#This Row],[Paşa holding]]+Table2[[#This Row],[Future lab]]</f>
        <v>0</v>
      </c>
    </row>
    <row r="67" spans="1:13" x14ac:dyDescent="0.3">
      <c r="A67" s="5" t="s">
        <v>6771</v>
      </c>
      <c r="B67" s="5">
        <v>9</v>
      </c>
      <c r="C67" s="5">
        <v>5</v>
      </c>
      <c r="D67" s="5">
        <v>0</v>
      </c>
      <c r="E67" s="5">
        <f t="shared" si="2"/>
        <v>4</v>
      </c>
      <c r="F67" s="5" t="s">
        <v>7164</v>
      </c>
      <c r="G67" s="5"/>
      <c r="H67" s="5" t="s">
        <v>7210</v>
      </c>
      <c r="I67" s="8">
        <f>COUNTIFS('baza-04.10.2026'!C:C,'Birbank Ştat'!A:A,'baza-04.10.2026'!I:I,"Bir Payment")</f>
        <v>0</v>
      </c>
      <c r="J67" s="8">
        <f>COUNTIFS('baza-04.10.2026'!C:C,'Birbank Ştat'!A:A,'baza-04.10.2026'!I:I,"BirMarket")</f>
        <v>0</v>
      </c>
      <c r="K67" s="8">
        <f>COUNTIFS('baza-04.10.2026'!C:C,'Birbank Ştat'!A:A,'baza-04.10.2026'!I:I,"Paşa Holding")</f>
        <v>0</v>
      </c>
      <c r="L67" s="8">
        <f>COUNTIFS('baza-04.10.2026'!C:C,'Birbank Ştat'!A:A,'baza-04.10.2026'!I:I,"Future lab")</f>
        <v>0</v>
      </c>
      <c r="M67" s="8">
        <f>Table2[[#This Row],[Pashapay]]+Table2[[#This Row],[Birmarket]]+Table2[[#This Row],[Paşa holding]]+Table2[[#This Row],[Future lab]]</f>
        <v>0</v>
      </c>
    </row>
    <row r="68" spans="1:13" x14ac:dyDescent="0.3">
      <c r="A68" s="5" t="s">
        <v>6337</v>
      </c>
      <c r="B68" s="5">
        <v>35.5</v>
      </c>
      <c r="C68" s="5">
        <v>30</v>
      </c>
      <c r="D68" s="5">
        <v>0</v>
      </c>
      <c r="E68" s="5">
        <f t="shared" si="2"/>
        <v>5.5</v>
      </c>
      <c r="F68" s="5" t="s">
        <v>7163</v>
      </c>
      <c r="G68" s="5" t="s">
        <v>7237</v>
      </c>
      <c r="H68" s="5" t="s">
        <v>7210</v>
      </c>
      <c r="I68" s="8">
        <v>1</v>
      </c>
      <c r="J68" s="8">
        <v>1</v>
      </c>
      <c r="K68" s="8">
        <f>COUNTIFS('baza-04.10.2026'!C:C,'Birbank Ştat'!A:A,'baza-04.10.2026'!I:I,"Paşa Holding")</f>
        <v>0</v>
      </c>
      <c r="L68" s="8">
        <v>1</v>
      </c>
      <c r="M68" s="8">
        <f>Table2[[#This Row],[Pashapay]]+Table2[[#This Row],[Birmarket]]+Table2[[#This Row],[Paşa holding]]+Table2[[#This Row],[Future lab]]</f>
        <v>3</v>
      </c>
    </row>
    <row r="69" spans="1:13" x14ac:dyDescent="0.3">
      <c r="A69" s="5" t="s">
        <v>6492</v>
      </c>
      <c r="B69" s="5">
        <f>79-1</f>
        <v>78</v>
      </c>
      <c r="C69" s="5">
        <v>75</v>
      </c>
      <c r="D69" s="5">
        <v>0</v>
      </c>
      <c r="E69" s="5">
        <f t="shared" si="2"/>
        <v>3</v>
      </c>
      <c r="F69" s="5" t="s">
        <v>7163</v>
      </c>
      <c r="G69" s="5" t="s">
        <v>12602</v>
      </c>
      <c r="H69" s="5" t="s">
        <v>7210</v>
      </c>
      <c r="I69" s="8">
        <f>COUNTIFS('baza-04.10.2026'!C:C,'Birbank Ştat'!A:A,'baza-04.10.2026'!I:I,"Bir Payment")</f>
        <v>3</v>
      </c>
      <c r="J69" s="8">
        <f>COUNTIFS('baza-04.10.2026'!C:C,'Birbank Ştat'!A:A,'baza-04.10.2026'!I:I,"BirMarket")</f>
        <v>4</v>
      </c>
      <c r="K69" s="8">
        <f>COUNTIFS('baza-04.10.2026'!C:C,'Birbank Ştat'!A:A,'baza-04.10.2026'!I:I,"Paşa Holding")</f>
        <v>0</v>
      </c>
      <c r="L69" s="8">
        <f>COUNTIFS('baza-04.10.2026'!C:C,'Birbank Ştat'!A:A,'baza-04.10.2026'!I:I,"Future lab")</f>
        <v>0</v>
      </c>
      <c r="M69" s="8">
        <f>Table2[[#This Row],[Pashapay]]+Table2[[#This Row],[Birmarket]]+Table2[[#This Row],[Paşa holding]]+Table2[[#This Row],[Future lab]]</f>
        <v>7</v>
      </c>
    </row>
    <row r="70" spans="1:13" x14ac:dyDescent="0.3">
      <c r="A70" s="5" t="s">
        <v>6473</v>
      </c>
      <c r="B70" s="5">
        <v>31</v>
      </c>
      <c r="C70" s="5">
        <v>23</v>
      </c>
      <c r="D70" s="5">
        <v>0</v>
      </c>
      <c r="E70" s="5">
        <f t="shared" si="2"/>
        <v>8</v>
      </c>
      <c r="F70" s="5" t="s">
        <v>7163</v>
      </c>
      <c r="G70" s="5" t="s">
        <v>7224</v>
      </c>
      <c r="H70" s="5" t="s">
        <v>7208</v>
      </c>
      <c r="I70" s="8">
        <f>COUNTIFS('baza-04.10.2026'!C:C,'Birbank Ştat'!A:A,'baza-04.10.2026'!I:I,"Bir Payment")</f>
        <v>3</v>
      </c>
      <c r="J70" s="8">
        <f>COUNTIFS('baza-04.10.2026'!C:C,'Birbank Ştat'!A:A,'baza-04.10.2026'!I:I,"BirMarket")</f>
        <v>0</v>
      </c>
      <c r="K70" s="8">
        <f>COUNTIFS('baza-04.10.2026'!C:C,'Birbank Ştat'!A:A,'baza-04.10.2026'!I:I,"Paşa Holding")</f>
        <v>4</v>
      </c>
      <c r="L70" s="8">
        <f>COUNTIFS('baza-04.10.2026'!C:C,'Birbank Ştat'!A:A,'baza-04.10.2026'!I:I,"Future lab")</f>
        <v>0</v>
      </c>
      <c r="M70" s="8">
        <f>Table2[[#This Row],[Pashapay]]+Table2[[#This Row],[Birmarket]]+Table2[[#This Row],[Paşa holding]]+Table2[[#This Row],[Future lab]]</f>
        <v>7</v>
      </c>
    </row>
    <row r="71" spans="1:13" x14ac:dyDescent="0.3">
      <c r="A71" s="5" t="s">
        <v>6428</v>
      </c>
      <c r="B71" s="5">
        <v>94</v>
      </c>
      <c r="C71" s="5">
        <v>88</v>
      </c>
      <c r="D71" s="5">
        <v>0</v>
      </c>
      <c r="E71" s="5">
        <f t="shared" si="2"/>
        <v>6</v>
      </c>
      <c r="F71" s="5" t="s">
        <v>7163</v>
      </c>
      <c r="G71" s="5"/>
      <c r="H71" s="5" t="s">
        <v>7210</v>
      </c>
      <c r="I71" s="8">
        <f>COUNTIFS('baza-04.10.2026'!C:C,'Birbank Ştat'!A:A,'baza-04.10.2026'!I:I,"Bir Payment")</f>
        <v>0</v>
      </c>
      <c r="J71" s="8">
        <f>COUNTIFS('baza-04.10.2026'!C:C,'Birbank Ştat'!A:A,'baza-04.10.2026'!I:I,"BirMarket")</f>
        <v>0</v>
      </c>
      <c r="K71" s="8">
        <f>COUNTIFS('baza-04.10.2026'!C:C,'Birbank Ştat'!A:A,'baza-04.10.2026'!I:I,"Paşa Holding")</f>
        <v>0</v>
      </c>
      <c r="L71" s="8">
        <f>COUNTIFS('baza-04.10.2026'!C:C,'Birbank Ştat'!A:A,'baza-04.10.2026'!I:I,"Future lab")</f>
        <v>0</v>
      </c>
      <c r="M71" s="8">
        <f>Table2[[#This Row],[Pashapay]]+Table2[[#This Row],[Birmarket]]+Table2[[#This Row],[Paşa holding]]+Table2[[#This Row],[Future lab]]</f>
        <v>0</v>
      </c>
    </row>
    <row r="72" spans="1:13" x14ac:dyDescent="0.3">
      <c r="A72" s="5" t="s">
        <v>6806</v>
      </c>
      <c r="B72" s="5">
        <v>93</v>
      </c>
      <c r="C72" s="5">
        <v>86</v>
      </c>
      <c r="D72" s="5">
        <v>0</v>
      </c>
      <c r="E72" s="5">
        <f t="shared" si="2"/>
        <v>7</v>
      </c>
      <c r="F72" s="5" t="s">
        <v>7164</v>
      </c>
      <c r="G72" s="5" t="s">
        <v>12556</v>
      </c>
      <c r="H72" s="5" t="s">
        <v>7208</v>
      </c>
      <c r="I72" s="8">
        <f>COUNTIFS('baza-04.10.2026'!C:C,'Birbank Ştat'!A:A,'baza-04.10.2026'!I:I,"Bir Payment")</f>
        <v>22</v>
      </c>
      <c r="J72" s="8">
        <f>COUNTIFS('baza-04.10.2026'!C:C,'Birbank Ştat'!A:A,'baza-04.10.2026'!I:I,"BirMarket")</f>
        <v>13</v>
      </c>
      <c r="K72" s="8">
        <f>COUNTIFS('baza-04.10.2026'!C:C,'Birbank Ştat'!A:A,'baza-04.10.2026'!I:I,"Paşa Holding")</f>
        <v>0</v>
      </c>
      <c r="L72" s="8">
        <f>COUNTIFS('baza-04.10.2026'!C:C,'Birbank Ştat'!A:A,'baza-04.10.2026'!I:I,"Future lab")</f>
        <v>0</v>
      </c>
      <c r="M72" s="8">
        <f>Table2[[#This Row],[Pashapay]]+Table2[[#This Row],[Birmarket]]+Table2[[#This Row],[Paşa holding]]+Table2[[#This Row],[Future lab]]</f>
        <v>35</v>
      </c>
    </row>
    <row r="73" spans="1:13" x14ac:dyDescent="0.3">
      <c r="A73" s="5" t="s">
        <v>6329</v>
      </c>
      <c r="B73" s="5">
        <f>22+1</f>
        <v>23</v>
      </c>
      <c r="C73" s="5">
        <v>17</v>
      </c>
      <c r="D73" s="5">
        <v>0</v>
      </c>
      <c r="E73" s="5">
        <f t="shared" si="2"/>
        <v>6</v>
      </c>
      <c r="F73" s="5" t="s">
        <v>7164</v>
      </c>
      <c r="G73" s="5" t="s">
        <v>17035</v>
      </c>
      <c r="H73" s="5" t="s">
        <v>7209</v>
      </c>
      <c r="I73" s="8">
        <f>COUNTIFS('baza-04.10.2026'!C:C,'Birbank Ştat'!A:A,'baza-04.10.2026'!I:I,"Bir Payment")</f>
        <v>4</v>
      </c>
      <c r="J73" s="8">
        <f>COUNTIFS('baza-04.10.2026'!C:C,'Birbank Ştat'!A:A,'baza-04.10.2026'!I:I,"BirMarket")</f>
        <v>0</v>
      </c>
      <c r="K73" s="8">
        <f>COUNTIFS('baza-04.10.2026'!C:C,'Birbank Ştat'!A:A,'baza-04.10.2026'!I:I,"Paşa Holding")</f>
        <v>0</v>
      </c>
      <c r="L73" s="8">
        <f>COUNTIFS('baza-04.10.2026'!C:C,'Birbank Ştat'!A:A,'baza-04.10.2026'!I:I,"Future lab")</f>
        <v>0</v>
      </c>
      <c r="M73" s="8">
        <f>Table2[[#This Row],[Pashapay]]+Table2[[#This Row],[Birmarket]]+Table2[[#This Row],[Paşa holding]]+Table2[[#This Row],[Future lab]]</f>
        <v>4</v>
      </c>
    </row>
    <row r="74" spans="1:13" x14ac:dyDescent="0.3">
      <c r="A74" s="5" t="s">
        <v>6371</v>
      </c>
      <c r="B74" s="5">
        <v>70.5</v>
      </c>
      <c r="C74" s="5">
        <v>67</v>
      </c>
      <c r="D74" s="5">
        <v>2</v>
      </c>
      <c r="E74" s="5">
        <f t="shared" si="2"/>
        <v>5.5</v>
      </c>
      <c r="F74" s="5" t="s">
        <v>7163</v>
      </c>
      <c r="G74" s="5" t="s">
        <v>7225</v>
      </c>
      <c r="H74" s="5" t="s">
        <v>7210</v>
      </c>
      <c r="I74" s="8">
        <f>COUNTIFS('baza-04.10.2026'!C:C,'Birbank Ştat'!A:A,'baza-04.10.2026'!I:I,"Bir Payment")</f>
        <v>7</v>
      </c>
      <c r="J74" s="8">
        <f>COUNTIFS('baza-04.10.2026'!C:C,'Birbank Ştat'!A:A,'baza-04.10.2026'!I:I,"BirMarket")</f>
        <v>8</v>
      </c>
      <c r="K74" s="8">
        <f>COUNTIFS('baza-04.10.2026'!C:C,'Birbank Ştat'!A:A,'baza-04.10.2026'!I:I,"Paşa Holding")</f>
        <v>0</v>
      </c>
      <c r="L74" s="8">
        <f>COUNTIFS('baza-04.10.2026'!C:C,'Birbank Ştat'!A:A,'baza-04.10.2026'!I:I,"Future lab")</f>
        <v>0</v>
      </c>
      <c r="M74" s="8">
        <f>Table2[[#This Row],[Pashapay]]+Table2[[#This Row],[Birmarket]]+Table2[[#This Row],[Paşa holding]]+Table2[[#This Row],[Future lab]]</f>
        <v>15</v>
      </c>
    </row>
    <row r="75" spans="1:13" x14ac:dyDescent="0.3">
      <c r="A75" s="5" t="s">
        <v>6783</v>
      </c>
      <c r="B75" s="5">
        <v>63</v>
      </c>
      <c r="C75" s="5">
        <v>57</v>
      </c>
      <c r="D75" s="5">
        <v>0</v>
      </c>
      <c r="E75" s="5">
        <f t="shared" si="2"/>
        <v>6</v>
      </c>
      <c r="F75" s="5" t="s">
        <v>7164</v>
      </c>
      <c r="G75" s="5"/>
      <c r="H75" s="5" t="s">
        <v>7208</v>
      </c>
      <c r="I75" s="8">
        <f>COUNTIFS('baza-04.10.2026'!C:C,'Birbank Ştat'!A:A,'baza-04.10.2026'!I:I,"Bir Payment")</f>
        <v>10</v>
      </c>
      <c r="J75" s="8">
        <f>COUNTIFS('baza-04.10.2026'!C:C,'Birbank Ştat'!A:A,'baza-04.10.2026'!I:I,"BirMarket")</f>
        <v>6</v>
      </c>
      <c r="K75" s="8">
        <f>COUNTIFS('baza-04.10.2026'!C:C,'Birbank Ştat'!A:A,'baza-04.10.2026'!I:I,"Paşa Holding")</f>
        <v>0</v>
      </c>
      <c r="L75" s="8">
        <f>COUNTIFS('baza-04.10.2026'!C:C,'Birbank Ştat'!A:A,'baza-04.10.2026'!I:I,"Future lab")</f>
        <v>3</v>
      </c>
      <c r="M75" s="8">
        <f>Table2[[#This Row],[Pashapay]]+Table2[[#This Row],[Birmarket]]+Table2[[#This Row],[Paşa holding]]+Table2[[#This Row],[Future lab]]</f>
        <v>19</v>
      </c>
    </row>
    <row r="76" spans="1:13" x14ac:dyDescent="0.3">
      <c r="A76" s="5" t="s">
        <v>6396</v>
      </c>
      <c r="B76" s="5">
        <v>162</v>
      </c>
      <c r="C76" s="5">
        <v>158</v>
      </c>
      <c r="D76" s="5">
        <v>2</v>
      </c>
      <c r="E76" s="5">
        <f t="shared" si="2"/>
        <v>6</v>
      </c>
      <c r="F76" s="5" t="s">
        <v>7163</v>
      </c>
      <c r="G76" s="5"/>
      <c r="H76" s="5" t="s">
        <v>7210</v>
      </c>
      <c r="I76" s="8">
        <f>COUNTIFS('baza-04.10.2026'!C:C,'Birbank Ştat'!A:A,'baza-04.10.2026'!I:I,"Bir Payment")</f>
        <v>16</v>
      </c>
      <c r="J76" s="8">
        <f>COUNTIFS('baza-04.10.2026'!C:C,'Birbank Ştat'!A:A,'baza-04.10.2026'!I:I,"BirMarket")</f>
        <v>2</v>
      </c>
      <c r="K76" s="8">
        <f>COUNTIFS('baza-04.10.2026'!C:C,'Birbank Ştat'!A:A,'baza-04.10.2026'!I:I,"Paşa Holding")</f>
        <v>0</v>
      </c>
      <c r="L76" s="8">
        <f>COUNTIFS('baza-04.10.2026'!C:C,'Birbank Ştat'!A:A,'baza-04.10.2026'!I:I,"Future lab")</f>
        <v>0</v>
      </c>
      <c r="M76" s="8">
        <f>Table2[[#This Row],[Pashapay]]+Table2[[#This Row],[Birmarket]]+Table2[[#This Row],[Paşa holding]]+Table2[[#This Row],[Future lab]]</f>
        <v>18</v>
      </c>
    </row>
    <row r="77" spans="1:13" x14ac:dyDescent="0.3">
      <c r="A77" s="5" t="s">
        <v>6729</v>
      </c>
      <c r="B77" s="5">
        <f>22+1</f>
        <v>23</v>
      </c>
      <c r="C77" s="5">
        <v>16</v>
      </c>
      <c r="D77" s="5">
        <v>0</v>
      </c>
      <c r="E77" s="5">
        <f t="shared" si="2"/>
        <v>7</v>
      </c>
      <c r="F77" s="5" t="s">
        <v>7164</v>
      </c>
      <c r="G77" s="5" t="s">
        <v>12603</v>
      </c>
      <c r="H77" s="5" t="s">
        <v>7209</v>
      </c>
      <c r="I77" s="8">
        <f>COUNTIFS('baza-04.10.2026'!C:C,'Birbank Ştat'!A:A,'baza-04.10.2026'!I:I,"Bir Payment")</f>
        <v>2</v>
      </c>
      <c r="J77" s="8">
        <f>COUNTIFS('baza-04.10.2026'!C:C,'Birbank Ştat'!A:A,'baza-04.10.2026'!I:I,"BirMarket")</f>
        <v>0</v>
      </c>
      <c r="K77" s="8">
        <f>COUNTIFS('baza-04.10.2026'!C:C,'Birbank Ştat'!A:A,'baza-04.10.2026'!I:I,"Paşa Holding")</f>
        <v>0</v>
      </c>
      <c r="L77" s="8">
        <f>COUNTIFS('baza-04.10.2026'!C:C,'Birbank Ştat'!A:A,'baza-04.10.2026'!I:I,"Future lab")</f>
        <v>0</v>
      </c>
      <c r="M77" s="8">
        <f>Table2[[#This Row],[Pashapay]]+Table2[[#This Row],[Birmarket]]+Table2[[#This Row],[Paşa holding]]+Table2[[#This Row],[Future lab]]</f>
        <v>2</v>
      </c>
    </row>
    <row r="78" spans="1:13" x14ac:dyDescent="0.3">
      <c r="A78" s="5" t="s">
        <v>6461</v>
      </c>
      <c r="B78" s="5">
        <f>116+1</f>
        <v>117</v>
      </c>
      <c r="C78" s="5">
        <v>108</v>
      </c>
      <c r="D78" s="5">
        <v>0</v>
      </c>
      <c r="E78" s="5">
        <f t="shared" si="2"/>
        <v>9</v>
      </c>
      <c r="F78" s="5" t="s">
        <v>7163</v>
      </c>
      <c r="G78" s="5" t="s">
        <v>17037</v>
      </c>
      <c r="H78" s="5" t="s">
        <v>7210</v>
      </c>
      <c r="I78" s="8">
        <f>COUNTIFS('baza-04.10.2026'!C:C,'Birbank Ştat'!A:A,'baza-04.10.2026'!I:I,"Bir Payment")</f>
        <v>0</v>
      </c>
      <c r="J78" s="8">
        <f>COUNTIFS('baza-04.10.2026'!C:C,'Birbank Ştat'!A:A,'baza-04.10.2026'!I:I,"BirMarket")</f>
        <v>0</v>
      </c>
      <c r="K78" s="8">
        <f>COUNTIFS('baza-04.10.2026'!C:C,'Birbank Ştat'!A:A,'baza-04.10.2026'!I:I,"Paşa Holding")</f>
        <v>0</v>
      </c>
      <c r="L78" s="8">
        <f>COUNTIFS('baza-04.10.2026'!C:C,'Birbank Ştat'!A:A,'baza-04.10.2026'!I:I,"Future lab")</f>
        <v>0</v>
      </c>
      <c r="M78" s="8">
        <f>Table2[[#This Row],[Pashapay]]+Table2[[#This Row],[Birmarket]]+Table2[[#This Row],[Paşa holding]]+Table2[[#This Row],[Future lab]]</f>
        <v>0</v>
      </c>
    </row>
    <row r="79" spans="1:13" x14ac:dyDescent="0.3">
      <c r="A79" s="5" t="s">
        <v>6636</v>
      </c>
      <c r="B79" s="5">
        <v>50</v>
      </c>
      <c r="C79" s="5">
        <v>40</v>
      </c>
      <c r="D79" s="5">
        <v>0</v>
      </c>
      <c r="E79" s="5">
        <f t="shared" si="2"/>
        <v>10</v>
      </c>
      <c r="F79" s="5" t="s">
        <v>7164</v>
      </c>
      <c r="G79" s="5" t="s">
        <v>7226</v>
      </c>
      <c r="H79" s="5" t="s">
        <v>7209</v>
      </c>
      <c r="I79" s="8">
        <f>COUNTIFS('baza-04.10.2026'!C:C,'Birbank Ştat'!A:A,'baza-04.10.2026'!I:I,"Bir Payment")</f>
        <v>10</v>
      </c>
      <c r="J79" s="8">
        <f>COUNTIFS('baza-04.10.2026'!C:C,'Birbank Ştat'!A:A,'baza-04.10.2026'!I:I,"BirMarket")</f>
        <v>0</v>
      </c>
      <c r="K79" s="8">
        <f>COUNTIFS('baza-04.10.2026'!C:C,'Birbank Ştat'!A:A,'baza-04.10.2026'!I:I,"Paşa Holding")</f>
        <v>0</v>
      </c>
      <c r="L79" s="8">
        <f>COUNTIFS('baza-04.10.2026'!C:C,'Birbank Ştat'!A:A,'baza-04.10.2026'!I:I,"Future lab")</f>
        <v>0</v>
      </c>
      <c r="M79" s="8">
        <f>Table2[[#This Row],[Pashapay]]+Table2[[#This Row],[Birmarket]]+Table2[[#This Row],[Paşa holding]]+Table2[[#This Row],[Future lab]]</f>
        <v>10</v>
      </c>
    </row>
    <row r="80" spans="1:13" x14ac:dyDescent="0.3">
      <c r="A80" s="5" t="s">
        <v>6543</v>
      </c>
      <c r="B80" s="5">
        <v>456</v>
      </c>
      <c r="C80" s="5">
        <v>442</v>
      </c>
      <c r="D80" s="5">
        <v>0</v>
      </c>
      <c r="E80" s="5">
        <f t="shared" si="2"/>
        <v>14</v>
      </c>
      <c r="F80" s="5" t="s">
        <v>7163</v>
      </c>
      <c r="G80" s="5" t="s">
        <v>12601</v>
      </c>
      <c r="H80" s="5" t="s">
        <v>7209</v>
      </c>
      <c r="I80" s="8">
        <f>COUNTIFS('baza-04.10.2026'!C:C,'Birbank Ştat'!A:A,'baza-04.10.2026'!I:I,"Bir Payment")</f>
        <v>211</v>
      </c>
      <c r="J80" s="8">
        <f>COUNTIFS('baza-04.10.2026'!C:C,'Birbank Ştat'!A:A,'baza-04.10.2026'!I:I,"BirMarket")</f>
        <v>0</v>
      </c>
      <c r="K80" s="8">
        <f>COUNTIFS('baza-04.10.2026'!C:C,'Birbank Ştat'!A:A,'baza-04.10.2026'!I:I,"Paşa Holding")</f>
        <v>0</v>
      </c>
      <c r="L80" s="8">
        <f>COUNTIFS('baza-04.10.2026'!C:C,'Birbank Ştat'!A:A,'baza-04.10.2026'!I:I,"Future lab")</f>
        <v>0</v>
      </c>
      <c r="M80" s="8">
        <f>Table2[[#This Row],[Pashapay]]+Table2[[#This Row],[Birmarket]]+Table2[[#This Row],[Paşa holding]]+Table2[[#This Row],[Future lab]]</f>
        <v>211</v>
      </c>
    </row>
    <row r="81" spans="1:13" x14ac:dyDescent="0.3">
      <c r="A81" s="5" t="s">
        <v>6685</v>
      </c>
      <c r="B81" s="5">
        <v>70</v>
      </c>
      <c r="C81" s="5">
        <v>62</v>
      </c>
      <c r="D81" s="5">
        <v>0</v>
      </c>
      <c r="E81" s="5">
        <f t="shared" si="2"/>
        <v>8</v>
      </c>
      <c r="F81" s="5" t="s">
        <v>7163</v>
      </c>
      <c r="G81" s="5"/>
      <c r="H81" s="5" t="s">
        <v>7208</v>
      </c>
      <c r="I81" s="8">
        <f>COUNTIFS('baza-04.10.2026'!C:C,'Birbank Ştat'!A:A,'baza-04.10.2026'!I:I,"Bir Payment")</f>
        <v>5</v>
      </c>
      <c r="J81" s="8">
        <f>COUNTIFS('baza-04.10.2026'!C:C,'Birbank Ştat'!A:A,'baza-04.10.2026'!I:I,"BirMarket")</f>
        <v>1</v>
      </c>
      <c r="K81" s="8">
        <f>COUNTIFS('baza-04.10.2026'!C:C,'Birbank Ştat'!A:A,'baza-04.10.2026'!I:I,"Paşa Holding")</f>
        <v>0</v>
      </c>
      <c r="L81" s="8">
        <f>COUNTIFS('baza-04.10.2026'!C:C,'Birbank Ştat'!A:A,'baza-04.10.2026'!I:I,"Future lab")</f>
        <v>0</v>
      </c>
      <c r="M81" s="8">
        <f>Table2[[#This Row],[Pashapay]]+Table2[[#This Row],[Birmarket]]+Table2[[#This Row],[Paşa holding]]+Table2[[#This Row],[Future lab]]</f>
        <v>6</v>
      </c>
    </row>
    <row r="82" spans="1:13" x14ac:dyDescent="0.3">
      <c r="A82" s="5" t="s">
        <v>6355</v>
      </c>
      <c r="B82" s="5">
        <v>55</v>
      </c>
      <c r="C82" s="5">
        <v>42</v>
      </c>
      <c r="D82" s="5">
        <v>0</v>
      </c>
      <c r="E82" s="5">
        <f t="shared" si="2"/>
        <v>13</v>
      </c>
      <c r="F82" s="5" t="s">
        <v>7163</v>
      </c>
      <c r="G82" s="5"/>
      <c r="H82" s="5" t="s">
        <v>7210</v>
      </c>
      <c r="I82" s="8">
        <f>COUNTIFS('baza-04.10.2026'!C:C,'Birbank Ştat'!A:A,'baza-04.10.2026'!I:I,"Bir Payment")</f>
        <v>0</v>
      </c>
      <c r="J82" s="8">
        <f>COUNTIFS('baza-04.10.2026'!C:C,'Birbank Ştat'!A:A,'baza-04.10.2026'!I:I,"BirMarket")</f>
        <v>0</v>
      </c>
      <c r="K82" s="8">
        <f>COUNTIFS('baza-04.10.2026'!C:C,'Birbank Ştat'!A:A,'baza-04.10.2026'!I:I,"Paşa Holding")</f>
        <v>0</v>
      </c>
      <c r="L82" s="8">
        <f>COUNTIFS('baza-04.10.2026'!C:C,'Birbank Ştat'!A:A,'baza-04.10.2026'!I:I,"Future lab")</f>
        <v>0</v>
      </c>
      <c r="M82" s="8">
        <f>Table2[[#This Row],[Pashapay]]+Table2[[#This Row],[Birmarket]]+Table2[[#This Row],[Paşa holding]]+Table2[[#This Row],[Future lab]]</f>
        <v>0</v>
      </c>
    </row>
    <row r="83" spans="1:13" x14ac:dyDescent="0.3">
      <c r="A83" s="5" t="s">
        <v>6533</v>
      </c>
      <c r="B83" s="5">
        <v>152</v>
      </c>
      <c r="C83" s="5">
        <v>153</v>
      </c>
      <c r="D83" s="5">
        <v>8</v>
      </c>
      <c r="E83" s="5">
        <f t="shared" si="2"/>
        <v>7</v>
      </c>
      <c r="F83" s="5" t="s">
        <v>7163</v>
      </c>
      <c r="G83" s="5"/>
      <c r="H83" s="5" t="s">
        <v>7210</v>
      </c>
      <c r="I83" s="8">
        <f>COUNTIFS('baza-04.10.2026'!C:C,'Birbank Ştat'!A:A,'baza-04.10.2026'!I:I,"Bir Payment")</f>
        <v>1</v>
      </c>
      <c r="J83" s="8">
        <f>COUNTIFS('baza-04.10.2026'!C:C,'Birbank Ştat'!A:A,'baza-04.10.2026'!I:I,"BirMarket")</f>
        <v>0</v>
      </c>
      <c r="K83" s="8">
        <f>COUNTIFS('baza-04.10.2026'!C:C,'Birbank Ştat'!A:A,'baza-04.10.2026'!I:I,"Paşa Holding")</f>
        <v>0</v>
      </c>
      <c r="L83" s="8">
        <f>COUNTIFS('baza-04.10.2026'!C:C,'Birbank Ştat'!A:A,'baza-04.10.2026'!I:I,"Future lab")</f>
        <v>0</v>
      </c>
      <c r="M83" s="8">
        <f>Table2[[#This Row],[Pashapay]]+Table2[[#This Row],[Birmarket]]+Table2[[#This Row],[Paşa holding]]+Table2[[#This Row],[Future lab]]</f>
        <v>1</v>
      </c>
    </row>
    <row r="84" spans="1:13" x14ac:dyDescent="0.3">
      <c r="A84" s="5" t="s">
        <v>6653</v>
      </c>
      <c r="B84" s="5">
        <v>99</v>
      </c>
      <c r="C84" s="5">
        <v>89</v>
      </c>
      <c r="D84" s="5">
        <v>0</v>
      </c>
      <c r="E84" s="5">
        <f t="shared" si="2"/>
        <v>10</v>
      </c>
      <c r="F84" s="5" t="s">
        <v>7164</v>
      </c>
      <c r="G84" s="5"/>
      <c r="H84" s="5" t="s">
        <v>7208</v>
      </c>
      <c r="I84" s="8">
        <f>COUNTIFS('baza-04.10.2026'!C:C,'Birbank Ştat'!A:A,'baza-04.10.2026'!I:I,"Bir Payment")</f>
        <v>4</v>
      </c>
      <c r="J84" s="8">
        <f>COUNTIFS('baza-04.10.2026'!C:C,'Birbank Ştat'!A:A,'baza-04.10.2026'!I:I,"BirMarket")</f>
        <v>1</v>
      </c>
      <c r="K84" s="8">
        <f>COUNTIFS('baza-04.10.2026'!C:C,'Birbank Ştat'!A:A,'baza-04.10.2026'!I:I,"Paşa Holding")</f>
        <v>0</v>
      </c>
      <c r="L84" s="8">
        <f>COUNTIFS('baza-04.10.2026'!C:C,'Birbank Ştat'!A:A,'baza-04.10.2026'!I:I,"Future lab")</f>
        <v>0</v>
      </c>
      <c r="M84" s="8">
        <f>Table2[[#This Row],[Pashapay]]+Table2[[#This Row],[Birmarket]]+Table2[[#This Row],[Paşa holding]]+Table2[[#This Row],[Future lab]]</f>
        <v>5</v>
      </c>
    </row>
    <row r="85" spans="1:13" x14ac:dyDescent="0.3">
      <c r="A85" s="5" t="s">
        <v>6525</v>
      </c>
      <c r="B85" s="5">
        <v>99</v>
      </c>
      <c r="C85" s="5">
        <v>84</v>
      </c>
      <c r="D85" s="5">
        <v>0</v>
      </c>
      <c r="E85" s="5">
        <f t="shared" si="2"/>
        <v>15</v>
      </c>
      <c r="F85" s="5" t="s">
        <v>7163</v>
      </c>
      <c r="G85" s="5"/>
      <c r="H85" s="5" t="s">
        <v>7209</v>
      </c>
      <c r="I85" s="8">
        <f>COUNTIFS('baza-04.10.2026'!C:C,'Birbank Ştat'!A:A,'baza-04.10.2026'!I:I,"Bir Payment")</f>
        <v>24</v>
      </c>
      <c r="J85" s="8">
        <f>COUNTIFS('baza-04.10.2026'!C:C,'Birbank Ştat'!A:A,'baza-04.10.2026'!I:I,"BirMarket")</f>
        <v>1</v>
      </c>
      <c r="K85" s="8">
        <f>COUNTIFS('baza-04.10.2026'!C:C,'Birbank Ştat'!A:A,'baza-04.10.2026'!I:I,"Paşa Holding")</f>
        <v>1</v>
      </c>
      <c r="L85" s="8">
        <f>COUNTIFS('baza-04.10.2026'!C:C,'Birbank Ştat'!A:A,'baza-04.10.2026'!I:I,"Future lab")</f>
        <v>0</v>
      </c>
      <c r="M85" s="8">
        <f>Table2[[#This Row],[Pashapay]]+Table2[[#This Row],[Birmarket]]+Table2[[#This Row],[Paşa holding]]+Table2[[#This Row],[Future lab]]</f>
        <v>26</v>
      </c>
    </row>
    <row r="86" spans="1:13" x14ac:dyDescent="0.3">
      <c r="A86" s="5" t="s">
        <v>7227</v>
      </c>
      <c r="B86" s="5">
        <v>155</v>
      </c>
      <c r="C86" s="5">
        <v>139</v>
      </c>
      <c r="D86" s="5">
        <v>2</v>
      </c>
      <c r="E86" s="5">
        <f t="shared" si="2"/>
        <v>18</v>
      </c>
      <c r="F86" s="5" t="s">
        <v>7164</v>
      </c>
      <c r="G86" s="5" t="s">
        <v>7234</v>
      </c>
      <c r="H86" s="5" t="s">
        <v>7210</v>
      </c>
      <c r="I86" s="8">
        <f>COUNTIFS('baza-04.10.2026'!C:C,'Birbank Ştat'!A:A,'baza-04.10.2026'!I:I,"Bir Payment")</f>
        <v>0</v>
      </c>
      <c r="J86" s="8">
        <f>COUNTIFS('baza-04.10.2026'!C:C,'Birbank Ştat'!A:A,'baza-04.10.2026'!I:I,"BirMarket")</f>
        <v>0</v>
      </c>
      <c r="K86" s="8">
        <f>COUNTIFS('baza-04.10.2026'!C:C,'Birbank Ştat'!A:A,'baza-04.10.2026'!I:I,"Paşa Holding")</f>
        <v>1</v>
      </c>
      <c r="L86" s="8">
        <f>COUNTIFS('baza-04.10.2026'!C:C,'Birbank Ştat'!A:A,'baza-04.10.2026'!I:I,"Future lab")</f>
        <v>0</v>
      </c>
      <c r="M86" s="8">
        <f>Table2[[#This Row],[Pashapay]]+Table2[[#This Row],[Birmarket]]+Table2[[#This Row],[Paşa holding]]+Table2[[#This Row],[Future lab]]</f>
        <v>1</v>
      </c>
    </row>
    <row r="87" spans="1:13" x14ac:dyDescent="0.3">
      <c r="A87" s="5" t="s">
        <v>6759</v>
      </c>
      <c r="B87" s="5">
        <v>116</v>
      </c>
      <c r="C87" s="5">
        <v>111</v>
      </c>
      <c r="D87" s="5">
        <v>0</v>
      </c>
      <c r="E87" s="5">
        <f t="shared" si="2"/>
        <v>5</v>
      </c>
      <c r="F87" s="5" t="s">
        <v>7163</v>
      </c>
      <c r="G87" s="5"/>
      <c r="H87" s="5" t="s">
        <v>7210</v>
      </c>
      <c r="I87" s="8">
        <f>COUNTIFS('baza-04.10.2026'!C:C,'Birbank Ştat'!A:A,'baza-04.10.2026'!I:I,"Bir Payment")</f>
        <v>0</v>
      </c>
      <c r="J87" s="8">
        <f>COUNTIFS('baza-04.10.2026'!C:C,'Birbank Ştat'!A:A,'baza-04.10.2026'!I:I,"BirMarket")</f>
        <v>0</v>
      </c>
      <c r="K87" s="8">
        <f>COUNTIFS('baza-04.10.2026'!C:C,'Birbank Ştat'!A:A,'baza-04.10.2026'!I:I,"Paşa Holding")</f>
        <v>0</v>
      </c>
      <c r="L87" s="8">
        <f>COUNTIFS('baza-04.10.2026'!C:C,'Birbank Ştat'!A:A,'baza-04.10.2026'!I:I,"Future lab")</f>
        <v>0</v>
      </c>
      <c r="M87" s="8">
        <f>Table2[[#This Row],[Pashapay]]+Table2[[#This Row],[Birmarket]]+Table2[[#This Row],[Paşa holding]]+Table2[[#This Row],[Future lab]]</f>
        <v>0</v>
      </c>
    </row>
    <row r="88" spans="1:13" x14ac:dyDescent="0.3">
      <c r="A88" s="5" t="s">
        <v>6876</v>
      </c>
      <c r="B88" s="5">
        <v>203</v>
      </c>
      <c r="C88" s="5">
        <v>183</v>
      </c>
      <c r="D88" s="5">
        <v>0</v>
      </c>
      <c r="E88" s="5">
        <f t="shared" si="2"/>
        <v>20</v>
      </c>
      <c r="F88" s="5" t="s">
        <v>7163</v>
      </c>
      <c r="G88" s="5" t="s">
        <v>7228</v>
      </c>
      <c r="H88" s="5" t="s">
        <v>7210</v>
      </c>
      <c r="I88" s="8">
        <f>COUNTIFS('baza-04.10.2026'!C:C,'Birbank Ştat'!A:A,'baza-04.10.2026'!I:I,"Bir Payment")</f>
        <v>0</v>
      </c>
      <c r="J88" s="8">
        <f>COUNTIFS('baza-04.10.2026'!C:C,'Birbank Ştat'!A:A,'baza-04.10.2026'!I:I,"BirMarket")</f>
        <v>0</v>
      </c>
      <c r="K88" s="8">
        <f>COUNTIFS('baza-04.10.2026'!C:C,'Birbank Ştat'!A:A,'baza-04.10.2026'!I:I,"Paşa Holding")</f>
        <v>0</v>
      </c>
      <c r="L88" s="8">
        <f>COUNTIFS('baza-04.10.2026'!C:C,'Birbank Ştat'!A:A,'baza-04.10.2026'!I:I,"Future lab")</f>
        <v>0</v>
      </c>
      <c r="M88" s="8">
        <f>Table2[[#This Row],[Pashapay]]+Table2[[#This Row],[Birmarket]]+Table2[[#This Row],[Paşa holding]]+Table2[[#This Row],[Future lab]]</f>
        <v>0</v>
      </c>
    </row>
    <row r="89" spans="1:13" x14ac:dyDescent="0.3">
      <c r="A89" s="5" t="s">
        <v>6322</v>
      </c>
      <c r="B89" s="5">
        <v>274</v>
      </c>
      <c r="C89" s="5">
        <v>248</v>
      </c>
      <c r="D89" s="5">
        <v>1</v>
      </c>
      <c r="E89" s="5">
        <f t="shared" si="2"/>
        <v>27</v>
      </c>
      <c r="F89" s="5" t="s">
        <v>7164</v>
      </c>
      <c r="G89" s="5" t="s">
        <v>12557</v>
      </c>
      <c r="H89" s="5" t="s">
        <v>7209</v>
      </c>
      <c r="I89" s="8">
        <f>COUNTIFS('baza-04.10.2026'!C:C,'Birbank Ştat'!A:A,'baza-04.10.2026'!I:I,"Bir Payment")</f>
        <v>16</v>
      </c>
      <c r="J89" s="8">
        <f>COUNTIFS('baza-04.10.2026'!C:C,'Birbank Ştat'!A:A,'baza-04.10.2026'!I:I,"BirMarket")</f>
        <v>0</v>
      </c>
      <c r="K89" s="8">
        <f>COUNTIFS('baza-04.10.2026'!C:C,'Birbank Ştat'!A:A,'baza-04.10.2026'!I:I,"Paşa Holding")</f>
        <v>0</v>
      </c>
      <c r="L89" s="8">
        <f>COUNTIFS('baza-04.10.2026'!C:C,'Birbank Ştat'!A:A,'baza-04.10.2026'!I:I,"Future lab")</f>
        <v>0</v>
      </c>
      <c r="M89" s="8">
        <f>Table2[[#This Row],[Pashapay]]+Table2[[#This Row],[Birmarket]]+Table2[[#This Row],[Paşa holding]]+Table2[[#This Row],[Future lab]]</f>
        <v>16</v>
      </c>
    </row>
    <row r="90" spans="1:13" x14ac:dyDescent="0.3">
      <c r="A90" s="5" t="s">
        <v>6646</v>
      </c>
      <c r="B90" s="5">
        <v>170</v>
      </c>
      <c r="C90" s="5">
        <v>145</v>
      </c>
      <c r="D90" s="5">
        <v>1</v>
      </c>
      <c r="E90" s="5">
        <f t="shared" si="2"/>
        <v>26</v>
      </c>
      <c r="F90" s="5" t="s">
        <v>7164</v>
      </c>
      <c r="G90" s="5" t="s">
        <v>17038</v>
      </c>
      <c r="H90" s="5" t="s">
        <v>7208</v>
      </c>
      <c r="I90" s="8">
        <f>COUNTIFS('baza-04.10.2026'!C:C,'Birbank Ştat'!A:A,'baza-04.10.2026'!I:I,"Bir Payment")</f>
        <v>1</v>
      </c>
      <c r="J90" s="8">
        <f>COUNTIFS('baza-04.10.2026'!C:C,'Birbank Ştat'!A:A,'baza-04.10.2026'!I:I,"BirMarket")</f>
        <v>2</v>
      </c>
      <c r="K90" s="8">
        <f>COUNTIFS('baza-04.10.2026'!C:C,'Birbank Ştat'!A:A,'baza-04.10.2026'!I:I,"Paşa Holding")</f>
        <v>0</v>
      </c>
      <c r="L90" s="8">
        <f>COUNTIFS('baza-04.10.2026'!C:C,'Birbank Ştat'!A:A,'baza-04.10.2026'!I:I,"Future lab")</f>
        <v>0</v>
      </c>
      <c r="M90" s="8">
        <f>Table2[[#This Row],[Pashapay]]+Table2[[#This Row],[Birmarket]]+Table2[[#This Row],[Paşa holding]]+Table2[[#This Row],[Future lab]]</f>
        <v>3</v>
      </c>
    </row>
    <row r="91" spans="1:13" x14ac:dyDescent="0.3">
      <c r="A91" s="5" t="s">
        <v>6327</v>
      </c>
      <c r="B91" s="5">
        <v>357</v>
      </c>
      <c r="C91" s="5">
        <v>323</v>
      </c>
      <c r="D91" s="5">
        <v>2</v>
      </c>
      <c r="E91" s="5">
        <f t="shared" si="2"/>
        <v>36</v>
      </c>
      <c r="F91" s="5" t="s">
        <v>7164</v>
      </c>
      <c r="G91" s="5" t="s">
        <v>7229</v>
      </c>
      <c r="H91" s="5" t="s">
        <v>7210</v>
      </c>
      <c r="I91" s="8">
        <f>COUNTIFS('baza-04.10.2026'!C:C,'Birbank Ştat'!A:A,'baza-04.10.2026'!I:I,"Bir Payment")</f>
        <v>1</v>
      </c>
      <c r="J91" s="8">
        <f>COUNTIFS('baza-04.10.2026'!C:C,'Birbank Ştat'!A:A,'baza-04.10.2026'!I:I,"BirMarket")</f>
        <v>0</v>
      </c>
      <c r="K91" s="8">
        <f>COUNTIFS('baza-04.10.2026'!C:C,'Birbank Ştat'!A:A,'baza-04.10.2026'!I:I,"Paşa Holding")</f>
        <v>0</v>
      </c>
      <c r="L91" s="8">
        <f>COUNTIFS('baza-04.10.2026'!C:C,'Birbank Ştat'!A:A,'baza-04.10.2026'!I:I,"Future lab")</f>
        <v>0</v>
      </c>
      <c r="M91" s="8">
        <f>Table2[[#This Row],[Pashapay]]+Table2[[#This Row],[Birmarket]]+Table2[[#This Row],[Paşa holding]]+Table2[[#This Row],[Future lab]]</f>
        <v>1</v>
      </c>
    </row>
    <row r="92" spans="1:13" x14ac:dyDescent="0.3">
      <c r="A92" s="5" t="s">
        <v>7165</v>
      </c>
      <c r="B92" s="5">
        <v>1950</v>
      </c>
      <c r="C92" s="5">
        <v>1965</v>
      </c>
      <c r="D92" s="5">
        <v>64</v>
      </c>
      <c r="E92" s="5">
        <f t="shared" si="2"/>
        <v>49</v>
      </c>
      <c r="F92" s="5" t="s">
        <v>7165</v>
      </c>
      <c r="G92" s="5"/>
      <c r="H92" s="5" t="s">
        <v>7210</v>
      </c>
      <c r="I92" s="8">
        <f>COUNTIFS('baza-04.10.2026'!C:C,'Birbank Ştat'!A:A,'baza-04.10.2026'!I:I,"Bir Payment")</f>
        <v>0</v>
      </c>
      <c r="J92" s="8">
        <f>COUNTIFS('baza-04.10.2026'!C:C,'Birbank Ştat'!A:A,'baza-04.10.2026'!I:I,"BirMarket")</f>
        <v>0</v>
      </c>
      <c r="K92" s="8">
        <f>COUNTIFS('baza-04.10.2026'!C:C,'Birbank Ştat'!A:A,'baza-04.10.2026'!I:I,"Paşa Holding")</f>
        <v>0</v>
      </c>
      <c r="L92" s="8">
        <f>COUNTIFS('baza-04.10.2026'!C:C,'Birbank Ştat'!A:A,'baza-04.10.2026'!I:I,"Future lab")</f>
        <v>0</v>
      </c>
      <c r="M92" s="8">
        <f>Table2[[#This Row],[Pashapay]]+Table2[[#This Row],[Birmarket]]+Table2[[#This Row],[Paşa holding]]+Table2[[#This Row],[Future lab]]</f>
        <v>0</v>
      </c>
    </row>
    <row r="93" spans="1:13" x14ac:dyDescent="0.3">
      <c r="A93" s="5" t="s">
        <v>6489</v>
      </c>
      <c r="B93" s="5">
        <v>668</v>
      </c>
      <c r="C93" s="5">
        <v>658</v>
      </c>
      <c r="D93" s="5">
        <v>51</v>
      </c>
      <c r="E93" s="5">
        <f t="shared" ref="E93" si="3">B93-C93+D93</f>
        <v>61</v>
      </c>
      <c r="F93" s="5" t="s">
        <v>7163</v>
      </c>
      <c r="G93" s="5" t="s">
        <v>7230</v>
      </c>
      <c r="H93" s="5" t="s">
        <v>7210</v>
      </c>
      <c r="I93" s="8">
        <f>COUNTIFS('baza-04.10.2026'!C:C,'Birbank Ştat'!A:A,'baza-04.10.2026'!I:I,"Bir Payment")</f>
        <v>0</v>
      </c>
      <c r="J93" s="8">
        <f>COUNTIFS('baza-04.10.2026'!C:C,'Birbank Ştat'!A:A,'baza-04.10.2026'!I:I,"BirMarket")</f>
        <v>0</v>
      </c>
      <c r="K93" s="8">
        <f>COUNTIFS('baza-04.10.2026'!C:C,'Birbank Ştat'!A:A,'baza-04.10.2026'!I:I,"Paşa Holding")</f>
        <v>0</v>
      </c>
      <c r="L93" s="8">
        <f>COUNTIFS('baza-04.10.2026'!C:C,'Birbank Ştat'!A:A,'baza-04.10.2026'!I:I,"Future lab")</f>
        <v>0</v>
      </c>
      <c r="M93" s="8">
        <f>Table2[[#This Row],[Pashapay]]+Table2[[#This Row],[Birmarket]]+Table2[[#This Row],[Paşa holding]]+Table2[[#This Row],[Future lab]]</f>
        <v>0</v>
      </c>
    </row>
    <row r="94" spans="1:13" x14ac:dyDescent="0.3">
      <c r="A94" s="9" t="s">
        <v>7250</v>
      </c>
      <c r="B94" s="2">
        <f>SUBTOTAL(9,B2:B93)</f>
        <v>6605</v>
      </c>
      <c r="C94" s="2">
        <f>SUBTOTAL(9,C2:C93)</f>
        <v>6286</v>
      </c>
      <c r="D94" s="2">
        <f t="shared" ref="D94:E94" si="4">SUBTOTAL(9,D2:D93)</f>
        <v>145</v>
      </c>
      <c r="E94" s="2">
        <f t="shared" si="4"/>
        <v>465</v>
      </c>
      <c r="I94">
        <f>SUM(I2:I93)</f>
        <v>409</v>
      </c>
      <c r="J94">
        <f t="shared" ref="J94:L94" si="5">SUM(J2:J93)</f>
        <v>63</v>
      </c>
      <c r="K94">
        <f t="shared" si="5"/>
        <v>19</v>
      </c>
      <c r="L94">
        <f t="shared" si="5"/>
        <v>8</v>
      </c>
      <c r="M94" s="7">
        <f>SUM(I94:L94)</f>
        <v>499</v>
      </c>
    </row>
  </sheetData>
  <conditionalFormatting sqref="A1:A13 A52:A74 A15:A50 A14:B14">
    <cfRule type="duplicateValues" dxfId="779" priority="4"/>
  </conditionalFormatting>
  <conditionalFormatting sqref="A2:A13 A15:A28 A14:B14">
    <cfRule type="duplicateValues" dxfId="778" priority="8"/>
  </conditionalFormatting>
  <conditionalFormatting sqref="A77:A1048576 A1:A13 A52:A74 A15:A50 A14:B14">
    <cfRule type="duplicateValues" dxfId="777" priority="1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9D4E-EC0B-45F4-8B58-22F524F3CD86}">
  <dimension ref="A1:M6317"/>
  <sheetViews>
    <sheetView workbookViewId="0">
      <selection activeCell="G2" sqref="G2"/>
    </sheetView>
  </sheetViews>
  <sheetFormatPr defaultRowHeight="14.4" x14ac:dyDescent="0.3"/>
  <cols>
    <col min="1" max="1" width="7.5546875" customWidth="1"/>
    <col min="2" max="2" width="29.77734375" customWidth="1"/>
    <col min="3" max="3" width="29.109375" customWidth="1"/>
    <col min="6" max="6" width="43.33203125" customWidth="1"/>
    <col min="7" max="7" width="6.88671875" customWidth="1"/>
    <col min="9" max="9" width="13" customWidth="1"/>
    <col min="10" max="10" width="10.109375" style="1" bestFit="1" customWidth="1"/>
    <col min="11" max="11" width="14.6640625" customWidth="1"/>
    <col min="12" max="12" width="11" customWidth="1"/>
    <col min="13" max="13" width="51.33203125" bestFit="1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7155</v>
      </c>
      <c r="I1" s="7" t="s">
        <v>7199</v>
      </c>
      <c r="J1" s="10" t="s">
        <v>7</v>
      </c>
      <c r="K1" s="7" t="s">
        <v>9</v>
      </c>
      <c r="L1" s="7" t="s">
        <v>7198</v>
      </c>
      <c r="M1" s="7" t="s">
        <v>8</v>
      </c>
    </row>
    <row r="2" spans="1:13" x14ac:dyDescent="0.3">
      <c r="A2" s="7">
        <v>16457</v>
      </c>
      <c r="B2" s="7" t="s">
        <v>10</v>
      </c>
      <c r="C2" s="7" t="s">
        <v>6294</v>
      </c>
      <c r="D2" s="7" t="s">
        <v>6295</v>
      </c>
      <c r="E2" s="7" t="s">
        <v>6295</v>
      </c>
      <c r="F2" s="7" t="s">
        <v>6296</v>
      </c>
      <c r="G2" s="7" t="s">
        <v>7150</v>
      </c>
      <c r="H2" s="7" t="s">
        <v>7156</v>
      </c>
      <c r="I2" s="7"/>
      <c r="J2" s="10">
        <v>45405</v>
      </c>
      <c r="K2" s="7" t="s">
        <v>7163</v>
      </c>
      <c r="L2" s="7"/>
      <c r="M2" s="7"/>
    </row>
    <row r="3" spans="1:13" x14ac:dyDescent="0.3">
      <c r="A3" s="7">
        <v>10843</v>
      </c>
      <c r="B3" s="7" t="s">
        <v>11</v>
      </c>
      <c r="C3" s="7" t="s">
        <v>6294</v>
      </c>
      <c r="D3" s="7" t="s">
        <v>6295</v>
      </c>
      <c r="E3" s="7" t="s">
        <v>6295</v>
      </c>
      <c r="F3" s="7" t="s">
        <v>6297</v>
      </c>
      <c r="G3" s="7" t="s">
        <v>7150</v>
      </c>
      <c r="H3" s="7" t="s">
        <v>7156</v>
      </c>
      <c r="I3" s="7"/>
      <c r="J3" s="10">
        <v>41654</v>
      </c>
      <c r="K3" s="7" t="s">
        <v>7163</v>
      </c>
      <c r="L3" s="7"/>
      <c r="M3" s="7"/>
    </row>
    <row r="4" spans="1:13" x14ac:dyDescent="0.3">
      <c r="A4" s="7">
        <v>10925</v>
      </c>
      <c r="B4" s="7" t="s">
        <v>12</v>
      </c>
      <c r="C4" s="7" t="s">
        <v>6298</v>
      </c>
      <c r="D4" s="7" t="s">
        <v>6295</v>
      </c>
      <c r="E4" s="7" t="s">
        <v>6295</v>
      </c>
      <c r="F4" s="7" t="s">
        <v>6299</v>
      </c>
      <c r="G4" s="7" t="s">
        <v>7150</v>
      </c>
      <c r="H4" s="7" t="s">
        <v>7156</v>
      </c>
      <c r="I4" s="7"/>
      <c r="J4" s="10">
        <v>42125</v>
      </c>
      <c r="K4" s="7" t="s">
        <v>7163</v>
      </c>
      <c r="L4" s="7"/>
      <c r="M4" s="7"/>
    </row>
    <row r="5" spans="1:13" x14ac:dyDescent="0.3">
      <c r="A5" s="7">
        <v>10722</v>
      </c>
      <c r="B5" s="7" t="s">
        <v>13</v>
      </c>
      <c r="C5" s="7" t="s">
        <v>6298</v>
      </c>
      <c r="D5" s="7" t="s">
        <v>6295</v>
      </c>
      <c r="E5" s="7" t="s">
        <v>6295</v>
      </c>
      <c r="F5" s="7" t="s">
        <v>6300</v>
      </c>
      <c r="G5" s="7" t="s">
        <v>7150</v>
      </c>
      <c r="H5" s="7" t="s">
        <v>7156</v>
      </c>
      <c r="I5" s="7"/>
      <c r="J5" s="10">
        <v>41736</v>
      </c>
      <c r="K5" s="7" t="s">
        <v>7163</v>
      </c>
      <c r="L5" s="7"/>
      <c r="M5" s="7"/>
    </row>
    <row r="6" spans="1:13" x14ac:dyDescent="0.3">
      <c r="A6" s="7">
        <v>10610</v>
      </c>
      <c r="B6" s="7" t="s">
        <v>14</v>
      </c>
      <c r="C6" s="7" t="s">
        <v>6298</v>
      </c>
      <c r="D6" s="7" t="s">
        <v>6295</v>
      </c>
      <c r="E6" s="7" t="s">
        <v>6295</v>
      </c>
      <c r="F6" s="7" t="s">
        <v>6301</v>
      </c>
      <c r="G6" s="7" t="s">
        <v>7150</v>
      </c>
      <c r="H6" s="7" t="s">
        <v>7156</v>
      </c>
      <c r="I6" s="7"/>
      <c r="J6" s="10">
        <v>41484</v>
      </c>
      <c r="K6" s="7" t="s">
        <v>7163</v>
      </c>
      <c r="L6" s="7"/>
      <c r="M6" s="7"/>
    </row>
    <row r="7" spans="1:13" x14ac:dyDescent="0.3">
      <c r="A7" s="7">
        <v>18167</v>
      </c>
      <c r="B7" s="7" t="s">
        <v>15</v>
      </c>
      <c r="C7" s="7" t="s">
        <v>6298</v>
      </c>
      <c r="D7" s="7" t="s">
        <v>6295</v>
      </c>
      <c r="E7" s="7" t="s">
        <v>6295</v>
      </c>
      <c r="F7" s="7" t="s">
        <v>6302</v>
      </c>
      <c r="G7" s="7" t="s">
        <v>7150</v>
      </c>
      <c r="H7" s="7" t="s">
        <v>7156</v>
      </c>
      <c r="I7" s="7"/>
      <c r="J7" s="10">
        <v>46027</v>
      </c>
      <c r="K7" s="7" t="s">
        <v>7163</v>
      </c>
      <c r="L7" s="7"/>
      <c r="M7" s="7" t="s">
        <v>7247</v>
      </c>
    </row>
    <row r="8" spans="1:13" x14ac:dyDescent="0.3">
      <c r="A8" s="7">
        <v>10002</v>
      </c>
      <c r="B8" s="7" t="s">
        <v>16</v>
      </c>
      <c r="C8" s="7" t="s">
        <v>6298</v>
      </c>
      <c r="D8" s="7" t="s">
        <v>6295</v>
      </c>
      <c r="E8" s="7" t="s">
        <v>6295</v>
      </c>
      <c r="F8" s="7" t="s">
        <v>6302</v>
      </c>
      <c r="G8" s="7" t="s">
        <v>7150</v>
      </c>
      <c r="H8" s="7" t="s">
        <v>7156</v>
      </c>
      <c r="I8" s="7"/>
      <c r="J8" s="10">
        <v>37893</v>
      </c>
      <c r="K8" s="7" t="s">
        <v>7163</v>
      </c>
      <c r="L8" s="7"/>
      <c r="M8" s="7"/>
    </row>
    <row r="9" spans="1:13" x14ac:dyDescent="0.3">
      <c r="A9" s="7">
        <v>10611</v>
      </c>
      <c r="B9" s="7" t="s">
        <v>17</v>
      </c>
      <c r="C9" s="7" t="s">
        <v>6298</v>
      </c>
      <c r="D9" s="7" t="s">
        <v>6295</v>
      </c>
      <c r="E9" s="7" t="s">
        <v>6295</v>
      </c>
      <c r="F9" s="7" t="s">
        <v>6303</v>
      </c>
      <c r="G9" s="7" t="s">
        <v>7150</v>
      </c>
      <c r="H9" s="7" t="s">
        <v>7156</v>
      </c>
      <c r="I9" s="7"/>
      <c r="J9" s="10">
        <v>41484</v>
      </c>
      <c r="K9" s="7" t="s">
        <v>7163</v>
      </c>
      <c r="L9" s="7"/>
      <c r="M9" s="7"/>
    </row>
    <row r="10" spans="1:13" x14ac:dyDescent="0.3">
      <c r="A10" s="7">
        <v>10963</v>
      </c>
      <c r="B10" s="7" t="s">
        <v>18</v>
      </c>
      <c r="C10" s="7" t="s">
        <v>6298</v>
      </c>
      <c r="D10" s="7" t="s">
        <v>6295</v>
      </c>
      <c r="E10" s="7" t="s">
        <v>6295</v>
      </c>
      <c r="F10" s="7" t="s">
        <v>6304</v>
      </c>
      <c r="G10" s="7" t="s">
        <v>7150</v>
      </c>
      <c r="H10" s="7" t="s">
        <v>7156</v>
      </c>
      <c r="I10" s="7"/>
      <c r="J10" s="10">
        <v>42219</v>
      </c>
      <c r="K10" s="7" t="s">
        <v>7163</v>
      </c>
      <c r="L10" s="7"/>
      <c r="M10" s="7"/>
    </row>
    <row r="11" spans="1:13" x14ac:dyDescent="0.3">
      <c r="A11" s="7">
        <v>18369</v>
      </c>
      <c r="B11" s="7" t="s">
        <v>19</v>
      </c>
      <c r="C11" s="7" t="s">
        <v>6298</v>
      </c>
      <c r="D11" s="7" t="s">
        <v>6295</v>
      </c>
      <c r="E11" s="7" t="s">
        <v>6295</v>
      </c>
      <c r="F11" s="7" t="s">
        <v>6305</v>
      </c>
      <c r="G11" s="7" t="s">
        <v>7150</v>
      </c>
      <c r="H11" s="7" t="s">
        <v>7156</v>
      </c>
      <c r="I11" s="7"/>
      <c r="J11" s="10">
        <v>46113</v>
      </c>
      <c r="K11" s="7" t="s">
        <v>7163</v>
      </c>
      <c r="L11" s="7"/>
      <c r="M11" s="7" t="s">
        <v>7246</v>
      </c>
    </row>
    <row r="12" spans="1:13" x14ac:dyDescent="0.3">
      <c r="A12" s="7">
        <v>10658</v>
      </c>
      <c r="B12" s="7" t="s">
        <v>20</v>
      </c>
      <c r="C12" s="7" t="s">
        <v>6298</v>
      </c>
      <c r="D12" s="7" t="s">
        <v>6295</v>
      </c>
      <c r="E12" s="7" t="s">
        <v>6295</v>
      </c>
      <c r="F12" s="7" t="s">
        <v>6306</v>
      </c>
      <c r="G12" s="7" t="s">
        <v>7150</v>
      </c>
      <c r="H12" s="7" t="s">
        <v>7156</v>
      </c>
      <c r="I12" s="7"/>
      <c r="J12" s="10">
        <v>41611</v>
      </c>
      <c r="K12" s="7" t="s">
        <v>7163</v>
      </c>
      <c r="L12" s="7"/>
      <c r="M12" s="7"/>
    </row>
    <row r="13" spans="1:13" x14ac:dyDescent="0.3">
      <c r="A13" s="7">
        <v>18916</v>
      </c>
      <c r="B13" s="7" t="s">
        <v>21</v>
      </c>
      <c r="C13" s="7" t="s">
        <v>6298</v>
      </c>
      <c r="D13" s="7" t="s">
        <v>6295</v>
      </c>
      <c r="E13" s="7" t="s">
        <v>6295</v>
      </c>
      <c r="F13" s="7" t="s">
        <v>6306</v>
      </c>
      <c r="G13" s="7" t="s">
        <v>7150</v>
      </c>
      <c r="H13" s="7" t="s">
        <v>7156</v>
      </c>
      <c r="I13" s="7"/>
      <c r="J13" s="10">
        <v>46237</v>
      </c>
      <c r="K13" s="7" t="s">
        <v>7163</v>
      </c>
      <c r="L13" s="7"/>
      <c r="M13" s="7" t="s">
        <v>7245</v>
      </c>
    </row>
    <row r="14" spans="1:13" x14ac:dyDescent="0.3">
      <c r="A14" s="7">
        <v>18890</v>
      </c>
      <c r="B14" s="7" t="s">
        <v>22</v>
      </c>
      <c r="C14" s="7" t="s">
        <v>6298</v>
      </c>
      <c r="D14" s="7" t="s">
        <v>6295</v>
      </c>
      <c r="E14" s="7" t="s">
        <v>6295</v>
      </c>
      <c r="F14" s="7" t="s">
        <v>6306</v>
      </c>
      <c r="G14" s="7" t="s">
        <v>7150</v>
      </c>
      <c r="H14" s="7" t="s">
        <v>7156</v>
      </c>
      <c r="I14" s="7" t="s">
        <v>7158</v>
      </c>
      <c r="J14" s="10">
        <v>46241</v>
      </c>
      <c r="K14" s="7" t="s">
        <v>7163</v>
      </c>
      <c r="L14" s="7"/>
      <c r="M14" s="7" t="s">
        <v>7245</v>
      </c>
    </row>
    <row r="15" spans="1:13" x14ac:dyDescent="0.3">
      <c r="A15" s="7">
        <v>18188</v>
      </c>
      <c r="B15" s="7" t="s">
        <v>23</v>
      </c>
      <c r="C15" s="7" t="s">
        <v>6298</v>
      </c>
      <c r="D15" s="7" t="s">
        <v>6295</v>
      </c>
      <c r="E15" s="7" t="s">
        <v>6295</v>
      </c>
      <c r="F15" s="7" t="s">
        <v>6307</v>
      </c>
      <c r="G15" s="7" t="s">
        <v>7150</v>
      </c>
      <c r="H15" s="7" t="s">
        <v>7156</v>
      </c>
      <c r="I15" s="7" t="s">
        <v>7158</v>
      </c>
      <c r="J15" s="10">
        <v>46034</v>
      </c>
      <c r="K15" s="7" t="s">
        <v>7163</v>
      </c>
      <c r="L15" s="7"/>
      <c r="M15" s="7" t="s">
        <v>7244</v>
      </c>
    </row>
    <row r="16" spans="1:13" x14ac:dyDescent="0.3">
      <c r="A16" s="7">
        <v>15131</v>
      </c>
      <c r="B16" s="7" t="s">
        <v>24</v>
      </c>
      <c r="C16" s="7" t="s">
        <v>6298</v>
      </c>
      <c r="D16" s="7" t="s">
        <v>6295</v>
      </c>
      <c r="E16" s="7" t="s">
        <v>6295</v>
      </c>
      <c r="F16" s="7" t="s">
        <v>6308</v>
      </c>
      <c r="G16" s="7" t="s">
        <v>7150</v>
      </c>
      <c r="H16" s="7" t="s">
        <v>7156</v>
      </c>
      <c r="I16" s="7"/>
      <c r="J16" s="10">
        <v>44958</v>
      </c>
      <c r="K16" s="7" t="s">
        <v>7163</v>
      </c>
      <c r="L16" s="7"/>
      <c r="M16" s="7"/>
    </row>
    <row r="17" spans="1:13" x14ac:dyDescent="0.3">
      <c r="A17" s="7">
        <v>11584</v>
      </c>
      <c r="B17" s="7" t="s">
        <v>25</v>
      </c>
      <c r="C17" s="7" t="s">
        <v>6298</v>
      </c>
      <c r="D17" s="7" t="s">
        <v>6295</v>
      </c>
      <c r="E17" s="7" t="s">
        <v>6295</v>
      </c>
      <c r="F17" s="7" t="s">
        <v>6309</v>
      </c>
      <c r="G17" s="7" t="s">
        <v>7150</v>
      </c>
      <c r="H17" s="7" t="s">
        <v>7156</v>
      </c>
      <c r="I17" s="7"/>
      <c r="J17" s="10">
        <v>42877</v>
      </c>
      <c r="K17" s="7" t="s">
        <v>7164</v>
      </c>
      <c r="L17" s="7"/>
      <c r="M17" s="7"/>
    </row>
    <row r="18" spans="1:13" x14ac:dyDescent="0.3">
      <c r="A18" s="7">
        <v>19018</v>
      </c>
      <c r="B18" s="7" t="s">
        <v>26</v>
      </c>
      <c r="C18" s="7" t="s">
        <v>6298</v>
      </c>
      <c r="D18" s="7" t="s">
        <v>6295</v>
      </c>
      <c r="E18" s="7" t="s">
        <v>6295</v>
      </c>
      <c r="F18" s="7" t="s">
        <v>6310</v>
      </c>
      <c r="G18" s="7" t="s">
        <v>7150</v>
      </c>
      <c r="H18" s="7" t="s">
        <v>7156</v>
      </c>
      <c r="I18" s="7" t="s">
        <v>7159</v>
      </c>
      <c r="J18" s="10">
        <v>46254</v>
      </c>
      <c r="K18" s="7" t="s">
        <v>7164</v>
      </c>
      <c r="L18" s="7"/>
      <c r="M18" s="7"/>
    </row>
    <row r="19" spans="1:13" x14ac:dyDescent="0.3">
      <c r="A19" s="7">
        <v>15541</v>
      </c>
      <c r="B19" s="7" t="s">
        <v>27</v>
      </c>
      <c r="C19" s="7" t="s">
        <v>6311</v>
      </c>
      <c r="D19" s="7" t="s">
        <v>6295</v>
      </c>
      <c r="E19" s="7" t="s">
        <v>6295</v>
      </c>
      <c r="F19" s="7" t="s">
        <v>6312</v>
      </c>
      <c r="G19" s="7" t="s">
        <v>7150</v>
      </c>
      <c r="H19" s="7" t="s">
        <v>7156</v>
      </c>
      <c r="I19" s="7"/>
      <c r="J19" s="10">
        <v>45114</v>
      </c>
      <c r="K19" s="7" t="s">
        <v>7164</v>
      </c>
      <c r="L19" s="7"/>
      <c r="M19" s="7"/>
    </row>
    <row r="20" spans="1:13" x14ac:dyDescent="0.3">
      <c r="A20" s="7">
        <v>16327</v>
      </c>
      <c r="B20" s="7" t="s">
        <v>28</v>
      </c>
      <c r="C20" s="7" t="s">
        <v>6313</v>
      </c>
      <c r="D20" s="7" t="s">
        <v>6295</v>
      </c>
      <c r="E20" s="7" t="s">
        <v>6295</v>
      </c>
      <c r="F20" s="7" t="s">
        <v>6312</v>
      </c>
      <c r="G20" s="7" t="s">
        <v>7150</v>
      </c>
      <c r="H20" s="7" t="s">
        <v>7156</v>
      </c>
      <c r="I20" s="7"/>
      <c r="J20" s="10">
        <v>45344</v>
      </c>
      <c r="K20" s="7" t="s">
        <v>7164</v>
      </c>
      <c r="L20" s="7"/>
      <c r="M20" s="7"/>
    </row>
    <row r="21" spans="1:13" x14ac:dyDescent="0.3">
      <c r="A21" s="7">
        <v>18522</v>
      </c>
      <c r="B21" s="7" t="s">
        <v>29</v>
      </c>
      <c r="C21" s="7" t="s">
        <v>6314</v>
      </c>
      <c r="D21" s="7" t="s">
        <v>6295</v>
      </c>
      <c r="E21" s="7" t="s">
        <v>6295</v>
      </c>
      <c r="F21" s="7" t="s">
        <v>6312</v>
      </c>
      <c r="G21" s="7" t="s">
        <v>7150</v>
      </c>
      <c r="H21" s="7" t="s">
        <v>7156</v>
      </c>
      <c r="I21" s="7" t="s">
        <v>7160</v>
      </c>
      <c r="J21" s="10">
        <v>46143</v>
      </c>
      <c r="K21" s="7" t="s">
        <v>7164</v>
      </c>
      <c r="L21" s="7"/>
      <c r="M21" s="7"/>
    </row>
    <row r="22" spans="1:13" x14ac:dyDescent="0.3">
      <c r="A22" s="7">
        <v>18523</v>
      </c>
      <c r="B22" s="7" t="s">
        <v>30</v>
      </c>
      <c r="C22" s="7" t="s">
        <v>6315</v>
      </c>
      <c r="D22" s="7" t="s">
        <v>6295</v>
      </c>
      <c r="E22" s="7" t="s">
        <v>6295</v>
      </c>
      <c r="F22" s="7" t="s">
        <v>6312</v>
      </c>
      <c r="G22" s="7" t="s">
        <v>7150</v>
      </c>
      <c r="H22" s="7" t="s">
        <v>7156</v>
      </c>
      <c r="I22" s="7" t="s">
        <v>7160</v>
      </c>
      <c r="J22" s="10">
        <v>46143</v>
      </c>
      <c r="K22" s="7" t="s">
        <v>7163</v>
      </c>
      <c r="L22" s="7"/>
      <c r="M22" s="7"/>
    </row>
    <row r="23" spans="1:13" x14ac:dyDescent="0.3">
      <c r="A23" s="7">
        <v>160032</v>
      </c>
      <c r="B23" s="7" t="s">
        <v>31</v>
      </c>
      <c r="C23" s="7" t="s">
        <v>6316</v>
      </c>
      <c r="D23" s="7" t="s">
        <v>6295</v>
      </c>
      <c r="E23" s="7" t="s">
        <v>6295</v>
      </c>
      <c r="F23" s="7" t="s">
        <v>6309</v>
      </c>
      <c r="G23" s="7" t="s">
        <v>7150</v>
      </c>
      <c r="H23" s="7" t="s">
        <v>7156</v>
      </c>
      <c r="I23" s="7"/>
      <c r="J23" s="10">
        <v>42311</v>
      </c>
      <c r="K23" s="7" t="s">
        <v>7163</v>
      </c>
      <c r="L23" s="7"/>
      <c r="M23" s="7"/>
    </row>
    <row r="24" spans="1:13" x14ac:dyDescent="0.3">
      <c r="A24" s="7">
        <v>10431</v>
      </c>
      <c r="B24" s="7" t="s">
        <v>32</v>
      </c>
      <c r="C24" s="7" t="s">
        <v>6317</v>
      </c>
      <c r="D24" s="7" t="s">
        <v>6295</v>
      </c>
      <c r="E24" s="7" t="s">
        <v>6295</v>
      </c>
      <c r="F24" s="7" t="s">
        <v>6309</v>
      </c>
      <c r="G24" s="7" t="s">
        <v>7150</v>
      </c>
      <c r="H24" s="7" t="s">
        <v>7156</v>
      </c>
      <c r="I24" s="7"/>
      <c r="J24" s="10">
        <v>40253</v>
      </c>
      <c r="K24" s="7" t="s">
        <v>7164</v>
      </c>
      <c r="L24" s="7"/>
      <c r="M24" s="7"/>
    </row>
    <row r="25" spans="1:13" x14ac:dyDescent="0.3">
      <c r="A25" s="7">
        <v>10967</v>
      </c>
      <c r="B25" s="7" t="s">
        <v>33</v>
      </c>
      <c r="C25" s="7" t="s">
        <v>6318</v>
      </c>
      <c r="D25" s="7" t="s">
        <v>6295</v>
      </c>
      <c r="E25" s="7" t="s">
        <v>6295</v>
      </c>
      <c r="F25" s="7" t="s">
        <v>6309</v>
      </c>
      <c r="G25" s="7" t="s">
        <v>7150</v>
      </c>
      <c r="H25" s="7" t="s">
        <v>7156</v>
      </c>
      <c r="I25" s="7"/>
      <c r="J25" s="10">
        <v>42222</v>
      </c>
      <c r="K25" s="7" t="s">
        <v>7164</v>
      </c>
      <c r="L25" s="7"/>
      <c r="M25" s="7"/>
    </row>
    <row r="26" spans="1:13" x14ac:dyDescent="0.3">
      <c r="A26" s="7">
        <v>10516</v>
      </c>
      <c r="B26" s="7" t="s">
        <v>34</v>
      </c>
      <c r="C26" s="7" t="s">
        <v>6319</v>
      </c>
      <c r="D26" s="7" t="s">
        <v>6295</v>
      </c>
      <c r="E26" s="7" t="s">
        <v>6295</v>
      </c>
      <c r="F26" s="7" t="s">
        <v>6309</v>
      </c>
      <c r="G26" s="7" t="s">
        <v>7150</v>
      </c>
      <c r="H26" s="7" t="s">
        <v>7156</v>
      </c>
      <c r="I26" s="7"/>
      <c r="J26" s="10">
        <v>41022</v>
      </c>
      <c r="K26" s="7" t="s">
        <v>7163</v>
      </c>
      <c r="L26" s="7"/>
      <c r="M26" s="7"/>
    </row>
    <row r="27" spans="1:13" x14ac:dyDescent="0.3">
      <c r="A27" s="7">
        <v>13059</v>
      </c>
      <c r="B27" s="7" t="s">
        <v>35</v>
      </c>
      <c r="C27" s="7" t="s">
        <v>6320</v>
      </c>
      <c r="D27" s="7" t="s">
        <v>6295</v>
      </c>
      <c r="E27" s="7" t="s">
        <v>6295</v>
      </c>
      <c r="F27" s="7" t="s">
        <v>6309</v>
      </c>
      <c r="G27" s="7" t="s">
        <v>7150</v>
      </c>
      <c r="H27" s="7" t="s">
        <v>7156</v>
      </c>
      <c r="I27" s="7"/>
      <c r="J27" s="10">
        <v>44228</v>
      </c>
      <c r="K27" s="7" t="s">
        <v>7163</v>
      </c>
      <c r="L27" s="7"/>
      <c r="M27" s="7"/>
    </row>
    <row r="28" spans="1:13" x14ac:dyDescent="0.3">
      <c r="A28" s="7">
        <v>16326</v>
      </c>
      <c r="B28" s="7" t="s">
        <v>36</v>
      </c>
      <c r="C28" s="7" t="s">
        <v>6311</v>
      </c>
      <c r="D28" s="7" t="s">
        <v>6295</v>
      </c>
      <c r="E28" s="7" t="s">
        <v>6295</v>
      </c>
      <c r="F28" s="7" t="s">
        <v>6321</v>
      </c>
      <c r="G28" s="7" t="s">
        <v>7150</v>
      </c>
      <c r="H28" s="7" t="s">
        <v>7156</v>
      </c>
      <c r="I28" s="7"/>
      <c r="J28" s="10">
        <v>45344</v>
      </c>
      <c r="K28" s="7" t="s">
        <v>7164</v>
      </c>
      <c r="L28" s="7"/>
      <c r="M28" s="7"/>
    </row>
    <row r="29" spans="1:13" x14ac:dyDescent="0.3">
      <c r="A29" s="7">
        <v>16075</v>
      </c>
      <c r="B29" s="7" t="s">
        <v>37</v>
      </c>
      <c r="C29" s="7" t="s">
        <v>6322</v>
      </c>
      <c r="D29" s="7" t="s">
        <v>6295</v>
      </c>
      <c r="E29" s="7" t="s">
        <v>6295</v>
      </c>
      <c r="F29" s="7" t="s">
        <v>6321</v>
      </c>
      <c r="G29" s="7" t="s">
        <v>7150</v>
      </c>
      <c r="H29" s="7" t="s">
        <v>7156</v>
      </c>
      <c r="I29" s="7"/>
      <c r="J29" s="10">
        <v>45278</v>
      </c>
      <c r="K29" s="7" t="s">
        <v>7164</v>
      </c>
      <c r="L29" s="7"/>
      <c r="M29" s="7"/>
    </row>
    <row r="30" spans="1:13" x14ac:dyDescent="0.3">
      <c r="A30" s="7">
        <v>18483</v>
      </c>
      <c r="B30" s="7" t="s">
        <v>38</v>
      </c>
      <c r="C30" s="7" t="s">
        <v>6322</v>
      </c>
      <c r="D30" s="7" t="s">
        <v>6323</v>
      </c>
      <c r="E30" s="7" t="s">
        <v>6295</v>
      </c>
      <c r="F30" s="7" t="s">
        <v>6324</v>
      </c>
      <c r="G30" s="7" t="s">
        <v>7150</v>
      </c>
      <c r="H30" s="7" t="s">
        <v>7156</v>
      </c>
      <c r="I30" s="7"/>
      <c r="J30" s="10">
        <v>46146</v>
      </c>
      <c r="K30" s="7" t="s">
        <v>7164</v>
      </c>
      <c r="L30" s="7"/>
      <c r="M30" s="7"/>
    </row>
    <row r="31" spans="1:13" x14ac:dyDescent="0.3">
      <c r="A31" s="7">
        <v>18815</v>
      </c>
      <c r="B31" s="7" t="s">
        <v>39</v>
      </c>
      <c r="C31" s="7" t="s">
        <v>6322</v>
      </c>
      <c r="D31" s="7" t="s">
        <v>6323</v>
      </c>
      <c r="E31" s="7" t="s">
        <v>6295</v>
      </c>
      <c r="F31" s="7" t="s">
        <v>6325</v>
      </c>
      <c r="G31" s="7" t="s">
        <v>7150</v>
      </c>
      <c r="H31" s="7" t="s">
        <v>7156</v>
      </c>
      <c r="I31" s="7" t="s">
        <v>7159</v>
      </c>
      <c r="J31" s="10">
        <v>46213</v>
      </c>
      <c r="K31" s="7" t="s">
        <v>7164</v>
      </c>
      <c r="L31" s="7"/>
      <c r="M31" s="7"/>
    </row>
    <row r="32" spans="1:13" x14ac:dyDescent="0.3">
      <c r="A32" s="7">
        <v>18182</v>
      </c>
      <c r="B32" s="7" t="s">
        <v>40</v>
      </c>
      <c r="C32" s="7" t="s">
        <v>6326</v>
      </c>
      <c r="D32" s="7" t="s">
        <v>6295</v>
      </c>
      <c r="E32" s="7" t="s">
        <v>6295</v>
      </c>
      <c r="F32" s="7" t="s">
        <v>6321</v>
      </c>
      <c r="G32" s="7" t="s">
        <v>7150</v>
      </c>
      <c r="H32" s="7" t="s">
        <v>7156</v>
      </c>
      <c r="I32" s="7"/>
      <c r="J32" s="10">
        <v>46035</v>
      </c>
      <c r="K32" s="7" t="s">
        <v>7164</v>
      </c>
      <c r="L32" s="7"/>
      <c r="M32" s="7"/>
    </row>
    <row r="33" spans="1:13" x14ac:dyDescent="0.3">
      <c r="A33" s="7">
        <v>11886</v>
      </c>
      <c r="B33" s="7" t="s">
        <v>41</v>
      </c>
      <c r="C33" s="7" t="s">
        <v>6327</v>
      </c>
      <c r="D33" s="7" t="s">
        <v>6295</v>
      </c>
      <c r="E33" s="7" t="s">
        <v>6295</v>
      </c>
      <c r="F33" s="7" t="s">
        <v>6321</v>
      </c>
      <c r="G33" s="7" t="s">
        <v>7150</v>
      </c>
      <c r="H33" s="7" t="s">
        <v>7156</v>
      </c>
      <c r="I33" s="7"/>
      <c r="J33" s="10">
        <v>43242</v>
      </c>
      <c r="K33" s="7" t="s">
        <v>7164</v>
      </c>
      <c r="L33" s="7"/>
      <c r="M33" s="7"/>
    </row>
    <row r="34" spans="1:13" x14ac:dyDescent="0.3">
      <c r="A34" s="7">
        <v>17254</v>
      </c>
      <c r="B34" s="7" t="s">
        <v>42</v>
      </c>
      <c r="C34" s="7" t="s">
        <v>6322</v>
      </c>
      <c r="D34" s="7" t="s">
        <v>6295</v>
      </c>
      <c r="E34" s="7" t="s">
        <v>6295</v>
      </c>
      <c r="F34" s="7" t="s">
        <v>6328</v>
      </c>
      <c r="G34" s="7" t="s">
        <v>7150</v>
      </c>
      <c r="H34" s="7" t="s">
        <v>7156</v>
      </c>
      <c r="I34" s="7"/>
      <c r="J34" s="10">
        <v>45691</v>
      </c>
      <c r="K34" s="7" t="s">
        <v>7164</v>
      </c>
      <c r="L34" s="7"/>
      <c r="M34" s="7"/>
    </row>
    <row r="35" spans="1:13" x14ac:dyDescent="0.3">
      <c r="A35" s="7">
        <v>16234</v>
      </c>
      <c r="B35" s="7" t="s">
        <v>43</v>
      </c>
      <c r="C35" s="7" t="s">
        <v>6329</v>
      </c>
      <c r="D35" s="7" t="s">
        <v>6295</v>
      </c>
      <c r="E35" s="7" t="s">
        <v>6295</v>
      </c>
      <c r="F35" s="7" t="s">
        <v>6330</v>
      </c>
      <c r="G35" s="7" t="s">
        <v>7150</v>
      </c>
      <c r="H35" s="7" t="s">
        <v>7156</v>
      </c>
      <c r="I35" s="7"/>
      <c r="J35" s="10">
        <v>45323</v>
      </c>
      <c r="K35" s="7" t="s">
        <v>7164</v>
      </c>
      <c r="L35" s="7"/>
      <c r="M35" s="7"/>
    </row>
    <row r="36" spans="1:13" x14ac:dyDescent="0.3">
      <c r="A36" s="7">
        <v>17485</v>
      </c>
      <c r="B36" s="7" t="s">
        <v>44</v>
      </c>
      <c r="C36" s="7" t="s">
        <v>6331</v>
      </c>
      <c r="D36" s="7" t="s">
        <v>6295</v>
      </c>
      <c r="E36" s="7" t="s">
        <v>6295</v>
      </c>
      <c r="F36" s="7" t="s">
        <v>6321</v>
      </c>
      <c r="G36" s="7" t="s">
        <v>7150</v>
      </c>
      <c r="H36" s="7" t="s">
        <v>7156</v>
      </c>
      <c r="I36" s="7"/>
      <c r="J36" s="10">
        <v>45762</v>
      </c>
      <c r="K36" s="7" t="s">
        <v>7164</v>
      </c>
      <c r="L36" s="7"/>
      <c r="M36" s="7"/>
    </row>
    <row r="37" spans="1:13" x14ac:dyDescent="0.3">
      <c r="A37" s="7">
        <v>11527</v>
      </c>
      <c r="B37" s="7" t="s">
        <v>45</v>
      </c>
      <c r="C37" s="7" t="s">
        <v>6331</v>
      </c>
      <c r="D37" s="7" t="s">
        <v>6332</v>
      </c>
      <c r="E37" s="7" t="s">
        <v>6295</v>
      </c>
      <c r="F37" s="7" t="s">
        <v>6333</v>
      </c>
      <c r="G37" s="7" t="s">
        <v>7150</v>
      </c>
      <c r="H37" s="7" t="s">
        <v>7156</v>
      </c>
      <c r="I37" s="7"/>
      <c r="J37" s="10">
        <v>42797</v>
      </c>
      <c r="K37" s="7" t="s">
        <v>7164</v>
      </c>
      <c r="L37" s="7"/>
      <c r="M37" s="7"/>
    </row>
    <row r="38" spans="1:13" x14ac:dyDescent="0.3">
      <c r="A38" s="7">
        <v>11536</v>
      </c>
      <c r="B38" s="7" t="s">
        <v>46</v>
      </c>
      <c r="C38" s="7" t="s">
        <v>6322</v>
      </c>
      <c r="D38" s="7" t="s">
        <v>6295</v>
      </c>
      <c r="E38" s="7" t="s">
        <v>6295</v>
      </c>
      <c r="F38" s="7" t="s">
        <v>6321</v>
      </c>
      <c r="G38" s="7" t="s">
        <v>7150</v>
      </c>
      <c r="H38" s="7" t="s">
        <v>7156</v>
      </c>
      <c r="I38" s="7"/>
      <c r="J38" s="10">
        <v>42808</v>
      </c>
      <c r="K38" s="7" t="s">
        <v>7164</v>
      </c>
      <c r="L38" s="7"/>
      <c r="M38" s="7"/>
    </row>
    <row r="39" spans="1:13" x14ac:dyDescent="0.3">
      <c r="A39" s="7">
        <v>18202</v>
      </c>
      <c r="B39" s="7" t="s">
        <v>47</v>
      </c>
      <c r="C39" s="7" t="s">
        <v>6334</v>
      </c>
      <c r="D39" s="7" t="s">
        <v>6295</v>
      </c>
      <c r="E39" s="7" t="s">
        <v>6295</v>
      </c>
      <c r="F39" s="7" t="s">
        <v>6335</v>
      </c>
      <c r="G39" s="7" t="s">
        <v>7150</v>
      </c>
      <c r="H39" s="7" t="s">
        <v>7156</v>
      </c>
      <c r="I39" s="7"/>
      <c r="J39" s="10">
        <v>46055</v>
      </c>
      <c r="K39" s="7" t="s">
        <v>7163</v>
      </c>
      <c r="L39" s="7"/>
      <c r="M39" s="7"/>
    </row>
    <row r="40" spans="1:13" x14ac:dyDescent="0.3">
      <c r="A40" s="7">
        <v>18268</v>
      </c>
      <c r="B40" s="7" t="s">
        <v>48</v>
      </c>
      <c r="C40" s="7" t="s">
        <v>6334</v>
      </c>
      <c r="D40" s="7" t="s">
        <v>6295</v>
      </c>
      <c r="E40" s="7" t="s">
        <v>6295</v>
      </c>
      <c r="F40" s="7" t="s">
        <v>6336</v>
      </c>
      <c r="G40" s="7" t="s">
        <v>7150</v>
      </c>
      <c r="H40" s="7" t="s">
        <v>7156</v>
      </c>
      <c r="I40" s="7"/>
      <c r="J40" s="10">
        <v>46084</v>
      </c>
      <c r="K40" s="7" t="s">
        <v>7163</v>
      </c>
      <c r="L40" s="7"/>
      <c r="M40" s="7"/>
    </row>
    <row r="41" spans="1:13" x14ac:dyDescent="0.3">
      <c r="A41" s="7">
        <v>10944</v>
      </c>
      <c r="B41" s="7" t="s">
        <v>49</v>
      </c>
      <c r="C41" s="7" t="s">
        <v>6295</v>
      </c>
      <c r="D41" s="7" t="s">
        <v>6337</v>
      </c>
      <c r="E41" s="7" t="s">
        <v>6295</v>
      </c>
      <c r="F41" s="7" t="s">
        <v>6338</v>
      </c>
      <c r="G41" s="7" t="s">
        <v>7150</v>
      </c>
      <c r="H41" s="7" t="s">
        <v>7156</v>
      </c>
      <c r="I41" s="7"/>
      <c r="J41" s="10">
        <v>42171</v>
      </c>
      <c r="K41" s="7" t="s">
        <v>7163</v>
      </c>
      <c r="L41" s="7"/>
      <c r="M41" s="7"/>
    </row>
    <row r="42" spans="1:13" x14ac:dyDescent="0.3">
      <c r="A42" s="7">
        <v>10568</v>
      </c>
      <c r="B42" s="7" t="s">
        <v>50</v>
      </c>
      <c r="C42" s="7" t="s">
        <v>6295</v>
      </c>
      <c r="D42" s="7" t="s">
        <v>6337</v>
      </c>
      <c r="E42" s="7" t="s">
        <v>6339</v>
      </c>
      <c r="F42" s="7" t="s">
        <v>6335</v>
      </c>
      <c r="G42" s="7" t="s">
        <v>7150</v>
      </c>
      <c r="H42" s="7" t="s">
        <v>7156</v>
      </c>
      <c r="I42" s="7"/>
      <c r="J42" s="10">
        <v>41246</v>
      </c>
      <c r="K42" s="7" t="s">
        <v>7163</v>
      </c>
      <c r="L42" s="7"/>
      <c r="M42" s="7"/>
    </row>
    <row r="43" spans="1:13" x14ac:dyDescent="0.3">
      <c r="A43" s="7">
        <v>13399</v>
      </c>
      <c r="B43" s="7" t="s">
        <v>51</v>
      </c>
      <c r="C43" s="7" t="s">
        <v>6295</v>
      </c>
      <c r="D43" s="7" t="s">
        <v>6337</v>
      </c>
      <c r="E43" s="7" t="s">
        <v>6339</v>
      </c>
      <c r="F43" s="7" t="s">
        <v>6340</v>
      </c>
      <c r="G43" s="7" t="s">
        <v>7150</v>
      </c>
      <c r="H43" s="7" t="s">
        <v>7156</v>
      </c>
      <c r="I43" s="7"/>
      <c r="J43" s="10">
        <v>44425</v>
      </c>
      <c r="K43" s="7" t="s">
        <v>7163</v>
      </c>
      <c r="L43" s="7"/>
      <c r="M43" s="7"/>
    </row>
    <row r="44" spans="1:13" x14ac:dyDescent="0.3">
      <c r="A44" s="7">
        <v>15266</v>
      </c>
      <c r="B44" s="7" t="s">
        <v>52</v>
      </c>
      <c r="C44" s="7" t="s">
        <v>6295</v>
      </c>
      <c r="D44" s="7" t="s">
        <v>6337</v>
      </c>
      <c r="E44" s="7" t="s">
        <v>6339</v>
      </c>
      <c r="F44" s="7" t="s">
        <v>6340</v>
      </c>
      <c r="G44" s="7" t="s">
        <v>7150</v>
      </c>
      <c r="H44" s="7" t="s">
        <v>7156</v>
      </c>
      <c r="I44" s="7"/>
      <c r="J44" s="10">
        <v>45002</v>
      </c>
      <c r="K44" s="7" t="s">
        <v>7163</v>
      </c>
      <c r="L44" s="7"/>
      <c r="M44" s="7"/>
    </row>
    <row r="45" spans="1:13" x14ac:dyDescent="0.3">
      <c r="A45" s="7">
        <v>16648</v>
      </c>
      <c r="B45" s="7" t="s">
        <v>53</v>
      </c>
      <c r="C45" s="7" t="s">
        <v>6295</v>
      </c>
      <c r="D45" s="7" t="s">
        <v>6337</v>
      </c>
      <c r="E45" s="7" t="s">
        <v>6339</v>
      </c>
      <c r="F45" s="7" t="s">
        <v>6341</v>
      </c>
      <c r="G45" s="7" t="s">
        <v>7150</v>
      </c>
      <c r="H45" s="7" t="s">
        <v>7156</v>
      </c>
      <c r="I45" s="7"/>
      <c r="J45" s="10">
        <v>45513</v>
      </c>
      <c r="K45" s="7" t="s">
        <v>7163</v>
      </c>
      <c r="L45" s="7"/>
      <c r="M45" s="7"/>
    </row>
    <row r="46" spans="1:13" x14ac:dyDescent="0.3">
      <c r="A46" s="7">
        <v>17096</v>
      </c>
      <c r="B46" s="7" t="s">
        <v>54</v>
      </c>
      <c r="C46" s="7" t="s">
        <v>6295</v>
      </c>
      <c r="D46" s="7" t="s">
        <v>6337</v>
      </c>
      <c r="E46" s="7" t="s">
        <v>6339</v>
      </c>
      <c r="F46" s="7" t="s">
        <v>6341</v>
      </c>
      <c r="G46" s="7" t="s">
        <v>7150</v>
      </c>
      <c r="H46" s="7" t="s">
        <v>7156</v>
      </c>
      <c r="I46" s="7"/>
      <c r="J46" s="10">
        <v>45624</v>
      </c>
      <c r="K46" s="7" t="s">
        <v>7163</v>
      </c>
      <c r="L46" s="7"/>
      <c r="M46" s="7"/>
    </row>
    <row r="47" spans="1:13" x14ac:dyDescent="0.3">
      <c r="A47" s="7">
        <v>17689</v>
      </c>
      <c r="B47" s="7" t="s">
        <v>55</v>
      </c>
      <c r="C47" s="7" t="s">
        <v>6295</v>
      </c>
      <c r="D47" s="7" t="s">
        <v>6337</v>
      </c>
      <c r="E47" s="7" t="s">
        <v>6342</v>
      </c>
      <c r="F47" s="7" t="s">
        <v>6341</v>
      </c>
      <c r="G47" s="7" t="s">
        <v>7150</v>
      </c>
      <c r="H47" s="7" t="s">
        <v>7156</v>
      </c>
      <c r="I47" s="7"/>
      <c r="J47" s="10">
        <v>45846</v>
      </c>
      <c r="K47" s="7" t="s">
        <v>7163</v>
      </c>
      <c r="L47" s="7"/>
      <c r="M47" s="7"/>
    </row>
    <row r="48" spans="1:13" x14ac:dyDescent="0.3">
      <c r="A48" s="7">
        <v>18368</v>
      </c>
      <c r="B48" s="7" t="s">
        <v>56</v>
      </c>
      <c r="C48" s="7" t="s">
        <v>6295</v>
      </c>
      <c r="D48" s="7" t="s">
        <v>6337</v>
      </c>
      <c r="E48" s="7" t="s">
        <v>6342</v>
      </c>
      <c r="F48" s="7" t="s">
        <v>6343</v>
      </c>
      <c r="G48" s="7" t="s">
        <v>7150</v>
      </c>
      <c r="H48" s="7" t="s">
        <v>7156</v>
      </c>
      <c r="I48" s="7"/>
      <c r="J48" s="10">
        <v>46113</v>
      </c>
      <c r="K48" s="7" t="s">
        <v>7163</v>
      </c>
      <c r="L48" s="7"/>
      <c r="M48" s="7"/>
    </row>
    <row r="49" spans="1:13" x14ac:dyDescent="0.3">
      <c r="A49" s="7">
        <v>10313</v>
      </c>
      <c r="B49" s="7" t="s">
        <v>57</v>
      </c>
      <c r="C49" s="7" t="s">
        <v>6295</v>
      </c>
      <c r="D49" s="7" t="s">
        <v>6337</v>
      </c>
      <c r="E49" s="7" t="s">
        <v>6344</v>
      </c>
      <c r="F49" s="7" t="s">
        <v>6345</v>
      </c>
      <c r="G49" s="7" t="s">
        <v>7150</v>
      </c>
      <c r="H49" s="7" t="s">
        <v>7156</v>
      </c>
      <c r="I49" s="7"/>
      <c r="J49" s="10">
        <v>38735</v>
      </c>
      <c r="K49" s="7" t="s">
        <v>7163</v>
      </c>
      <c r="L49" s="7"/>
      <c r="M49" s="7"/>
    </row>
    <row r="50" spans="1:13" x14ac:dyDescent="0.3">
      <c r="A50" s="7">
        <v>600006</v>
      </c>
      <c r="B50" s="7" t="s">
        <v>58</v>
      </c>
      <c r="C50" s="7" t="s">
        <v>6295</v>
      </c>
      <c r="D50" s="7" t="s">
        <v>6337</v>
      </c>
      <c r="E50" s="7" t="s">
        <v>6344</v>
      </c>
      <c r="F50" s="7" t="s">
        <v>6345</v>
      </c>
      <c r="G50" s="7" t="s">
        <v>7150</v>
      </c>
      <c r="H50" s="7" t="s">
        <v>7156</v>
      </c>
      <c r="I50" s="7"/>
      <c r="J50" s="10">
        <v>38596</v>
      </c>
      <c r="K50" s="7" t="s">
        <v>7163</v>
      </c>
      <c r="L50" s="7"/>
      <c r="M50" s="7"/>
    </row>
    <row r="51" spans="1:13" x14ac:dyDescent="0.3">
      <c r="A51" s="7">
        <v>10020</v>
      </c>
      <c r="B51" s="7" t="s">
        <v>59</v>
      </c>
      <c r="C51" s="7" t="s">
        <v>6295</v>
      </c>
      <c r="D51" s="7" t="s">
        <v>6337</v>
      </c>
      <c r="E51" s="7" t="s">
        <v>6344</v>
      </c>
      <c r="F51" s="7" t="s">
        <v>6345</v>
      </c>
      <c r="G51" s="7" t="s">
        <v>7150</v>
      </c>
      <c r="H51" s="7" t="s">
        <v>7156</v>
      </c>
      <c r="I51" s="7"/>
      <c r="J51" s="10">
        <v>37935</v>
      </c>
      <c r="K51" s="7" t="s">
        <v>7163</v>
      </c>
      <c r="L51" s="7"/>
      <c r="M51" s="7"/>
    </row>
    <row r="52" spans="1:13" x14ac:dyDescent="0.3">
      <c r="A52" s="7">
        <v>15310</v>
      </c>
      <c r="B52" s="7" t="s">
        <v>60</v>
      </c>
      <c r="C52" s="7" t="s">
        <v>6295</v>
      </c>
      <c r="D52" s="7" t="s">
        <v>6337</v>
      </c>
      <c r="E52" s="7" t="s">
        <v>6344</v>
      </c>
      <c r="F52" s="7" t="s">
        <v>6345</v>
      </c>
      <c r="G52" s="7" t="s">
        <v>7150</v>
      </c>
      <c r="H52" s="7" t="s">
        <v>7156</v>
      </c>
      <c r="I52" s="7"/>
      <c r="J52" s="10">
        <v>45022</v>
      </c>
      <c r="K52" s="7" t="s">
        <v>7163</v>
      </c>
      <c r="L52" s="7"/>
      <c r="M52" s="7"/>
    </row>
    <row r="53" spans="1:13" x14ac:dyDescent="0.3">
      <c r="A53" s="7">
        <v>16976</v>
      </c>
      <c r="B53" s="7" t="s">
        <v>61</v>
      </c>
      <c r="C53" s="7" t="s">
        <v>6295</v>
      </c>
      <c r="D53" s="7" t="s">
        <v>6337</v>
      </c>
      <c r="E53" s="7" t="s">
        <v>6344</v>
      </c>
      <c r="F53" s="7" t="s">
        <v>6345</v>
      </c>
      <c r="G53" s="7" t="s">
        <v>7150</v>
      </c>
      <c r="H53" s="7" t="s">
        <v>7156</v>
      </c>
      <c r="I53" s="7"/>
      <c r="J53" s="10">
        <v>45586</v>
      </c>
      <c r="K53" s="7" t="s">
        <v>7163</v>
      </c>
      <c r="L53" s="7"/>
      <c r="M53" s="7"/>
    </row>
    <row r="54" spans="1:13" x14ac:dyDescent="0.3">
      <c r="A54" s="7">
        <v>16990</v>
      </c>
      <c r="B54" s="7" t="s">
        <v>62</v>
      </c>
      <c r="C54" s="7" t="s">
        <v>6295</v>
      </c>
      <c r="D54" s="7" t="s">
        <v>6337</v>
      </c>
      <c r="E54" s="7" t="s">
        <v>6344</v>
      </c>
      <c r="F54" s="7" t="s">
        <v>6345</v>
      </c>
      <c r="G54" s="7" t="s">
        <v>7150</v>
      </c>
      <c r="H54" s="7" t="s">
        <v>7156</v>
      </c>
      <c r="I54" s="7"/>
      <c r="J54" s="10">
        <v>45587</v>
      </c>
      <c r="K54" s="7" t="s">
        <v>7163</v>
      </c>
      <c r="L54" s="7"/>
      <c r="M54" s="7"/>
    </row>
    <row r="55" spans="1:13" x14ac:dyDescent="0.3">
      <c r="A55" s="7">
        <v>12567</v>
      </c>
      <c r="B55" s="7" t="s">
        <v>63</v>
      </c>
      <c r="C55" s="7" t="s">
        <v>6295</v>
      </c>
      <c r="D55" s="7" t="s">
        <v>6337</v>
      </c>
      <c r="E55" s="7" t="s">
        <v>6344</v>
      </c>
      <c r="F55" s="7" t="s">
        <v>6345</v>
      </c>
      <c r="G55" s="7" t="s">
        <v>7150</v>
      </c>
      <c r="H55" s="7" t="s">
        <v>7156</v>
      </c>
      <c r="I55" s="7"/>
      <c r="J55" s="10">
        <v>43810</v>
      </c>
      <c r="K55" s="7" t="s">
        <v>7163</v>
      </c>
      <c r="L55" s="7"/>
      <c r="M55" s="7"/>
    </row>
    <row r="56" spans="1:13" x14ac:dyDescent="0.3">
      <c r="A56" s="7">
        <v>15659</v>
      </c>
      <c r="B56" s="7" t="s">
        <v>64</v>
      </c>
      <c r="C56" s="7" t="s">
        <v>6295</v>
      </c>
      <c r="D56" s="7" t="s">
        <v>6337</v>
      </c>
      <c r="E56" s="7" t="s">
        <v>6344</v>
      </c>
      <c r="F56" s="7" t="s">
        <v>6345</v>
      </c>
      <c r="G56" s="7" t="s">
        <v>7150</v>
      </c>
      <c r="H56" s="7" t="s">
        <v>7156</v>
      </c>
      <c r="I56" s="7"/>
      <c r="J56" s="10">
        <v>45154</v>
      </c>
      <c r="K56" s="7" t="s">
        <v>7163</v>
      </c>
      <c r="L56" s="7"/>
      <c r="M56" s="7"/>
    </row>
    <row r="57" spans="1:13" x14ac:dyDescent="0.3">
      <c r="A57" s="7">
        <v>19126</v>
      </c>
      <c r="B57" s="7" t="s">
        <v>65</v>
      </c>
      <c r="C57" s="7" t="s">
        <v>6295</v>
      </c>
      <c r="D57" s="7" t="s">
        <v>6337</v>
      </c>
      <c r="E57" s="7" t="s">
        <v>6344</v>
      </c>
      <c r="F57" s="7" t="s">
        <v>6345</v>
      </c>
      <c r="G57" s="7" t="s">
        <v>7150</v>
      </c>
      <c r="H57" s="7" t="s">
        <v>7156</v>
      </c>
      <c r="I57" s="7" t="s">
        <v>7161</v>
      </c>
      <c r="J57" s="10">
        <v>46268</v>
      </c>
      <c r="K57" s="7" t="s">
        <v>7163</v>
      </c>
      <c r="L57" s="7"/>
      <c r="M57" s="7"/>
    </row>
    <row r="58" spans="1:13" x14ac:dyDescent="0.3">
      <c r="A58" s="7">
        <v>17763</v>
      </c>
      <c r="B58" s="7" t="s">
        <v>66</v>
      </c>
      <c r="C58" s="7" t="s">
        <v>6295</v>
      </c>
      <c r="D58" s="7" t="s">
        <v>6337</v>
      </c>
      <c r="E58" s="7" t="s">
        <v>6344</v>
      </c>
      <c r="F58" s="7" t="s">
        <v>6345</v>
      </c>
      <c r="G58" s="7" t="s">
        <v>7150</v>
      </c>
      <c r="H58" s="7" t="s">
        <v>7156</v>
      </c>
      <c r="I58" s="7"/>
      <c r="J58" s="10">
        <v>45873</v>
      </c>
      <c r="K58" s="7" t="s">
        <v>7163</v>
      </c>
      <c r="L58" s="7"/>
      <c r="M58" s="7"/>
    </row>
    <row r="59" spans="1:13" x14ac:dyDescent="0.3">
      <c r="A59" s="7">
        <v>17835</v>
      </c>
      <c r="B59" s="7" t="s">
        <v>67</v>
      </c>
      <c r="C59" s="7" t="s">
        <v>6295</v>
      </c>
      <c r="D59" s="7" t="s">
        <v>6337</v>
      </c>
      <c r="E59" s="7" t="s">
        <v>6344</v>
      </c>
      <c r="F59" s="7" t="s">
        <v>6345</v>
      </c>
      <c r="G59" s="7" t="s">
        <v>7150</v>
      </c>
      <c r="H59" s="7" t="s">
        <v>7156</v>
      </c>
      <c r="I59" s="7"/>
      <c r="J59" s="10">
        <v>45888</v>
      </c>
      <c r="K59" s="7" t="s">
        <v>7163</v>
      </c>
      <c r="L59" s="7"/>
      <c r="M59" s="7"/>
    </row>
    <row r="60" spans="1:13" x14ac:dyDescent="0.3">
      <c r="A60" s="7">
        <v>12584</v>
      </c>
      <c r="B60" s="7" t="s">
        <v>68</v>
      </c>
      <c r="C60" s="7" t="s">
        <v>6295</v>
      </c>
      <c r="D60" s="7" t="s">
        <v>6337</v>
      </c>
      <c r="E60" s="7" t="s">
        <v>6344</v>
      </c>
      <c r="F60" s="7" t="s">
        <v>6345</v>
      </c>
      <c r="G60" s="7" t="s">
        <v>7150</v>
      </c>
      <c r="H60" s="7" t="s">
        <v>7156</v>
      </c>
      <c r="I60" s="7"/>
      <c r="J60" s="10">
        <v>43827</v>
      </c>
      <c r="K60" s="7" t="s">
        <v>7163</v>
      </c>
      <c r="L60" s="7"/>
      <c r="M60" s="7"/>
    </row>
    <row r="61" spans="1:13" x14ac:dyDescent="0.3">
      <c r="A61" s="7">
        <v>10603</v>
      </c>
      <c r="B61" s="7" t="s">
        <v>69</v>
      </c>
      <c r="C61" s="7" t="s">
        <v>6295</v>
      </c>
      <c r="D61" s="7" t="s">
        <v>6337</v>
      </c>
      <c r="E61" s="7" t="s">
        <v>6344</v>
      </c>
      <c r="F61" s="7" t="s">
        <v>6346</v>
      </c>
      <c r="G61" s="7" t="s">
        <v>7150</v>
      </c>
      <c r="H61" s="7" t="s">
        <v>7156</v>
      </c>
      <c r="I61" s="7"/>
      <c r="J61" s="10">
        <v>39727</v>
      </c>
      <c r="K61" s="7" t="s">
        <v>7163</v>
      </c>
      <c r="L61" s="7"/>
      <c r="M61" s="7"/>
    </row>
    <row r="62" spans="1:13" x14ac:dyDescent="0.3">
      <c r="A62" s="7">
        <v>10015</v>
      </c>
      <c r="B62" s="7" t="s">
        <v>70</v>
      </c>
      <c r="C62" s="7" t="s">
        <v>6295</v>
      </c>
      <c r="D62" s="7" t="s">
        <v>6337</v>
      </c>
      <c r="E62" s="7" t="s">
        <v>6347</v>
      </c>
      <c r="F62" s="7" t="s">
        <v>6335</v>
      </c>
      <c r="G62" s="7" t="s">
        <v>7150</v>
      </c>
      <c r="H62" s="7" t="s">
        <v>7156</v>
      </c>
      <c r="I62" s="7"/>
      <c r="J62" s="10">
        <v>36714</v>
      </c>
      <c r="K62" s="7" t="s">
        <v>7163</v>
      </c>
      <c r="L62" s="7"/>
      <c r="M62" s="7"/>
    </row>
    <row r="63" spans="1:13" x14ac:dyDescent="0.3">
      <c r="A63" s="7">
        <v>13006</v>
      </c>
      <c r="B63" s="7" t="s">
        <v>71</v>
      </c>
      <c r="C63" s="7" t="s">
        <v>6295</v>
      </c>
      <c r="D63" s="7" t="s">
        <v>6337</v>
      </c>
      <c r="E63" s="7" t="s">
        <v>6347</v>
      </c>
      <c r="F63" s="7" t="s">
        <v>6340</v>
      </c>
      <c r="G63" s="7" t="s">
        <v>7150</v>
      </c>
      <c r="H63" s="7" t="s">
        <v>7156</v>
      </c>
      <c r="I63" s="7"/>
      <c r="J63" s="10">
        <v>44187</v>
      </c>
      <c r="K63" s="7" t="s">
        <v>7163</v>
      </c>
      <c r="L63" s="7"/>
      <c r="M63" s="7"/>
    </row>
    <row r="64" spans="1:13" x14ac:dyDescent="0.3">
      <c r="A64" s="7">
        <v>14147</v>
      </c>
      <c r="B64" s="7" t="s">
        <v>72</v>
      </c>
      <c r="C64" s="7" t="s">
        <v>6295</v>
      </c>
      <c r="D64" s="7" t="s">
        <v>6337</v>
      </c>
      <c r="E64" s="7" t="s">
        <v>6347</v>
      </c>
      <c r="F64" s="7" t="s">
        <v>6340</v>
      </c>
      <c r="G64" s="7" t="s">
        <v>7150</v>
      </c>
      <c r="H64" s="7" t="s">
        <v>7156</v>
      </c>
      <c r="I64" s="7"/>
      <c r="J64" s="10">
        <v>44673</v>
      </c>
      <c r="K64" s="7" t="s">
        <v>7163</v>
      </c>
      <c r="L64" s="7"/>
      <c r="M64" s="7"/>
    </row>
    <row r="65" spans="1:13" x14ac:dyDescent="0.3">
      <c r="A65" s="7">
        <v>18467</v>
      </c>
      <c r="B65" s="7" t="s">
        <v>73</v>
      </c>
      <c r="C65" s="7" t="s">
        <v>6295</v>
      </c>
      <c r="D65" s="7" t="s">
        <v>6337</v>
      </c>
      <c r="E65" s="7" t="s">
        <v>6347</v>
      </c>
      <c r="F65" s="7" t="s">
        <v>6340</v>
      </c>
      <c r="G65" s="7" t="s">
        <v>7150</v>
      </c>
      <c r="H65" s="7" t="s">
        <v>7156</v>
      </c>
      <c r="I65" s="7"/>
      <c r="J65" s="10">
        <v>46134</v>
      </c>
      <c r="K65" s="7" t="s">
        <v>7163</v>
      </c>
      <c r="L65" s="7"/>
      <c r="M65" s="7"/>
    </row>
    <row r="66" spans="1:13" x14ac:dyDescent="0.3">
      <c r="A66" s="7">
        <v>13414</v>
      </c>
      <c r="B66" s="7" t="s">
        <v>74</v>
      </c>
      <c r="C66" s="7" t="s">
        <v>6295</v>
      </c>
      <c r="D66" s="7" t="s">
        <v>6337</v>
      </c>
      <c r="E66" s="7" t="s">
        <v>6347</v>
      </c>
      <c r="F66" s="7" t="s">
        <v>6341</v>
      </c>
      <c r="G66" s="7" t="s">
        <v>7150</v>
      </c>
      <c r="H66" s="7" t="s">
        <v>7156</v>
      </c>
      <c r="I66" s="7"/>
      <c r="J66" s="10">
        <v>44431</v>
      </c>
      <c r="K66" s="7" t="s">
        <v>7163</v>
      </c>
      <c r="L66" s="7"/>
      <c r="M66" s="7"/>
    </row>
    <row r="67" spans="1:13" x14ac:dyDescent="0.3">
      <c r="A67" s="7">
        <v>16636</v>
      </c>
      <c r="B67" s="7" t="s">
        <v>75</v>
      </c>
      <c r="C67" s="7" t="s">
        <v>6295</v>
      </c>
      <c r="D67" s="7" t="s">
        <v>6337</v>
      </c>
      <c r="E67" s="7" t="s">
        <v>6347</v>
      </c>
      <c r="F67" s="7" t="s">
        <v>6341</v>
      </c>
      <c r="G67" s="7" t="s">
        <v>7150</v>
      </c>
      <c r="H67" s="7" t="s">
        <v>7156</v>
      </c>
      <c r="I67" s="7"/>
      <c r="J67" s="10">
        <v>45505</v>
      </c>
      <c r="K67" s="7" t="s">
        <v>7163</v>
      </c>
      <c r="L67" s="7"/>
      <c r="M67" s="7"/>
    </row>
    <row r="68" spans="1:13" x14ac:dyDescent="0.3">
      <c r="A68" s="7">
        <v>17180</v>
      </c>
      <c r="B68" s="7" t="s">
        <v>76</v>
      </c>
      <c r="C68" s="7" t="s">
        <v>6295</v>
      </c>
      <c r="D68" s="7" t="s">
        <v>6337</v>
      </c>
      <c r="E68" s="7" t="s">
        <v>6347</v>
      </c>
      <c r="F68" s="7" t="s">
        <v>6341</v>
      </c>
      <c r="G68" s="7" t="s">
        <v>7150</v>
      </c>
      <c r="H68" s="7" t="s">
        <v>7156</v>
      </c>
      <c r="I68" s="7"/>
      <c r="J68" s="10">
        <v>45670</v>
      </c>
      <c r="K68" s="7" t="s">
        <v>7163</v>
      </c>
      <c r="L68" s="7"/>
      <c r="M68" s="7"/>
    </row>
    <row r="69" spans="1:13" x14ac:dyDescent="0.3">
      <c r="A69" s="7">
        <v>17316</v>
      </c>
      <c r="B69" s="7" t="s">
        <v>77</v>
      </c>
      <c r="C69" s="7" t="s">
        <v>6295</v>
      </c>
      <c r="D69" s="7" t="s">
        <v>6337</v>
      </c>
      <c r="E69" s="7" t="s">
        <v>6347</v>
      </c>
      <c r="F69" s="7" t="s">
        <v>6341</v>
      </c>
      <c r="G69" s="7" t="s">
        <v>7150</v>
      </c>
      <c r="H69" s="7" t="s">
        <v>7156</v>
      </c>
      <c r="I69" s="7"/>
      <c r="J69" s="10">
        <v>45709</v>
      </c>
      <c r="K69" s="7" t="s">
        <v>7163</v>
      </c>
      <c r="L69" s="7"/>
      <c r="M69" s="7"/>
    </row>
    <row r="70" spans="1:13" x14ac:dyDescent="0.3">
      <c r="A70" s="7">
        <v>18418</v>
      </c>
      <c r="B70" s="7" t="s">
        <v>78</v>
      </c>
      <c r="C70" s="7" t="s">
        <v>6295</v>
      </c>
      <c r="D70" s="7" t="s">
        <v>6337</v>
      </c>
      <c r="E70" s="7" t="s">
        <v>6347</v>
      </c>
      <c r="F70" s="7" t="s">
        <v>6348</v>
      </c>
      <c r="G70" s="7" t="s">
        <v>7150</v>
      </c>
      <c r="H70" s="7" t="s">
        <v>7156</v>
      </c>
      <c r="I70" s="7"/>
      <c r="J70" s="10">
        <v>46120</v>
      </c>
      <c r="K70" s="7" t="s">
        <v>7163</v>
      </c>
      <c r="L70" s="7"/>
      <c r="M70" s="7"/>
    </row>
    <row r="71" spans="1:13" x14ac:dyDescent="0.3">
      <c r="A71" s="7">
        <v>16969</v>
      </c>
      <c r="B71" s="7" t="s">
        <v>79</v>
      </c>
      <c r="C71" s="7" t="s">
        <v>6349</v>
      </c>
      <c r="D71" s="7" t="s">
        <v>6350</v>
      </c>
      <c r="E71" s="7" t="s">
        <v>6295</v>
      </c>
      <c r="F71" s="7" t="s">
        <v>6351</v>
      </c>
      <c r="G71" s="7" t="s">
        <v>7150</v>
      </c>
      <c r="H71" s="7" t="s">
        <v>7156</v>
      </c>
      <c r="I71" s="7"/>
      <c r="J71" s="10">
        <v>45580</v>
      </c>
      <c r="K71" s="7" t="s">
        <v>7163</v>
      </c>
      <c r="L71" s="7"/>
      <c r="M71" s="7"/>
    </row>
    <row r="72" spans="1:13" x14ac:dyDescent="0.3">
      <c r="A72" s="7">
        <v>18277</v>
      </c>
      <c r="B72" s="7" t="s">
        <v>80</v>
      </c>
      <c r="C72" s="7" t="s">
        <v>6349</v>
      </c>
      <c r="D72" s="7" t="s">
        <v>6350</v>
      </c>
      <c r="E72" s="7" t="s">
        <v>6295</v>
      </c>
      <c r="F72" s="7" t="s">
        <v>6335</v>
      </c>
      <c r="G72" s="7" t="s">
        <v>7150</v>
      </c>
      <c r="H72" s="7" t="s">
        <v>7156</v>
      </c>
      <c r="I72" s="7" t="s">
        <v>7158</v>
      </c>
      <c r="J72" s="10">
        <v>46072</v>
      </c>
      <c r="K72" s="7" t="s">
        <v>7163</v>
      </c>
      <c r="L72" s="7"/>
      <c r="M72" s="7"/>
    </row>
    <row r="73" spans="1:13" x14ac:dyDescent="0.3">
      <c r="A73" s="7">
        <v>18281</v>
      </c>
      <c r="B73" s="7" t="s">
        <v>81</v>
      </c>
      <c r="C73" s="7" t="s">
        <v>6349</v>
      </c>
      <c r="D73" s="7" t="s">
        <v>6350</v>
      </c>
      <c r="E73" s="7" t="s">
        <v>6352</v>
      </c>
      <c r="F73" s="7" t="s">
        <v>6335</v>
      </c>
      <c r="G73" s="7" t="s">
        <v>7150</v>
      </c>
      <c r="H73" s="7" t="s">
        <v>7156</v>
      </c>
      <c r="I73" s="7" t="s">
        <v>7158</v>
      </c>
      <c r="J73" s="10">
        <v>46072</v>
      </c>
      <c r="K73" s="7" t="s">
        <v>7163</v>
      </c>
      <c r="L73" s="7"/>
      <c r="M73" s="7"/>
    </row>
    <row r="74" spans="1:13" x14ac:dyDescent="0.3">
      <c r="A74" s="7">
        <v>18362</v>
      </c>
      <c r="B74" s="7" t="s">
        <v>82</v>
      </c>
      <c r="C74" s="7" t="s">
        <v>6349</v>
      </c>
      <c r="D74" s="7" t="s">
        <v>6350</v>
      </c>
      <c r="E74" s="7" t="s">
        <v>6295</v>
      </c>
      <c r="F74" s="7" t="s">
        <v>6353</v>
      </c>
      <c r="G74" s="7" t="s">
        <v>7150</v>
      </c>
      <c r="H74" s="7" t="s">
        <v>7156</v>
      </c>
      <c r="I74" s="7"/>
      <c r="J74" s="10">
        <v>46113</v>
      </c>
      <c r="K74" s="7" t="s">
        <v>7163</v>
      </c>
      <c r="L74" s="7"/>
      <c r="M74" s="7"/>
    </row>
    <row r="75" spans="1:13" x14ac:dyDescent="0.3">
      <c r="A75" s="7">
        <v>19206</v>
      </c>
      <c r="B75" s="7" t="s">
        <v>83</v>
      </c>
      <c r="C75" s="7" t="s">
        <v>6349</v>
      </c>
      <c r="D75" s="7" t="s">
        <v>6350</v>
      </c>
      <c r="E75" s="7" t="s">
        <v>6295</v>
      </c>
      <c r="F75" s="7" t="s">
        <v>6353</v>
      </c>
      <c r="G75" s="7" t="s">
        <v>7150</v>
      </c>
      <c r="H75" s="7" t="s">
        <v>7156</v>
      </c>
      <c r="I75" s="7" t="s">
        <v>7161</v>
      </c>
      <c r="J75" s="10">
        <v>46276</v>
      </c>
      <c r="K75" s="7" t="s">
        <v>7163</v>
      </c>
      <c r="L75" s="7"/>
      <c r="M75" s="7"/>
    </row>
    <row r="76" spans="1:13" x14ac:dyDescent="0.3">
      <c r="A76" s="7">
        <v>15580</v>
      </c>
      <c r="B76" s="7" t="s">
        <v>84</v>
      </c>
      <c r="C76" s="7" t="s">
        <v>6349</v>
      </c>
      <c r="D76" s="7" t="s">
        <v>6350</v>
      </c>
      <c r="E76" s="7" t="s">
        <v>6352</v>
      </c>
      <c r="F76" s="7" t="s">
        <v>6340</v>
      </c>
      <c r="G76" s="7" t="s">
        <v>7150</v>
      </c>
      <c r="H76" s="7" t="s">
        <v>7156</v>
      </c>
      <c r="I76" s="7"/>
      <c r="J76" s="10">
        <v>45124</v>
      </c>
      <c r="K76" s="7" t="s">
        <v>7163</v>
      </c>
      <c r="L76" s="7"/>
      <c r="M76" s="7"/>
    </row>
    <row r="77" spans="1:13" x14ac:dyDescent="0.3">
      <c r="A77" s="7">
        <v>19232</v>
      </c>
      <c r="B77" s="7" t="s">
        <v>85</v>
      </c>
      <c r="C77" s="7" t="s">
        <v>6349</v>
      </c>
      <c r="D77" s="7" t="s">
        <v>6350</v>
      </c>
      <c r="E77" s="7" t="s">
        <v>6352</v>
      </c>
      <c r="F77" s="7" t="s">
        <v>6340</v>
      </c>
      <c r="G77" s="7" t="s">
        <v>7150</v>
      </c>
      <c r="H77" s="7" t="s">
        <v>7156</v>
      </c>
      <c r="I77" s="7"/>
      <c r="J77" s="10">
        <v>46281</v>
      </c>
      <c r="K77" s="7" t="s">
        <v>7163</v>
      </c>
      <c r="L77" s="7"/>
      <c r="M77" s="7"/>
    </row>
    <row r="78" spans="1:13" x14ac:dyDescent="0.3">
      <c r="A78" s="7">
        <v>17948</v>
      </c>
      <c r="B78" s="7" t="s">
        <v>86</v>
      </c>
      <c r="C78" s="7" t="s">
        <v>6349</v>
      </c>
      <c r="D78" s="7" t="s">
        <v>6350</v>
      </c>
      <c r="E78" s="7" t="s">
        <v>6295</v>
      </c>
      <c r="F78" s="7" t="s">
        <v>6341</v>
      </c>
      <c r="G78" s="7" t="s">
        <v>7150</v>
      </c>
      <c r="H78" s="7" t="s">
        <v>7156</v>
      </c>
      <c r="I78" s="7"/>
      <c r="J78" s="10">
        <v>45933</v>
      </c>
      <c r="K78" s="7" t="s">
        <v>7163</v>
      </c>
      <c r="L78" s="7"/>
      <c r="M78" s="7"/>
    </row>
    <row r="79" spans="1:13" x14ac:dyDescent="0.3">
      <c r="A79" s="7">
        <v>13116</v>
      </c>
      <c r="B79" s="7" t="s">
        <v>87</v>
      </c>
      <c r="C79" s="7" t="s">
        <v>6349</v>
      </c>
      <c r="D79" s="7" t="s">
        <v>6350</v>
      </c>
      <c r="E79" s="7" t="s">
        <v>6295</v>
      </c>
      <c r="F79" s="7" t="s">
        <v>6353</v>
      </c>
      <c r="G79" s="7" t="s">
        <v>7150</v>
      </c>
      <c r="H79" s="7" t="s">
        <v>7156</v>
      </c>
      <c r="I79" s="7"/>
      <c r="J79" s="10">
        <v>44265</v>
      </c>
      <c r="K79" s="7" t="s">
        <v>7163</v>
      </c>
      <c r="L79" s="7"/>
      <c r="M79" s="7"/>
    </row>
    <row r="80" spans="1:13" x14ac:dyDescent="0.3">
      <c r="A80" s="7">
        <v>17466</v>
      </c>
      <c r="B80" s="7" t="s">
        <v>88</v>
      </c>
      <c r="C80" s="7" t="s">
        <v>6349</v>
      </c>
      <c r="D80" s="7" t="s">
        <v>6350</v>
      </c>
      <c r="E80" s="7" t="s">
        <v>6295</v>
      </c>
      <c r="F80" s="7" t="s">
        <v>6341</v>
      </c>
      <c r="G80" s="7" t="s">
        <v>7150</v>
      </c>
      <c r="H80" s="7" t="s">
        <v>7156</v>
      </c>
      <c r="I80" s="7"/>
      <c r="J80" s="10">
        <v>45758</v>
      </c>
      <c r="K80" s="7" t="s">
        <v>7163</v>
      </c>
      <c r="L80" s="7"/>
      <c r="M80" s="7"/>
    </row>
    <row r="81" spans="1:13" x14ac:dyDescent="0.3">
      <c r="A81" s="7">
        <v>17978</v>
      </c>
      <c r="B81" s="7" t="s">
        <v>89</v>
      </c>
      <c r="C81" s="7" t="s">
        <v>6349</v>
      </c>
      <c r="D81" s="7" t="s">
        <v>6350</v>
      </c>
      <c r="E81" s="7" t="s">
        <v>6295</v>
      </c>
      <c r="F81" s="7" t="s">
        <v>6341</v>
      </c>
      <c r="G81" s="7" t="s">
        <v>7150</v>
      </c>
      <c r="H81" s="7" t="s">
        <v>7156</v>
      </c>
      <c r="I81" s="7"/>
      <c r="J81" s="10">
        <v>45944</v>
      </c>
      <c r="K81" s="7" t="s">
        <v>7163</v>
      </c>
      <c r="L81" s="7"/>
      <c r="M81" s="7"/>
    </row>
    <row r="82" spans="1:13" x14ac:dyDescent="0.3">
      <c r="A82" s="7">
        <v>18399</v>
      </c>
      <c r="B82" s="7" t="s">
        <v>90</v>
      </c>
      <c r="C82" s="7" t="s">
        <v>6349</v>
      </c>
      <c r="D82" s="7" t="s">
        <v>6350</v>
      </c>
      <c r="E82" s="7" t="s">
        <v>6295</v>
      </c>
      <c r="F82" s="7" t="s">
        <v>6340</v>
      </c>
      <c r="G82" s="7" t="s">
        <v>7150</v>
      </c>
      <c r="H82" s="7" t="s">
        <v>7156</v>
      </c>
      <c r="I82" s="7" t="s">
        <v>7158</v>
      </c>
      <c r="J82" s="10">
        <v>46120</v>
      </c>
      <c r="K82" s="7" t="s">
        <v>7163</v>
      </c>
      <c r="L82" s="7"/>
      <c r="M82" s="7"/>
    </row>
    <row r="83" spans="1:13" x14ac:dyDescent="0.3">
      <c r="A83" s="7">
        <v>12835</v>
      </c>
      <c r="B83" s="7" t="s">
        <v>91</v>
      </c>
      <c r="C83" s="7" t="s">
        <v>6295</v>
      </c>
      <c r="D83" s="7" t="s">
        <v>6354</v>
      </c>
      <c r="E83" s="7" t="s">
        <v>6295</v>
      </c>
      <c r="F83" s="7" t="s">
        <v>6338</v>
      </c>
      <c r="G83" s="7" t="s">
        <v>7150</v>
      </c>
      <c r="H83" s="7" t="s">
        <v>7156</v>
      </c>
      <c r="I83" s="7"/>
      <c r="J83" s="10">
        <v>44004</v>
      </c>
      <c r="K83" s="7" t="s">
        <v>7163</v>
      </c>
      <c r="L83" s="7"/>
      <c r="M83" s="7"/>
    </row>
    <row r="84" spans="1:13" x14ac:dyDescent="0.3">
      <c r="A84" s="7">
        <v>600034</v>
      </c>
      <c r="B84" s="7" t="s">
        <v>92</v>
      </c>
      <c r="C84" s="7" t="s">
        <v>6295</v>
      </c>
      <c r="D84" s="7" t="s">
        <v>6354</v>
      </c>
      <c r="E84" s="7" t="s">
        <v>6295</v>
      </c>
      <c r="F84" s="7" t="s">
        <v>6335</v>
      </c>
      <c r="G84" s="7" t="s">
        <v>7150</v>
      </c>
      <c r="H84" s="7" t="s">
        <v>7156</v>
      </c>
      <c r="I84" s="7"/>
      <c r="J84" s="10">
        <v>42676</v>
      </c>
      <c r="K84" s="7" t="s">
        <v>7163</v>
      </c>
      <c r="L84" s="7"/>
      <c r="M84" s="7"/>
    </row>
    <row r="85" spans="1:13" x14ac:dyDescent="0.3">
      <c r="A85" s="7">
        <v>770021</v>
      </c>
      <c r="B85" s="7" t="s">
        <v>93</v>
      </c>
      <c r="C85" s="7" t="s">
        <v>6295</v>
      </c>
      <c r="D85" s="7" t="s">
        <v>6354</v>
      </c>
      <c r="E85" s="7" t="s">
        <v>6295</v>
      </c>
      <c r="F85" s="7" t="s">
        <v>6353</v>
      </c>
      <c r="G85" s="7" t="s">
        <v>7150</v>
      </c>
      <c r="H85" s="7" t="s">
        <v>7156</v>
      </c>
      <c r="I85" s="7"/>
      <c r="J85" s="10">
        <v>42731</v>
      </c>
      <c r="K85" s="7" t="s">
        <v>7163</v>
      </c>
      <c r="L85" s="7"/>
      <c r="M85" s="7"/>
    </row>
    <row r="86" spans="1:13" x14ac:dyDescent="0.3">
      <c r="A86" s="7">
        <v>12638</v>
      </c>
      <c r="B86" s="7" t="s">
        <v>94</v>
      </c>
      <c r="C86" s="7" t="s">
        <v>6295</v>
      </c>
      <c r="D86" s="7" t="s">
        <v>6354</v>
      </c>
      <c r="E86" s="7" t="s">
        <v>6295</v>
      </c>
      <c r="F86" s="7" t="s">
        <v>6353</v>
      </c>
      <c r="G86" s="7" t="s">
        <v>7150</v>
      </c>
      <c r="H86" s="7" t="s">
        <v>7156</v>
      </c>
      <c r="I86" s="7"/>
      <c r="J86" s="10">
        <v>43847</v>
      </c>
      <c r="K86" s="7" t="s">
        <v>7163</v>
      </c>
      <c r="L86" s="7"/>
      <c r="M86" s="7"/>
    </row>
    <row r="87" spans="1:13" x14ac:dyDescent="0.3">
      <c r="A87" s="7">
        <v>12738</v>
      </c>
      <c r="B87" s="7" t="s">
        <v>95</v>
      </c>
      <c r="C87" s="7" t="s">
        <v>6295</v>
      </c>
      <c r="D87" s="7" t="s">
        <v>6354</v>
      </c>
      <c r="E87" s="7" t="s">
        <v>6295</v>
      </c>
      <c r="F87" s="7" t="s">
        <v>6353</v>
      </c>
      <c r="G87" s="7" t="s">
        <v>7150</v>
      </c>
      <c r="H87" s="7" t="s">
        <v>7156</v>
      </c>
      <c r="I87" s="7"/>
      <c r="J87" s="10">
        <v>43885</v>
      </c>
      <c r="K87" s="7" t="s">
        <v>7163</v>
      </c>
      <c r="L87" s="7"/>
      <c r="M87" s="7"/>
    </row>
    <row r="88" spans="1:13" x14ac:dyDescent="0.3">
      <c r="A88" s="7">
        <v>300223</v>
      </c>
      <c r="B88" s="7" t="s">
        <v>96</v>
      </c>
      <c r="C88" s="7" t="s">
        <v>6295</v>
      </c>
      <c r="D88" s="7" t="s">
        <v>6354</v>
      </c>
      <c r="E88" s="7" t="s">
        <v>6295</v>
      </c>
      <c r="F88" s="7" t="s">
        <v>6340</v>
      </c>
      <c r="G88" s="7" t="s">
        <v>7150</v>
      </c>
      <c r="H88" s="7" t="s">
        <v>7156</v>
      </c>
      <c r="I88" s="7"/>
      <c r="J88" s="10">
        <v>44203</v>
      </c>
      <c r="K88" s="7" t="s">
        <v>7163</v>
      </c>
      <c r="L88" s="7"/>
      <c r="M88" s="7"/>
    </row>
    <row r="89" spans="1:13" x14ac:dyDescent="0.3">
      <c r="A89" s="7">
        <v>13285</v>
      </c>
      <c r="B89" s="7" t="s">
        <v>97</v>
      </c>
      <c r="C89" s="7" t="s">
        <v>6295</v>
      </c>
      <c r="D89" s="7" t="s">
        <v>6354</v>
      </c>
      <c r="E89" s="7" t="s">
        <v>6295</v>
      </c>
      <c r="F89" s="7" t="s">
        <v>6340</v>
      </c>
      <c r="G89" s="7" t="s">
        <v>7150</v>
      </c>
      <c r="H89" s="7" t="s">
        <v>7156</v>
      </c>
      <c r="I89" s="7"/>
      <c r="J89" s="10">
        <v>44368</v>
      </c>
      <c r="K89" s="7" t="s">
        <v>7163</v>
      </c>
      <c r="L89" s="7"/>
      <c r="M89" s="7"/>
    </row>
    <row r="90" spans="1:13" x14ac:dyDescent="0.3">
      <c r="A90" s="7">
        <v>18961</v>
      </c>
      <c r="B90" s="7" t="s">
        <v>98</v>
      </c>
      <c r="C90" s="7" t="s">
        <v>6295</v>
      </c>
      <c r="D90" s="7" t="s">
        <v>6354</v>
      </c>
      <c r="E90" s="7" t="s">
        <v>6295</v>
      </c>
      <c r="F90" s="7" t="s">
        <v>6348</v>
      </c>
      <c r="G90" s="7" t="s">
        <v>7150</v>
      </c>
      <c r="H90" s="7" t="s">
        <v>7156</v>
      </c>
      <c r="I90" s="7"/>
      <c r="J90" s="10">
        <v>46248</v>
      </c>
      <c r="K90" s="7" t="s">
        <v>7163</v>
      </c>
      <c r="L90" s="7"/>
      <c r="M90" s="7"/>
    </row>
    <row r="91" spans="1:13" x14ac:dyDescent="0.3">
      <c r="A91" s="7">
        <v>17215</v>
      </c>
      <c r="B91" s="7" t="s">
        <v>99</v>
      </c>
      <c r="C91" s="7" t="s">
        <v>6355</v>
      </c>
      <c r="D91" s="7" t="s">
        <v>6295</v>
      </c>
      <c r="E91" s="7" t="s">
        <v>6295</v>
      </c>
      <c r="F91" s="7" t="s">
        <v>6356</v>
      </c>
      <c r="G91" s="7" t="s">
        <v>7150</v>
      </c>
      <c r="H91" s="7" t="s">
        <v>7156</v>
      </c>
      <c r="I91" s="7"/>
      <c r="J91" s="10">
        <v>45663</v>
      </c>
      <c r="K91" s="7" t="s">
        <v>7163</v>
      </c>
      <c r="L91" s="7"/>
      <c r="M91" s="7"/>
    </row>
    <row r="92" spans="1:13" x14ac:dyDescent="0.3">
      <c r="A92" s="7">
        <v>210029</v>
      </c>
      <c r="B92" s="7" t="s">
        <v>100</v>
      </c>
      <c r="C92" s="7" t="s">
        <v>6355</v>
      </c>
      <c r="D92" s="7" t="s">
        <v>6357</v>
      </c>
      <c r="E92" s="7" t="s">
        <v>6295</v>
      </c>
      <c r="F92" s="7" t="s">
        <v>6358</v>
      </c>
      <c r="G92" s="7" t="s">
        <v>7150</v>
      </c>
      <c r="H92" s="7" t="s">
        <v>7156</v>
      </c>
      <c r="I92" s="7"/>
      <c r="J92" s="10">
        <v>42075</v>
      </c>
      <c r="K92" s="7" t="s">
        <v>7163</v>
      </c>
      <c r="L92" s="7"/>
      <c r="M92" s="7"/>
    </row>
    <row r="93" spans="1:13" x14ac:dyDescent="0.3">
      <c r="A93" s="7">
        <v>10765</v>
      </c>
      <c r="B93" s="7" t="s">
        <v>101</v>
      </c>
      <c r="C93" s="7" t="s">
        <v>6355</v>
      </c>
      <c r="D93" s="7" t="s">
        <v>6357</v>
      </c>
      <c r="E93" s="7" t="s">
        <v>6295</v>
      </c>
      <c r="F93" s="7" t="s">
        <v>6358</v>
      </c>
      <c r="G93" s="7" t="s">
        <v>7150</v>
      </c>
      <c r="H93" s="7" t="s">
        <v>7156</v>
      </c>
      <c r="I93" s="7"/>
      <c r="J93" s="10">
        <v>41841</v>
      </c>
      <c r="K93" s="7" t="s">
        <v>7163</v>
      </c>
      <c r="L93" s="7"/>
      <c r="M93" s="7"/>
    </row>
    <row r="94" spans="1:13" x14ac:dyDescent="0.3">
      <c r="A94" s="7">
        <v>10338</v>
      </c>
      <c r="B94" s="7" t="s">
        <v>102</v>
      </c>
      <c r="C94" s="7" t="s">
        <v>6355</v>
      </c>
      <c r="D94" s="7" t="s">
        <v>6357</v>
      </c>
      <c r="E94" s="7" t="s">
        <v>6295</v>
      </c>
      <c r="F94" s="7" t="s">
        <v>6358</v>
      </c>
      <c r="G94" s="7" t="s">
        <v>7150</v>
      </c>
      <c r="H94" s="7" t="s">
        <v>7156</v>
      </c>
      <c r="I94" s="7"/>
      <c r="J94" s="10">
        <v>38783</v>
      </c>
      <c r="K94" s="7" t="s">
        <v>7163</v>
      </c>
      <c r="L94" s="7"/>
      <c r="M94" s="7"/>
    </row>
    <row r="95" spans="1:13" x14ac:dyDescent="0.3">
      <c r="A95" s="7">
        <v>10558</v>
      </c>
      <c r="B95" s="7" t="s">
        <v>103</v>
      </c>
      <c r="C95" s="7" t="s">
        <v>6355</v>
      </c>
      <c r="D95" s="7" t="s">
        <v>6357</v>
      </c>
      <c r="E95" s="7" t="s">
        <v>6295</v>
      </c>
      <c r="F95" s="7" t="s">
        <v>6358</v>
      </c>
      <c r="G95" s="7" t="s">
        <v>7150</v>
      </c>
      <c r="H95" s="7" t="s">
        <v>7156</v>
      </c>
      <c r="I95" s="7"/>
      <c r="J95" s="10">
        <v>39172</v>
      </c>
      <c r="K95" s="7" t="s">
        <v>7163</v>
      </c>
      <c r="L95" s="7"/>
      <c r="M95" s="7"/>
    </row>
    <row r="96" spans="1:13" x14ac:dyDescent="0.3">
      <c r="A96" s="7">
        <v>17848</v>
      </c>
      <c r="B96" s="7" t="s">
        <v>104</v>
      </c>
      <c r="C96" s="7" t="s">
        <v>6355</v>
      </c>
      <c r="D96" s="7" t="s">
        <v>6357</v>
      </c>
      <c r="E96" s="7" t="s">
        <v>6295</v>
      </c>
      <c r="F96" s="7" t="s">
        <v>6359</v>
      </c>
      <c r="G96" s="7" t="s">
        <v>7150</v>
      </c>
      <c r="H96" s="7" t="s">
        <v>7156</v>
      </c>
      <c r="I96" s="7"/>
      <c r="J96" s="10">
        <v>45884</v>
      </c>
      <c r="K96" s="7" t="s">
        <v>7163</v>
      </c>
      <c r="L96" s="7"/>
      <c r="M96" s="7"/>
    </row>
    <row r="97" spans="1:13" x14ac:dyDescent="0.3">
      <c r="A97" s="7">
        <v>18126</v>
      </c>
      <c r="B97" s="7" t="s">
        <v>105</v>
      </c>
      <c r="C97" s="7" t="s">
        <v>6355</v>
      </c>
      <c r="D97" s="7" t="s">
        <v>6357</v>
      </c>
      <c r="E97" s="7" t="s">
        <v>6295</v>
      </c>
      <c r="F97" s="7" t="s">
        <v>6359</v>
      </c>
      <c r="G97" s="7" t="s">
        <v>7150</v>
      </c>
      <c r="H97" s="7" t="s">
        <v>7156</v>
      </c>
      <c r="I97" s="7"/>
      <c r="J97" s="10">
        <v>46002</v>
      </c>
      <c r="K97" s="7" t="s">
        <v>7163</v>
      </c>
      <c r="L97" s="7"/>
      <c r="M97" s="7"/>
    </row>
    <row r="98" spans="1:13" x14ac:dyDescent="0.3">
      <c r="A98" s="7">
        <v>14499</v>
      </c>
      <c r="B98" s="7" t="s">
        <v>106</v>
      </c>
      <c r="C98" s="7" t="s">
        <v>6355</v>
      </c>
      <c r="D98" s="7" t="s">
        <v>6357</v>
      </c>
      <c r="E98" s="7" t="s">
        <v>6295</v>
      </c>
      <c r="F98" s="7" t="s">
        <v>6360</v>
      </c>
      <c r="G98" s="7" t="s">
        <v>7150</v>
      </c>
      <c r="H98" s="7" t="s">
        <v>7156</v>
      </c>
      <c r="I98" s="7"/>
      <c r="J98" s="10">
        <v>44774</v>
      </c>
      <c r="K98" s="7" t="s">
        <v>7163</v>
      </c>
      <c r="L98" s="7"/>
      <c r="M98" s="7"/>
    </row>
    <row r="99" spans="1:13" x14ac:dyDescent="0.3">
      <c r="A99" s="7">
        <v>480026</v>
      </c>
      <c r="B99" s="7" t="s">
        <v>107</v>
      </c>
      <c r="C99" s="7" t="s">
        <v>6355</v>
      </c>
      <c r="D99" s="7" t="s">
        <v>6357</v>
      </c>
      <c r="E99" s="7" t="s">
        <v>6295</v>
      </c>
      <c r="F99" s="7" t="s">
        <v>6359</v>
      </c>
      <c r="G99" s="7" t="s">
        <v>7150</v>
      </c>
      <c r="H99" s="7" t="s">
        <v>7156</v>
      </c>
      <c r="I99" s="7"/>
      <c r="J99" s="10">
        <v>43150</v>
      </c>
      <c r="K99" s="7" t="s">
        <v>7163</v>
      </c>
      <c r="L99" s="7"/>
      <c r="M99" s="7"/>
    </row>
    <row r="100" spans="1:13" x14ac:dyDescent="0.3">
      <c r="A100" s="7">
        <v>14554</v>
      </c>
      <c r="B100" s="7" t="s">
        <v>108</v>
      </c>
      <c r="C100" s="7" t="s">
        <v>6355</v>
      </c>
      <c r="D100" s="7" t="s">
        <v>6357</v>
      </c>
      <c r="E100" s="7" t="s">
        <v>6295</v>
      </c>
      <c r="F100" s="7" t="s">
        <v>6361</v>
      </c>
      <c r="G100" s="7" t="s">
        <v>7150</v>
      </c>
      <c r="H100" s="7" t="s">
        <v>7156</v>
      </c>
      <c r="I100" s="7"/>
      <c r="J100" s="10">
        <v>44784</v>
      </c>
      <c r="K100" s="7" t="s">
        <v>7163</v>
      </c>
      <c r="L100" s="7"/>
      <c r="M100" s="7"/>
    </row>
    <row r="101" spans="1:13" x14ac:dyDescent="0.3">
      <c r="A101" s="7">
        <v>300110</v>
      </c>
      <c r="B101" s="7" t="s">
        <v>109</v>
      </c>
      <c r="C101" s="7" t="s">
        <v>6355</v>
      </c>
      <c r="D101" s="7" t="s">
        <v>6357</v>
      </c>
      <c r="E101" s="7" t="s">
        <v>6295</v>
      </c>
      <c r="F101" s="7" t="s">
        <v>6361</v>
      </c>
      <c r="G101" s="7" t="s">
        <v>7150</v>
      </c>
      <c r="H101" s="7" t="s">
        <v>7156</v>
      </c>
      <c r="I101" s="7"/>
      <c r="J101" s="10">
        <v>43075</v>
      </c>
      <c r="K101" s="7" t="s">
        <v>7163</v>
      </c>
      <c r="L101" s="7"/>
      <c r="M101" s="7"/>
    </row>
    <row r="102" spans="1:13" x14ac:dyDescent="0.3">
      <c r="A102" s="7">
        <v>118030</v>
      </c>
      <c r="B102" s="7" t="s">
        <v>110</v>
      </c>
      <c r="C102" s="7" t="s">
        <v>6355</v>
      </c>
      <c r="D102" s="7" t="s">
        <v>6357</v>
      </c>
      <c r="E102" s="7" t="s">
        <v>6295</v>
      </c>
      <c r="F102" s="7" t="s">
        <v>6362</v>
      </c>
      <c r="G102" s="7" t="s">
        <v>7150</v>
      </c>
      <c r="H102" s="7" t="s">
        <v>7156</v>
      </c>
      <c r="I102" s="7"/>
      <c r="J102" s="10">
        <v>43535</v>
      </c>
      <c r="K102" s="7" t="s">
        <v>7163</v>
      </c>
      <c r="L102" s="7"/>
      <c r="M102" s="7"/>
    </row>
    <row r="103" spans="1:13" x14ac:dyDescent="0.3">
      <c r="A103" s="7">
        <v>15784</v>
      </c>
      <c r="B103" s="7" t="s">
        <v>111</v>
      </c>
      <c r="C103" s="7" t="s">
        <v>6355</v>
      </c>
      <c r="D103" s="7" t="s">
        <v>6357</v>
      </c>
      <c r="E103" s="7" t="s">
        <v>6295</v>
      </c>
      <c r="F103" s="7" t="s">
        <v>6363</v>
      </c>
      <c r="G103" s="7" t="s">
        <v>7150</v>
      </c>
      <c r="H103" s="7" t="s">
        <v>7156</v>
      </c>
      <c r="I103" s="7"/>
      <c r="J103" s="10">
        <v>45187</v>
      </c>
      <c r="K103" s="7" t="s">
        <v>7163</v>
      </c>
      <c r="L103" s="7"/>
      <c r="M103" s="7"/>
    </row>
    <row r="104" spans="1:13" x14ac:dyDescent="0.3">
      <c r="A104" s="7">
        <v>11164</v>
      </c>
      <c r="B104" s="7" t="s">
        <v>112</v>
      </c>
      <c r="C104" s="7" t="s">
        <v>6355</v>
      </c>
      <c r="D104" s="7" t="s">
        <v>6364</v>
      </c>
      <c r="E104" s="7" t="s">
        <v>6295</v>
      </c>
      <c r="F104" s="7" t="s">
        <v>6358</v>
      </c>
      <c r="G104" s="7" t="s">
        <v>7150</v>
      </c>
      <c r="H104" s="7" t="s">
        <v>7156</v>
      </c>
      <c r="I104" s="7"/>
      <c r="J104" s="10">
        <v>42346</v>
      </c>
      <c r="K104" s="7" t="s">
        <v>7163</v>
      </c>
      <c r="L104" s="7"/>
      <c r="M104" s="7"/>
    </row>
    <row r="105" spans="1:13" x14ac:dyDescent="0.3">
      <c r="A105" s="7">
        <v>18173</v>
      </c>
      <c r="B105" s="7" t="s">
        <v>113</v>
      </c>
      <c r="C105" s="7" t="s">
        <v>6355</v>
      </c>
      <c r="D105" s="7" t="s">
        <v>6364</v>
      </c>
      <c r="E105" s="7" t="s">
        <v>6295</v>
      </c>
      <c r="F105" s="7" t="s">
        <v>6328</v>
      </c>
      <c r="G105" s="7" t="s">
        <v>7150</v>
      </c>
      <c r="H105" s="7" t="s">
        <v>7156</v>
      </c>
      <c r="I105" s="7"/>
      <c r="J105" s="10">
        <v>46027</v>
      </c>
      <c r="K105" s="7" t="s">
        <v>7163</v>
      </c>
      <c r="L105" s="7"/>
      <c r="M105" s="7"/>
    </row>
    <row r="106" spans="1:13" x14ac:dyDescent="0.3">
      <c r="A106" s="7">
        <v>11429</v>
      </c>
      <c r="B106" s="7" t="s">
        <v>114</v>
      </c>
      <c r="C106" s="7" t="s">
        <v>6355</v>
      </c>
      <c r="D106" s="7" t="s">
        <v>6364</v>
      </c>
      <c r="E106" s="7" t="s">
        <v>6295</v>
      </c>
      <c r="F106" s="7" t="s">
        <v>6358</v>
      </c>
      <c r="G106" s="7" t="s">
        <v>7150</v>
      </c>
      <c r="H106" s="7" t="s">
        <v>7156</v>
      </c>
      <c r="I106" s="7"/>
      <c r="J106" s="10">
        <v>42689</v>
      </c>
      <c r="K106" s="7" t="s">
        <v>7163</v>
      </c>
      <c r="L106" s="7"/>
      <c r="M106" s="7"/>
    </row>
    <row r="107" spans="1:13" x14ac:dyDescent="0.3">
      <c r="A107" s="7">
        <v>10787</v>
      </c>
      <c r="B107" s="7" t="s">
        <v>115</v>
      </c>
      <c r="C107" s="7" t="s">
        <v>6355</v>
      </c>
      <c r="D107" s="7" t="s">
        <v>6364</v>
      </c>
      <c r="E107" s="7" t="s">
        <v>6295</v>
      </c>
      <c r="F107" s="7" t="s">
        <v>6361</v>
      </c>
      <c r="G107" s="7" t="s">
        <v>7150</v>
      </c>
      <c r="H107" s="7" t="s">
        <v>7156</v>
      </c>
      <c r="I107" s="7"/>
      <c r="J107" s="10">
        <v>41883</v>
      </c>
      <c r="K107" s="7" t="s">
        <v>7163</v>
      </c>
      <c r="L107" s="7"/>
      <c r="M107" s="7"/>
    </row>
    <row r="108" spans="1:13" x14ac:dyDescent="0.3">
      <c r="A108" s="7">
        <v>15053</v>
      </c>
      <c r="B108" s="7" t="s">
        <v>116</v>
      </c>
      <c r="C108" s="7" t="s">
        <v>6355</v>
      </c>
      <c r="D108" s="7" t="s">
        <v>6364</v>
      </c>
      <c r="E108" s="7" t="s">
        <v>6295</v>
      </c>
      <c r="F108" s="7" t="s">
        <v>6359</v>
      </c>
      <c r="G108" s="7" t="s">
        <v>7150</v>
      </c>
      <c r="H108" s="7" t="s">
        <v>7156</v>
      </c>
      <c r="I108" s="7"/>
      <c r="J108" s="10">
        <v>44935</v>
      </c>
      <c r="K108" s="7" t="s">
        <v>7163</v>
      </c>
      <c r="L108" s="7"/>
      <c r="M108" s="7"/>
    </row>
    <row r="109" spans="1:13" x14ac:dyDescent="0.3">
      <c r="A109" s="7">
        <v>10474</v>
      </c>
      <c r="B109" s="7" t="s">
        <v>117</v>
      </c>
      <c r="C109" s="7" t="s">
        <v>6355</v>
      </c>
      <c r="D109" s="7" t="s">
        <v>6364</v>
      </c>
      <c r="E109" s="7" t="s">
        <v>6295</v>
      </c>
      <c r="F109" s="7" t="s">
        <v>6361</v>
      </c>
      <c r="G109" s="7" t="s">
        <v>7150</v>
      </c>
      <c r="H109" s="7" t="s">
        <v>7156</v>
      </c>
      <c r="I109" s="7"/>
      <c r="J109" s="10">
        <v>37826</v>
      </c>
      <c r="K109" s="7" t="s">
        <v>7163</v>
      </c>
      <c r="L109" s="7"/>
      <c r="M109" s="7"/>
    </row>
    <row r="110" spans="1:13" x14ac:dyDescent="0.3">
      <c r="A110" s="7">
        <v>13836</v>
      </c>
      <c r="B110" s="7" t="s">
        <v>118</v>
      </c>
      <c r="C110" s="7" t="s">
        <v>6355</v>
      </c>
      <c r="D110" s="7" t="s">
        <v>6365</v>
      </c>
      <c r="E110" s="7" t="s">
        <v>6295</v>
      </c>
      <c r="F110" s="7" t="s">
        <v>6328</v>
      </c>
      <c r="G110" s="7" t="s">
        <v>7150</v>
      </c>
      <c r="H110" s="7" t="s">
        <v>7156</v>
      </c>
      <c r="I110" s="7"/>
      <c r="J110" s="10">
        <v>44599</v>
      </c>
      <c r="K110" s="7" t="s">
        <v>7163</v>
      </c>
      <c r="L110" s="7"/>
      <c r="M110" s="7"/>
    </row>
    <row r="111" spans="1:13" x14ac:dyDescent="0.3">
      <c r="A111" s="7">
        <v>11428</v>
      </c>
      <c r="B111" s="7" t="s">
        <v>119</v>
      </c>
      <c r="C111" s="7" t="s">
        <v>6355</v>
      </c>
      <c r="D111" s="7" t="s">
        <v>6365</v>
      </c>
      <c r="E111" s="7" t="s">
        <v>6295</v>
      </c>
      <c r="F111" s="7" t="s">
        <v>6358</v>
      </c>
      <c r="G111" s="7" t="s">
        <v>7150</v>
      </c>
      <c r="H111" s="7" t="s">
        <v>7156</v>
      </c>
      <c r="I111" s="7"/>
      <c r="J111" s="10">
        <v>42689</v>
      </c>
      <c r="K111" s="7" t="s">
        <v>7163</v>
      </c>
      <c r="L111" s="7"/>
      <c r="M111" s="7"/>
    </row>
    <row r="112" spans="1:13" x14ac:dyDescent="0.3">
      <c r="A112" s="7">
        <v>11190</v>
      </c>
      <c r="B112" s="7" t="s">
        <v>120</v>
      </c>
      <c r="C112" s="7" t="s">
        <v>6355</v>
      </c>
      <c r="D112" s="7" t="s">
        <v>6365</v>
      </c>
      <c r="E112" s="7" t="s">
        <v>6295</v>
      </c>
      <c r="F112" s="7" t="s">
        <v>6359</v>
      </c>
      <c r="G112" s="7" t="s">
        <v>7150</v>
      </c>
      <c r="H112" s="7" t="s">
        <v>7156</v>
      </c>
      <c r="I112" s="7"/>
      <c r="J112" s="10">
        <v>42394</v>
      </c>
      <c r="K112" s="7" t="s">
        <v>7163</v>
      </c>
      <c r="L112" s="7"/>
      <c r="M112" s="7"/>
    </row>
    <row r="113" spans="1:13" x14ac:dyDescent="0.3">
      <c r="A113" s="7">
        <v>16098</v>
      </c>
      <c r="B113" s="7" t="s">
        <v>121</v>
      </c>
      <c r="C113" s="7" t="s">
        <v>6355</v>
      </c>
      <c r="D113" s="7" t="s">
        <v>6365</v>
      </c>
      <c r="E113" s="7" t="s">
        <v>6295</v>
      </c>
      <c r="F113" s="7" t="s">
        <v>6358</v>
      </c>
      <c r="G113" s="7" t="s">
        <v>7150</v>
      </c>
      <c r="H113" s="7" t="s">
        <v>7156</v>
      </c>
      <c r="I113" s="7"/>
      <c r="J113" s="10">
        <v>45280</v>
      </c>
      <c r="K113" s="7" t="s">
        <v>7163</v>
      </c>
      <c r="L113" s="7"/>
      <c r="M113" s="7"/>
    </row>
    <row r="114" spans="1:13" x14ac:dyDescent="0.3">
      <c r="A114" s="7">
        <v>15350</v>
      </c>
      <c r="B114" s="7" t="s">
        <v>122</v>
      </c>
      <c r="C114" s="7" t="s">
        <v>6355</v>
      </c>
      <c r="D114" s="7" t="s">
        <v>6365</v>
      </c>
      <c r="E114" s="7" t="s">
        <v>6295</v>
      </c>
      <c r="F114" s="7" t="s">
        <v>6361</v>
      </c>
      <c r="G114" s="7" t="s">
        <v>7150</v>
      </c>
      <c r="H114" s="7" t="s">
        <v>7156</v>
      </c>
      <c r="I114" s="7"/>
      <c r="J114" s="10">
        <v>45041</v>
      </c>
      <c r="K114" s="7" t="s">
        <v>7163</v>
      </c>
      <c r="L114" s="7"/>
      <c r="M114" s="7"/>
    </row>
    <row r="115" spans="1:13" x14ac:dyDescent="0.3">
      <c r="A115" s="7">
        <v>14905</v>
      </c>
      <c r="B115" s="7" t="s">
        <v>123</v>
      </c>
      <c r="C115" s="7" t="s">
        <v>6355</v>
      </c>
      <c r="D115" s="7" t="s">
        <v>6365</v>
      </c>
      <c r="E115" s="7" t="s">
        <v>6295</v>
      </c>
      <c r="F115" s="7" t="s">
        <v>6362</v>
      </c>
      <c r="G115" s="7" t="s">
        <v>7150</v>
      </c>
      <c r="H115" s="7" t="s">
        <v>7156</v>
      </c>
      <c r="I115" s="7"/>
      <c r="J115" s="10">
        <v>44887</v>
      </c>
      <c r="K115" s="7" t="s">
        <v>7163</v>
      </c>
      <c r="L115" s="7"/>
      <c r="M115" s="7"/>
    </row>
    <row r="116" spans="1:13" x14ac:dyDescent="0.3">
      <c r="A116" s="7">
        <v>14908</v>
      </c>
      <c r="B116" s="7" t="s">
        <v>124</v>
      </c>
      <c r="C116" s="7" t="s">
        <v>6355</v>
      </c>
      <c r="D116" s="7" t="s">
        <v>6365</v>
      </c>
      <c r="E116" s="7" t="s">
        <v>6295</v>
      </c>
      <c r="F116" s="7" t="s">
        <v>6361</v>
      </c>
      <c r="G116" s="7" t="s">
        <v>7150</v>
      </c>
      <c r="H116" s="7" t="s">
        <v>7156</v>
      </c>
      <c r="I116" s="7"/>
      <c r="J116" s="10">
        <v>44887</v>
      </c>
      <c r="K116" s="7" t="s">
        <v>7163</v>
      </c>
      <c r="L116" s="7"/>
      <c r="M116" s="7"/>
    </row>
    <row r="117" spans="1:13" x14ac:dyDescent="0.3">
      <c r="A117" s="7">
        <v>17850</v>
      </c>
      <c r="B117" s="7" t="s">
        <v>125</v>
      </c>
      <c r="C117" s="7" t="s">
        <v>6355</v>
      </c>
      <c r="D117" s="7" t="s">
        <v>6365</v>
      </c>
      <c r="E117" s="7" t="s">
        <v>6295</v>
      </c>
      <c r="F117" s="7" t="s">
        <v>6362</v>
      </c>
      <c r="G117" s="7" t="s">
        <v>7150</v>
      </c>
      <c r="H117" s="7" t="s">
        <v>7156</v>
      </c>
      <c r="I117" s="7"/>
      <c r="J117" s="10">
        <v>45884</v>
      </c>
      <c r="K117" s="7" t="s">
        <v>7163</v>
      </c>
      <c r="L117" s="7"/>
      <c r="M117" s="7"/>
    </row>
    <row r="118" spans="1:13" x14ac:dyDescent="0.3">
      <c r="A118" s="7">
        <v>13758</v>
      </c>
      <c r="B118" s="7" t="s">
        <v>126</v>
      </c>
      <c r="C118" s="7" t="s">
        <v>6355</v>
      </c>
      <c r="D118" s="7" t="s">
        <v>6365</v>
      </c>
      <c r="E118" s="7" t="s">
        <v>6295</v>
      </c>
      <c r="F118" s="7" t="s">
        <v>6362</v>
      </c>
      <c r="G118" s="7" t="s">
        <v>7151</v>
      </c>
      <c r="H118" s="7" t="s">
        <v>7156</v>
      </c>
      <c r="I118" s="7"/>
      <c r="J118" s="10">
        <v>44566</v>
      </c>
      <c r="K118" s="7" t="s">
        <v>7163</v>
      </c>
      <c r="L118" s="7"/>
      <c r="M118" s="7"/>
    </row>
    <row r="119" spans="1:13" x14ac:dyDescent="0.3">
      <c r="A119" s="7">
        <v>17003</v>
      </c>
      <c r="B119" s="7" t="s">
        <v>127</v>
      </c>
      <c r="C119" s="7" t="s">
        <v>6355</v>
      </c>
      <c r="D119" s="7" t="s">
        <v>6365</v>
      </c>
      <c r="E119" s="7" t="s">
        <v>6295</v>
      </c>
      <c r="F119" s="7" t="s">
        <v>6362</v>
      </c>
      <c r="G119" s="7" t="s">
        <v>7150</v>
      </c>
      <c r="H119" s="7" t="s">
        <v>7156</v>
      </c>
      <c r="I119" s="7"/>
      <c r="J119" s="10">
        <v>45593</v>
      </c>
      <c r="K119" s="7" t="s">
        <v>7163</v>
      </c>
      <c r="L119" s="7"/>
      <c r="M119" s="7"/>
    </row>
    <row r="120" spans="1:13" x14ac:dyDescent="0.3">
      <c r="A120" s="7">
        <v>17128</v>
      </c>
      <c r="B120" s="7" t="s">
        <v>128</v>
      </c>
      <c r="C120" s="7" t="s">
        <v>6355</v>
      </c>
      <c r="D120" s="7" t="s">
        <v>6365</v>
      </c>
      <c r="E120" s="7" t="s">
        <v>6295</v>
      </c>
      <c r="F120" s="7" t="s">
        <v>6361</v>
      </c>
      <c r="G120" s="7" t="s">
        <v>7150</v>
      </c>
      <c r="H120" s="7" t="s">
        <v>7156</v>
      </c>
      <c r="I120" s="7"/>
      <c r="J120" s="10">
        <v>45642</v>
      </c>
      <c r="K120" s="7" t="s">
        <v>7163</v>
      </c>
      <c r="L120" s="7"/>
      <c r="M120" s="7"/>
    </row>
    <row r="121" spans="1:13" x14ac:dyDescent="0.3">
      <c r="A121" s="7">
        <v>13138</v>
      </c>
      <c r="B121" s="7" t="s">
        <v>129</v>
      </c>
      <c r="C121" s="7" t="s">
        <v>6355</v>
      </c>
      <c r="D121" s="7" t="s">
        <v>6365</v>
      </c>
      <c r="E121" s="7" t="s">
        <v>6295</v>
      </c>
      <c r="F121" s="7" t="s">
        <v>6362</v>
      </c>
      <c r="G121" s="7" t="s">
        <v>7150</v>
      </c>
      <c r="H121" s="7" t="s">
        <v>7156</v>
      </c>
      <c r="I121" s="7"/>
      <c r="J121" s="10">
        <v>44288</v>
      </c>
      <c r="K121" s="7" t="s">
        <v>7163</v>
      </c>
      <c r="L121" s="7"/>
      <c r="M121" s="7"/>
    </row>
    <row r="122" spans="1:13" x14ac:dyDescent="0.3">
      <c r="A122" s="7">
        <v>17929</v>
      </c>
      <c r="B122" s="7" t="s">
        <v>130</v>
      </c>
      <c r="C122" s="7" t="s">
        <v>6355</v>
      </c>
      <c r="D122" s="7" t="s">
        <v>6365</v>
      </c>
      <c r="E122" s="7" t="s">
        <v>6295</v>
      </c>
      <c r="F122" s="7" t="s">
        <v>6362</v>
      </c>
      <c r="G122" s="7" t="s">
        <v>7150</v>
      </c>
      <c r="H122" s="7" t="s">
        <v>7156</v>
      </c>
      <c r="I122" s="7"/>
      <c r="J122" s="10">
        <v>45922</v>
      </c>
      <c r="K122" s="7" t="s">
        <v>7163</v>
      </c>
      <c r="L122" s="7"/>
      <c r="M122" s="7"/>
    </row>
    <row r="123" spans="1:13" x14ac:dyDescent="0.3">
      <c r="A123" s="7">
        <v>12644</v>
      </c>
      <c r="B123" s="7" t="s">
        <v>131</v>
      </c>
      <c r="C123" s="7" t="s">
        <v>6355</v>
      </c>
      <c r="D123" s="7" t="s">
        <v>6366</v>
      </c>
      <c r="E123" s="7" t="s">
        <v>6295</v>
      </c>
      <c r="F123" s="7" t="s">
        <v>6328</v>
      </c>
      <c r="G123" s="7" t="s">
        <v>7150</v>
      </c>
      <c r="H123" s="7" t="s">
        <v>7156</v>
      </c>
      <c r="I123" s="7"/>
      <c r="J123" s="10">
        <v>43852</v>
      </c>
      <c r="K123" s="7" t="s">
        <v>7163</v>
      </c>
      <c r="L123" s="7"/>
      <c r="M123" s="7"/>
    </row>
    <row r="124" spans="1:13" x14ac:dyDescent="0.3">
      <c r="A124" s="7">
        <v>13249</v>
      </c>
      <c r="B124" s="7" t="s">
        <v>132</v>
      </c>
      <c r="C124" s="7" t="s">
        <v>6355</v>
      </c>
      <c r="D124" s="7" t="s">
        <v>6366</v>
      </c>
      <c r="E124" s="7" t="s">
        <v>6295</v>
      </c>
      <c r="F124" s="7" t="s">
        <v>6367</v>
      </c>
      <c r="G124" s="7" t="s">
        <v>7150</v>
      </c>
      <c r="H124" s="7" t="s">
        <v>7156</v>
      </c>
      <c r="I124" s="7"/>
      <c r="J124" s="10">
        <v>44341</v>
      </c>
      <c r="K124" s="7" t="s">
        <v>7163</v>
      </c>
      <c r="L124" s="7"/>
      <c r="M124" s="7"/>
    </row>
    <row r="125" spans="1:13" x14ac:dyDescent="0.3">
      <c r="A125" s="7">
        <v>15522</v>
      </c>
      <c r="B125" s="7" t="s">
        <v>133</v>
      </c>
      <c r="C125" s="7" t="s">
        <v>6355</v>
      </c>
      <c r="D125" s="7" t="s">
        <v>6366</v>
      </c>
      <c r="E125" s="7" t="s">
        <v>6295</v>
      </c>
      <c r="F125" s="7" t="s">
        <v>6367</v>
      </c>
      <c r="G125" s="7" t="s">
        <v>7150</v>
      </c>
      <c r="H125" s="7" t="s">
        <v>7156</v>
      </c>
      <c r="I125" s="7"/>
      <c r="J125" s="10">
        <v>45101</v>
      </c>
      <c r="K125" s="7" t="s">
        <v>7163</v>
      </c>
      <c r="L125" s="7"/>
      <c r="M125" s="7"/>
    </row>
    <row r="126" spans="1:13" x14ac:dyDescent="0.3">
      <c r="A126" s="7">
        <v>18169</v>
      </c>
      <c r="B126" s="7" t="s">
        <v>134</v>
      </c>
      <c r="C126" s="7" t="s">
        <v>6355</v>
      </c>
      <c r="D126" s="7" t="s">
        <v>6366</v>
      </c>
      <c r="E126" s="7" t="s">
        <v>6295</v>
      </c>
      <c r="F126" s="7" t="s">
        <v>6367</v>
      </c>
      <c r="G126" s="7" t="s">
        <v>7150</v>
      </c>
      <c r="H126" s="7" t="s">
        <v>7156</v>
      </c>
      <c r="I126" s="7"/>
      <c r="J126" s="10">
        <v>46034</v>
      </c>
      <c r="K126" s="7" t="s">
        <v>7163</v>
      </c>
      <c r="L126" s="7"/>
      <c r="M126" s="7"/>
    </row>
    <row r="127" spans="1:13" x14ac:dyDescent="0.3">
      <c r="A127" s="7">
        <v>18642</v>
      </c>
      <c r="B127" s="7" t="s">
        <v>135</v>
      </c>
      <c r="C127" s="7" t="s">
        <v>6355</v>
      </c>
      <c r="D127" s="7" t="s">
        <v>6366</v>
      </c>
      <c r="E127" s="7" t="s">
        <v>6295</v>
      </c>
      <c r="F127" s="7" t="s">
        <v>6368</v>
      </c>
      <c r="G127" s="7" t="s">
        <v>7150</v>
      </c>
      <c r="H127" s="7" t="s">
        <v>7156</v>
      </c>
      <c r="I127" s="7"/>
      <c r="J127" s="10">
        <v>46178</v>
      </c>
      <c r="K127" s="7" t="s">
        <v>7163</v>
      </c>
      <c r="L127" s="7"/>
      <c r="M127" s="7"/>
    </row>
    <row r="128" spans="1:13" x14ac:dyDescent="0.3">
      <c r="A128" s="7">
        <v>15366</v>
      </c>
      <c r="B128" s="7" t="s">
        <v>136</v>
      </c>
      <c r="C128" s="7" t="s">
        <v>6355</v>
      </c>
      <c r="D128" s="7" t="s">
        <v>6366</v>
      </c>
      <c r="E128" s="7" t="s">
        <v>6295</v>
      </c>
      <c r="F128" s="7" t="s">
        <v>6369</v>
      </c>
      <c r="G128" s="7" t="s">
        <v>7150</v>
      </c>
      <c r="H128" s="7" t="s">
        <v>7156</v>
      </c>
      <c r="I128" s="7"/>
      <c r="J128" s="10">
        <v>45041</v>
      </c>
      <c r="K128" s="7" t="s">
        <v>7163</v>
      </c>
      <c r="L128" s="7"/>
      <c r="M128" s="7"/>
    </row>
    <row r="129" spans="1:13" x14ac:dyDescent="0.3">
      <c r="A129" s="7">
        <v>18549</v>
      </c>
      <c r="B129" s="7" t="s">
        <v>137</v>
      </c>
      <c r="C129" s="7" t="s">
        <v>6355</v>
      </c>
      <c r="D129" s="7" t="s">
        <v>6366</v>
      </c>
      <c r="E129" s="7" t="s">
        <v>6295</v>
      </c>
      <c r="F129" s="7" t="s">
        <v>6369</v>
      </c>
      <c r="G129" s="7" t="s">
        <v>7150</v>
      </c>
      <c r="H129" s="7" t="s">
        <v>7156</v>
      </c>
      <c r="I129" s="7"/>
      <c r="J129" s="10">
        <v>46147</v>
      </c>
      <c r="K129" s="7" t="s">
        <v>7163</v>
      </c>
      <c r="L129" s="7"/>
      <c r="M129" s="7"/>
    </row>
    <row r="130" spans="1:13" x14ac:dyDescent="0.3">
      <c r="A130" s="7">
        <v>16157</v>
      </c>
      <c r="B130" s="7" t="s">
        <v>138</v>
      </c>
      <c r="C130" s="7" t="s">
        <v>6355</v>
      </c>
      <c r="D130" s="7" t="s">
        <v>6366</v>
      </c>
      <c r="E130" s="7" t="s">
        <v>6295</v>
      </c>
      <c r="F130" s="7" t="s">
        <v>6370</v>
      </c>
      <c r="G130" s="7" t="s">
        <v>7150</v>
      </c>
      <c r="H130" s="7" t="s">
        <v>7156</v>
      </c>
      <c r="I130" s="7"/>
      <c r="J130" s="10">
        <v>45301</v>
      </c>
      <c r="K130" s="7" t="s">
        <v>7163</v>
      </c>
      <c r="L130" s="7"/>
      <c r="M130" s="7"/>
    </row>
    <row r="131" spans="1:13" x14ac:dyDescent="0.3">
      <c r="A131" s="7">
        <v>16366</v>
      </c>
      <c r="B131" s="7" t="s">
        <v>139</v>
      </c>
      <c r="C131" s="7" t="s">
        <v>6355</v>
      </c>
      <c r="D131" s="7" t="s">
        <v>6366</v>
      </c>
      <c r="E131" s="7" t="s">
        <v>6295</v>
      </c>
      <c r="F131" s="7" t="s">
        <v>6370</v>
      </c>
      <c r="G131" s="7" t="s">
        <v>7150</v>
      </c>
      <c r="H131" s="7" t="s">
        <v>7156</v>
      </c>
      <c r="I131" s="7"/>
      <c r="J131" s="10">
        <v>45356</v>
      </c>
      <c r="K131" s="7" t="s">
        <v>7163</v>
      </c>
      <c r="L131" s="7"/>
      <c r="M131" s="7"/>
    </row>
    <row r="132" spans="1:13" x14ac:dyDescent="0.3">
      <c r="A132" s="7">
        <v>18641</v>
      </c>
      <c r="B132" s="7" t="s">
        <v>140</v>
      </c>
      <c r="C132" s="7" t="s">
        <v>6355</v>
      </c>
      <c r="D132" s="7" t="s">
        <v>6366</v>
      </c>
      <c r="E132" s="7" t="s">
        <v>6295</v>
      </c>
      <c r="F132" s="7" t="s">
        <v>6370</v>
      </c>
      <c r="G132" s="7" t="s">
        <v>7150</v>
      </c>
      <c r="H132" s="7" t="s">
        <v>7156</v>
      </c>
      <c r="I132" s="7"/>
      <c r="J132" s="10">
        <v>46175</v>
      </c>
      <c r="K132" s="7" t="s">
        <v>7163</v>
      </c>
      <c r="L132" s="7"/>
      <c r="M132" s="7"/>
    </row>
    <row r="133" spans="1:13" x14ac:dyDescent="0.3">
      <c r="A133" s="7">
        <v>17702</v>
      </c>
      <c r="B133" s="7" t="s">
        <v>141</v>
      </c>
      <c r="C133" s="7" t="s">
        <v>6371</v>
      </c>
      <c r="D133" s="7" t="s">
        <v>6295</v>
      </c>
      <c r="E133" s="7" t="s">
        <v>6295</v>
      </c>
      <c r="F133" s="7" t="s">
        <v>6356</v>
      </c>
      <c r="G133" s="7" t="s">
        <v>7150</v>
      </c>
      <c r="H133" s="7" t="s">
        <v>7156</v>
      </c>
      <c r="I133" s="7"/>
      <c r="J133" s="10">
        <v>45846</v>
      </c>
      <c r="K133" s="7" t="s">
        <v>7163</v>
      </c>
      <c r="L133" s="7"/>
      <c r="M133" s="7"/>
    </row>
    <row r="134" spans="1:13" x14ac:dyDescent="0.3">
      <c r="A134" s="7">
        <v>11872</v>
      </c>
      <c r="B134" s="7" t="s">
        <v>142</v>
      </c>
      <c r="C134" s="7" t="s">
        <v>6371</v>
      </c>
      <c r="D134" s="7" t="s">
        <v>6295</v>
      </c>
      <c r="E134" s="7" t="s">
        <v>6295</v>
      </c>
      <c r="F134" s="7" t="s">
        <v>6336</v>
      </c>
      <c r="G134" s="7" t="s">
        <v>7150</v>
      </c>
      <c r="H134" s="7" t="s">
        <v>7156</v>
      </c>
      <c r="I134" s="7"/>
      <c r="J134" s="10">
        <v>43227</v>
      </c>
      <c r="K134" s="7" t="s">
        <v>7163</v>
      </c>
      <c r="L134" s="7"/>
      <c r="M134" s="7"/>
    </row>
    <row r="135" spans="1:13" x14ac:dyDescent="0.3">
      <c r="A135" s="7">
        <v>12002</v>
      </c>
      <c r="B135" s="7" t="s">
        <v>143</v>
      </c>
      <c r="C135" s="7" t="s">
        <v>6371</v>
      </c>
      <c r="D135" s="7" t="s">
        <v>6372</v>
      </c>
      <c r="E135" s="7" t="s">
        <v>6295</v>
      </c>
      <c r="F135" s="7" t="s">
        <v>6338</v>
      </c>
      <c r="G135" s="7" t="s">
        <v>7150</v>
      </c>
      <c r="H135" s="7" t="s">
        <v>7156</v>
      </c>
      <c r="I135" s="7"/>
      <c r="J135" s="10">
        <v>43369</v>
      </c>
      <c r="K135" s="7" t="s">
        <v>7163</v>
      </c>
      <c r="L135" s="7"/>
      <c r="M135" s="7"/>
    </row>
    <row r="136" spans="1:13" x14ac:dyDescent="0.3">
      <c r="A136" s="7">
        <v>15637</v>
      </c>
      <c r="B136" s="7" t="s">
        <v>144</v>
      </c>
      <c r="C136" s="7" t="s">
        <v>6371</v>
      </c>
      <c r="D136" s="7" t="s">
        <v>6372</v>
      </c>
      <c r="E136" s="7" t="s">
        <v>6295</v>
      </c>
      <c r="F136" s="7" t="s">
        <v>6335</v>
      </c>
      <c r="G136" s="7" t="s">
        <v>7150</v>
      </c>
      <c r="H136" s="7" t="s">
        <v>7156</v>
      </c>
      <c r="I136" s="7"/>
      <c r="J136" s="10">
        <v>45148</v>
      </c>
      <c r="K136" s="7" t="s">
        <v>7163</v>
      </c>
      <c r="L136" s="7"/>
      <c r="M136" s="7"/>
    </row>
    <row r="137" spans="1:13" x14ac:dyDescent="0.3">
      <c r="A137" s="7">
        <v>10669</v>
      </c>
      <c r="B137" s="7" t="s">
        <v>145</v>
      </c>
      <c r="C137" s="7" t="s">
        <v>6371</v>
      </c>
      <c r="D137" s="7" t="s">
        <v>6372</v>
      </c>
      <c r="E137" s="7" t="s">
        <v>6295</v>
      </c>
      <c r="F137" s="7" t="s">
        <v>6353</v>
      </c>
      <c r="G137" s="7" t="s">
        <v>7150</v>
      </c>
      <c r="H137" s="7" t="s">
        <v>7156</v>
      </c>
      <c r="I137" s="7"/>
      <c r="J137" s="10">
        <v>41646</v>
      </c>
      <c r="K137" s="7" t="s">
        <v>7163</v>
      </c>
      <c r="L137" s="7"/>
      <c r="M137" s="7"/>
    </row>
    <row r="138" spans="1:13" x14ac:dyDescent="0.3">
      <c r="A138" s="7">
        <v>10570</v>
      </c>
      <c r="B138" s="7" t="s">
        <v>146</v>
      </c>
      <c r="C138" s="7" t="s">
        <v>6371</v>
      </c>
      <c r="D138" s="7" t="s">
        <v>6372</v>
      </c>
      <c r="E138" s="7" t="s">
        <v>6295</v>
      </c>
      <c r="F138" s="7" t="s">
        <v>6353</v>
      </c>
      <c r="G138" s="7" t="s">
        <v>7150</v>
      </c>
      <c r="H138" s="7" t="s">
        <v>7156</v>
      </c>
      <c r="I138" s="7"/>
      <c r="J138" s="10">
        <v>41324</v>
      </c>
      <c r="K138" s="7" t="s">
        <v>7163</v>
      </c>
      <c r="L138" s="7"/>
      <c r="M138" s="7"/>
    </row>
    <row r="139" spans="1:13" x14ac:dyDescent="0.3">
      <c r="A139" s="7">
        <v>14237</v>
      </c>
      <c r="B139" s="7" t="s">
        <v>147</v>
      </c>
      <c r="C139" s="7" t="s">
        <v>6371</v>
      </c>
      <c r="D139" s="7" t="s">
        <v>6372</v>
      </c>
      <c r="E139" s="7" t="s">
        <v>6295</v>
      </c>
      <c r="F139" s="7" t="s">
        <v>6353</v>
      </c>
      <c r="G139" s="7" t="s">
        <v>7150</v>
      </c>
      <c r="H139" s="7" t="s">
        <v>7156</v>
      </c>
      <c r="I139" s="7"/>
      <c r="J139" s="10">
        <v>44701</v>
      </c>
      <c r="K139" s="7" t="s">
        <v>7163</v>
      </c>
      <c r="L139" s="7"/>
      <c r="M139" s="7"/>
    </row>
    <row r="140" spans="1:13" x14ac:dyDescent="0.3">
      <c r="A140" s="7">
        <v>11992</v>
      </c>
      <c r="B140" s="7" t="s">
        <v>148</v>
      </c>
      <c r="C140" s="7" t="s">
        <v>6371</v>
      </c>
      <c r="D140" s="7" t="s">
        <v>6372</v>
      </c>
      <c r="E140" s="7" t="s">
        <v>6295</v>
      </c>
      <c r="F140" s="7" t="s">
        <v>6353</v>
      </c>
      <c r="G140" s="7" t="s">
        <v>7150</v>
      </c>
      <c r="H140" s="7" t="s">
        <v>7156</v>
      </c>
      <c r="I140" s="7"/>
      <c r="J140" s="10">
        <v>43363</v>
      </c>
      <c r="K140" s="7" t="s">
        <v>7163</v>
      </c>
      <c r="L140" s="7"/>
      <c r="M140" s="7"/>
    </row>
    <row r="141" spans="1:13" x14ac:dyDescent="0.3">
      <c r="A141" s="7">
        <v>11332</v>
      </c>
      <c r="B141" s="7" t="s">
        <v>149</v>
      </c>
      <c r="C141" s="7" t="s">
        <v>6371</v>
      </c>
      <c r="D141" s="7" t="s">
        <v>6372</v>
      </c>
      <c r="E141" s="7" t="s">
        <v>6295</v>
      </c>
      <c r="F141" s="7" t="s">
        <v>6353</v>
      </c>
      <c r="G141" s="7" t="s">
        <v>7150</v>
      </c>
      <c r="H141" s="7" t="s">
        <v>7156</v>
      </c>
      <c r="I141" s="7"/>
      <c r="J141" s="10">
        <v>42541</v>
      </c>
      <c r="K141" s="7" t="s">
        <v>7163</v>
      </c>
      <c r="L141" s="7"/>
      <c r="M141" s="7"/>
    </row>
    <row r="142" spans="1:13" x14ac:dyDescent="0.3">
      <c r="A142" s="7">
        <v>11994</v>
      </c>
      <c r="B142" s="7" t="s">
        <v>150</v>
      </c>
      <c r="C142" s="7" t="s">
        <v>6371</v>
      </c>
      <c r="D142" s="7" t="s">
        <v>6372</v>
      </c>
      <c r="E142" s="7" t="s">
        <v>6295</v>
      </c>
      <c r="F142" s="7" t="s">
        <v>6340</v>
      </c>
      <c r="G142" s="7" t="s">
        <v>7150</v>
      </c>
      <c r="H142" s="7" t="s">
        <v>7156</v>
      </c>
      <c r="I142" s="7"/>
      <c r="J142" s="10">
        <v>43363</v>
      </c>
      <c r="K142" s="7" t="s">
        <v>7163</v>
      </c>
      <c r="L142" s="7"/>
      <c r="M142" s="7"/>
    </row>
    <row r="143" spans="1:13" x14ac:dyDescent="0.3">
      <c r="A143" s="7">
        <v>15717</v>
      </c>
      <c r="B143" s="7" t="s">
        <v>151</v>
      </c>
      <c r="C143" s="7" t="s">
        <v>6371</v>
      </c>
      <c r="D143" s="7" t="s">
        <v>6372</v>
      </c>
      <c r="E143" s="7" t="s">
        <v>6295</v>
      </c>
      <c r="F143" s="7" t="s">
        <v>6373</v>
      </c>
      <c r="G143" s="7" t="s">
        <v>7150</v>
      </c>
      <c r="H143" s="7" t="s">
        <v>7156</v>
      </c>
      <c r="I143" s="7"/>
      <c r="J143" s="10">
        <v>45176</v>
      </c>
      <c r="K143" s="7" t="s">
        <v>7163</v>
      </c>
      <c r="L143" s="7"/>
      <c r="M143" s="7"/>
    </row>
    <row r="144" spans="1:13" x14ac:dyDescent="0.3">
      <c r="A144" s="7">
        <v>15499</v>
      </c>
      <c r="B144" s="7" t="s">
        <v>152</v>
      </c>
      <c r="C144" s="7" t="s">
        <v>6371</v>
      </c>
      <c r="D144" s="7" t="s">
        <v>6372</v>
      </c>
      <c r="E144" s="7" t="s">
        <v>6295</v>
      </c>
      <c r="F144" s="7" t="s">
        <v>6373</v>
      </c>
      <c r="G144" s="7" t="s">
        <v>7150</v>
      </c>
      <c r="H144" s="7" t="s">
        <v>7156</v>
      </c>
      <c r="I144" s="7"/>
      <c r="J144" s="10">
        <v>45099</v>
      </c>
      <c r="K144" s="7" t="s">
        <v>7163</v>
      </c>
      <c r="L144" s="7"/>
      <c r="M144" s="7"/>
    </row>
    <row r="145" spans="1:13" x14ac:dyDescent="0.3">
      <c r="A145" s="7">
        <v>18318</v>
      </c>
      <c r="B145" s="7" t="s">
        <v>153</v>
      </c>
      <c r="C145" s="7" t="s">
        <v>6371</v>
      </c>
      <c r="D145" s="7" t="s">
        <v>6372</v>
      </c>
      <c r="E145" s="7" t="s">
        <v>6295</v>
      </c>
      <c r="F145" s="7" t="s">
        <v>6374</v>
      </c>
      <c r="G145" s="7" t="s">
        <v>7150</v>
      </c>
      <c r="H145" s="7" t="s">
        <v>7156</v>
      </c>
      <c r="I145" s="7" t="s">
        <v>7158</v>
      </c>
      <c r="J145" s="10">
        <v>46084</v>
      </c>
      <c r="K145" s="7" t="s">
        <v>7163</v>
      </c>
      <c r="L145" s="7"/>
      <c r="M145" s="7"/>
    </row>
    <row r="146" spans="1:13" x14ac:dyDescent="0.3">
      <c r="A146" s="7">
        <v>18319</v>
      </c>
      <c r="B146" s="7" t="s">
        <v>154</v>
      </c>
      <c r="C146" s="7" t="s">
        <v>6371</v>
      </c>
      <c r="D146" s="7" t="s">
        <v>6372</v>
      </c>
      <c r="E146" s="7" t="s">
        <v>6295</v>
      </c>
      <c r="F146" s="7" t="s">
        <v>6375</v>
      </c>
      <c r="G146" s="7" t="s">
        <v>7150</v>
      </c>
      <c r="H146" s="7" t="s">
        <v>7156</v>
      </c>
      <c r="I146" s="7" t="s">
        <v>7159</v>
      </c>
      <c r="J146" s="10">
        <v>46084</v>
      </c>
      <c r="K146" s="7" t="s">
        <v>7163</v>
      </c>
      <c r="L146" s="7"/>
      <c r="M146" s="7"/>
    </row>
    <row r="147" spans="1:13" x14ac:dyDescent="0.3">
      <c r="A147" s="7">
        <v>18335</v>
      </c>
      <c r="B147" s="7" t="s">
        <v>155</v>
      </c>
      <c r="C147" s="7" t="s">
        <v>6371</v>
      </c>
      <c r="D147" s="7" t="s">
        <v>6372</v>
      </c>
      <c r="E147" s="7" t="s">
        <v>6295</v>
      </c>
      <c r="F147" s="7" t="s">
        <v>6341</v>
      </c>
      <c r="G147" s="7" t="s">
        <v>7150</v>
      </c>
      <c r="H147" s="7" t="s">
        <v>7156</v>
      </c>
      <c r="I147" s="7" t="s">
        <v>7159</v>
      </c>
      <c r="J147" s="10">
        <v>46091</v>
      </c>
      <c r="K147" s="7" t="s">
        <v>7163</v>
      </c>
      <c r="L147" s="7"/>
      <c r="M147" s="7"/>
    </row>
    <row r="148" spans="1:13" x14ac:dyDescent="0.3">
      <c r="A148" s="7">
        <v>14355</v>
      </c>
      <c r="B148" s="7" t="s">
        <v>156</v>
      </c>
      <c r="C148" s="7" t="s">
        <v>6371</v>
      </c>
      <c r="D148" s="7" t="s">
        <v>6372</v>
      </c>
      <c r="E148" s="7" t="s">
        <v>6295</v>
      </c>
      <c r="F148" s="7" t="s">
        <v>6341</v>
      </c>
      <c r="G148" s="7" t="s">
        <v>7150</v>
      </c>
      <c r="H148" s="7" t="s">
        <v>7156</v>
      </c>
      <c r="I148" s="7"/>
      <c r="J148" s="10">
        <v>44743</v>
      </c>
      <c r="K148" s="7" t="s">
        <v>7163</v>
      </c>
      <c r="L148" s="7"/>
      <c r="M148" s="7"/>
    </row>
    <row r="149" spans="1:13" x14ac:dyDescent="0.3">
      <c r="A149" s="7">
        <v>17456</v>
      </c>
      <c r="B149" s="7" t="s">
        <v>157</v>
      </c>
      <c r="C149" s="7" t="s">
        <v>6371</v>
      </c>
      <c r="D149" s="7" t="s">
        <v>6372</v>
      </c>
      <c r="E149" s="7" t="s">
        <v>6295</v>
      </c>
      <c r="F149" s="7" t="s">
        <v>6373</v>
      </c>
      <c r="G149" s="7" t="s">
        <v>7150</v>
      </c>
      <c r="H149" s="7" t="s">
        <v>7156</v>
      </c>
      <c r="I149" s="7"/>
      <c r="J149" s="10">
        <v>45757</v>
      </c>
      <c r="K149" s="7" t="s">
        <v>7163</v>
      </c>
      <c r="L149" s="7"/>
      <c r="M149" s="7"/>
    </row>
    <row r="150" spans="1:13" x14ac:dyDescent="0.3">
      <c r="A150" s="7">
        <v>18375</v>
      </c>
      <c r="B150" s="7" t="s">
        <v>158</v>
      </c>
      <c r="C150" s="7" t="s">
        <v>6371</v>
      </c>
      <c r="D150" s="7" t="s">
        <v>6376</v>
      </c>
      <c r="E150" s="7" t="s">
        <v>6295</v>
      </c>
      <c r="F150" s="7" t="s">
        <v>6338</v>
      </c>
      <c r="G150" s="7" t="s">
        <v>7150</v>
      </c>
      <c r="H150" s="7" t="s">
        <v>7156</v>
      </c>
      <c r="I150" s="7" t="s">
        <v>7159</v>
      </c>
      <c r="J150" s="10">
        <v>46113</v>
      </c>
      <c r="K150" s="7" t="s">
        <v>7163</v>
      </c>
      <c r="L150" s="7"/>
      <c r="M150" s="7"/>
    </row>
    <row r="151" spans="1:13" x14ac:dyDescent="0.3">
      <c r="A151" s="7">
        <v>18376</v>
      </c>
      <c r="B151" s="7" t="s">
        <v>159</v>
      </c>
      <c r="C151" s="7" t="s">
        <v>6371</v>
      </c>
      <c r="D151" s="7" t="s">
        <v>6376</v>
      </c>
      <c r="E151" s="7" t="s">
        <v>6295</v>
      </c>
      <c r="F151" s="7" t="s">
        <v>6377</v>
      </c>
      <c r="G151" s="7" t="s">
        <v>7150</v>
      </c>
      <c r="H151" s="7" t="s">
        <v>7156</v>
      </c>
      <c r="I151" s="7" t="s">
        <v>7159</v>
      </c>
      <c r="J151" s="10">
        <v>46113</v>
      </c>
      <c r="K151" s="7" t="s">
        <v>7163</v>
      </c>
      <c r="L151" s="7"/>
      <c r="M151" s="7"/>
    </row>
    <row r="152" spans="1:13" x14ac:dyDescent="0.3">
      <c r="A152" s="7">
        <v>18379</v>
      </c>
      <c r="B152" s="7" t="s">
        <v>160</v>
      </c>
      <c r="C152" s="7" t="s">
        <v>6371</v>
      </c>
      <c r="D152" s="7" t="s">
        <v>6376</v>
      </c>
      <c r="E152" s="7" t="s">
        <v>6295</v>
      </c>
      <c r="F152" s="7" t="s">
        <v>6377</v>
      </c>
      <c r="G152" s="7" t="s">
        <v>7150</v>
      </c>
      <c r="H152" s="7" t="s">
        <v>7156</v>
      </c>
      <c r="I152" s="7" t="s">
        <v>7159</v>
      </c>
      <c r="J152" s="10">
        <v>46113</v>
      </c>
      <c r="K152" s="7" t="s">
        <v>7163</v>
      </c>
      <c r="L152" s="7"/>
      <c r="M152" s="7"/>
    </row>
    <row r="153" spans="1:13" x14ac:dyDescent="0.3">
      <c r="A153" s="7">
        <v>18377</v>
      </c>
      <c r="B153" s="7" t="s">
        <v>161</v>
      </c>
      <c r="C153" s="7" t="s">
        <v>6371</v>
      </c>
      <c r="D153" s="7" t="s">
        <v>6376</v>
      </c>
      <c r="E153" s="7" t="s">
        <v>6295</v>
      </c>
      <c r="F153" s="7" t="s">
        <v>6373</v>
      </c>
      <c r="G153" s="7" t="s">
        <v>7150</v>
      </c>
      <c r="H153" s="7" t="s">
        <v>7156</v>
      </c>
      <c r="I153" s="7" t="s">
        <v>7159</v>
      </c>
      <c r="J153" s="10">
        <v>46113</v>
      </c>
      <c r="K153" s="7" t="s">
        <v>7163</v>
      </c>
      <c r="L153" s="7"/>
      <c r="M153" s="7"/>
    </row>
    <row r="154" spans="1:13" x14ac:dyDescent="0.3">
      <c r="A154" s="7">
        <v>18381</v>
      </c>
      <c r="B154" s="7" t="s">
        <v>162</v>
      </c>
      <c r="C154" s="7" t="s">
        <v>6371</v>
      </c>
      <c r="D154" s="7" t="s">
        <v>6378</v>
      </c>
      <c r="E154" s="7" t="s">
        <v>6295</v>
      </c>
      <c r="F154" s="7" t="s">
        <v>6377</v>
      </c>
      <c r="G154" s="7" t="s">
        <v>7150</v>
      </c>
      <c r="H154" s="7" t="s">
        <v>7156</v>
      </c>
      <c r="I154" s="7" t="s">
        <v>7158</v>
      </c>
      <c r="J154" s="10">
        <v>46113</v>
      </c>
      <c r="K154" s="7" t="s">
        <v>7163</v>
      </c>
      <c r="L154" s="7"/>
      <c r="M154" s="7"/>
    </row>
    <row r="155" spans="1:13" x14ac:dyDescent="0.3">
      <c r="A155" s="7">
        <v>18382</v>
      </c>
      <c r="B155" s="7" t="s">
        <v>163</v>
      </c>
      <c r="C155" s="7" t="s">
        <v>6371</v>
      </c>
      <c r="D155" s="7" t="s">
        <v>6378</v>
      </c>
      <c r="E155" s="7" t="s">
        <v>6295</v>
      </c>
      <c r="F155" s="7" t="s">
        <v>6379</v>
      </c>
      <c r="G155" s="7" t="s">
        <v>7150</v>
      </c>
      <c r="H155" s="7" t="s">
        <v>7156</v>
      </c>
      <c r="I155" s="7" t="s">
        <v>7158</v>
      </c>
      <c r="J155" s="10">
        <v>46113</v>
      </c>
      <c r="K155" s="7" t="s">
        <v>7163</v>
      </c>
      <c r="L155" s="7"/>
      <c r="M155" s="7"/>
    </row>
    <row r="156" spans="1:13" x14ac:dyDescent="0.3">
      <c r="A156" s="7">
        <v>18380</v>
      </c>
      <c r="B156" s="7" t="s">
        <v>164</v>
      </c>
      <c r="C156" s="7" t="s">
        <v>6371</v>
      </c>
      <c r="D156" s="7" t="s">
        <v>6378</v>
      </c>
      <c r="E156" s="7" t="s">
        <v>6295</v>
      </c>
      <c r="F156" s="7" t="s">
        <v>6373</v>
      </c>
      <c r="G156" s="7" t="s">
        <v>7150</v>
      </c>
      <c r="H156" s="7" t="s">
        <v>7156</v>
      </c>
      <c r="I156" s="7" t="s">
        <v>7158</v>
      </c>
      <c r="J156" s="10">
        <v>46113</v>
      </c>
      <c r="K156" s="7" t="s">
        <v>7163</v>
      </c>
      <c r="L156" s="7"/>
      <c r="M156" s="7"/>
    </row>
    <row r="157" spans="1:13" x14ac:dyDescent="0.3">
      <c r="A157" s="7">
        <v>18384</v>
      </c>
      <c r="B157" s="7" t="s">
        <v>165</v>
      </c>
      <c r="C157" s="7" t="s">
        <v>6371</v>
      </c>
      <c r="D157" s="7" t="s">
        <v>6378</v>
      </c>
      <c r="E157" s="7" t="s">
        <v>6295</v>
      </c>
      <c r="F157" s="7" t="s">
        <v>6353</v>
      </c>
      <c r="G157" s="7" t="s">
        <v>7152</v>
      </c>
      <c r="H157" s="7" t="s">
        <v>7156</v>
      </c>
      <c r="I157" s="7" t="s">
        <v>7158</v>
      </c>
      <c r="J157" s="10">
        <v>46113</v>
      </c>
      <c r="K157" s="7" t="s">
        <v>7163</v>
      </c>
      <c r="L157" s="7"/>
      <c r="M157" s="7"/>
    </row>
    <row r="158" spans="1:13" x14ac:dyDescent="0.3">
      <c r="A158" s="7">
        <v>18383</v>
      </c>
      <c r="B158" s="7" t="s">
        <v>166</v>
      </c>
      <c r="C158" s="7" t="s">
        <v>6371</v>
      </c>
      <c r="D158" s="7" t="s">
        <v>6378</v>
      </c>
      <c r="E158" s="7" t="s">
        <v>6295</v>
      </c>
      <c r="F158" s="7" t="s">
        <v>6341</v>
      </c>
      <c r="G158" s="7" t="s">
        <v>7150</v>
      </c>
      <c r="H158" s="7" t="s">
        <v>7156</v>
      </c>
      <c r="I158" s="7" t="s">
        <v>7158</v>
      </c>
      <c r="J158" s="10">
        <v>46113</v>
      </c>
      <c r="K158" s="7" t="s">
        <v>7163</v>
      </c>
      <c r="L158" s="7"/>
      <c r="M158" s="7"/>
    </row>
    <row r="159" spans="1:13" x14ac:dyDescent="0.3">
      <c r="A159" s="7">
        <v>18378</v>
      </c>
      <c r="B159" s="7" t="s">
        <v>167</v>
      </c>
      <c r="C159" s="7" t="s">
        <v>6371</v>
      </c>
      <c r="D159" s="7" t="s">
        <v>6378</v>
      </c>
      <c r="E159" s="7" t="s">
        <v>6295</v>
      </c>
      <c r="F159" s="7" t="s">
        <v>6380</v>
      </c>
      <c r="G159" s="7" t="s">
        <v>7150</v>
      </c>
      <c r="H159" s="7" t="s">
        <v>7156</v>
      </c>
      <c r="I159" s="7" t="s">
        <v>7158</v>
      </c>
      <c r="J159" s="10">
        <v>46113</v>
      </c>
      <c r="K159" s="7" t="s">
        <v>7163</v>
      </c>
      <c r="L159" s="7"/>
      <c r="M159" s="7"/>
    </row>
    <row r="160" spans="1:13" x14ac:dyDescent="0.3">
      <c r="A160" s="7">
        <v>12207</v>
      </c>
      <c r="B160" s="7" t="s">
        <v>168</v>
      </c>
      <c r="C160" s="7" t="s">
        <v>6371</v>
      </c>
      <c r="D160" s="7" t="s">
        <v>6381</v>
      </c>
      <c r="E160" s="7" t="s">
        <v>6295</v>
      </c>
      <c r="F160" s="7" t="s">
        <v>6338</v>
      </c>
      <c r="G160" s="7" t="s">
        <v>7150</v>
      </c>
      <c r="H160" s="7" t="s">
        <v>7156</v>
      </c>
      <c r="I160" s="7"/>
      <c r="J160" s="10">
        <v>43587</v>
      </c>
      <c r="K160" s="7" t="s">
        <v>7163</v>
      </c>
      <c r="L160" s="7"/>
      <c r="M160" s="7"/>
    </row>
    <row r="161" spans="1:13" x14ac:dyDescent="0.3">
      <c r="A161" s="7">
        <v>13124</v>
      </c>
      <c r="B161" s="7" t="s">
        <v>169</v>
      </c>
      <c r="C161" s="7" t="s">
        <v>6371</v>
      </c>
      <c r="D161" s="7" t="s">
        <v>6381</v>
      </c>
      <c r="E161" s="7" t="s">
        <v>6295</v>
      </c>
      <c r="F161" s="7" t="s">
        <v>6335</v>
      </c>
      <c r="G161" s="7" t="s">
        <v>7150</v>
      </c>
      <c r="H161" s="7" t="s">
        <v>7156</v>
      </c>
      <c r="I161" s="7"/>
      <c r="J161" s="10">
        <v>44270</v>
      </c>
      <c r="K161" s="7" t="s">
        <v>7163</v>
      </c>
      <c r="L161" s="7"/>
      <c r="M161" s="7"/>
    </row>
    <row r="162" spans="1:13" x14ac:dyDescent="0.3">
      <c r="A162" s="7">
        <v>13020</v>
      </c>
      <c r="B162" s="7" t="s">
        <v>170</v>
      </c>
      <c r="C162" s="7" t="s">
        <v>6371</v>
      </c>
      <c r="D162" s="7" t="s">
        <v>6381</v>
      </c>
      <c r="E162" s="7" t="s">
        <v>6295</v>
      </c>
      <c r="F162" s="7" t="s">
        <v>6353</v>
      </c>
      <c r="G162" s="7" t="s">
        <v>7150</v>
      </c>
      <c r="H162" s="7" t="s">
        <v>7156</v>
      </c>
      <c r="I162" s="7"/>
      <c r="J162" s="10">
        <v>44203</v>
      </c>
      <c r="K162" s="7" t="s">
        <v>7163</v>
      </c>
      <c r="L162" s="7"/>
      <c r="M162" s="7"/>
    </row>
    <row r="163" spans="1:13" x14ac:dyDescent="0.3">
      <c r="A163" s="7">
        <v>14699</v>
      </c>
      <c r="B163" s="7" t="s">
        <v>171</v>
      </c>
      <c r="C163" s="7" t="s">
        <v>6371</v>
      </c>
      <c r="D163" s="7" t="s">
        <v>6381</v>
      </c>
      <c r="E163" s="7" t="s">
        <v>6295</v>
      </c>
      <c r="F163" s="7" t="s">
        <v>6340</v>
      </c>
      <c r="G163" s="7" t="s">
        <v>7150</v>
      </c>
      <c r="H163" s="7" t="s">
        <v>7156</v>
      </c>
      <c r="I163" s="7"/>
      <c r="J163" s="10">
        <v>44830</v>
      </c>
      <c r="K163" s="7" t="s">
        <v>7163</v>
      </c>
      <c r="L163" s="7"/>
      <c r="M163" s="7"/>
    </row>
    <row r="164" spans="1:13" x14ac:dyDescent="0.3">
      <c r="A164" s="7">
        <v>12437</v>
      </c>
      <c r="B164" s="7" t="s">
        <v>172</v>
      </c>
      <c r="C164" s="7" t="s">
        <v>6371</v>
      </c>
      <c r="D164" s="7" t="s">
        <v>6381</v>
      </c>
      <c r="E164" s="7" t="s">
        <v>6295</v>
      </c>
      <c r="F164" s="7" t="s">
        <v>6382</v>
      </c>
      <c r="G164" s="7" t="s">
        <v>7150</v>
      </c>
      <c r="H164" s="7" t="s">
        <v>7156</v>
      </c>
      <c r="I164" s="7"/>
      <c r="J164" s="10">
        <v>43755</v>
      </c>
      <c r="K164" s="7" t="s">
        <v>7163</v>
      </c>
      <c r="L164" s="7"/>
      <c r="M164" s="7"/>
    </row>
    <row r="165" spans="1:13" x14ac:dyDescent="0.3">
      <c r="A165" s="7">
        <v>14901</v>
      </c>
      <c r="B165" s="7" t="s">
        <v>173</v>
      </c>
      <c r="C165" s="7" t="s">
        <v>6371</v>
      </c>
      <c r="D165" s="7" t="s">
        <v>6381</v>
      </c>
      <c r="E165" s="7" t="s">
        <v>6295</v>
      </c>
      <c r="F165" s="7" t="s">
        <v>6340</v>
      </c>
      <c r="G165" s="7" t="s">
        <v>7150</v>
      </c>
      <c r="H165" s="7" t="s">
        <v>7156</v>
      </c>
      <c r="I165" s="7"/>
      <c r="J165" s="10">
        <v>44888</v>
      </c>
      <c r="K165" s="7" t="s">
        <v>7163</v>
      </c>
      <c r="L165" s="7"/>
      <c r="M165" s="7"/>
    </row>
    <row r="166" spans="1:13" x14ac:dyDescent="0.3">
      <c r="A166" s="7">
        <v>14890</v>
      </c>
      <c r="B166" s="7" t="s">
        <v>174</v>
      </c>
      <c r="C166" s="7" t="s">
        <v>6371</v>
      </c>
      <c r="D166" s="7" t="s">
        <v>6381</v>
      </c>
      <c r="E166" s="7" t="s">
        <v>6295</v>
      </c>
      <c r="F166" s="7" t="s">
        <v>6340</v>
      </c>
      <c r="G166" s="7" t="s">
        <v>7150</v>
      </c>
      <c r="H166" s="7" t="s">
        <v>7156</v>
      </c>
      <c r="I166" s="7"/>
      <c r="J166" s="10">
        <v>44887</v>
      </c>
      <c r="K166" s="7" t="s">
        <v>7163</v>
      </c>
      <c r="L166" s="7"/>
      <c r="M166" s="7"/>
    </row>
    <row r="167" spans="1:13" x14ac:dyDescent="0.3">
      <c r="A167" s="7">
        <v>15650</v>
      </c>
      <c r="B167" s="7" t="s">
        <v>175</v>
      </c>
      <c r="C167" s="7" t="s">
        <v>6371</v>
      </c>
      <c r="D167" s="7" t="s">
        <v>6381</v>
      </c>
      <c r="E167" s="7" t="s">
        <v>6295</v>
      </c>
      <c r="F167" s="7" t="s">
        <v>6340</v>
      </c>
      <c r="G167" s="7" t="s">
        <v>7150</v>
      </c>
      <c r="H167" s="7" t="s">
        <v>7156</v>
      </c>
      <c r="I167" s="7"/>
      <c r="J167" s="10">
        <v>45152</v>
      </c>
      <c r="K167" s="7" t="s">
        <v>7163</v>
      </c>
      <c r="L167" s="7"/>
      <c r="M167" s="7"/>
    </row>
    <row r="168" spans="1:13" x14ac:dyDescent="0.3">
      <c r="A168" s="7">
        <v>17156</v>
      </c>
      <c r="B168" s="7" t="s">
        <v>176</v>
      </c>
      <c r="C168" s="7" t="s">
        <v>6371</v>
      </c>
      <c r="D168" s="7" t="s">
        <v>6381</v>
      </c>
      <c r="E168" s="7" t="s">
        <v>6295</v>
      </c>
      <c r="F168" s="7" t="s">
        <v>6341</v>
      </c>
      <c r="G168" s="7" t="s">
        <v>7150</v>
      </c>
      <c r="H168" s="7" t="s">
        <v>7156</v>
      </c>
      <c r="I168" s="7"/>
      <c r="J168" s="10">
        <v>45663</v>
      </c>
      <c r="K168" s="7" t="s">
        <v>7163</v>
      </c>
      <c r="L168" s="7"/>
      <c r="M168" s="7"/>
    </row>
    <row r="169" spans="1:13" x14ac:dyDescent="0.3">
      <c r="A169" s="7">
        <v>17213</v>
      </c>
      <c r="B169" s="7" t="s">
        <v>177</v>
      </c>
      <c r="C169" s="7" t="s">
        <v>6371</v>
      </c>
      <c r="D169" s="7" t="s">
        <v>6381</v>
      </c>
      <c r="E169" s="7" t="s">
        <v>6295</v>
      </c>
      <c r="F169" s="7" t="s">
        <v>6341</v>
      </c>
      <c r="G169" s="7" t="s">
        <v>7150</v>
      </c>
      <c r="H169" s="7" t="s">
        <v>7156</v>
      </c>
      <c r="I169" s="7"/>
      <c r="J169" s="10">
        <v>45666</v>
      </c>
      <c r="K169" s="7" t="s">
        <v>7163</v>
      </c>
      <c r="L169" s="7"/>
      <c r="M169" s="7"/>
    </row>
    <row r="170" spans="1:13" x14ac:dyDescent="0.3">
      <c r="A170" s="7">
        <v>280012</v>
      </c>
      <c r="B170" s="7" t="s">
        <v>178</v>
      </c>
      <c r="C170" s="7" t="s">
        <v>6371</v>
      </c>
      <c r="D170" s="7" t="s">
        <v>6381</v>
      </c>
      <c r="E170" s="7" t="s">
        <v>6295</v>
      </c>
      <c r="F170" s="7" t="s">
        <v>6348</v>
      </c>
      <c r="G170" s="7" t="s">
        <v>7150</v>
      </c>
      <c r="H170" s="7" t="s">
        <v>7156</v>
      </c>
      <c r="I170" s="7"/>
      <c r="J170" s="10">
        <v>39519</v>
      </c>
      <c r="K170" s="7" t="s">
        <v>7163</v>
      </c>
      <c r="L170" s="7"/>
      <c r="M170" s="7"/>
    </row>
    <row r="171" spans="1:13" x14ac:dyDescent="0.3">
      <c r="A171" s="7">
        <v>14430</v>
      </c>
      <c r="B171" s="7" t="s">
        <v>179</v>
      </c>
      <c r="C171" s="7" t="s">
        <v>6371</v>
      </c>
      <c r="D171" s="7" t="s">
        <v>6381</v>
      </c>
      <c r="E171" s="7" t="s">
        <v>6295</v>
      </c>
      <c r="F171" s="7" t="s">
        <v>6383</v>
      </c>
      <c r="G171" s="7" t="s">
        <v>7150</v>
      </c>
      <c r="H171" s="7" t="s">
        <v>7156</v>
      </c>
      <c r="I171" s="7"/>
      <c r="J171" s="10">
        <v>44761</v>
      </c>
      <c r="K171" s="7" t="s">
        <v>7163</v>
      </c>
      <c r="L171" s="7"/>
      <c r="M171" s="7"/>
    </row>
    <row r="172" spans="1:13" x14ac:dyDescent="0.3">
      <c r="A172" s="7">
        <v>11703</v>
      </c>
      <c r="B172" s="7" t="s">
        <v>180</v>
      </c>
      <c r="C172" s="7" t="s">
        <v>6371</v>
      </c>
      <c r="D172" s="7" t="s">
        <v>6384</v>
      </c>
      <c r="E172" s="7" t="s">
        <v>6295</v>
      </c>
      <c r="F172" s="7" t="s">
        <v>6338</v>
      </c>
      <c r="G172" s="7" t="s">
        <v>7150</v>
      </c>
      <c r="H172" s="7" t="s">
        <v>7156</v>
      </c>
      <c r="I172" s="7"/>
      <c r="J172" s="10">
        <v>43040</v>
      </c>
      <c r="K172" s="7" t="s">
        <v>7163</v>
      </c>
      <c r="L172" s="7"/>
      <c r="M172" s="7"/>
    </row>
    <row r="173" spans="1:13" x14ac:dyDescent="0.3">
      <c r="A173" s="7">
        <v>14177</v>
      </c>
      <c r="B173" s="7" t="s">
        <v>181</v>
      </c>
      <c r="C173" s="7" t="s">
        <v>6371</v>
      </c>
      <c r="D173" s="7" t="s">
        <v>6384</v>
      </c>
      <c r="E173" s="7" t="s">
        <v>6295</v>
      </c>
      <c r="F173" s="7" t="s">
        <v>6335</v>
      </c>
      <c r="G173" s="7" t="s">
        <v>7150</v>
      </c>
      <c r="H173" s="7" t="s">
        <v>7156</v>
      </c>
      <c r="I173" s="7"/>
      <c r="J173" s="10">
        <v>44686</v>
      </c>
      <c r="K173" s="7" t="s">
        <v>7163</v>
      </c>
      <c r="L173" s="7"/>
      <c r="M173" s="7"/>
    </row>
    <row r="174" spans="1:13" x14ac:dyDescent="0.3">
      <c r="A174" s="7">
        <v>14178</v>
      </c>
      <c r="B174" s="7" t="s">
        <v>182</v>
      </c>
      <c r="C174" s="7" t="s">
        <v>6371</v>
      </c>
      <c r="D174" s="7" t="s">
        <v>6384</v>
      </c>
      <c r="E174" s="7" t="s">
        <v>6295</v>
      </c>
      <c r="F174" s="7" t="s">
        <v>6377</v>
      </c>
      <c r="G174" s="7" t="s">
        <v>7150</v>
      </c>
      <c r="H174" s="7" t="s">
        <v>7156</v>
      </c>
      <c r="I174" s="7"/>
      <c r="J174" s="10">
        <v>44686</v>
      </c>
      <c r="K174" s="7" t="s">
        <v>7163</v>
      </c>
      <c r="L174" s="7"/>
      <c r="M174" s="7"/>
    </row>
    <row r="175" spans="1:13" x14ac:dyDescent="0.3">
      <c r="A175" s="7">
        <v>15081</v>
      </c>
      <c r="B175" s="7" t="s">
        <v>183</v>
      </c>
      <c r="C175" s="7" t="s">
        <v>6371</v>
      </c>
      <c r="D175" s="7" t="s">
        <v>6384</v>
      </c>
      <c r="E175" s="7" t="s">
        <v>6295</v>
      </c>
      <c r="F175" s="7" t="s">
        <v>6377</v>
      </c>
      <c r="G175" s="7" t="s">
        <v>7150</v>
      </c>
      <c r="H175" s="7" t="s">
        <v>7156</v>
      </c>
      <c r="I175" s="7"/>
      <c r="J175" s="10">
        <v>44942</v>
      </c>
      <c r="K175" s="7" t="s">
        <v>7163</v>
      </c>
      <c r="L175" s="7"/>
      <c r="M175" s="7"/>
    </row>
    <row r="176" spans="1:13" x14ac:dyDescent="0.3">
      <c r="A176" s="7">
        <v>16798</v>
      </c>
      <c r="B176" s="7" t="s">
        <v>184</v>
      </c>
      <c r="C176" s="7" t="s">
        <v>6371</v>
      </c>
      <c r="D176" s="7" t="s">
        <v>6384</v>
      </c>
      <c r="E176" s="7" t="s">
        <v>6295</v>
      </c>
      <c r="F176" s="7" t="s">
        <v>6373</v>
      </c>
      <c r="G176" s="7" t="s">
        <v>7150</v>
      </c>
      <c r="H176" s="7" t="s">
        <v>7156</v>
      </c>
      <c r="I176" s="7"/>
      <c r="J176" s="10">
        <v>45552</v>
      </c>
      <c r="K176" s="7" t="s">
        <v>7163</v>
      </c>
      <c r="L176" s="7"/>
      <c r="M176" s="7"/>
    </row>
    <row r="177" spans="1:13" x14ac:dyDescent="0.3">
      <c r="A177" s="7">
        <v>16918</v>
      </c>
      <c r="B177" s="7" t="s">
        <v>185</v>
      </c>
      <c r="C177" s="7" t="s">
        <v>6371</v>
      </c>
      <c r="D177" s="7" t="s">
        <v>6384</v>
      </c>
      <c r="E177" s="7" t="s">
        <v>6295</v>
      </c>
      <c r="F177" s="7" t="s">
        <v>6373</v>
      </c>
      <c r="G177" s="7" t="s">
        <v>7150</v>
      </c>
      <c r="H177" s="7" t="s">
        <v>7156</v>
      </c>
      <c r="I177" s="7"/>
      <c r="J177" s="10">
        <v>45568</v>
      </c>
      <c r="K177" s="7" t="s">
        <v>7163</v>
      </c>
      <c r="L177" s="7"/>
      <c r="M177" s="7"/>
    </row>
    <row r="178" spans="1:13" x14ac:dyDescent="0.3">
      <c r="A178" s="7">
        <v>16452</v>
      </c>
      <c r="B178" s="7" t="s">
        <v>186</v>
      </c>
      <c r="C178" s="7" t="s">
        <v>6371</v>
      </c>
      <c r="D178" s="7" t="s">
        <v>6384</v>
      </c>
      <c r="E178" s="7" t="s">
        <v>6295</v>
      </c>
      <c r="F178" s="7" t="s">
        <v>6373</v>
      </c>
      <c r="G178" s="7" t="s">
        <v>7150</v>
      </c>
      <c r="H178" s="7" t="s">
        <v>7156</v>
      </c>
      <c r="I178" s="7"/>
      <c r="J178" s="10">
        <v>45407</v>
      </c>
      <c r="K178" s="7" t="s">
        <v>7163</v>
      </c>
      <c r="L178" s="7"/>
      <c r="M178" s="7"/>
    </row>
    <row r="179" spans="1:13" x14ac:dyDescent="0.3">
      <c r="A179" s="7">
        <v>16159</v>
      </c>
      <c r="B179" s="7" t="s">
        <v>187</v>
      </c>
      <c r="C179" s="7" t="s">
        <v>6371</v>
      </c>
      <c r="D179" s="7" t="s">
        <v>6384</v>
      </c>
      <c r="E179" s="7" t="s">
        <v>6295</v>
      </c>
      <c r="F179" s="7" t="s">
        <v>6373</v>
      </c>
      <c r="G179" s="7" t="s">
        <v>7150</v>
      </c>
      <c r="H179" s="7" t="s">
        <v>7156</v>
      </c>
      <c r="I179" s="7"/>
      <c r="J179" s="10">
        <v>45301</v>
      </c>
      <c r="K179" s="7" t="s">
        <v>7163</v>
      </c>
      <c r="L179" s="7"/>
      <c r="M179" s="7"/>
    </row>
    <row r="180" spans="1:13" x14ac:dyDescent="0.3">
      <c r="A180" s="7">
        <v>17482</v>
      </c>
      <c r="B180" s="7" t="s">
        <v>188</v>
      </c>
      <c r="C180" s="7" t="s">
        <v>6371</v>
      </c>
      <c r="D180" s="7" t="s">
        <v>6384</v>
      </c>
      <c r="E180" s="7" t="s">
        <v>6295</v>
      </c>
      <c r="F180" s="7" t="s">
        <v>6373</v>
      </c>
      <c r="G180" s="7" t="s">
        <v>7150</v>
      </c>
      <c r="H180" s="7" t="s">
        <v>7156</v>
      </c>
      <c r="I180" s="7"/>
      <c r="J180" s="10">
        <v>45778</v>
      </c>
      <c r="K180" s="7" t="s">
        <v>7163</v>
      </c>
      <c r="L180" s="7"/>
      <c r="M180" s="7"/>
    </row>
    <row r="181" spans="1:13" x14ac:dyDescent="0.3">
      <c r="A181" s="7">
        <v>18838</v>
      </c>
      <c r="B181" s="7" t="s">
        <v>189</v>
      </c>
      <c r="C181" s="7" t="s">
        <v>6371</v>
      </c>
      <c r="D181" s="7" t="s">
        <v>6384</v>
      </c>
      <c r="E181" s="7" t="s">
        <v>6295</v>
      </c>
      <c r="F181" s="7" t="s">
        <v>6385</v>
      </c>
      <c r="G181" s="7" t="s">
        <v>7150</v>
      </c>
      <c r="H181" s="7" t="s">
        <v>7156</v>
      </c>
      <c r="I181" s="7"/>
      <c r="J181" s="10">
        <v>46227</v>
      </c>
      <c r="K181" s="7" t="s">
        <v>7163</v>
      </c>
      <c r="L181" s="7"/>
      <c r="M181" s="7"/>
    </row>
    <row r="182" spans="1:13" x14ac:dyDescent="0.3">
      <c r="A182" s="7">
        <v>13424</v>
      </c>
      <c r="B182" s="7" t="s">
        <v>190</v>
      </c>
      <c r="C182" s="7" t="s">
        <v>6371</v>
      </c>
      <c r="D182" s="7" t="s">
        <v>6386</v>
      </c>
      <c r="E182" s="7" t="s">
        <v>6295</v>
      </c>
      <c r="F182" s="7" t="s">
        <v>6338</v>
      </c>
      <c r="G182" s="7" t="s">
        <v>7152</v>
      </c>
      <c r="H182" s="7" t="s">
        <v>7156</v>
      </c>
      <c r="I182" s="7"/>
      <c r="J182" s="10">
        <v>44445</v>
      </c>
      <c r="K182" s="7" t="s">
        <v>7163</v>
      </c>
      <c r="L182" s="7"/>
      <c r="M182" s="7"/>
    </row>
    <row r="183" spans="1:13" x14ac:dyDescent="0.3">
      <c r="A183" s="7">
        <v>18320</v>
      </c>
      <c r="B183" s="7" t="s">
        <v>191</v>
      </c>
      <c r="C183" s="7" t="s">
        <v>6371</v>
      </c>
      <c r="D183" s="7" t="s">
        <v>6386</v>
      </c>
      <c r="E183" s="7" t="s">
        <v>6295</v>
      </c>
      <c r="F183" s="7" t="s">
        <v>6387</v>
      </c>
      <c r="G183" s="7" t="s">
        <v>7150</v>
      </c>
      <c r="H183" s="7" t="s">
        <v>7156</v>
      </c>
      <c r="I183" s="7" t="s">
        <v>7159</v>
      </c>
      <c r="J183" s="10">
        <v>46084</v>
      </c>
      <c r="K183" s="7" t="s">
        <v>7163</v>
      </c>
      <c r="L183" s="7"/>
      <c r="M183" s="7"/>
    </row>
    <row r="184" spans="1:13" x14ac:dyDescent="0.3">
      <c r="A184" s="7">
        <v>12274</v>
      </c>
      <c r="B184" s="7" t="s">
        <v>192</v>
      </c>
      <c r="C184" s="7" t="s">
        <v>6371</v>
      </c>
      <c r="D184" s="7" t="s">
        <v>6386</v>
      </c>
      <c r="E184" s="7" t="s">
        <v>6295</v>
      </c>
      <c r="F184" s="7" t="s">
        <v>6335</v>
      </c>
      <c r="G184" s="7" t="s">
        <v>7150</v>
      </c>
      <c r="H184" s="7" t="s">
        <v>7156</v>
      </c>
      <c r="I184" s="7"/>
      <c r="J184" s="10">
        <v>43658</v>
      </c>
      <c r="K184" s="7" t="s">
        <v>7163</v>
      </c>
      <c r="L184" s="7"/>
      <c r="M184" s="7"/>
    </row>
    <row r="185" spans="1:13" x14ac:dyDescent="0.3">
      <c r="A185" s="7">
        <v>15986</v>
      </c>
      <c r="B185" s="7" t="s">
        <v>193</v>
      </c>
      <c r="C185" s="7" t="s">
        <v>6371</v>
      </c>
      <c r="D185" s="7" t="s">
        <v>6386</v>
      </c>
      <c r="E185" s="7" t="s">
        <v>6295</v>
      </c>
      <c r="F185" s="7" t="s">
        <v>6373</v>
      </c>
      <c r="G185" s="7" t="s">
        <v>7150</v>
      </c>
      <c r="H185" s="7" t="s">
        <v>7156</v>
      </c>
      <c r="I185" s="7"/>
      <c r="J185" s="10">
        <v>45257</v>
      </c>
      <c r="K185" s="7" t="s">
        <v>7163</v>
      </c>
      <c r="L185" s="7"/>
      <c r="M185" s="7"/>
    </row>
    <row r="186" spans="1:13" x14ac:dyDescent="0.3">
      <c r="A186" s="7">
        <v>11369</v>
      </c>
      <c r="B186" s="7" t="s">
        <v>194</v>
      </c>
      <c r="C186" s="7" t="s">
        <v>6371</v>
      </c>
      <c r="D186" s="7" t="s">
        <v>6386</v>
      </c>
      <c r="E186" s="7" t="s">
        <v>6295</v>
      </c>
      <c r="F186" s="7" t="s">
        <v>6377</v>
      </c>
      <c r="G186" s="7" t="s">
        <v>7150</v>
      </c>
      <c r="H186" s="7" t="s">
        <v>7156</v>
      </c>
      <c r="I186" s="7"/>
      <c r="J186" s="10">
        <v>42600</v>
      </c>
      <c r="K186" s="7" t="s">
        <v>7163</v>
      </c>
      <c r="L186" s="7"/>
      <c r="M186" s="7"/>
    </row>
    <row r="187" spans="1:13" x14ac:dyDescent="0.3">
      <c r="A187" s="7">
        <v>18225</v>
      </c>
      <c r="B187" s="7" t="s">
        <v>195</v>
      </c>
      <c r="C187" s="7" t="s">
        <v>6371</v>
      </c>
      <c r="D187" s="7" t="s">
        <v>6386</v>
      </c>
      <c r="E187" s="7" t="s">
        <v>6295</v>
      </c>
      <c r="F187" s="7" t="s">
        <v>6373</v>
      </c>
      <c r="G187" s="7" t="s">
        <v>7150</v>
      </c>
      <c r="H187" s="7" t="s">
        <v>7156</v>
      </c>
      <c r="I187" s="7"/>
      <c r="J187" s="10">
        <v>46064</v>
      </c>
      <c r="K187" s="7" t="s">
        <v>7163</v>
      </c>
      <c r="L187" s="7"/>
      <c r="M187" s="7"/>
    </row>
    <row r="188" spans="1:13" x14ac:dyDescent="0.3">
      <c r="A188" s="7">
        <v>18237</v>
      </c>
      <c r="B188" s="7" t="s">
        <v>196</v>
      </c>
      <c r="C188" s="7" t="s">
        <v>6371</v>
      </c>
      <c r="D188" s="7" t="s">
        <v>6386</v>
      </c>
      <c r="E188" s="7" t="s">
        <v>6295</v>
      </c>
      <c r="F188" s="7" t="s">
        <v>6373</v>
      </c>
      <c r="G188" s="7" t="s">
        <v>7150</v>
      </c>
      <c r="H188" s="7" t="s">
        <v>7156</v>
      </c>
      <c r="I188" s="7"/>
      <c r="J188" s="10">
        <v>46070</v>
      </c>
      <c r="K188" s="7" t="s">
        <v>7163</v>
      </c>
      <c r="L188" s="7"/>
      <c r="M188" s="7"/>
    </row>
    <row r="189" spans="1:13" x14ac:dyDescent="0.3">
      <c r="A189" s="7">
        <v>17942</v>
      </c>
      <c r="B189" s="7" t="s">
        <v>197</v>
      </c>
      <c r="C189" s="7" t="s">
        <v>6371</v>
      </c>
      <c r="D189" s="7" t="s">
        <v>6386</v>
      </c>
      <c r="E189" s="7" t="s">
        <v>6295</v>
      </c>
      <c r="F189" s="7" t="s">
        <v>6385</v>
      </c>
      <c r="G189" s="7" t="s">
        <v>7150</v>
      </c>
      <c r="H189" s="7" t="s">
        <v>7156</v>
      </c>
      <c r="I189" s="7"/>
      <c r="J189" s="10">
        <v>45932</v>
      </c>
      <c r="K189" s="7" t="s">
        <v>7163</v>
      </c>
      <c r="L189" s="7"/>
      <c r="M189" s="7"/>
    </row>
    <row r="190" spans="1:13" x14ac:dyDescent="0.3">
      <c r="A190" s="7">
        <v>17946</v>
      </c>
      <c r="B190" s="7" t="s">
        <v>198</v>
      </c>
      <c r="C190" s="7" t="s">
        <v>6371</v>
      </c>
      <c r="D190" s="7" t="s">
        <v>6386</v>
      </c>
      <c r="E190" s="7" t="s">
        <v>6295</v>
      </c>
      <c r="F190" s="7" t="s">
        <v>6385</v>
      </c>
      <c r="G190" s="7" t="s">
        <v>7150</v>
      </c>
      <c r="H190" s="7" t="s">
        <v>7156</v>
      </c>
      <c r="I190" s="7"/>
      <c r="J190" s="10">
        <v>45932</v>
      </c>
      <c r="K190" s="7" t="s">
        <v>7163</v>
      </c>
      <c r="L190" s="7"/>
      <c r="M190" s="7"/>
    </row>
    <row r="191" spans="1:13" x14ac:dyDescent="0.3">
      <c r="A191" s="7">
        <v>10508</v>
      </c>
      <c r="B191" s="7" t="s">
        <v>199</v>
      </c>
      <c r="C191" s="7" t="s">
        <v>6371</v>
      </c>
      <c r="D191" s="7" t="s">
        <v>6388</v>
      </c>
      <c r="E191" s="7" t="s">
        <v>6295</v>
      </c>
      <c r="F191" s="7" t="s">
        <v>6338</v>
      </c>
      <c r="G191" s="7" t="s">
        <v>7150</v>
      </c>
      <c r="H191" s="7" t="s">
        <v>7156</v>
      </c>
      <c r="I191" s="7"/>
      <c r="J191" s="10">
        <v>40969</v>
      </c>
      <c r="K191" s="7" t="s">
        <v>7163</v>
      </c>
      <c r="L191" s="7"/>
      <c r="M191" s="7"/>
    </row>
    <row r="192" spans="1:13" x14ac:dyDescent="0.3">
      <c r="A192" s="7">
        <v>20004</v>
      </c>
      <c r="B192" s="7" t="s">
        <v>200</v>
      </c>
      <c r="C192" s="7" t="s">
        <v>6371</v>
      </c>
      <c r="D192" s="7" t="s">
        <v>6388</v>
      </c>
      <c r="E192" s="7" t="s">
        <v>6295</v>
      </c>
      <c r="F192" s="7" t="s">
        <v>6335</v>
      </c>
      <c r="G192" s="7" t="s">
        <v>7150</v>
      </c>
      <c r="H192" s="7" t="s">
        <v>7156</v>
      </c>
      <c r="I192" s="7"/>
      <c r="J192" s="10">
        <v>36697</v>
      </c>
      <c r="K192" s="7" t="s">
        <v>7163</v>
      </c>
      <c r="L192" s="7"/>
      <c r="M192" s="7"/>
    </row>
    <row r="193" spans="1:13" x14ac:dyDescent="0.3">
      <c r="A193" s="7">
        <v>16572</v>
      </c>
      <c r="B193" s="7" t="s">
        <v>201</v>
      </c>
      <c r="C193" s="7" t="s">
        <v>6371</v>
      </c>
      <c r="D193" s="7" t="s">
        <v>6388</v>
      </c>
      <c r="E193" s="7" t="s">
        <v>6295</v>
      </c>
      <c r="F193" s="7" t="s">
        <v>6340</v>
      </c>
      <c r="G193" s="7" t="s">
        <v>7151</v>
      </c>
      <c r="H193" s="7" t="s">
        <v>7156</v>
      </c>
      <c r="I193" s="7"/>
      <c r="J193" s="10">
        <v>45474</v>
      </c>
      <c r="K193" s="7" t="s">
        <v>7163</v>
      </c>
      <c r="L193" s="7"/>
      <c r="M193" s="7"/>
    </row>
    <row r="194" spans="1:13" x14ac:dyDescent="0.3">
      <c r="A194" s="7">
        <v>17621</v>
      </c>
      <c r="B194" s="7" t="s">
        <v>202</v>
      </c>
      <c r="C194" s="7" t="s">
        <v>6371</v>
      </c>
      <c r="D194" s="7" t="s">
        <v>6388</v>
      </c>
      <c r="E194" s="7" t="s">
        <v>6295</v>
      </c>
      <c r="F194" s="7" t="s">
        <v>6389</v>
      </c>
      <c r="G194" s="7" t="s">
        <v>7150</v>
      </c>
      <c r="H194" s="7" t="s">
        <v>7157</v>
      </c>
      <c r="I194" s="7"/>
      <c r="J194" s="10">
        <v>45818</v>
      </c>
      <c r="K194" s="7" t="s">
        <v>7163</v>
      </c>
      <c r="L194" s="7"/>
      <c r="M194" s="7"/>
    </row>
    <row r="195" spans="1:13" x14ac:dyDescent="0.3">
      <c r="A195" s="7">
        <v>230032</v>
      </c>
      <c r="B195" s="7" t="s">
        <v>203</v>
      </c>
      <c r="C195" s="7" t="s">
        <v>6371</v>
      </c>
      <c r="D195" s="7" t="s">
        <v>6388</v>
      </c>
      <c r="E195" s="7" t="s">
        <v>6295</v>
      </c>
      <c r="F195" s="7" t="s">
        <v>6340</v>
      </c>
      <c r="G195" s="7" t="s">
        <v>7151</v>
      </c>
      <c r="H195" s="7" t="s">
        <v>7156</v>
      </c>
      <c r="I195" s="7"/>
      <c r="J195" s="10">
        <v>42709</v>
      </c>
      <c r="K195" s="7" t="s">
        <v>7163</v>
      </c>
      <c r="L195" s="7"/>
      <c r="M195" s="7"/>
    </row>
    <row r="196" spans="1:13" x14ac:dyDescent="0.3">
      <c r="A196" s="7">
        <v>16438</v>
      </c>
      <c r="B196" s="7" t="s">
        <v>204</v>
      </c>
      <c r="C196" s="7" t="s">
        <v>6371</v>
      </c>
      <c r="D196" s="7" t="s">
        <v>6388</v>
      </c>
      <c r="E196" s="7" t="s">
        <v>6295</v>
      </c>
      <c r="F196" s="7" t="s">
        <v>6389</v>
      </c>
      <c r="G196" s="7" t="s">
        <v>7150</v>
      </c>
      <c r="H196" s="7" t="s">
        <v>7157</v>
      </c>
      <c r="I196" s="7"/>
      <c r="J196" s="10">
        <v>45399</v>
      </c>
      <c r="K196" s="7" t="s">
        <v>7163</v>
      </c>
      <c r="L196" s="7"/>
      <c r="M196" s="7"/>
    </row>
    <row r="197" spans="1:13" x14ac:dyDescent="0.3">
      <c r="A197" s="7">
        <v>127005</v>
      </c>
      <c r="B197" s="7" t="s">
        <v>205</v>
      </c>
      <c r="C197" s="7" t="s">
        <v>6371</v>
      </c>
      <c r="D197" s="7" t="s">
        <v>6388</v>
      </c>
      <c r="E197" s="7" t="s">
        <v>6295</v>
      </c>
      <c r="F197" s="7" t="s">
        <v>6340</v>
      </c>
      <c r="G197" s="7" t="s">
        <v>7152</v>
      </c>
      <c r="H197" s="7" t="s">
        <v>7156</v>
      </c>
      <c r="I197" s="7"/>
      <c r="J197" s="10">
        <v>43815</v>
      </c>
      <c r="K197" s="7" t="s">
        <v>7163</v>
      </c>
      <c r="L197" s="7"/>
      <c r="M197" s="7"/>
    </row>
    <row r="198" spans="1:13" x14ac:dyDescent="0.3">
      <c r="A198" s="7">
        <v>14185</v>
      </c>
      <c r="B198" s="7" t="s">
        <v>206</v>
      </c>
      <c r="C198" s="7" t="s">
        <v>6371</v>
      </c>
      <c r="D198" s="7" t="s">
        <v>6388</v>
      </c>
      <c r="E198" s="7" t="s">
        <v>6295</v>
      </c>
      <c r="F198" s="7" t="s">
        <v>6340</v>
      </c>
      <c r="G198" s="7" t="s">
        <v>7150</v>
      </c>
      <c r="H198" s="7" t="s">
        <v>7156</v>
      </c>
      <c r="I198" s="7"/>
      <c r="J198" s="10">
        <v>44691</v>
      </c>
      <c r="K198" s="7" t="s">
        <v>7163</v>
      </c>
      <c r="L198" s="7"/>
      <c r="M198" s="7"/>
    </row>
    <row r="199" spans="1:13" x14ac:dyDescent="0.3">
      <c r="A199" s="7">
        <v>270029</v>
      </c>
      <c r="B199" s="7" t="s">
        <v>207</v>
      </c>
      <c r="C199" s="7" t="s">
        <v>6371</v>
      </c>
      <c r="D199" s="7" t="s">
        <v>6388</v>
      </c>
      <c r="E199" s="7" t="s">
        <v>6295</v>
      </c>
      <c r="F199" s="7" t="s">
        <v>6341</v>
      </c>
      <c r="G199" s="7" t="s">
        <v>7150</v>
      </c>
      <c r="H199" s="7" t="s">
        <v>7156</v>
      </c>
      <c r="I199" s="7"/>
      <c r="J199" s="10">
        <v>42150</v>
      </c>
      <c r="K199" s="7" t="s">
        <v>7163</v>
      </c>
      <c r="L199" s="7"/>
      <c r="M199" s="7"/>
    </row>
    <row r="200" spans="1:13" x14ac:dyDescent="0.3">
      <c r="A200" s="7">
        <v>17962</v>
      </c>
      <c r="B200" s="7" t="s">
        <v>208</v>
      </c>
      <c r="C200" s="7" t="s">
        <v>6390</v>
      </c>
      <c r="D200" s="7" t="s">
        <v>6295</v>
      </c>
      <c r="E200" s="7" t="s">
        <v>6295</v>
      </c>
      <c r="F200" s="7" t="s">
        <v>6356</v>
      </c>
      <c r="G200" s="7" t="s">
        <v>7150</v>
      </c>
      <c r="H200" s="7" t="s">
        <v>7156</v>
      </c>
      <c r="I200" s="7"/>
      <c r="J200" s="10">
        <v>45936</v>
      </c>
      <c r="K200" s="7" t="s">
        <v>7163</v>
      </c>
      <c r="L200" s="7"/>
      <c r="M200" s="7"/>
    </row>
    <row r="201" spans="1:13" x14ac:dyDescent="0.3">
      <c r="A201" s="7">
        <v>13718</v>
      </c>
      <c r="B201" s="7" t="s">
        <v>209</v>
      </c>
      <c r="C201" s="7" t="s">
        <v>6390</v>
      </c>
      <c r="D201" s="7" t="s">
        <v>6295</v>
      </c>
      <c r="E201" s="7" t="s">
        <v>6295</v>
      </c>
      <c r="F201" s="7" t="s">
        <v>6336</v>
      </c>
      <c r="G201" s="7" t="s">
        <v>7150</v>
      </c>
      <c r="H201" s="7" t="s">
        <v>7156</v>
      </c>
      <c r="I201" s="7"/>
      <c r="J201" s="10">
        <v>44545</v>
      </c>
      <c r="K201" s="7" t="s">
        <v>7163</v>
      </c>
      <c r="L201" s="7"/>
      <c r="M201" s="7"/>
    </row>
    <row r="202" spans="1:13" x14ac:dyDescent="0.3">
      <c r="A202" s="7">
        <v>18189</v>
      </c>
      <c r="B202" s="7" t="s">
        <v>210</v>
      </c>
      <c r="C202" s="7" t="s">
        <v>6390</v>
      </c>
      <c r="D202" s="7" t="s">
        <v>6295</v>
      </c>
      <c r="E202" s="7" t="s">
        <v>6295</v>
      </c>
      <c r="F202" s="7" t="s">
        <v>6335</v>
      </c>
      <c r="G202" s="7" t="s">
        <v>7150</v>
      </c>
      <c r="H202" s="7" t="s">
        <v>7156</v>
      </c>
      <c r="I202" s="7"/>
      <c r="J202" s="10">
        <v>46041</v>
      </c>
      <c r="K202" s="7" t="s">
        <v>7163</v>
      </c>
      <c r="L202" s="7"/>
      <c r="M202" s="7"/>
    </row>
    <row r="203" spans="1:13" x14ac:dyDescent="0.3">
      <c r="A203" s="7">
        <v>12008</v>
      </c>
      <c r="B203" s="7" t="s">
        <v>211</v>
      </c>
      <c r="C203" s="7" t="s">
        <v>6390</v>
      </c>
      <c r="D203" s="7" t="s">
        <v>6391</v>
      </c>
      <c r="E203" s="7" t="s">
        <v>6295</v>
      </c>
      <c r="F203" s="7" t="s">
        <v>6333</v>
      </c>
      <c r="G203" s="7" t="s">
        <v>7150</v>
      </c>
      <c r="H203" s="7" t="s">
        <v>7156</v>
      </c>
      <c r="I203" s="7"/>
      <c r="J203" s="10">
        <v>43383</v>
      </c>
      <c r="K203" s="7" t="s">
        <v>7164</v>
      </c>
      <c r="L203" s="7"/>
      <c r="M203" s="7"/>
    </row>
    <row r="204" spans="1:13" x14ac:dyDescent="0.3">
      <c r="A204" s="7">
        <v>12966</v>
      </c>
      <c r="B204" s="7" t="s">
        <v>212</v>
      </c>
      <c r="C204" s="7" t="s">
        <v>6390</v>
      </c>
      <c r="D204" s="7" t="s">
        <v>6392</v>
      </c>
      <c r="E204" s="7" t="s">
        <v>6295</v>
      </c>
      <c r="F204" s="7" t="s">
        <v>6338</v>
      </c>
      <c r="G204" s="7" t="s">
        <v>7150</v>
      </c>
      <c r="H204" s="7" t="s">
        <v>7156</v>
      </c>
      <c r="I204" s="7"/>
      <c r="J204" s="10">
        <v>44152</v>
      </c>
      <c r="K204" s="7" t="s">
        <v>7163</v>
      </c>
      <c r="L204" s="7"/>
      <c r="M204" s="7"/>
    </row>
    <row r="205" spans="1:13" x14ac:dyDescent="0.3">
      <c r="A205" s="7">
        <v>18042</v>
      </c>
      <c r="B205" s="7" t="s">
        <v>213</v>
      </c>
      <c r="C205" s="7" t="s">
        <v>6390</v>
      </c>
      <c r="D205" s="7" t="s">
        <v>6392</v>
      </c>
      <c r="E205" s="7" t="s">
        <v>6295</v>
      </c>
      <c r="F205" s="7" t="s">
        <v>6340</v>
      </c>
      <c r="G205" s="7" t="s">
        <v>7150</v>
      </c>
      <c r="H205" s="7" t="s">
        <v>7156</v>
      </c>
      <c r="I205" s="7"/>
      <c r="J205" s="10">
        <v>45974</v>
      </c>
      <c r="K205" s="7" t="s">
        <v>7163</v>
      </c>
      <c r="L205" s="7"/>
      <c r="M205" s="7"/>
    </row>
    <row r="206" spans="1:13" x14ac:dyDescent="0.3">
      <c r="A206" s="7">
        <v>18053</v>
      </c>
      <c r="B206" s="7" t="s">
        <v>214</v>
      </c>
      <c r="C206" s="7" t="s">
        <v>6390</v>
      </c>
      <c r="D206" s="7" t="s">
        <v>6392</v>
      </c>
      <c r="E206" s="7" t="s">
        <v>6295</v>
      </c>
      <c r="F206" s="7" t="s">
        <v>6341</v>
      </c>
      <c r="G206" s="7" t="s">
        <v>7150</v>
      </c>
      <c r="H206" s="7" t="s">
        <v>7156</v>
      </c>
      <c r="I206" s="7"/>
      <c r="J206" s="10">
        <v>45978</v>
      </c>
      <c r="K206" s="7" t="s">
        <v>7163</v>
      </c>
      <c r="L206" s="7"/>
      <c r="M206" s="7"/>
    </row>
    <row r="207" spans="1:13" x14ac:dyDescent="0.3">
      <c r="A207" s="7">
        <v>11449</v>
      </c>
      <c r="B207" s="7" t="s">
        <v>215</v>
      </c>
      <c r="C207" s="7" t="s">
        <v>6390</v>
      </c>
      <c r="D207" s="7" t="s">
        <v>6393</v>
      </c>
      <c r="E207" s="7" t="s">
        <v>6295</v>
      </c>
      <c r="F207" s="7" t="s">
        <v>6338</v>
      </c>
      <c r="G207" s="7" t="s">
        <v>7150</v>
      </c>
      <c r="H207" s="7" t="s">
        <v>7156</v>
      </c>
      <c r="I207" s="7"/>
      <c r="J207" s="10">
        <v>42709</v>
      </c>
      <c r="K207" s="7" t="s">
        <v>7163</v>
      </c>
      <c r="L207" s="7"/>
      <c r="M207" s="7"/>
    </row>
    <row r="208" spans="1:13" x14ac:dyDescent="0.3">
      <c r="A208" s="7">
        <v>10229</v>
      </c>
      <c r="B208" s="7" t="s">
        <v>216</v>
      </c>
      <c r="C208" s="7" t="s">
        <v>6390</v>
      </c>
      <c r="D208" s="7" t="s">
        <v>6393</v>
      </c>
      <c r="E208" s="7" t="s">
        <v>6295</v>
      </c>
      <c r="F208" s="7" t="s">
        <v>6353</v>
      </c>
      <c r="G208" s="7" t="s">
        <v>7150</v>
      </c>
      <c r="H208" s="7" t="s">
        <v>7156</v>
      </c>
      <c r="I208" s="7"/>
      <c r="J208" s="10">
        <v>37146</v>
      </c>
      <c r="K208" s="7" t="s">
        <v>7163</v>
      </c>
      <c r="L208" s="7"/>
      <c r="M208" s="7"/>
    </row>
    <row r="209" spans="1:13" x14ac:dyDescent="0.3">
      <c r="A209" s="7">
        <v>15195</v>
      </c>
      <c r="B209" s="7" t="s">
        <v>217</v>
      </c>
      <c r="C209" s="7" t="s">
        <v>6390</v>
      </c>
      <c r="D209" s="7" t="s">
        <v>6393</v>
      </c>
      <c r="E209" s="7" t="s">
        <v>6295</v>
      </c>
      <c r="F209" s="7" t="s">
        <v>6335</v>
      </c>
      <c r="G209" s="7" t="s">
        <v>7150</v>
      </c>
      <c r="H209" s="7" t="s">
        <v>7156</v>
      </c>
      <c r="I209" s="7"/>
      <c r="J209" s="10">
        <v>44981</v>
      </c>
      <c r="K209" s="7" t="s">
        <v>7163</v>
      </c>
      <c r="L209" s="7"/>
      <c r="M209" s="7"/>
    </row>
    <row r="210" spans="1:13" x14ac:dyDescent="0.3">
      <c r="A210" s="7">
        <v>15339</v>
      </c>
      <c r="B210" s="7" t="s">
        <v>218</v>
      </c>
      <c r="C210" s="7" t="s">
        <v>6390</v>
      </c>
      <c r="D210" s="7" t="s">
        <v>6393</v>
      </c>
      <c r="E210" s="7" t="s">
        <v>6295</v>
      </c>
      <c r="F210" s="7" t="s">
        <v>6340</v>
      </c>
      <c r="G210" s="7" t="s">
        <v>7150</v>
      </c>
      <c r="H210" s="7" t="s">
        <v>7156</v>
      </c>
      <c r="I210" s="7"/>
      <c r="J210" s="10">
        <v>45033</v>
      </c>
      <c r="K210" s="7" t="s">
        <v>7163</v>
      </c>
      <c r="L210" s="7"/>
      <c r="M210" s="7"/>
    </row>
    <row r="211" spans="1:13" x14ac:dyDescent="0.3">
      <c r="A211" s="7">
        <v>14186</v>
      </c>
      <c r="B211" s="7" t="s">
        <v>219</v>
      </c>
      <c r="C211" s="7" t="s">
        <v>6390</v>
      </c>
      <c r="D211" s="7" t="s">
        <v>6393</v>
      </c>
      <c r="E211" s="7" t="s">
        <v>6295</v>
      </c>
      <c r="F211" s="7" t="s">
        <v>6340</v>
      </c>
      <c r="G211" s="7" t="s">
        <v>7150</v>
      </c>
      <c r="H211" s="7" t="s">
        <v>7156</v>
      </c>
      <c r="I211" s="7"/>
      <c r="J211" s="10">
        <v>44691</v>
      </c>
      <c r="K211" s="7" t="s">
        <v>7163</v>
      </c>
      <c r="L211" s="7"/>
      <c r="M211" s="7"/>
    </row>
    <row r="212" spans="1:13" x14ac:dyDescent="0.3">
      <c r="A212" s="7">
        <v>12886</v>
      </c>
      <c r="B212" s="7" t="s">
        <v>220</v>
      </c>
      <c r="C212" s="7" t="s">
        <v>6390</v>
      </c>
      <c r="D212" s="7" t="s">
        <v>6394</v>
      </c>
      <c r="E212" s="7" t="s">
        <v>6295</v>
      </c>
      <c r="F212" s="7" t="s">
        <v>6338</v>
      </c>
      <c r="G212" s="7" t="s">
        <v>7150</v>
      </c>
      <c r="H212" s="7" t="s">
        <v>7156</v>
      </c>
      <c r="I212" s="7"/>
      <c r="J212" s="10">
        <v>44075</v>
      </c>
      <c r="K212" s="7" t="s">
        <v>7163</v>
      </c>
      <c r="L212" s="7"/>
      <c r="M212" s="7"/>
    </row>
    <row r="213" spans="1:13" x14ac:dyDescent="0.3">
      <c r="A213" s="7">
        <v>14919</v>
      </c>
      <c r="B213" s="7" t="s">
        <v>221</v>
      </c>
      <c r="C213" s="7" t="s">
        <v>6390</v>
      </c>
      <c r="D213" s="7" t="s">
        <v>6394</v>
      </c>
      <c r="E213" s="7" t="s">
        <v>6295</v>
      </c>
      <c r="F213" s="7" t="s">
        <v>6353</v>
      </c>
      <c r="G213" s="7" t="s">
        <v>7150</v>
      </c>
      <c r="H213" s="7" t="s">
        <v>7156</v>
      </c>
      <c r="I213" s="7"/>
      <c r="J213" s="10">
        <v>44896</v>
      </c>
      <c r="K213" s="7" t="s">
        <v>7163</v>
      </c>
      <c r="L213" s="7"/>
      <c r="M213" s="7"/>
    </row>
    <row r="214" spans="1:13" x14ac:dyDescent="0.3">
      <c r="A214" s="7">
        <v>14021</v>
      </c>
      <c r="B214" s="7" t="s">
        <v>222</v>
      </c>
      <c r="C214" s="7" t="s">
        <v>6390</v>
      </c>
      <c r="D214" s="7" t="s">
        <v>6394</v>
      </c>
      <c r="E214" s="7" t="s">
        <v>6295</v>
      </c>
      <c r="F214" s="7" t="s">
        <v>6340</v>
      </c>
      <c r="G214" s="7" t="s">
        <v>7150</v>
      </c>
      <c r="H214" s="7" t="s">
        <v>7156</v>
      </c>
      <c r="I214" s="7"/>
      <c r="J214" s="10">
        <v>44629</v>
      </c>
      <c r="K214" s="7" t="s">
        <v>7163</v>
      </c>
      <c r="L214" s="7"/>
      <c r="M214" s="7"/>
    </row>
    <row r="215" spans="1:13" x14ac:dyDescent="0.3">
      <c r="A215" s="7">
        <v>11818</v>
      </c>
      <c r="B215" s="7" t="s">
        <v>223</v>
      </c>
      <c r="C215" s="7" t="s">
        <v>6390</v>
      </c>
      <c r="D215" s="7" t="s">
        <v>6395</v>
      </c>
      <c r="E215" s="7" t="s">
        <v>6295</v>
      </c>
      <c r="F215" s="7" t="s">
        <v>6338</v>
      </c>
      <c r="G215" s="7" t="s">
        <v>7150</v>
      </c>
      <c r="H215" s="7" t="s">
        <v>7156</v>
      </c>
      <c r="I215" s="7"/>
      <c r="J215" s="10">
        <v>43160</v>
      </c>
      <c r="K215" s="7" t="s">
        <v>7163</v>
      </c>
      <c r="L215" s="7"/>
      <c r="M215" s="7"/>
    </row>
    <row r="216" spans="1:13" x14ac:dyDescent="0.3">
      <c r="A216" s="7">
        <v>12126</v>
      </c>
      <c r="B216" s="7" t="s">
        <v>224</v>
      </c>
      <c r="C216" s="7" t="s">
        <v>6390</v>
      </c>
      <c r="D216" s="7" t="s">
        <v>6395</v>
      </c>
      <c r="E216" s="7" t="s">
        <v>6295</v>
      </c>
      <c r="F216" s="7" t="s">
        <v>6335</v>
      </c>
      <c r="G216" s="7" t="s">
        <v>7150</v>
      </c>
      <c r="H216" s="7" t="s">
        <v>7156</v>
      </c>
      <c r="I216" s="7"/>
      <c r="J216" s="10">
        <v>43501</v>
      </c>
      <c r="K216" s="7" t="s">
        <v>7163</v>
      </c>
      <c r="L216" s="7"/>
      <c r="M216" s="7"/>
    </row>
    <row r="217" spans="1:13" x14ac:dyDescent="0.3">
      <c r="A217" s="7">
        <v>10877</v>
      </c>
      <c r="B217" s="7" t="s">
        <v>225</v>
      </c>
      <c r="C217" s="7" t="s">
        <v>6390</v>
      </c>
      <c r="D217" s="7" t="s">
        <v>6395</v>
      </c>
      <c r="E217" s="7" t="s">
        <v>6295</v>
      </c>
      <c r="F217" s="7" t="s">
        <v>6353</v>
      </c>
      <c r="G217" s="7" t="s">
        <v>7150</v>
      </c>
      <c r="H217" s="7" t="s">
        <v>7156</v>
      </c>
      <c r="I217" s="7"/>
      <c r="J217" s="10">
        <v>42053</v>
      </c>
      <c r="K217" s="7" t="s">
        <v>7163</v>
      </c>
      <c r="L217" s="7"/>
      <c r="M217" s="7"/>
    </row>
    <row r="218" spans="1:13" x14ac:dyDescent="0.3">
      <c r="A218" s="7">
        <v>14067</v>
      </c>
      <c r="B218" s="7" t="s">
        <v>226</v>
      </c>
      <c r="C218" s="7" t="s">
        <v>6390</v>
      </c>
      <c r="D218" s="7" t="s">
        <v>6395</v>
      </c>
      <c r="E218" s="7" t="s">
        <v>6295</v>
      </c>
      <c r="F218" s="7" t="s">
        <v>6340</v>
      </c>
      <c r="G218" s="7" t="s">
        <v>7150</v>
      </c>
      <c r="H218" s="7" t="s">
        <v>7156</v>
      </c>
      <c r="I218" s="7"/>
      <c r="J218" s="10">
        <v>44638</v>
      </c>
      <c r="K218" s="7" t="s">
        <v>7163</v>
      </c>
      <c r="L218" s="7"/>
      <c r="M218" s="7"/>
    </row>
    <row r="219" spans="1:13" x14ac:dyDescent="0.3">
      <c r="A219" s="7">
        <v>17339</v>
      </c>
      <c r="B219" s="7" t="s">
        <v>227</v>
      </c>
      <c r="C219" s="7" t="s">
        <v>6390</v>
      </c>
      <c r="D219" s="7" t="s">
        <v>6395</v>
      </c>
      <c r="E219" s="7" t="s">
        <v>6295</v>
      </c>
      <c r="F219" s="7" t="s">
        <v>6341</v>
      </c>
      <c r="G219" s="7" t="s">
        <v>7150</v>
      </c>
      <c r="H219" s="7" t="s">
        <v>7156</v>
      </c>
      <c r="I219" s="7"/>
      <c r="J219" s="10">
        <v>45712</v>
      </c>
      <c r="K219" s="7" t="s">
        <v>7163</v>
      </c>
      <c r="L219" s="7"/>
      <c r="M219" s="7"/>
    </row>
    <row r="220" spans="1:13" x14ac:dyDescent="0.3">
      <c r="A220" s="7">
        <v>10601</v>
      </c>
      <c r="B220" s="7" t="s">
        <v>228</v>
      </c>
      <c r="C220" s="7" t="s">
        <v>6396</v>
      </c>
      <c r="D220" s="7" t="s">
        <v>6295</v>
      </c>
      <c r="E220" s="7" t="s">
        <v>6295</v>
      </c>
      <c r="F220" s="7" t="s">
        <v>6356</v>
      </c>
      <c r="G220" s="7" t="s">
        <v>7150</v>
      </c>
      <c r="H220" s="7" t="s">
        <v>7156</v>
      </c>
      <c r="I220" s="7"/>
      <c r="J220" s="10">
        <v>41463</v>
      </c>
      <c r="K220" s="7" t="s">
        <v>7163</v>
      </c>
      <c r="L220" s="7"/>
      <c r="M220" s="7"/>
    </row>
    <row r="221" spans="1:13" x14ac:dyDescent="0.3">
      <c r="A221" s="7">
        <v>10605</v>
      </c>
      <c r="B221" s="7" t="s">
        <v>229</v>
      </c>
      <c r="C221" s="7" t="s">
        <v>6396</v>
      </c>
      <c r="D221" s="7" t="s">
        <v>6295</v>
      </c>
      <c r="E221" s="7" t="s">
        <v>6295</v>
      </c>
      <c r="F221" s="7" t="s">
        <v>6336</v>
      </c>
      <c r="G221" s="7" t="s">
        <v>7150</v>
      </c>
      <c r="H221" s="7" t="s">
        <v>7156</v>
      </c>
      <c r="I221" s="7"/>
      <c r="J221" s="10">
        <v>41473</v>
      </c>
      <c r="K221" s="7" t="s">
        <v>7163</v>
      </c>
      <c r="L221" s="7"/>
      <c r="M221" s="7"/>
    </row>
    <row r="222" spans="1:13" x14ac:dyDescent="0.3">
      <c r="A222" s="7">
        <v>16743</v>
      </c>
      <c r="B222" s="7" t="s">
        <v>230</v>
      </c>
      <c r="C222" s="7" t="s">
        <v>6396</v>
      </c>
      <c r="D222" s="7" t="s">
        <v>6295</v>
      </c>
      <c r="E222" s="7" t="s">
        <v>6295</v>
      </c>
      <c r="F222" s="7" t="s">
        <v>6336</v>
      </c>
      <c r="G222" s="7" t="s">
        <v>7150</v>
      </c>
      <c r="H222" s="7" t="s">
        <v>7156</v>
      </c>
      <c r="I222" s="7"/>
      <c r="J222" s="10">
        <v>45537</v>
      </c>
      <c r="K222" s="7" t="s">
        <v>7163</v>
      </c>
      <c r="L222" s="7"/>
      <c r="M222" s="7"/>
    </row>
    <row r="223" spans="1:13" x14ac:dyDescent="0.3">
      <c r="A223" s="7">
        <v>19122</v>
      </c>
      <c r="B223" s="7" t="s">
        <v>231</v>
      </c>
      <c r="C223" s="7" t="s">
        <v>6396</v>
      </c>
      <c r="D223" s="7" t="s">
        <v>6295</v>
      </c>
      <c r="E223" s="7" t="s">
        <v>6295</v>
      </c>
      <c r="F223" s="7" t="s">
        <v>6336</v>
      </c>
      <c r="G223" s="7" t="s">
        <v>7150</v>
      </c>
      <c r="H223" s="7" t="s">
        <v>7156</v>
      </c>
      <c r="I223" s="7"/>
      <c r="J223" s="10">
        <v>46273</v>
      </c>
      <c r="K223" s="7" t="s">
        <v>7163</v>
      </c>
      <c r="L223" s="7"/>
      <c r="M223" s="7"/>
    </row>
    <row r="224" spans="1:13" x14ac:dyDescent="0.3">
      <c r="A224" s="7">
        <v>15361</v>
      </c>
      <c r="B224" s="7" t="s">
        <v>232</v>
      </c>
      <c r="C224" s="7" t="s">
        <v>6396</v>
      </c>
      <c r="D224" s="7" t="s">
        <v>6397</v>
      </c>
      <c r="E224" s="7" t="s">
        <v>6295</v>
      </c>
      <c r="F224" s="7" t="s">
        <v>6353</v>
      </c>
      <c r="G224" s="7" t="s">
        <v>7150</v>
      </c>
      <c r="H224" s="7" t="s">
        <v>7156</v>
      </c>
      <c r="I224" s="7"/>
      <c r="J224" s="10">
        <v>45048</v>
      </c>
      <c r="K224" s="7" t="s">
        <v>7163</v>
      </c>
      <c r="L224" s="7"/>
      <c r="M224" s="7"/>
    </row>
    <row r="225" spans="1:13" x14ac:dyDescent="0.3">
      <c r="A225" s="7">
        <v>10690</v>
      </c>
      <c r="B225" s="7" t="s">
        <v>233</v>
      </c>
      <c r="C225" s="7" t="s">
        <v>6396</v>
      </c>
      <c r="D225" s="7" t="s">
        <v>6397</v>
      </c>
      <c r="E225" s="7" t="s">
        <v>6295</v>
      </c>
      <c r="F225" s="7" t="s">
        <v>6340</v>
      </c>
      <c r="G225" s="7" t="s">
        <v>7150</v>
      </c>
      <c r="H225" s="7" t="s">
        <v>7156</v>
      </c>
      <c r="I225" s="7"/>
      <c r="J225" s="10">
        <v>41640</v>
      </c>
      <c r="K225" s="7" t="s">
        <v>7163</v>
      </c>
      <c r="L225" s="7"/>
      <c r="M225" s="7"/>
    </row>
    <row r="226" spans="1:13" x14ac:dyDescent="0.3">
      <c r="A226" s="7">
        <v>10501</v>
      </c>
      <c r="B226" s="7" t="s">
        <v>234</v>
      </c>
      <c r="C226" s="7" t="s">
        <v>6396</v>
      </c>
      <c r="D226" s="7" t="s">
        <v>6397</v>
      </c>
      <c r="E226" s="7" t="s">
        <v>6295</v>
      </c>
      <c r="F226" s="7" t="s">
        <v>6398</v>
      </c>
      <c r="G226" s="7" t="s">
        <v>7150</v>
      </c>
      <c r="H226" s="7" t="s">
        <v>7156</v>
      </c>
      <c r="I226" s="7"/>
      <c r="J226" s="10">
        <v>40913</v>
      </c>
      <c r="K226" s="7" t="s">
        <v>7163</v>
      </c>
      <c r="L226" s="7"/>
      <c r="M226" s="7"/>
    </row>
    <row r="227" spans="1:13" x14ac:dyDescent="0.3">
      <c r="A227" s="7">
        <v>10059</v>
      </c>
      <c r="B227" s="7" t="s">
        <v>235</v>
      </c>
      <c r="C227" s="7" t="s">
        <v>6396</v>
      </c>
      <c r="D227" s="7" t="s">
        <v>6397</v>
      </c>
      <c r="E227" s="7" t="s">
        <v>6295</v>
      </c>
      <c r="F227" s="7" t="s">
        <v>6398</v>
      </c>
      <c r="G227" s="7" t="s">
        <v>7150</v>
      </c>
      <c r="H227" s="7" t="s">
        <v>7156</v>
      </c>
      <c r="I227" s="7"/>
      <c r="J227" s="10">
        <v>36735</v>
      </c>
      <c r="K227" s="7" t="s">
        <v>7163</v>
      </c>
      <c r="L227" s="7"/>
      <c r="M227" s="7"/>
    </row>
    <row r="228" spans="1:13" x14ac:dyDescent="0.3">
      <c r="A228" s="7">
        <v>10063</v>
      </c>
      <c r="B228" s="7" t="s">
        <v>236</v>
      </c>
      <c r="C228" s="7" t="s">
        <v>6396</v>
      </c>
      <c r="D228" s="7" t="s">
        <v>6397</v>
      </c>
      <c r="E228" s="7" t="s">
        <v>6295</v>
      </c>
      <c r="F228" s="7" t="s">
        <v>6398</v>
      </c>
      <c r="G228" s="7" t="s">
        <v>7150</v>
      </c>
      <c r="H228" s="7" t="s">
        <v>7156</v>
      </c>
      <c r="I228" s="7"/>
      <c r="J228" s="10">
        <v>37971</v>
      </c>
      <c r="K228" s="7" t="s">
        <v>7163</v>
      </c>
      <c r="L228" s="7"/>
      <c r="M228" s="7"/>
    </row>
    <row r="229" spans="1:13" x14ac:dyDescent="0.3">
      <c r="A229" s="7">
        <v>17518</v>
      </c>
      <c r="B229" s="7" t="s">
        <v>237</v>
      </c>
      <c r="C229" s="7" t="s">
        <v>6396</v>
      </c>
      <c r="D229" s="7" t="s">
        <v>6397</v>
      </c>
      <c r="E229" s="7" t="s">
        <v>6295</v>
      </c>
      <c r="F229" s="7" t="s">
        <v>6398</v>
      </c>
      <c r="G229" s="7" t="s">
        <v>7150</v>
      </c>
      <c r="H229" s="7" t="s">
        <v>7156</v>
      </c>
      <c r="I229" s="7"/>
      <c r="J229" s="10">
        <v>45783</v>
      </c>
      <c r="K229" s="7" t="s">
        <v>7163</v>
      </c>
      <c r="L229" s="7"/>
      <c r="M229" s="7"/>
    </row>
    <row r="230" spans="1:13" x14ac:dyDescent="0.3">
      <c r="A230" s="7">
        <v>17565</v>
      </c>
      <c r="B230" s="7" t="s">
        <v>238</v>
      </c>
      <c r="C230" s="7" t="s">
        <v>6396</v>
      </c>
      <c r="D230" s="7" t="s">
        <v>6397</v>
      </c>
      <c r="E230" s="7" t="s">
        <v>6295</v>
      </c>
      <c r="F230" s="7" t="s">
        <v>6398</v>
      </c>
      <c r="G230" s="7" t="s">
        <v>7150</v>
      </c>
      <c r="H230" s="7" t="s">
        <v>7156</v>
      </c>
      <c r="I230" s="7"/>
      <c r="J230" s="10">
        <v>45796</v>
      </c>
      <c r="K230" s="7" t="s">
        <v>7163</v>
      </c>
      <c r="L230" s="7"/>
      <c r="M230" s="7"/>
    </row>
    <row r="231" spans="1:13" x14ac:dyDescent="0.3">
      <c r="A231" s="7">
        <v>17580</v>
      </c>
      <c r="B231" s="7" t="s">
        <v>239</v>
      </c>
      <c r="C231" s="7" t="s">
        <v>6396</v>
      </c>
      <c r="D231" s="7" t="s">
        <v>6397</v>
      </c>
      <c r="E231" s="7" t="s">
        <v>6295</v>
      </c>
      <c r="F231" s="7" t="s">
        <v>6398</v>
      </c>
      <c r="G231" s="7" t="s">
        <v>7150</v>
      </c>
      <c r="H231" s="7" t="s">
        <v>7156</v>
      </c>
      <c r="I231" s="7"/>
      <c r="J231" s="10">
        <v>45797</v>
      </c>
      <c r="K231" s="7" t="s">
        <v>7163</v>
      </c>
      <c r="L231" s="7"/>
      <c r="M231" s="7"/>
    </row>
    <row r="232" spans="1:13" x14ac:dyDescent="0.3">
      <c r="A232" s="7">
        <v>17590</v>
      </c>
      <c r="B232" s="7" t="s">
        <v>240</v>
      </c>
      <c r="C232" s="7" t="s">
        <v>6396</v>
      </c>
      <c r="D232" s="7" t="s">
        <v>6397</v>
      </c>
      <c r="E232" s="7" t="s">
        <v>6295</v>
      </c>
      <c r="F232" s="7" t="s">
        <v>6398</v>
      </c>
      <c r="G232" s="7" t="s">
        <v>7150</v>
      </c>
      <c r="H232" s="7" t="s">
        <v>7156</v>
      </c>
      <c r="I232" s="7"/>
      <c r="J232" s="10">
        <v>45803</v>
      </c>
      <c r="K232" s="7" t="s">
        <v>7163</v>
      </c>
      <c r="L232" s="7"/>
      <c r="M232" s="7"/>
    </row>
    <row r="233" spans="1:13" x14ac:dyDescent="0.3">
      <c r="A233" s="7">
        <v>10064</v>
      </c>
      <c r="B233" s="7" t="s">
        <v>241</v>
      </c>
      <c r="C233" s="7" t="s">
        <v>6396</v>
      </c>
      <c r="D233" s="7" t="s">
        <v>6397</v>
      </c>
      <c r="E233" s="7" t="s">
        <v>6295</v>
      </c>
      <c r="F233" s="7" t="s">
        <v>6398</v>
      </c>
      <c r="G233" s="7" t="s">
        <v>7150</v>
      </c>
      <c r="H233" s="7" t="s">
        <v>7156</v>
      </c>
      <c r="I233" s="7"/>
      <c r="J233" s="10">
        <v>37935</v>
      </c>
      <c r="K233" s="7" t="s">
        <v>7163</v>
      </c>
      <c r="L233" s="7"/>
      <c r="M233" s="7"/>
    </row>
    <row r="234" spans="1:13" x14ac:dyDescent="0.3">
      <c r="A234" s="7">
        <v>10691</v>
      </c>
      <c r="B234" s="7" t="s">
        <v>242</v>
      </c>
      <c r="C234" s="7" t="s">
        <v>6396</v>
      </c>
      <c r="D234" s="7" t="s">
        <v>6397</v>
      </c>
      <c r="E234" s="7" t="s">
        <v>6295</v>
      </c>
      <c r="F234" s="7" t="s">
        <v>6398</v>
      </c>
      <c r="G234" s="7" t="s">
        <v>7150</v>
      </c>
      <c r="H234" s="7" t="s">
        <v>7156</v>
      </c>
      <c r="I234" s="7"/>
      <c r="J234" s="10">
        <v>41640</v>
      </c>
      <c r="K234" s="7" t="s">
        <v>7163</v>
      </c>
      <c r="L234" s="7"/>
      <c r="M234" s="7"/>
    </row>
    <row r="235" spans="1:13" x14ac:dyDescent="0.3">
      <c r="A235" s="7">
        <v>10692</v>
      </c>
      <c r="B235" s="7" t="s">
        <v>243</v>
      </c>
      <c r="C235" s="7" t="s">
        <v>6396</v>
      </c>
      <c r="D235" s="7" t="s">
        <v>6397</v>
      </c>
      <c r="E235" s="7" t="s">
        <v>6295</v>
      </c>
      <c r="F235" s="7" t="s">
        <v>6398</v>
      </c>
      <c r="G235" s="7" t="s">
        <v>7150</v>
      </c>
      <c r="H235" s="7" t="s">
        <v>7156</v>
      </c>
      <c r="I235" s="7"/>
      <c r="J235" s="10">
        <v>41640</v>
      </c>
      <c r="K235" s="7" t="s">
        <v>7163</v>
      </c>
      <c r="L235" s="7"/>
      <c r="M235" s="7"/>
    </row>
    <row r="236" spans="1:13" x14ac:dyDescent="0.3">
      <c r="A236" s="7">
        <v>17894</v>
      </c>
      <c r="B236" s="7" t="s">
        <v>244</v>
      </c>
      <c r="C236" s="7" t="s">
        <v>6396</v>
      </c>
      <c r="D236" s="7" t="s">
        <v>6397</v>
      </c>
      <c r="E236" s="7" t="s">
        <v>6295</v>
      </c>
      <c r="F236" s="7" t="s">
        <v>6398</v>
      </c>
      <c r="G236" s="7" t="s">
        <v>7150</v>
      </c>
      <c r="H236" s="7" t="s">
        <v>7156</v>
      </c>
      <c r="I236" s="7"/>
      <c r="J236" s="10">
        <v>45905</v>
      </c>
      <c r="K236" s="7" t="s">
        <v>7163</v>
      </c>
      <c r="L236" s="7"/>
      <c r="M236" s="7"/>
    </row>
    <row r="237" spans="1:13" x14ac:dyDescent="0.3">
      <c r="A237" s="7">
        <v>10693</v>
      </c>
      <c r="B237" s="7" t="s">
        <v>245</v>
      </c>
      <c r="C237" s="7" t="s">
        <v>6396</v>
      </c>
      <c r="D237" s="7" t="s">
        <v>6397</v>
      </c>
      <c r="E237" s="7" t="s">
        <v>6295</v>
      </c>
      <c r="F237" s="7" t="s">
        <v>6398</v>
      </c>
      <c r="G237" s="7" t="s">
        <v>7150</v>
      </c>
      <c r="H237" s="7" t="s">
        <v>7156</v>
      </c>
      <c r="I237" s="7"/>
      <c r="J237" s="10">
        <v>41640</v>
      </c>
      <c r="K237" s="7" t="s">
        <v>7163</v>
      </c>
      <c r="L237" s="7"/>
      <c r="M237" s="7"/>
    </row>
    <row r="238" spans="1:13" x14ac:dyDescent="0.3">
      <c r="A238" s="7">
        <v>10885</v>
      </c>
      <c r="B238" s="7" t="s">
        <v>246</v>
      </c>
      <c r="C238" s="7" t="s">
        <v>6396</v>
      </c>
      <c r="D238" s="7" t="s">
        <v>6397</v>
      </c>
      <c r="E238" s="7" t="s">
        <v>6295</v>
      </c>
      <c r="F238" s="7" t="s">
        <v>6398</v>
      </c>
      <c r="G238" s="7" t="s">
        <v>7150</v>
      </c>
      <c r="H238" s="7" t="s">
        <v>7156</v>
      </c>
      <c r="I238" s="7"/>
      <c r="J238" s="10">
        <v>42075</v>
      </c>
      <c r="K238" s="7" t="s">
        <v>7163</v>
      </c>
      <c r="L238" s="7"/>
      <c r="M238" s="7"/>
    </row>
    <row r="239" spans="1:13" x14ac:dyDescent="0.3">
      <c r="A239" s="7">
        <v>11144</v>
      </c>
      <c r="B239" s="7" t="s">
        <v>247</v>
      </c>
      <c r="C239" s="7" t="s">
        <v>6396</v>
      </c>
      <c r="D239" s="7" t="s">
        <v>6397</v>
      </c>
      <c r="E239" s="7" t="s">
        <v>6295</v>
      </c>
      <c r="F239" s="7" t="s">
        <v>6398</v>
      </c>
      <c r="G239" s="7" t="s">
        <v>7150</v>
      </c>
      <c r="H239" s="7" t="s">
        <v>7156</v>
      </c>
      <c r="I239" s="7"/>
      <c r="J239" s="10">
        <v>42320</v>
      </c>
      <c r="K239" s="7" t="s">
        <v>7163</v>
      </c>
      <c r="L239" s="7"/>
      <c r="M239" s="7"/>
    </row>
    <row r="240" spans="1:13" x14ac:dyDescent="0.3">
      <c r="A240" s="7">
        <v>11268</v>
      </c>
      <c r="B240" s="7" t="s">
        <v>248</v>
      </c>
      <c r="C240" s="7" t="s">
        <v>6396</v>
      </c>
      <c r="D240" s="7" t="s">
        <v>6397</v>
      </c>
      <c r="E240" s="7" t="s">
        <v>6295</v>
      </c>
      <c r="F240" s="7" t="s">
        <v>6398</v>
      </c>
      <c r="G240" s="7" t="s">
        <v>7150</v>
      </c>
      <c r="H240" s="7" t="s">
        <v>7156</v>
      </c>
      <c r="I240" s="7"/>
      <c r="J240" s="10">
        <v>42471</v>
      </c>
      <c r="K240" s="7" t="s">
        <v>7163</v>
      </c>
      <c r="L240" s="7"/>
      <c r="M240" s="7"/>
    </row>
    <row r="241" spans="1:13" x14ac:dyDescent="0.3">
      <c r="A241" s="7">
        <v>300025</v>
      </c>
      <c r="B241" s="7" t="s">
        <v>249</v>
      </c>
      <c r="C241" s="7" t="s">
        <v>6396</v>
      </c>
      <c r="D241" s="7" t="s">
        <v>6397</v>
      </c>
      <c r="E241" s="7" t="s">
        <v>6295</v>
      </c>
      <c r="F241" s="7" t="s">
        <v>6398</v>
      </c>
      <c r="G241" s="7" t="s">
        <v>7150</v>
      </c>
      <c r="H241" s="7" t="s">
        <v>7156</v>
      </c>
      <c r="I241" s="7"/>
      <c r="J241" s="10">
        <v>41334</v>
      </c>
      <c r="K241" s="7" t="s">
        <v>7163</v>
      </c>
      <c r="L241" s="7"/>
      <c r="M241" s="7"/>
    </row>
    <row r="242" spans="1:13" x14ac:dyDescent="0.3">
      <c r="A242" s="7">
        <v>11734</v>
      </c>
      <c r="B242" s="7" t="s">
        <v>250</v>
      </c>
      <c r="C242" s="7" t="s">
        <v>6396</v>
      </c>
      <c r="D242" s="7" t="s">
        <v>6397</v>
      </c>
      <c r="E242" s="7" t="s">
        <v>6295</v>
      </c>
      <c r="F242" s="7" t="s">
        <v>6398</v>
      </c>
      <c r="G242" s="7" t="s">
        <v>7150</v>
      </c>
      <c r="H242" s="7" t="s">
        <v>7156</v>
      </c>
      <c r="I242" s="7"/>
      <c r="J242" s="10">
        <v>43070</v>
      </c>
      <c r="K242" s="7" t="s">
        <v>7163</v>
      </c>
      <c r="L242" s="7"/>
      <c r="M242" s="7"/>
    </row>
    <row r="243" spans="1:13" x14ac:dyDescent="0.3">
      <c r="A243" s="7">
        <v>11883</v>
      </c>
      <c r="B243" s="7" t="s">
        <v>251</v>
      </c>
      <c r="C243" s="7" t="s">
        <v>6396</v>
      </c>
      <c r="D243" s="7" t="s">
        <v>6397</v>
      </c>
      <c r="E243" s="7" t="s">
        <v>6295</v>
      </c>
      <c r="F243" s="7" t="s">
        <v>6398</v>
      </c>
      <c r="G243" s="7" t="s">
        <v>7150</v>
      </c>
      <c r="H243" s="7" t="s">
        <v>7156</v>
      </c>
      <c r="I243" s="7"/>
      <c r="J243" s="10">
        <v>43242</v>
      </c>
      <c r="K243" s="7" t="s">
        <v>7163</v>
      </c>
      <c r="L243" s="7"/>
      <c r="M243" s="7"/>
    </row>
    <row r="244" spans="1:13" x14ac:dyDescent="0.3">
      <c r="A244" s="7">
        <v>11912</v>
      </c>
      <c r="B244" s="7" t="s">
        <v>252</v>
      </c>
      <c r="C244" s="7" t="s">
        <v>6396</v>
      </c>
      <c r="D244" s="7" t="s">
        <v>6397</v>
      </c>
      <c r="E244" s="7" t="s">
        <v>6295</v>
      </c>
      <c r="F244" s="7" t="s">
        <v>6398</v>
      </c>
      <c r="G244" s="7" t="s">
        <v>7150</v>
      </c>
      <c r="H244" s="7" t="s">
        <v>7156</v>
      </c>
      <c r="I244" s="7"/>
      <c r="J244" s="10">
        <v>43265</v>
      </c>
      <c r="K244" s="7" t="s">
        <v>7163</v>
      </c>
      <c r="L244" s="7"/>
      <c r="M244" s="7"/>
    </row>
    <row r="245" spans="1:13" x14ac:dyDescent="0.3">
      <c r="A245" s="7">
        <v>11953</v>
      </c>
      <c r="B245" s="7" t="s">
        <v>253</v>
      </c>
      <c r="C245" s="7" t="s">
        <v>6396</v>
      </c>
      <c r="D245" s="7" t="s">
        <v>6397</v>
      </c>
      <c r="E245" s="7" t="s">
        <v>6295</v>
      </c>
      <c r="F245" s="7" t="s">
        <v>6398</v>
      </c>
      <c r="G245" s="7" t="s">
        <v>7150</v>
      </c>
      <c r="H245" s="7" t="s">
        <v>7156</v>
      </c>
      <c r="I245" s="7"/>
      <c r="J245" s="10">
        <v>43326</v>
      </c>
      <c r="K245" s="7" t="s">
        <v>7163</v>
      </c>
      <c r="L245" s="7"/>
      <c r="M245" s="7"/>
    </row>
    <row r="246" spans="1:13" x14ac:dyDescent="0.3">
      <c r="A246" s="7">
        <v>12199</v>
      </c>
      <c r="B246" s="7" t="s">
        <v>254</v>
      </c>
      <c r="C246" s="7" t="s">
        <v>6396</v>
      </c>
      <c r="D246" s="7" t="s">
        <v>6397</v>
      </c>
      <c r="E246" s="7" t="s">
        <v>6295</v>
      </c>
      <c r="F246" s="7" t="s">
        <v>6398</v>
      </c>
      <c r="G246" s="7" t="s">
        <v>7150</v>
      </c>
      <c r="H246" s="7" t="s">
        <v>7156</v>
      </c>
      <c r="I246" s="7"/>
      <c r="J246" s="10">
        <v>43573</v>
      </c>
      <c r="K246" s="7" t="s">
        <v>7163</v>
      </c>
      <c r="L246" s="7"/>
      <c r="M246" s="7"/>
    </row>
    <row r="247" spans="1:13" x14ac:dyDescent="0.3">
      <c r="A247" s="7">
        <v>12688</v>
      </c>
      <c r="B247" s="7" t="s">
        <v>255</v>
      </c>
      <c r="C247" s="7" t="s">
        <v>6396</v>
      </c>
      <c r="D247" s="7" t="s">
        <v>6397</v>
      </c>
      <c r="E247" s="7" t="s">
        <v>6295</v>
      </c>
      <c r="F247" s="7" t="s">
        <v>6398</v>
      </c>
      <c r="G247" s="7" t="s">
        <v>7150</v>
      </c>
      <c r="H247" s="7" t="s">
        <v>7156</v>
      </c>
      <c r="I247" s="7"/>
      <c r="J247" s="10">
        <v>43866</v>
      </c>
      <c r="K247" s="7" t="s">
        <v>7163</v>
      </c>
      <c r="L247" s="7"/>
      <c r="M247" s="7"/>
    </row>
    <row r="248" spans="1:13" x14ac:dyDescent="0.3">
      <c r="A248" s="7">
        <v>12836</v>
      </c>
      <c r="B248" s="7" t="s">
        <v>256</v>
      </c>
      <c r="C248" s="7" t="s">
        <v>6396</v>
      </c>
      <c r="D248" s="7" t="s">
        <v>6397</v>
      </c>
      <c r="E248" s="7" t="s">
        <v>6295</v>
      </c>
      <c r="F248" s="7" t="s">
        <v>6398</v>
      </c>
      <c r="G248" s="7" t="s">
        <v>7150</v>
      </c>
      <c r="H248" s="7" t="s">
        <v>7156</v>
      </c>
      <c r="I248" s="7"/>
      <c r="J248" s="10">
        <v>44005</v>
      </c>
      <c r="K248" s="7" t="s">
        <v>7163</v>
      </c>
      <c r="L248" s="7"/>
      <c r="M248" s="7"/>
    </row>
    <row r="249" spans="1:13" x14ac:dyDescent="0.3">
      <c r="A249" s="7">
        <v>14354</v>
      </c>
      <c r="B249" s="7" t="s">
        <v>257</v>
      </c>
      <c r="C249" s="7" t="s">
        <v>6396</v>
      </c>
      <c r="D249" s="7" t="s">
        <v>6397</v>
      </c>
      <c r="E249" s="7" t="s">
        <v>6295</v>
      </c>
      <c r="F249" s="7" t="s">
        <v>6398</v>
      </c>
      <c r="G249" s="7" t="s">
        <v>7150</v>
      </c>
      <c r="H249" s="7" t="s">
        <v>7156</v>
      </c>
      <c r="I249" s="7"/>
      <c r="J249" s="10">
        <v>44743</v>
      </c>
      <c r="K249" s="7" t="s">
        <v>7163</v>
      </c>
      <c r="L249" s="7"/>
      <c r="M249" s="7"/>
    </row>
    <row r="250" spans="1:13" x14ac:dyDescent="0.3">
      <c r="A250" s="7">
        <v>15813</v>
      </c>
      <c r="B250" s="7" t="s">
        <v>258</v>
      </c>
      <c r="C250" s="7" t="s">
        <v>6396</v>
      </c>
      <c r="D250" s="7" t="s">
        <v>6397</v>
      </c>
      <c r="E250" s="7" t="s">
        <v>6295</v>
      </c>
      <c r="F250" s="7" t="s">
        <v>6398</v>
      </c>
      <c r="G250" s="7" t="s">
        <v>7150</v>
      </c>
      <c r="H250" s="7" t="s">
        <v>7156</v>
      </c>
      <c r="I250" s="7"/>
      <c r="J250" s="10">
        <v>45203</v>
      </c>
      <c r="K250" s="7" t="s">
        <v>7163</v>
      </c>
      <c r="L250" s="7"/>
      <c r="M250" s="7"/>
    </row>
    <row r="251" spans="1:13" x14ac:dyDescent="0.3">
      <c r="A251" s="7">
        <v>15897</v>
      </c>
      <c r="B251" s="7" t="s">
        <v>259</v>
      </c>
      <c r="C251" s="7" t="s">
        <v>6396</v>
      </c>
      <c r="D251" s="7" t="s">
        <v>6397</v>
      </c>
      <c r="E251" s="7" t="s">
        <v>6295</v>
      </c>
      <c r="F251" s="7" t="s">
        <v>6398</v>
      </c>
      <c r="G251" s="7" t="s">
        <v>7150</v>
      </c>
      <c r="H251" s="7" t="s">
        <v>7156</v>
      </c>
      <c r="I251" s="7"/>
      <c r="J251" s="10">
        <v>45233</v>
      </c>
      <c r="K251" s="7" t="s">
        <v>7163</v>
      </c>
      <c r="L251" s="7"/>
      <c r="M251" s="7"/>
    </row>
    <row r="252" spans="1:13" x14ac:dyDescent="0.3">
      <c r="A252" s="7">
        <v>16117</v>
      </c>
      <c r="B252" s="7" t="s">
        <v>260</v>
      </c>
      <c r="C252" s="7" t="s">
        <v>6396</v>
      </c>
      <c r="D252" s="7" t="s">
        <v>6397</v>
      </c>
      <c r="E252" s="7" t="s">
        <v>6295</v>
      </c>
      <c r="F252" s="7" t="s">
        <v>6398</v>
      </c>
      <c r="G252" s="7" t="s">
        <v>7150</v>
      </c>
      <c r="H252" s="7" t="s">
        <v>7156</v>
      </c>
      <c r="I252" s="7"/>
      <c r="J252" s="10">
        <v>45286</v>
      </c>
      <c r="K252" s="7" t="s">
        <v>7163</v>
      </c>
      <c r="L252" s="7"/>
      <c r="M252" s="7"/>
    </row>
    <row r="253" spans="1:13" x14ac:dyDescent="0.3">
      <c r="A253" s="7">
        <v>16293</v>
      </c>
      <c r="B253" s="7" t="s">
        <v>261</v>
      </c>
      <c r="C253" s="7" t="s">
        <v>6396</v>
      </c>
      <c r="D253" s="7" t="s">
        <v>6397</v>
      </c>
      <c r="E253" s="7" t="s">
        <v>6295</v>
      </c>
      <c r="F253" s="7" t="s">
        <v>6398</v>
      </c>
      <c r="G253" s="7" t="s">
        <v>7150</v>
      </c>
      <c r="H253" s="7" t="s">
        <v>7156</v>
      </c>
      <c r="I253" s="7"/>
      <c r="J253" s="10">
        <v>45352</v>
      </c>
      <c r="K253" s="7" t="s">
        <v>7163</v>
      </c>
      <c r="L253" s="7"/>
      <c r="M253" s="7"/>
    </row>
    <row r="254" spans="1:13" x14ac:dyDescent="0.3">
      <c r="A254" s="7">
        <v>17349</v>
      </c>
      <c r="B254" s="7" t="s">
        <v>262</v>
      </c>
      <c r="C254" s="7" t="s">
        <v>6396</v>
      </c>
      <c r="D254" s="7" t="s">
        <v>6397</v>
      </c>
      <c r="E254" s="7" t="s">
        <v>6295</v>
      </c>
      <c r="F254" s="7" t="s">
        <v>6398</v>
      </c>
      <c r="G254" s="7" t="s">
        <v>7150</v>
      </c>
      <c r="H254" s="7" t="s">
        <v>7156</v>
      </c>
      <c r="I254" s="7"/>
      <c r="J254" s="10">
        <v>45714</v>
      </c>
      <c r="K254" s="7" t="s">
        <v>7163</v>
      </c>
      <c r="L254" s="7"/>
      <c r="M254" s="7"/>
    </row>
    <row r="255" spans="1:13" x14ac:dyDescent="0.3">
      <c r="A255" s="7">
        <v>17350</v>
      </c>
      <c r="B255" s="7" t="s">
        <v>263</v>
      </c>
      <c r="C255" s="7" t="s">
        <v>6396</v>
      </c>
      <c r="D255" s="7" t="s">
        <v>6397</v>
      </c>
      <c r="E255" s="7" t="s">
        <v>6295</v>
      </c>
      <c r="F255" s="7" t="s">
        <v>6398</v>
      </c>
      <c r="G255" s="7" t="s">
        <v>7150</v>
      </c>
      <c r="H255" s="7" t="s">
        <v>7156</v>
      </c>
      <c r="I255" s="7"/>
      <c r="J255" s="10">
        <v>45714</v>
      </c>
      <c r="K255" s="7" t="s">
        <v>7163</v>
      </c>
      <c r="L255" s="7"/>
      <c r="M255" s="7"/>
    </row>
    <row r="256" spans="1:13" x14ac:dyDescent="0.3">
      <c r="A256" s="7">
        <v>17351</v>
      </c>
      <c r="B256" s="7" t="s">
        <v>264</v>
      </c>
      <c r="C256" s="7" t="s">
        <v>6396</v>
      </c>
      <c r="D256" s="7" t="s">
        <v>6397</v>
      </c>
      <c r="E256" s="7" t="s">
        <v>6295</v>
      </c>
      <c r="F256" s="7" t="s">
        <v>6398</v>
      </c>
      <c r="G256" s="7" t="s">
        <v>7150</v>
      </c>
      <c r="H256" s="7" t="s">
        <v>7156</v>
      </c>
      <c r="I256" s="7"/>
      <c r="J256" s="10">
        <v>45714</v>
      </c>
      <c r="K256" s="7" t="s">
        <v>7163</v>
      </c>
      <c r="L256" s="7"/>
      <c r="M256" s="7"/>
    </row>
    <row r="257" spans="1:13" x14ac:dyDescent="0.3">
      <c r="A257" s="7">
        <v>206001</v>
      </c>
      <c r="B257" s="7" t="s">
        <v>265</v>
      </c>
      <c r="C257" s="7" t="s">
        <v>6396</v>
      </c>
      <c r="D257" s="7" t="s">
        <v>6399</v>
      </c>
      <c r="E257" s="7" t="s">
        <v>6295</v>
      </c>
      <c r="F257" s="7" t="s">
        <v>6398</v>
      </c>
      <c r="G257" s="7" t="s">
        <v>7150</v>
      </c>
      <c r="H257" s="7" t="s">
        <v>7156</v>
      </c>
      <c r="I257" s="7"/>
      <c r="J257" s="10">
        <v>43452</v>
      </c>
      <c r="K257" s="7" t="s">
        <v>7163</v>
      </c>
      <c r="L257" s="7"/>
      <c r="M257" s="7"/>
    </row>
    <row r="258" spans="1:13" x14ac:dyDescent="0.3">
      <c r="A258" s="7">
        <v>17375</v>
      </c>
      <c r="B258" s="7" t="s">
        <v>266</v>
      </c>
      <c r="C258" s="7" t="s">
        <v>6396</v>
      </c>
      <c r="D258" s="7" t="s">
        <v>6397</v>
      </c>
      <c r="E258" s="7" t="s">
        <v>6295</v>
      </c>
      <c r="F258" s="7" t="s">
        <v>6398</v>
      </c>
      <c r="G258" s="7" t="s">
        <v>7150</v>
      </c>
      <c r="H258" s="7" t="s">
        <v>7156</v>
      </c>
      <c r="I258" s="7"/>
      <c r="J258" s="10">
        <v>45726</v>
      </c>
      <c r="K258" s="7" t="s">
        <v>7163</v>
      </c>
      <c r="L258" s="7"/>
      <c r="M258" s="7"/>
    </row>
    <row r="259" spans="1:13" x14ac:dyDescent="0.3">
      <c r="A259" s="7">
        <v>17352</v>
      </c>
      <c r="B259" s="7" t="s">
        <v>267</v>
      </c>
      <c r="C259" s="7" t="s">
        <v>6396</v>
      </c>
      <c r="D259" s="7" t="s">
        <v>6397</v>
      </c>
      <c r="E259" s="7" t="s">
        <v>6295</v>
      </c>
      <c r="F259" s="7" t="s">
        <v>6398</v>
      </c>
      <c r="G259" s="7" t="s">
        <v>7150</v>
      </c>
      <c r="H259" s="7" t="s">
        <v>7156</v>
      </c>
      <c r="I259" s="7"/>
      <c r="J259" s="10">
        <v>45748</v>
      </c>
      <c r="K259" s="7" t="s">
        <v>7163</v>
      </c>
      <c r="L259" s="7"/>
      <c r="M259" s="7"/>
    </row>
    <row r="260" spans="1:13" x14ac:dyDescent="0.3">
      <c r="A260" s="7">
        <v>17472</v>
      </c>
      <c r="B260" s="7" t="s">
        <v>268</v>
      </c>
      <c r="C260" s="7" t="s">
        <v>6396</v>
      </c>
      <c r="D260" s="7" t="s">
        <v>6397</v>
      </c>
      <c r="E260" s="7" t="s">
        <v>6295</v>
      </c>
      <c r="F260" s="7" t="s">
        <v>6398</v>
      </c>
      <c r="G260" s="7" t="s">
        <v>7150</v>
      </c>
      <c r="H260" s="7" t="s">
        <v>7156</v>
      </c>
      <c r="I260" s="7"/>
      <c r="J260" s="10">
        <v>45763</v>
      </c>
      <c r="K260" s="7" t="s">
        <v>7163</v>
      </c>
      <c r="L260" s="7"/>
      <c r="M260" s="7"/>
    </row>
    <row r="261" spans="1:13" x14ac:dyDescent="0.3">
      <c r="A261" s="7">
        <v>17864</v>
      </c>
      <c r="B261" s="7" t="s">
        <v>269</v>
      </c>
      <c r="C261" s="7" t="s">
        <v>6396</v>
      </c>
      <c r="D261" s="7" t="s">
        <v>6397</v>
      </c>
      <c r="E261" s="7" t="s">
        <v>6295</v>
      </c>
      <c r="F261" s="7" t="s">
        <v>6398</v>
      </c>
      <c r="G261" s="7" t="s">
        <v>7150</v>
      </c>
      <c r="H261" s="7" t="s">
        <v>7156</v>
      </c>
      <c r="I261" s="7"/>
      <c r="J261" s="10">
        <v>45895</v>
      </c>
      <c r="K261" s="7" t="s">
        <v>7163</v>
      </c>
      <c r="L261" s="7"/>
      <c r="M261" s="7"/>
    </row>
    <row r="262" spans="1:13" x14ac:dyDescent="0.3">
      <c r="A262" s="7">
        <v>17945</v>
      </c>
      <c r="B262" s="7" t="s">
        <v>270</v>
      </c>
      <c r="C262" s="7" t="s">
        <v>6396</v>
      </c>
      <c r="D262" s="7" t="s">
        <v>6397</v>
      </c>
      <c r="E262" s="7" t="s">
        <v>6295</v>
      </c>
      <c r="F262" s="7" t="s">
        <v>6398</v>
      </c>
      <c r="G262" s="7" t="s">
        <v>7150</v>
      </c>
      <c r="H262" s="7" t="s">
        <v>7156</v>
      </c>
      <c r="I262" s="7"/>
      <c r="J262" s="10">
        <v>45932</v>
      </c>
      <c r="K262" s="7" t="s">
        <v>7163</v>
      </c>
      <c r="L262" s="7"/>
      <c r="M262" s="7"/>
    </row>
    <row r="263" spans="1:13" x14ac:dyDescent="0.3">
      <c r="A263" s="7">
        <v>18710</v>
      </c>
      <c r="B263" s="7" t="s">
        <v>271</v>
      </c>
      <c r="C263" s="7" t="s">
        <v>6396</v>
      </c>
      <c r="D263" s="7" t="s">
        <v>6397</v>
      </c>
      <c r="E263" s="7" t="s">
        <v>6295</v>
      </c>
      <c r="F263" s="7" t="s">
        <v>6398</v>
      </c>
      <c r="G263" s="7" t="s">
        <v>7150</v>
      </c>
      <c r="H263" s="7" t="s">
        <v>7156</v>
      </c>
      <c r="I263" s="7" t="s">
        <v>7159</v>
      </c>
      <c r="J263" s="10">
        <v>46195</v>
      </c>
      <c r="K263" s="7" t="s">
        <v>7163</v>
      </c>
      <c r="L263" s="7"/>
      <c r="M263" s="7"/>
    </row>
    <row r="264" spans="1:13" x14ac:dyDescent="0.3">
      <c r="A264" s="7">
        <v>18711</v>
      </c>
      <c r="B264" s="7" t="s">
        <v>272</v>
      </c>
      <c r="C264" s="7" t="s">
        <v>6396</v>
      </c>
      <c r="D264" s="7" t="s">
        <v>6397</v>
      </c>
      <c r="E264" s="7" t="s">
        <v>6295</v>
      </c>
      <c r="F264" s="7" t="s">
        <v>6398</v>
      </c>
      <c r="G264" s="7" t="s">
        <v>7150</v>
      </c>
      <c r="H264" s="7" t="s">
        <v>7156</v>
      </c>
      <c r="I264" s="7" t="s">
        <v>7159</v>
      </c>
      <c r="J264" s="10">
        <v>46195</v>
      </c>
      <c r="K264" s="7" t="s">
        <v>7163</v>
      </c>
      <c r="L264" s="7"/>
      <c r="M264" s="7"/>
    </row>
    <row r="265" spans="1:13" x14ac:dyDescent="0.3">
      <c r="A265" s="7">
        <v>18712</v>
      </c>
      <c r="B265" s="7" t="s">
        <v>273</v>
      </c>
      <c r="C265" s="7" t="s">
        <v>6396</v>
      </c>
      <c r="D265" s="7" t="s">
        <v>6397</v>
      </c>
      <c r="E265" s="7" t="s">
        <v>6295</v>
      </c>
      <c r="F265" s="7" t="s">
        <v>6398</v>
      </c>
      <c r="G265" s="7" t="s">
        <v>7150</v>
      </c>
      <c r="H265" s="7" t="s">
        <v>7156</v>
      </c>
      <c r="I265" s="7" t="s">
        <v>7159</v>
      </c>
      <c r="J265" s="10">
        <v>46195</v>
      </c>
      <c r="K265" s="7" t="s">
        <v>7163</v>
      </c>
      <c r="L265" s="7"/>
      <c r="M265" s="7"/>
    </row>
    <row r="266" spans="1:13" x14ac:dyDescent="0.3">
      <c r="A266" s="7">
        <v>18713</v>
      </c>
      <c r="B266" s="7" t="s">
        <v>274</v>
      </c>
      <c r="C266" s="7" t="s">
        <v>6396</v>
      </c>
      <c r="D266" s="7" t="s">
        <v>6397</v>
      </c>
      <c r="E266" s="7" t="s">
        <v>6295</v>
      </c>
      <c r="F266" s="7" t="s">
        <v>6398</v>
      </c>
      <c r="G266" s="7" t="s">
        <v>7150</v>
      </c>
      <c r="H266" s="7" t="s">
        <v>7156</v>
      </c>
      <c r="I266" s="7" t="s">
        <v>7159</v>
      </c>
      <c r="J266" s="10">
        <v>46195</v>
      </c>
      <c r="K266" s="7" t="s">
        <v>7163</v>
      </c>
      <c r="L266" s="7"/>
      <c r="M266" s="7"/>
    </row>
    <row r="267" spans="1:13" x14ac:dyDescent="0.3">
      <c r="A267" s="7">
        <v>18714</v>
      </c>
      <c r="B267" s="7" t="s">
        <v>275</v>
      </c>
      <c r="C267" s="7" t="s">
        <v>6396</v>
      </c>
      <c r="D267" s="7" t="s">
        <v>6397</v>
      </c>
      <c r="E267" s="7" t="s">
        <v>6295</v>
      </c>
      <c r="F267" s="7" t="s">
        <v>6398</v>
      </c>
      <c r="G267" s="7" t="s">
        <v>7150</v>
      </c>
      <c r="H267" s="7" t="s">
        <v>7156</v>
      </c>
      <c r="I267" s="7" t="s">
        <v>7159</v>
      </c>
      <c r="J267" s="10">
        <v>46195</v>
      </c>
      <c r="K267" s="7" t="s">
        <v>7163</v>
      </c>
      <c r="L267" s="7"/>
      <c r="M267" s="7"/>
    </row>
    <row r="268" spans="1:13" x14ac:dyDescent="0.3">
      <c r="A268" s="7">
        <v>18715</v>
      </c>
      <c r="B268" s="7" t="s">
        <v>276</v>
      </c>
      <c r="C268" s="7" t="s">
        <v>6396</v>
      </c>
      <c r="D268" s="7" t="s">
        <v>6397</v>
      </c>
      <c r="E268" s="7" t="s">
        <v>6295</v>
      </c>
      <c r="F268" s="7" t="s">
        <v>6398</v>
      </c>
      <c r="G268" s="7" t="s">
        <v>7150</v>
      </c>
      <c r="H268" s="7" t="s">
        <v>7156</v>
      </c>
      <c r="I268" s="7" t="s">
        <v>7159</v>
      </c>
      <c r="J268" s="10">
        <v>46195</v>
      </c>
      <c r="K268" s="7" t="s">
        <v>7163</v>
      </c>
      <c r="L268" s="7"/>
      <c r="M268" s="7"/>
    </row>
    <row r="269" spans="1:13" x14ac:dyDescent="0.3">
      <c r="A269" s="7">
        <v>18709</v>
      </c>
      <c r="B269" s="7" t="s">
        <v>277</v>
      </c>
      <c r="C269" s="7" t="s">
        <v>6396</v>
      </c>
      <c r="D269" s="7" t="s">
        <v>6397</v>
      </c>
      <c r="E269" s="7" t="s">
        <v>6295</v>
      </c>
      <c r="F269" s="7" t="s">
        <v>6398</v>
      </c>
      <c r="G269" s="7" t="s">
        <v>7150</v>
      </c>
      <c r="H269" s="7" t="s">
        <v>7156</v>
      </c>
      <c r="I269" s="7" t="s">
        <v>7159</v>
      </c>
      <c r="J269" s="10">
        <v>46195</v>
      </c>
      <c r="K269" s="7" t="s">
        <v>7163</v>
      </c>
      <c r="L269" s="7"/>
      <c r="M269" s="7"/>
    </row>
    <row r="270" spans="1:13" x14ac:dyDescent="0.3">
      <c r="A270" s="7">
        <v>18732</v>
      </c>
      <c r="B270" s="7" t="s">
        <v>278</v>
      </c>
      <c r="C270" s="7" t="s">
        <v>6396</v>
      </c>
      <c r="D270" s="7" t="s">
        <v>6397</v>
      </c>
      <c r="E270" s="7" t="s">
        <v>6295</v>
      </c>
      <c r="F270" s="7" t="s">
        <v>6398</v>
      </c>
      <c r="G270" s="7" t="s">
        <v>7150</v>
      </c>
      <c r="H270" s="7" t="s">
        <v>7156</v>
      </c>
      <c r="I270" s="7" t="s">
        <v>7159</v>
      </c>
      <c r="J270" s="10">
        <v>46195</v>
      </c>
      <c r="K270" s="7" t="s">
        <v>7163</v>
      </c>
      <c r="L270" s="7"/>
      <c r="M270" s="7"/>
    </row>
    <row r="271" spans="1:13" x14ac:dyDescent="0.3">
      <c r="A271" s="7">
        <v>14429</v>
      </c>
      <c r="B271" s="7" t="s">
        <v>279</v>
      </c>
      <c r="C271" s="7" t="s">
        <v>6396</v>
      </c>
      <c r="D271" s="7" t="s">
        <v>6397</v>
      </c>
      <c r="E271" s="7" t="s">
        <v>6295</v>
      </c>
      <c r="F271" s="7" t="s">
        <v>6400</v>
      </c>
      <c r="G271" s="7" t="s">
        <v>7150</v>
      </c>
      <c r="H271" s="7" t="s">
        <v>7156</v>
      </c>
      <c r="I271" s="7"/>
      <c r="J271" s="10">
        <v>44761</v>
      </c>
      <c r="K271" s="7" t="s">
        <v>7163</v>
      </c>
      <c r="L271" s="7"/>
      <c r="M271" s="7"/>
    </row>
    <row r="272" spans="1:13" x14ac:dyDescent="0.3">
      <c r="A272" s="7">
        <v>11707</v>
      </c>
      <c r="B272" s="7" t="s">
        <v>280</v>
      </c>
      <c r="C272" s="7" t="s">
        <v>6396</v>
      </c>
      <c r="D272" s="7" t="s">
        <v>6397</v>
      </c>
      <c r="E272" s="7" t="s">
        <v>6295</v>
      </c>
      <c r="F272" s="7" t="s">
        <v>6401</v>
      </c>
      <c r="G272" s="7" t="s">
        <v>7150</v>
      </c>
      <c r="H272" s="7" t="s">
        <v>7156</v>
      </c>
      <c r="I272" s="7"/>
      <c r="J272" s="10">
        <v>43040</v>
      </c>
      <c r="K272" s="7" t="s">
        <v>7163</v>
      </c>
      <c r="L272" s="7"/>
      <c r="M272" s="7"/>
    </row>
    <row r="273" spans="1:13" x14ac:dyDescent="0.3">
      <c r="A273" s="7">
        <v>12095</v>
      </c>
      <c r="B273" s="7" t="s">
        <v>281</v>
      </c>
      <c r="C273" s="7" t="s">
        <v>6396</v>
      </c>
      <c r="D273" s="7" t="s">
        <v>6397</v>
      </c>
      <c r="E273" s="7" t="s">
        <v>6295</v>
      </c>
      <c r="F273" s="7" t="s">
        <v>6401</v>
      </c>
      <c r="G273" s="7" t="s">
        <v>7150</v>
      </c>
      <c r="H273" s="7" t="s">
        <v>7156</v>
      </c>
      <c r="I273" s="7"/>
      <c r="J273" s="10">
        <v>43459</v>
      </c>
      <c r="K273" s="7" t="s">
        <v>7163</v>
      </c>
      <c r="L273" s="7"/>
      <c r="M273" s="7"/>
    </row>
    <row r="274" spans="1:13" x14ac:dyDescent="0.3">
      <c r="A274" s="7">
        <v>10798</v>
      </c>
      <c r="B274" s="7" t="s">
        <v>282</v>
      </c>
      <c r="C274" s="7" t="s">
        <v>6396</v>
      </c>
      <c r="D274" s="7" t="s">
        <v>6397</v>
      </c>
      <c r="E274" s="7" t="s">
        <v>6295</v>
      </c>
      <c r="F274" s="7" t="s">
        <v>6401</v>
      </c>
      <c r="G274" s="7" t="s">
        <v>7150</v>
      </c>
      <c r="H274" s="7" t="s">
        <v>7156</v>
      </c>
      <c r="I274" s="7"/>
      <c r="J274" s="10">
        <v>41913</v>
      </c>
      <c r="K274" s="7" t="s">
        <v>7163</v>
      </c>
      <c r="L274" s="7"/>
      <c r="M274" s="7"/>
    </row>
    <row r="275" spans="1:13" x14ac:dyDescent="0.3">
      <c r="A275" s="7">
        <v>11928</v>
      </c>
      <c r="B275" s="7" t="s">
        <v>283</v>
      </c>
      <c r="C275" s="7" t="s">
        <v>6396</v>
      </c>
      <c r="D275" s="7" t="s">
        <v>6397</v>
      </c>
      <c r="E275" s="7" t="s">
        <v>6295</v>
      </c>
      <c r="F275" s="7" t="s">
        <v>6401</v>
      </c>
      <c r="G275" s="7" t="s">
        <v>7150</v>
      </c>
      <c r="H275" s="7" t="s">
        <v>7156</v>
      </c>
      <c r="I275" s="7"/>
      <c r="J275" s="10">
        <v>43294</v>
      </c>
      <c r="K275" s="7" t="s">
        <v>7163</v>
      </c>
      <c r="L275" s="7"/>
      <c r="M275" s="7"/>
    </row>
    <row r="276" spans="1:13" x14ac:dyDescent="0.3">
      <c r="A276" s="7">
        <v>10724</v>
      </c>
      <c r="B276" s="7" t="s">
        <v>284</v>
      </c>
      <c r="C276" s="7" t="s">
        <v>6396</v>
      </c>
      <c r="D276" s="7" t="s">
        <v>6397</v>
      </c>
      <c r="E276" s="7" t="s">
        <v>6295</v>
      </c>
      <c r="F276" s="7" t="s">
        <v>6401</v>
      </c>
      <c r="G276" s="7" t="s">
        <v>7150</v>
      </c>
      <c r="H276" s="7" t="s">
        <v>7156</v>
      </c>
      <c r="I276" s="7"/>
      <c r="J276" s="10">
        <v>41745</v>
      </c>
      <c r="K276" s="7" t="s">
        <v>7163</v>
      </c>
      <c r="L276" s="7"/>
      <c r="M276" s="7"/>
    </row>
    <row r="277" spans="1:13" x14ac:dyDescent="0.3">
      <c r="A277" s="7">
        <v>19094</v>
      </c>
      <c r="B277" s="7" t="s">
        <v>285</v>
      </c>
      <c r="C277" s="7" t="s">
        <v>6396</v>
      </c>
      <c r="D277" s="7" t="s">
        <v>6397</v>
      </c>
      <c r="E277" s="7" t="s">
        <v>6295</v>
      </c>
      <c r="F277" s="7" t="s">
        <v>6401</v>
      </c>
      <c r="G277" s="7" t="s">
        <v>7150</v>
      </c>
      <c r="H277" s="7" t="s">
        <v>7156</v>
      </c>
      <c r="I277" s="7" t="s">
        <v>7159</v>
      </c>
      <c r="J277" s="10">
        <v>46262</v>
      </c>
      <c r="K277" s="7" t="s">
        <v>7163</v>
      </c>
      <c r="L277" s="7"/>
      <c r="M277" s="7"/>
    </row>
    <row r="278" spans="1:13" x14ac:dyDescent="0.3">
      <c r="A278" s="7">
        <v>10813</v>
      </c>
      <c r="B278" s="7" t="s">
        <v>286</v>
      </c>
      <c r="C278" s="7" t="s">
        <v>6396</v>
      </c>
      <c r="D278" s="7" t="s">
        <v>6397</v>
      </c>
      <c r="E278" s="7" t="s">
        <v>6295</v>
      </c>
      <c r="F278" s="7" t="s">
        <v>6401</v>
      </c>
      <c r="G278" s="7" t="s">
        <v>7150</v>
      </c>
      <c r="H278" s="7" t="s">
        <v>7156</v>
      </c>
      <c r="I278" s="7"/>
      <c r="J278" s="10">
        <v>41954</v>
      </c>
      <c r="K278" s="7" t="s">
        <v>7163</v>
      </c>
      <c r="L278" s="7"/>
      <c r="M278" s="7"/>
    </row>
    <row r="279" spans="1:13" x14ac:dyDescent="0.3">
      <c r="A279" s="7">
        <v>11890</v>
      </c>
      <c r="B279" s="7" t="s">
        <v>287</v>
      </c>
      <c r="C279" s="7" t="s">
        <v>6396</v>
      </c>
      <c r="D279" s="7" t="s">
        <v>6397</v>
      </c>
      <c r="E279" s="7" t="s">
        <v>6295</v>
      </c>
      <c r="F279" s="7" t="s">
        <v>6401</v>
      </c>
      <c r="G279" s="7" t="s">
        <v>7150</v>
      </c>
      <c r="H279" s="7" t="s">
        <v>7156</v>
      </c>
      <c r="I279" s="7"/>
      <c r="J279" s="10">
        <v>43242</v>
      </c>
      <c r="K279" s="7" t="s">
        <v>7163</v>
      </c>
      <c r="L279" s="7"/>
      <c r="M279" s="7"/>
    </row>
    <row r="280" spans="1:13" x14ac:dyDescent="0.3">
      <c r="A280" s="7">
        <v>12935</v>
      </c>
      <c r="B280" s="7" t="s">
        <v>288</v>
      </c>
      <c r="C280" s="7" t="s">
        <v>6396</v>
      </c>
      <c r="D280" s="7" t="s">
        <v>6397</v>
      </c>
      <c r="E280" s="7" t="s">
        <v>6295</v>
      </c>
      <c r="F280" s="7" t="s">
        <v>6401</v>
      </c>
      <c r="G280" s="7" t="s">
        <v>7150</v>
      </c>
      <c r="H280" s="7" t="s">
        <v>7156</v>
      </c>
      <c r="I280" s="7"/>
      <c r="J280" s="10">
        <v>44120</v>
      </c>
      <c r="K280" s="7" t="s">
        <v>7163</v>
      </c>
      <c r="L280" s="7"/>
      <c r="M280" s="7"/>
    </row>
    <row r="281" spans="1:13" x14ac:dyDescent="0.3">
      <c r="A281" s="7">
        <v>13521</v>
      </c>
      <c r="B281" s="7" t="s">
        <v>289</v>
      </c>
      <c r="C281" s="7" t="s">
        <v>6396</v>
      </c>
      <c r="D281" s="7" t="s">
        <v>6397</v>
      </c>
      <c r="E281" s="7" t="s">
        <v>6295</v>
      </c>
      <c r="F281" s="7" t="s">
        <v>6401</v>
      </c>
      <c r="G281" s="7" t="s">
        <v>7150</v>
      </c>
      <c r="H281" s="7" t="s">
        <v>7156</v>
      </c>
      <c r="I281" s="7"/>
      <c r="J281" s="10">
        <v>44482</v>
      </c>
      <c r="K281" s="7" t="s">
        <v>7163</v>
      </c>
      <c r="L281" s="7"/>
      <c r="M281" s="7"/>
    </row>
    <row r="282" spans="1:13" x14ac:dyDescent="0.3">
      <c r="A282" s="7">
        <v>14500</v>
      </c>
      <c r="B282" s="7" t="s">
        <v>290</v>
      </c>
      <c r="C282" s="7" t="s">
        <v>6396</v>
      </c>
      <c r="D282" s="7" t="s">
        <v>6397</v>
      </c>
      <c r="E282" s="7" t="s">
        <v>6295</v>
      </c>
      <c r="F282" s="7" t="s">
        <v>6401</v>
      </c>
      <c r="G282" s="7" t="s">
        <v>7150</v>
      </c>
      <c r="H282" s="7" t="s">
        <v>7156</v>
      </c>
      <c r="I282" s="7"/>
      <c r="J282" s="10">
        <v>44774</v>
      </c>
      <c r="K282" s="7" t="s">
        <v>7163</v>
      </c>
      <c r="L282" s="7"/>
      <c r="M282" s="7"/>
    </row>
    <row r="283" spans="1:13" x14ac:dyDescent="0.3">
      <c r="A283" s="7">
        <v>15349</v>
      </c>
      <c r="B283" s="7" t="s">
        <v>291</v>
      </c>
      <c r="C283" s="7" t="s">
        <v>6396</v>
      </c>
      <c r="D283" s="7" t="s">
        <v>6397</v>
      </c>
      <c r="E283" s="7" t="s">
        <v>6295</v>
      </c>
      <c r="F283" s="7" t="s">
        <v>6401</v>
      </c>
      <c r="G283" s="7" t="s">
        <v>7150</v>
      </c>
      <c r="H283" s="7" t="s">
        <v>7156</v>
      </c>
      <c r="I283" s="7"/>
      <c r="J283" s="10">
        <v>45036</v>
      </c>
      <c r="K283" s="7" t="s">
        <v>7163</v>
      </c>
      <c r="L283" s="7"/>
      <c r="M283" s="7"/>
    </row>
    <row r="284" spans="1:13" x14ac:dyDescent="0.3">
      <c r="A284" s="7">
        <v>15899</v>
      </c>
      <c r="B284" s="7" t="s">
        <v>292</v>
      </c>
      <c r="C284" s="7" t="s">
        <v>6396</v>
      </c>
      <c r="D284" s="7" t="s">
        <v>6397</v>
      </c>
      <c r="E284" s="7" t="s">
        <v>6295</v>
      </c>
      <c r="F284" s="7" t="s">
        <v>6401</v>
      </c>
      <c r="G284" s="7" t="s">
        <v>7150</v>
      </c>
      <c r="H284" s="7" t="s">
        <v>7156</v>
      </c>
      <c r="I284" s="7"/>
      <c r="J284" s="10">
        <v>45232</v>
      </c>
      <c r="K284" s="7" t="s">
        <v>7163</v>
      </c>
      <c r="L284" s="7"/>
      <c r="M284" s="7"/>
    </row>
    <row r="285" spans="1:13" x14ac:dyDescent="0.3">
      <c r="A285" s="7">
        <v>16150</v>
      </c>
      <c r="B285" s="7" t="s">
        <v>293</v>
      </c>
      <c r="C285" s="7" t="s">
        <v>6396</v>
      </c>
      <c r="D285" s="7" t="s">
        <v>6397</v>
      </c>
      <c r="E285" s="7" t="s">
        <v>6295</v>
      </c>
      <c r="F285" s="7" t="s">
        <v>6401</v>
      </c>
      <c r="G285" s="7" t="s">
        <v>7150</v>
      </c>
      <c r="H285" s="7" t="s">
        <v>7156</v>
      </c>
      <c r="I285" s="7"/>
      <c r="J285" s="10">
        <v>45301</v>
      </c>
      <c r="K285" s="7" t="s">
        <v>7163</v>
      </c>
      <c r="L285" s="7"/>
      <c r="M285" s="7"/>
    </row>
    <row r="286" spans="1:13" x14ac:dyDescent="0.3">
      <c r="A286" s="7">
        <v>10607</v>
      </c>
      <c r="B286" s="7" t="s">
        <v>294</v>
      </c>
      <c r="C286" s="7" t="s">
        <v>6396</v>
      </c>
      <c r="D286" s="7" t="s">
        <v>6402</v>
      </c>
      <c r="E286" s="7" t="s">
        <v>6295</v>
      </c>
      <c r="F286" s="7" t="s">
        <v>6338</v>
      </c>
      <c r="G286" s="7" t="s">
        <v>7150</v>
      </c>
      <c r="H286" s="7" t="s">
        <v>7156</v>
      </c>
      <c r="I286" s="7"/>
      <c r="J286" s="10">
        <v>41477</v>
      </c>
      <c r="K286" s="7" t="s">
        <v>7163</v>
      </c>
      <c r="L286" s="7"/>
      <c r="M286" s="7"/>
    </row>
    <row r="287" spans="1:13" x14ac:dyDescent="0.3">
      <c r="A287" s="7">
        <v>10820</v>
      </c>
      <c r="B287" s="7" t="s">
        <v>295</v>
      </c>
      <c r="C287" s="7" t="s">
        <v>6396</v>
      </c>
      <c r="D287" s="7" t="s">
        <v>6402</v>
      </c>
      <c r="E287" s="7" t="s">
        <v>6295</v>
      </c>
      <c r="F287" s="7" t="s">
        <v>6353</v>
      </c>
      <c r="G287" s="7" t="s">
        <v>7150</v>
      </c>
      <c r="H287" s="7" t="s">
        <v>7156</v>
      </c>
      <c r="I287" s="7"/>
      <c r="J287" s="10">
        <v>41962</v>
      </c>
      <c r="K287" s="7" t="s">
        <v>7163</v>
      </c>
      <c r="L287" s="7"/>
      <c r="M287" s="7"/>
    </row>
    <row r="288" spans="1:13" x14ac:dyDescent="0.3">
      <c r="A288" s="7">
        <v>11193</v>
      </c>
      <c r="B288" s="7" t="s">
        <v>296</v>
      </c>
      <c r="C288" s="7" t="s">
        <v>6396</v>
      </c>
      <c r="D288" s="7" t="s">
        <v>6402</v>
      </c>
      <c r="E288" s="7" t="s">
        <v>6295</v>
      </c>
      <c r="F288" s="7" t="s">
        <v>6403</v>
      </c>
      <c r="G288" s="7" t="s">
        <v>7150</v>
      </c>
      <c r="H288" s="7" t="s">
        <v>7156</v>
      </c>
      <c r="I288" s="7"/>
      <c r="J288" s="10">
        <v>42402</v>
      </c>
      <c r="K288" s="7" t="s">
        <v>7163</v>
      </c>
      <c r="L288" s="7"/>
      <c r="M288" s="7"/>
    </row>
    <row r="289" spans="1:13" x14ac:dyDescent="0.3">
      <c r="A289" s="7">
        <v>11194</v>
      </c>
      <c r="B289" s="7" t="s">
        <v>297</v>
      </c>
      <c r="C289" s="7" t="s">
        <v>6396</v>
      </c>
      <c r="D289" s="7" t="s">
        <v>6402</v>
      </c>
      <c r="E289" s="7" t="s">
        <v>6295</v>
      </c>
      <c r="F289" s="7" t="s">
        <v>6403</v>
      </c>
      <c r="G289" s="7" t="s">
        <v>7150</v>
      </c>
      <c r="H289" s="7" t="s">
        <v>7156</v>
      </c>
      <c r="I289" s="7"/>
      <c r="J289" s="10">
        <v>42402</v>
      </c>
      <c r="K289" s="7" t="s">
        <v>7163</v>
      </c>
      <c r="L289" s="7"/>
      <c r="M289" s="7"/>
    </row>
    <row r="290" spans="1:13" x14ac:dyDescent="0.3">
      <c r="A290" s="7">
        <v>18220</v>
      </c>
      <c r="B290" s="7" t="s">
        <v>298</v>
      </c>
      <c r="C290" s="7" t="s">
        <v>6396</v>
      </c>
      <c r="D290" s="7" t="s">
        <v>6402</v>
      </c>
      <c r="E290" s="7" t="s">
        <v>6295</v>
      </c>
      <c r="F290" s="7" t="s">
        <v>6403</v>
      </c>
      <c r="G290" s="7" t="s">
        <v>7150</v>
      </c>
      <c r="H290" s="7" t="s">
        <v>7156</v>
      </c>
      <c r="I290" s="7"/>
      <c r="J290" s="10">
        <v>46063</v>
      </c>
      <c r="K290" s="7" t="s">
        <v>7163</v>
      </c>
      <c r="L290" s="7"/>
      <c r="M290" s="7"/>
    </row>
    <row r="291" spans="1:13" x14ac:dyDescent="0.3">
      <c r="A291" s="7">
        <v>19055</v>
      </c>
      <c r="B291" s="7" t="s">
        <v>299</v>
      </c>
      <c r="C291" s="7" t="s">
        <v>6396</v>
      </c>
      <c r="D291" s="7" t="s">
        <v>6402</v>
      </c>
      <c r="E291" s="7" t="s">
        <v>6295</v>
      </c>
      <c r="F291" s="7" t="s">
        <v>6403</v>
      </c>
      <c r="G291" s="7" t="s">
        <v>7150</v>
      </c>
      <c r="H291" s="7" t="s">
        <v>7156</v>
      </c>
      <c r="I291" s="7"/>
      <c r="J291" s="10">
        <v>46260</v>
      </c>
      <c r="K291" s="7" t="s">
        <v>7163</v>
      </c>
      <c r="L291" s="7"/>
      <c r="M291" s="7"/>
    </row>
    <row r="292" spans="1:13" x14ac:dyDescent="0.3">
      <c r="A292" s="7">
        <v>17641</v>
      </c>
      <c r="B292" s="7" t="s">
        <v>300</v>
      </c>
      <c r="C292" s="7" t="s">
        <v>6396</v>
      </c>
      <c r="D292" s="7" t="s">
        <v>6402</v>
      </c>
      <c r="E292" s="7" t="s">
        <v>6295</v>
      </c>
      <c r="F292" s="7" t="s">
        <v>6403</v>
      </c>
      <c r="G292" s="7" t="s">
        <v>7150</v>
      </c>
      <c r="H292" s="7" t="s">
        <v>7156</v>
      </c>
      <c r="I292" s="7"/>
      <c r="J292" s="10">
        <v>45820</v>
      </c>
      <c r="K292" s="7" t="s">
        <v>7163</v>
      </c>
      <c r="L292" s="7"/>
      <c r="M292" s="7"/>
    </row>
    <row r="293" spans="1:13" x14ac:dyDescent="0.3">
      <c r="A293" s="7">
        <v>18370</v>
      </c>
      <c r="B293" s="7" t="s">
        <v>301</v>
      </c>
      <c r="C293" s="7" t="s">
        <v>6396</v>
      </c>
      <c r="D293" s="7" t="s">
        <v>6402</v>
      </c>
      <c r="E293" s="7" t="s">
        <v>6295</v>
      </c>
      <c r="F293" s="7" t="s">
        <v>6403</v>
      </c>
      <c r="G293" s="7" t="s">
        <v>7150</v>
      </c>
      <c r="H293" s="7" t="s">
        <v>7156</v>
      </c>
      <c r="I293" s="7"/>
      <c r="J293" s="10">
        <v>46113</v>
      </c>
      <c r="K293" s="7" t="s">
        <v>7163</v>
      </c>
      <c r="L293" s="7"/>
      <c r="M293" s="7"/>
    </row>
    <row r="294" spans="1:13" x14ac:dyDescent="0.3">
      <c r="A294" s="7">
        <v>18393</v>
      </c>
      <c r="B294" s="7" t="s">
        <v>302</v>
      </c>
      <c r="C294" s="7" t="s">
        <v>6396</v>
      </c>
      <c r="D294" s="7" t="s">
        <v>6402</v>
      </c>
      <c r="E294" s="7" t="s">
        <v>6295</v>
      </c>
      <c r="F294" s="7" t="s">
        <v>6403</v>
      </c>
      <c r="G294" s="7" t="s">
        <v>7150</v>
      </c>
      <c r="H294" s="7" t="s">
        <v>7156</v>
      </c>
      <c r="I294" s="7"/>
      <c r="J294" s="10">
        <v>46114</v>
      </c>
      <c r="K294" s="7" t="s">
        <v>7163</v>
      </c>
      <c r="L294" s="7"/>
      <c r="M294" s="7"/>
    </row>
    <row r="295" spans="1:13" x14ac:dyDescent="0.3">
      <c r="A295" s="7">
        <v>18392</v>
      </c>
      <c r="B295" s="7" t="s">
        <v>303</v>
      </c>
      <c r="C295" s="7" t="s">
        <v>6396</v>
      </c>
      <c r="D295" s="7" t="s">
        <v>6402</v>
      </c>
      <c r="E295" s="7" t="s">
        <v>6295</v>
      </c>
      <c r="F295" s="7" t="s">
        <v>6403</v>
      </c>
      <c r="G295" s="7" t="s">
        <v>7150</v>
      </c>
      <c r="H295" s="7" t="s">
        <v>7156</v>
      </c>
      <c r="I295" s="7"/>
      <c r="J295" s="10">
        <v>46114</v>
      </c>
      <c r="K295" s="7" t="s">
        <v>7163</v>
      </c>
      <c r="L295" s="7"/>
      <c r="M295" s="7"/>
    </row>
    <row r="296" spans="1:13" x14ac:dyDescent="0.3">
      <c r="A296" s="7">
        <v>18528</v>
      </c>
      <c r="B296" s="7" t="s">
        <v>304</v>
      </c>
      <c r="C296" s="7" t="s">
        <v>6396</v>
      </c>
      <c r="D296" s="7" t="s">
        <v>6402</v>
      </c>
      <c r="E296" s="7" t="s">
        <v>6295</v>
      </c>
      <c r="F296" s="7" t="s">
        <v>6403</v>
      </c>
      <c r="G296" s="7" t="s">
        <v>7150</v>
      </c>
      <c r="H296" s="7" t="s">
        <v>7156</v>
      </c>
      <c r="I296" s="7"/>
      <c r="J296" s="10">
        <v>46143</v>
      </c>
      <c r="K296" s="7" t="s">
        <v>7163</v>
      </c>
      <c r="L296" s="7"/>
      <c r="M296" s="7"/>
    </row>
    <row r="297" spans="1:13" x14ac:dyDescent="0.3">
      <c r="A297" s="7">
        <v>12817</v>
      </c>
      <c r="B297" s="7" t="s">
        <v>305</v>
      </c>
      <c r="C297" s="7" t="s">
        <v>6396</v>
      </c>
      <c r="D297" s="7" t="s">
        <v>6402</v>
      </c>
      <c r="E297" s="7" t="s">
        <v>6295</v>
      </c>
      <c r="F297" s="7" t="s">
        <v>6403</v>
      </c>
      <c r="G297" s="7" t="s">
        <v>7150</v>
      </c>
      <c r="H297" s="7" t="s">
        <v>7156</v>
      </c>
      <c r="I297" s="7"/>
      <c r="J297" s="10">
        <v>43959</v>
      </c>
      <c r="K297" s="7" t="s">
        <v>7163</v>
      </c>
      <c r="L297" s="7"/>
      <c r="M297" s="7"/>
    </row>
    <row r="298" spans="1:13" x14ac:dyDescent="0.3">
      <c r="A298" s="7">
        <v>10388</v>
      </c>
      <c r="B298" s="7" t="s">
        <v>306</v>
      </c>
      <c r="C298" s="7" t="s">
        <v>6396</v>
      </c>
      <c r="D298" s="7" t="s">
        <v>6402</v>
      </c>
      <c r="E298" s="7" t="s">
        <v>6295</v>
      </c>
      <c r="F298" s="7" t="s">
        <v>6403</v>
      </c>
      <c r="G298" s="7" t="s">
        <v>7150</v>
      </c>
      <c r="H298" s="7" t="s">
        <v>7156</v>
      </c>
      <c r="I298" s="7"/>
      <c r="J298" s="10">
        <v>40058</v>
      </c>
      <c r="K298" s="7" t="s">
        <v>7163</v>
      </c>
      <c r="L298" s="7"/>
      <c r="M298" s="7"/>
    </row>
    <row r="299" spans="1:13" x14ac:dyDescent="0.3">
      <c r="A299" s="7">
        <v>10682</v>
      </c>
      <c r="B299" s="7" t="s">
        <v>307</v>
      </c>
      <c r="C299" s="7" t="s">
        <v>6396</v>
      </c>
      <c r="D299" s="7" t="s">
        <v>6402</v>
      </c>
      <c r="E299" s="7" t="s">
        <v>6295</v>
      </c>
      <c r="F299" s="7" t="s">
        <v>6403</v>
      </c>
      <c r="G299" s="7" t="s">
        <v>7150</v>
      </c>
      <c r="H299" s="7" t="s">
        <v>7156</v>
      </c>
      <c r="I299" s="7"/>
      <c r="J299" s="10">
        <v>41640</v>
      </c>
      <c r="K299" s="7" t="s">
        <v>7163</v>
      </c>
      <c r="L299" s="7"/>
      <c r="M299" s="7"/>
    </row>
    <row r="300" spans="1:13" x14ac:dyDescent="0.3">
      <c r="A300" s="7">
        <v>10726</v>
      </c>
      <c r="B300" s="7" t="s">
        <v>308</v>
      </c>
      <c r="C300" s="7" t="s">
        <v>6396</v>
      </c>
      <c r="D300" s="7" t="s">
        <v>6402</v>
      </c>
      <c r="E300" s="7" t="s">
        <v>6295</v>
      </c>
      <c r="F300" s="7" t="s">
        <v>6403</v>
      </c>
      <c r="G300" s="7" t="s">
        <v>7150</v>
      </c>
      <c r="H300" s="7" t="s">
        <v>7156</v>
      </c>
      <c r="I300" s="7"/>
      <c r="J300" s="10">
        <v>41746</v>
      </c>
      <c r="K300" s="7" t="s">
        <v>7163</v>
      </c>
      <c r="L300" s="7"/>
      <c r="M300" s="7"/>
    </row>
    <row r="301" spans="1:13" x14ac:dyDescent="0.3">
      <c r="A301" s="7">
        <v>11201</v>
      </c>
      <c r="B301" s="7" t="s">
        <v>309</v>
      </c>
      <c r="C301" s="7" t="s">
        <v>6396</v>
      </c>
      <c r="D301" s="7" t="s">
        <v>6402</v>
      </c>
      <c r="E301" s="7" t="s">
        <v>6295</v>
      </c>
      <c r="F301" s="7" t="s">
        <v>6403</v>
      </c>
      <c r="G301" s="7" t="s">
        <v>7150</v>
      </c>
      <c r="H301" s="7" t="s">
        <v>7156</v>
      </c>
      <c r="I301" s="7"/>
      <c r="J301" s="10">
        <v>42415</v>
      </c>
      <c r="K301" s="7" t="s">
        <v>7163</v>
      </c>
      <c r="L301" s="7"/>
      <c r="M301" s="7"/>
    </row>
    <row r="302" spans="1:13" x14ac:dyDescent="0.3">
      <c r="A302" s="7">
        <v>17922</v>
      </c>
      <c r="B302" s="7" t="s">
        <v>310</v>
      </c>
      <c r="C302" s="7" t="s">
        <v>6396</v>
      </c>
      <c r="D302" s="7" t="s">
        <v>6402</v>
      </c>
      <c r="E302" s="7" t="s">
        <v>6295</v>
      </c>
      <c r="F302" s="7" t="s">
        <v>6403</v>
      </c>
      <c r="G302" s="7" t="s">
        <v>7150</v>
      </c>
      <c r="H302" s="7" t="s">
        <v>7156</v>
      </c>
      <c r="I302" s="7"/>
      <c r="J302" s="10">
        <v>45912</v>
      </c>
      <c r="K302" s="7" t="s">
        <v>7163</v>
      </c>
      <c r="L302" s="7"/>
      <c r="M302" s="7"/>
    </row>
    <row r="303" spans="1:13" x14ac:dyDescent="0.3">
      <c r="A303" s="7">
        <v>280005</v>
      </c>
      <c r="B303" s="7" t="s">
        <v>311</v>
      </c>
      <c r="C303" s="7" t="s">
        <v>6396</v>
      </c>
      <c r="D303" s="7" t="s">
        <v>6402</v>
      </c>
      <c r="E303" s="7" t="s">
        <v>6295</v>
      </c>
      <c r="F303" s="7" t="s">
        <v>6403</v>
      </c>
      <c r="G303" s="7" t="s">
        <v>7150</v>
      </c>
      <c r="H303" s="7" t="s">
        <v>7156</v>
      </c>
      <c r="I303" s="7"/>
      <c r="J303" s="10">
        <v>38568</v>
      </c>
      <c r="K303" s="7" t="s">
        <v>7163</v>
      </c>
      <c r="L303" s="7"/>
      <c r="M303" s="7"/>
    </row>
    <row r="304" spans="1:13" x14ac:dyDescent="0.3">
      <c r="A304" s="7">
        <v>11225</v>
      </c>
      <c r="B304" s="7" t="s">
        <v>312</v>
      </c>
      <c r="C304" s="7" t="s">
        <v>6396</v>
      </c>
      <c r="D304" s="7" t="s">
        <v>6402</v>
      </c>
      <c r="E304" s="7" t="s">
        <v>6295</v>
      </c>
      <c r="F304" s="7" t="s">
        <v>6403</v>
      </c>
      <c r="G304" s="7" t="s">
        <v>7150</v>
      </c>
      <c r="H304" s="7" t="s">
        <v>7156</v>
      </c>
      <c r="I304" s="7"/>
      <c r="J304" s="10">
        <v>42439</v>
      </c>
      <c r="K304" s="7" t="s">
        <v>7163</v>
      </c>
      <c r="L304" s="7"/>
      <c r="M304" s="7"/>
    </row>
    <row r="305" spans="1:13" x14ac:dyDescent="0.3">
      <c r="A305" s="7">
        <v>11514</v>
      </c>
      <c r="B305" s="7" t="s">
        <v>313</v>
      </c>
      <c r="C305" s="7" t="s">
        <v>6396</v>
      </c>
      <c r="D305" s="7" t="s">
        <v>6402</v>
      </c>
      <c r="E305" s="7" t="s">
        <v>6295</v>
      </c>
      <c r="F305" s="7" t="s">
        <v>6403</v>
      </c>
      <c r="G305" s="7" t="s">
        <v>7150</v>
      </c>
      <c r="H305" s="7" t="s">
        <v>7156</v>
      </c>
      <c r="I305" s="7"/>
      <c r="J305" s="10">
        <v>42783</v>
      </c>
      <c r="K305" s="7" t="s">
        <v>7163</v>
      </c>
      <c r="L305" s="7"/>
      <c r="M305" s="7"/>
    </row>
    <row r="306" spans="1:13" x14ac:dyDescent="0.3">
      <c r="A306" s="7">
        <v>12085</v>
      </c>
      <c r="B306" s="7" t="s">
        <v>314</v>
      </c>
      <c r="C306" s="7" t="s">
        <v>6396</v>
      </c>
      <c r="D306" s="7" t="s">
        <v>6402</v>
      </c>
      <c r="E306" s="7" t="s">
        <v>6295</v>
      </c>
      <c r="F306" s="7" t="s">
        <v>6403</v>
      </c>
      <c r="G306" s="7" t="s">
        <v>7150</v>
      </c>
      <c r="H306" s="7" t="s">
        <v>7156</v>
      </c>
      <c r="I306" s="7"/>
      <c r="J306" s="10">
        <v>43455</v>
      </c>
      <c r="K306" s="7" t="s">
        <v>7163</v>
      </c>
      <c r="L306" s="7"/>
      <c r="M306" s="7"/>
    </row>
    <row r="307" spans="1:13" x14ac:dyDescent="0.3">
      <c r="A307" s="7">
        <v>12464</v>
      </c>
      <c r="B307" s="7" t="s">
        <v>315</v>
      </c>
      <c r="C307" s="7" t="s">
        <v>6396</v>
      </c>
      <c r="D307" s="7" t="s">
        <v>6402</v>
      </c>
      <c r="E307" s="7" t="s">
        <v>6295</v>
      </c>
      <c r="F307" s="7" t="s">
        <v>6403</v>
      </c>
      <c r="G307" s="7" t="s">
        <v>7150</v>
      </c>
      <c r="H307" s="7" t="s">
        <v>7156</v>
      </c>
      <c r="I307" s="7"/>
      <c r="J307" s="10">
        <v>43760</v>
      </c>
      <c r="K307" s="7" t="s">
        <v>7163</v>
      </c>
      <c r="L307" s="7"/>
      <c r="M307" s="7"/>
    </row>
    <row r="308" spans="1:13" x14ac:dyDescent="0.3">
      <c r="A308" s="7">
        <v>13413</v>
      </c>
      <c r="B308" s="7" t="s">
        <v>316</v>
      </c>
      <c r="C308" s="7" t="s">
        <v>6396</v>
      </c>
      <c r="D308" s="7" t="s">
        <v>6402</v>
      </c>
      <c r="E308" s="7" t="s">
        <v>6295</v>
      </c>
      <c r="F308" s="7" t="s">
        <v>6403</v>
      </c>
      <c r="G308" s="7" t="s">
        <v>7150</v>
      </c>
      <c r="H308" s="7" t="s">
        <v>7156</v>
      </c>
      <c r="I308" s="7"/>
      <c r="J308" s="10">
        <v>44431</v>
      </c>
      <c r="K308" s="7" t="s">
        <v>7163</v>
      </c>
      <c r="L308" s="7"/>
      <c r="M308" s="7"/>
    </row>
    <row r="309" spans="1:13" x14ac:dyDescent="0.3">
      <c r="A309" s="7">
        <v>14128</v>
      </c>
      <c r="B309" s="7" t="s">
        <v>317</v>
      </c>
      <c r="C309" s="7" t="s">
        <v>6396</v>
      </c>
      <c r="D309" s="7" t="s">
        <v>6402</v>
      </c>
      <c r="E309" s="7" t="s">
        <v>6295</v>
      </c>
      <c r="F309" s="7" t="s">
        <v>6403</v>
      </c>
      <c r="G309" s="7" t="s">
        <v>7150</v>
      </c>
      <c r="H309" s="7" t="s">
        <v>7156</v>
      </c>
      <c r="I309" s="7"/>
      <c r="J309" s="10">
        <v>44670</v>
      </c>
      <c r="K309" s="7" t="s">
        <v>7163</v>
      </c>
      <c r="L309" s="7"/>
      <c r="M309" s="7"/>
    </row>
    <row r="310" spans="1:13" x14ac:dyDescent="0.3">
      <c r="A310" s="7">
        <v>15192</v>
      </c>
      <c r="B310" s="7" t="s">
        <v>318</v>
      </c>
      <c r="C310" s="7" t="s">
        <v>6396</v>
      </c>
      <c r="D310" s="7" t="s">
        <v>6402</v>
      </c>
      <c r="E310" s="7" t="s">
        <v>6295</v>
      </c>
      <c r="F310" s="7" t="s">
        <v>6403</v>
      </c>
      <c r="G310" s="7" t="s">
        <v>7150</v>
      </c>
      <c r="H310" s="7" t="s">
        <v>7156</v>
      </c>
      <c r="I310" s="7"/>
      <c r="J310" s="10">
        <v>44980</v>
      </c>
      <c r="K310" s="7" t="s">
        <v>7163</v>
      </c>
      <c r="L310" s="7"/>
      <c r="M310" s="7"/>
    </row>
    <row r="311" spans="1:13" x14ac:dyDescent="0.3">
      <c r="A311" s="7">
        <v>15205</v>
      </c>
      <c r="B311" s="7" t="s">
        <v>319</v>
      </c>
      <c r="C311" s="7" t="s">
        <v>6396</v>
      </c>
      <c r="D311" s="7" t="s">
        <v>6402</v>
      </c>
      <c r="E311" s="7" t="s">
        <v>6295</v>
      </c>
      <c r="F311" s="7" t="s">
        <v>6403</v>
      </c>
      <c r="G311" s="7" t="s">
        <v>7150</v>
      </c>
      <c r="H311" s="7" t="s">
        <v>7156</v>
      </c>
      <c r="I311" s="7"/>
      <c r="J311" s="10">
        <v>44986</v>
      </c>
      <c r="K311" s="7" t="s">
        <v>7163</v>
      </c>
      <c r="L311" s="7"/>
      <c r="M311" s="7"/>
    </row>
    <row r="312" spans="1:13" x14ac:dyDescent="0.3">
      <c r="A312" s="7">
        <v>15303</v>
      </c>
      <c r="B312" s="7" t="s">
        <v>320</v>
      </c>
      <c r="C312" s="7" t="s">
        <v>6396</v>
      </c>
      <c r="D312" s="7" t="s">
        <v>6402</v>
      </c>
      <c r="E312" s="7" t="s">
        <v>6295</v>
      </c>
      <c r="F312" s="7" t="s">
        <v>6403</v>
      </c>
      <c r="G312" s="7" t="s">
        <v>7150</v>
      </c>
      <c r="H312" s="7" t="s">
        <v>7156</v>
      </c>
      <c r="I312" s="7"/>
      <c r="J312" s="10">
        <v>45019</v>
      </c>
      <c r="K312" s="7" t="s">
        <v>7163</v>
      </c>
      <c r="L312" s="7"/>
      <c r="M312" s="7"/>
    </row>
    <row r="313" spans="1:13" x14ac:dyDescent="0.3">
      <c r="A313" s="7">
        <v>15757</v>
      </c>
      <c r="B313" s="7" t="s">
        <v>321</v>
      </c>
      <c r="C313" s="7" t="s">
        <v>6396</v>
      </c>
      <c r="D313" s="7" t="s">
        <v>6402</v>
      </c>
      <c r="E313" s="7" t="s">
        <v>6295</v>
      </c>
      <c r="F313" s="7" t="s">
        <v>6403</v>
      </c>
      <c r="G313" s="7" t="s">
        <v>7150</v>
      </c>
      <c r="H313" s="7" t="s">
        <v>7156</v>
      </c>
      <c r="I313" s="7"/>
      <c r="J313" s="10">
        <v>45183</v>
      </c>
      <c r="K313" s="7" t="s">
        <v>7163</v>
      </c>
      <c r="L313" s="7"/>
      <c r="M313" s="7"/>
    </row>
    <row r="314" spans="1:13" x14ac:dyDescent="0.3">
      <c r="A314" s="7">
        <v>15765</v>
      </c>
      <c r="B314" s="7" t="s">
        <v>322</v>
      </c>
      <c r="C314" s="7" t="s">
        <v>6396</v>
      </c>
      <c r="D314" s="7" t="s">
        <v>6402</v>
      </c>
      <c r="E314" s="7" t="s">
        <v>6295</v>
      </c>
      <c r="F314" s="7" t="s">
        <v>6403</v>
      </c>
      <c r="G314" s="7" t="s">
        <v>7150</v>
      </c>
      <c r="H314" s="7" t="s">
        <v>7156</v>
      </c>
      <c r="I314" s="7"/>
      <c r="J314" s="10">
        <v>45184</v>
      </c>
      <c r="K314" s="7" t="s">
        <v>7163</v>
      </c>
      <c r="L314" s="7"/>
      <c r="M314" s="7"/>
    </row>
    <row r="315" spans="1:13" x14ac:dyDescent="0.3">
      <c r="A315" s="7">
        <v>16067</v>
      </c>
      <c r="B315" s="7" t="s">
        <v>323</v>
      </c>
      <c r="C315" s="7" t="s">
        <v>6396</v>
      </c>
      <c r="D315" s="7" t="s">
        <v>6402</v>
      </c>
      <c r="E315" s="7" t="s">
        <v>6295</v>
      </c>
      <c r="F315" s="7" t="s">
        <v>6403</v>
      </c>
      <c r="G315" s="7" t="s">
        <v>7150</v>
      </c>
      <c r="H315" s="7" t="s">
        <v>7156</v>
      </c>
      <c r="I315" s="7"/>
      <c r="J315" s="10">
        <v>45272</v>
      </c>
      <c r="K315" s="7" t="s">
        <v>7163</v>
      </c>
      <c r="L315" s="7"/>
      <c r="M315" s="7"/>
    </row>
    <row r="316" spans="1:13" x14ac:dyDescent="0.3">
      <c r="A316" s="7">
        <v>16081</v>
      </c>
      <c r="B316" s="7" t="s">
        <v>324</v>
      </c>
      <c r="C316" s="7" t="s">
        <v>6396</v>
      </c>
      <c r="D316" s="7" t="s">
        <v>6402</v>
      </c>
      <c r="E316" s="7" t="s">
        <v>6295</v>
      </c>
      <c r="F316" s="7" t="s">
        <v>6403</v>
      </c>
      <c r="G316" s="7" t="s">
        <v>7150</v>
      </c>
      <c r="H316" s="7" t="s">
        <v>7156</v>
      </c>
      <c r="I316" s="7"/>
      <c r="J316" s="10">
        <v>45275</v>
      </c>
      <c r="K316" s="7" t="s">
        <v>7163</v>
      </c>
      <c r="L316" s="7"/>
      <c r="M316" s="7"/>
    </row>
    <row r="317" spans="1:13" x14ac:dyDescent="0.3">
      <c r="A317" s="7">
        <v>16356</v>
      </c>
      <c r="B317" s="7" t="s">
        <v>325</v>
      </c>
      <c r="C317" s="7" t="s">
        <v>6396</v>
      </c>
      <c r="D317" s="7" t="s">
        <v>6402</v>
      </c>
      <c r="E317" s="7" t="s">
        <v>6295</v>
      </c>
      <c r="F317" s="7" t="s">
        <v>6403</v>
      </c>
      <c r="G317" s="7" t="s">
        <v>7150</v>
      </c>
      <c r="H317" s="7" t="s">
        <v>7156</v>
      </c>
      <c r="I317" s="7"/>
      <c r="J317" s="10">
        <v>45358</v>
      </c>
      <c r="K317" s="7" t="s">
        <v>7163</v>
      </c>
      <c r="L317" s="7"/>
      <c r="M317" s="7"/>
    </row>
    <row r="318" spans="1:13" x14ac:dyDescent="0.3">
      <c r="A318" s="7">
        <v>16806</v>
      </c>
      <c r="B318" s="7" t="s">
        <v>326</v>
      </c>
      <c r="C318" s="7" t="s">
        <v>6396</v>
      </c>
      <c r="D318" s="7" t="s">
        <v>6402</v>
      </c>
      <c r="E318" s="7" t="s">
        <v>6295</v>
      </c>
      <c r="F318" s="7" t="s">
        <v>6403</v>
      </c>
      <c r="G318" s="7" t="s">
        <v>7150</v>
      </c>
      <c r="H318" s="7" t="s">
        <v>7156</v>
      </c>
      <c r="I318" s="7"/>
      <c r="J318" s="10">
        <v>45554</v>
      </c>
      <c r="K318" s="7" t="s">
        <v>7163</v>
      </c>
      <c r="L318" s="7"/>
      <c r="M318" s="7"/>
    </row>
    <row r="319" spans="1:13" x14ac:dyDescent="0.3">
      <c r="A319" s="7">
        <v>17625</v>
      </c>
      <c r="B319" s="7" t="s">
        <v>327</v>
      </c>
      <c r="C319" s="7" t="s">
        <v>6396</v>
      </c>
      <c r="D319" s="7" t="s">
        <v>6402</v>
      </c>
      <c r="E319" s="7" t="s">
        <v>6295</v>
      </c>
      <c r="F319" s="7" t="s">
        <v>6403</v>
      </c>
      <c r="G319" s="7" t="s">
        <v>7150</v>
      </c>
      <c r="H319" s="7" t="s">
        <v>7156</v>
      </c>
      <c r="I319" s="7"/>
      <c r="J319" s="10">
        <v>45819</v>
      </c>
      <c r="K319" s="7" t="s">
        <v>7163</v>
      </c>
      <c r="L319" s="7"/>
      <c r="M319" s="7"/>
    </row>
    <row r="320" spans="1:13" x14ac:dyDescent="0.3">
      <c r="A320" s="7">
        <v>18171</v>
      </c>
      <c r="B320" s="7" t="s">
        <v>328</v>
      </c>
      <c r="C320" s="7" t="s">
        <v>6396</v>
      </c>
      <c r="D320" s="7" t="s">
        <v>6402</v>
      </c>
      <c r="E320" s="7" t="s">
        <v>6295</v>
      </c>
      <c r="F320" s="7" t="s">
        <v>6403</v>
      </c>
      <c r="G320" s="7" t="s">
        <v>7150</v>
      </c>
      <c r="H320" s="7" t="s">
        <v>7156</v>
      </c>
      <c r="I320" s="7"/>
      <c r="J320" s="10">
        <v>46027</v>
      </c>
      <c r="K320" s="7" t="s">
        <v>7163</v>
      </c>
      <c r="L320" s="7"/>
      <c r="M320" s="7"/>
    </row>
    <row r="321" spans="1:13" x14ac:dyDescent="0.3">
      <c r="A321" s="7">
        <v>13845</v>
      </c>
      <c r="B321" s="7" t="s">
        <v>329</v>
      </c>
      <c r="C321" s="7" t="s">
        <v>6396</v>
      </c>
      <c r="D321" s="7" t="s">
        <v>6402</v>
      </c>
      <c r="E321" s="7" t="s">
        <v>6295</v>
      </c>
      <c r="F321" s="7" t="s">
        <v>6404</v>
      </c>
      <c r="G321" s="7" t="s">
        <v>7150</v>
      </c>
      <c r="H321" s="7" t="s">
        <v>7156</v>
      </c>
      <c r="I321" s="7"/>
      <c r="J321" s="10">
        <v>44601</v>
      </c>
      <c r="K321" s="7" t="s">
        <v>7163</v>
      </c>
      <c r="L321" s="7"/>
      <c r="M321" s="7"/>
    </row>
    <row r="322" spans="1:13" x14ac:dyDescent="0.3">
      <c r="A322" s="7">
        <v>11837</v>
      </c>
      <c r="B322" s="7" t="s">
        <v>330</v>
      </c>
      <c r="C322" s="7" t="s">
        <v>6396</v>
      </c>
      <c r="D322" s="7" t="s">
        <v>6405</v>
      </c>
      <c r="E322" s="7" t="s">
        <v>6295</v>
      </c>
      <c r="F322" s="7" t="s">
        <v>6338</v>
      </c>
      <c r="G322" s="7" t="s">
        <v>7150</v>
      </c>
      <c r="H322" s="7" t="s">
        <v>7156</v>
      </c>
      <c r="I322" s="7"/>
      <c r="J322" s="10">
        <v>43192</v>
      </c>
      <c r="K322" s="7" t="s">
        <v>7163</v>
      </c>
      <c r="L322" s="7"/>
      <c r="M322" s="7"/>
    </row>
    <row r="323" spans="1:13" x14ac:dyDescent="0.3">
      <c r="A323" s="7">
        <v>10732</v>
      </c>
      <c r="B323" s="7" t="s">
        <v>331</v>
      </c>
      <c r="C323" s="7" t="s">
        <v>6396</v>
      </c>
      <c r="D323" s="7" t="s">
        <v>6405</v>
      </c>
      <c r="E323" s="7" t="s">
        <v>6295</v>
      </c>
      <c r="F323" s="7" t="s">
        <v>6335</v>
      </c>
      <c r="G323" s="7" t="s">
        <v>7150</v>
      </c>
      <c r="H323" s="7" t="s">
        <v>7156</v>
      </c>
      <c r="I323" s="7"/>
      <c r="J323" s="10">
        <v>41765</v>
      </c>
      <c r="K323" s="7" t="s">
        <v>7163</v>
      </c>
      <c r="L323" s="7"/>
      <c r="M323" s="7"/>
    </row>
    <row r="324" spans="1:13" x14ac:dyDescent="0.3">
      <c r="A324" s="7">
        <v>12112</v>
      </c>
      <c r="B324" s="7" t="s">
        <v>332</v>
      </c>
      <c r="C324" s="7" t="s">
        <v>6396</v>
      </c>
      <c r="D324" s="7" t="s">
        <v>6405</v>
      </c>
      <c r="E324" s="7" t="s">
        <v>6295</v>
      </c>
      <c r="F324" s="7" t="s">
        <v>6353</v>
      </c>
      <c r="G324" s="7" t="s">
        <v>7150</v>
      </c>
      <c r="H324" s="7" t="s">
        <v>7156</v>
      </c>
      <c r="I324" s="7"/>
      <c r="J324" s="10">
        <v>43482</v>
      </c>
      <c r="K324" s="7" t="s">
        <v>7163</v>
      </c>
      <c r="L324" s="7"/>
      <c r="M324" s="7"/>
    </row>
    <row r="325" spans="1:13" x14ac:dyDescent="0.3">
      <c r="A325" s="7">
        <v>18283</v>
      </c>
      <c r="B325" s="7" t="s">
        <v>333</v>
      </c>
      <c r="C325" s="7" t="s">
        <v>6396</v>
      </c>
      <c r="D325" s="7" t="s">
        <v>6405</v>
      </c>
      <c r="E325" s="7" t="s">
        <v>6295</v>
      </c>
      <c r="F325" s="7" t="s">
        <v>6335</v>
      </c>
      <c r="G325" s="7" t="s">
        <v>7150</v>
      </c>
      <c r="H325" s="7" t="s">
        <v>7156</v>
      </c>
      <c r="I325" s="7" t="s">
        <v>7159</v>
      </c>
      <c r="J325" s="10">
        <v>46072</v>
      </c>
      <c r="K325" s="7" t="s">
        <v>7163</v>
      </c>
      <c r="L325" s="7"/>
      <c r="M325" s="7"/>
    </row>
    <row r="326" spans="1:13" x14ac:dyDescent="0.3">
      <c r="A326" s="7">
        <v>12431</v>
      </c>
      <c r="B326" s="7" t="s">
        <v>334</v>
      </c>
      <c r="C326" s="7" t="s">
        <v>6396</v>
      </c>
      <c r="D326" s="7" t="s">
        <v>6405</v>
      </c>
      <c r="E326" s="7" t="s">
        <v>6295</v>
      </c>
      <c r="F326" s="7" t="s">
        <v>6353</v>
      </c>
      <c r="G326" s="7" t="s">
        <v>7150</v>
      </c>
      <c r="H326" s="7" t="s">
        <v>7156</v>
      </c>
      <c r="I326" s="7"/>
      <c r="J326" s="10">
        <v>43752</v>
      </c>
      <c r="K326" s="7" t="s">
        <v>7163</v>
      </c>
      <c r="L326" s="7"/>
      <c r="M326" s="7"/>
    </row>
    <row r="327" spans="1:13" x14ac:dyDescent="0.3">
      <c r="A327" s="7">
        <v>12783</v>
      </c>
      <c r="B327" s="7" t="s">
        <v>335</v>
      </c>
      <c r="C327" s="7" t="s">
        <v>6396</v>
      </c>
      <c r="D327" s="7" t="s">
        <v>6405</v>
      </c>
      <c r="E327" s="7" t="s">
        <v>6295</v>
      </c>
      <c r="F327" s="7" t="s">
        <v>6340</v>
      </c>
      <c r="G327" s="7" t="s">
        <v>7150</v>
      </c>
      <c r="H327" s="7" t="s">
        <v>7156</v>
      </c>
      <c r="I327" s="7"/>
      <c r="J327" s="10">
        <v>43930</v>
      </c>
      <c r="K327" s="7" t="s">
        <v>7163</v>
      </c>
      <c r="L327" s="7"/>
      <c r="M327" s="7"/>
    </row>
    <row r="328" spans="1:13" x14ac:dyDescent="0.3">
      <c r="A328" s="7">
        <v>17545</v>
      </c>
      <c r="B328" s="7" t="s">
        <v>336</v>
      </c>
      <c r="C328" s="7" t="s">
        <v>6396</v>
      </c>
      <c r="D328" s="7" t="s">
        <v>6405</v>
      </c>
      <c r="E328" s="7" t="s">
        <v>6295</v>
      </c>
      <c r="F328" s="7" t="s">
        <v>6406</v>
      </c>
      <c r="G328" s="7" t="s">
        <v>7150</v>
      </c>
      <c r="H328" s="7" t="s">
        <v>7157</v>
      </c>
      <c r="I328" s="7"/>
      <c r="J328" s="10">
        <v>45792</v>
      </c>
      <c r="K328" s="7" t="s">
        <v>7163</v>
      </c>
      <c r="L328" s="7"/>
      <c r="M328" s="7"/>
    </row>
    <row r="329" spans="1:13" x14ac:dyDescent="0.3">
      <c r="A329" s="7">
        <v>14454</v>
      </c>
      <c r="B329" s="7" t="s">
        <v>337</v>
      </c>
      <c r="C329" s="7" t="s">
        <v>6396</v>
      </c>
      <c r="D329" s="7" t="s">
        <v>6407</v>
      </c>
      <c r="E329" s="7" t="s">
        <v>6295</v>
      </c>
      <c r="F329" s="7" t="s">
        <v>6340</v>
      </c>
      <c r="G329" s="7" t="s">
        <v>7150</v>
      </c>
      <c r="H329" s="7" t="s">
        <v>7156</v>
      </c>
      <c r="I329" s="7"/>
      <c r="J329" s="10">
        <v>44763</v>
      </c>
      <c r="K329" s="7" t="s">
        <v>7163</v>
      </c>
      <c r="L329" s="7"/>
      <c r="M329" s="7"/>
    </row>
    <row r="330" spans="1:13" x14ac:dyDescent="0.3">
      <c r="A330" s="7">
        <v>17749</v>
      </c>
      <c r="B330" s="7" t="s">
        <v>338</v>
      </c>
      <c r="C330" s="7" t="s">
        <v>6396</v>
      </c>
      <c r="D330" s="7" t="s">
        <v>6405</v>
      </c>
      <c r="E330" s="7" t="s">
        <v>6295</v>
      </c>
      <c r="F330" s="7" t="s">
        <v>6340</v>
      </c>
      <c r="G330" s="7" t="s">
        <v>7150</v>
      </c>
      <c r="H330" s="7" t="s">
        <v>7156</v>
      </c>
      <c r="I330" s="7"/>
      <c r="J330" s="10">
        <v>45873</v>
      </c>
      <c r="K330" s="7" t="s">
        <v>7163</v>
      </c>
      <c r="L330" s="7"/>
      <c r="M330" s="7"/>
    </row>
    <row r="331" spans="1:13" x14ac:dyDescent="0.3">
      <c r="A331" s="7">
        <v>17753</v>
      </c>
      <c r="B331" s="7" t="s">
        <v>339</v>
      </c>
      <c r="C331" s="7" t="s">
        <v>6396</v>
      </c>
      <c r="D331" s="7" t="s">
        <v>6405</v>
      </c>
      <c r="E331" s="7" t="s">
        <v>6295</v>
      </c>
      <c r="F331" s="7" t="s">
        <v>6340</v>
      </c>
      <c r="G331" s="7" t="s">
        <v>7150</v>
      </c>
      <c r="H331" s="7" t="s">
        <v>7156</v>
      </c>
      <c r="I331" s="7"/>
      <c r="J331" s="10">
        <v>45880</v>
      </c>
      <c r="K331" s="7" t="s">
        <v>7163</v>
      </c>
      <c r="L331" s="7"/>
      <c r="M331" s="7"/>
    </row>
    <row r="332" spans="1:13" x14ac:dyDescent="0.3">
      <c r="A332" s="7">
        <v>15639</v>
      </c>
      <c r="B332" s="7" t="s">
        <v>340</v>
      </c>
      <c r="C332" s="7" t="s">
        <v>6396</v>
      </c>
      <c r="D332" s="7" t="s">
        <v>6405</v>
      </c>
      <c r="E332" s="7" t="s">
        <v>6295</v>
      </c>
      <c r="F332" s="7" t="s">
        <v>6340</v>
      </c>
      <c r="G332" s="7" t="s">
        <v>7152</v>
      </c>
      <c r="H332" s="7" t="s">
        <v>7156</v>
      </c>
      <c r="I332" s="7"/>
      <c r="J332" s="10">
        <v>45147</v>
      </c>
      <c r="K332" s="7" t="s">
        <v>7163</v>
      </c>
      <c r="L332" s="7"/>
      <c r="M332" s="7"/>
    </row>
    <row r="333" spans="1:13" x14ac:dyDescent="0.3">
      <c r="A333" s="7">
        <v>11570</v>
      </c>
      <c r="B333" s="7" t="s">
        <v>341</v>
      </c>
      <c r="C333" s="7" t="s">
        <v>6396</v>
      </c>
      <c r="D333" s="7" t="s">
        <v>6405</v>
      </c>
      <c r="E333" s="7" t="s">
        <v>6295</v>
      </c>
      <c r="F333" s="7" t="s">
        <v>6340</v>
      </c>
      <c r="G333" s="7" t="s">
        <v>7150</v>
      </c>
      <c r="H333" s="7" t="s">
        <v>7156</v>
      </c>
      <c r="I333" s="7"/>
      <c r="J333" s="10">
        <v>42858</v>
      </c>
      <c r="K333" s="7" t="s">
        <v>7163</v>
      </c>
      <c r="L333" s="7"/>
      <c r="M333" s="7"/>
    </row>
    <row r="334" spans="1:13" x14ac:dyDescent="0.3">
      <c r="A334" s="7">
        <v>18092</v>
      </c>
      <c r="B334" s="7" t="s">
        <v>342</v>
      </c>
      <c r="C334" s="7" t="s">
        <v>6396</v>
      </c>
      <c r="D334" s="7" t="s">
        <v>6405</v>
      </c>
      <c r="E334" s="7" t="s">
        <v>6295</v>
      </c>
      <c r="F334" s="7" t="s">
        <v>6340</v>
      </c>
      <c r="G334" s="7" t="s">
        <v>7150</v>
      </c>
      <c r="H334" s="7" t="s">
        <v>7156</v>
      </c>
      <c r="I334" s="7"/>
      <c r="J334" s="10">
        <v>45993</v>
      </c>
      <c r="K334" s="7" t="s">
        <v>7163</v>
      </c>
      <c r="L334" s="7"/>
      <c r="M334" s="7"/>
    </row>
    <row r="335" spans="1:13" x14ac:dyDescent="0.3">
      <c r="A335" s="7">
        <v>18282</v>
      </c>
      <c r="B335" s="7" t="s">
        <v>343</v>
      </c>
      <c r="C335" s="7" t="s">
        <v>6396</v>
      </c>
      <c r="D335" s="7" t="s">
        <v>6405</v>
      </c>
      <c r="E335" s="7" t="s">
        <v>6295</v>
      </c>
      <c r="F335" s="7" t="s">
        <v>6340</v>
      </c>
      <c r="G335" s="7" t="s">
        <v>7150</v>
      </c>
      <c r="H335" s="7" t="s">
        <v>7156</v>
      </c>
      <c r="I335" s="7" t="s">
        <v>7159</v>
      </c>
      <c r="J335" s="10">
        <v>46072</v>
      </c>
      <c r="K335" s="7" t="s">
        <v>7163</v>
      </c>
      <c r="L335" s="7"/>
      <c r="M335" s="7"/>
    </row>
    <row r="336" spans="1:13" x14ac:dyDescent="0.3">
      <c r="A336" s="7">
        <v>18336</v>
      </c>
      <c r="B336" s="7" t="s">
        <v>344</v>
      </c>
      <c r="C336" s="7" t="s">
        <v>6396</v>
      </c>
      <c r="D336" s="7" t="s">
        <v>6405</v>
      </c>
      <c r="E336" s="7" t="s">
        <v>6295</v>
      </c>
      <c r="F336" s="7" t="s">
        <v>6340</v>
      </c>
      <c r="G336" s="7" t="s">
        <v>7150</v>
      </c>
      <c r="H336" s="7" t="s">
        <v>7156</v>
      </c>
      <c r="I336" s="7" t="s">
        <v>7158</v>
      </c>
      <c r="J336" s="10">
        <v>46092</v>
      </c>
      <c r="K336" s="7" t="s">
        <v>7163</v>
      </c>
      <c r="L336" s="7"/>
      <c r="M336" s="7"/>
    </row>
    <row r="337" spans="1:13" x14ac:dyDescent="0.3">
      <c r="A337" s="7">
        <v>15760</v>
      </c>
      <c r="B337" s="7" t="s">
        <v>345</v>
      </c>
      <c r="C337" s="7" t="s">
        <v>6396</v>
      </c>
      <c r="D337" s="7" t="s">
        <v>6405</v>
      </c>
      <c r="E337" s="7" t="s">
        <v>6295</v>
      </c>
      <c r="F337" s="7" t="s">
        <v>6408</v>
      </c>
      <c r="G337" s="7" t="s">
        <v>7150</v>
      </c>
      <c r="H337" s="7" t="s">
        <v>7156</v>
      </c>
      <c r="I337" s="7"/>
      <c r="J337" s="10">
        <v>45187</v>
      </c>
      <c r="K337" s="7" t="s">
        <v>7163</v>
      </c>
      <c r="L337" s="7"/>
      <c r="M337" s="7"/>
    </row>
    <row r="338" spans="1:13" x14ac:dyDescent="0.3">
      <c r="A338" s="7">
        <v>17207</v>
      </c>
      <c r="B338" s="7" t="s">
        <v>346</v>
      </c>
      <c r="C338" s="7" t="s">
        <v>6396</v>
      </c>
      <c r="D338" s="7" t="s">
        <v>6405</v>
      </c>
      <c r="E338" s="7" t="s">
        <v>6295</v>
      </c>
      <c r="F338" s="7" t="s">
        <v>6408</v>
      </c>
      <c r="G338" s="7" t="s">
        <v>7150</v>
      </c>
      <c r="H338" s="7" t="s">
        <v>7156</v>
      </c>
      <c r="I338" s="7"/>
      <c r="J338" s="10">
        <v>45665</v>
      </c>
      <c r="K338" s="7" t="s">
        <v>7163</v>
      </c>
      <c r="L338" s="7"/>
      <c r="M338" s="7"/>
    </row>
    <row r="339" spans="1:13" x14ac:dyDescent="0.3">
      <c r="A339" s="7">
        <v>16722</v>
      </c>
      <c r="B339" s="7" t="s">
        <v>347</v>
      </c>
      <c r="C339" s="7" t="s">
        <v>6396</v>
      </c>
      <c r="D339" s="7" t="s">
        <v>6405</v>
      </c>
      <c r="E339" s="7" t="s">
        <v>6295</v>
      </c>
      <c r="F339" s="7" t="s">
        <v>6408</v>
      </c>
      <c r="G339" s="7" t="s">
        <v>7152</v>
      </c>
      <c r="H339" s="7" t="s">
        <v>7156</v>
      </c>
      <c r="I339" s="7"/>
      <c r="J339" s="10">
        <v>45545</v>
      </c>
      <c r="K339" s="7" t="s">
        <v>7163</v>
      </c>
      <c r="L339" s="7"/>
      <c r="M339" s="7"/>
    </row>
    <row r="340" spans="1:13" x14ac:dyDescent="0.3">
      <c r="A340" s="7">
        <v>18874</v>
      </c>
      <c r="B340" s="7" t="s">
        <v>348</v>
      </c>
      <c r="C340" s="7" t="s">
        <v>6396</v>
      </c>
      <c r="D340" s="7" t="s">
        <v>6405</v>
      </c>
      <c r="E340" s="7" t="s">
        <v>6295</v>
      </c>
      <c r="F340" s="7" t="s">
        <v>6406</v>
      </c>
      <c r="G340" s="7" t="s">
        <v>7150</v>
      </c>
      <c r="H340" s="7" t="s">
        <v>7157</v>
      </c>
      <c r="I340" s="7"/>
      <c r="J340" s="10">
        <v>46227</v>
      </c>
      <c r="K340" s="7" t="s">
        <v>7163</v>
      </c>
      <c r="L340" s="7"/>
      <c r="M340" s="7"/>
    </row>
    <row r="341" spans="1:13" x14ac:dyDescent="0.3">
      <c r="A341" s="7">
        <v>18048</v>
      </c>
      <c r="B341" s="7" t="s">
        <v>349</v>
      </c>
      <c r="C341" s="7" t="s">
        <v>6396</v>
      </c>
      <c r="D341" s="7" t="s">
        <v>6405</v>
      </c>
      <c r="E341" s="7" t="s">
        <v>6295</v>
      </c>
      <c r="F341" s="7" t="s">
        <v>6341</v>
      </c>
      <c r="G341" s="7" t="s">
        <v>7150</v>
      </c>
      <c r="H341" s="7" t="s">
        <v>7156</v>
      </c>
      <c r="I341" s="7"/>
      <c r="J341" s="10">
        <v>45975</v>
      </c>
      <c r="K341" s="7" t="s">
        <v>7163</v>
      </c>
      <c r="L341" s="7"/>
      <c r="M341" s="7"/>
    </row>
    <row r="342" spans="1:13" x14ac:dyDescent="0.3">
      <c r="A342" s="7">
        <v>18799</v>
      </c>
      <c r="B342" s="7" t="s">
        <v>350</v>
      </c>
      <c r="C342" s="7" t="s">
        <v>6396</v>
      </c>
      <c r="D342" s="7" t="s">
        <v>6405</v>
      </c>
      <c r="E342" s="7" t="s">
        <v>6295</v>
      </c>
      <c r="F342" s="7" t="s">
        <v>6341</v>
      </c>
      <c r="G342" s="7" t="s">
        <v>7150</v>
      </c>
      <c r="H342" s="7" t="s">
        <v>7156</v>
      </c>
      <c r="I342" s="7"/>
      <c r="J342" s="10">
        <v>46217</v>
      </c>
      <c r="K342" s="7" t="s">
        <v>7163</v>
      </c>
      <c r="L342" s="7"/>
      <c r="M342" s="7"/>
    </row>
    <row r="343" spans="1:13" x14ac:dyDescent="0.3">
      <c r="A343" s="7">
        <v>18839</v>
      </c>
      <c r="B343" s="7" t="s">
        <v>351</v>
      </c>
      <c r="C343" s="7" t="s">
        <v>6396</v>
      </c>
      <c r="D343" s="7" t="s">
        <v>6405</v>
      </c>
      <c r="E343" s="7" t="s">
        <v>6295</v>
      </c>
      <c r="F343" s="7" t="s">
        <v>6341</v>
      </c>
      <c r="G343" s="7" t="s">
        <v>7150</v>
      </c>
      <c r="H343" s="7" t="s">
        <v>7156</v>
      </c>
      <c r="I343" s="7"/>
      <c r="J343" s="10">
        <v>46223</v>
      </c>
      <c r="K343" s="7" t="s">
        <v>7163</v>
      </c>
      <c r="L343" s="7"/>
      <c r="M343" s="7"/>
    </row>
    <row r="344" spans="1:13" x14ac:dyDescent="0.3">
      <c r="A344" s="7">
        <v>19271</v>
      </c>
      <c r="B344" s="7" t="s">
        <v>352</v>
      </c>
      <c r="C344" s="7" t="s">
        <v>6396</v>
      </c>
      <c r="D344" s="7" t="s">
        <v>6405</v>
      </c>
      <c r="E344" s="7" t="s">
        <v>6295</v>
      </c>
      <c r="F344" s="7" t="s">
        <v>6341</v>
      </c>
      <c r="G344" s="7" t="s">
        <v>7150</v>
      </c>
      <c r="H344" s="7" t="s">
        <v>7156</v>
      </c>
      <c r="I344" s="7"/>
      <c r="J344" s="10">
        <v>46290</v>
      </c>
      <c r="K344" s="7" t="s">
        <v>7163</v>
      </c>
      <c r="L344" s="7"/>
      <c r="M344" s="7"/>
    </row>
    <row r="345" spans="1:13" x14ac:dyDescent="0.3">
      <c r="A345" s="7">
        <v>18977</v>
      </c>
      <c r="B345" s="7" t="s">
        <v>353</v>
      </c>
      <c r="C345" s="7" t="s">
        <v>6396</v>
      </c>
      <c r="D345" s="7" t="s">
        <v>6405</v>
      </c>
      <c r="E345" s="7" t="s">
        <v>6295</v>
      </c>
      <c r="F345" s="7" t="s">
        <v>6341</v>
      </c>
      <c r="G345" s="7" t="s">
        <v>7150</v>
      </c>
      <c r="H345" s="7" t="s">
        <v>7156</v>
      </c>
      <c r="I345" s="7"/>
      <c r="J345" s="10">
        <v>46254</v>
      </c>
      <c r="K345" s="7" t="s">
        <v>7163</v>
      </c>
      <c r="L345" s="7"/>
      <c r="M345" s="7"/>
    </row>
    <row r="346" spans="1:13" x14ac:dyDescent="0.3">
      <c r="A346" s="7">
        <v>18334</v>
      </c>
      <c r="B346" s="7" t="s">
        <v>354</v>
      </c>
      <c r="C346" s="7" t="s">
        <v>6396</v>
      </c>
      <c r="D346" s="7" t="s">
        <v>6405</v>
      </c>
      <c r="E346" s="7" t="s">
        <v>6295</v>
      </c>
      <c r="F346" s="7" t="s">
        <v>6341</v>
      </c>
      <c r="G346" s="7" t="s">
        <v>7150</v>
      </c>
      <c r="H346" s="7" t="s">
        <v>7156</v>
      </c>
      <c r="I346" s="7" t="s">
        <v>7159</v>
      </c>
      <c r="J346" s="10">
        <v>46091</v>
      </c>
      <c r="K346" s="7" t="s">
        <v>7163</v>
      </c>
      <c r="L346" s="7"/>
      <c r="M346" s="7"/>
    </row>
    <row r="347" spans="1:13" x14ac:dyDescent="0.3">
      <c r="A347" s="7">
        <v>10654</v>
      </c>
      <c r="B347" s="7" t="s">
        <v>355</v>
      </c>
      <c r="C347" s="7" t="s">
        <v>6396</v>
      </c>
      <c r="D347" s="7" t="s">
        <v>6407</v>
      </c>
      <c r="E347" s="7" t="s">
        <v>6295</v>
      </c>
      <c r="F347" s="7" t="s">
        <v>6338</v>
      </c>
      <c r="G347" s="7" t="s">
        <v>7150</v>
      </c>
      <c r="H347" s="7" t="s">
        <v>7156</v>
      </c>
      <c r="I347" s="7"/>
      <c r="J347" s="10">
        <v>41596</v>
      </c>
      <c r="K347" s="7" t="s">
        <v>7163</v>
      </c>
      <c r="L347" s="7"/>
      <c r="M347" s="7"/>
    </row>
    <row r="348" spans="1:13" x14ac:dyDescent="0.3">
      <c r="A348" s="7">
        <v>11361</v>
      </c>
      <c r="B348" s="7" t="s">
        <v>356</v>
      </c>
      <c r="C348" s="7" t="s">
        <v>6396</v>
      </c>
      <c r="D348" s="7" t="s">
        <v>6407</v>
      </c>
      <c r="E348" s="7" t="s">
        <v>6295</v>
      </c>
      <c r="F348" s="7" t="s">
        <v>6335</v>
      </c>
      <c r="G348" s="7" t="s">
        <v>7150</v>
      </c>
      <c r="H348" s="7" t="s">
        <v>7156</v>
      </c>
      <c r="I348" s="7"/>
      <c r="J348" s="10">
        <v>42593</v>
      </c>
      <c r="K348" s="7" t="s">
        <v>7163</v>
      </c>
      <c r="L348" s="7"/>
      <c r="M348" s="7"/>
    </row>
    <row r="349" spans="1:13" x14ac:dyDescent="0.3">
      <c r="A349" s="7">
        <v>11728</v>
      </c>
      <c r="B349" s="7" t="s">
        <v>357</v>
      </c>
      <c r="C349" s="7" t="s">
        <v>6396</v>
      </c>
      <c r="D349" s="7" t="s">
        <v>6405</v>
      </c>
      <c r="E349" s="7" t="s">
        <v>6295</v>
      </c>
      <c r="F349" s="7" t="s">
        <v>6335</v>
      </c>
      <c r="G349" s="7" t="s">
        <v>7150</v>
      </c>
      <c r="H349" s="7" t="s">
        <v>7156</v>
      </c>
      <c r="I349" s="7"/>
      <c r="J349" s="10">
        <v>43066</v>
      </c>
      <c r="K349" s="7" t="s">
        <v>7163</v>
      </c>
      <c r="L349" s="7"/>
      <c r="M349" s="7"/>
    </row>
    <row r="350" spans="1:13" x14ac:dyDescent="0.3">
      <c r="A350" s="7">
        <v>12286</v>
      </c>
      <c r="B350" s="7" t="s">
        <v>358</v>
      </c>
      <c r="C350" s="7" t="s">
        <v>6396</v>
      </c>
      <c r="D350" s="7" t="s">
        <v>6405</v>
      </c>
      <c r="E350" s="7" t="s">
        <v>6295</v>
      </c>
      <c r="F350" s="7" t="s">
        <v>6353</v>
      </c>
      <c r="G350" s="7" t="s">
        <v>7150</v>
      </c>
      <c r="H350" s="7" t="s">
        <v>7156</v>
      </c>
      <c r="I350" s="7"/>
      <c r="J350" s="10">
        <v>43668</v>
      </c>
      <c r="K350" s="7" t="s">
        <v>7163</v>
      </c>
      <c r="L350" s="7"/>
      <c r="M350" s="7"/>
    </row>
    <row r="351" spans="1:13" x14ac:dyDescent="0.3">
      <c r="A351" s="7">
        <v>15041</v>
      </c>
      <c r="B351" s="7" t="s">
        <v>359</v>
      </c>
      <c r="C351" s="7" t="s">
        <v>6396</v>
      </c>
      <c r="D351" s="7" t="s">
        <v>6405</v>
      </c>
      <c r="E351" s="7" t="s">
        <v>6295</v>
      </c>
      <c r="F351" s="7" t="s">
        <v>6353</v>
      </c>
      <c r="G351" s="7" t="s">
        <v>7150</v>
      </c>
      <c r="H351" s="7" t="s">
        <v>7156</v>
      </c>
      <c r="I351" s="7"/>
      <c r="J351" s="10">
        <v>44932</v>
      </c>
      <c r="K351" s="7" t="s">
        <v>7163</v>
      </c>
      <c r="L351" s="7"/>
      <c r="M351" s="7"/>
    </row>
    <row r="352" spans="1:13" x14ac:dyDescent="0.3">
      <c r="A352" s="7">
        <v>13042</v>
      </c>
      <c r="B352" s="7" t="s">
        <v>360</v>
      </c>
      <c r="C352" s="7" t="s">
        <v>6396</v>
      </c>
      <c r="D352" s="7" t="s">
        <v>6407</v>
      </c>
      <c r="E352" s="7" t="s">
        <v>6295</v>
      </c>
      <c r="F352" s="7" t="s">
        <v>6353</v>
      </c>
      <c r="G352" s="7" t="s">
        <v>7150</v>
      </c>
      <c r="H352" s="7" t="s">
        <v>7156</v>
      </c>
      <c r="I352" s="7"/>
      <c r="J352" s="10">
        <v>44214</v>
      </c>
      <c r="K352" s="7" t="s">
        <v>7163</v>
      </c>
      <c r="L352" s="7"/>
      <c r="M352" s="7"/>
    </row>
    <row r="353" spans="1:13" x14ac:dyDescent="0.3">
      <c r="A353" s="7">
        <v>11839</v>
      </c>
      <c r="B353" s="7" t="s">
        <v>361</v>
      </c>
      <c r="C353" s="7" t="s">
        <v>6396</v>
      </c>
      <c r="D353" s="7" t="s">
        <v>6407</v>
      </c>
      <c r="E353" s="7" t="s">
        <v>6295</v>
      </c>
      <c r="F353" s="7" t="s">
        <v>6340</v>
      </c>
      <c r="G353" s="7" t="s">
        <v>7150</v>
      </c>
      <c r="H353" s="7" t="s">
        <v>7156</v>
      </c>
      <c r="I353" s="7"/>
      <c r="J353" s="10">
        <v>43192</v>
      </c>
      <c r="K353" s="7" t="s">
        <v>7163</v>
      </c>
      <c r="L353" s="7"/>
      <c r="M353" s="7"/>
    </row>
    <row r="354" spans="1:13" x14ac:dyDescent="0.3">
      <c r="A354" s="7">
        <v>11686</v>
      </c>
      <c r="B354" s="7" t="s">
        <v>362</v>
      </c>
      <c r="C354" s="7" t="s">
        <v>6396</v>
      </c>
      <c r="D354" s="7" t="s">
        <v>6407</v>
      </c>
      <c r="E354" s="7" t="s">
        <v>6295</v>
      </c>
      <c r="F354" s="7" t="s">
        <v>6340</v>
      </c>
      <c r="G354" s="7" t="s">
        <v>7150</v>
      </c>
      <c r="H354" s="7" t="s">
        <v>7156</v>
      </c>
      <c r="I354" s="7"/>
      <c r="J354" s="10">
        <v>43018</v>
      </c>
      <c r="K354" s="7" t="s">
        <v>7163</v>
      </c>
      <c r="L354" s="7"/>
      <c r="M354" s="7"/>
    </row>
    <row r="355" spans="1:13" x14ac:dyDescent="0.3">
      <c r="A355" s="7">
        <v>10613</v>
      </c>
      <c r="B355" s="7" t="s">
        <v>363</v>
      </c>
      <c r="C355" s="7" t="s">
        <v>6396</v>
      </c>
      <c r="D355" s="7" t="s">
        <v>6407</v>
      </c>
      <c r="E355" s="7" t="s">
        <v>6295</v>
      </c>
      <c r="F355" s="7" t="s">
        <v>6340</v>
      </c>
      <c r="G355" s="7" t="s">
        <v>7150</v>
      </c>
      <c r="H355" s="7" t="s">
        <v>7156</v>
      </c>
      <c r="I355" s="7"/>
      <c r="J355" s="10">
        <v>41487</v>
      </c>
      <c r="K355" s="7" t="s">
        <v>7163</v>
      </c>
      <c r="L355" s="7"/>
      <c r="M355" s="7"/>
    </row>
    <row r="356" spans="1:13" x14ac:dyDescent="0.3">
      <c r="A356" s="7">
        <v>14538</v>
      </c>
      <c r="B356" s="7" t="s">
        <v>364</v>
      </c>
      <c r="C356" s="7" t="s">
        <v>6396</v>
      </c>
      <c r="D356" s="7" t="s">
        <v>6405</v>
      </c>
      <c r="E356" s="7" t="s">
        <v>6295</v>
      </c>
      <c r="F356" s="7" t="s">
        <v>6340</v>
      </c>
      <c r="G356" s="7" t="s">
        <v>7151</v>
      </c>
      <c r="H356" s="7" t="s">
        <v>7156</v>
      </c>
      <c r="I356" s="7"/>
      <c r="J356" s="10">
        <v>44784</v>
      </c>
      <c r="K356" s="7" t="s">
        <v>7163</v>
      </c>
      <c r="L356" s="7"/>
      <c r="M356" s="7"/>
    </row>
    <row r="357" spans="1:13" x14ac:dyDescent="0.3">
      <c r="A357" s="7">
        <v>12826</v>
      </c>
      <c r="B357" s="7" t="s">
        <v>365</v>
      </c>
      <c r="C357" s="7" t="s">
        <v>6396</v>
      </c>
      <c r="D357" s="7" t="s">
        <v>6405</v>
      </c>
      <c r="E357" s="7" t="s">
        <v>6295</v>
      </c>
      <c r="F357" s="7" t="s">
        <v>6340</v>
      </c>
      <c r="G357" s="7" t="s">
        <v>7150</v>
      </c>
      <c r="H357" s="7" t="s">
        <v>7156</v>
      </c>
      <c r="I357" s="7"/>
      <c r="J357" s="10">
        <v>43990</v>
      </c>
      <c r="K357" s="7" t="s">
        <v>7163</v>
      </c>
      <c r="L357" s="7"/>
      <c r="M357" s="7"/>
    </row>
    <row r="358" spans="1:13" x14ac:dyDescent="0.3">
      <c r="A358" s="7">
        <v>14131</v>
      </c>
      <c r="B358" s="7" t="s">
        <v>366</v>
      </c>
      <c r="C358" s="7" t="s">
        <v>6396</v>
      </c>
      <c r="D358" s="7" t="s">
        <v>6407</v>
      </c>
      <c r="E358" s="7" t="s">
        <v>6295</v>
      </c>
      <c r="F358" s="7" t="s">
        <v>6340</v>
      </c>
      <c r="G358" s="7" t="s">
        <v>7150</v>
      </c>
      <c r="H358" s="7" t="s">
        <v>7156</v>
      </c>
      <c r="I358" s="7"/>
      <c r="J358" s="10">
        <v>44672</v>
      </c>
      <c r="K358" s="7" t="s">
        <v>7163</v>
      </c>
      <c r="L358" s="7"/>
      <c r="M358" s="7"/>
    </row>
    <row r="359" spans="1:13" x14ac:dyDescent="0.3">
      <c r="A359" s="7">
        <v>15553</v>
      </c>
      <c r="B359" s="7" t="s">
        <v>367</v>
      </c>
      <c r="C359" s="7" t="s">
        <v>6396</v>
      </c>
      <c r="D359" s="7" t="s">
        <v>6407</v>
      </c>
      <c r="E359" s="7" t="s">
        <v>6295</v>
      </c>
      <c r="F359" s="7" t="s">
        <v>6409</v>
      </c>
      <c r="G359" s="7" t="s">
        <v>7150</v>
      </c>
      <c r="H359" s="7" t="s">
        <v>7156</v>
      </c>
      <c r="I359" s="7"/>
      <c r="J359" s="10">
        <v>45126</v>
      </c>
      <c r="K359" s="7" t="s">
        <v>7163</v>
      </c>
      <c r="L359" s="7"/>
      <c r="M359" s="7"/>
    </row>
    <row r="360" spans="1:13" x14ac:dyDescent="0.3">
      <c r="A360" s="7">
        <v>16128</v>
      </c>
      <c r="B360" s="7" t="s">
        <v>368</v>
      </c>
      <c r="C360" s="7" t="s">
        <v>6396</v>
      </c>
      <c r="D360" s="7" t="s">
        <v>6407</v>
      </c>
      <c r="E360" s="7" t="s">
        <v>6295</v>
      </c>
      <c r="F360" s="7" t="s">
        <v>6340</v>
      </c>
      <c r="G360" s="7" t="s">
        <v>7150</v>
      </c>
      <c r="H360" s="7" t="s">
        <v>7156</v>
      </c>
      <c r="I360" s="7"/>
      <c r="J360" s="10">
        <v>45299</v>
      </c>
      <c r="K360" s="7" t="s">
        <v>7163</v>
      </c>
      <c r="L360" s="7"/>
      <c r="M360" s="7"/>
    </row>
    <row r="361" spans="1:13" x14ac:dyDescent="0.3">
      <c r="A361" s="7">
        <v>10955</v>
      </c>
      <c r="B361" s="7" t="s">
        <v>369</v>
      </c>
      <c r="C361" s="7" t="s">
        <v>6396</v>
      </c>
      <c r="D361" s="7" t="s">
        <v>6407</v>
      </c>
      <c r="E361" s="7" t="s">
        <v>6295</v>
      </c>
      <c r="F361" s="7" t="s">
        <v>6341</v>
      </c>
      <c r="G361" s="7" t="s">
        <v>7150</v>
      </c>
      <c r="H361" s="7" t="s">
        <v>7156</v>
      </c>
      <c r="I361" s="7"/>
      <c r="J361" s="10">
        <v>42193</v>
      </c>
      <c r="K361" s="7" t="s">
        <v>7163</v>
      </c>
      <c r="L361" s="7"/>
      <c r="M361" s="7"/>
    </row>
    <row r="362" spans="1:13" x14ac:dyDescent="0.3">
      <c r="A362" s="7">
        <v>10884</v>
      </c>
      <c r="B362" s="7" t="s">
        <v>370</v>
      </c>
      <c r="C362" s="7" t="s">
        <v>6396</v>
      </c>
      <c r="D362" s="7" t="s">
        <v>6407</v>
      </c>
      <c r="E362" s="7" t="s">
        <v>6295</v>
      </c>
      <c r="F362" s="7" t="s">
        <v>6341</v>
      </c>
      <c r="G362" s="7" t="s">
        <v>7150</v>
      </c>
      <c r="H362" s="7" t="s">
        <v>7156</v>
      </c>
      <c r="I362" s="7"/>
      <c r="J362" s="10">
        <v>42075</v>
      </c>
      <c r="K362" s="7" t="s">
        <v>7163</v>
      </c>
      <c r="L362" s="7"/>
      <c r="M362" s="7"/>
    </row>
    <row r="363" spans="1:13" x14ac:dyDescent="0.3">
      <c r="A363" s="7">
        <v>11827</v>
      </c>
      <c r="B363" s="7" t="s">
        <v>371</v>
      </c>
      <c r="C363" s="7" t="s">
        <v>6396</v>
      </c>
      <c r="D363" s="7" t="s">
        <v>6407</v>
      </c>
      <c r="E363" s="7" t="s">
        <v>6295</v>
      </c>
      <c r="F363" s="7" t="s">
        <v>6408</v>
      </c>
      <c r="G363" s="7" t="s">
        <v>7150</v>
      </c>
      <c r="H363" s="7" t="s">
        <v>7156</v>
      </c>
      <c r="I363" s="7"/>
      <c r="J363" s="10">
        <v>43168</v>
      </c>
      <c r="K363" s="7" t="s">
        <v>7163</v>
      </c>
      <c r="L363" s="7"/>
      <c r="M363" s="7"/>
    </row>
    <row r="364" spans="1:13" x14ac:dyDescent="0.3">
      <c r="A364" s="7">
        <v>13722</v>
      </c>
      <c r="B364" s="7" t="s">
        <v>372</v>
      </c>
      <c r="C364" s="7" t="s">
        <v>6396</v>
      </c>
      <c r="D364" s="7" t="s">
        <v>6407</v>
      </c>
      <c r="E364" s="7" t="s">
        <v>6295</v>
      </c>
      <c r="F364" s="7" t="s">
        <v>6341</v>
      </c>
      <c r="G364" s="7" t="s">
        <v>7150</v>
      </c>
      <c r="H364" s="7" t="s">
        <v>7156</v>
      </c>
      <c r="I364" s="7"/>
      <c r="J364" s="10">
        <v>44547</v>
      </c>
      <c r="K364" s="7" t="s">
        <v>7163</v>
      </c>
      <c r="L364" s="7"/>
      <c r="M364" s="7"/>
    </row>
    <row r="365" spans="1:13" x14ac:dyDescent="0.3">
      <c r="A365" s="7">
        <v>16090</v>
      </c>
      <c r="B365" s="7" t="s">
        <v>373</v>
      </c>
      <c r="C365" s="7" t="s">
        <v>6396</v>
      </c>
      <c r="D365" s="7" t="s">
        <v>6405</v>
      </c>
      <c r="E365" s="7" t="s">
        <v>6295</v>
      </c>
      <c r="F365" s="7" t="s">
        <v>6341</v>
      </c>
      <c r="G365" s="7" t="s">
        <v>7150</v>
      </c>
      <c r="H365" s="7" t="s">
        <v>7156</v>
      </c>
      <c r="I365" s="7"/>
      <c r="J365" s="10">
        <v>45282</v>
      </c>
      <c r="K365" s="7" t="s">
        <v>7163</v>
      </c>
      <c r="L365" s="7"/>
      <c r="M365" s="7"/>
    </row>
    <row r="366" spans="1:13" x14ac:dyDescent="0.3">
      <c r="A366" s="7">
        <v>17600</v>
      </c>
      <c r="B366" s="7" t="s">
        <v>374</v>
      </c>
      <c r="C366" s="7" t="s">
        <v>6396</v>
      </c>
      <c r="D366" s="7" t="s">
        <v>6407</v>
      </c>
      <c r="E366" s="7" t="s">
        <v>6295</v>
      </c>
      <c r="F366" s="7" t="s">
        <v>6341</v>
      </c>
      <c r="G366" s="7" t="s">
        <v>7150</v>
      </c>
      <c r="H366" s="7" t="s">
        <v>7156</v>
      </c>
      <c r="I366" s="7"/>
      <c r="J366" s="10">
        <v>45811</v>
      </c>
      <c r="K366" s="7" t="s">
        <v>7163</v>
      </c>
      <c r="L366" s="7"/>
      <c r="M366" s="7"/>
    </row>
    <row r="367" spans="1:13" x14ac:dyDescent="0.3">
      <c r="A367" s="7">
        <v>13561</v>
      </c>
      <c r="B367" s="7" t="s">
        <v>375</v>
      </c>
      <c r="C367" s="7" t="s">
        <v>6396</v>
      </c>
      <c r="D367" s="7" t="s">
        <v>6397</v>
      </c>
      <c r="E367" s="7" t="s">
        <v>6295</v>
      </c>
      <c r="F367" s="7" t="s">
        <v>6338</v>
      </c>
      <c r="G367" s="7" t="s">
        <v>7150</v>
      </c>
      <c r="H367" s="7" t="s">
        <v>7156</v>
      </c>
      <c r="I367" s="7"/>
      <c r="J367" s="10">
        <v>44501</v>
      </c>
      <c r="K367" s="7" t="s">
        <v>7163</v>
      </c>
      <c r="L367" s="7"/>
      <c r="M367" s="7"/>
    </row>
    <row r="368" spans="1:13" x14ac:dyDescent="0.3">
      <c r="A368" s="7">
        <v>10799</v>
      </c>
      <c r="B368" s="7" t="s">
        <v>376</v>
      </c>
      <c r="C368" s="7" t="s">
        <v>6396</v>
      </c>
      <c r="D368" s="7" t="s">
        <v>6397</v>
      </c>
      <c r="E368" s="7" t="s">
        <v>6295</v>
      </c>
      <c r="F368" s="7" t="s">
        <v>6335</v>
      </c>
      <c r="G368" s="7" t="s">
        <v>7150</v>
      </c>
      <c r="H368" s="7" t="s">
        <v>7156</v>
      </c>
      <c r="I368" s="7"/>
      <c r="J368" s="10">
        <v>41913</v>
      </c>
      <c r="K368" s="7" t="s">
        <v>7163</v>
      </c>
      <c r="L368" s="7"/>
      <c r="M368" s="7"/>
    </row>
    <row r="369" spans="1:13" x14ac:dyDescent="0.3">
      <c r="A369" s="7">
        <v>10971</v>
      </c>
      <c r="B369" s="7" t="s">
        <v>377</v>
      </c>
      <c r="C369" s="7" t="s">
        <v>6396</v>
      </c>
      <c r="D369" s="7" t="s">
        <v>6397</v>
      </c>
      <c r="E369" s="7" t="s">
        <v>6295</v>
      </c>
      <c r="F369" s="7" t="s">
        <v>6353</v>
      </c>
      <c r="G369" s="7" t="s">
        <v>7150</v>
      </c>
      <c r="H369" s="7" t="s">
        <v>7156</v>
      </c>
      <c r="I369" s="7"/>
      <c r="J369" s="10">
        <v>42226</v>
      </c>
      <c r="K369" s="7" t="s">
        <v>7163</v>
      </c>
      <c r="L369" s="7"/>
      <c r="M369" s="7"/>
    </row>
    <row r="370" spans="1:13" x14ac:dyDescent="0.3">
      <c r="A370" s="7">
        <v>10663</v>
      </c>
      <c r="B370" s="7" t="s">
        <v>378</v>
      </c>
      <c r="C370" s="7" t="s">
        <v>6396</v>
      </c>
      <c r="D370" s="7" t="s">
        <v>6397</v>
      </c>
      <c r="E370" s="7" t="s">
        <v>6295</v>
      </c>
      <c r="F370" s="7" t="s">
        <v>6353</v>
      </c>
      <c r="G370" s="7" t="s">
        <v>7150</v>
      </c>
      <c r="H370" s="7" t="s">
        <v>7156</v>
      </c>
      <c r="I370" s="7"/>
      <c r="J370" s="10">
        <v>41625</v>
      </c>
      <c r="K370" s="7" t="s">
        <v>7163</v>
      </c>
      <c r="L370" s="7"/>
      <c r="M370" s="7"/>
    </row>
    <row r="371" spans="1:13" x14ac:dyDescent="0.3">
      <c r="A371" s="7">
        <v>10614</v>
      </c>
      <c r="B371" s="7" t="s">
        <v>379</v>
      </c>
      <c r="C371" s="7" t="s">
        <v>6396</v>
      </c>
      <c r="D371" s="7" t="s">
        <v>6397</v>
      </c>
      <c r="E371" s="7" t="s">
        <v>6295</v>
      </c>
      <c r="F371" s="7" t="s">
        <v>6353</v>
      </c>
      <c r="G371" s="7" t="s">
        <v>7150</v>
      </c>
      <c r="H371" s="7" t="s">
        <v>7156</v>
      </c>
      <c r="I371" s="7"/>
      <c r="J371" s="10">
        <v>41487</v>
      </c>
      <c r="K371" s="7" t="s">
        <v>7163</v>
      </c>
      <c r="L371" s="7"/>
      <c r="M371" s="7"/>
    </row>
    <row r="372" spans="1:13" x14ac:dyDescent="0.3">
      <c r="A372" s="7">
        <v>15724</v>
      </c>
      <c r="B372" s="7" t="s">
        <v>380</v>
      </c>
      <c r="C372" s="7" t="s">
        <v>6396</v>
      </c>
      <c r="D372" s="7" t="s">
        <v>6397</v>
      </c>
      <c r="E372" s="7" t="s">
        <v>6295</v>
      </c>
      <c r="F372" s="7" t="s">
        <v>6341</v>
      </c>
      <c r="G372" s="7" t="s">
        <v>7150</v>
      </c>
      <c r="H372" s="7" t="s">
        <v>7156</v>
      </c>
      <c r="I372" s="7"/>
      <c r="J372" s="10">
        <v>45176</v>
      </c>
      <c r="K372" s="7" t="s">
        <v>7163</v>
      </c>
      <c r="L372" s="7"/>
      <c r="M372" s="7"/>
    </row>
    <row r="373" spans="1:13" x14ac:dyDescent="0.3">
      <c r="A373" s="7">
        <v>10735</v>
      </c>
      <c r="B373" s="7" t="s">
        <v>381</v>
      </c>
      <c r="C373" s="7" t="s">
        <v>6396</v>
      </c>
      <c r="D373" s="7" t="s">
        <v>6397</v>
      </c>
      <c r="E373" s="7" t="s">
        <v>6295</v>
      </c>
      <c r="F373" s="7" t="s">
        <v>6410</v>
      </c>
      <c r="G373" s="7" t="s">
        <v>7150</v>
      </c>
      <c r="H373" s="7" t="s">
        <v>7156</v>
      </c>
      <c r="I373" s="7"/>
      <c r="J373" s="10">
        <v>41779</v>
      </c>
      <c r="K373" s="7" t="s">
        <v>7163</v>
      </c>
      <c r="L373" s="7"/>
      <c r="M373" s="7"/>
    </row>
    <row r="374" spans="1:13" x14ac:dyDescent="0.3">
      <c r="A374" s="7">
        <v>12019</v>
      </c>
      <c r="B374" s="7" t="s">
        <v>382</v>
      </c>
      <c r="C374" s="7" t="s">
        <v>6396</v>
      </c>
      <c r="D374" s="7" t="s">
        <v>6407</v>
      </c>
      <c r="E374" s="7" t="s">
        <v>6295</v>
      </c>
      <c r="F374" s="7" t="s">
        <v>6411</v>
      </c>
      <c r="G374" s="7" t="s">
        <v>7150</v>
      </c>
      <c r="H374" s="7" t="s">
        <v>7156</v>
      </c>
      <c r="I374" s="7"/>
      <c r="J374" s="10">
        <v>43389</v>
      </c>
      <c r="K374" s="7" t="s">
        <v>7163</v>
      </c>
      <c r="L374" s="7"/>
      <c r="M374" s="7"/>
    </row>
    <row r="375" spans="1:13" x14ac:dyDescent="0.3">
      <c r="A375" s="7">
        <v>16415</v>
      </c>
      <c r="B375" s="7" t="s">
        <v>383</v>
      </c>
      <c r="C375" s="7" t="s">
        <v>6396</v>
      </c>
      <c r="D375" s="7" t="s">
        <v>6407</v>
      </c>
      <c r="E375" s="7" t="s">
        <v>6295</v>
      </c>
      <c r="F375" s="7" t="s">
        <v>6411</v>
      </c>
      <c r="G375" s="7" t="s">
        <v>7150</v>
      </c>
      <c r="H375" s="7" t="s">
        <v>7156</v>
      </c>
      <c r="I375" s="7"/>
      <c r="J375" s="10">
        <v>45384</v>
      </c>
      <c r="K375" s="7" t="s">
        <v>7163</v>
      </c>
      <c r="L375" s="7"/>
      <c r="M375" s="7"/>
    </row>
    <row r="376" spans="1:13" x14ac:dyDescent="0.3">
      <c r="A376" s="7">
        <v>18052</v>
      </c>
      <c r="B376" s="7" t="s">
        <v>384</v>
      </c>
      <c r="C376" s="7" t="s">
        <v>6396</v>
      </c>
      <c r="D376" s="7" t="s">
        <v>6407</v>
      </c>
      <c r="E376" s="7" t="s">
        <v>6295</v>
      </c>
      <c r="F376" s="7" t="s">
        <v>6411</v>
      </c>
      <c r="G376" s="7" t="s">
        <v>7150</v>
      </c>
      <c r="H376" s="7" t="s">
        <v>7156</v>
      </c>
      <c r="I376" s="7"/>
      <c r="J376" s="10">
        <v>45979</v>
      </c>
      <c r="K376" s="7" t="s">
        <v>7163</v>
      </c>
      <c r="L376" s="7"/>
      <c r="M376" s="7"/>
    </row>
    <row r="377" spans="1:13" x14ac:dyDescent="0.3">
      <c r="A377" s="7">
        <v>18843</v>
      </c>
      <c r="B377" s="7" t="s">
        <v>385</v>
      </c>
      <c r="C377" s="7" t="s">
        <v>6396</v>
      </c>
      <c r="D377" s="7" t="s">
        <v>6407</v>
      </c>
      <c r="E377" s="7" t="s">
        <v>6295</v>
      </c>
      <c r="F377" s="7" t="s">
        <v>6411</v>
      </c>
      <c r="G377" s="7" t="s">
        <v>7150</v>
      </c>
      <c r="H377" s="7" t="s">
        <v>7156</v>
      </c>
      <c r="I377" s="7"/>
      <c r="J377" s="10">
        <v>46224</v>
      </c>
      <c r="K377" s="7" t="s">
        <v>7163</v>
      </c>
      <c r="L377" s="7"/>
      <c r="M377" s="7"/>
    </row>
    <row r="378" spans="1:13" x14ac:dyDescent="0.3">
      <c r="A378" s="7">
        <v>11158</v>
      </c>
      <c r="B378" s="7" t="s">
        <v>386</v>
      </c>
      <c r="C378" s="7" t="s">
        <v>6349</v>
      </c>
      <c r="D378" s="7" t="s">
        <v>6295</v>
      </c>
      <c r="E378" s="7" t="s">
        <v>6295</v>
      </c>
      <c r="F378" s="7" t="s">
        <v>6356</v>
      </c>
      <c r="G378" s="7" t="s">
        <v>7150</v>
      </c>
      <c r="H378" s="7" t="s">
        <v>7156</v>
      </c>
      <c r="I378" s="7"/>
      <c r="J378" s="10">
        <v>42331</v>
      </c>
      <c r="K378" s="7" t="s">
        <v>7163</v>
      </c>
      <c r="L378" s="7"/>
      <c r="M378" s="7"/>
    </row>
    <row r="379" spans="1:13" x14ac:dyDescent="0.3">
      <c r="A379" s="7">
        <v>18790</v>
      </c>
      <c r="B379" s="7" t="s">
        <v>387</v>
      </c>
      <c r="C379" s="7" t="s">
        <v>6349</v>
      </c>
      <c r="D379" s="7" t="s">
        <v>6295</v>
      </c>
      <c r="E379" s="7" t="s">
        <v>6295</v>
      </c>
      <c r="F379" s="7" t="s">
        <v>6412</v>
      </c>
      <c r="G379" s="7" t="s">
        <v>7150</v>
      </c>
      <c r="H379" s="7" t="s">
        <v>7156</v>
      </c>
      <c r="I379" s="7"/>
      <c r="J379" s="10">
        <v>46211</v>
      </c>
      <c r="K379" s="7" t="s">
        <v>7163</v>
      </c>
      <c r="L379" s="7"/>
      <c r="M379" s="7"/>
    </row>
    <row r="380" spans="1:13" x14ac:dyDescent="0.3">
      <c r="A380" s="7">
        <v>10770</v>
      </c>
      <c r="B380" s="7" t="s">
        <v>388</v>
      </c>
      <c r="C380" s="7" t="s">
        <v>6349</v>
      </c>
      <c r="D380" s="7" t="s">
        <v>6350</v>
      </c>
      <c r="E380" s="7" t="s">
        <v>6295</v>
      </c>
      <c r="F380" s="7" t="s">
        <v>6413</v>
      </c>
      <c r="G380" s="7" t="s">
        <v>7150</v>
      </c>
      <c r="H380" s="7" t="s">
        <v>7156</v>
      </c>
      <c r="I380" s="7"/>
      <c r="J380" s="10">
        <v>41852</v>
      </c>
      <c r="K380" s="7" t="s">
        <v>7163</v>
      </c>
      <c r="L380" s="7"/>
      <c r="M380" s="7"/>
    </row>
    <row r="381" spans="1:13" x14ac:dyDescent="0.3">
      <c r="A381" s="7">
        <v>18411</v>
      </c>
      <c r="B381" s="7" t="s">
        <v>389</v>
      </c>
      <c r="C381" s="7" t="s">
        <v>6349</v>
      </c>
      <c r="D381" s="7" t="s">
        <v>6350</v>
      </c>
      <c r="E381" s="7" t="s">
        <v>6352</v>
      </c>
      <c r="F381" s="7" t="s">
        <v>6414</v>
      </c>
      <c r="G381" s="7" t="s">
        <v>7150</v>
      </c>
      <c r="H381" s="7" t="s">
        <v>7156</v>
      </c>
      <c r="I381" s="7"/>
      <c r="J381" s="10">
        <v>46127</v>
      </c>
      <c r="K381" s="7" t="s">
        <v>7163</v>
      </c>
      <c r="L381" s="7"/>
      <c r="M381" s="7"/>
    </row>
    <row r="382" spans="1:13" x14ac:dyDescent="0.3">
      <c r="A382" s="7">
        <v>13207</v>
      </c>
      <c r="B382" s="7" t="s">
        <v>390</v>
      </c>
      <c r="C382" s="7" t="s">
        <v>6349</v>
      </c>
      <c r="D382" s="7" t="s">
        <v>6415</v>
      </c>
      <c r="E382" s="7" t="s">
        <v>6295</v>
      </c>
      <c r="F382" s="7" t="s">
        <v>6414</v>
      </c>
      <c r="G382" s="7" t="s">
        <v>7150</v>
      </c>
      <c r="H382" s="7" t="s">
        <v>7156</v>
      </c>
      <c r="I382" s="7"/>
      <c r="J382" s="10">
        <v>44321</v>
      </c>
      <c r="K382" s="7" t="s">
        <v>7163</v>
      </c>
      <c r="L382" s="7"/>
      <c r="M382" s="7"/>
    </row>
    <row r="383" spans="1:13" x14ac:dyDescent="0.3">
      <c r="A383" s="7">
        <v>18404</v>
      </c>
      <c r="B383" s="7" t="s">
        <v>391</v>
      </c>
      <c r="C383" s="7" t="s">
        <v>6349</v>
      </c>
      <c r="D383" s="7" t="s">
        <v>6415</v>
      </c>
      <c r="E383" s="7" t="s">
        <v>6295</v>
      </c>
      <c r="F383" s="7" t="s">
        <v>6416</v>
      </c>
      <c r="G383" s="7" t="s">
        <v>7150</v>
      </c>
      <c r="H383" s="7" t="s">
        <v>7156</v>
      </c>
      <c r="I383" s="7"/>
      <c r="J383" s="10">
        <v>46121</v>
      </c>
      <c r="K383" s="7" t="s">
        <v>7163</v>
      </c>
      <c r="L383" s="7"/>
      <c r="M383" s="7"/>
    </row>
    <row r="384" spans="1:13" x14ac:dyDescent="0.3">
      <c r="A384" s="7">
        <v>15505</v>
      </c>
      <c r="B384" s="7" t="s">
        <v>392</v>
      </c>
      <c r="C384" s="7" t="s">
        <v>6349</v>
      </c>
      <c r="D384" s="7" t="s">
        <v>6415</v>
      </c>
      <c r="E384" s="7" t="s">
        <v>6295</v>
      </c>
      <c r="F384" s="7" t="s">
        <v>6417</v>
      </c>
      <c r="G384" s="7" t="s">
        <v>7150</v>
      </c>
      <c r="H384" s="7" t="s">
        <v>7156</v>
      </c>
      <c r="I384" s="7"/>
      <c r="J384" s="10">
        <v>45097</v>
      </c>
      <c r="K384" s="7" t="s">
        <v>7163</v>
      </c>
      <c r="L384" s="7"/>
      <c r="M384" s="7"/>
    </row>
    <row r="385" spans="1:13" x14ac:dyDescent="0.3">
      <c r="A385" s="7">
        <v>17430</v>
      </c>
      <c r="B385" s="7" t="s">
        <v>393</v>
      </c>
      <c r="C385" s="7" t="s">
        <v>6349</v>
      </c>
      <c r="D385" s="7" t="s">
        <v>6415</v>
      </c>
      <c r="E385" s="7" t="s">
        <v>6295</v>
      </c>
      <c r="F385" s="7" t="s">
        <v>6417</v>
      </c>
      <c r="G385" s="7" t="s">
        <v>7150</v>
      </c>
      <c r="H385" s="7" t="s">
        <v>7156</v>
      </c>
      <c r="I385" s="7"/>
      <c r="J385" s="10">
        <v>45749</v>
      </c>
      <c r="K385" s="7" t="s">
        <v>7163</v>
      </c>
      <c r="L385" s="7"/>
      <c r="M385" s="7"/>
    </row>
    <row r="386" spans="1:13" x14ac:dyDescent="0.3">
      <c r="A386" s="7">
        <v>12412</v>
      </c>
      <c r="B386" s="7" t="s">
        <v>394</v>
      </c>
      <c r="C386" s="7" t="s">
        <v>6349</v>
      </c>
      <c r="D386" s="7" t="s">
        <v>6415</v>
      </c>
      <c r="E386" s="7" t="s">
        <v>6295</v>
      </c>
      <c r="F386" s="7" t="s">
        <v>6417</v>
      </c>
      <c r="G386" s="7" t="s">
        <v>7150</v>
      </c>
      <c r="H386" s="7" t="s">
        <v>7156</v>
      </c>
      <c r="I386" s="7"/>
      <c r="J386" s="10">
        <v>43732</v>
      </c>
      <c r="K386" s="7" t="s">
        <v>7163</v>
      </c>
      <c r="L386" s="7"/>
      <c r="M386" s="7"/>
    </row>
    <row r="387" spans="1:13" x14ac:dyDescent="0.3">
      <c r="A387" s="7">
        <v>15417</v>
      </c>
      <c r="B387" s="7" t="s">
        <v>395</v>
      </c>
      <c r="C387" s="7" t="s">
        <v>6349</v>
      </c>
      <c r="D387" s="7" t="s">
        <v>6415</v>
      </c>
      <c r="E387" s="7" t="s">
        <v>6295</v>
      </c>
      <c r="F387" s="7" t="s">
        <v>6417</v>
      </c>
      <c r="G387" s="7" t="s">
        <v>7150</v>
      </c>
      <c r="H387" s="7" t="s">
        <v>7156</v>
      </c>
      <c r="I387" s="7"/>
      <c r="J387" s="10">
        <v>45061</v>
      </c>
      <c r="K387" s="7" t="s">
        <v>7163</v>
      </c>
      <c r="L387" s="7"/>
      <c r="M387" s="7"/>
    </row>
    <row r="388" spans="1:13" x14ac:dyDescent="0.3">
      <c r="A388" s="7">
        <v>18287</v>
      </c>
      <c r="B388" s="7" t="s">
        <v>396</v>
      </c>
      <c r="C388" s="7" t="s">
        <v>6349</v>
      </c>
      <c r="D388" s="7" t="s">
        <v>6415</v>
      </c>
      <c r="E388" s="7" t="s">
        <v>6295</v>
      </c>
      <c r="F388" s="7" t="s">
        <v>6417</v>
      </c>
      <c r="G388" s="7" t="s">
        <v>7150</v>
      </c>
      <c r="H388" s="7" t="s">
        <v>7156</v>
      </c>
      <c r="I388" s="7" t="s">
        <v>7159</v>
      </c>
      <c r="J388" s="10">
        <v>46072</v>
      </c>
      <c r="K388" s="7" t="s">
        <v>7163</v>
      </c>
      <c r="L388" s="7"/>
      <c r="M388" s="7"/>
    </row>
    <row r="389" spans="1:13" x14ac:dyDescent="0.3">
      <c r="A389" s="7">
        <v>13011</v>
      </c>
      <c r="B389" s="7" t="s">
        <v>397</v>
      </c>
      <c r="C389" s="7" t="s">
        <v>6349</v>
      </c>
      <c r="D389" s="7" t="s">
        <v>6415</v>
      </c>
      <c r="E389" s="7" t="s">
        <v>6295</v>
      </c>
      <c r="F389" s="7" t="s">
        <v>6417</v>
      </c>
      <c r="G389" s="7" t="s">
        <v>7150</v>
      </c>
      <c r="H389" s="7" t="s">
        <v>7156</v>
      </c>
      <c r="I389" s="7"/>
      <c r="J389" s="10">
        <v>44190</v>
      </c>
      <c r="K389" s="7" t="s">
        <v>7163</v>
      </c>
      <c r="L389" s="7"/>
      <c r="M389" s="7"/>
    </row>
    <row r="390" spans="1:13" x14ac:dyDescent="0.3">
      <c r="A390" s="7">
        <v>140038</v>
      </c>
      <c r="B390" s="7" t="s">
        <v>398</v>
      </c>
      <c r="C390" s="7" t="s">
        <v>6349</v>
      </c>
      <c r="D390" s="7" t="s">
        <v>6415</v>
      </c>
      <c r="E390" s="7" t="s">
        <v>6295</v>
      </c>
      <c r="F390" s="7" t="s">
        <v>6341</v>
      </c>
      <c r="G390" s="7" t="s">
        <v>7150</v>
      </c>
      <c r="H390" s="7" t="s">
        <v>7156</v>
      </c>
      <c r="I390" s="7"/>
      <c r="J390" s="10">
        <v>43136</v>
      </c>
      <c r="K390" s="7" t="s">
        <v>7163</v>
      </c>
      <c r="L390" s="7"/>
      <c r="M390" s="7"/>
    </row>
    <row r="391" spans="1:13" x14ac:dyDescent="0.3">
      <c r="A391" s="7">
        <v>19176</v>
      </c>
      <c r="B391" s="7" t="s">
        <v>399</v>
      </c>
      <c r="C391" s="7" t="s">
        <v>6349</v>
      </c>
      <c r="D391" s="7" t="s">
        <v>6415</v>
      </c>
      <c r="E391" s="7" t="s">
        <v>6295</v>
      </c>
      <c r="F391" s="7" t="s">
        <v>6341</v>
      </c>
      <c r="G391" s="7" t="s">
        <v>7150</v>
      </c>
      <c r="H391" s="7" t="s">
        <v>7156</v>
      </c>
      <c r="I391" s="7"/>
      <c r="J391" s="10">
        <v>46279</v>
      </c>
      <c r="K391" s="7" t="s">
        <v>7163</v>
      </c>
      <c r="L391" s="7"/>
      <c r="M391" s="7"/>
    </row>
    <row r="392" spans="1:13" x14ac:dyDescent="0.3">
      <c r="A392" s="7">
        <v>18701</v>
      </c>
      <c r="B392" s="7" t="s">
        <v>400</v>
      </c>
      <c r="C392" s="7" t="s">
        <v>6349</v>
      </c>
      <c r="D392" s="7" t="s">
        <v>6415</v>
      </c>
      <c r="E392" s="7" t="s">
        <v>6295</v>
      </c>
      <c r="F392" s="7" t="s">
        <v>6348</v>
      </c>
      <c r="G392" s="7" t="s">
        <v>7150</v>
      </c>
      <c r="H392" s="7" t="s">
        <v>7156</v>
      </c>
      <c r="I392" s="7"/>
      <c r="J392" s="10">
        <v>46191</v>
      </c>
      <c r="K392" s="7" t="s">
        <v>7163</v>
      </c>
      <c r="L392" s="7"/>
      <c r="M392" s="7"/>
    </row>
    <row r="393" spans="1:13" x14ac:dyDescent="0.3">
      <c r="A393" s="7">
        <v>18290</v>
      </c>
      <c r="B393" s="7" t="s">
        <v>401</v>
      </c>
      <c r="C393" s="7" t="s">
        <v>6349</v>
      </c>
      <c r="D393" s="7" t="s">
        <v>6418</v>
      </c>
      <c r="E393" s="7" t="s">
        <v>6295</v>
      </c>
      <c r="F393" s="7" t="s">
        <v>6353</v>
      </c>
      <c r="G393" s="7" t="s">
        <v>7150</v>
      </c>
      <c r="H393" s="7" t="s">
        <v>7156</v>
      </c>
      <c r="I393" s="7" t="s">
        <v>7159</v>
      </c>
      <c r="J393" s="10">
        <v>46072</v>
      </c>
      <c r="K393" s="7" t="s">
        <v>7163</v>
      </c>
      <c r="L393" s="7"/>
      <c r="M393" s="7"/>
    </row>
    <row r="394" spans="1:13" x14ac:dyDescent="0.3">
      <c r="A394" s="7">
        <v>18284</v>
      </c>
      <c r="B394" s="7" t="s">
        <v>402</v>
      </c>
      <c r="C394" s="7" t="s">
        <v>6349</v>
      </c>
      <c r="D394" s="7" t="s">
        <v>6415</v>
      </c>
      <c r="E394" s="7" t="s">
        <v>6295</v>
      </c>
      <c r="F394" s="7" t="s">
        <v>6340</v>
      </c>
      <c r="G394" s="7" t="s">
        <v>7150</v>
      </c>
      <c r="H394" s="7" t="s">
        <v>7156</v>
      </c>
      <c r="I394" s="7" t="s">
        <v>7159</v>
      </c>
      <c r="J394" s="10">
        <v>46072</v>
      </c>
      <c r="K394" s="7" t="s">
        <v>7163</v>
      </c>
      <c r="L394" s="7"/>
      <c r="M394" s="7"/>
    </row>
    <row r="395" spans="1:13" x14ac:dyDescent="0.3">
      <c r="A395" s="7">
        <v>18276</v>
      </c>
      <c r="B395" s="7" t="s">
        <v>403</v>
      </c>
      <c r="C395" s="7" t="s">
        <v>6349</v>
      </c>
      <c r="D395" s="7" t="s">
        <v>6415</v>
      </c>
      <c r="E395" s="7" t="s">
        <v>6295</v>
      </c>
      <c r="F395" s="7" t="s">
        <v>6340</v>
      </c>
      <c r="G395" s="7" t="s">
        <v>7150</v>
      </c>
      <c r="H395" s="7" t="s">
        <v>7156</v>
      </c>
      <c r="I395" s="7" t="s">
        <v>7158</v>
      </c>
      <c r="J395" s="10">
        <v>46071</v>
      </c>
      <c r="K395" s="7" t="s">
        <v>7163</v>
      </c>
      <c r="L395" s="7"/>
      <c r="M395" s="7"/>
    </row>
    <row r="396" spans="1:13" x14ac:dyDescent="0.3">
      <c r="A396" s="7">
        <v>18279</v>
      </c>
      <c r="B396" s="7" t="s">
        <v>404</v>
      </c>
      <c r="C396" s="7" t="s">
        <v>6349</v>
      </c>
      <c r="D396" s="7" t="s">
        <v>6415</v>
      </c>
      <c r="E396" s="7" t="s">
        <v>6295</v>
      </c>
      <c r="F396" s="7" t="s">
        <v>6340</v>
      </c>
      <c r="G396" s="7" t="s">
        <v>7150</v>
      </c>
      <c r="H396" s="7" t="s">
        <v>7156</v>
      </c>
      <c r="I396" s="7" t="s">
        <v>7158</v>
      </c>
      <c r="J396" s="10">
        <v>46071</v>
      </c>
      <c r="K396" s="7" t="s">
        <v>7163</v>
      </c>
      <c r="L396" s="7"/>
      <c r="M396" s="7"/>
    </row>
    <row r="397" spans="1:13" x14ac:dyDescent="0.3">
      <c r="A397" s="7">
        <v>18246</v>
      </c>
      <c r="B397" s="7" t="s">
        <v>405</v>
      </c>
      <c r="C397" s="7" t="s">
        <v>6349</v>
      </c>
      <c r="D397" s="7" t="s">
        <v>6415</v>
      </c>
      <c r="E397" s="7" t="s">
        <v>6295</v>
      </c>
      <c r="F397" s="7" t="s">
        <v>6340</v>
      </c>
      <c r="G397" s="7" t="s">
        <v>7150</v>
      </c>
      <c r="H397" s="7" t="s">
        <v>7156</v>
      </c>
      <c r="I397" s="7" t="s">
        <v>7160</v>
      </c>
      <c r="J397" s="10">
        <v>46064</v>
      </c>
      <c r="K397" s="7" t="s">
        <v>7163</v>
      </c>
      <c r="L397" s="7"/>
      <c r="M397" s="7"/>
    </row>
    <row r="398" spans="1:13" x14ac:dyDescent="0.3">
      <c r="A398" s="7">
        <v>18021</v>
      </c>
      <c r="B398" s="7" t="s">
        <v>406</v>
      </c>
      <c r="C398" s="7" t="s">
        <v>6349</v>
      </c>
      <c r="D398" s="7" t="s">
        <v>6418</v>
      </c>
      <c r="E398" s="7" t="s">
        <v>6419</v>
      </c>
      <c r="F398" s="7" t="s">
        <v>6414</v>
      </c>
      <c r="G398" s="7" t="s">
        <v>7150</v>
      </c>
      <c r="H398" s="7" t="s">
        <v>7156</v>
      </c>
      <c r="I398" s="7"/>
      <c r="J398" s="10">
        <v>45964</v>
      </c>
      <c r="K398" s="7" t="s">
        <v>7163</v>
      </c>
      <c r="L398" s="7"/>
      <c r="M398" s="7"/>
    </row>
    <row r="399" spans="1:13" x14ac:dyDescent="0.3">
      <c r="A399" s="7">
        <v>120019</v>
      </c>
      <c r="B399" s="7" t="s">
        <v>407</v>
      </c>
      <c r="C399" s="7" t="s">
        <v>6349</v>
      </c>
      <c r="D399" s="7" t="s">
        <v>6418</v>
      </c>
      <c r="E399" s="7" t="s">
        <v>6419</v>
      </c>
      <c r="F399" s="7" t="s">
        <v>6335</v>
      </c>
      <c r="G399" s="7" t="s">
        <v>7150</v>
      </c>
      <c r="H399" s="7" t="s">
        <v>7156</v>
      </c>
      <c r="I399" s="7"/>
      <c r="J399" s="10">
        <v>39003</v>
      </c>
      <c r="K399" s="7" t="s">
        <v>7163</v>
      </c>
      <c r="L399" s="7"/>
      <c r="M399" s="7"/>
    </row>
    <row r="400" spans="1:13" x14ac:dyDescent="0.3">
      <c r="A400" s="7">
        <v>18766</v>
      </c>
      <c r="B400" s="7" t="s">
        <v>408</v>
      </c>
      <c r="C400" s="7" t="s">
        <v>6349</v>
      </c>
      <c r="D400" s="7" t="s">
        <v>6418</v>
      </c>
      <c r="E400" s="7" t="s">
        <v>6419</v>
      </c>
      <c r="F400" s="7" t="s">
        <v>6335</v>
      </c>
      <c r="G400" s="7" t="s">
        <v>7150</v>
      </c>
      <c r="H400" s="7" t="s">
        <v>7156</v>
      </c>
      <c r="I400" s="7" t="s">
        <v>7158</v>
      </c>
      <c r="J400" s="10">
        <v>46204</v>
      </c>
      <c r="K400" s="7" t="s">
        <v>7163</v>
      </c>
      <c r="L400" s="7"/>
      <c r="M400" s="7"/>
    </row>
    <row r="401" spans="1:13" x14ac:dyDescent="0.3">
      <c r="A401" s="7">
        <v>10620</v>
      </c>
      <c r="B401" s="7" t="s">
        <v>409</v>
      </c>
      <c r="C401" s="7" t="s">
        <v>6349</v>
      </c>
      <c r="D401" s="7" t="s">
        <v>6418</v>
      </c>
      <c r="E401" s="7" t="s">
        <v>6419</v>
      </c>
      <c r="F401" s="7" t="s">
        <v>6353</v>
      </c>
      <c r="G401" s="7" t="s">
        <v>7150</v>
      </c>
      <c r="H401" s="7" t="s">
        <v>7156</v>
      </c>
      <c r="I401" s="7"/>
      <c r="J401" s="10">
        <v>36684</v>
      </c>
      <c r="K401" s="7" t="s">
        <v>7163</v>
      </c>
      <c r="L401" s="7"/>
      <c r="M401" s="7"/>
    </row>
    <row r="402" spans="1:13" x14ac:dyDescent="0.3">
      <c r="A402" s="7">
        <v>10010</v>
      </c>
      <c r="B402" s="7" t="s">
        <v>410</v>
      </c>
      <c r="C402" s="7" t="s">
        <v>6349</v>
      </c>
      <c r="D402" s="7" t="s">
        <v>6418</v>
      </c>
      <c r="E402" s="7" t="s">
        <v>6419</v>
      </c>
      <c r="F402" s="7" t="s">
        <v>6353</v>
      </c>
      <c r="G402" s="7" t="s">
        <v>7150</v>
      </c>
      <c r="H402" s="7" t="s">
        <v>7156</v>
      </c>
      <c r="I402" s="7"/>
      <c r="J402" s="10">
        <v>36735</v>
      </c>
      <c r="K402" s="7" t="s">
        <v>7163</v>
      </c>
      <c r="L402" s="7"/>
      <c r="M402" s="7"/>
    </row>
    <row r="403" spans="1:13" x14ac:dyDescent="0.3">
      <c r="A403" s="7">
        <v>18725</v>
      </c>
      <c r="B403" s="7" t="s">
        <v>411</v>
      </c>
      <c r="C403" s="7" t="s">
        <v>6349</v>
      </c>
      <c r="D403" s="7" t="s">
        <v>6418</v>
      </c>
      <c r="E403" s="7" t="s">
        <v>6419</v>
      </c>
      <c r="F403" s="7" t="s">
        <v>6353</v>
      </c>
      <c r="G403" s="7" t="s">
        <v>7150</v>
      </c>
      <c r="H403" s="7" t="s">
        <v>7156</v>
      </c>
      <c r="I403" s="7" t="s">
        <v>7159</v>
      </c>
      <c r="J403" s="10">
        <v>46195</v>
      </c>
      <c r="K403" s="7" t="s">
        <v>7163</v>
      </c>
      <c r="L403" s="7"/>
      <c r="M403" s="7"/>
    </row>
    <row r="404" spans="1:13" x14ac:dyDescent="0.3">
      <c r="A404" s="7">
        <v>18726</v>
      </c>
      <c r="B404" s="7" t="s">
        <v>412</v>
      </c>
      <c r="C404" s="7" t="s">
        <v>6349</v>
      </c>
      <c r="D404" s="7" t="s">
        <v>6418</v>
      </c>
      <c r="E404" s="7" t="s">
        <v>6419</v>
      </c>
      <c r="F404" s="7" t="s">
        <v>6353</v>
      </c>
      <c r="G404" s="7" t="s">
        <v>7150</v>
      </c>
      <c r="H404" s="7" t="s">
        <v>7156</v>
      </c>
      <c r="I404" s="7" t="s">
        <v>7159</v>
      </c>
      <c r="J404" s="10">
        <v>46195</v>
      </c>
      <c r="K404" s="7" t="s">
        <v>7163</v>
      </c>
      <c r="L404" s="7"/>
      <c r="M404" s="7"/>
    </row>
    <row r="405" spans="1:13" x14ac:dyDescent="0.3">
      <c r="A405" s="7">
        <v>18753</v>
      </c>
      <c r="B405" s="7" t="s">
        <v>413</v>
      </c>
      <c r="C405" s="7" t="s">
        <v>6349</v>
      </c>
      <c r="D405" s="7" t="s">
        <v>6418</v>
      </c>
      <c r="E405" s="7" t="s">
        <v>6419</v>
      </c>
      <c r="F405" s="7" t="s">
        <v>6353</v>
      </c>
      <c r="G405" s="7" t="s">
        <v>7150</v>
      </c>
      <c r="H405" s="7" t="s">
        <v>7156</v>
      </c>
      <c r="I405" s="7"/>
      <c r="J405" s="10">
        <v>46204</v>
      </c>
      <c r="K405" s="7" t="s">
        <v>7163</v>
      </c>
      <c r="L405" s="7"/>
      <c r="M405" s="7"/>
    </row>
    <row r="406" spans="1:13" x14ac:dyDescent="0.3">
      <c r="A406" s="7">
        <v>13284</v>
      </c>
      <c r="B406" s="7" t="s">
        <v>414</v>
      </c>
      <c r="C406" s="7" t="s">
        <v>6349</v>
      </c>
      <c r="D406" s="7" t="s">
        <v>6418</v>
      </c>
      <c r="E406" s="7" t="s">
        <v>6419</v>
      </c>
      <c r="F406" s="7" t="s">
        <v>6353</v>
      </c>
      <c r="G406" s="7" t="s">
        <v>7150</v>
      </c>
      <c r="H406" s="7" t="s">
        <v>7156</v>
      </c>
      <c r="I406" s="7"/>
      <c r="J406" s="10">
        <v>44365</v>
      </c>
      <c r="K406" s="7" t="s">
        <v>7163</v>
      </c>
      <c r="L406" s="7"/>
      <c r="M406" s="7"/>
    </row>
    <row r="407" spans="1:13" x14ac:dyDescent="0.3">
      <c r="A407" s="7">
        <v>18957</v>
      </c>
      <c r="B407" s="7" t="s">
        <v>415</v>
      </c>
      <c r="C407" s="7" t="s">
        <v>6349</v>
      </c>
      <c r="D407" s="7" t="s">
        <v>6418</v>
      </c>
      <c r="E407" s="7" t="s">
        <v>6419</v>
      </c>
      <c r="F407" s="7" t="s">
        <v>6353</v>
      </c>
      <c r="G407" s="7" t="s">
        <v>7150</v>
      </c>
      <c r="H407" s="7" t="s">
        <v>7156</v>
      </c>
      <c r="I407" s="7"/>
      <c r="J407" s="10">
        <v>46251</v>
      </c>
      <c r="K407" s="7" t="s">
        <v>7163</v>
      </c>
      <c r="L407" s="7"/>
      <c r="M407" s="7"/>
    </row>
    <row r="408" spans="1:13" x14ac:dyDescent="0.3">
      <c r="A408" s="7">
        <v>18770</v>
      </c>
      <c r="B408" s="7" t="s">
        <v>416</v>
      </c>
      <c r="C408" s="7" t="s">
        <v>6349</v>
      </c>
      <c r="D408" s="7" t="s">
        <v>6418</v>
      </c>
      <c r="E408" s="7" t="s">
        <v>6419</v>
      </c>
      <c r="F408" s="7" t="s">
        <v>6353</v>
      </c>
      <c r="G408" s="7" t="s">
        <v>7150</v>
      </c>
      <c r="H408" s="7" t="s">
        <v>7156</v>
      </c>
      <c r="I408" s="7" t="s">
        <v>7158</v>
      </c>
      <c r="J408" s="10">
        <v>46204</v>
      </c>
      <c r="K408" s="7" t="s">
        <v>7163</v>
      </c>
      <c r="L408" s="7"/>
      <c r="M408" s="7"/>
    </row>
    <row r="409" spans="1:13" x14ac:dyDescent="0.3">
      <c r="A409" s="7">
        <v>12773</v>
      </c>
      <c r="B409" s="7" t="s">
        <v>417</v>
      </c>
      <c r="C409" s="7" t="s">
        <v>6349</v>
      </c>
      <c r="D409" s="7" t="s">
        <v>6418</v>
      </c>
      <c r="E409" s="7" t="s">
        <v>6419</v>
      </c>
      <c r="F409" s="7" t="s">
        <v>6340</v>
      </c>
      <c r="G409" s="7" t="s">
        <v>7150</v>
      </c>
      <c r="H409" s="7" t="s">
        <v>7156</v>
      </c>
      <c r="I409" s="7"/>
      <c r="J409" s="10">
        <v>43906</v>
      </c>
      <c r="K409" s="7" t="s">
        <v>7163</v>
      </c>
      <c r="L409" s="7"/>
      <c r="M409" s="7"/>
    </row>
    <row r="410" spans="1:13" x14ac:dyDescent="0.3">
      <c r="A410" s="7">
        <v>11745</v>
      </c>
      <c r="B410" s="7" t="s">
        <v>418</v>
      </c>
      <c r="C410" s="7" t="s">
        <v>6349</v>
      </c>
      <c r="D410" s="7" t="s">
        <v>6418</v>
      </c>
      <c r="E410" s="7" t="s">
        <v>6419</v>
      </c>
      <c r="F410" s="7" t="s">
        <v>6340</v>
      </c>
      <c r="G410" s="7" t="s">
        <v>7150</v>
      </c>
      <c r="H410" s="7" t="s">
        <v>7156</v>
      </c>
      <c r="I410" s="7"/>
      <c r="J410" s="10">
        <v>43080</v>
      </c>
      <c r="K410" s="7" t="s">
        <v>7163</v>
      </c>
      <c r="L410" s="7"/>
      <c r="M410" s="7"/>
    </row>
    <row r="411" spans="1:13" x14ac:dyDescent="0.3">
      <c r="A411" s="7">
        <v>14365</v>
      </c>
      <c r="B411" s="7" t="s">
        <v>419</v>
      </c>
      <c r="C411" s="7" t="s">
        <v>6349</v>
      </c>
      <c r="D411" s="7" t="s">
        <v>6418</v>
      </c>
      <c r="E411" s="7" t="s">
        <v>6419</v>
      </c>
      <c r="F411" s="7" t="s">
        <v>6340</v>
      </c>
      <c r="G411" s="7" t="s">
        <v>7150</v>
      </c>
      <c r="H411" s="7" t="s">
        <v>7156</v>
      </c>
      <c r="I411" s="7"/>
      <c r="J411" s="10">
        <v>44740</v>
      </c>
      <c r="K411" s="7" t="s">
        <v>7163</v>
      </c>
      <c r="L411" s="7"/>
      <c r="M411" s="7"/>
    </row>
    <row r="412" spans="1:13" x14ac:dyDescent="0.3">
      <c r="A412" s="7">
        <v>15705</v>
      </c>
      <c r="B412" s="7" t="s">
        <v>420</v>
      </c>
      <c r="C412" s="7" t="s">
        <v>6349</v>
      </c>
      <c r="D412" s="7" t="s">
        <v>6418</v>
      </c>
      <c r="E412" s="7" t="s">
        <v>6420</v>
      </c>
      <c r="F412" s="7" t="s">
        <v>6340</v>
      </c>
      <c r="G412" s="7" t="s">
        <v>7150</v>
      </c>
      <c r="H412" s="7" t="s">
        <v>7156</v>
      </c>
      <c r="I412" s="7"/>
      <c r="J412" s="10">
        <v>45170</v>
      </c>
      <c r="K412" s="7" t="s">
        <v>7163</v>
      </c>
      <c r="L412" s="7"/>
      <c r="M412" s="7"/>
    </row>
    <row r="413" spans="1:13" x14ac:dyDescent="0.3">
      <c r="A413" s="7">
        <v>13525</v>
      </c>
      <c r="B413" s="7" t="s">
        <v>421</v>
      </c>
      <c r="C413" s="7" t="s">
        <v>6349</v>
      </c>
      <c r="D413" s="7" t="s">
        <v>6418</v>
      </c>
      <c r="E413" s="7" t="s">
        <v>6419</v>
      </c>
      <c r="F413" s="7" t="s">
        <v>6340</v>
      </c>
      <c r="G413" s="7" t="s">
        <v>7150</v>
      </c>
      <c r="H413" s="7" t="s">
        <v>7156</v>
      </c>
      <c r="I413" s="7"/>
      <c r="J413" s="10">
        <v>44483</v>
      </c>
      <c r="K413" s="7" t="s">
        <v>7163</v>
      </c>
      <c r="L413" s="7"/>
      <c r="M413" s="7"/>
    </row>
    <row r="414" spans="1:13" x14ac:dyDescent="0.3">
      <c r="A414" s="7">
        <v>14793</v>
      </c>
      <c r="B414" s="7" t="s">
        <v>422</v>
      </c>
      <c r="C414" s="7" t="s">
        <v>6349</v>
      </c>
      <c r="D414" s="7" t="s">
        <v>6418</v>
      </c>
      <c r="E414" s="7" t="s">
        <v>6419</v>
      </c>
      <c r="F414" s="7" t="s">
        <v>6340</v>
      </c>
      <c r="G414" s="7" t="s">
        <v>7151</v>
      </c>
      <c r="H414" s="7" t="s">
        <v>7156</v>
      </c>
      <c r="I414" s="7"/>
      <c r="J414" s="10">
        <v>44858</v>
      </c>
      <c r="K414" s="7" t="s">
        <v>7163</v>
      </c>
      <c r="L414" s="7"/>
      <c r="M414" s="7"/>
    </row>
    <row r="415" spans="1:13" x14ac:dyDescent="0.3">
      <c r="A415" s="7">
        <v>18200</v>
      </c>
      <c r="B415" s="7" t="s">
        <v>423</v>
      </c>
      <c r="C415" s="7" t="s">
        <v>6349</v>
      </c>
      <c r="D415" s="7" t="s">
        <v>6418</v>
      </c>
      <c r="E415" s="7" t="s">
        <v>6419</v>
      </c>
      <c r="F415" s="7" t="s">
        <v>6389</v>
      </c>
      <c r="G415" s="7" t="s">
        <v>7150</v>
      </c>
      <c r="H415" s="7" t="s">
        <v>7157</v>
      </c>
      <c r="I415" s="7"/>
      <c r="J415" s="10">
        <v>46048</v>
      </c>
      <c r="K415" s="7" t="s">
        <v>7163</v>
      </c>
      <c r="L415" s="7"/>
      <c r="M415" s="7"/>
    </row>
    <row r="416" spans="1:13" x14ac:dyDescent="0.3">
      <c r="A416" s="7">
        <v>15764</v>
      </c>
      <c r="B416" s="7" t="s">
        <v>424</v>
      </c>
      <c r="C416" s="7" t="s">
        <v>6349</v>
      </c>
      <c r="D416" s="7" t="s">
        <v>6418</v>
      </c>
      <c r="E416" s="7" t="s">
        <v>6419</v>
      </c>
      <c r="F416" s="7" t="s">
        <v>6341</v>
      </c>
      <c r="G416" s="7" t="s">
        <v>7151</v>
      </c>
      <c r="H416" s="7" t="s">
        <v>7156</v>
      </c>
      <c r="I416" s="7"/>
      <c r="J416" s="10">
        <v>45190</v>
      </c>
      <c r="K416" s="7" t="s">
        <v>7163</v>
      </c>
      <c r="L416" s="7"/>
      <c r="M416" s="7"/>
    </row>
    <row r="417" spans="1:13" x14ac:dyDescent="0.3">
      <c r="A417" s="7">
        <v>17972</v>
      </c>
      <c r="B417" s="7" t="s">
        <v>425</v>
      </c>
      <c r="C417" s="7" t="s">
        <v>6349</v>
      </c>
      <c r="D417" s="7" t="s">
        <v>6418</v>
      </c>
      <c r="E417" s="7" t="s">
        <v>6419</v>
      </c>
      <c r="F417" s="7" t="s">
        <v>6389</v>
      </c>
      <c r="G417" s="7" t="s">
        <v>7150</v>
      </c>
      <c r="H417" s="7" t="s">
        <v>7157</v>
      </c>
      <c r="I417" s="7"/>
      <c r="J417" s="10">
        <v>45937</v>
      </c>
      <c r="K417" s="7" t="s">
        <v>7163</v>
      </c>
      <c r="L417" s="7"/>
      <c r="M417" s="7"/>
    </row>
    <row r="418" spans="1:13" x14ac:dyDescent="0.3">
      <c r="A418" s="7">
        <v>13442</v>
      </c>
      <c r="B418" s="7" t="s">
        <v>426</v>
      </c>
      <c r="C418" s="7" t="s">
        <v>6349</v>
      </c>
      <c r="D418" s="7" t="s">
        <v>6418</v>
      </c>
      <c r="E418" s="7" t="s">
        <v>6419</v>
      </c>
      <c r="F418" s="7" t="s">
        <v>6341</v>
      </c>
      <c r="G418" s="7" t="s">
        <v>7151</v>
      </c>
      <c r="H418" s="7" t="s">
        <v>7156</v>
      </c>
      <c r="I418" s="7"/>
      <c r="J418" s="10">
        <v>44455</v>
      </c>
      <c r="K418" s="7" t="s">
        <v>7163</v>
      </c>
      <c r="L418" s="7"/>
      <c r="M418" s="7"/>
    </row>
    <row r="419" spans="1:13" x14ac:dyDescent="0.3">
      <c r="A419" s="7">
        <v>18494</v>
      </c>
      <c r="B419" s="7" t="s">
        <v>427</v>
      </c>
      <c r="C419" s="7" t="s">
        <v>6349</v>
      </c>
      <c r="D419" s="7" t="s">
        <v>6418</v>
      </c>
      <c r="E419" s="7" t="s">
        <v>6419</v>
      </c>
      <c r="F419" s="7" t="s">
        <v>6406</v>
      </c>
      <c r="G419" s="7" t="s">
        <v>7150</v>
      </c>
      <c r="H419" s="7" t="s">
        <v>7157</v>
      </c>
      <c r="I419" s="7"/>
      <c r="J419" s="10">
        <v>46139</v>
      </c>
      <c r="K419" s="7" t="s">
        <v>7163</v>
      </c>
      <c r="L419" s="7"/>
      <c r="M419" s="7"/>
    </row>
    <row r="420" spans="1:13" x14ac:dyDescent="0.3">
      <c r="A420" s="7">
        <v>16373</v>
      </c>
      <c r="B420" s="7" t="s">
        <v>428</v>
      </c>
      <c r="C420" s="7" t="s">
        <v>6349</v>
      </c>
      <c r="D420" s="7" t="s">
        <v>6418</v>
      </c>
      <c r="E420" s="7" t="s">
        <v>6419</v>
      </c>
      <c r="F420" s="7" t="s">
        <v>6341</v>
      </c>
      <c r="G420" s="7" t="s">
        <v>7150</v>
      </c>
      <c r="H420" s="7" t="s">
        <v>7156</v>
      </c>
      <c r="I420" s="7"/>
      <c r="J420" s="10">
        <v>45363</v>
      </c>
      <c r="K420" s="7" t="s">
        <v>7163</v>
      </c>
      <c r="L420" s="7"/>
      <c r="M420" s="7"/>
    </row>
    <row r="421" spans="1:13" x14ac:dyDescent="0.3">
      <c r="A421" s="7">
        <v>18768</v>
      </c>
      <c r="B421" s="7" t="s">
        <v>429</v>
      </c>
      <c r="C421" s="7" t="s">
        <v>6349</v>
      </c>
      <c r="D421" s="7" t="s">
        <v>6418</v>
      </c>
      <c r="E421" s="7" t="s">
        <v>6419</v>
      </c>
      <c r="F421" s="7" t="s">
        <v>6341</v>
      </c>
      <c r="G421" s="7" t="s">
        <v>7150</v>
      </c>
      <c r="H421" s="7" t="s">
        <v>7156</v>
      </c>
      <c r="I421" s="7" t="s">
        <v>7158</v>
      </c>
      <c r="J421" s="10">
        <v>46204</v>
      </c>
      <c r="K421" s="7" t="s">
        <v>7163</v>
      </c>
      <c r="L421" s="7"/>
      <c r="M421" s="7"/>
    </row>
    <row r="422" spans="1:13" x14ac:dyDescent="0.3">
      <c r="A422" s="7">
        <v>18767</v>
      </c>
      <c r="B422" s="7" t="s">
        <v>430</v>
      </c>
      <c r="C422" s="7" t="s">
        <v>6349</v>
      </c>
      <c r="D422" s="7" t="s">
        <v>6418</v>
      </c>
      <c r="E422" s="7" t="s">
        <v>6419</v>
      </c>
      <c r="F422" s="7" t="s">
        <v>6341</v>
      </c>
      <c r="G422" s="7" t="s">
        <v>7150</v>
      </c>
      <c r="H422" s="7" t="s">
        <v>7156</v>
      </c>
      <c r="I422" s="7" t="s">
        <v>7158</v>
      </c>
      <c r="J422" s="10">
        <v>46213</v>
      </c>
      <c r="K422" s="7" t="s">
        <v>7163</v>
      </c>
      <c r="L422" s="7"/>
      <c r="M422" s="7"/>
    </row>
    <row r="423" spans="1:13" x14ac:dyDescent="0.3">
      <c r="A423" s="7">
        <v>18727</v>
      </c>
      <c r="B423" s="7" t="s">
        <v>431</v>
      </c>
      <c r="C423" s="7" t="s">
        <v>6349</v>
      </c>
      <c r="D423" s="7" t="s">
        <v>6418</v>
      </c>
      <c r="E423" s="7" t="s">
        <v>6419</v>
      </c>
      <c r="F423" s="7" t="s">
        <v>6341</v>
      </c>
      <c r="G423" s="7" t="s">
        <v>7150</v>
      </c>
      <c r="H423" s="7" t="s">
        <v>7156</v>
      </c>
      <c r="I423" s="7" t="s">
        <v>7159</v>
      </c>
      <c r="J423" s="10">
        <v>46195</v>
      </c>
      <c r="K423" s="7" t="s">
        <v>7163</v>
      </c>
      <c r="L423" s="7"/>
      <c r="M423" s="7"/>
    </row>
    <row r="424" spans="1:13" x14ac:dyDescent="0.3">
      <c r="A424" s="7">
        <v>18728</v>
      </c>
      <c r="B424" s="7" t="s">
        <v>432</v>
      </c>
      <c r="C424" s="7" t="s">
        <v>6349</v>
      </c>
      <c r="D424" s="7" t="s">
        <v>6418</v>
      </c>
      <c r="E424" s="7" t="s">
        <v>6419</v>
      </c>
      <c r="F424" s="7" t="s">
        <v>6341</v>
      </c>
      <c r="G424" s="7" t="s">
        <v>7150</v>
      </c>
      <c r="H424" s="7" t="s">
        <v>7156</v>
      </c>
      <c r="I424" s="7" t="s">
        <v>7159</v>
      </c>
      <c r="J424" s="10">
        <v>46195</v>
      </c>
      <c r="K424" s="7" t="s">
        <v>7163</v>
      </c>
      <c r="L424" s="7"/>
      <c r="M424" s="7"/>
    </row>
    <row r="425" spans="1:13" x14ac:dyDescent="0.3">
      <c r="A425" s="7">
        <v>11176</v>
      </c>
      <c r="B425" s="7" t="s">
        <v>433</v>
      </c>
      <c r="C425" s="7" t="s">
        <v>6349</v>
      </c>
      <c r="D425" s="7" t="s">
        <v>6418</v>
      </c>
      <c r="E425" s="7" t="s">
        <v>6295</v>
      </c>
      <c r="F425" s="7" t="s">
        <v>6351</v>
      </c>
      <c r="G425" s="7" t="s">
        <v>7150</v>
      </c>
      <c r="H425" s="7" t="s">
        <v>7156</v>
      </c>
      <c r="I425" s="7"/>
      <c r="J425" s="10">
        <v>42355</v>
      </c>
      <c r="K425" s="7" t="s">
        <v>7163</v>
      </c>
      <c r="L425" s="7"/>
      <c r="M425" s="7"/>
    </row>
    <row r="426" spans="1:13" x14ac:dyDescent="0.3">
      <c r="A426" s="7">
        <v>18579</v>
      </c>
      <c r="B426" s="7" t="s">
        <v>434</v>
      </c>
      <c r="C426" s="7" t="s">
        <v>6349</v>
      </c>
      <c r="D426" s="7" t="s">
        <v>6418</v>
      </c>
      <c r="E426" s="7" t="s">
        <v>6420</v>
      </c>
      <c r="F426" s="7" t="s">
        <v>6340</v>
      </c>
      <c r="G426" s="7" t="s">
        <v>7150</v>
      </c>
      <c r="H426" s="7" t="s">
        <v>7156</v>
      </c>
      <c r="I426" s="7"/>
      <c r="J426" s="10">
        <v>46155</v>
      </c>
      <c r="K426" s="7" t="s">
        <v>7163</v>
      </c>
      <c r="L426" s="7"/>
      <c r="M426" s="7"/>
    </row>
    <row r="427" spans="1:13" x14ac:dyDescent="0.3">
      <c r="A427" s="7">
        <v>15443</v>
      </c>
      <c r="B427" s="7" t="s">
        <v>435</v>
      </c>
      <c r="C427" s="7" t="s">
        <v>6421</v>
      </c>
      <c r="D427" s="7" t="s">
        <v>6422</v>
      </c>
      <c r="E427" s="7" t="s">
        <v>6295</v>
      </c>
      <c r="F427" s="7" t="s">
        <v>6338</v>
      </c>
      <c r="G427" s="7" t="s">
        <v>7150</v>
      </c>
      <c r="H427" s="7" t="s">
        <v>7156</v>
      </c>
      <c r="I427" s="7"/>
      <c r="J427" s="10">
        <v>45068</v>
      </c>
      <c r="K427" s="7" t="s">
        <v>7163</v>
      </c>
      <c r="L427" s="7"/>
      <c r="M427" s="7"/>
    </row>
    <row r="428" spans="1:13" x14ac:dyDescent="0.3">
      <c r="A428" s="7">
        <v>12520</v>
      </c>
      <c r="B428" s="7" t="s">
        <v>436</v>
      </c>
      <c r="C428" s="7" t="s">
        <v>6421</v>
      </c>
      <c r="D428" s="7" t="s">
        <v>6422</v>
      </c>
      <c r="E428" s="7" t="s">
        <v>6295</v>
      </c>
      <c r="F428" s="7" t="s">
        <v>6353</v>
      </c>
      <c r="G428" s="7" t="s">
        <v>7150</v>
      </c>
      <c r="H428" s="7" t="s">
        <v>7156</v>
      </c>
      <c r="I428" s="7"/>
      <c r="J428" s="10">
        <v>43795</v>
      </c>
      <c r="K428" s="7" t="s">
        <v>7163</v>
      </c>
      <c r="L428" s="7"/>
      <c r="M428" s="7"/>
    </row>
    <row r="429" spans="1:13" x14ac:dyDescent="0.3">
      <c r="A429" s="7">
        <v>17175</v>
      </c>
      <c r="B429" s="7" t="s">
        <v>437</v>
      </c>
      <c r="C429" s="7" t="s">
        <v>6421</v>
      </c>
      <c r="D429" s="7" t="s">
        <v>6422</v>
      </c>
      <c r="E429" s="7" t="s">
        <v>6295</v>
      </c>
      <c r="F429" s="7" t="s">
        <v>6353</v>
      </c>
      <c r="G429" s="7" t="s">
        <v>7150</v>
      </c>
      <c r="H429" s="7" t="s">
        <v>7156</v>
      </c>
      <c r="I429" s="7"/>
      <c r="J429" s="10">
        <v>45664</v>
      </c>
      <c r="K429" s="7" t="s">
        <v>7163</v>
      </c>
      <c r="L429" s="7"/>
      <c r="M429" s="7"/>
    </row>
    <row r="430" spans="1:13" x14ac:dyDescent="0.3">
      <c r="A430" s="7">
        <v>17833</v>
      </c>
      <c r="B430" s="7" t="s">
        <v>438</v>
      </c>
      <c r="C430" s="7" t="s">
        <v>6421</v>
      </c>
      <c r="D430" s="7" t="s">
        <v>6422</v>
      </c>
      <c r="E430" s="7" t="s">
        <v>6295</v>
      </c>
      <c r="F430" s="7" t="s">
        <v>6340</v>
      </c>
      <c r="G430" s="7" t="s">
        <v>7150</v>
      </c>
      <c r="H430" s="7" t="s">
        <v>7156</v>
      </c>
      <c r="I430" s="7"/>
      <c r="J430" s="10">
        <v>45883</v>
      </c>
      <c r="K430" s="7" t="s">
        <v>7163</v>
      </c>
      <c r="L430" s="7"/>
      <c r="M430" s="7"/>
    </row>
    <row r="431" spans="1:13" x14ac:dyDescent="0.3">
      <c r="A431" s="7">
        <v>15408</v>
      </c>
      <c r="B431" s="7" t="s">
        <v>439</v>
      </c>
      <c r="C431" s="7" t="s">
        <v>6421</v>
      </c>
      <c r="D431" s="7" t="s">
        <v>6422</v>
      </c>
      <c r="E431" s="7" t="s">
        <v>6295</v>
      </c>
      <c r="F431" s="7" t="s">
        <v>6340</v>
      </c>
      <c r="G431" s="7" t="s">
        <v>7150</v>
      </c>
      <c r="H431" s="7" t="s">
        <v>7156</v>
      </c>
      <c r="I431" s="7"/>
      <c r="J431" s="10">
        <v>45058</v>
      </c>
      <c r="K431" s="7" t="s">
        <v>7163</v>
      </c>
      <c r="L431" s="7"/>
      <c r="M431" s="7"/>
    </row>
    <row r="432" spans="1:13" x14ac:dyDescent="0.3">
      <c r="A432" s="7">
        <v>15672</v>
      </c>
      <c r="B432" s="7" t="s">
        <v>440</v>
      </c>
      <c r="C432" s="7" t="s">
        <v>6421</v>
      </c>
      <c r="D432" s="7" t="s">
        <v>6422</v>
      </c>
      <c r="E432" s="7" t="s">
        <v>6295</v>
      </c>
      <c r="F432" s="7" t="s">
        <v>6353</v>
      </c>
      <c r="G432" s="7" t="s">
        <v>7150</v>
      </c>
      <c r="H432" s="7" t="s">
        <v>7156</v>
      </c>
      <c r="I432" s="7"/>
      <c r="J432" s="10">
        <v>45162</v>
      </c>
      <c r="K432" s="7" t="s">
        <v>7163</v>
      </c>
      <c r="L432" s="7"/>
      <c r="M432" s="7"/>
    </row>
    <row r="433" spans="1:13" x14ac:dyDescent="0.3">
      <c r="A433" s="7">
        <v>14732</v>
      </c>
      <c r="B433" s="7" t="s">
        <v>441</v>
      </c>
      <c r="C433" s="7" t="s">
        <v>6421</v>
      </c>
      <c r="D433" s="7" t="s">
        <v>6422</v>
      </c>
      <c r="E433" s="7" t="s">
        <v>6295</v>
      </c>
      <c r="F433" s="7" t="s">
        <v>6340</v>
      </c>
      <c r="G433" s="7" t="s">
        <v>7150</v>
      </c>
      <c r="H433" s="7" t="s">
        <v>7156</v>
      </c>
      <c r="I433" s="7"/>
      <c r="J433" s="10">
        <v>44840</v>
      </c>
      <c r="K433" s="7" t="s">
        <v>7163</v>
      </c>
      <c r="L433" s="7"/>
      <c r="M433" s="7"/>
    </row>
    <row r="434" spans="1:13" x14ac:dyDescent="0.3">
      <c r="A434" s="7">
        <v>12912</v>
      </c>
      <c r="B434" s="7" t="s">
        <v>442</v>
      </c>
      <c r="C434" s="7" t="s">
        <v>6349</v>
      </c>
      <c r="D434" s="7" t="s">
        <v>6418</v>
      </c>
      <c r="E434" s="7" t="s">
        <v>6423</v>
      </c>
      <c r="F434" s="7" t="s">
        <v>6335</v>
      </c>
      <c r="G434" s="7" t="s">
        <v>7150</v>
      </c>
      <c r="H434" s="7" t="s">
        <v>7156</v>
      </c>
      <c r="I434" s="7"/>
      <c r="J434" s="10">
        <v>44099</v>
      </c>
      <c r="K434" s="7" t="s">
        <v>7163</v>
      </c>
      <c r="L434" s="7"/>
      <c r="M434" s="7"/>
    </row>
    <row r="435" spans="1:13" x14ac:dyDescent="0.3">
      <c r="A435" s="7">
        <v>17695</v>
      </c>
      <c r="B435" s="7" t="s">
        <v>443</v>
      </c>
      <c r="C435" s="7" t="s">
        <v>6349</v>
      </c>
      <c r="D435" s="7" t="s">
        <v>6418</v>
      </c>
      <c r="E435" s="7" t="s">
        <v>6423</v>
      </c>
      <c r="F435" s="7" t="s">
        <v>6341</v>
      </c>
      <c r="G435" s="7" t="s">
        <v>7150</v>
      </c>
      <c r="H435" s="7" t="s">
        <v>7156</v>
      </c>
      <c r="I435" s="7"/>
      <c r="J435" s="10">
        <v>45840</v>
      </c>
      <c r="K435" s="7" t="s">
        <v>7163</v>
      </c>
      <c r="L435" s="7"/>
      <c r="M435" s="7"/>
    </row>
    <row r="436" spans="1:13" x14ac:dyDescent="0.3">
      <c r="A436" s="7">
        <v>12150</v>
      </c>
      <c r="B436" s="7" t="s">
        <v>444</v>
      </c>
      <c r="C436" s="7" t="s">
        <v>6421</v>
      </c>
      <c r="D436" s="7" t="s">
        <v>6424</v>
      </c>
      <c r="E436" s="7" t="s">
        <v>6295</v>
      </c>
      <c r="F436" s="7" t="s">
        <v>6338</v>
      </c>
      <c r="G436" s="7" t="s">
        <v>7150</v>
      </c>
      <c r="H436" s="7" t="s">
        <v>7156</v>
      </c>
      <c r="I436" s="7"/>
      <c r="J436" s="10">
        <v>43525</v>
      </c>
      <c r="K436" s="7" t="s">
        <v>7163</v>
      </c>
      <c r="L436" s="7"/>
      <c r="M436" s="7"/>
    </row>
    <row r="437" spans="1:13" x14ac:dyDescent="0.3">
      <c r="A437" s="7">
        <v>15925</v>
      </c>
      <c r="B437" s="7" t="s">
        <v>445</v>
      </c>
      <c r="C437" s="7" t="s">
        <v>6421</v>
      </c>
      <c r="D437" s="7" t="s">
        <v>6424</v>
      </c>
      <c r="E437" s="7" t="s">
        <v>6295</v>
      </c>
      <c r="F437" s="7" t="s">
        <v>6335</v>
      </c>
      <c r="G437" s="7" t="s">
        <v>7150</v>
      </c>
      <c r="H437" s="7" t="s">
        <v>7156</v>
      </c>
      <c r="I437" s="7"/>
      <c r="J437" s="10">
        <v>45243</v>
      </c>
      <c r="K437" s="7" t="s">
        <v>7163</v>
      </c>
      <c r="L437" s="7"/>
      <c r="M437" s="7"/>
    </row>
    <row r="438" spans="1:13" x14ac:dyDescent="0.3">
      <c r="A438" s="7">
        <v>15786</v>
      </c>
      <c r="B438" s="7" t="s">
        <v>446</v>
      </c>
      <c r="C438" s="7" t="s">
        <v>6421</v>
      </c>
      <c r="D438" s="7" t="s">
        <v>6424</v>
      </c>
      <c r="E438" s="7" t="s">
        <v>6295</v>
      </c>
      <c r="F438" s="7" t="s">
        <v>6335</v>
      </c>
      <c r="G438" s="7" t="s">
        <v>7150</v>
      </c>
      <c r="H438" s="7" t="s">
        <v>7156</v>
      </c>
      <c r="I438" s="7"/>
      <c r="J438" s="10">
        <v>45189</v>
      </c>
      <c r="K438" s="7" t="s">
        <v>7163</v>
      </c>
      <c r="L438" s="7"/>
      <c r="M438" s="7"/>
    </row>
    <row r="439" spans="1:13" x14ac:dyDescent="0.3">
      <c r="A439" s="7">
        <v>13509</v>
      </c>
      <c r="B439" s="7" t="s">
        <v>447</v>
      </c>
      <c r="C439" s="7" t="s">
        <v>6421</v>
      </c>
      <c r="D439" s="7" t="s">
        <v>6424</v>
      </c>
      <c r="E439" s="7" t="s">
        <v>6295</v>
      </c>
      <c r="F439" s="7" t="s">
        <v>6353</v>
      </c>
      <c r="G439" s="7" t="s">
        <v>7150</v>
      </c>
      <c r="H439" s="7" t="s">
        <v>7156</v>
      </c>
      <c r="I439" s="7"/>
      <c r="J439" s="10">
        <v>44480</v>
      </c>
      <c r="K439" s="7" t="s">
        <v>7163</v>
      </c>
      <c r="L439" s="7"/>
      <c r="M439" s="7"/>
    </row>
    <row r="440" spans="1:13" x14ac:dyDescent="0.3">
      <c r="A440" s="7">
        <v>14124</v>
      </c>
      <c r="B440" s="7" t="s">
        <v>448</v>
      </c>
      <c r="C440" s="7" t="s">
        <v>6421</v>
      </c>
      <c r="D440" s="7" t="s">
        <v>6424</v>
      </c>
      <c r="E440" s="7" t="s">
        <v>6295</v>
      </c>
      <c r="F440" s="7" t="s">
        <v>6340</v>
      </c>
      <c r="G440" s="7" t="s">
        <v>7150</v>
      </c>
      <c r="H440" s="7" t="s">
        <v>7156</v>
      </c>
      <c r="I440" s="7"/>
      <c r="J440" s="10">
        <v>44666</v>
      </c>
      <c r="K440" s="7" t="s">
        <v>7163</v>
      </c>
      <c r="L440" s="7"/>
      <c r="M440" s="7"/>
    </row>
    <row r="441" spans="1:13" x14ac:dyDescent="0.3">
      <c r="A441" s="7">
        <v>17604</v>
      </c>
      <c r="B441" s="7" t="s">
        <v>449</v>
      </c>
      <c r="C441" s="7" t="s">
        <v>6421</v>
      </c>
      <c r="D441" s="7" t="s">
        <v>6424</v>
      </c>
      <c r="E441" s="7" t="s">
        <v>6295</v>
      </c>
      <c r="F441" s="7" t="s">
        <v>6353</v>
      </c>
      <c r="G441" s="7" t="s">
        <v>7150</v>
      </c>
      <c r="H441" s="7" t="s">
        <v>7156</v>
      </c>
      <c r="I441" s="7"/>
      <c r="J441" s="10">
        <v>45810</v>
      </c>
      <c r="K441" s="7" t="s">
        <v>7163</v>
      </c>
      <c r="L441" s="7"/>
      <c r="M441" s="7"/>
    </row>
    <row r="442" spans="1:13" x14ac:dyDescent="0.3">
      <c r="A442" s="7">
        <v>17999</v>
      </c>
      <c r="B442" s="7" t="s">
        <v>450</v>
      </c>
      <c r="C442" s="7" t="s">
        <v>6421</v>
      </c>
      <c r="D442" s="7" t="s">
        <v>6424</v>
      </c>
      <c r="E442" s="7" t="s">
        <v>6295</v>
      </c>
      <c r="F442" s="7" t="s">
        <v>6340</v>
      </c>
      <c r="G442" s="7" t="s">
        <v>7150</v>
      </c>
      <c r="H442" s="7" t="s">
        <v>7156</v>
      </c>
      <c r="I442" s="7"/>
      <c r="J442" s="10">
        <v>45952</v>
      </c>
      <c r="K442" s="7" t="s">
        <v>7163</v>
      </c>
      <c r="L442" s="7"/>
      <c r="M442" s="7"/>
    </row>
    <row r="443" spans="1:13" x14ac:dyDescent="0.3">
      <c r="A443" s="7">
        <v>14318</v>
      </c>
      <c r="B443" s="7" t="s">
        <v>451</v>
      </c>
      <c r="C443" s="7" t="s">
        <v>6421</v>
      </c>
      <c r="D443" s="7" t="s">
        <v>6424</v>
      </c>
      <c r="E443" s="7" t="s">
        <v>6295</v>
      </c>
      <c r="F443" s="7" t="s">
        <v>6340</v>
      </c>
      <c r="G443" s="7" t="s">
        <v>7151</v>
      </c>
      <c r="H443" s="7" t="s">
        <v>7156</v>
      </c>
      <c r="I443" s="7"/>
      <c r="J443" s="10">
        <v>44728</v>
      </c>
      <c r="K443" s="7" t="s">
        <v>7163</v>
      </c>
      <c r="L443" s="7"/>
      <c r="M443" s="7"/>
    </row>
    <row r="444" spans="1:13" x14ac:dyDescent="0.3">
      <c r="A444" s="7">
        <v>17729</v>
      </c>
      <c r="B444" s="7" t="s">
        <v>452</v>
      </c>
      <c r="C444" s="7" t="s">
        <v>6421</v>
      </c>
      <c r="D444" s="7" t="s">
        <v>6424</v>
      </c>
      <c r="E444" s="7" t="s">
        <v>6295</v>
      </c>
      <c r="F444" s="7" t="s">
        <v>6389</v>
      </c>
      <c r="G444" s="7" t="s">
        <v>7150</v>
      </c>
      <c r="H444" s="7" t="s">
        <v>7157</v>
      </c>
      <c r="I444" s="7"/>
      <c r="J444" s="10">
        <v>45853</v>
      </c>
      <c r="K444" s="7" t="s">
        <v>7163</v>
      </c>
      <c r="L444" s="7"/>
      <c r="M444" s="7"/>
    </row>
    <row r="445" spans="1:13" x14ac:dyDescent="0.3">
      <c r="A445" s="7">
        <v>17208</v>
      </c>
      <c r="B445" s="7" t="s">
        <v>453</v>
      </c>
      <c r="C445" s="7" t="s">
        <v>6421</v>
      </c>
      <c r="D445" s="7" t="s">
        <v>6424</v>
      </c>
      <c r="E445" s="7" t="s">
        <v>6295</v>
      </c>
      <c r="F445" s="7" t="s">
        <v>6341</v>
      </c>
      <c r="G445" s="7" t="s">
        <v>7150</v>
      </c>
      <c r="H445" s="7" t="s">
        <v>7156</v>
      </c>
      <c r="I445" s="7"/>
      <c r="J445" s="10">
        <v>45663</v>
      </c>
      <c r="K445" s="7" t="s">
        <v>7163</v>
      </c>
      <c r="L445" s="7"/>
      <c r="M445" s="7"/>
    </row>
    <row r="446" spans="1:13" x14ac:dyDescent="0.3">
      <c r="A446" s="7">
        <v>17620</v>
      </c>
      <c r="B446" s="7" t="s">
        <v>454</v>
      </c>
      <c r="C446" s="7" t="s">
        <v>6421</v>
      </c>
      <c r="D446" s="7" t="s">
        <v>6424</v>
      </c>
      <c r="E446" s="7" t="s">
        <v>6295</v>
      </c>
      <c r="F446" s="7" t="s">
        <v>6340</v>
      </c>
      <c r="G446" s="7" t="s">
        <v>7150</v>
      </c>
      <c r="H446" s="7" t="s">
        <v>7156</v>
      </c>
      <c r="I446" s="7"/>
      <c r="J446" s="10">
        <v>45812</v>
      </c>
      <c r="K446" s="7" t="s">
        <v>7163</v>
      </c>
      <c r="L446" s="7"/>
      <c r="M446" s="7"/>
    </row>
    <row r="447" spans="1:13" x14ac:dyDescent="0.3">
      <c r="A447" s="7">
        <v>11846</v>
      </c>
      <c r="B447" s="7" t="s">
        <v>455</v>
      </c>
      <c r="C447" s="7" t="s">
        <v>6349</v>
      </c>
      <c r="D447" s="7" t="s">
        <v>6350</v>
      </c>
      <c r="E447" s="7" t="s">
        <v>6295</v>
      </c>
      <c r="F447" s="7" t="s">
        <v>6335</v>
      </c>
      <c r="G447" s="7" t="s">
        <v>7150</v>
      </c>
      <c r="H447" s="7" t="s">
        <v>7156</v>
      </c>
      <c r="I447" s="7"/>
      <c r="J447" s="10">
        <v>43193</v>
      </c>
      <c r="K447" s="7" t="s">
        <v>7163</v>
      </c>
      <c r="L447" s="7"/>
      <c r="M447" s="7"/>
    </row>
    <row r="448" spans="1:13" x14ac:dyDescent="0.3">
      <c r="A448" s="7">
        <v>18076</v>
      </c>
      <c r="B448" s="7" t="s">
        <v>456</v>
      </c>
      <c r="C448" s="7" t="s">
        <v>6349</v>
      </c>
      <c r="D448" s="7" t="s">
        <v>6350</v>
      </c>
      <c r="E448" s="7" t="s">
        <v>6295</v>
      </c>
      <c r="F448" s="7" t="s">
        <v>6353</v>
      </c>
      <c r="G448" s="7" t="s">
        <v>7150</v>
      </c>
      <c r="H448" s="7" t="s">
        <v>7156</v>
      </c>
      <c r="I448" s="7"/>
      <c r="J448" s="10">
        <v>45986</v>
      </c>
      <c r="K448" s="7" t="s">
        <v>7163</v>
      </c>
      <c r="L448" s="7"/>
      <c r="M448" s="7"/>
    </row>
    <row r="449" spans="1:13" x14ac:dyDescent="0.3">
      <c r="A449" s="7">
        <v>15268</v>
      </c>
      <c r="B449" s="7" t="s">
        <v>457</v>
      </c>
      <c r="C449" s="7" t="s">
        <v>6421</v>
      </c>
      <c r="D449" s="7" t="s">
        <v>6422</v>
      </c>
      <c r="E449" s="7" t="s">
        <v>6295</v>
      </c>
      <c r="F449" s="7" t="s">
        <v>6335</v>
      </c>
      <c r="G449" s="7" t="s">
        <v>7150</v>
      </c>
      <c r="H449" s="7" t="s">
        <v>7156</v>
      </c>
      <c r="I449" s="7"/>
      <c r="J449" s="10">
        <v>45021</v>
      </c>
      <c r="K449" s="7" t="s">
        <v>7163</v>
      </c>
      <c r="L449" s="7"/>
      <c r="M449" s="7"/>
    </row>
    <row r="450" spans="1:13" x14ac:dyDescent="0.3">
      <c r="A450" s="7">
        <v>11945</v>
      </c>
      <c r="B450" s="7" t="s">
        <v>458</v>
      </c>
      <c r="C450" s="7" t="s">
        <v>6421</v>
      </c>
      <c r="D450" s="7" t="s">
        <v>6424</v>
      </c>
      <c r="E450" s="7" t="s">
        <v>6295</v>
      </c>
      <c r="F450" s="7" t="s">
        <v>6353</v>
      </c>
      <c r="G450" s="7" t="s">
        <v>7150</v>
      </c>
      <c r="H450" s="7" t="s">
        <v>7156</v>
      </c>
      <c r="I450" s="7"/>
      <c r="J450" s="10">
        <v>43304</v>
      </c>
      <c r="K450" s="7" t="s">
        <v>7163</v>
      </c>
      <c r="L450" s="7"/>
      <c r="M450" s="7"/>
    </row>
    <row r="451" spans="1:13" x14ac:dyDescent="0.3">
      <c r="A451" s="7">
        <v>13789</v>
      </c>
      <c r="B451" s="7" t="s">
        <v>459</v>
      </c>
      <c r="C451" s="7" t="s">
        <v>6349</v>
      </c>
      <c r="D451" s="7" t="s">
        <v>6418</v>
      </c>
      <c r="E451" s="7" t="s">
        <v>6420</v>
      </c>
      <c r="F451" s="7" t="s">
        <v>6340</v>
      </c>
      <c r="G451" s="7" t="s">
        <v>7150</v>
      </c>
      <c r="H451" s="7" t="s">
        <v>7156</v>
      </c>
      <c r="I451" s="7"/>
      <c r="J451" s="10">
        <v>44578</v>
      </c>
      <c r="K451" s="7" t="s">
        <v>7163</v>
      </c>
      <c r="L451" s="7"/>
      <c r="M451" s="7"/>
    </row>
    <row r="452" spans="1:13" x14ac:dyDescent="0.3">
      <c r="A452" s="7">
        <v>12108</v>
      </c>
      <c r="B452" s="7" t="s">
        <v>460</v>
      </c>
      <c r="C452" s="7" t="s">
        <v>6421</v>
      </c>
      <c r="D452" s="7" t="s">
        <v>6424</v>
      </c>
      <c r="E452" s="7" t="s">
        <v>6295</v>
      </c>
      <c r="F452" s="7" t="s">
        <v>6340</v>
      </c>
      <c r="G452" s="7" t="s">
        <v>7150</v>
      </c>
      <c r="H452" s="7" t="s">
        <v>7156</v>
      </c>
      <c r="I452" s="7"/>
      <c r="J452" s="10">
        <v>43479</v>
      </c>
      <c r="K452" s="7" t="s">
        <v>7163</v>
      </c>
      <c r="L452" s="7"/>
      <c r="M452" s="7"/>
    </row>
    <row r="453" spans="1:13" x14ac:dyDescent="0.3">
      <c r="A453" s="7">
        <v>18552</v>
      </c>
      <c r="B453" s="7" t="s">
        <v>461</v>
      </c>
      <c r="C453" s="7" t="s">
        <v>6421</v>
      </c>
      <c r="D453" s="7" t="s">
        <v>6424</v>
      </c>
      <c r="E453" s="7" t="s">
        <v>6295</v>
      </c>
      <c r="F453" s="7" t="s">
        <v>6341</v>
      </c>
      <c r="G453" s="7" t="s">
        <v>7150</v>
      </c>
      <c r="H453" s="7" t="s">
        <v>7156</v>
      </c>
      <c r="I453" s="7"/>
      <c r="J453" s="10">
        <v>46155</v>
      </c>
      <c r="K453" s="7" t="s">
        <v>7163</v>
      </c>
      <c r="L453" s="7"/>
      <c r="M453" s="7"/>
    </row>
    <row r="454" spans="1:13" x14ac:dyDescent="0.3">
      <c r="A454" s="7">
        <v>11985</v>
      </c>
      <c r="B454" s="7" t="s">
        <v>462</v>
      </c>
      <c r="C454" s="7" t="s">
        <v>6349</v>
      </c>
      <c r="D454" s="7" t="s">
        <v>6425</v>
      </c>
      <c r="E454" s="7" t="s">
        <v>6295</v>
      </c>
      <c r="F454" s="7" t="s">
        <v>6351</v>
      </c>
      <c r="G454" s="7" t="s">
        <v>7150</v>
      </c>
      <c r="H454" s="7" t="s">
        <v>7156</v>
      </c>
      <c r="I454" s="7"/>
      <c r="J454" s="10">
        <v>43362</v>
      </c>
      <c r="K454" s="7" t="s">
        <v>7163</v>
      </c>
      <c r="L454" s="7"/>
      <c r="M454" s="7"/>
    </row>
    <row r="455" spans="1:13" x14ac:dyDescent="0.3">
      <c r="A455" s="7">
        <v>11505</v>
      </c>
      <c r="B455" s="7" t="s">
        <v>463</v>
      </c>
      <c r="C455" s="7" t="s">
        <v>6349</v>
      </c>
      <c r="D455" s="7" t="s">
        <v>6425</v>
      </c>
      <c r="E455" s="7" t="s">
        <v>6426</v>
      </c>
      <c r="F455" s="7" t="s">
        <v>6335</v>
      </c>
      <c r="G455" s="7" t="s">
        <v>7150</v>
      </c>
      <c r="H455" s="7" t="s">
        <v>7156</v>
      </c>
      <c r="I455" s="7"/>
      <c r="J455" s="10">
        <v>42772</v>
      </c>
      <c r="K455" s="7" t="s">
        <v>7163</v>
      </c>
      <c r="L455" s="7"/>
      <c r="M455" s="7"/>
    </row>
    <row r="456" spans="1:13" x14ac:dyDescent="0.3">
      <c r="A456" s="7">
        <v>16210</v>
      </c>
      <c r="B456" s="7" t="s">
        <v>464</v>
      </c>
      <c r="C456" s="7" t="s">
        <v>6349</v>
      </c>
      <c r="D456" s="7" t="s">
        <v>6425</v>
      </c>
      <c r="E456" s="7" t="s">
        <v>6427</v>
      </c>
      <c r="F456" s="7" t="s">
        <v>6335</v>
      </c>
      <c r="G456" s="7" t="s">
        <v>7150</v>
      </c>
      <c r="H456" s="7" t="s">
        <v>7156</v>
      </c>
      <c r="I456" s="7"/>
      <c r="J456" s="10">
        <v>45323</v>
      </c>
      <c r="K456" s="7" t="s">
        <v>7163</v>
      </c>
      <c r="L456" s="7"/>
      <c r="M456" s="7"/>
    </row>
    <row r="457" spans="1:13" x14ac:dyDescent="0.3">
      <c r="A457" s="7">
        <v>12996</v>
      </c>
      <c r="B457" s="7" t="s">
        <v>465</v>
      </c>
      <c r="C457" s="7" t="s">
        <v>6349</v>
      </c>
      <c r="D457" s="7" t="s">
        <v>6425</v>
      </c>
      <c r="E457" s="7" t="s">
        <v>6427</v>
      </c>
      <c r="F457" s="7" t="s">
        <v>6341</v>
      </c>
      <c r="G457" s="7" t="s">
        <v>7150</v>
      </c>
      <c r="H457" s="7" t="s">
        <v>7156</v>
      </c>
      <c r="I457" s="7"/>
      <c r="J457" s="10">
        <v>44173</v>
      </c>
      <c r="K457" s="7" t="s">
        <v>7163</v>
      </c>
      <c r="L457" s="7"/>
      <c r="M457" s="7"/>
    </row>
    <row r="458" spans="1:13" x14ac:dyDescent="0.3">
      <c r="A458" s="7">
        <v>18285</v>
      </c>
      <c r="B458" s="7" t="s">
        <v>466</v>
      </c>
      <c r="C458" s="7" t="s">
        <v>6349</v>
      </c>
      <c r="D458" s="7" t="s">
        <v>6425</v>
      </c>
      <c r="E458" s="7" t="s">
        <v>6426</v>
      </c>
      <c r="F458" s="7" t="s">
        <v>6340</v>
      </c>
      <c r="G458" s="7" t="s">
        <v>7151</v>
      </c>
      <c r="H458" s="7" t="s">
        <v>7156</v>
      </c>
      <c r="I458" s="7" t="s">
        <v>7159</v>
      </c>
      <c r="J458" s="10">
        <v>46072</v>
      </c>
      <c r="K458" s="7" t="s">
        <v>7163</v>
      </c>
      <c r="L458" s="7"/>
      <c r="M458" s="7"/>
    </row>
    <row r="459" spans="1:13" x14ac:dyDescent="0.3">
      <c r="A459" s="7">
        <v>18280</v>
      </c>
      <c r="B459" s="7" t="s">
        <v>467</v>
      </c>
      <c r="C459" s="7" t="s">
        <v>6349</v>
      </c>
      <c r="D459" s="7" t="s">
        <v>6425</v>
      </c>
      <c r="E459" s="7" t="s">
        <v>6426</v>
      </c>
      <c r="F459" s="7" t="s">
        <v>6341</v>
      </c>
      <c r="G459" s="7" t="s">
        <v>7150</v>
      </c>
      <c r="H459" s="7" t="s">
        <v>7156</v>
      </c>
      <c r="I459" s="7" t="s">
        <v>7158</v>
      </c>
      <c r="J459" s="10">
        <v>46071</v>
      </c>
      <c r="K459" s="7" t="s">
        <v>7163</v>
      </c>
      <c r="L459" s="7"/>
      <c r="M459" s="7"/>
    </row>
    <row r="460" spans="1:13" x14ac:dyDescent="0.3">
      <c r="A460" s="7">
        <v>17794</v>
      </c>
      <c r="B460" s="7" t="s">
        <v>468</v>
      </c>
      <c r="C460" s="7" t="s">
        <v>6349</v>
      </c>
      <c r="D460" s="7" t="s">
        <v>6425</v>
      </c>
      <c r="E460" s="7" t="s">
        <v>6426</v>
      </c>
      <c r="F460" s="7" t="s">
        <v>6340</v>
      </c>
      <c r="G460" s="7" t="s">
        <v>7150</v>
      </c>
      <c r="H460" s="7" t="s">
        <v>7156</v>
      </c>
      <c r="I460" s="7"/>
      <c r="J460" s="10">
        <v>45887</v>
      </c>
      <c r="K460" s="7" t="s">
        <v>7163</v>
      </c>
      <c r="L460" s="7"/>
      <c r="M460" s="7"/>
    </row>
    <row r="461" spans="1:13" x14ac:dyDescent="0.3">
      <c r="A461" s="7">
        <v>14076</v>
      </c>
      <c r="B461" s="7" t="s">
        <v>469</v>
      </c>
      <c r="C461" s="7" t="s">
        <v>6349</v>
      </c>
      <c r="D461" s="7" t="s">
        <v>6425</v>
      </c>
      <c r="E461" s="7" t="s">
        <v>6426</v>
      </c>
      <c r="F461" s="7" t="s">
        <v>6340</v>
      </c>
      <c r="G461" s="7" t="s">
        <v>7150</v>
      </c>
      <c r="H461" s="7" t="s">
        <v>7156</v>
      </c>
      <c r="I461" s="7"/>
      <c r="J461" s="10">
        <v>44652</v>
      </c>
      <c r="K461" s="7" t="s">
        <v>7163</v>
      </c>
      <c r="L461" s="7"/>
      <c r="M461" s="7"/>
    </row>
    <row r="462" spans="1:13" x14ac:dyDescent="0.3">
      <c r="A462" s="7">
        <v>11109</v>
      </c>
      <c r="B462" s="7" t="s">
        <v>470</v>
      </c>
      <c r="C462" s="7" t="s">
        <v>6349</v>
      </c>
      <c r="D462" s="7" t="s">
        <v>6425</v>
      </c>
      <c r="E462" s="7" t="s">
        <v>6426</v>
      </c>
      <c r="F462" s="7" t="s">
        <v>6335</v>
      </c>
      <c r="G462" s="7" t="s">
        <v>7150</v>
      </c>
      <c r="H462" s="7" t="s">
        <v>7156</v>
      </c>
      <c r="I462" s="7"/>
      <c r="J462" s="10">
        <v>42278</v>
      </c>
      <c r="K462" s="7" t="s">
        <v>7163</v>
      </c>
      <c r="L462" s="7"/>
      <c r="M462" s="7"/>
    </row>
    <row r="463" spans="1:13" x14ac:dyDescent="0.3">
      <c r="A463" s="7">
        <v>10117</v>
      </c>
      <c r="B463" s="7" t="s">
        <v>471</v>
      </c>
      <c r="C463" s="7" t="s">
        <v>6349</v>
      </c>
      <c r="D463" s="7" t="s">
        <v>6425</v>
      </c>
      <c r="E463" s="7" t="s">
        <v>6426</v>
      </c>
      <c r="F463" s="7" t="s">
        <v>6335</v>
      </c>
      <c r="G463" s="7" t="s">
        <v>7150</v>
      </c>
      <c r="H463" s="7" t="s">
        <v>7156</v>
      </c>
      <c r="I463" s="7"/>
      <c r="J463" s="10">
        <v>36724</v>
      </c>
      <c r="K463" s="7" t="s">
        <v>7163</v>
      </c>
      <c r="L463" s="7"/>
      <c r="M463" s="7"/>
    </row>
    <row r="464" spans="1:13" x14ac:dyDescent="0.3">
      <c r="A464" s="7">
        <v>14020</v>
      </c>
      <c r="B464" s="7" t="s">
        <v>472</v>
      </c>
      <c r="C464" s="7" t="s">
        <v>6349</v>
      </c>
      <c r="D464" s="7" t="s">
        <v>6425</v>
      </c>
      <c r="E464" s="7" t="s">
        <v>6426</v>
      </c>
      <c r="F464" s="7" t="s">
        <v>6353</v>
      </c>
      <c r="G464" s="7" t="s">
        <v>7150</v>
      </c>
      <c r="H464" s="7" t="s">
        <v>7156</v>
      </c>
      <c r="I464" s="7"/>
      <c r="J464" s="10">
        <v>44629</v>
      </c>
      <c r="K464" s="7" t="s">
        <v>7163</v>
      </c>
      <c r="L464" s="7"/>
      <c r="M464" s="7"/>
    </row>
    <row r="465" spans="1:13" x14ac:dyDescent="0.3">
      <c r="A465" s="7">
        <v>17696</v>
      </c>
      <c r="B465" s="7" t="s">
        <v>473</v>
      </c>
      <c r="C465" s="7" t="s">
        <v>6349</v>
      </c>
      <c r="D465" s="7" t="s">
        <v>6425</v>
      </c>
      <c r="E465" s="7" t="s">
        <v>6426</v>
      </c>
      <c r="F465" s="7" t="s">
        <v>6341</v>
      </c>
      <c r="G465" s="7" t="s">
        <v>7150</v>
      </c>
      <c r="H465" s="7" t="s">
        <v>7156</v>
      </c>
      <c r="I465" s="7"/>
      <c r="J465" s="10">
        <v>45842</v>
      </c>
      <c r="K465" s="7" t="s">
        <v>7163</v>
      </c>
      <c r="L465" s="7"/>
      <c r="M465" s="7"/>
    </row>
    <row r="466" spans="1:13" x14ac:dyDescent="0.3">
      <c r="A466" s="7">
        <v>11515</v>
      </c>
      <c r="B466" s="7" t="s">
        <v>474</v>
      </c>
      <c r="C466" s="7" t="s">
        <v>6428</v>
      </c>
      <c r="D466" s="7" t="s">
        <v>6295</v>
      </c>
      <c r="E466" s="7" t="s">
        <v>6295</v>
      </c>
      <c r="F466" s="7" t="s">
        <v>6356</v>
      </c>
      <c r="G466" s="7" t="s">
        <v>7150</v>
      </c>
      <c r="H466" s="7" t="s">
        <v>7156</v>
      </c>
      <c r="I466" s="7"/>
      <c r="J466" s="10">
        <v>42786</v>
      </c>
      <c r="K466" s="7" t="s">
        <v>7163</v>
      </c>
      <c r="L466" s="7"/>
      <c r="M466" s="7"/>
    </row>
    <row r="467" spans="1:13" x14ac:dyDescent="0.3">
      <c r="A467" s="7">
        <v>12625</v>
      </c>
      <c r="B467" s="7" t="s">
        <v>475</v>
      </c>
      <c r="C467" s="7" t="s">
        <v>6428</v>
      </c>
      <c r="D467" s="7" t="s">
        <v>6295</v>
      </c>
      <c r="E467" s="7" t="s">
        <v>6295</v>
      </c>
      <c r="F467" s="7" t="s">
        <v>6336</v>
      </c>
      <c r="G467" s="7" t="s">
        <v>7150</v>
      </c>
      <c r="H467" s="7" t="s">
        <v>7156</v>
      </c>
      <c r="I467" s="7"/>
      <c r="J467" s="10">
        <v>43844</v>
      </c>
      <c r="K467" s="7" t="s">
        <v>7163</v>
      </c>
      <c r="L467" s="7"/>
      <c r="M467" s="7"/>
    </row>
    <row r="468" spans="1:13" x14ac:dyDescent="0.3">
      <c r="A468" s="7">
        <v>11571</v>
      </c>
      <c r="B468" s="7" t="s">
        <v>476</v>
      </c>
      <c r="C468" s="7" t="s">
        <v>6428</v>
      </c>
      <c r="D468" s="7" t="s">
        <v>6429</v>
      </c>
      <c r="E468" s="7" t="s">
        <v>6295</v>
      </c>
      <c r="F468" s="7" t="s">
        <v>6338</v>
      </c>
      <c r="G468" s="7" t="s">
        <v>7150</v>
      </c>
      <c r="H468" s="7" t="s">
        <v>7156</v>
      </c>
      <c r="I468" s="7"/>
      <c r="J468" s="10">
        <v>42860</v>
      </c>
      <c r="K468" s="7" t="s">
        <v>7163</v>
      </c>
      <c r="L468" s="7"/>
      <c r="M468" s="7"/>
    </row>
    <row r="469" spans="1:13" x14ac:dyDescent="0.3">
      <c r="A469" s="7">
        <v>11959</v>
      </c>
      <c r="B469" s="7" t="s">
        <v>477</v>
      </c>
      <c r="C469" s="7" t="s">
        <v>6428</v>
      </c>
      <c r="D469" s="7" t="s">
        <v>6430</v>
      </c>
      <c r="E469" s="7" t="s">
        <v>6295</v>
      </c>
      <c r="F469" s="7" t="s">
        <v>6431</v>
      </c>
      <c r="G469" s="7" t="s">
        <v>7150</v>
      </c>
      <c r="H469" s="7" t="s">
        <v>7156</v>
      </c>
      <c r="I469" s="7"/>
      <c r="J469" s="10">
        <v>43329</v>
      </c>
      <c r="K469" s="7" t="s">
        <v>7163</v>
      </c>
      <c r="L469" s="7"/>
      <c r="M469" s="7"/>
    </row>
    <row r="470" spans="1:13" x14ac:dyDescent="0.3">
      <c r="A470" s="7">
        <v>11937</v>
      </c>
      <c r="B470" s="7" t="s">
        <v>478</v>
      </c>
      <c r="C470" s="7" t="s">
        <v>6428</v>
      </c>
      <c r="D470" s="7" t="s">
        <v>6429</v>
      </c>
      <c r="E470" s="7" t="s">
        <v>6295</v>
      </c>
      <c r="F470" s="7" t="s">
        <v>6335</v>
      </c>
      <c r="G470" s="7" t="s">
        <v>7150</v>
      </c>
      <c r="H470" s="7" t="s">
        <v>7156</v>
      </c>
      <c r="I470" s="7"/>
      <c r="J470" s="10">
        <v>43301</v>
      </c>
      <c r="K470" s="7" t="s">
        <v>7163</v>
      </c>
      <c r="L470" s="7"/>
      <c r="M470" s="7"/>
    </row>
    <row r="471" spans="1:13" x14ac:dyDescent="0.3">
      <c r="A471" s="7">
        <v>12473</v>
      </c>
      <c r="B471" s="7" t="s">
        <v>479</v>
      </c>
      <c r="C471" s="7" t="s">
        <v>6428</v>
      </c>
      <c r="D471" s="7" t="s">
        <v>6429</v>
      </c>
      <c r="E471" s="7" t="s">
        <v>6295</v>
      </c>
      <c r="F471" s="7" t="s">
        <v>6335</v>
      </c>
      <c r="G471" s="7" t="s">
        <v>7150</v>
      </c>
      <c r="H471" s="7" t="s">
        <v>7156</v>
      </c>
      <c r="I471" s="7"/>
      <c r="J471" s="10">
        <v>43762</v>
      </c>
      <c r="K471" s="7" t="s">
        <v>7163</v>
      </c>
      <c r="L471" s="7"/>
      <c r="M471" s="7"/>
    </row>
    <row r="472" spans="1:13" x14ac:dyDescent="0.3">
      <c r="A472" s="7">
        <v>14787</v>
      </c>
      <c r="B472" s="7" t="s">
        <v>480</v>
      </c>
      <c r="C472" s="7" t="s">
        <v>6428</v>
      </c>
      <c r="D472" s="7" t="s">
        <v>6429</v>
      </c>
      <c r="E472" s="7" t="s">
        <v>6295</v>
      </c>
      <c r="F472" s="7" t="s">
        <v>6353</v>
      </c>
      <c r="G472" s="7" t="s">
        <v>7150</v>
      </c>
      <c r="H472" s="7" t="s">
        <v>7156</v>
      </c>
      <c r="I472" s="7"/>
      <c r="J472" s="10">
        <v>44879</v>
      </c>
      <c r="K472" s="7" t="s">
        <v>7163</v>
      </c>
      <c r="L472" s="7"/>
      <c r="M472" s="7"/>
    </row>
    <row r="473" spans="1:13" x14ac:dyDescent="0.3">
      <c r="A473" s="7">
        <v>13716</v>
      </c>
      <c r="B473" s="7" t="s">
        <v>481</v>
      </c>
      <c r="C473" s="7" t="s">
        <v>6428</v>
      </c>
      <c r="D473" s="7" t="s">
        <v>6429</v>
      </c>
      <c r="E473" s="7" t="s">
        <v>6295</v>
      </c>
      <c r="F473" s="7" t="s">
        <v>6432</v>
      </c>
      <c r="G473" s="7" t="s">
        <v>7150</v>
      </c>
      <c r="H473" s="7" t="s">
        <v>7156</v>
      </c>
      <c r="I473" s="7"/>
      <c r="J473" s="10">
        <v>44543</v>
      </c>
      <c r="K473" s="7" t="s">
        <v>7163</v>
      </c>
      <c r="L473" s="7"/>
      <c r="M473" s="7"/>
    </row>
    <row r="474" spans="1:13" x14ac:dyDescent="0.3">
      <c r="A474" s="7">
        <v>13795</v>
      </c>
      <c r="B474" s="7" t="s">
        <v>482</v>
      </c>
      <c r="C474" s="7" t="s">
        <v>6428</v>
      </c>
      <c r="D474" s="7" t="s">
        <v>6429</v>
      </c>
      <c r="E474" s="7" t="s">
        <v>6295</v>
      </c>
      <c r="F474" s="7" t="s">
        <v>6433</v>
      </c>
      <c r="G474" s="7" t="s">
        <v>7150</v>
      </c>
      <c r="H474" s="7" t="s">
        <v>7156</v>
      </c>
      <c r="I474" s="7"/>
      <c r="J474" s="10">
        <v>44579</v>
      </c>
      <c r="K474" s="7" t="s">
        <v>7163</v>
      </c>
      <c r="L474" s="7"/>
      <c r="M474" s="7"/>
    </row>
    <row r="475" spans="1:13" x14ac:dyDescent="0.3">
      <c r="A475" s="7">
        <v>13117</v>
      </c>
      <c r="B475" s="7" t="s">
        <v>483</v>
      </c>
      <c r="C475" s="7" t="s">
        <v>6428</v>
      </c>
      <c r="D475" s="7" t="s">
        <v>6429</v>
      </c>
      <c r="E475" s="7" t="s">
        <v>6295</v>
      </c>
      <c r="F475" s="7" t="s">
        <v>6434</v>
      </c>
      <c r="G475" s="7" t="s">
        <v>7150</v>
      </c>
      <c r="H475" s="7" t="s">
        <v>7156</v>
      </c>
      <c r="I475" s="7"/>
      <c r="J475" s="10">
        <v>44267</v>
      </c>
      <c r="K475" s="7" t="s">
        <v>7163</v>
      </c>
      <c r="L475" s="7"/>
      <c r="M475" s="7"/>
    </row>
    <row r="476" spans="1:13" x14ac:dyDescent="0.3">
      <c r="A476" s="7">
        <v>12657</v>
      </c>
      <c r="B476" s="7" t="s">
        <v>484</v>
      </c>
      <c r="C476" s="7" t="s">
        <v>6428</v>
      </c>
      <c r="D476" s="7" t="s">
        <v>6429</v>
      </c>
      <c r="E476" s="7" t="s">
        <v>6295</v>
      </c>
      <c r="F476" s="7" t="s">
        <v>6340</v>
      </c>
      <c r="G476" s="7" t="s">
        <v>7150</v>
      </c>
      <c r="H476" s="7" t="s">
        <v>7156</v>
      </c>
      <c r="I476" s="7"/>
      <c r="J476" s="10">
        <v>43857</v>
      </c>
      <c r="K476" s="7" t="s">
        <v>7163</v>
      </c>
      <c r="L476" s="7"/>
      <c r="M476" s="7"/>
    </row>
    <row r="477" spans="1:13" x14ac:dyDescent="0.3">
      <c r="A477" s="7">
        <v>430018</v>
      </c>
      <c r="B477" s="7" t="s">
        <v>485</v>
      </c>
      <c r="C477" s="7" t="s">
        <v>6428</v>
      </c>
      <c r="D477" s="7" t="s">
        <v>6429</v>
      </c>
      <c r="E477" s="7" t="s">
        <v>6295</v>
      </c>
      <c r="F477" s="7" t="s">
        <v>6435</v>
      </c>
      <c r="G477" s="7" t="s">
        <v>7150</v>
      </c>
      <c r="H477" s="7" t="s">
        <v>7156</v>
      </c>
      <c r="I477" s="7"/>
      <c r="J477" s="10">
        <v>43090</v>
      </c>
      <c r="K477" s="7" t="s">
        <v>7163</v>
      </c>
      <c r="L477" s="7"/>
      <c r="M477" s="7"/>
    </row>
    <row r="478" spans="1:13" x14ac:dyDescent="0.3">
      <c r="A478" s="7">
        <v>14846</v>
      </c>
      <c r="B478" s="7" t="s">
        <v>486</v>
      </c>
      <c r="C478" s="7" t="s">
        <v>6428</v>
      </c>
      <c r="D478" s="7" t="s">
        <v>6430</v>
      </c>
      <c r="E478" s="7" t="s">
        <v>6295</v>
      </c>
      <c r="F478" s="7" t="s">
        <v>6340</v>
      </c>
      <c r="G478" s="7" t="s">
        <v>7150</v>
      </c>
      <c r="H478" s="7" t="s">
        <v>7156</v>
      </c>
      <c r="I478" s="7"/>
      <c r="J478" s="10">
        <v>44879</v>
      </c>
      <c r="K478" s="7" t="s">
        <v>7163</v>
      </c>
      <c r="L478" s="7"/>
      <c r="M478" s="7"/>
    </row>
    <row r="479" spans="1:13" x14ac:dyDescent="0.3">
      <c r="A479" s="7">
        <v>15878</v>
      </c>
      <c r="B479" s="7" t="s">
        <v>487</v>
      </c>
      <c r="C479" s="7" t="s">
        <v>6428</v>
      </c>
      <c r="D479" s="7" t="s">
        <v>6430</v>
      </c>
      <c r="E479" s="7" t="s">
        <v>6295</v>
      </c>
      <c r="F479" s="7" t="s">
        <v>6341</v>
      </c>
      <c r="G479" s="7" t="s">
        <v>7150</v>
      </c>
      <c r="H479" s="7" t="s">
        <v>7156</v>
      </c>
      <c r="I479" s="7"/>
      <c r="J479" s="10">
        <v>45226</v>
      </c>
      <c r="K479" s="7" t="s">
        <v>7163</v>
      </c>
      <c r="L479" s="7"/>
      <c r="M479" s="7"/>
    </row>
    <row r="480" spans="1:13" x14ac:dyDescent="0.3">
      <c r="A480" s="7">
        <v>19003</v>
      </c>
      <c r="B480" s="7" t="s">
        <v>488</v>
      </c>
      <c r="C480" s="7" t="s">
        <v>6428</v>
      </c>
      <c r="D480" s="7" t="s">
        <v>6430</v>
      </c>
      <c r="E480" s="7" t="s">
        <v>6295</v>
      </c>
      <c r="F480" s="7" t="s">
        <v>6341</v>
      </c>
      <c r="G480" s="7" t="s">
        <v>7150</v>
      </c>
      <c r="H480" s="7" t="s">
        <v>7156</v>
      </c>
      <c r="I480" s="7"/>
      <c r="J480" s="10">
        <v>46260</v>
      </c>
      <c r="K480" s="7" t="s">
        <v>7163</v>
      </c>
      <c r="L480" s="7"/>
      <c r="M480" s="7"/>
    </row>
    <row r="481" spans="1:13" x14ac:dyDescent="0.3">
      <c r="A481" s="7">
        <v>14796</v>
      </c>
      <c r="B481" s="7" t="s">
        <v>489</v>
      </c>
      <c r="C481" s="7" t="s">
        <v>6428</v>
      </c>
      <c r="D481" s="7" t="s">
        <v>6429</v>
      </c>
      <c r="E481" s="7" t="s">
        <v>6295</v>
      </c>
      <c r="F481" s="7" t="s">
        <v>6341</v>
      </c>
      <c r="G481" s="7" t="s">
        <v>7150</v>
      </c>
      <c r="H481" s="7" t="s">
        <v>7156</v>
      </c>
      <c r="I481" s="7"/>
      <c r="J481" s="10">
        <v>44859</v>
      </c>
      <c r="K481" s="7" t="s">
        <v>7163</v>
      </c>
      <c r="L481" s="7"/>
      <c r="M481" s="7"/>
    </row>
    <row r="482" spans="1:13" x14ac:dyDescent="0.3">
      <c r="A482" s="7">
        <v>15410</v>
      </c>
      <c r="B482" s="7" t="s">
        <v>490</v>
      </c>
      <c r="C482" s="7" t="s">
        <v>6428</v>
      </c>
      <c r="D482" s="7" t="s">
        <v>6429</v>
      </c>
      <c r="E482" s="7" t="s">
        <v>6295</v>
      </c>
      <c r="F482" s="7" t="s">
        <v>6341</v>
      </c>
      <c r="G482" s="7" t="s">
        <v>7150</v>
      </c>
      <c r="H482" s="7" t="s">
        <v>7156</v>
      </c>
      <c r="I482" s="7"/>
      <c r="J482" s="10">
        <v>45064</v>
      </c>
      <c r="K482" s="7" t="s">
        <v>7163</v>
      </c>
      <c r="L482" s="7"/>
      <c r="M482" s="7"/>
    </row>
    <row r="483" spans="1:13" x14ac:dyDescent="0.3">
      <c r="A483" s="7">
        <v>16701</v>
      </c>
      <c r="B483" s="7" t="s">
        <v>491</v>
      </c>
      <c r="C483" s="7" t="s">
        <v>6428</v>
      </c>
      <c r="D483" s="7" t="s">
        <v>6430</v>
      </c>
      <c r="E483" s="7" t="s">
        <v>6295</v>
      </c>
      <c r="F483" s="7" t="s">
        <v>6341</v>
      </c>
      <c r="G483" s="7" t="s">
        <v>7150</v>
      </c>
      <c r="H483" s="7" t="s">
        <v>7156</v>
      </c>
      <c r="I483" s="7"/>
      <c r="J483" s="10">
        <v>45530</v>
      </c>
      <c r="K483" s="7" t="s">
        <v>7163</v>
      </c>
      <c r="L483" s="7"/>
      <c r="M483" s="7"/>
    </row>
    <row r="484" spans="1:13" x14ac:dyDescent="0.3">
      <c r="A484" s="7">
        <v>16495</v>
      </c>
      <c r="B484" s="7" t="s">
        <v>492</v>
      </c>
      <c r="C484" s="7" t="s">
        <v>6428</v>
      </c>
      <c r="D484" s="7" t="s">
        <v>6430</v>
      </c>
      <c r="E484" s="7" t="s">
        <v>6295</v>
      </c>
      <c r="F484" s="7" t="s">
        <v>6341</v>
      </c>
      <c r="G484" s="7" t="s">
        <v>7150</v>
      </c>
      <c r="H484" s="7" t="s">
        <v>7156</v>
      </c>
      <c r="I484" s="7"/>
      <c r="J484" s="10">
        <v>45439</v>
      </c>
      <c r="K484" s="7" t="s">
        <v>7163</v>
      </c>
      <c r="L484" s="7"/>
      <c r="M484" s="7"/>
    </row>
    <row r="485" spans="1:13" x14ac:dyDescent="0.3">
      <c r="A485" s="7">
        <v>18391</v>
      </c>
      <c r="B485" s="7" t="s">
        <v>493</v>
      </c>
      <c r="C485" s="7" t="s">
        <v>6428</v>
      </c>
      <c r="D485" s="7" t="s">
        <v>6430</v>
      </c>
      <c r="E485" s="7" t="s">
        <v>6295</v>
      </c>
      <c r="F485" s="7" t="s">
        <v>6341</v>
      </c>
      <c r="G485" s="7" t="s">
        <v>7150</v>
      </c>
      <c r="H485" s="7" t="s">
        <v>7156</v>
      </c>
      <c r="I485" s="7"/>
      <c r="J485" s="10">
        <v>46115</v>
      </c>
      <c r="K485" s="7" t="s">
        <v>7163</v>
      </c>
      <c r="L485" s="7"/>
      <c r="M485" s="7"/>
    </row>
    <row r="486" spans="1:13" x14ac:dyDescent="0.3">
      <c r="A486" s="7">
        <v>760032</v>
      </c>
      <c r="B486" s="7" t="s">
        <v>494</v>
      </c>
      <c r="C486" s="7" t="s">
        <v>6428</v>
      </c>
      <c r="D486" s="7" t="s">
        <v>6429</v>
      </c>
      <c r="E486" s="7" t="s">
        <v>6295</v>
      </c>
      <c r="F486" s="7" t="s">
        <v>6436</v>
      </c>
      <c r="G486" s="7" t="s">
        <v>7150</v>
      </c>
      <c r="H486" s="7" t="s">
        <v>7156</v>
      </c>
      <c r="I486" s="7"/>
      <c r="J486" s="10">
        <v>42614</v>
      </c>
      <c r="K486" s="7" t="s">
        <v>7163</v>
      </c>
      <c r="L486" s="7"/>
      <c r="M486" s="7"/>
    </row>
    <row r="487" spans="1:13" x14ac:dyDescent="0.3">
      <c r="A487" s="7">
        <v>570034</v>
      </c>
      <c r="B487" s="7" t="s">
        <v>495</v>
      </c>
      <c r="C487" s="7" t="s">
        <v>6428</v>
      </c>
      <c r="D487" s="7" t="s">
        <v>6429</v>
      </c>
      <c r="E487" s="7" t="s">
        <v>6295</v>
      </c>
      <c r="F487" s="7" t="s">
        <v>6437</v>
      </c>
      <c r="G487" s="7" t="s">
        <v>7150</v>
      </c>
      <c r="H487" s="7" t="s">
        <v>7156</v>
      </c>
      <c r="I487" s="7"/>
      <c r="J487" s="10">
        <v>43104</v>
      </c>
      <c r="K487" s="7" t="s">
        <v>7163</v>
      </c>
      <c r="L487" s="7"/>
      <c r="M487" s="7"/>
    </row>
    <row r="488" spans="1:13" x14ac:dyDescent="0.3">
      <c r="A488" s="7">
        <v>17561</v>
      </c>
      <c r="B488" s="7" t="s">
        <v>496</v>
      </c>
      <c r="C488" s="7" t="s">
        <v>6428</v>
      </c>
      <c r="D488" s="7" t="s">
        <v>6429</v>
      </c>
      <c r="E488" s="7" t="s">
        <v>6295</v>
      </c>
      <c r="F488" s="7" t="s">
        <v>6341</v>
      </c>
      <c r="G488" s="7" t="s">
        <v>7150</v>
      </c>
      <c r="H488" s="7" t="s">
        <v>7156</v>
      </c>
      <c r="I488" s="7"/>
      <c r="J488" s="10">
        <v>45792</v>
      </c>
      <c r="K488" s="7" t="s">
        <v>7163</v>
      </c>
      <c r="L488" s="7"/>
      <c r="M488" s="7"/>
    </row>
    <row r="489" spans="1:13" x14ac:dyDescent="0.3">
      <c r="A489" s="7">
        <v>15987</v>
      </c>
      <c r="B489" s="7" t="s">
        <v>497</v>
      </c>
      <c r="C489" s="7" t="s">
        <v>6428</v>
      </c>
      <c r="D489" s="7" t="s">
        <v>6429</v>
      </c>
      <c r="E489" s="7" t="s">
        <v>6295</v>
      </c>
      <c r="F489" s="7" t="s">
        <v>6341</v>
      </c>
      <c r="G489" s="7" t="s">
        <v>7150</v>
      </c>
      <c r="H489" s="7" t="s">
        <v>7156</v>
      </c>
      <c r="I489" s="7"/>
      <c r="J489" s="10">
        <v>45257</v>
      </c>
      <c r="K489" s="7" t="s">
        <v>7163</v>
      </c>
      <c r="L489" s="7"/>
      <c r="M489" s="7"/>
    </row>
    <row r="490" spans="1:13" x14ac:dyDescent="0.3">
      <c r="A490" s="7">
        <v>16015</v>
      </c>
      <c r="B490" s="7" t="s">
        <v>498</v>
      </c>
      <c r="C490" s="7" t="s">
        <v>6428</v>
      </c>
      <c r="D490" s="7" t="s">
        <v>6429</v>
      </c>
      <c r="E490" s="7" t="s">
        <v>6295</v>
      </c>
      <c r="F490" s="7" t="s">
        <v>6341</v>
      </c>
      <c r="G490" s="7" t="s">
        <v>7152</v>
      </c>
      <c r="H490" s="7" t="s">
        <v>7156</v>
      </c>
      <c r="I490" s="7"/>
      <c r="J490" s="10">
        <v>45267</v>
      </c>
      <c r="K490" s="7" t="s">
        <v>7163</v>
      </c>
      <c r="L490" s="7"/>
      <c r="M490" s="7"/>
    </row>
    <row r="491" spans="1:13" x14ac:dyDescent="0.3">
      <c r="A491" s="7">
        <v>16018</v>
      </c>
      <c r="B491" s="7" t="s">
        <v>499</v>
      </c>
      <c r="C491" s="7" t="s">
        <v>6428</v>
      </c>
      <c r="D491" s="7" t="s">
        <v>6429</v>
      </c>
      <c r="E491" s="7" t="s">
        <v>6295</v>
      </c>
      <c r="F491" s="7" t="s">
        <v>6341</v>
      </c>
      <c r="G491" s="7" t="s">
        <v>7150</v>
      </c>
      <c r="H491" s="7" t="s">
        <v>7156</v>
      </c>
      <c r="I491" s="7"/>
      <c r="J491" s="10">
        <v>45267</v>
      </c>
      <c r="K491" s="7" t="s">
        <v>7163</v>
      </c>
      <c r="L491" s="7"/>
      <c r="M491" s="7"/>
    </row>
    <row r="492" spans="1:13" x14ac:dyDescent="0.3">
      <c r="A492" s="7">
        <v>17562</v>
      </c>
      <c r="B492" s="7" t="s">
        <v>500</v>
      </c>
      <c r="C492" s="7" t="s">
        <v>6428</v>
      </c>
      <c r="D492" s="7" t="s">
        <v>6429</v>
      </c>
      <c r="E492" s="7" t="s">
        <v>6295</v>
      </c>
      <c r="F492" s="7" t="s">
        <v>6341</v>
      </c>
      <c r="G492" s="7" t="s">
        <v>7150</v>
      </c>
      <c r="H492" s="7" t="s">
        <v>7156</v>
      </c>
      <c r="I492" s="7"/>
      <c r="J492" s="10">
        <v>45792</v>
      </c>
      <c r="K492" s="7" t="s">
        <v>7163</v>
      </c>
      <c r="L492" s="7"/>
      <c r="M492" s="7"/>
    </row>
    <row r="493" spans="1:13" x14ac:dyDescent="0.3">
      <c r="A493" s="7">
        <v>18993</v>
      </c>
      <c r="B493" s="7" t="s">
        <v>501</v>
      </c>
      <c r="C493" s="7" t="s">
        <v>6428</v>
      </c>
      <c r="D493" s="7" t="s">
        <v>6429</v>
      </c>
      <c r="E493" s="7" t="s">
        <v>6295</v>
      </c>
      <c r="F493" s="7" t="s">
        <v>6348</v>
      </c>
      <c r="G493" s="7" t="s">
        <v>7150</v>
      </c>
      <c r="H493" s="7" t="s">
        <v>7156</v>
      </c>
      <c r="I493" s="7"/>
      <c r="J493" s="10">
        <v>46255</v>
      </c>
      <c r="K493" s="7" t="s">
        <v>7163</v>
      </c>
      <c r="L493" s="7"/>
      <c r="M493" s="7"/>
    </row>
    <row r="494" spans="1:13" x14ac:dyDescent="0.3">
      <c r="A494" s="7">
        <v>19012</v>
      </c>
      <c r="B494" s="7" t="s">
        <v>502</v>
      </c>
      <c r="C494" s="7" t="s">
        <v>6428</v>
      </c>
      <c r="D494" s="7" t="s">
        <v>6429</v>
      </c>
      <c r="E494" s="7" t="s">
        <v>6295</v>
      </c>
      <c r="F494" s="7" t="s">
        <v>6348</v>
      </c>
      <c r="G494" s="7" t="s">
        <v>7150</v>
      </c>
      <c r="H494" s="7" t="s">
        <v>7156</v>
      </c>
      <c r="I494" s="7"/>
      <c r="J494" s="10">
        <v>46259</v>
      </c>
      <c r="K494" s="7" t="s">
        <v>7163</v>
      </c>
      <c r="L494" s="7"/>
      <c r="M494" s="7"/>
    </row>
    <row r="495" spans="1:13" x14ac:dyDescent="0.3">
      <c r="A495" s="7">
        <v>17631</v>
      </c>
      <c r="B495" s="7" t="s">
        <v>503</v>
      </c>
      <c r="C495" s="7" t="s">
        <v>6428</v>
      </c>
      <c r="D495" s="7" t="s">
        <v>6430</v>
      </c>
      <c r="E495" s="7" t="s">
        <v>6295</v>
      </c>
      <c r="F495" s="7" t="s">
        <v>6341</v>
      </c>
      <c r="G495" s="7" t="s">
        <v>7150</v>
      </c>
      <c r="H495" s="7" t="s">
        <v>7156</v>
      </c>
      <c r="I495" s="7"/>
      <c r="J495" s="10">
        <v>45831</v>
      </c>
      <c r="K495" s="7" t="s">
        <v>7163</v>
      </c>
      <c r="L495" s="7"/>
      <c r="M495" s="7"/>
    </row>
    <row r="496" spans="1:13" x14ac:dyDescent="0.3">
      <c r="A496" s="7">
        <v>17687</v>
      </c>
      <c r="B496" s="7" t="s">
        <v>504</v>
      </c>
      <c r="C496" s="7" t="s">
        <v>6428</v>
      </c>
      <c r="D496" s="7" t="s">
        <v>6430</v>
      </c>
      <c r="E496" s="7" t="s">
        <v>6295</v>
      </c>
      <c r="F496" s="7" t="s">
        <v>6341</v>
      </c>
      <c r="G496" s="7" t="s">
        <v>7150</v>
      </c>
      <c r="H496" s="7" t="s">
        <v>7156</v>
      </c>
      <c r="I496" s="7"/>
      <c r="J496" s="10">
        <v>45842</v>
      </c>
      <c r="K496" s="7" t="s">
        <v>7163</v>
      </c>
      <c r="L496" s="7"/>
      <c r="M496" s="7"/>
    </row>
    <row r="497" spans="1:13" x14ac:dyDescent="0.3">
      <c r="A497" s="7">
        <v>11831</v>
      </c>
      <c r="B497" s="7" t="s">
        <v>505</v>
      </c>
      <c r="C497" s="7" t="s">
        <v>6428</v>
      </c>
      <c r="D497" s="7" t="s">
        <v>6438</v>
      </c>
      <c r="E497" s="7" t="s">
        <v>6295</v>
      </c>
      <c r="F497" s="7" t="s">
        <v>6338</v>
      </c>
      <c r="G497" s="7" t="s">
        <v>7150</v>
      </c>
      <c r="H497" s="7" t="s">
        <v>7156</v>
      </c>
      <c r="I497" s="7"/>
      <c r="J497" s="10">
        <v>43171</v>
      </c>
      <c r="K497" s="7" t="s">
        <v>7163</v>
      </c>
      <c r="L497" s="7"/>
      <c r="M497" s="7"/>
    </row>
    <row r="498" spans="1:13" x14ac:dyDescent="0.3">
      <c r="A498" s="7">
        <v>11575</v>
      </c>
      <c r="B498" s="7" t="s">
        <v>506</v>
      </c>
      <c r="C498" s="7" t="s">
        <v>6428</v>
      </c>
      <c r="D498" s="7" t="s">
        <v>6438</v>
      </c>
      <c r="E498" s="7" t="s">
        <v>6295</v>
      </c>
      <c r="F498" s="7" t="s">
        <v>6335</v>
      </c>
      <c r="G498" s="7" t="s">
        <v>7150</v>
      </c>
      <c r="H498" s="7" t="s">
        <v>7156</v>
      </c>
      <c r="I498" s="7"/>
      <c r="J498" s="10">
        <v>42865</v>
      </c>
      <c r="K498" s="7" t="s">
        <v>7163</v>
      </c>
      <c r="L498" s="7"/>
      <c r="M498" s="7"/>
    </row>
    <row r="499" spans="1:13" x14ac:dyDescent="0.3">
      <c r="A499" s="7">
        <v>13674</v>
      </c>
      <c r="B499" s="7" t="s">
        <v>507</v>
      </c>
      <c r="C499" s="7" t="s">
        <v>6428</v>
      </c>
      <c r="D499" s="7" t="s">
        <v>6438</v>
      </c>
      <c r="E499" s="7" t="s">
        <v>6295</v>
      </c>
      <c r="F499" s="7" t="s">
        <v>6335</v>
      </c>
      <c r="G499" s="7" t="s">
        <v>7150</v>
      </c>
      <c r="H499" s="7" t="s">
        <v>7156</v>
      </c>
      <c r="I499" s="7"/>
      <c r="J499" s="10">
        <v>44533</v>
      </c>
      <c r="K499" s="7" t="s">
        <v>7163</v>
      </c>
      <c r="L499" s="7"/>
      <c r="M499" s="7"/>
    </row>
    <row r="500" spans="1:13" x14ac:dyDescent="0.3">
      <c r="A500" s="7">
        <v>11893</v>
      </c>
      <c r="B500" s="7" t="s">
        <v>508</v>
      </c>
      <c r="C500" s="7" t="s">
        <v>6428</v>
      </c>
      <c r="D500" s="7" t="s">
        <v>6438</v>
      </c>
      <c r="E500" s="7" t="s">
        <v>6295</v>
      </c>
      <c r="F500" s="7" t="s">
        <v>6335</v>
      </c>
      <c r="G500" s="7" t="s">
        <v>7150</v>
      </c>
      <c r="H500" s="7" t="s">
        <v>7156</v>
      </c>
      <c r="I500" s="7"/>
      <c r="J500" s="10">
        <v>43245</v>
      </c>
      <c r="K500" s="7" t="s">
        <v>7163</v>
      </c>
      <c r="L500" s="7"/>
      <c r="M500" s="7"/>
    </row>
    <row r="501" spans="1:13" x14ac:dyDescent="0.3">
      <c r="A501" s="7">
        <v>12671</v>
      </c>
      <c r="B501" s="7" t="s">
        <v>509</v>
      </c>
      <c r="C501" s="7" t="s">
        <v>6428</v>
      </c>
      <c r="D501" s="7" t="s">
        <v>6438</v>
      </c>
      <c r="E501" s="7" t="s">
        <v>6295</v>
      </c>
      <c r="F501" s="7" t="s">
        <v>6335</v>
      </c>
      <c r="G501" s="7" t="s">
        <v>7150</v>
      </c>
      <c r="H501" s="7" t="s">
        <v>7156</v>
      </c>
      <c r="I501" s="7"/>
      <c r="J501" s="10">
        <v>43893</v>
      </c>
      <c r="K501" s="7" t="s">
        <v>7163</v>
      </c>
      <c r="L501" s="7"/>
      <c r="M501" s="7"/>
    </row>
    <row r="502" spans="1:13" x14ac:dyDescent="0.3">
      <c r="A502" s="7">
        <v>12344</v>
      </c>
      <c r="B502" s="7" t="s">
        <v>510</v>
      </c>
      <c r="C502" s="7" t="s">
        <v>6428</v>
      </c>
      <c r="D502" s="7" t="s">
        <v>6438</v>
      </c>
      <c r="E502" s="7" t="s">
        <v>6295</v>
      </c>
      <c r="F502" s="7" t="s">
        <v>6335</v>
      </c>
      <c r="G502" s="7" t="s">
        <v>7150</v>
      </c>
      <c r="H502" s="7" t="s">
        <v>7156</v>
      </c>
      <c r="I502" s="7"/>
      <c r="J502" s="10">
        <v>43696</v>
      </c>
      <c r="K502" s="7" t="s">
        <v>7163</v>
      </c>
      <c r="L502" s="7"/>
      <c r="M502" s="7"/>
    </row>
    <row r="503" spans="1:13" x14ac:dyDescent="0.3">
      <c r="A503" s="7">
        <v>11402</v>
      </c>
      <c r="B503" s="7" t="s">
        <v>511</v>
      </c>
      <c r="C503" s="7" t="s">
        <v>6428</v>
      </c>
      <c r="D503" s="7" t="s">
        <v>6438</v>
      </c>
      <c r="E503" s="7" t="s">
        <v>6295</v>
      </c>
      <c r="F503" s="7" t="s">
        <v>6335</v>
      </c>
      <c r="G503" s="7" t="s">
        <v>7150</v>
      </c>
      <c r="H503" s="7" t="s">
        <v>7156</v>
      </c>
      <c r="I503" s="7"/>
      <c r="J503" s="10">
        <v>42657</v>
      </c>
      <c r="K503" s="7" t="s">
        <v>7163</v>
      </c>
      <c r="L503" s="7"/>
      <c r="M503" s="7"/>
    </row>
    <row r="504" spans="1:13" x14ac:dyDescent="0.3">
      <c r="A504" s="7">
        <v>12780</v>
      </c>
      <c r="B504" s="7" t="s">
        <v>512</v>
      </c>
      <c r="C504" s="7" t="s">
        <v>6428</v>
      </c>
      <c r="D504" s="7" t="s">
        <v>6438</v>
      </c>
      <c r="E504" s="7" t="s">
        <v>6295</v>
      </c>
      <c r="F504" s="7" t="s">
        <v>6335</v>
      </c>
      <c r="G504" s="7" t="s">
        <v>7150</v>
      </c>
      <c r="H504" s="7" t="s">
        <v>7156</v>
      </c>
      <c r="I504" s="7"/>
      <c r="J504" s="10">
        <v>43929</v>
      </c>
      <c r="K504" s="7" t="s">
        <v>7163</v>
      </c>
      <c r="L504" s="7"/>
      <c r="M504" s="7"/>
    </row>
    <row r="505" spans="1:13" x14ac:dyDescent="0.3">
      <c r="A505" s="7">
        <v>12360</v>
      </c>
      <c r="B505" s="7" t="s">
        <v>513</v>
      </c>
      <c r="C505" s="7" t="s">
        <v>6428</v>
      </c>
      <c r="D505" s="7" t="s">
        <v>6438</v>
      </c>
      <c r="E505" s="7" t="s">
        <v>6295</v>
      </c>
      <c r="F505" s="7" t="s">
        <v>6335</v>
      </c>
      <c r="G505" s="7" t="s">
        <v>7150</v>
      </c>
      <c r="H505" s="7" t="s">
        <v>7156</v>
      </c>
      <c r="I505" s="7"/>
      <c r="J505" s="10">
        <v>43710</v>
      </c>
      <c r="K505" s="7" t="s">
        <v>7163</v>
      </c>
      <c r="L505" s="7"/>
      <c r="M505" s="7"/>
    </row>
    <row r="506" spans="1:13" x14ac:dyDescent="0.3">
      <c r="A506" s="7">
        <v>12148</v>
      </c>
      <c r="B506" s="7" t="s">
        <v>514</v>
      </c>
      <c r="C506" s="7" t="s">
        <v>6428</v>
      </c>
      <c r="D506" s="7" t="s">
        <v>6438</v>
      </c>
      <c r="E506" s="7" t="s">
        <v>6295</v>
      </c>
      <c r="F506" s="7" t="s">
        <v>6335</v>
      </c>
      <c r="G506" s="7" t="s">
        <v>7150</v>
      </c>
      <c r="H506" s="7" t="s">
        <v>7156</v>
      </c>
      <c r="I506" s="7"/>
      <c r="J506" s="10">
        <v>43525</v>
      </c>
      <c r="K506" s="7" t="s">
        <v>7163</v>
      </c>
      <c r="L506" s="7"/>
      <c r="M506" s="7"/>
    </row>
    <row r="507" spans="1:13" x14ac:dyDescent="0.3">
      <c r="A507" s="7">
        <v>12433</v>
      </c>
      <c r="B507" s="7" t="s">
        <v>515</v>
      </c>
      <c r="C507" s="7" t="s">
        <v>6428</v>
      </c>
      <c r="D507" s="7" t="s">
        <v>6438</v>
      </c>
      <c r="E507" s="7" t="s">
        <v>6295</v>
      </c>
      <c r="F507" s="7" t="s">
        <v>6353</v>
      </c>
      <c r="G507" s="7" t="s">
        <v>7150</v>
      </c>
      <c r="H507" s="7" t="s">
        <v>7156</v>
      </c>
      <c r="I507" s="7"/>
      <c r="J507" s="10">
        <v>43752</v>
      </c>
      <c r="K507" s="7" t="s">
        <v>7163</v>
      </c>
      <c r="L507" s="7"/>
      <c r="M507" s="7"/>
    </row>
    <row r="508" spans="1:13" x14ac:dyDescent="0.3">
      <c r="A508" s="7">
        <v>12127</v>
      </c>
      <c r="B508" s="7" t="s">
        <v>516</v>
      </c>
      <c r="C508" s="7" t="s">
        <v>6428</v>
      </c>
      <c r="D508" s="7" t="s">
        <v>6438</v>
      </c>
      <c r="E508" s="7" t="s">
        <v>6295</v>
      </c>
      <c r="F508" s="7" t="s">
        <v>6353</v>
      </c>
      <c r="G508" s="7" t="s">
        <v>7150</v>
      </c>
      <c r="H508" s="7" t="s">
        <v>7156</v>
      </c>
      <c r="I508" s="7"/>
      <c r="J508" s="10">
        <v>43501</v>
      </c>
      <c r="K508" s="7" t="s">
        <v>7163</v>
      </c>
      <c r="L508" s="7"/>
      <c r="M508" s="7"/>
    </row>
    <row r="509" spans="1:13" x14ac:dyDescent="0.3">
      <c r="A509" s="7">
        <v>15341</v>
      </c>
      <c r="B509" s="7" t="s">
        <v>517</v>
      </c>
      <c r="C509" s="7" t="s">
        <v>6428</v>
      </c>
      <c r="D509" s="7" t="s">
        <v>6438</v>
      </c>
      <c r="E509" s="7" t="s">
        <v>6295</v>
      </c>
      <c r="F509" s="7" t="s">
        <v>6353</v>
      </c>
      <c r="G509" s="7" t="s">
        <v>7150</v>
      </c>
      <c r="H509" s="7" t="s">
        <v>7156</v>
      </c>
      <c r="I509" s="7"/>
      <c r="J509" s="10">
        <v>45030</v>
      </c>
      <c r="K509" s="7" t="s">
        <v>7163</v>
      </c>
      <c r="L509" s="7"/>
      <c r="M509" s="7"/>
    </row>
    <row r="510" spans="1:13" x14ac:dyDescent="0.3">
      <c r="A510" s="7">
        <v>15475</v>
      </c>
      <c r="B510" s="7" t="s">
        <v>518</v>
      </c>
      <c r="C510" s="7" t="s">
        <v>6428</v>
      </c>
      <c r="D510" s="7" t="s">
        <v>6438</v>
      </c>
      <c r="E510" s="7" t="s">
        <v>6295</v>
      </c>
      <c r="F510" s="7" t="s">
        <v>6353</v>
      </c>
      <c r="G510" s="7" t="s">
        <v>7150</v>
      </c>
      <c r="H510" s="7" t="s">
        <v>7156</v>
      </c>
      <c r="I510" s="7"/>
      <c r="J510" s="10">
        <v>45085</v>
      </c>
      <c r="K510" s="7" t="s">
        <v>7163</v>
      </c>
      <c r="L510" s="7"/>
      <c r="M510" s="7"/>
    </row>
    <row r="511" spans="1:13" x14ac:dyDescent="0.3">
      <c r="A511" s="7">
        <v>12052</v>
      </c>
      <c r="B511" s="7" t="s">
        <v>519</v>
      </c>
      <c r="C511" s="7" t="s">
        <v>6428</v>
      </c>
      <c r="D511" s="7" t="s">
        <v>6438</v>
      </c>
      <c r="E511" s="7" t="s">
        <v>6295</v>
      </c>
      <c r="F511" s="7" t="s">
        <v>6353</v>
      </c>
      <c r="G511" s="7" t="s">
        <v>7150</v>
      </c>
      <c r="H511" s="7" t="s">
        <v>7156</v>
      </c>
      <c r="I511" s="7"/>
      <c r="J511" s="10">
        <v>43427</v>
      </c>
      <c r="K511" s="7" t="s">
        <v>7163</v>
      </c>
      <c r="L511" s="7"/>
      <c r="M511" s="7"/>
    </row>
    <row r="512" spans="1:13" x14ac:dyDescent="0.3">
      <c r="A512" s="7">
        <v>12039</v>
      </c>
      <c r="B512" s="7" t="s">
        <v>520</v>
      </c>
      <c r="C512" s="7" t="s">
        <v>6428</v>
      </c>
      <c r="D512" s="7" t="s">
        <v>6438</v>
      </c>
      <c r="E512" s="7" t="s">
        <v>6295</v>
      </c>
      <c r="F512" s="7" t="s">
        <v>6353</v>
      </c>
      <c r="G512" s="7" t="s">
        <v>7150</v>
      </c>
      <c r="H512" s="7" t="s">
        <v>7156</v>
      </c>
      <c r="I512" s="7"/>
      <c r="J512" s="10">
        <v>43405</v>
      </c>
      <c r="K512" s="7" t="s">
        <v>7163</v>
      </c>
      <c r="L512" s="7"/>
      <c r="M512" s="7"/>
    </row>
    <row r="513" spans="1:13" x14ac:dyDescent="0.3">
      <c r="A513" s="7">
        <v>12388</v>
      </c>
      <c r="B513" s="7" t="s">
        <v>521</v>
      </c>
      <c r="C513" s="7" t="s">
        <v>6428</v>
      </c>
      <c r="D513" s="7" t="s">
        <v>6438</v>
      </c>
      <c r="E513" s="7" t="s">
        <v>6295</v>
      </c>
      <c r="F513" s="7" t="s">
        <v>6439</v>
      </c>
      <c r="G513" s="7" t="s">
        <v>7150</v>
      </c>
      <c r="H513" s="7" t="s">
        <v>7156</v>
      </c>
      <c r="I513" s="7"/>
      <c r="J513" s="10">
        <v>43727</v>
      </c>
      <c r="K513" s="7" t="s">
        <v>7163</v>
      </c>
      <c r="L513" s="7"/>
      <c r="M513" s="7"/>
    </row>
    <row r="514" spans="1:13" x14ac:dyDescent="0.3">
      <c r="A514" s="7">
        <v>12229</v>
      </c>
      <c r="B514" s="7" t="s">
        <v>522</v>
      </c>
      <c r="C514" s="7" t="s">
        <v>6428</v>
      </c>
      <c r="D514" s="7" t="s">
        <v>6438</v>
      </c>
      <c r="E514" s="7" t="s">
        <v>6295</v>
      </c>
      <c r="F514" s="7" t="s">
        <v>6353</v>
      </c>
      <c r="G514" s="7" t="s">
        <v>7150</v>
      </c>
      <c r="H514" s="7" t="s">
        <v>7156</v>
      </c>
      <c r="I514" s="7"/>
      <c r="J514" s="10">
        <v>43620</v>
      </c>
      <c r="K514" s="7" t="s">
        <v>7163</v>
      </c>
      <c r="L514" s="7"/>
      <c r="M514" s="7"/>
    </row>
    <row r="515" spans="1:13" x14ac:dyDescent="0.3">
      <c r="A515" s="7">
        <v>12633</v>
      </c>
      <c r="B515" s="7" t="s">
        <v>523</v>
      </c>
      <c r="C515" s="7" t="s">
        <v>6428</v>
      </c>
      <c r="D515" s="7" t="s">
        <v>6438</v>
      </c>
      <c r="E515" s="7" t="s">
        <v>6295</v>
      </c>
      <c r="F515" s="7" t="s">
        <v>6440</v>
      </c>
      <c r="G515" s="7" t="s">
        <v>7150</v>
      </c>
      <c r="H515" s="7" t="s">
        <v>7156</v>
      </c>
      <c r="I515" s="7"/>
      <c r="J515" s="10">
        <v>43847</v>
      </c>
      <c r="K515" s="7" t="s">
        <v>7163</v>
      </c>
      <c r="L515" s="7"/>
      <c r="M515" s="7"/>
    </row>
    <row r="516" spans="1:13" x14ac:dyDescent="0.3">
      <c r="A516" s="7">
        <v>13254</v>
      </c>
      <c r="B516" s="7" t="s">
        <v>524</v>
      </c>
      <c r="C516" s="7" t="s">
        <v>6428</v>
      </c>
      <c r="D516" s="7" t="s">
        <v>6438</v>
      </c>
      <c r="E516" s="7" t="s">
        <v>6295</v>
      </c>
      <c r="F516" s="7" t="s">
        <v>6440</v>
      </c>
      <c r="G516" s="7" t="s">
        <v>7150</v>
      </c>
      <c r="H516" s="7" t="s">
        <v>7156</v>
      </c>
      <c r="I516" s="7"/>
      <c r="J516" s="10">
        <v>44351</v>
      </c>
      <c r="K516" s="7" t="s">
        <v>7163</v>
      </c>
      <c r="L516" s="7"/>
      <c r="M516" s="7"/>
    </row>
    <row r="517" spans="1:13" x14ac:dyDescent="0.3">
      <c r="A517" s="7">
        <v>12362</v>
      </c>
      <c r="B517" s="7" t="s">
        <v>525</v>
      </c>
      <c r="C517" s="7" t="s">
        <v>6428</v>
      </c>
      <c r="D517" s="7" t="s">
        <v>6438</v>
      </c>
      <c r="E517" s="7" t="s">
        <v>6295</v>
      </c>
      <c r="F517" s="7" t="s">
        <v>6440</v>
      </c>
      <c r="G517" s="7" t="s">
        <v>7150</v>
      </c>
      <c r="H517" s="7" t="s">
        <v>7156</v>
      </c>
      <c r="I517" s="7"/>
      <c r="J517" s="10">
        <v>43710</v>
      </c>
      <c r="K517" s="7" t="s">
        <v>7163</v>
      </c>
      <c r="L517" s="7"/>
      <c r="M517" s="7"/>
    </row>
    <row r="518" spans="1:13" x14ac:dyDescent="0.3">
      <c r="A518" s="7">
        <v>12400</v>
      </c>
      <c r="B518" s="7" t="s">
        <v>526</v>
      </c>
      <c r="C518" s="7" t="s">
        <v>6428</v>
      </c>
      <c r="D518" s="7" t="s">
        <v>6438</v>
      </c>
      <c r="E518" s="7" t="s">
        <v>6295</v>
      </c>
      <c r="F518" s="7" t="s">
        <v>6440</v>
      </c>
      <c r="G518" s="7" t="s">
        <v>7150</v>
      </c>
      <c r="H518" s="7" t="s">
        <v>7156</v>
      </c>
      <c r="I518" s="7"/>
      <c r="J518" s="10">
        <v>43728</v>
      </c>
      <c r="K518" s="7" t="s">
        <v>7163</v>
      </c>
      <c r="L518" s="7"/>
      <c r="M518" s="7"/>
    </row>
    <row r="519" spans="1:13" x14ac:dyDescent="0.3">
      <c r="A519" s="7">
        <v>12345</v>
      </c>
      <c r="B519" s="7" t="s">
        <v>527</v>
      </c>
      <c r="C519" s="7" t="s">
        <v>6428</v>
      </c>
      <c r="D519" s="7" t="s">
        <v>6438</v>
      </c>
      <c r="E519" s="7" t="s">
        <v>6295</v>
      </c>
      <c r="F519" s="7" t="s">
        <v>6440</v>
      </c>
      <c r="G519" s="7" t="s">
        <v>7150</v>
      </c>
      <c r="H519" s="7" t="s">
        <v>7156</v>
      </c>
      <c r="I519" s="7"/>
      <c r="J519" s="10">
        <v>43696</v>
      </c>
      <c r="K519" s="7" t="s">
        <v>7163</v>
      </c>
      <c r="L519" s="7"/>
      <c r="M519" s="7"/>
    </row>
    <row r="520" spans="1:13" x14ac:dyDescent="0.3">
      <c r="A520" s="7">
        <v>600048</v>
      </c>
      <c r="B520" s="7" t="s">
        <v>528</v>
      </c>
      <c r="C520" s="7" t="s">
        <v>6428</v>
      </c>
      <c r="D520" s="7" t="s">
        <v>6438</v>
      </c>
      <c r="E520" s="7" t="s">
        <v>6295</v>
      </c>
      <c r="F520" s="7" t="s">
        <v>6440</v>
      </c>
      <c r="G520" s="7" t="s">
        <v>7150</v>
      </c>
      <c r="H520" s="7" t="s">
        <v>7156</v>
      </c>
      <c r="I520" s="7"/>
      <c r="J520" s="10">
        <v>43699</v>
      </c>
      <c r="K520" s="7" t="s">
        <v>7163</v>
      </c>
      <c r="L520" s="7"/>
      <c r="M520" s="7"/>
    </row>
    <row r="521" spans="1:13" x14ac:dyDescent="0.3">
      <c r="A521" s="7">
        <v>14134</v>
      </c>
      <c r="B521" s="7" t="s">
        <v>529</v>
      </c>
      <c r="C521" s="7" t="s">
        <v>6428</v>
      </c>
      <c r="D521" s="7" t="s">
        <v>6438</v>
      </c>
      <c r="E521" s="7" t="s">
        <v>6295</v>
      </c>
      <c r="F521" s="7" t="s">
        <v>6353</v>
      </c>
      <c r="G521" s="7" t="s">
        <v>7150</v>
      </c>
      <c r="H521" s="7" t="s">
        <v>7156</v>
      </c>
      <c r="I521" s="7"/>
      <c r="J521" s="10">
        <v>44673</v>
      </c>
      <c r="K521" s="7" t="s">
        <v>7163</v>
      </c>
      <c r="L521" s="7"/>
      <c r="M521" s="7"/>
    </row>
    <row r="522" spans="1:13" x14ac:dyDescent="0.3">
      <c r="A522" s="7">
        <v>13094</v>
      </c>
      <c r="B522" s="7" t="s">
        <v>530</v>
      </c>
      <c r="C522" s="7" t="s">
        <v>6428</v>
      </c>
      <c r="D522" s="7" t="s">
        <v>6438</v>
      </c>
      <c r="E522" s="7" t="s">
        <v>6295</v>
      </c>
      <c r="F522" s="7" t="s">
        <v>6340</v>
      </c>
      <c r="G522" s="7" t="s">
        <v>7150</v>
      </c>
      <c r="H522" s="7" t="s">
        <v>7156</v>
      </c>
      <c r="I522" s="7"/>
      <c r="J522" s="10">
        <v>44250</v>
      </c>
      <c r="K522" s="7" t="s">
        <v>7163</v>
      </c>
      <c r="L522" s="7"/>
      <c r="M522" s="7"/>
    </row>
    <row r="523" spans="1:13" x14ac:dyDescent="0.3">
      <c r="A523" s="7">
        <v>14133</v>
      </c>
      <c r="B523" s="7" t="s">
        <v>531</v>
      </c>
      <c r="C523" s="7" t="s">
        <v>6428</v>
      </c>
      <c r="D523" s="7" t="s">
        <v>6438</v>
      </c>
      <c r="E523" s="7" t="s">
        <v>6295</v>
      </c>
      <c r="F523" s="7" t="s">
        <v>6353</v>
      </c>
      <c r="G523" s="7" t="s">
        <v>7150</v>
      </c>
      <c r="H523" s="7" t="s">
        <v>7156</v>
      </c>
      <c r="I523" s="7"/>
      <c r="J523" s="10">
        <v>44672</v>
      </c>
      <c r="K523" s="7" t="s">
        <v>7163</v>
      </c>
      <c r="L523" s="7"/>
      <c r="M523" s="7"/>
    </row>
    <row r="524" spans="1:13" x14ac:dyDescent="0.3">
      <c r="A524" s="7">
        <v>760027</v>
      </c>
      <c r="B524" s="7" t="s">
        <v>532</v>
      </c>
      <c r="C524" s="7" t="s">
        <v>6428</v>
      </c>
      <c r="D524" s="7" t="s">
        <v>6438</v>
      </c>
      <c r="E524" s="7" t="s">
        <v>6295</v>
      </c>
      <c r="F524" s="7" t="s">
        <v>6353</v>
      </c>
      <c r="G524" s="7" t="s">
        <v>7150</v>
      </c>
      <c r="H524" s="7" t="s">
        <v>7156</v>
      </c>
      <c r="I524" s="7"/>
      <c r="J524" s="10">
        <v>42289</v>
      </c>
      <c r="K524" s="7" t="s">
        <v>7163</v>
      </c>
      <c r="L524" s="7"/>
      <c r="M524" s="7"/>
    </row>
    <row r="525" spans="1:13" x14ac:dyDescent="0.3">
      <c r="A525" s="7">
        <v>750018</v>
      </c>
      <c r="B525" s="7" t="s">
        <v>533</v>
      </c>
      <c r="C525" s="7" t="s">
        <v>6428</v>
      </c>
      <c r="D525" s="7" t="s">
        <v>6438</v>
      </c>
      <c r="E525" s="7" t="s">
        <v>6295</v>
      </c>
      <c r="F525" s="7" t="s">
        <v>6340</v>
      </c>
      <c r="G525" s="7" t="s">
        <v>7150</v>
      </c>
      <c r="H525" s="7" t="s">
        <v>7156</v>
      </c>
      <c r="I525" s="7"/>
      <c r="J525" s="10">
        <v>41967</v>
      </c>
      <c r="K525" s="7" t="s">
        <v>7163</v>
      </c>
      <c r="L525" s="7"/>
      <c r="M525" s="7"/>
    </row>
    <row r="526" spans="1:13" x14ac:dyDescent="0.3">
      <c r="A526" s="7">
        <v>12692</v>
      </c>
      <c r="B526" s="7" t="s">
        <v>534</v>
      </c>
      <c r="C526" s="7" t="s">
        <v>6428</v>
      </c>
      <c r="D526" s="7" t="s">
        <v>6438</v>
      </c>
      <c r="E526" s="7" t="s">
        <v>6295</v>
      </c>
      <c r="F526" s="7" t="s">
        <v>6340</v>
      </c>
      <c r="G526" s="7" t="s">
        <v>7150</v>
      </c>
      <c r="H526" s="7" t="s">
        <v>7156</v>
      </c>
      <c r="I526" s="7"/>
      <c r="J526" s="10">
        <v>43893</v>
      </c>
      <c r="K526" s="7" t="s">
        <v>7163</v>
      </c>
      <c r="L526" s="7"/>
      <c r="M526" s="7"/>
    </row>
    <row r="527" spans="1:13" x14ac:dyDescent="0.3">
      <c r="A527" s="7">
        <v>11493</v>
      </c>
      <c r="B527" s="7" t="s">
        <v>535</v>
      </c>
      <c r="C527" s="7" t="s">
        <v>6428</v>
      </c>
      <c r="D527" s="7" t="s">
        <v>6438</v>
      </c>
      <c r="E527" s="7" t="s">
        <v>6295</v>
      </c>
      <c r="F527" s="7" t="s">
        <v>6340</v>
      </c>
      <c r="G527" s="7" t="s">
        <v>7150</v>
      </c>
      <c r="H527" s="7" t="s">
        <v>7156</v>
      </c>
      <c r="I527" s="7"/>
      <c r="J527" s="10">
        <v>42760</v>
      </c>
      <c r="K527" s="7" t="s">
        <v>7163</v>
      </c>
      <c r="L527" s="7"/>
      <c r="M527" s="7"/>
    </row>
    <row r="528" spans="1:13" x14ac:dyDescent="0.3">
      <c r="A528" s="7">
        <v>12763</v>
      </c>
      <c r="B528" s="7" t="s">
        <v>536</v>
      </c>
      <c r="C528" s="7" t="s">
        <v>6428</v>
      </c>
      <c r="D528" s="7" t="s">
        <v>6438</v>
      </c>
      <c r="E528" s="7" t="s">
        <v>6295</v>
      </c>
      <c r="F528" s="7" t="s">
        <v>6340</v>
      </c>
      <c r="G528" s="7" t="s">
        <v>7150</v>
      </c>
      <c r="H528" s="7" t="s">
        <v>7156</v>
      </c>
      <c r="I528" s="7"/>
      <c r="J528" s="10">
        <v>43903</v>
      </c>
      <c r="K528" s="7" t="s">
        <v>7163</v>
      </c>
      <c r="L528" s="7"/>
      <c r="M528" s="7"/>
    </row>
    <row r="529" spans="1:13" x14ac:dyDescent="0.3">
      <c r="A529" s="7">
        <v>18555</v>
      </c>
      <c r="B529" s="7" t="s">
        <v>537</v>
      </c>
      <c r="C529" s="7" t="s">
        <v>6428</v>
      </c>
      <c r="D529" s="7" t="s">
        <v>6438</v>
      </c>
      <c r="E529" s="7" t="s">
        <v>6295</v>
      </c>
      <c r="F529" s="7" t="s">
        <v>6340</v>
      </c>
      <c r="G529" s="7" t="s">
        <v>7150</v>
      </c>
      <c r="H529" s="7" t="s">
        <v>7156</v>
      </c>
      <c r="I529" s="7"/>
      <c r="J529" s="10">
        <v>46155</v>
      </c>
      <c r="K529" s="7" t="s">
        <v>7163</v>
      </c>
      <c r="L529" s="7"/>
      <c r="M529" s="7"/>
    </row>
    <row r="530" spans="1:13" x14ac:dyDescent="0.3">
      <c r="A530" s="7">
        <v>12672</v>
      </c>
      <c r="B530" s="7" t="s">
        <v>538</v>
      </c>
      <c r="C530" s="7" t="s">
        <v>6428</v>
      </c>
      <c r="D530" s="7" t="s">
        <v>6438</v>
      </c>
      <c r="E530" s="7" t="s">
        <v>6295</v>
      </c>
      <c r="F530" s="7" t="s">
        <v>6340</v>
      </c>
      <c r="G530" s="7" t="s">
        <v>7150</v>
      </c>
      <c r="H530" s="7" t="s">
        <v>7156</v>
      </c>
      <c r="I530" s="7"/>
      <c r="J530" s="10">
        <v>43864</v>
      </c>
      <c r="K530" s="7" t="s">
        <v>7163</v>
      </c>
      <c r="L530" s="7"/>
      <c r="M530" s="7"/>
    </row>
    <row r="531" spans="1:13" x14ac:dyDescent="0.3">
      <c r="A531" s="7">
        <v>16662</v>
      </c>
      <c r="B531" s="7" t="s">
        <v>539</v>
      </c>
      <c r="C531" s="7" t="s">
        <v>6428</v>
      </c>
      <c r="D531" s="7" t="s">
        <v>6438</v>
      </c>
      <c r="E531" s="7" t="s">
        <v>6295</v>
      </c>
      <c r="F531" s="7" t="s">
        <v>6340</v>
      </c>
      <c r="G531" s="7" t="s">
        <v>7150</v>
      </c>
      <c r="H531" s="7" t="s">
        <v>7156</v>
      </c>
      <c r="I531" s="7"/>
      <c r="J531" s="10">
        <v>45519</v>
      </c>
      <c r="K531" s="7" t="s">
        <v>7163</v>
      </c>
      <c r="L531" s="7"/>
      <c r="M531" s="7"/>
    </row>
    <row r="532" spans="1:13" x14ac:dyDescent="0.3">
      <c r="A532" s="7">
        <v>12401</v>
      </c>
      <c r="B532" s="7" t="s">
        <v>540</v>
      </c>
      <c r="C532" s="7" t="s">
        <v>6428</v>
      </c>
      <c r="D532" s="7" t="s">
        <v>6438</v>
      </c>
      <c r="E532" s="7" t="s">
        <v>6295</v>
      </c>
      <c r="F532" s="7" t="s">
        <v>6340</v>
      </c>
      <c r="G532" s="7" t="s">
        <v>7150</v>
      </c>
      <c r="H532" s="7" t="s">
        <v>7156</v>
      </c>
      <c r="I532" s="7"/>
      <c r="J532" s="10">
        <v>43728</v>
      </c>
      <c r="K532" s="7" t="s">
        <v>7163</v>
      </c>
      <c r="L532" s="7"/>
      <c r="M532" s="7"/>
    </row>
    <row r="533" spans="1:13" x14ac:dyDescent="0.3">
      <c r="A533" s="7">
        <v>400057</v>
      </c>
      <c r="B533" s="7" t="s">
        <v>541</v>
      </c>
      <c r="C533" s="7" t="s">
        <v>6428</v>
      </c>
      <c r="D533" s="7" t="s">
        <v>6438</v>
      </c>
      <c r="E533" s="7" t="s">
        <v>6295</v>
      </c>
      <c r="F533" s="7" t="s">
        <v>6341</v>
      </c>
      <c r="G533" s="7" t="s">
        <v>7150</v>
      </c>
      <c r="H533" s="7" t="s">
        <v>7156</v>
      </c>
      <c r="I533" s="7"/>
      <c r="J533" s="10">
        <v>44539</v>
      </c>
      <c r="K533" s="7" t="s">
        <v>7163</v>
      </c>
      <c r="L533" s="7"/>
      <c r="M533" s="7"/>
    </row>
    <row r="534" spans="1:13" x14ac:dyDescent="0.3">
      <c r="A534" s="7">
        <v>13282</v>
      </c>
      <c r="B534" s="7" t="s">
        <v>542</v>
      </c>
      <c r="C534" s="7" t="s">
        <v>6428</v>
      </c>
      <c r="D534" s="7" t="s">
        <v>6438</v>
      </c>
      <c r="E534" s="7" t="s">
        <v>6295</v>
      </c>
      <c r="F534" s="7" t="s">
        <v>6341</v>
      </c>
      <c r="G534" s="7" t="s">
        <v>7150</v>
      </c>
      <c r="H534" s="7" t="s">
        <v>7156</v>
      </c>
      <c r="I534" s="7"/>
      <c r="J534" s="10">
        <v>44365</v>
      </c>
      <c r="K534" s="7" t="s">
        <v>7163</v>
      </c>
      <c r="L534" s="7"/>
      <c r="M534" s="7"/>
    </row>
    <row r="535" spans="1:13" x14ac:dyDescent="0.3">
      <c r="A535" s="7">
        <v>13440</v>
      </c>
      <c r="B535" s="7" t="s">
        <v>543</v>
      </c>
      <c r="C535" s="7" t="s">
        <v>6428</v>
      </c>
      <c r="D535" s="7" t="s">
        <v>6438</v>
      </c>
      <c r="E535" s="7" t="s">
        <v>6295</v>
      </c>
      <c r="F535" s="7" t="s">
        <v>6441</v>
      </c>
      <c r="G535" s="7" t="s">
        <v>7150</v>
      </c>
      <c r="H535" s="7" t="s">
        <v>7156</v>
      </c>
      <c r="I535" s="7"/>
      <c r="J535" s="10">
        <v>44455</v>
      </c>
      <c r="K535" s="7" t="s">
        <v>7163</v>
      </c>
      <c r="L535" s="7"/>
      <c r="M535" s="7"/>
    </row>
    <row r="536" spans="1:13" x14ac:dyDescent="0.3">
      <c r="A536" s="7">
        <v>13626</v>
      </c>
      <c r="B536" s="7" t="s">
        <v>544</v>
      </c>
      <c r="C536" s="7" t="s">
        <v>6428</v>
      </c>
      <c r="D536" s="7" t="s">
        <v>6430</v>
      </c>
      <c r="E536" s="7" t="s">
        <v>6295</v>
      </c>
      <c r="F536" s="7" t="s">
        <v>6341</v>
      </c>
      <c r="G536" s="7" t="s">
        <v>7150</v>
      </c>
      <c r="H536" s="7" t="s">
        <v>7156</v>
      </c>
      <c r="I536" s="7"/>
      <c r="J536" s="10">
        <v>44519</v>
      </c>
      <c r="K536" s="7" t="s">
        <v>7163</v>
      </c>
      <c r="L536" s="7"/>
      <c r="M536" s="7"/>
    </row>
    <row r="537" spans="1:13" x14ac:dyDescent="0.3">
      <c r="A537" s="7">
        <v>14996</v>
      </c>
      <c r="B537" s="7" t="s">
        <v>545</v>
      </c>
      <c r="C537" s="7" t="s">
        <v>6428</v>
      </c>
      <c r="D537" s="7" t="s">
        <v>6430</v>
      </c>
      <c r="E537" s="7" t="s">
        <v>6295</v>
      </c>
      <c r="F537" s="7" t="s">
        <v>6341</v>
      </c>
      <c r="G537" s="7" t="s">
        <v>7150</v>
      </c>
      <c r="H537" s="7" t="s">
        <v>7156</v>
      </c>
      <c r="I537" s="7"/>
      <c r="J537" s="10">
        <v>44910</v>
      </c>
      <c r="K537" s="7" t="s">
        <v>7163</v>
      </c>
      <c r="L537" s="7"/>
      <c r="M537" s="7"/>
    </row>
    <row r="538" spans="1:13" x14ac:dyDescent="0.3">
      <c r="A538" s="7">
        <v>14683</v>
      </c>
      <c r="B538" s="7" t="s">
        <v>546</v>
      </c>
      <c r="C538" s="7" t="s">
        <v>6428</v>
      </c>
      <c r="D538" s="7" t="s">
        <v>6438</v>
      </c>
      <c r="E538" s="7" t="s">
        <v>6295</v>
      </c>
      <c r="F538" s="7" t="s">
        <v>6441</v>
      </c>
      <c r="G538" s="7" t="s">
        <v>7150</v>
      </c>
      <c r="H538" s="7" t="s">
        <v>7156</v>
      </c>
      <c r="I538" s="7"/>
      <c r="J538" s="10">
        <v>44825</v>
      </c>
      <c r="K538" s="7" t="s">
        <v>7163</v>
      </c>
      <c r="L538" s="7"/>
      <c r="M538" s="7"/>
    </row>
    <row r="539" spans="1:13" x14ac:dyDescent="0.3">
      <c r="A539" s="7">
        <v>14737</v>
      </c>
      <c r="B539" s="7" t="s">
        <v>547</v>
      </c>
      <c r="C539" s="7" t="s">
        <v>6428</v>
      </c>
      <c r="D539" s="7" t="s">
        <v>6438</v>
      </c>
      <c r="E539" s="7" t="s">
        <v>6295</v>
      </c>
      <c r="F539" s="7" t="s">
        <v>6441</v>
      </c>
      <c r="G539" s="7" t="s">
        <v>7150</v>
      </c>
      <c r="H539" s="7" t="s">
        <v>7156</v>
      </c>
      <c r="I539" s="7"/>
      <c r="J539" s="10">
        <v>44844</v>
      </c>
      <c r="K539" s="7" t="s">
        <v>7163</v>
      </c>
      <c r="L539" s="7"/>
      <c r="M539" s="7"/>
    </row>
    <row r="540" spans="1:13" x14ac:dyDescent="0.3">
      <c r="A540" s="7">
        <v>13864</v>
      </c>
      <c r="B540" s="7" t="s">
        <v>548</v>
      </c>
      <c r="C540" s="7" t="s">
        <v>6428</v>
      </c>
      <c r="D540" s="7" t="s">
        <v>6438</v>
      </c>
      <c r="E540" s="7" t="s">
        <v>6295</v>
      </c>
      <c r="F540" s="7" t="s">
        <v>6341</v>
      </c>
      <c r="G540" s="7" t="s">
        <v>7150</v>
      </c>
      <c r="H540" s="7" t="s">
        <v>7156</v>
      </c>
      <c r="I540" s="7"/>
      <c r="J540" s="10">
        <v>44610</v>
      </c>
      <c r="K540" s="7" t="s">
        <v>7163</v>
      </c>
      <c r="L540" s="7"/>
      <c r="M540" s="7"/>
    </row>
    <row r="541" spans="1:13" x14ac:dyDescent="0.3">
      <c r="A541" s="7">
        <v>13295</v>
      </c>
      <c r="B541" s="7" t="s">
        <v>549</v>
      </c>
      <c r="C541" s="7" t="s">
        <v>6428</v>
      </c>
      <c r="D541" s="7" t="s">
        <v>6430</v>
      </c>
      <c r="E541" s="7" t="s">
        <v>6295</v>
      </c>
      <c r="F541" s="7" t="s">
        <v>6341</v>
      </c>
      <c r="G541" s="7" t="s">
        <v>7150</v>
      </c>
      <c r="H541" s="7" t="s">
        <v>7156</v>
      </c>
      <c r="I541" s="7"/>
      <c r="J541" s="10">
        <v>44370</v>
      </c>
      <c r="K541" s="7" t="s">
        <v>7163</v>
      </c>
      <c r="L541" s="7"/>
      <c r="M541" s="7"/>
    </row>
    <row r="542" spans="1:13" x14ac:dyDescent="0.3">
      <c r="A542" s="7">
        <v>15421</v>
      </c>
      <c r="B542" s="7" t="s">
        <v>550</v>
      </c>
      <c r="C542" s="7" t="s">
        <v>6428</v>
      </c>
      <c r="D542" s="7" t="s">
        <v>6438</v>
      </c>
      <c r="E542" s="7" t="s">
        <v>6295</v>
      </c>
      <c r="F542" s="7" t="s">
        <v>6341</v>
      </c>
      <c r="G542" s="7" t="s">
        <v>7150</v>
      </c>
      <c r="H542" s="7" t="s">
        <v>7156</v>
      </c>
      <c r="I542" s="7"/>
      <c r="J542" s="10">
        <v>45065</v>
      </c>
      <c r="K542" s="7" t="s">
        <v>7163</v>
      </c>
      <c r="L542" s="7"/>
      <c r="M542" s="7"/>
    </row>
    <row r="543" spans="1:13" x14ac:dyDescent="0.3">
      <c r="A543" s="7">
        <v>14205</v>
      </c>
      <c r="B543" s="7" t="s">
        <v>551</v>
      </c>
      <c r="C543" s="7" t="s">
        <v>6428</v>
      </c>
      <c r="D543" s="7" t="s">
        <v>6438</v>
      </c>
      <c r="E543" s="7" t="s">
        <v>6295</v>
      </c>
      <c r="F543" s="7" t="s">
        <v>6341</v>
      </c>
      <c r="G543" s="7" t="s">
        <v>7150</v>
      </c>
      <c r="H543" s="7" t="s">
        <v>7156</v>
      </c>
      <c r="I543" s="7"/>
      <c r="J543" s="10">
        <v>44699</v>
      </c>
      <c r="K543" s="7" t="s">
        <v>7163</v>
      </c>
      <c r="L543" s="7"/>
      <c r="M543" s="7"/>
    </row>
    <row r="544" spans="1:13" x14ac:dyDescent="0.3">
      <c r="A544" s="7">
        <v>14207</v>
      </c>
      <c r="B544" s="7" t="s">
        <v>552</v>
      </c>
      <c r="C544" s="7" t="s">
        <v>6428</v>
      </c>
      <c r="D544" s="7" t="s">
        <v>6438</v>
      </c>
      <c r="E544" s="7" t="s">
        <v>6295</v>
      </c>
      <c r="F544" s="7" t="s">
        <v>6441</v>
      </c>
      <c r="G544" s="7" t="s">
        <v>7150</v>
      </c>
      <c r="H544" s="7" t="s">
        <v>7156</v>
      </c>
      <c r="I544" s="7"/>
      <c r="J544" s="10">
        <v>44699</v>
      </c>
      <c r="K544" s="7" t="s">
        <v>7163</v>
      </c>
      <c r="L544" s="7"/>
      <c r="M544" s="7"/>
    </row>
    <row r="545" spans="1:13" x14ac:dyDescent="0.3">
      <c r="A545" s="7">
        <v>14210</v>
      </c>
      <c r="B545" s="7" t="s">
        <v>553</v>
      </c>
      <c r="C545" s="7" t="s">
        <v>6428</v>
      </c>
      <c r="D545" s="7" t="s">
        <v>6438</v>
      </c>
      <c r="E545" s="7" t="s">
        <v>6295</v>
      </c>
      <c r="F545" s="7" t="s">
        <v>6341</v>
      </c>
      <c r="G545" s="7" t="s">
        <v>7150</v>
      </c>
      <c r="H545" s="7" t="s">
        <v>7156</v>
      </c>
      <c r="I545" s="7"/>
      <c r="J545" s="10">
        <v>44699</v>
      </c>
      <c r="K545" s="7" t="s">
        <v>7163</v>
      </c>
      <c r="L545" s="7"/>
      <c r="M545" s="7"/>
    </row>
    <row r="546" spans="1:13" x14ac:dyDescent="0.3">
      <c r="A546" s="7">
        <v>16623</v>
      </c>
      <c r="B546" s="7" t="s">
        <v>554</v>
      </c>
      <c r="C546" s="7" t="s">
        <v>6428</v>
      </c>
      <c r="D546" s="7" t="s">
        <v>6438</v>
      </c>
      <c r="E546" s="7" t="s">
        <v>6295</v>
      </c>
      <c r="F546" s="7" t="s">
        <v>6341</v>
      </c>
      <c r="G546" s="7" t="s">
        <v>7150</v>
      </c>
      <c r="H546" s="7" t="s">
        <v>7156</v>
      </c>
      <c r="I546" s="7"/>
      <c r="J546" s="10">
        <v>45498</v>
      </c>
      <c r="K546" s="7" t="s">
        <v>7163</v>
      </c>
      <c r="L546" s="7"/>
      <c r="M546" s="7"/>
    </row>
    <row r="547" spans="1:13" x14ac:dyDescent="0.3">
      <c r="A547" s="7">
        <v>15258</v>
      </c>
      <c r="B547" s="7" t="s">
        <v>555</v>
      </c>
      <c r="C547" s="7" t="s">
        <v>6428</v>
      </c>
      <c r="D547" s="7" t="s">
        <v>6438</v>
      </c>
      <c r="E547" s="7" t="s">
        <v>6295</v>
      </c>
      <c r="F547" s="7" t="s">
        <v>6341</v>
      </c>
      <c r="G547" s="7" t="s">
        <v>7150</v>
      </c>
      <c r="H547" s="7" t="s">
        <v>7156</v>
      </c>
      <c r="I547" s="7"/>
      <c r="J547" s="10">
        <v>45001</v>
      </c>
      <c r="K547" s="7" t="s">
        <v>7163</v>
      </c>
      <c r="L547" s="7"/>
      <c r="M547" s="7"/>
    </row>
    <row r="548" spans="1:13" x14ac:dyDescent="0.3">
      <c r="A548" s="7">
        <v>16005</v>
      </c>
      <c r="B548" s="7" t="s">
        <v>556</v>
      </c>
      <c r="C548" s="7" t="s">
        <v>6428</v>
      </c>
      <c r="D548" s="7" t="s">
        <v>6430</v>
      </c>
      <c r="E548" s="7" t="s">
        <v>6295</v>
      </c>
      <c r="F548" s="7" t="s">
        <v>6341</v>
      </c>
      <c r="G548" s="7" t="s">
        <v>7150</v>
      </c>
      <c r="H548" s="7" t="s">
        <v>7156</v>
      </c>
      <c r="I548" s="7"/>
      <c r="J548" s="10">
        <v>45264</v>
      </c>
      <c r="K548" s="7" t="s">
        <v>7163</v>
      </c>
      <c r="L548" s="7"/>
      <c r="M548" s="7"/>
    </row>
    <row r="549" spans="1:13" x14ac:dyDescent="0.3">
      <c r="A549" s="7">
        <v>16040</v>
      </c>
      <c r="B549" s="7" t="s">
        <v>557</v>
      </c>
      <c r="C549" s="7" t="s">
        <v>6428</v>
      </c>
      <c r="D549" s="7" t="s">
        <v>6438</v>
      </c>
      <c r="E549" s="7" t="s">
        <v>6295</v>
      </c>
      <c r="F549" s="7" t="s">
        <v>6341</v>
      </c>
      <c r="G549" s="7" t="s">
        <v>7150</v>
      </c>
      <c r="H549" s="7" t="s">
        <v>7156</v>
      </c>
      <c r="I549" s="7"/>
      <c r="J549" s="10">
        <v>45268</v>
      </c>
      <c r="K549" s="7" t="s">
        <v>7163</v>
      </c>
      <c r="L549" s="7"/>
      <c r="M549" s="7"/>
    </row>
    <row r="550" spans="1:13" x14ac:dyDescent="0.3">
      <c r="A550" s="7">
        <v>16071</v>
      </c>
      <c r="B550" s="7" t="s">
        <v>558</v>
      </c>
      <c r="C550" s="7" t="s">
        <v>6428</v>
      </c>
      <c r="D550" s="7" t="s">
        <v>6430</v>
      </c>
      <c r="E550" s="7" t="s">
        <v>6295</v>
      </c>
      <c r="F550" s="7" t="s">
        <v>6341</v>
      </c>
      <c r="G550" s="7" t="s">
        <v>7150</v>
      </c>
      <c r="H550" s="7" t="s">
        <v>7156</v>
      </c>
      <c r="I550" s="7"/>
      <c r="J550" s="10">
        <v>45278</v>
      </c>
      <c r="K550" s="7" t="s">
        <v>7163</v>
      </c>
      <c r="L550" s="7"/>
      <c r="M550" s="7"/>
    </row>
    <row r="551" spans="1:13" x14ac:dyDescent="0.3">
      <c r="A551" s="7">
        <v>16249</v>
      </c>
      <c r="B551" s="7" t="s">
        <v>559</v>
      </c>
      <c r="C551" s="7" t="s">
        <v>6428</v>
      </c>
      <c r="D551" s="7" t="s">
        <v>6438</v>
      </c>
      <c r="E551" s="7" t="s">
        <v>6295</v>
      </c>
      <c r="F551" s="7" t="s">
        <v>6341</v>
      </c>
      <c r="G551" s="7" t="s">
        <v>7150</v>
      </c>
      <c r="H551" s="7" t="s">
        <v>7156</v>
      </c>
      <c r="I551" s="7"/>
      <c r="J551" s="10">
        <v>45331</v>
      </c>
      <c r="K551" s="7" t="s">
        <v>7163</v>
      </c>
      <c r="L551" s="7"/>
      <c r="M551" s="7"/>
    </row>
    <row r="552" spans="1:13" x14ac:dyDescent="0.3">
      <c r="A552" s="7">
        <v>17566</v>
      </c>
      <c r="B552" s="7" t="s">
        <v>560</v>
      </c>
      <c r="C552" s="7" t="s">
        <v>6428</v>
      </c>
      <c r="D552" s="7" t="s">
        <v>6430</v>
      </c>
      <c r="E552" s="7" t="s">
        <v>6295</v>
      </c>
      <c r="F552" s="7" t="s">
        <v>6341</v>
      </c>
      <c r="G552" s="7" t="s">
        <v>7150</v>
      </c>
      <c r="H552" s="7" t="s">
        <v>7156</v>
      </c>
      <c r="I552" s="7"/>
      <c r="J552" s="10">
        <v>45793</v>
      </c>
      <c r="K552" s="7" t="s">
        <v>7163</v>
      </c>
      <c r="L552" s="7"/>
      <c r="M552" s="7"/>
    </row>
    <row r="553" spans="1:13" x14ac:dyDescent="0.3">
      <c r="A553" s="7">
        <v>11701</v>
      </c>
      <c r="B553" s="7" t="s">
        <v>561</v>
      </c>
      <c r="C553" s="7" t="s">
        <v>6442</v>
      </c>
      <c r="D553" s="7" t="s">
        <v>6295</v>
      </c>
      <c r="E553" s="7" t="s">
        <v>6295</v>
      </c>
      <c r="F553" s="7" t="s">
        <v>6356</v>
      </c>
      <c r="G553" s="7" t="s">
        <v>7150</v>
      </c>
      <c r="H553" s="7" t="s">
        <v>7156</v>
      </c>
      <c r="I553" s="7"/>
      <c r="J553" s="10">
        <v>43033</v>
      </c>
      <c r="K553" s="7" t="s">
        <v>7163</v>
      </c>
      <c r="L553" s="7"/>
      <c r="M553" s="7"/>
    </row>
    <row r="554" spans="1:13" x14ac:dyDescent="0.3">
      <c r="A554" s="7">
        <v>11303</v>
      </c>
      <c r="B554" s="7" t="s">
        <v>562</v>
      </c>
      <c r="C554" s="7" t="s">
        <v>6442</v>
      </c>
      <c r="D554" s="7" t="s">
        <v>6295</v>
      </c>
      <c r="E554" s="7" t="s">
        <v>6295</v>
      </c>
      <c r="F554" s="7" t="s">
        <v>6336</v>
      </c>
      <c r="G554" s="7" t="s">
        <v>7150</v>
      </c>
      <c r="H554" s="7" t="s">
        <v>7156</v>
      </c>
      <c r="I554" s="7"/>
      <c r="J554" s="10">
        <v>42510</v>
      </c>
      <c r="K554" s="7" t="s">
        <v>7163</v>
      </c>
      <c r="L554" s="7"/>
      <c r="M554" s="7"/>
    </row>
    <row r="555" spans="1:13" x14ac:dyDescent="0.3">
      <c r="A555" s="7">
        <v>10443</v>
      </c>
      <c r="B555" s="7" t="s">
        <v>563</v>
      </c>
      <c r="C555" s="7" t="s">
        <v>6442</v>
      </c>
      <c r="D555" s="7" t="s">
        <v>6295</v>
      </c>
      <c r="E555" s="7" t="s">
        <v>6295</v>
      </c>
      <c r="F555" s="7" t="s">
        <v>6335</v>
      </c>
      <c r="G555" s="7" t="s">
        <v>7150</v>
      </c>
      <c r="H555" s="7" t="s">
        <v>7156</v>
      </c>
      <c r="I555" s="7"/>
      <c r="J555" s="10">
        <v>40423</v>
      </c>
      <c r="K555" s="7" t="s">
        <v>7163</v>
      </c>
      <c r="L555" s="7"/>
      <c r="M555" s="7"/>
    </row>
    <row r="556" spans="1:13" x14ac:dyDescent="0.3">
      <c r="A556" s="7">
        <v>12718</v>
      </c>
      <c r="B556" s="7" t="s">
        <v>564</v>
      </c>
      <c r="C556" s="7" t="s">
        <v>6442</v>
      </c>
      <c r="D556" s="7" t="s">
        <v>6443</v>
      </c>
      <c r="E556" s="7" t="s">
        <v>6295</v>
      </c>
      <c r="F556" s="7" t="s">
        <v>6338</v>
      </c>
      <c r="G556" s="7" t="s">
        <v>7150</v>
      </c>
      <c r="H556" s="7" t="s">
        <v>7156</v>
      </c>
      <c r="I556" s="7"/>
      <c r="J556" s="10">
        <v>43878</v>
      </c>
      <c r="K556" s="7" t="s">
        <v>7163</v>
      </c>
      <c r="L556" s="7"/>
      <c r="M556" s="7"/>
    </row>
    <row r="557" spans="1:13" x14ac:dyDescent="0.3">
      <c r="A557" s="7">
        <v>11913</v>
      </c>
      <c r="B557" s="7" t="s">
        <v>565</v>
      </c>
      <c r="C557" s="7" t="s">
        <v>6442</v>
      </c>
      <c r="D557" s="7" t="s">
        <v>6443</v>
      </c>
      <c r="E557" s="7" t="s">
        <v>6295</v>
      </c>
      <c r="F557" s="7" t="s">
        <v>6335</v>
      </c>
      <c r="G557" s="7" t="s">
        <v>7150</v>
      </c>
      <c r="H557" s="7" t="s">
        <v>7156</v>
      </c>
      <c r="I557" s="7"/>
      <c r="J557" s="10">
        <v>43271</v>
      </c>
      <c r="K557" s="7" t="s">
        <v>7163</v>
      </c>
      <c r="L557" s="7"/>
      <c r="M557" s="7"/>
    </row>
    <row r="558" spans="1:13" x14ac:dyDescent="0.3">
      <c r="A558" s="7">
        <v>16105</v>
      </c>
      <c r="B558" s="7" t="s">
        <v>566</v>
      </c>
      <c r="C558" s="7" t="s">
        <v>6442</v>
      </c>
      <c r="D558" s="7" t="s">
        <v>6443</v>
      </c>
      <c r="E558" s="7" t="s">
        <v>6295</v>
      </c>
      <c r="F558" s="7" t="s">
        <v>6338</v>
      </c>
      <c r="G558" s="7" t="s">
        <v>7150</v>
      </c>
      <c r="H558" s="7" t="s">
        <v>7156</v>
      </c>
      <c r="I558" s="7"/>
      <c r="J558" s="10">
        <v>45286</v>
      </c>
      <c r="K558" s="7" t="s">
        <v>7163</v>
      </c>
      <c r="L558" s="7"/>
      <c r="M558" s="7"/>
    </row>
    <row r="559" spans="1:13" x14ac:dyDescent="0.3">
      <c r="A559" s="7">
        <v>300138</v>
      </c>
      <c r="B559" s="7" t="s">
        <v>567</v>
      </c>
      <c r="C559" s="7" t="s">
        <v>6442</v>
      </c>
      <c r="D559" s="7" t="s">
        <v>6443</v>
      </c>
      <c r="E559" s="7" t="s">
        <v>6295</v>
      </c>
      <c r="F559" s="7" t="s">
        <v>6335</v>
      </c>
      <c r="G559" s="7" t="s">
        <v>7150</v>
      </c>
      <c r="H559" s="7" t="s">
        <v>7156</v>
      </c>
      <c r="I559" s="7"/>
      <c r="J559" s="10">
        <v>43322</v>
      </c>
      <c r="K559" s="7" t="s">
        <v>7163</v>
      </c>
      <c r="L559" s="7"/>
      <c r="M559" s="7"/>
    </row>
    <row r="560" spans="1:13" x14ac:dyDescent="0.3">
      <c r="A560" s="7">
        <v>160036</v>
      </c>
      <c r="B560" s="7" t="s">
        <v>568</v>
      </c>
      <c r="C560" s="7" t="s">
        <v>6442</v>
      </c>
      <c r="D560" s="7" t="s">
        <v>6443</v>
      </c>
      <c r="E560" s="7" t="s">
        <v>6295</v>
      </c>
      <c r="F560" s="7" t="s">
        <v>6353</v>
      </c>
      <c r="G560" s="7" t="s">
        <v>7150</v>
      </c>
      <c r="H560" s="7" t="s">
        <v>7156</v>
      </c>
      <c r="I560" s="7"/>
      <c r="J560" s="10">
        <v>42541</v>
      </c>
      <c r="K560" s="7" t="s">
        <v>7163</v>
      </c>
      <c r="L560" s="7"/>
      <c r="M560" s="7"/>
    </row>
    <row r="561" spans="1:13" x14ac:dyDescent="0.3">
      <c r="A561" s="7">
        <v>12212</v>
      </c>
      <c r="B561" s="7" t="s">
        <v>569</v>
      </c>
      <c r="C561" s="7" t="s">
        <v>6442</v>
      </c>
      <c r="D561" s="7" t="s">
        <v>6443</v>
      </c>
      <c r="E561" s="7" t="s">
        <v>6295</v>
      </c>
      <c r="F561" s="7" t="s">
        <v>6353</v>
      </c>
      <c r="G561" s="7" t="s">
        <v>7150</v>
      </c>
      <c r="H561" s="7" t="s">
        <v>7156</v>
      </c>
      <c r="I561" s="7"/>
      <c r="J561" s="10">
        <v>43593</v>
      </c>
      <c r="K561" s="7" t="s">
        <v>7163</v>
      </c>
      <c r="L561" s="7"/>
      <c r="M561" s="7"/>
    </row>
    <row r="562" spans="1:13" x14ac:dyDescent="0.3">
      <c r="A562" s="7">
        <v>120034</v>
      </c>
      <c r="B562" s="7" t="s">
        <v>570</v>
      </c>
      <c r="C562" s="7" t="s">
        <v>6442</v>
      </c>
      <c r="D562" s="7" t="s">
        <v>6443</v>
      </c>
      <c r="E562" s="7" t="s">
        <v>6295</v>
      </c>
      <c r="F562" s="7" t="s">
        <v>6353</v>
      </c>
      <c r="G562" s="7" t="s">
        <v>7150</v>
      </c>
      <c r="H562" s="7" t="s">
        <v>7156</v>
      </c>
      <c r="I562" s="7"/>
      <c r="J562" s="10">
        <v>42510</v>
      </c>
      <c r="K562" s="7" t="s">
        <v>7163</v>
      </c>
      <c r="L562" s="7"/>
      <c r="M562" s="7"/>
    </row>
    <row r="563" spans="1:13" x14ac:dyDescent="0.3">
      <c r="A563" s="7">
        <v>600036</v>
      </c>
      <c r="B563" s="7" t="s">
        <v>571</v>
      </c>
      <c r="C563" s="7" t="s">
        <v>6442</v>
      </c>
      <c r="D563" s="7" t="s">
        <v>6443</v>
      </c>
      <c r="E563" s="7" t="s">
        <v>6295</v>
      </c>
      <c r="F563" s="7" t="s">
        <v>6340</v>
      </c>
      <c r="G563" s="7" t="s">
        <v>7151</v>
      </c>
      <c r="H563" s="7" t="s">
        <v>7156</v>
      </c>
      <c r="I563" s="7"/>
      <c r="J563" s="10">
        <v>42676</v>
      </c>
      <c r="K563" s="7" t="s">
        <v>7163</v>
      </c>
      <c r="L563" s="7"/>
      <c r="M563" s="7"/>
    </row>
    <row r="564" spans="1:13" x14ac:dyDescent="0.3">
      <c r="A564" s="7">
        <v>700066</v>
      </c>
      <c r="B564" s="7" t="s">
        <v>572</v>
      </c>
      <c r="C564" s="7" t="s">
        <v>6442</v>
      </c>
      <c r="D564" s="7" t="s">
        <v>6443</v>
      </c>
      <c r="E564" s="7" t="s">
        <v>6295</v>
      </c>
      <c r="F564" s="7" t="s">
        <v>6444</v>
      </c>
      <c r="G564" s="7" t="s">
        <v>7150</v>
      </c>
      <c r="H564" s="7" t="s">
        <v>7157</v>
      </c>
      <c r="I564" s="7"/>
      <c r="J564" s="10">
        <v>44582</v>
      </c>
      <c r="K564" s="7" t="s">
        <v>7163</v>
      </c>
      <c r="L564" s="7"/>
      <c r="M564" s="7"/>
    </row>
    <row r="565" spans="1:13" x14ac:dyDescent="0.3">
      <c r="A565" s="7">
        <v>15517</v>
      </c>
      <c r="B565" s="7" t="s">
        <v>573</v>
      </c>
      <c r="C565" s="7" t="s">
        <v>6442</v>
      </c>
      <c r="D565" s="7" t="s">
        <v>6443</v>
      </c>
      <c r="E565" s="7" t="s">
        <v>6295</v>
      </c>
      <c r="F565" s="7" t="s">
        <v>6340</v>
      </c>
      <c r="G565" s="7" t="s">
        <v>7150</v>
      </c>
      <c r="H565" s="7" t="s">
        <v>7156</v>
      </c>
      <c r="I565" s="7"/>
      <c r="J565" s="10">
        <v>45100</v>
      </c>
      <c r="K565" s="7" t="s">
        <v>7163</v>
      </c>
      <c r="L565" s="7"/>
      <c r="M565" s="7"/>
    </row>
    <row r="566" spans="1:13" x14ac:dyDescent="0.3">
      <c r="A566" s="7">
        <v>19106</v>
      </c>
      <c r="B566" s="7" t="s">
        <v>574</v>
      </c>
      <c r="C566" s="7" t="s">
        <v>6442</v>
      </c>
      <c r="D566" s="7" t="s">
        <v>6443</v>
      </c>
      <c r="E566" s="7" t="s">
        <v>6295</v>
      </c>
      <c r="F566" s="7" t="s">
        <v>6340</v>
      </c>
      <c r="G566" s="7" t="s">
        <v>7150</v>
      </c>
      <c r="H566" s="7" t="s">
        <v>7156</v>
      </c>
      <c r="I566" s="7"/>
      <c r="J566" s="10">
        <v>46267</v>
      </c>
      <c r="K566" s="7" t="s">
        <v>7163</v>
      </c>
      <c r="L566" s="7"/>
      <c r="M566" s="7"/>
    </row>
    <row r="567" spans="1:13" x14ac:dyDescent="0.3">
      <c r="A567" s="7">
        <v>138002</v>
      </c>
      <c r="B567" s="7" t="s">
        <v>575</v>
      </c>
      <c r="C567" s="7" t="s">
        <v>6442</v>
      </c>
      <c r="D567" s="7" t="s">
        <v>6443</v>
      </c>
      <c r="E567" s="7" t="s">
        <v>6295</v>
      </c>
      <c r="F567" s="7" t="s">
        <v>6340</v>
      </c>
      <c r="G567" s="7" t="s">
        <v>7150</v>
      </c>
      <c r="H567" s="7" t="s">
        <v>7156</v>
      </c>
      <c r="I567" s="7"/>
      <c r="J567" s="10">
        <v>44586</v>
      </c>
      <c r="K567" s="7" t="s">
        <v>7163</v>
      </c>
      <c r="L567" s="7"/>
      <c r="M567" s="7"/>
    </row>
    <row r="568" spans="1:13" x14ac:dyDescent="0.3">
      <c r="A568" s="7">
        <v>15750</v>
      </c>
      <c r="B568" s="7" t="s">
        <v>576</v>
      </c>
      <c r="C568" s="7" t="s">
        <v>6442</v>
      </c>
      <c r="D568" s="7" t="s">
        <v>6443</v>
      </c>
      <c r="E568" s="7" t="s">
        <v>6295</v>
      </c>
      <c r="F568" s="7" t="s">
        <v>6340</v>
      </c>
      <c r="G568" s="7" t="s">
        <v>7150</v>
      </c>
      <c r="H568" s="7" t="s">
        <v>7156</v>
      </c>
      <c r="I568" s="7"/>
      <c r="J568" s="10">
        <v>45184</v>
      </c>
      <c r="K568" s="7" t="s">
        <v>7163</v>
      </c>
      <c r="L568" s="7"/>
      <c r="M568" s="7"/>
    </row>
    <row r="569" spans="1:13" x14ac:dyDescent="0.3">
      <c r="A569" s="7">
        <v>14902</v>
      </c>
      <c r="B569" s="7" t="s">
        <v>577</v>
      </c>
      <c r="C569" s="7" t="s">
        <v>6442</v>
      </c>
      <c r="D569" s="7" t="s">
        <v>6443</v>
      </c>
      <c r="E569" s="7" t="s">
        <v>6295</v>
      </c>
      <c r="F569" s="7" t="s">
        <v>6340</v>
      </c>
      <c r="G569" s="7" t="s">
        <v>7150</v>
      </c>
      <c r="H569" s="7" t="s">
        <v>7156</v>
      </c>
      <c r="I569" s="7"/>
      <c r="J569" s="10">
        <v>44887</v>
      </c>
      <c r="K569" s="7" t="s">
        <v>7163</v>
      </c>
      <c r="L569" s="7"/>
      <c r="M569" s="7"/>
    </row>
    <row r="570" spans="1:13" x14ac:dyDescent="0.3">
      <c r="A570" s="7">
        <v>17718</v>
      </c>
      <c r="B570" s="7" t="s">
        <v>578</v>
      </c>
      <c r="C570" s="7" t="s">
        <v>6442</v>
      </c>
      <c r="D570" s="7" t="s">
        <v>6443</v>
      </c>
      <c r="E570" s="7" t="s">
        <v>6295</v>
      </c>
      <c r="F570" s="7" t="s">
        <v>6341</v>
      </c>
      <c r="G570" s="7" t="s">
        <v>7150</v>
      </c>
      <c r="H570" s="7" t="s">
        <v>7156</v>
      </c>
      <c r="I570" s="7"/>
      <c r="J570" s="10">
        <v>45855</v>
      </c>
      <c r="K570" s="7" t="s">
        <v>7163</v>
      </c>
      <c r="L570" s="7"/>
      <c r="M570" s="7"/>
    </row>
    <row r="571" spans="1:13" x14ac:dyDescent="0.3">
      <c r="A571" s="7">
        <v>120045</v>
      </c>
      <c r="B571" s="7" t="s">
        <v>579</v>
      </c>
      <c r="C571" s="7" t="s">
        <v>6442</v>
      </c>
      <c r="D571" s="7" t="s">
        <v>6443</v>
      </c>
      <c r="E571" s="7" t="s">
        <v>6295</v>
      </c>
      <c r="F571" s="7" t="s">
        <v>6341</v>
      </c>
      <c r="G571" s="7" t="s">
        <v>7150</v>
      </c>
      <c r="H571" s="7" t="s">
        <v>7156</v>
      </c>
      <c r="I571" s="7"/>
      <c r="J571" s="10">
        <v>43257</v>
      </c>
      <c r="K571" s="7" t="s">
        <v>7163</v>
      </c>
      <c r="L571" s="7"/>
      <c r="M571" s="7"/>
    </row>
    <row r="572" spans="1:13" x14ac:dyDescent="0.3">
      <c r="A572" s="7">
        <v>250025</v>
      </c>
      <c r="B572" s="7" t="s">
        <v>580</v>
      </c>
      <c r="C572" s="7" t="s">
        <v>6442</v>
      </c>
      <c r="D572" s="7" t="s">
        <v>6445</v>
      </c>
      <c r="E572" s="7" t="s">
        <v>6295</v>
      </c>
      <c r="F572" s="7" t="s">
        <v>6338</v>
      </c>
      <c r="G572" s="7" t="s">
        <v>7150</v>
      </c>
      <c r="H572" s="7" t="s">
        <v>7156</v>
      </c>
      <c r="I572" s="7"/>
      <c r="J572" s="10">
        <v>41913</v>
      </c>
      <c r="K572" s="7" t="s">
        <v>7163</v>
      </c>
      <c r="L572" s="7"/>
      <c r="M572" s="7"/>
    </row>
    <row r="573" spans="1:13" x14ac:dyDescent="0.3">
      <c r="A573" s="7">
        <v>13895</v>
      </c>
      <c r="B573" s="7" t="s">
        <v>581</v>
      </c>
      <c r="C573" s="7" t="s">
        <v>6442</v>
      </c>
      <c r="D573" s="7" t="s">
        <v>6445</v>
      </c>
      <c r="E573" s="7" t="s">
        <v>6295</v>
      </c>
      <c r="F573" s="7" t="s">
        <v>6335</v>
      </c>
      <c r="G573" s="7" t="s">
        <v>7150</v>
      </c>
      <c r="H573" s="7" t="s">
        <v>7156</v>
      </c>
      <c r="I573" s="7"/>
      <c r="J573" s="10">
        <v>44622</v>
      </c>
      <c r="K573" s="7" t="s">
        <v>7163</v>
      </c>
      <c r="L573" s="7"/>
      <c r="M573" s="7"/>
    </row>
    <row r="574" spans="1:13" x14ac:dyDescent="0.3">
      <c r="A574" s="7">
        <v>11655</v>
      </c>
      <c r="B574" s="7" t="s">
        <v>582</v>
      </c>
      <c r="C574" s="7" t="s">
        <v>6442</v>
      </c>
      <c r="D574" s="7" t="s">
        <v>6445</v>
      </c>
      <c r="E574" s="7" t="s">
        <v>6295</v>
      </c>
      <c r="F574" s="7" t="s">
        <v>6335</v>
      </c>
      <c r="G574" s="7" t="s">
        <v>7150</v>
      </c>
      <c r="H574" s="7" t="s">
        <v>7156</v>
      </c>
      <c r="I574" s="7"/>
      <c r="J574" s="10">
        <v>42991</v>
      </c>
      <c r="K574" s="7" t="s">
        <v>7163</v>
      </c>
      <c r="L574" s="7"/>
      <c r="M574" s="7"/>
    </row>
    <row r="575" spans="1:13" x14ac:dyDescent="0.3">
      <c r="A575" s="7">
        <v>12373</v>
      </c>
      <c r="B575" s="7" t="s">
        <v>583</v>
      </c>
      <c r="C575" s="7" t="s">
        <v>6442</v>
      </c>
      <c r="D575" s="7" t="s">
        <v>6445</v>
      </c>
      <c r="E575" s="7" t="s">
        <v>6295</v>
      </c>
      <c r="F575" s="7" t="s">
        <v>6353</v>
      </c>
      <c r="G575" s="7" t="s">
        <v>7150</v>
      </c>
      <c r="H575" s="7" t="s">
        <v>7156</v>
      </c>
      <c r="I575" s="7"/>
      <c r="J575" s="10">
        <v>43718</v>
      </c>
      <c r="K575" s="7" t="s">
        <v>7163</v>
      </c>
      <c r="L575" s="7"/>
      <c r="M575" s="7"/>
    </row>
    <row r="576" spans="1:13" x14ac:dyDescent="0.3">
      <c r="A576" s="7">
        <v>13115</v>
      </c>
      <c r="B576" s="7" t="s">
        <v>584</v>
      </c>
      <c r="C576" s="7" t="s">
        <v>6442</v>
      </c>
      <c r="D576" s="7" t="s">
        <v>6445</v>
      </c>
      <c r="E576" s="7" t="s">
        <v>6295</v>
      </c>
      <c r="F576" s="7" t="s">
        <v>6353</v>
      </c>
      <c r="G576" s="7" t="s">
        <v>7150</v>
      </c>
      <c r="H576" s="7" t="s">
        <v>7156</v>
      </c>
      <c r="I576" s="7"/>
      <c r="J576" s="10">
        <v>44265</v>
      </c>
      <c r="K576" s="7" t="s">
        <v>7163</v>
      </c>
      <c r="L576" s="7"/>
      <c r="M576" s="7"/>
    </row>
    <row r="577" spans="1:13" x14ac:dyDescent="0.3">
      <c r="A577" s="7">
        <v>900058</v>
      </c>
      <c r="B577" s="7" t="s">
        <v>585</v>
      </c>
      <c r="C577" s="7" t="s">
        <v>6442</v>
      </c>
      <c r="D577" s="7" t="s">
        <v>6445</v>
      </c>
      <c r="E577" s="7" t="s">
        <v>6295</v>
      </c>
      <c r="F577" s="7" t="s">
        <v>6340</v>
      </c>
      <c r="G577" s="7" t="s">
        <v>7150</v>
      </c>
      <c r="H577" s="7" t="s">
        <v>7156</v>
      </c>
      <c r="I577" s="7"/>
      <c r="J577" s="10">
        <v>44613</v>
      </c>
      <c r="K577" s="7" t="s">
        <v>7163</v>
      </c>
      <c r="L577" s="7"/>
      <c r="M577" s="7"/>
    </row>
    <row r="578" spans="1:13" x14ac:dyDescent="0.3">
      <c r="A578" s="7">
        <v>13855</v>
      </c>
      <c r="B578" s="7" t="s">
        <v>586</v>
      </c>
      <c r="C578" s="7" t="s">
        <v>6442</v>
      </c>
      <c r="D578" s="7" t="s">
        <v>6445</v>
      </c>
      <c r="E578" s="7" t="s">
        <v>6295</v>
      </c>
      <c r="F578" s="7" t="s">
        <v>6353</v>
      </c>
      <c r="G578" s="7" t="s">
        <v>7150</v>
      </c>
      <c r="H578" s="7" t="s">
        <v>7156</v>
      </c>
      <c r="I578" s="7"/>
      <c r="J578" s="10">
        <v>44607</v>
      </c>
      <c r="K578" s="7" t="s">
        <v>7163</v>
      </c>
      <c r="L578" s="7"/>
      <c r="M578" s="7"/>
    </row>
    <row r="579" spans="1:13" x14ac:dyDescent="0.3">
      <c r="A579" s="7">
        <v>14183</v>
      </c>
      <c r="B579" s="7" t="s">
        <v>587</v>
      </c>
      <c r="C579" s="7" t="s">
        <v>6442</v>
      </c>
      <c r="D579" s="7" t="s">
        <v>6445</v>
      </c>
      <c r="E579" s="7" t="s">
        <v>6295</v>
      </c>
      <c r="F579" s="7" t="s">
        <v>6340</v>
      </c>
      <c r="G579" s="7" t="s">
        <v>7150</v>
      </c>
      <c r="H579" s="7" t="s">
        <v>7156</v>
      </c>
      <c r="I579" s="7"/>
      <c r="J579" s="10">
        <v>44687</v>
      </c>
      <c r="K579" s="7" t="s">
        <v>7163</v>
      </c>
      <c r="L579" s="7"/>
      <c r="M579" s="7"/>
    </row>
    <row r="580" spans="1:13" x14ac:dyDescent="0.3">
      <c r="A580" s="7">
        <v>15207</v>
      </c>
      <c r="B580" s="7" t="s">
        <v>588</v>
      </c>
      <c r="C580" s="7" t="s">
        <v>6442</v>
      </c>
      <c r="D580" s="7" t="s">
        <v>6445</v>
      </c>
      <c r="E580" s="7" t="s">
        <v>6295</v>
      </c>
      <c r="F580" s="7" t="s">
        <v>6341</v>
      </c>
      <c r="G580" s="7" t="s">
        <v>7150</v>
      </c>
      <c r="H580" s="7" t="s">
        <v>7156</v>
      </c>
      <c r="I580" s="7"/>
      <c r="J580" s="10">
        <v>44987</v>
      </c>
      <c r="K580" s="7" t="s">
        <v>7163</v>
      </c>
      <c r="L580" s="7"/>
      <c r="M580" s="7"/>
    </row>
    <row r="581" spans="1:13" x14ac:dyDescent="0.3">
      <c r="A581" s="7">
        <v>12822</v>
      </c>
      <c r="B581" s="7" t="s">
        <v>589</v>
      </c>
      <c r="C581" s="7" t="s">
        <v>6442</v>
      </c>
      <c r="D581" s="7" t="s">
        <v>6445</v>
      </c>
      <c r="E581" s="7" t="s">
        <v>6295</v>
      </c>
      <c r="F581" s="7" t="s">
        <v>6341</v>
      </c>
      <c r="G581" s="7" t="s">
        <v>7151</v>
      </c>
      <c r="H581" s="7" t="s">
        <v>7156</v>
      </c>
      <c r="I581" s="7"/>
      <c r="J581" s="10">
        <v>43983</v>
      </c>
      <c r="K581" s="7" t="s">
        <v>7163</v>
      </c>
      <c r="L581" s="7"/>
      <c r="M581" s="7"/>
    </row>
    <row r="582" spans="1:13" x14ac:dyDescent="0.3">
      <c r="A582" s="7">
        <v>16252</v>
      </c>
      <c r="B582" s="7" t="s">
        <v>590</v>
      </c>
      <c r="C582" s="7" t="s">
        <v>6442</v>
      </c>
      <c r="D582" s="7" t="s">
        <v>6445</v>
      </c>
      <c r="E582" s="7" t="s">
        <v>6295</v>
      </c>
      <c r="F582" s="7" t="s">
        <v>6446</v>
      </c>
      <c r="G582" s="7" t="s">
        <v>7150</v>
      </c>
      <c r="H582" s="7" t="s">
        <v>7157</v>
      </c>
      <c r="I582" s="7"/>
      <c r="J582" s="10">
        <v>45331</v>
      </c>
      <c r="K582" s="7" t="s">
        <v>7163</v>
      </c>
      <c r="L582" s="7"/>
      <c r="M582" s="7"/>
    </row>
    <row r="583" spans="1:13" x14ac:dyDescent="0.3">
      <c r="A583" s="7">
        <v>17019</v>
      </c>
      <c r="B583" s="7" t="s">
        <v>591</v>
      </c>
      <c r="C583" s="7" t="s">
        <v>6442</v>
      </c>
      <c r="D583" s="7" t="s">
        <v>6445</v>
      </c>
      <c r="E583" s="7" t="s">
        <v>6295</v>
      </c>
      <c r="F583" s="7" t="s">
        <v>6341</v>
      </c>
      <c r="G583" s="7" t="s">
        <v>7150</v>
      </c>
      <c r="H583" s="7" t="s">
        <v>7156</v>
      </c>
      <c r="I583" s="7"/>
      <c r="J583" s="10">
        <v>45612</v>
      </c>
      <c r="K583" s="7" t="s">
        <v>7163</v>
      </c>
      <c r="L583" s="7"/>
      <c r="M583" s="7"/>
    </row>
    <row r="584" spans="1:13" x14ac:dyDescent="0.3">
      <c r="A584" s="7">
        <v>12309</v>
      </c>
      <c r="B584" s="7" t="s">
        <v>592</v>
      </c>
      <c r="C584" s="7" t="s">
        <v>6442</v>
      </c>
      <c r="D584" s="7" t="s">
        <v>6447</v>
      </c>
      <c r="E584" s="7" t="s">
        <v>6295</v>
      </c>
      <c r="F584" s="7" t="s">
        <v>6338</v>
      </c>
      <c r="G584" s="7" t="s">
        <v>7150</v>
      </c>
      <c r="H584" s="7" t="s">
        <v>7156</v>
      </c>
      <c r="I584" s="7"/>
      <c r="J584" s="10">
        <v>43675</v>
      </c>
      <c r="K584" s="7" t="s">
        <v>7163</v>
      </c>
      <c r="L584" s="7"/>
      <c r="M584" s="7"/>
    </row>
    <row r="585" spans="1:13" x14ac:dyDescent="0.3">
      <c r="A585" s="7">
        <v>12465</v>
      </c>
      <c r="B585" s="7" t="s">
        <v>593</v>
      </c>
      <c r="C585" s="7" t="s">
        <v>6442</v>
      </c>
      <c r="D585" s="7" t="s">
        <v>6447</v>
      </c>
      <c r="E585" s="7" t="s">
        <v>6295</v>
      </c>
      <c r="F585" s="7" t="s">
        <v>6353</v>
      </c>
      <c r="G585" s="7" t="s">
        <v>7150</v>
      </c>
      <c r="H585" s="7" t="s">
        <v>7156</v>
      </c>
      <c r="I585" s="7"/>
      <c r="J585" s="10">
        <v>43760</v>
      </c>
      <c r="K585" s="7" t="s">
        <v>7163</v>
      </c>
      <c r="L585" s="7"/>
      <c r="M585" s="7"/>
    </row>
    <row r="586" spans="1:13" x14ac:dyDescent="0.3">
      <c r="A586" s="7">
        <v>16633</v>
      </c>
      <c r="B586" s="7" t="s">
        <v>594</v>
      </c>
      <c r="C586" s="7" t="s">
        <v>6442</v>
      </c>
      <c r="D586" s="7" t="s">
        <v>6447</v>
      </c>
      <c r="E586" s="7" t="s">
        <v>6295</v>
      </c>
      <c r="F586" s="7" t="s">
        <v>6340</v>
      </c>
      <c r="G586" s="7" t="s">
        <v>7150</v>
      </c>
      <c r="H586" s="7" t="s">
        <v>7156</v>
      </c>
      <c r="I586" s="7"/>
      <c r="J586" s="10">
        <v>45518</v>
      </c>
      <c r="K586" s="7" t="s">
        <v>7163</v>
      </c>
      <c r="L586" s="7"/>
      <c r="M586" s="7"/>
    </row>
    <row r="587" spans="1:13" x14ac:dyDescent="0.3">
      <c r="A587" s="7">
        <v>18181</v>
      </c>
      <c r="B587" s="7" t="s">
        <v>595</v>
      </c>
      <c r="C587" s="7" t="s">
        <v>6442</v>
      </c>
      <c r="D587" s="7" t="s">
        <v>6447</v>
      </c>
      <c r="E587" s="7" t="s">
        <v>6295</v>
      </c>
      <c r="F587" s="7" t="s">
        <v>6341</v>
      </c>
      <c r="G587" s="7" t="s">
        <v>7150</v>
      </c>
      <c r="H587" s="7" t="s">
        <v>7156</v>
      </c>
      <c r="I587" s="7"/>
      <c r="J587" s="10">
        <v>46035</v>
      </c>
      <c r="K587" s="7" t="s">
        <v>7163</v>
      </c>
      <c r="L587" s="7"/>
      <c r="M587" s="7"/>
    </row>
    <row r="588" spans="1:13" x14ac:dyDescent="0.3">
      <c r="A588" s="7">
        <v>18495</v>
      </c>
      <c r="B588" s="7" t="s">
        <v>596</v>
      </c>
      <c r="C588" s="7" t="s">
        <v>6442</v>
      </c>
      <c r="D588" s="7" t="s">
        <v>6447</v>
      </c>
      <c r="E588" s="7" t="s">
        <v>6295</v>
      </c>
      <c r="F588" s="7" t="s">
        <v>6341</v>
      </c>
      <c r="G588" s="7" t="s">
        <v>7150</v>
      </c>
      <c r="H588" s="7" t="s">
        <v>7156</v>
      </c>
      <c r="I588" s="7"/>
      <c r="J588" s="10">
        <v>46143</v>
      </c>
      <c r="K588" s="7" t="s">
        <v>7163</v>
      </c>
      <c r="L588" s="7"/>
      <c r="M588" s="7"/>
    </row>
    <row r="589" spans="1:13" x14ac:dyDescent="0.3">
      <c r="A589" s="7">
        <v>16813</v>
      </c>
      <c r="B589" s="7" t="s">
        <v>597</v>
      </c>
      <c r="C589" s="7" t="s">
        <v>6442</v>
      </c>
      <c r="D589" s="7" t="s">
        <v>6447</v>
      </c>
      <c r="E589" s="7" t="s">
        <v>6295</v>
      </c>
      <c r="F589" s="7" t="s">
        <v>6340</v>
      </c>
      <c r="G589" s="7" t="s">
        <v>7150</v>
      </c>
      <c r="H589" s="7" t="s">
        <v>7156</v>
      </c>
      <c r="I589" s="7"/>
      <c r="J589" s="10">
        <v>45558</v>
      </c>
      <c r="K589" s="7" t="s">
        <v>7163</v>
      </c>
      <c r="L589" s="7"/>
      <c r="M589" s="7"/>
    </row>
    <row r="590" spans="1:13" x14ac:dyDescent="0.3">
      <c r="A590" s="7">
        <v>15595</v>
      </c>
      <c r="B590" s="7" t="s">
        <v>598</v>
      </c>
      <c r="C590" s="7" t="s">
        <v>6442</v>
      </c>
      <c r="D590" s="7" t="s">
        <v>6448</v>
      </c>
      <c r="E590" s="7" t="s">
        <v>6295</v>
      </c>
      <c r="F590" s="7" t="s">
        <v>6338</v>
      </c>
      <c r="G590" s="7" t="s">
        <v>7150</v>
      </c>
      <c r="H590" s="7" t="s">
        <v>7156</v>
      </c>
      <c r="I590" s="7"/>
      <c r="J590" s="10">
        <v>45134</v>
      </c>
      <c r="K590" s="7" t="s">
        <v>7163</v>
      </c>
      <c r="L590" s="7"/>
      <c r="M590" s="7"/>
    </row>
    <row r="591" spans="1:13" x14ac:dyDescent="0.3">
      <c r="A591" s="7">
        <v>15346</v>
      </c>
      <c r="B591" s="7" t="s">
        <v>599</v>
      </c>
      <c r="C591" s="7" t="s">
        <v>6442</v>
      </c>
      <c r="D591" s="7" t="s">
        <v>6449</v>
      </c>
      <c r="E591" s="7" t="s">
        <v>6295</v>
      </c>
      <c r="F591" s="7" t="s">
        <v>6335</v>
      </c>
      <c r="G591" s="7" t="s">
        <v>7150</v>
      </c>
      <c r="H591" s="7" t="s">
        <v>7156</v>
      </c>
      <c r="I591" s="7"/>
      <c r="J591" s="10">
        <v>45036</v>
      </c>
      <c r="K591" s="7" t="s">
        <v>7163</v>
      </c>
      <c r="L591" s="7"/>
      <c r="M591" s="7"/>
    </row>
    <row r="592" spans="1:13" x14ac:dyDescent="0.3">
      <c r="A592" s="7">
        <v>10406</v>
      </c>
      <c r="B592" s="7" t="s">
        <v>600</v>
      </c>
      <c r="C592" s="7" t="s">
        <v>6442</v>
      </c>
      <c r="D592" s="7" t="s">
        <v>6448</v>
      </c>
      <c r="E592" s="7" t="s">
        <v>6295</v>
      </c>
      <c r="F592" s="7" t="s">
        <v>6335</v>
      </c>
      <c r="G592" s="7" t="s">
        <v>7150</v>
      </c>
      <c r="H592" s="7" t="s">
        <v>7156</v>
      </c>
      <c r="I592" s="7"/>
      <c r="J592" s="10">
        <v>40080</v>
      </c>
      <c r="K592" s="7" t="s">
        <v>7163</v>
      </c>
      <c r="L592" s="7"/>
      <c r="M592" s="7"/>
    </row>
    <row r="593" spans="1:13" x14ac:dyDescent="0.3">
      <c r="A593" s="7">
        <v>16237</v>
      </c>
      <c r="B593" s="7" t="s">
        <v>601</v>
      </c>
      <c r="C593" s="7" t="s">
        <v>6442</v>
      </c>
      <c r="D593" s="7" t="s">
        <v>6448</v>
      </c>
      <c r="E593" s="7" t="s">
        <v>6295</v>
      </c>
      <c r="F593" s="7" t="s">
        <v>6335</v>
      </c>
      <c r="G593" s="7" t="s">
        <v>7150</v>
      </c>
      <c r="H593" s="7" t="s">
        <v>7156</v>
      </c>
      <c r="I593" s="7"/>
      <c r="J593" s="10">
        <v>45330</v>
      </c>
      <c r="K593" s="7" t="s">
        <v>7163</v>
      </c>
      <c r="L593" s="7"/>
      <c r="M593" s="7"/>
    </row>
    <row r="594" spans="1:13" x14ac:dyDescent="0.3">
      <c r="A594" s="7">
        <v>130052</v>
      </c>
      <c r="B594" s="7" t="s">
        <v>602</v>
      </c>
      <c r="C594" s="7" t="s">
        <v>6442</v>
      </c>
      <c r="D594" s="7" t="s">
        <v>6448</v>
      </c>
      <c r="E594" s="7" t="s">
        <v>6295</v>
      </c>
      <c r="F594" s="7" t="s">
        <v>6353</v>
      </c>
      <c r="G594" s="7" t="s">
        <v>7150</v>
      </c>
      <c r="H594" s="7" t="s">
        <v>7156</v>
      </c>
      <c r="I594" s="7"/>
      <c r="J594" s="10">
        <v>43684</v>
      </c>
      <c r="K594" s="7" t="s">
        <v>7163</v>
      </c>
      <c r="L594" s="7"/>
      <c r="M594" s="7"/>
    </row>
    <row r="595" spans="1:13" x14ac:dyDescent="0.3">
      <c r="A595" s="7">
        <v>18398</v>
      </c>
      <c r="B595" s="7" t="s">
        <v>603</v>
      </c>
      <c r="C595" s="7" t="s">
        <v>6442</v>
      </c>
      <c r="D595" s="7" t="s">
        <v>6450</v>
      </c>
      <c r="E595" s="7" t="s">
        <v>6295</v>
      </c>
      <c r="F595" s="7" t="s">
        <v>6340</v>
      </c>
      <c r="G595" s="7" t="s">
        <v>7150</v>
      </c>
      <c r="H595" s="7" t="s">
        <v>7156</v>
      </c>
      <c r="I595" s="7" t="s">
        <v>7158</v>
      </c>
      <c r="J595" s="10">
        <v>46119</v>
      </c>
      <c r="K595" s="7" t="s">
        <v>7163</v>
      </c>
      <c r="L595" s="7"/>
      <c r="M595" s="7"/>
    </row>
    <row r="596" spans="1:13" x14ac:dyDescent="0.3">
      <c r="A596" s="7">
        <v>18763</v>
      </c>
      <c r="B596" s="7" t="s">
        <v>604</v>
      </c>
      <c r="C596" s="7" t="s">
        <v>6442</v>
      </c>
      <c r="D596" s="7" t="s">
        <v>6450</v>
      </c>
      <c r="E596" s="7" t="s">
        <v>6295</v>
      </c>
      <c r="F596" s="7" t="s">
        <v>6353</v>
      </c>
      <c r="G596" s="7" t="s">
        <v>7150</v>
      </c>
      <c r="H596" s="7" t="s">
        <v>7156</v>
      </c>
      <c r="I596" s="7" t="s">
        <v>7159</v>
      </c>
      <c r="J596" s="10">
        <v>46204</v>
      </c>
      <c r="K596" s="7" t="s">
        <v>7163</v>
      </c>
      <c r="L596" s="7"/>
      <c r="M596" s="7"/>
    </row>
    <row r="597" spans="1:13" x14ac:dyDescent="0.3">
      <c r="A597" s="7">
        <v>18802</v>
      </c>
      <c r="B597" s="7" t="s">
        <v>605</v>
      </c>
      <c r="C597" s="7" t="s">
        <v>6442</v>
      </c>
      <c r="D597" s="7" t="s">
        <v>6450</v>
      </c>
      <c r="E597" s="7" t="s">
        <v>6295</v>
      </c>
      <c r="F597" s="7" t="s">
        <v>6353</v>
      </c>
      <c r="G597" s="7" t="s">
        <v>7150</v>
      </c>
      <c r="H597" s="7" t="s">
        <v>7156</v>
      </c>
      <c r="I597" s="7" t="s">
        <v>7159</v>
      </c>
      <c r="J597" s="10">
        <v>46212</v>
      </c>
      <c r="K597" s="7" t="s">
        <v>7163</v>
      </c>
      <c r="L597" s="7"/>
      <c r="M597" s="7"/>
    </row>
    <row r="598" spans="1:13" x14ac:dyDescent="0.3">
      <c r="A598" s="7">
        <v>18765</v>
      </c>
      <c r="B598" s="7" t="s">
        <v>606</v>
      </c>
      <c r="C598" s="7" t="s">
        <v>6442</v>
      </c>
      <c r="D598" s="7" t="s">
        <v>6450</v>
      </c>
      <c r="E598" s="7" t="s">
        <v>6295</v>
      </c>
      <c r="F598" s="7" t="s">
        <v>6353</v>
      </c>
      <c r="G598" s="7" t="s">
        <v>7150</v>
      </c>
      <c r="H598" s="7" t="s">
        <v>7156</v>
      </c>
      <c r="I598" s="7" t="s">
        <v>7159</v>
      </c>
      <c r="J598" s="10">
        <v>46204</v>
      </c>
      <c r="K598" s="7" t="s">
        <v>7163</v>
      </c>
      <c r="L598" s="7"/>
      <c r="M598" s="7"/>
    </row>
    <row r="599" spans="1:13" x14ac:dyDescent="0.3">
      <c r="A599" s="7">
        <v>15847</v>
      </c>
      <c r="B599" s="7" t="s">
        <v>607</v>
      </c>
      <c r="C599" s="7" t="s">
        <v>6442</v>
      </c>
      <c r="D599" s="7" t="s">
        <v>6448</v>
      </c>
      <c r="E599" s="7" t="s">
        <v>6295</v>
      </c>
      <c r="F599" s="7" t="s">
        <v>6340</v>
      </c>
      <c r="G599" s="7" t="s">
        <v>7150</v>
      </c>
      <c r="H599" s="7" t="s">
        <v>7156</v>
      </c>
      <c r="I599" s="7"/>
      <c r="J599" s="10">
        <v>45212</v>
      </c>
      <c r="K599" s="7" t="s">
        <v>7163</v>
      </c>
      <c r="L599" s="7"/>
      <c r="M599" s="7"/>
    </row>
    <row r="600" spans="1:13" x14ac:dyDescent="0.3">
      <c r="A600" s="7">
        <v>18269</v>
      </c>
      <c r="B600" s="7" t="s">
        <v>608</v>
      </c>
      <c r="C600" s="7" t="s">
        <v>6442</v>
      </c>
      <c r="D600" s="7" t="s">
        <v>6449</v>
      </c>
      <c r="E600" s="7" t="s">
        <v>6295</v>
      </c>
      <c r="F600" s="7" t="s">
        <v>6341</v>
      </c>
      <c r="G600" s="7" t="s">
        <v>7150</v>
      </c>
      <c r="H600" s="7" t="s">
        <v>7156</v>
      </c>
      <c r="I600" s="7"/>
      <c r="J600" s="10">
        <v>46073</v>
      </c>
      <c r="K600" s="7" t="s">
        <v>7163</v>
      </c>
      <c r="L600" s="7"/>
      <c r="M600" s="7"/>
    </row>
    <row r="601" spans="1:13" x14ac:dyDescent="0.3">
      <c r="A601" s="7">
        <v>18133</v>
      </c>
      <c r="B601" s="7" t="s">
        <v>609</v>
      </c>
      <c r="C601" s="7" t="s">
        <v>6442</v>
      </c>
      <c r="D601" s="7" t="s">
        <v>6448</v>
      </c>
      <c r="E601" s="7" t="s">
        <v>6295</v>
      </c>
      <c r="F601" s="7" t="s">
        <v>6341</v>
      </c>
      <c r="G601" s="7" t="s">
        <v>7150</v>
      </c>
      <c r="H601" s="7" t="s">
        <v>7156</v>
      </c>
      <c r="I601" s="7"/>
      <c r="J601" s="10">
        <v>46008</v>
      </c>
      <c r="K601" s="7" t="s">
        <v>7163</v>
      </c>
      <c r="L601" s="7"/>
      <c r="M601" s="7"/>
    </row>
    <row r="602" spans="1:13" x14ac:dyDescent="0.3">
      <c r="A602" s="7">
        <v>17532</v>
      </c>
      <c r="B602" s="7" t="s">
        <v>610</v>
      </c>
      <c r="C602" s="7" t="s">
        <v>6442</v>
      </c>
      <c r="D602" s="7" t="s">
        <v>6451</v>
      </c>
      <c r="E602" s="7" t="s">
        <v>6295</v>
      </c>
      <c r="F602" s="7" t="s">
        <v>6335</v>
      </c>
      <c r="G602" s="7" t="s">
        <v>7150</v>
      </c>
      <c r="H602" s="7" t="s">
        <v>7156</v>
      </c>
      <c r="I602" s="7"/>
      <c r="J602" s="10">
        <v>45789</v>
      </c>
      <c r="K602" s="7" t="s">
        <v>7163</v>
      </c>
      <c r="L602" s="7"/>
      <c r="M602" s="7"/>
    </row>
    <row r="603" spans="1:13" x14ac:dyDescent="0.3">
      <c r="A603" s="7">
        <v>17509</v>
      </c>
      <c r="B603" s="7" t="s">
        <v>611</v>
      </c>
      <c r="C603" s="7" t="s">
        <v>6442</v>
      </c>
      <c r="D603" s="7" t="s">
        <v>6451</v>
      </c>
      <c r="E603" s="7" t="s">
        <v>6295</v>
      </c>
      <c r="F603" s="7" t="s">
        <v>6335</v>
      </c>
      <c r="G603" s="7" t="s">
        <v>7150</v>
      </c>
      <c r="H603" s="7" t="s">
        <v>7156</v>
      </c>
      <c r="I603" s="7"/>
      <c r="J603" s="10">
        <v>45789</v>
      </c>
      <c r="K603" s="7" t="s">
        <v>7163</v>
      </c>
      <c r="L603" s="7"/>
      <c r="M603" s="7"/>
    </row>
    <row r="604" spans="1:13" x14ac:dyDescent="0.3">
      <c r="A604" s="7">
        <v>17969</v>
      </c>
      <c r="B604" s="7" t="s">
        <v>612</v>
      </c>
      <c r="C604" s="7" t="s">
        <v>6442</v>
      </c>
      <c r="D604" s="7" t="s">
        <v>6451</v>
      </c>
      <c r="E604" s="7" t="s">
        <v>6295</v>
      </c>
      <c r="F604" s="7" t="s">
        <v>6341</v>
      </c>
      <c r="G604" s="7" t="s">
        <v>7150</v>
      </c>
      <c r="H604" s="7" t="s">
        <v>7156</v>
      </c>
      <c r="I604" s="7"/>
      <c r="J604" s="10">
        <v>45940</v>
      </c>
      <c r="K604" s="7" t="s">
        <v>7163</v>
      </c>
      <c r="L604" s="7"/>
      <c r="M604" s="7"/>
    </row>
    <row r="605" spans="1:13" x14ac:dyDescent="0.3">
      <c r="A605" s="7">
        <v>17469</v>
      </c>
      <c r="B605" s="7" t="s">
        <v>613</v>
      </c>
      <c r="C605" s="7" t="s">
        <v>6442</v>
      </c>
      <c r="D605" s="7" t="s">
        <v>6451</v>
      </c>
      <c r="E605" s="7" t="s">
        <v>6295</v>
      </c>
      <c r="F605" s="7" t="s">
        <v>6380</v>
      </c>
      <c r="G605" s="7" t="s">
        <v>7150</v>
      </c>
      <c r="H605" s="7" t="s">
        <v>7156</v>
      </c>
      <c r="I605" s="7"/>
      <c r="J605" s="10">
        <v>45762</v>
      </c>
      <c r="K605" s="7" t="s">
        <v>7163</v>
      </c>
      <c r="L605" s="7"/>
      <c r="M605" s="7"/>
    </row>
    <row r="606" spans="1:13" x14ac:dyDescent="0.3">
      <c r="A606" s="7">
        <v>17973</v>
      </c>
      <c r="B606" s="7" t="s">
        <v>614</v>
      </c>
      <c r="C606" s="7" t="s">
        <v>6442</v>
      </c>
      <c r="D606" s="7" t="s">
        <v>6451</v>
      </c>
      <c r="E606" s="7" t="s">
        <v>6295</v>
      </c>
      <c r="F606" s="7" t="s">
        <v>6341</v>
      </c>
      <c r="G606" s="7" t="s">
        <v>7150</v>
      </c>
      <c r="H606" s="7" t="s">
        <v>7156</v>
      </c>
      <c r="I606" s="7"/>
      <c r="J606" s="10">
        <v>45945</v>
      </c>
      <c r="K606" s="7" t="s">
        <v>7163</v>
      </c>
      <c r="L606" s="7"/>
      <c r="M606" s="7"/>
    </row>
    <row r="607" spans="1:13" x14ac:dyDescent="0.3">
      <c r="A607" s="7">
        <v>12376</v>
      </c>
      <c r="B607" s="7" t="s">
        <v>615</v>
      </c>
      <c r="C607" s="7" t="s">
        <v>6452</v>
      </c>
      <c r="D607" s="7" t="s">
        <v>6295</v>
      </c>
      <c r="E607" s="7" t="s">
        <v>6295</v>
      </c>
      <c r="F607" s="7" t="s">
        <v>6356</v>
      </c>
      <c r="G607" s="7" t="s">
        <v>7150</v>
      </c>
      <c r="H607" s="7" t="s">
        <v>7156</v>
      </c>
      <c r="I607" s="7"/>
      <c r="J607" s="10">
        <v>43720</v>
      </c>
      <c r="K607" s="7" t="s">
        <v>7163</v>
      </c>
      <c r="L607" s="7"/>
      <c r="M607" s="7"/>
    </row>
    <row r="608" spans="1:13" x14ac:dyDescent="0.3">
      <c r="A608" s="7">
        <v>11224</v>
      </c>
      <c r="B608" s="7" t="s">
        <v>616</v>
      </c>
      <c r="C608" s="7" t="s">
        <v>6452</v>
      </c>
      <c r="D608" s="7" t="s">
        <v>6453</v>
      </c>
      <c r="E608" s="7" t="s">
        <v>6295</v>
      </c>
      <c r="F608" s="7" t="s">
        <v>6338</v>
      </c>
      <c r="G608" s="7" t="s">
        <v>7150</v>
      </c>
      <c r="H608" s="7" t="s">
        <v>7156</v>
      </c>
      <c r="I608" s="7"/>
      <c r="J608" s="10">
        <v>42439</v>
      </c>
      <c r="K608" s="7" t="s">
        <v>7163</v>
      </c>
      <c r="L608" s="7"/>
      <c r="M608" s="7"/>
    </row>
    <row r="609" spans="1:13" x14ac:dyDescent="0.3">
      <c r="A609" s="7">
        <v>12368</v>
      </c>
      <c r="B609" s="7" t="s">
        <v>617</v>
      </c>
      <c r="C609" s="7" t="s">
        <v>6452</v>
      </c>
      <c r="D609" s="7" t="s">
        <v>6453</v>
      </c>
      <c r="E609" s="7" t="s">
        <v>6295</v>
      </c>
      <c r="F609" s="7" t="s">
        <v>6335</v>
      </c>
      <c r="G609" s="7" t="s">
        <v>7150</v>
      </c>
      <c r="H609" s="7" t="s">
        <v>7156</v>
      </c>
      <c r="I609" s="7"/>
      <c r="J609" s="10">
        <v>43714</v>
      </c>
      <c r="K609" s="7" t="s">
        <v>7163</v>
      </c>
      <c r="L609" s="7"/>
      <c r="M609" s="7"/>
    </row>
    <row r="610" spans="1:13" x14ac:dyDescent="0.3">
      <c r="A610" s="7">
        <v>16085</v>
      </c>
      <c r="B610" s="7" t="s">
        <v>618</v>
      </c>
      <c r="C610" s="7" t="s">
        <v>6452</v>
      </c>
      <c r="D610" s="7" t="s">
        <v>6453</v>
      </c>
      <c r="E610" s="7" t="s">
        <v>6295</v>
      </c>
      <c r="F610" s="7" t="s">
        <v>6335</v>
      </c>
      <c r="G610" s="7" t="s">
        <v>7150</v>
      </c>
      <c r="H610" s="7" t="s">
        <v>7156</v>
      </c>
      <c r="I610" s="7"/>
      <c r="J610" s="10">
        <v>45275</v>
      </c>
      <c r="K610" s="7" t="s">
        <v>7163</v>
      </c>
      <c r="L610" s="7"/>
      <c r="M610" s="7"/>
    </row>
    <row r="611" spans="1:13" x14ac:dyDescent="0.3">
      <c r="A611" s="7">
        <v>200123</v>
      </c>
      <c r="B611" s="7" t="s">
        <v>619</v>
      </c>
      <c r="C611" s="7" t="s">
        <v>6452</v>
      </c>
      <c r="D611" s="7" t="s">
        <v>6453</v>
      </c>
      <c r="E611" s="7" t="s">
        <v>6295</v>
      </c>
      <c r="F611" s="7" t="s">
        <v>6335</v>
      </c>
      <c r="G611" s="7" t="s">
        <v>7150</v>
      </c>
      <c r="H611" s="7" t="s">
        <v>7156</v>
      </c>
      <c r="I611" s="7"/>
      <c r="J611" s="10">
        <v>43668</v>
      </c>
      <c r="K611" s="7" t="s">
        <v>7163</v>
      </c>
      <c r="L611" s="7"/>
      <c r="M611" s="7"/>
    </row>
    <row r="612" spans="1:13" x14ac:dyDescent="0.3">
      <c r="A612" s="7">
        <v>13024</v>
      </c>
      <c r="B612" s="7" t="s">
        <v>620</v>
      </c>
      <c r="C612" s="7" t="s">
        <v>6452</v>
      </c>
      <c r="D612" s="7" t="s">
        <v>6453</v>
      </c>
      <c r="E612" s="7" t="s">
        <v>6295</v>
      </c>
      <c r="F612" s="7" t="s">
        <v>6335</v>
      </c>
      <c r="G612" s="7" t="s">
        <v>7150</v>
      </c>
      <c r="H612" s="7" t="s">
        <v>7156</v>
      </c>
      <c r="I612" s="7"/>
      <c r="J612" s="10">
        <v>44204</v>
      </c>
      <c r="K612" s="7" t="s">
        <v>7163</v>
      </c>
      <c r="L612" s="7"/>
      <c r="M612" s="7"/>
    </row>
    <row r="613" spans="1:13" x14ac:dyDescent="0.3">
      <c r="A613" s="7">
        <v>16192</v>
      </c>
      <c r="B613" s="7" t="s">
        <v>621</v>
      </c>
      <c r="C613" s="7" t="s">
        <v>6452</v>
      </c>
      <c r="D613" s="7" t="s">
        <v>6453</v>
      </c>
      <c r="E613" s="7" t="s">
        <v>6295</v>
      </c>
      <c r="F613" s="7" t="s">
        <v>6454</v>
      </c>
      <c r="G613" s="7" t="s">
        <v>7150</v>
      </c>
      <c r="H613" s="7" t="s">
        <v>7156</v>
      </c>
      <c r="I613" s="7"/>
      <c r="J613" s="10">
        <v>45314</v>
      </c>
      <c r="K613" s="7" t="s">
        <v>7163</v>
      </c>
      <c r="L613" s="7"/>
      <c r="M613" s="7"/>
    </row>
    <row r="614" spans="1:13" x14ac:dyDescent="0.3">
      <c r="A614" s="7">
        <v>137010</v>
      </c>
      <c r="B614" s="7" t="s">
        <v>622</v>
      </c>
      <c r="C614" s="7" t="s">
        <v>6452</v>
      </c>
      <c r="D614" s="7" t="s">
        <v>6453</v>
      </c>
      <c r="E614" s="7" t="s">
        <v>6295</v>
      </c>
      <c r="F614" s="7" t="s">
        <v>6353</v>
      </c>
      <c r="G614" s="7" t="s">
        <v>7150</v>
      </c>
      <c r="H614" s="7" t="s">
        <v>7156</v>
      </c>
      <c r="I614" s="7"/>
      <c r="J614" s="10">
        <v>44400</v>
      </c>
      <c r="K614" s="7" t="s">
        <v>7163</v>
      </c>
      <c r="L614" s="7"/>
      <c r="M614" s="7"/>
    </row>
    <row r="615" spans="1:13" x14ac:dyDescent="0.3">
      <c r="A615" s="7">
        <v>240048</v>
      </c>
      <c r="B615" s="7" t="s">
        <v>623</v>
      </c>
      <c r="C615" s="7" t="s">
        <v>6452</v>
      </c>
      <c r="D615" s="7" t="s">
        <v>6453</v>
      </c>
      <c r="E615" s="7" t="s">
        <v>6295</v>
      </c>
      <c r="F615" s="7" t="s">
        <v>6340</v>
      </c>
      <c r="G615" s="7" t="s">
        <v>7150</v>
      </c>
      <c r="H615" s="7" t="s">
        <v>7156</v>
      </c>
      <c r="I615" s="7"/>
      <c r="J615" s="10">
        <v>44243</v>
      </c>
      <c r="K615" s="7" t="s">
        <v>7163</v>
      </c>
      <c r="L615" s="7"/>
      <c r="M615" s="7"/>
    </row>
    <row r="616" spans="1:13" x14ac:dyDescent="0.3">
      <c r="A616" s="7">
        <v>18190</v>
      </c>
      <c r="B616" s="7" t="s">
        <v>624</v>
      </c>
      <c r="C616" s="7" t="s">
        <v>6452</v>
      </c>
      <c r="D616" s="7" t="s">
        <v>6453</v>
      </c>
      <c r="E616" s="7" t="s">
        <v>6295</v>
      </c>
      <c r="F616" s="7" t="s">
        <v>6341</v>
      </c>
      <c r="G616" s="7" t="s">
        <v>7150</v>
      </c>
      <c r="H616" s="7" t="s">
        <v>7156</v>
      </c>
      <c r="I616" s="7"/>
      <c r="J616" s="10">
        <v>46041</v>
      </c>
      <c r="K616" s="7" t="s">
        <v>7163</v>
      </c>
      <c r="L616" s="7"/>
      <c r="M616" s="7"/>
    </row>
    <row r="617" spans="1:13" x14ac:dyDescent="0.3">
      <c r="A617" s="7">
        <v>18963</v>
      </c>
      <c r="B617" s="7" t="s">
        <v>625</v>
      </c>
      <c r="C617" s="7" t="s">
        <v>6452</v>
      </c>
      <c r="D617" s="7" t="s">
        <v>6453</v>
      </c>
      <c r="E617" s="7" t="s">
        <v>6295</v>
      </c>
      <c r="F617" s="7" t="s">
        <v>6348</v>
      </c>
      <c r="G617" s="7" t="s">
        <v>7150</v>
      </c>
      <c r="H617" s="7" t="s">
        <v>7156</v>
      </c>
      <c r="I617" s="7"/>
      <c r="J617" s="10">
        <v>46251</v>
      </c>
      <c r="K617" s="7" t="s">
        <v>7163</v>
      </c>
      <c r="L617" s="7"/>
      <c r="M617" s="7"/>
    </row>
    <row r="618" spans="1:13" x14ac:dyDescent="0.3">
      <c r="A618" s="7">
        <v>11276</v>
      </c>
      <c r="B618" s="7" t="s">
        <v>626</v>
      </c>
      <c r="C618" s="7" t="s">
        <v>6452</v>
      </c>
      <c r="D618" s="7" t="s">
        <v>6295</v>
      </c>
      <c r="E618" s="7" t="s">
        <v>6295</v>
      </c>
      <c r="F618" s="7" t="s">
        <v>6336</v>
      </c>
      <c r="G618" s="7" t="s">
        <v>7150</v>
      </c>
      <c r="H618" s="7" t="s">
        <v>7156</v>
      </c>
      <c r="I618" s="7"/>
      <c r="J618" s="10">
        <v>42478</v>
      </c>
      <c r="K618" s="7" t="s">
        <v>7163</v>
      </c>
      <c r="L618" s="7"/>
      <c r="M618" s="7"/>
    </row>
    <row r="619" spans="1:13" x14ac:dyDescent="0.3">
      <c r="A619" s="7">
        <v>11240</v>
      </c>
      <c r="B619" s="7" t="s">
        <v>627</v>
      </c>
      <c r="C619" s="7" t="s">
        <v>6452</v>
      </c>
      <c r="D619" s="7" t="s">
        <v>6455</v>
      </c>
      <c r="E619" s="7" t="s">
        <v>6295</v>
      </c>
      <c r="F619" s="7" t="s">
        <v>6335</v>
      </c>
      <c r="G619" s="7" t="s">
        <v>7150</v>
      </c>
      <c r="H619" s="7" t="s">
        <v>7156</v>
      </c>
      <c r="I619" s="7"/>
      <c r="J619" s="10">
        <v>42461</v>
      </c>
      <c r="K619" s="7" t="s">
        <v>7163</v>
      </c>
      <c r="L619" s="7"/>
      <c r="M619" s="7"/>
    </row>
    <row r="620" spans="1:13" x14ac:dyDescent="0.3">
      <c r="A620" s="7">
        <v>11186</v>
      </c>
      <c r="B620" s="7" t="s">
        <v>628</v>
      </c>
      <c r="C620" s="7" t="s">
        <v>6452</v>
      </c>
      <c r="D620" s="7" t="s">
        <v>6455</v>
      </c>
      <c r="E620" s="7" t="s">
        <v>6295</v>
      </c>
      <c r="F620" s="7" t="s">
        <v>6338</v>
      </c>
      <c r="G620" s="7" t="s">
        <v>7150</v>
      </c>
      <c r="H620" s="7" t="s">
        <v>7156</v>
      </c>
      <c r="I620" s="7"/>
      <c r="J620" s="10">
        <v>42381</v>
      </c>
      <c r="K620" s="7" t="s">
        <v>7163</v>
      </c>
      <c r="L620" s="7"/>
      <c r="M620" s="7"/>
    </row>
    <row r="621" spans="1:13" x14ac:dyDescent="0.3">
      <c r="A621" s="7">
        <v>11347</v>
      </c>
      <c r="B621" s="7" t="s">
        <v>629</v>
      </c>
      <c r="C621" s="7" t="s">
        <v>6452</v>
      </c>
      <c r="D621" s="7" t="s">
        <v>6455</v>
      </c>
      <c r="E621" s="7" t="s">
        <v>6295</v>
      </c>
      <c r="F621" s="7" t="s">
        <v>6335</v>
      </c>
      <c r="G621" s="7" t="s">
        <v>7150</v>
      </c>
      <c r="H621" s="7" t="s">
        <v>7156</v>
      </c>
      <c r="I621" s="7"/>
      <c r="J621" s="10">
        <v>42573</v>
      </c>
      <c r="K621" s="7" t="s">
        <v>7163</v>
      </c>
      <c r="L621" s="7"/>
      <c r="M621" s="7"/>
    </row>
    <row r="622" spans="1:13" x14ac:dyDescent="0.3">
      <c r="A622" s="7">
        <v>11404</v>
      </c>
      <c r="B622" s="7" t="s">
        <v>630</v>
      </c>
      <c r="C622" s="7" t="s">
        <v>6452</v>
      </c>
      <c r="D622" s="7" t="s">
        <v>6455</v>
      </c>
      <c r="E622" s="7" t="s">
        <v>6295</v>
      </c>
      <c r="F622" s="7" t="s">
        <v>6335</v>
      </c>
      <c r="G622" s="7" t="s">
        <v>7150</v>
      </c>
      <c r="H622" s="7" t="s">
        <v>7156</v>
      </c>
      <c r="I622" s="7"/>
      <c r="J622" s="10">
        <v>42657</v>
      </c>
      <c r="K622" s="7" t="s">
        <v>7163</v>
      </c>
      <c r="L622" s="7"/>
      <c r="M622" s="7"/>
    </row>
    <row r="623" spans="1:13" x14ac:dyDescent="0.3">
      <c r="A623" s="7">
        <v>11296</v>
      </c>
      <c r="B623" s="7" t="s">
        <v>631</v>
      </c>
      <c r="C623" s="7" t="s">
        <v>6452</v>
      </c>
      <c r="D623" s="7" t="s">
        <v>6455</v>
      </c>
      <c r="E623" s="7" t="s">
        <v>6295</v>
      </c>
      <c r="F623" s="7" t="s">
        <v>6335</v>
      </c>
      <c r="G623" s="7" t="s">
        <v>7150</v>
      </c>
      <c r="H623" s="7" t="s">
        <v>7156</v>
      </c>
      <c r="I623" s="7"/>
      <c r="J623" s="10">
        <v>42506</v>
      </c>
      <c r="K623" s="7" t="s">
        <v>7163</v>
      </c>
      <c r="L623" s="7"/>
      <c r="M623" s="7"/>
    </row>
    <row r="624" spans="1:13" x14ac:dyDescent="0.3">
      <c r="A624" s="7">
        <v>14334</v>
      </c>
      <c r="B624" s="7" t="s">
        <v>632</v>
      </c>
      <c r="C624" s="7" t="s">
        <v>6452</v>
      </c>
      <c r="D624" s="7" t="s">
        <v>6455</v>
      </c>
      <c r="E624" s="7" t="s">
        <v>6295</v>
      </c>
      <c r="F624" s="7" t="s">
        <v>6353</v>
      </c>
      <c r="G624" s="7" t="s">
        <v>7150</v>
      </c>
      <c r="H624" s="7" t="s">
        <v>7156</v>
      </c>
      <c r="I624" s="7"/>
      <c r="J624" s="10">
        <v>44735</v>
      </c>
      <c r="K624" s="7" t="s">
        <v>7163</v>
      </c>
      <c r="L624" s="7"/>
      <c r="M624" s="7"/>
    </row>
    <row r="625" spans="1:13" x14ac:dyDescent="0.3">
      <c r="A625" s="7">
        <v>13807</v>
      </c>
      <c r="B625" s="7" t="s">
        <v>633</v>
      </c>
      <c r="C625" s="7" t="s">
        <v>6452</v>
      </c>
      <c r="D625" s="7" t="s">
        <v>6455</v>
      </c>
      <c r="E625" s="7" t="s">
        <v>6295</v>
      </c>
      <c r="F625" s="7" t="s">
        <v>6353</v>
      </c>
      <c r="G625" s="7" t="s">
        <v>7150</v>
      </c>
      <c r="H625" s="7" t="s">
        <v>7156</v>
      </c>
      <c r="I625" s="7"/>
      <c r="J625" s="10">
        <v>44586</v>
      </c>
      <c r="K625" s="7" t="s">
        <v>7163</v>
      </c>
      <c r="L625" s="7"/>
      <c r="M625" s="7"/>
    </row>
    <row r="626" spans="1:13" x14ac:dyDescent="0.3">
      <c r="A626" s="7">
        <v>15250</v>
      </c>
      <c r="B626" s="7" t="s">
        <v>634</v>
      </c>
      <c r="C626" s="7" t="s">
        <v>6452</v>
      </c>
      <c r="D626" s="7" t="s">
        <v>6455</v>
      </c>
      <c r="E626" s="7" t="s">
        <v>6295</v>
      </c>
      <c r="F626" s="7" t="s">
        <v>6353</v>
      </c>
      <c r="G626" s="7" t="s">
        <v>7150</v>
      </c>
      <c r="H626" s="7" t="s">
        <v>7156</v>
      </c>
      <c r="I626" s="7"/>
      <c r="J626" s="10">
        <v>45001</v>
      </c>
      <c r="K626" s="7" t="s">
        <v>7163</v>
      </c>
      <c r="L626" s="7"/>
      <c r="M626" s="7"/>
    </row>
    <row r="627" spans="1:13" x14ac:dyDescent="0.3">
      <c r="A627" s="7">
        <v>15599</v>
      </c>
      <c r="B627" s="7" t="s">
        <v>635</v>
      </c>
      <c r="C627" s="7" t="s">
        <v>6452</v>
      </c>
      <c r="D627" s="7" t="s">
        <v>6455</v>
      </c>
      <c r="E627" s="7" t="s">
        <v>6295</v>
      </c>
      <c r="F627" s="7" t="s">
        <v>6340</v>
      </c>
      <c r="G627" s="7" t="s">
        <v>7150</v>
      </c>
      <c r="H627" s="7" t="s">
        <v>7156</v>
      </c>
      <c r="I627" s="7"/>
      <c r="J627" s="10">
        <v>45139</v>
      </c>
      <c r="K627" s="7" t="s">
        <v>7163</v>
      </c>
      <c r="L627" s="7"/>
      <c r="M627" s="7"/>
    </row>
    <row r="628" spans="1:13" x14ac:dyDescent="0.3">
      <c r="A628" s="7">
        <v>15105</v>
      </c>
      <c r="B628" s="7" t="s">
        <v>636</v>
      </c>
      <c r="C628" s="7" t="s">
        <v>6452</v>
      </c>
      <c r="D628" s="7" t="s">
        <v>6455</v>
      </c>
      <c r="E628" s="7" t="s">
        <v>6295</v>
      </c>
      <c r="F628" s="7" t="s">
        <v>6340</v>
      </c>
      <c r="G628" s="7" t="s">
        <v>7150</v>
      </c>
      <c r="H628" s="7" t="s">
        <v>7156</v>
      </c>
      <c r="I628" s="7"/>
      <c r="J628" s="10">
        <v>44952</v>
      </c>
      <c r="K628" s="7" t="s">
        <v>7163</v>
      </c>
      <c r="L628" s="7"/>
      <c r="M628" s="7"/>
    </row>
    <row r="629" spans="1:13" x14ac:dyDescent="0.3">
      <c r="A629" s="7">
        <v>16316</v>
      </c>
      <c r="B629" s="7" t="s">
        <v>637</v>
      </c>
      <c r="C629" s="7" t="s">
        <v>6452</v>
      </c>
      <c r="D629" s="7" t="s">
        <v>6455</v>
      </c>
      <c r="E629" s="7" t="s">
        <v>6295</v>
      </c>
      <c r="F629" s="7" t="s">
        <v>6341</v>
      </c>
      <c r="G629" s="7" t="s">
        <v>7150</v>
      </c>
      <c r="H629" s="7" t="s">
        <v>7156</v>
      </c>
      <c r="I629" s="7"/>
      <c r="J629" s="10">
        <v>45344</v>
      </c>
      <c r="K629" s="7" t="s">
        <v>7163</v>
      </c>
      <c r="L629" s="7"/>
      <c r="M629" s="7"/>
    </row>
    <row r="630" spans="1:13" x14ac:dyDescent="0.3">
      <c r="A630" s="7">
        <v>18750</v>
      </c>
      <c r="B630" s="7" t="s">
        <v>638</v>
      </c>
      <c r="C630" s="7" t="s">
        <v>6452</v>
      </c>
      <c r="D630" s="7" t="s">
        <v>6455</v>
      </c>
      <c r="E630" s="7" t="s">
        <v>6295</v>
      </c>
      <c r="F630" s="7" t="s">
        <v>6348</v>
      </c>
      <c r="G630" s="7" t="s">
        <v>7150</v>
      </c>
      <c r="H630" s="7" t="s">
        <v>7156</v>
      </c>
      <c r="I630" s="7"/>
      <c r="J630" s="10">
        <v>46204</v>
      </c>
      <c r="K630" s="7" t="s">
        <v>7163</v>
      </c>
      <c r="L630" s="7"/>
      <c r="M630" s="7"/>
    </row>
    <row r="631" spans="1:13" x14ac:dyDescent="0.3">
      <c r="A631" s="7">
        <v>19141</v>
      </c>
      <c r="B631" s="7" t="s">
        <v>639</v>
      </c>
      <c r="C631" s="7" t="s">
        <v>6452</v>
      </c>
      <c r="D631" s="7" t="s">
        <v>6455</v>
      </c>
      <c r="E631" s="7" t="s">
        <v>6295</v>
      </c>
      <c r="F631" s="7" t="s">
        <v>6348</v>
      </c>
      <c r="G631" s="7" t="s">
        <v>7150</v>
      </c>
      <c r="H631" s="7" t="s">
        <v>7156</v>
      </c>
      <c r="I631" s="7"/>
      <c r="J631" s="10">
        <v>46274</v>
      </c>
      <c r="K631" s="7" t="s">
        <v>7163</v>
      </c>
      <c r="L631" s="7"/>
      <c r="M631" s="7"/>
    </row>
    <row r="632" spans="1:13" x14ac:dyDescent="0.3">
      <c r="A632" s="7">
        <v>19162</v>
      </c>
      <c r="B632" s="7" t="s">
        <v>640</v>
      </c>
      <c r="C632" s="7" t="s">
        <v>6452</v>
      </c>
      <c r="D632" s="7" t="s">
        <v>6455</v>
      </c>
      <c r="E632" s="7" t="s">
        <v>6295</v>
      </c>
      <c r="F632" s="7" t="s">
        <v>6348</v>
      </c>
      <c r="G632" s="7" t="s">
        <v>7150</v>
      </c>
      <c r="H632" s="7" t="s">
        <v>7156</v>
      </c>
      <c r="I632" s="7"/>
      <c r="J632" s="10">
        <v>46275</v>
      </c>
      <c r="K632" s="7" t="s">
        <v>7163</v>
      </c>
      <c r="L632" s="7"/>
      <c r="M632" s="7"/>
    </row>
    <row r="633" spans="1:13" x14ac:dyDescent="0.3">
      <c r="A633" s="7">
        <v>10539</v>
      </c>
      <c r="B633" s="7" t="s">
        <v>641</v>
      </c>
      <c r="C633" s="7" t="s">
        <v>6456</v>
      </c>
      <c r="D633" s="7" t="s">
        <v>6295</v>
      </c>
      <c r="E633" s="7" t="s">
        <v>6295</v>
      </c>
      <c r="F633" s="7" t="s">
        <v>6356</v>
      </c>
      <c r="G633" s="7" t="s">
        <v>7150</v>
      </c>
      <c r="H633" s="7" t="s">
        <v>7156</v>
      </c>
      <c r="I633" s="7"/>
      <c r="J633" s="10">
        <v>41124</v>
      </c>
      <c r="K633" s="7" t="s">
        <v>7163</v>
      </c>
      <c r="L633" s="7"/>
      <c r="M633" s="7"/>
    </row>
    <row r="634" spans="1:13" x14ac:dyDescent="0.3">
      <c r="A634" s="7">
        <v>13201</v>
      </c>
      <c r="B634" s="7" t="s">
        <v>642</v>
      </c>
      <c r="C634" s="7" t="s">
        <v>6457</v>
      </c>
      <c r="D634" s="7" t="s">
        <v>6295</v>
      </c>
      <c r="E634" s="7" t="s">
        <v>6295</v>
      </c>
      <c r="F634" s="7" t="s">
        <v>6336</v>
      </c>
      <c r="G634" s="7" t="s">
        <v>7150</v>
      </c>
      <c r="H634" s="7" t="s">
        <v>7156</v>
      </c>
      <c r="I634" s="7"/>
      <c r="J634" s="10">
        <v>44319</v>
      </c>
      <c r="K634" s="7" t="s">
        <v>7163</v>
      </c>
      <c r="L634" s="7"/>
      <c r="M634" s="7"/>
    </row>
    <row r="635" spans="1:13" x14ac:dyDescent="0.3">
      <c r="A635" s="7">
        <v>18756</v>
      </c>
      <c r="B635" s="7" t="s">
        <v>643</v>
      </c>
      <c r="C635" s="7" t="s">
        <v>6457</v>
      </c>
      <c r="D635" s="7" t="s">
        <v>6295</v>
      </c>
      <c r="E635" s="7" t="s">
        <v>6295</v>
      </c>
      <c r="F635" s="7" t="s">
        <v>6335</v>
      </c>
      <c r="G635" s="7" t="s">
        <v>7150</v>
      </c>
      <c r="H635" s="7" t="s">
        <v>7156</v>
      </c>
      <c r="I635" s="7"/>
      <c r="J635" s="10">
        <v>46202</v>
      </c>
      <c r="K635" s="7" t="s">
        <v>7163</v>
      </c>
      <c r="L635" s="7"/>
      <c r="M635" s="7"/>
    </row>
    <row r="636" spans="1:13" x14ac:dyDescent="0.3">
      <c r="A636" s="7">
        <v>17771</v>
      </c>
      <c r="B636" s="7" t="s">
        <v>644</v>
      </c>
      <c r="C636" s="7" t="s">
        <v>6456</v>
      </c>
      <c r="D636" s="7" t="s">
        <v>6295</v>
      </c>
      <c r="E636" s="7" t="s">
        <v>6295</v>
      </c>
      <c r="F636" s="7" t="s">
        <v>6335</v>
      </c>
      <c r="G636" s="7" t="s">
        <v>7150</v>
      </c>
      <c r="H636" s="7" t="s">
        <v>7156</v>
      </c>
      <c r="I636" s="7"/>
      <c r="J636" s="10">
        <v>45867</v>
      </c>
      <c r="K636" s="7" t="s">
        <v>7163</v>
      </c>
      <c r="L636" s="7"/>
      <c r="M636" s="7"/>
    </row>
    <row r="637" spans="1:13" x14ac:dyDescent="0.3">
      <c r="A637" s="7">
        <v>15984</v>
      </c>
      <c r="B637" s="7" t="s">
        <v>645</v>
      </c>
      <c r="C637" s="7" t="s">
        <v>6456</v>
      </c>
      <c r="D637" s="7" t="s">
        <v>6295</v>
      </c>
      <c r="E637" s="7" t="s">
        <v>6295</v>
      </c>
      <c r="F637" s="7" t="s">
        <v>6335</v>
      </c>
      <c r="G637" s="7" t="s">
        <v>7150</v>
      </c>
      <c r="H637" s="7" t="s">
        <v>7156</v>
      </c>
      <c r="I637" s="7"/>
      <c r="J637" s="10">
        <v>45257</v>
      </c>
      <c r="K637" s="7" t="s">
        <v>7163</v>
      </c>
      <c r="L637" s="7"/>
      <c r="M637" s="7"/>
    </row>
    <row r="638" spans="1:13" x14ac:dyDescent="0.3">
      <c r="A638" s="7">
        <v>10118</v>
      </c>
      <c r="B638" s="7" t="s">
        <v>646</v>
      </c>
      <c r="C638" s="7" t="s">
        <v>6456</v>
      </c>
      <c r="D638" s="7" t="s">
        <v>6295</v>
      </c>
      <c r="E638" s="7" t="s">
        <v>6295</v>
      </c>
      <c r="F638" s="7" t="s">
        <v>6458</v>
      </c>
      <c r="G638" s="7" t="s">
        <v>7150</v>
      </c>
      <c r="H638" s="7" t="s">
        <v>7156</v>
      </c>
      <c r="I638" s="7"/>
      <c r="J638" s="10">
        <v>38460</v>
      </c>
      <c r="K638" s="7" t="s">
        <v>7163</v>
      </c>
      <c r="L638" s="7"/>
      <c r="M638" s="7"/>
    </row>
    <row r="639" spans="1:13" x14ac:dyDescent="0.3">
      <c r="A639" s="7">
        <v>18741</v>
      </c>
      <c r="B639" s="7" t="s">
        <v>647</v>
      </c>
      <c r="C639" s="7" t="s">
        <v>6456</v>
      </c>
      <c r="D639" s="7" t="s">
        <v>6459</v>
      </c>
      <c r="E639" s="7" t="s">
        <v>6295</v>
      </c>
      <c r="F639" s="7" t="s">
        <v>6338</v>
      </c>
      <c r="G639" s="7" t="s">
        <v>7150</v>
      </c>
      <c r="H639" s="7" t="s">
        <v>7156</v>
      </c>
      <c r="I639" s="7"/>
      <c r="J639" s="10">
        <v>46204</v>
      </c>
      <c r="K639" s="7" t="s">
        <v>7163</v>
      </c>
      <c r="L639" s="7"/>
      <c r="M639" s="7"/>
    </row>
    <row r="640" spans="1:13" x14ac:dyDescent="0.3">
      <c r="A640" s="7">
        <v>10576</v>
      </c>
      <c r="B640" s="7" t="s">
        <v>648</v>
      </c>
      <c r="C640" s="7" t="s">
        <v>6456</v>
      </c>
      <c r="D640" s="7" t="s">
        <v>6459</v>
      </c>
      <c r="E640" s="7" t="s">
        <v>6295</v>
      </c>
      <c r="F640" s="7" t="s">
        <v>6335</v>
      </c>
      <c r="G640" s="7" t="s">
        <v>7150</v>
      </c>
      <c r="H640" s="7" t="s">
        <v>7156</v>
      </c>
      <c r="I640" s="7"/>
      <c r="J640" s="10">
        <v>41337</v>
      </c>
      <c r="K640" s="7" t="s">
        <v>7163</v>
      </c>
      <c r="L640" s="7"/>
      <c r="M640" s="7"/>
    </row>
    <row r="641" spans="1:13" x14ac:dyDescent="0.3">
      <c r="A641" s="7">
        <v>19097</v>
      </c>
      <c r="B641" s="7" t="s">
        <v>649</v>
      </c>
      <c r="C641" s="7" t="s">
        <v>6456</v>
      </c>
      <c r="D641" s="7" t="s">
        <v>6459</v>
      </c>
      <c r="E641" s="7" t="s">
        <v>6295</v>
      </c>
      <c r="F641" s="7" t="s">
        <v>6335</v>
      </c>
      <c r="G641" s="7" t="s">
        <v>7150</v>
      </c>
      <c r="H641" s="7" t="s">
        <v>7156</v>
      </c>
      <c r="I641" s="7" t="s">
        <v>7159</v>
      </c>
      <c r="J641" s="10">
        <v>46266</v>
      </c>
      <c r="K641" s="7" t="s">
        <v>7163</v>
      </c>
      <c r="L641" s="7"/>
      <c r="M641" s="7"/>
    </row>
    <row r="642" spans="1:13" x14ac:dyDescent="0.3">
      <c r="A642" s="7">
        <v>10709</v>
      </c>
      <c r="B642" s="7" t="s">
        <v>650</v>
      </c>
      <c r="C642" s="7" t="s">
        <v>6456</v>
      </c>
      <c r="D642" s="7" t="s">
        <v>6459</v>
      </c>
      <c r="E642" s="7" t="s">
        <v>6295</v>
      </c>
      <c r="F642" s="7" t="s">
        <v>6353</v>
      </c>
      <c r="G642" s="7" t="s">
        <v>7150</v>
      </c>
      <c r="H642" s="7" t="s">
        <v>7156</v>
      </c>
      <c r="I642" s="7"/>
      <c r="J642" s="10">
        <v>41694</v>
      </c>
      <c r="K642" s="7" t="s">
        <v>7163</v>
      </c>
      <c r="L642" s="7"/>
      <c r="M642" s="7"/>
    </row>
    <row r="643" spans="1:13" x14ac:dyDescent="0.3">
      <c r="A643" s="7">
        <v>10112</v>
      </c>
      <c r="B643" s="7" t="s">
        <v>651</v>
      </c>
      <c r="C643" s="7" t="s">
        <v>6456</v>
      </c>
      <c r="D643" s="7" t="s">
        <v>6459</v>
      </c>
      <c r="E643" s="7" t="s">
        <v>6295</v>
      </c>
      <c r="F643" s="7" t="s">
        <v>6353</v>
      </c>
      <c r="G643" s="7" t="s">
        <v>7150</v>
      </c>
      <c r="H643" s="7" t="s">
        <v>7156</v>
      </c>
      <c r="I643" s="7"/>
      <c r="J643" s="10">
        <v>36686</v>
      </c>
      <c r="K643" s="7" t="s">
        <v>7163</v>
      </c>
      <c r="L643" s="7"/>
      <c r="M643" s="7"/>
    </row>
    <row r="644" spans="1:13" x14ac:dyDescent="0.3">
      <c r="A644" s="7">
        <v>18731</v>
      </c>
      <c r="B644" s="7" t="s">
        <v>652</v>
      </c>
      <c r="C644" s="7" t="s">
        <v>6456</v>
      </c>
      <c r="D644" s="7" t="s">
        <v>6459</v>
      </c>
      <c r="E644" s="7" t="s">
        <v>6295</v>
      </c>
      <c r="F644" s="7" t="s">
        <v>6353</v>
      </c>
      <c r="G644" s="7" t="s">
        <v>7150</v>
      </c>
      <c r="H644" s="7" t="s">
        <v>7156</v>
      </c>
      <c r="I644" s="7" t="s">
        <v>7159</v>
      </c>
      <c r="J644" s="10">
        <v>46195</v>
      </c>
      <c r="K644" s="7" t="s">
        <v>7163</v>
      </c>
      <c r="L644" s="7"/>
      <c r="M644" s="7"/>
    </row>
    <row r="645" spans="1:13" x14ac:dyDescent="0.3">
      <c r="A645" s="7">
        <v>19098</v>
      </c>
      <c r="B645" s="7" t="s">
        <v>653</v>
      </c>
      <c r="C645" s="7" t="s">
        <v>6456</v>
      </c>
      <c r="D645" s="7" t="s">
        <v>6459</v>
      </c>
      <c r="E645" s="7" t="s">
        <v>6295</v>
      </c>
      <c r="F645" s="7" t="s">
        <v>6460</v>
      </c>
      <c r="G645" s="7" t="s">
        <v>7150</v>
      </c>
      <c r="H645" s="7" t="s">
        <v>7156</v>
      </c>
      <c r="I645" s="7" t="s">
        <v>7159</v>
      </c>
      <c r="J645" s="10">
        <v>46266</v>
      </c>
      <c r="K645" s="7" t="s">
        <v>7163</v>
      </c>
      <c r="L645" s="7"/>
      <c r="M645" s="7"/>
    </row>
    <row r="646" spans="1:13" x14ac:dyDescent="0.3">
      <c r="A646" s="7">
        <v>16919</v>
      </c>
      <c r="B646" s="7" t="s">
        <v>654</v>
      </c>
      <c r="C646" s="7" t="s">
        <v>6461</v>
      </c>
      <c r="D646" s="7" t="s">
        <v>6462</v>
      </c>
      <c r="E646" s="7" t="s">
        <v>6295</v>
      </c>
      <c r="F646" s="7" t="s">
        <v>6353</v>
      </c>
      <c r="G646" s="7" t="s">
        <v>7150</v>
      </c>
      <c r="H646" s="7" t="s">
        <v>7156</v>
      </c>
      <c r="I646" s="7"/>
      <c r="J646" s="10">
        <v>45566</v>
      </c>
      <c r="K646" s="7" t="s">
        <v>7163</v>
      </c>
      <c r="L646" s="7"/>
      <c r="M646" s="7"/>
    </row>
    <row r="647" spans="1:13" x14ac:dyDescent="0.3">
      <c r="A647" s="7">
        <v>10180</v>
      </c>
      <c r="B647" s="7" t="s">
        <v>655</v>
      </c>
      <c r="C647" s="7" t="s">
        <v>6461</v>
      </c>
      <c r="D647" s="7" t="s">
        <v>6462</v>
      </c>
      <c r="E647" s="7" t="s">
        <v>6295</v>
      </c>
      <c r="F647" s="7" t="s">
        <v>6353</v>
      </c>
      <c r="G647" s="7" t="s">
        <v>7150</v>
      </c>
      <c r="H647" s="7" t="s">
        <v>7156</v>
      </c>
      <c r="I647" s="7"/>
      <c r="J647" s="10">
        <v>36679</v>
      </c>
      <c r="K647" s="7" t="s">
        <v>7163</v>
      </c>
      <c r="L647" s="7"/>
      <c r="M647" s="7"/>
    </row>
    <row r="648" spans="1:13" x14ac:dyDescent="0.3">
      <c r="A648" s="7">
        <v>810007</v>
      </c>
      <c r="B648" s="7" t="s">
        <v>656</v>
      </c>
      <c r="C648" s="7" t="s">
        <v>6461</v>
      </c>
      <c r="D648" s="7" t="s">
        <v>6462</v>
      </c>
      <c r="E648" s="7" t="s">
        <v>6295</v>
      </c>
      <c r="F648" s="7" t="s">
        <v>6353</v>
      </c>
      <c r="G648" s="7" t="s">
        <v>7150</v>
      </c>
      <c r="H648" s="7" t="s">
        <v>7156</v>
      </c>
      <c r="I648" s="7"/>
      <c r="J648" s="10">
        <v>40191</v>
      </c>
      <c r="K648" s="7" t="s">
        <v>7163</v>
      </c>
      <c r="L648" s="7"/>
      <c r="M648" s="7"/>
    </row>
    <row r="649" spans="1:13" x14ac:dyDescent="0.3">
      <c r="A649" s="7">
        <v>160027</v>
      </c>
      <c r="B649" s="7" t="s">
        <v>657</v>
      </c>
      <c r="C649" s="7" t="s">
        <v>6456</v>
      </c>
      <c r="D649" s="7" t="s">
        <v>6459</v>
      </c>
      <c r="E649" s="7" t="s">
        <v>6295</v>
      </c>
      <c r="F649" s="7" t="s">
        <v>6353</v>
      </c>
      <c r="G649" s="7" t="s">
        <v>7150</v>
      </c>
      <c r="H649" s="7" t="s">
        <v>7156</v>
      </c>
      <c r="I649" s="7"/>
      <c r="J649" s="10">
        <v>41913</v>
      </c>
      <c r="K649" s="7" t="s">
        <v>7163</v>
      </c>
      <c r="L649" s="7"/>
      <c r="M649" s="7"/>
    </row>
    <row r="650" spans="1:13" x14ac:dyDescent="0.3">
      <c r="A650" s="7">
        <v>17484</v>
      </c>
      <c r="B650" s="7" t="s">
        <v>658</v>
      </c>
      <c r="C650" s="7" t="s">
        <v>6456</v>
      </c>
      <c r="D650" s="7" t="s">
        <v>6459</v>
      </c>
      <c r="E650" s="7" t="s">
        <v>6295</v>
      </c>
      <c r="F650" s="7" t="s">
        <v>6340</v>
      </c>
      <c r="G650" s="7" t="s">
        <v>7150</v>
      </c>
      <c r="H650" s="7" t="s">
        <v>7156</v>
      </c>
      <c r="I650" s="7"/>
      <c r="J650" s="10">
        <v>45778</v>
      </c>
      <c r="K650" s="7" t="s">
        <v>7163</v>
      </c>
      <c r="L650" s="7"/>
      <c r="M650" s="7"/>
    </row>
    <row r="651" spans="1:13" x14ac:dyDescent="0.3">
      <c r="A651" s="7">
        <v>17955</v>
      </c>
      <c r="B651" s="7" t="s">
        <v>659</v>
      </c>
      <c r="C651" s="7" t="s">
        <v>6456</v>
      </c>
      <c r="D651" s="7" t="s">
        <v>6459</v>
      </c>
      <c r="E651" s="7" t="s">
        <v>6295</v>
      </c>
      <c r="F651" s="7" t="s">
        <v>6340</v>
      </c>
      <c r="G651" s="7" t="s">
        <v>7150</v>
      </c>
      <c r="H651" s="7" t="s">
        <v>7156</v>
      </c>
      <c r="I651" s="7"/>
      <c r="J651" s="10">
        <v>45937</v>
      </c>
      <c r="K651" s="7" t="s">
        <v>7163</v>
      </c>
      <c r="L651" s="7"/>
      <c r="M651" s="7"/>
    </row>
    <row r="652" spans="1:13" x14ac:dyDescent="0.3">
      <c r="A652" s="7">
        <v>18314</v>
      </c>
      <c r="B652" s="7" t="s">
        <v>660</v>
      </c>
      <c r="C652" s="7" t="s">
        <v>6456</v>
      </c>
      <c r="D652" s="7" t="s">
        <v>6459</v>
      </c>
      <c r="E652" s="7" t="s">
        <v>6295</v>
      </c>
      <c r="F652" s="7" t="s">
        <v>6341</v>
      </c>
      <c r="G652" s="7" t="s">
        <v>7150</v>
      </c>
      <c r="H652" s="7" t="s">
        <v>7156</v>
      </c>
      <c r="I652" s="7"/>
      <c r="J652" s="10">
        <v>46092</v>
      </c>
      <c r="K652" s="7" t="s">
        <v>7163</v>
      </c>
      <c r="L652" s="7"/>
      <c r="M652" s="7"/>
    </row>
    <row r="653" spans="1:13" x14ac:dyDescent="0.3">
      <c r="A653" s="7">
        <v>18786</v>
      </c>
      <c r="B653" s="7" t="s">
        <v>661</v>
      </c>
      <c r="C653" s="7" t="s">
        <v>6456</v>
      </c>
      <c r="D653" s="7" t="s">
        <v>6459</v>
      </c>
      <c r="E653" s="7" t="s">
        <v>6295</v>
      </c>
      <c r="F653" s="7" t="s">
        <v>6341</v>
      </c>
      <c r="G653" s="7" t="s">
        <v>7150</v>
      </c>
      <c r="H653" s="7" t="s">
        <v>7156</v>
      </c>
      <c r="I653" s="7" t="s">
        <v>7162</v>
      </c>
      <c r="J653" s="10">
        <v>46206</v>
      </c>
      <c r="K653" s="7" t="s">
        <v>7163</v>
      </c>
      <c r="L653" s="7"/>
      <c r="M653" s="7"/>
    </row>
    <row r="654" spans="1:13" x14ac:dyDescent="0.3">
      <c r="A654" s="7">
        <v>19247</v>
      </c>
      <c r="B654" s="7" t="s">
        <v>662</v>
      </c>
      <c r="C654" s="7" t="s">
        <v>6456</v>
      </c>
      <c r="D654" s="7" t="s">
        <v>6459</v>
      </c>
      <c r="E654" s="7" t="s">
        <v>6295</v>
      </c>
      <c r="F654" s="7" t="s">
        <v>6341</v>
      </c>
      <c r="G654" s="7" t="s">
        <v>7150</v>
      </c>
      <c r="H654" s="7" t="s">
        <v>7156</v>
      </c>
      <c r="I654" s="7"/>
      <c r="J654" s="10">
        <v>46287</v>
      </c>
      <c r="K654" s="7" t="s">
        <v>7163</v>
      </c>
      <c r="L654" s="7"/>
      <c r="M654" s="7"/>
    </row>
    <row r="655" spans="1:13" x14ac:dyDescent="0.3">
      <c r="A655" s="7">
        <v>10504</v>
      </c>
      <c r="B655" s="7" t="s">
        <v>663</v>
      </c>
      <c r="C655" s="7" t="s">
        <v>6456</v>
      </c>
      <c r="D655" s="7" t="s">
        <v>6463</v>
      </c>
      <c r="E655" s="7" t="s">
        <v>6295</v>
      </c>
      <c r="F655" s="7" t="s">
        <v>6338</v>
      </c>
      <c r="G655" s="7" t="s">
        <v>7150</v>
      </c>
      <c r="H655" s="7" t="s">
        <v>7156</v>
      </c>
      <c r="I655" s="7"/>
      <c r="J655" s="10">
        <v>40924</v>
      </c>
      <c r="K655" s="7" t="s">
        <v>7163</v>
      </c>
      <c r="L655" s="7"/>
      <c r="M655" s="7"/>
    </row>
    <row r="656" spans="1:13" x14ac:dyDescent="0.3">
      <c r="A656" s="7">
        <v>11544</v>
      </c>
      <c r="B656" s="7" t="s">
        <v>664</v>
      </c>
      <c r="C656" s="7" t="s">
        <v>6456</v>
      </c>
      <c r="D656" s="7" t="s">
        <v>6463</v>
      </c>
      <c r="E656" s="7" t="s">
        <v>6295</v>
      </c>
      <c r="F656" s="7" t="s">
        <v>6335</v>
      </c>
      <c r="G656" s="7" t="s">
        <v>7150</v>
      </c>
      <c r="H656" s="7" t="s">
        <v>7156</v>
      </c>
      <c r="I656" s="7"/>
      <c r="J656" s="10">
        <v>42821</v>
      </c>
      <c r="K656" s="7" t="s">
        <v>7163</v>
      </c>
      <c r="L656" s="7"/>
      <c r="M656" s="7"/>
    </row>
    <row r="657" spans="1:13" x14ac:dyDescent="0.3">
      <c r="A657" s="7">
        <v>10107</v>
      </c>
      <c r="B657" s="7" t="s">
        <v>665</v>
      </c>
      <c r="C657" s="7" t="s">
        <v>6456</v>
      </c>
      <c r="D657" s="7" t="s">
        <v>6463</v>
      </c>
      <c r="E657" s="7" t="s">
        <v>6295</v>
      </c>
      <c r="F657" s="7" t="s">
        <v>6353</v>
      </c>
      <c r="G657" s="7" t="s">
        <v>7150</v>
      </c>
      <c r="H657" s="7" t="s">
        <v>7156</v>
      </c>
      <c r="I657" s="7"/>
      <c r="J657" s="10">
        <v>38414</v>
      </c>
      <c r="K657" s="7" t="s">
        <v>7163</v>
      </c>
      <c r="L657" s="7"/>
      <c r="M657" s="7"/>
    </row>
    <row r="658" spans="1:13" x14ac:dyDescent="0.3">
      <c r="A658" s="7">
        <v>14948</v>
      </c>
      <c r="B658" s="7" t="s">
        <v>666</v>
      </c>
      <c r="C658" s="7" t="s">
        <v>6456</v>
      </c>
      <c r="D658" s="7" t="s">
        <v>6463</v>
      </c>
      <c r="E658" s="7" t="s">
        <v>6295</v>
      </c>
      <c r="F658" s="7" t="s">
        <v>6353</v>
      </c>
      <c r="G658" s="7" t="s">
        <v>7150</v>
      </c>
      <c r="H658" s="7" t="s">
        <v>7156</v>
      </c>
      <c r="I658" s="7"/>
      <c r="J658" s="10">
        <v>44897</v>
      </c>
      <c r="K658" s="7" t="s">
        <v>7163</v>
      </c>
      <c r="L658" s="7"/>
      <c r="M658" s="7"/>
    </row>
    <row r="659" spans="1:13" x14ac:dyDescent="0.3">
      <c r="A659" s="7">
        <v>14877</v>
      </c>
      <c r="B659" s="7" t="s">
        <v>667</v>
      </c>
      <c r="C659" s="7" t="s">
        <v>6456</v>
      </c>
      <c r="D659" s="7" t="s">
        <v>6463</v>
      </c>
      <c r="E659" s="7" t="s">
        <v>6295</v>
      </c>
      <c r="F659" s="7" t="s">
        <v>6353</v>
      </c>
      <c r="G659" s="7" t="s">
        <v>7150</v>
      </c>
      <c r="H659" s="7" t="s">
        <v>7156</v>
      </c>
      <c r="I659" s="7"/>
      <c r="J659" s="10">
        <v>44886</v>
      </c>
      <c r="K659" s="7" t="s">
        <v>7163</v>
      </c>
      <c r="L659" s="7"/>
      <c r="M659" s="7"/>
    </row>
    <row r="660" spans="1:13" x14ac:dyDescent="0.3">
      <c r="A660" s="7">
        <v>15133</v>
      </c>
      <c r="B660" s="7" t="s">
        <v>668</v>
      </c>
      <c r="C660" s="7" t="s">
        <v>6456</v>
      </c>
      <c r="D660" s="7" t="s">
        <v>6463</v>
      </c>
      <c r="E660" s="7" t="s">
        <v>6295</v>
      </c>
      <c r="F660" s="7" t="s">
        <v>6340</v>
      </c>
      <c r="G660" s="7" t="s">
        <v>7150</v>
      </c>
      <c r="H660" s="7" t="s">
        <v>7156</v>
      </c>
      <c r="I660" s="7"/>
      <c r="J660" s="10">
        <v>44963</v>
      </c>
      <c r="K660" s="7" t="s">
        <v>7163</v>
      </c>
      <c r="L660" s="7"/>
      <c r="M660" s="7"/>
    </row>
    <row r="661" spans="1:13" x14ac:dyDescent="0.3">
      <c r="A661" s="7">
        <v>16589</v>
      </c>
      <c r="B661" s="7" t="s">
        <v>669</v>
      </c>
      <c r="C661" s="7" t="s">
        <v>6456</v>
      </c>
      <c r="D661" s="7" t="s">
        <v>6463</v>
      </c>
      <c r="E661" s="7" t="s">
        <v>6295</v>
      </c>
      <c r="F661" s="7" t="s">
        <v>6340</v>
      </c>
      <c r="G661" s="7" t="s">
        <v>7150</v>
      </c>
      <c r="H661" s="7" t="s">
        <v>7156</v>
      </c>
      <c r="I661" s="7"/>
      <c r="J661" s="10">
        <v>45490</v>
      </c>
      <c r="K661" s="7" t="s">
        <v>7163</v>
      </c>
      <c r="L661" s="7"/>
      <c r="M661" s="7"/>
    </row>
    <row r="662" spans="1:13" x14ac:dyDescent="0.3">
      <c r="A662" s="7">
        <v>15275</v>
      </c>
      <c r="B662" s="7" t="s">
        <v>670</v>
      </c>
      <c r="C662" s="7" t="s">
        <v>6457</v>
      </c>
      <c r="D662" s="7" t="s">
        <v>6464</v>
      </c>
      <c r="E662" s="7" t="s">
        <v>6295</v>
      </c>
      <c r="F662" s="7" t="s">
        <v>6338</v>
      </c>
      <c r="G662" s="7" t="s">
        <v>7150</v>
      </c>
      <c r="H662" s="7" t="s">
        <v>7156</v>
      </c>
      <c r="I662" s="7"/>
      <c r="J662" s="10">
        <v>45013</v>
      </c>
      <c r="K662" s="7" t="s">
        <v>7163</v>
      </c>
      <c r="L662" s="7"/>
      <c r="M662" s="7"/>
    </row>
    <row r="663" spans="1:13" x14ac:dyDescent="0.3">
      <c r="A663" s="7">
        <v>12167</v>
      </c>
      <c r="B663" s="7" t="s">
        <v>671</v>
      </c>
      <c r="C663" s="7" t="s">
        <v>6457</v>
      </c>
      <c r="D663" s="7" t="s">
        <v>6465</v>
      </c>
      <c r="E663" s="7" t="s">
        <v>6295</v>
      </c>
      <c r="F663" s="7" t="s">
        <v>6335</v>
      </c>
      <c r="G663" s="7" t="s">
        <v>7151</v>
      </c>
      <c r="H663" s="7" t="s">
        <v>7156</v>
      </c>
      <c r="I663" s="7"/>
      <c r="J663" s="10">
        <v>43536</v>
      </c>
      <c r="K663" s="7" t="s">
        <v>7163</v>
      </c>
      <c r="L663" s="7"/>
      <c r="M663" s="7"/>
    </row>
    <row r="664" spans="1:13" x14ac:dyDescent="0.3">
      <c r="A664" s="7">
        <v>13488</v>
      </c>
      <c r="B664" s="7" t="s">
        <v>672</v>
      </c>
      <c r="C664" s="7" t="s">
        <v>6457</v>
      </c>
      <c r="D664" s="7" t="s">
        <v>6464</v>
      </c>
      <c r="E664" s="7" t="s">
        <v>6295</v>
      </c>
      <c r="F664" s="7" t="s">
        <v>6335</v>
      </c>
      <c r="G664" s="7" t="s">
        <v>7150</v>
      </c>
      <c r="H664" s="7" t="s">
        <v>7156</v>
      </c>
      <c r="I664" s="7"/>
      <c r="J664" s="10">
        <v>44475</v>
      </c>
      <c r="K664" s="7" t="s">
        <v>7163</v>
      </c>
      <c r="L664" s="7"/>
      <c r="M664" s="7"/>
    </row>
    <row r="665" spans="1:13" x14ac:dyDescent="0.3">
      <c r="A665" s="7">
        <v>11280</v>
      </c>
      <c r="B665" s="7" t="s">
        <v>673</v>
      </c>
      <c r="C665" s="7" t="s">
        <v>6457</v>
      </c>
      <c r="D665" s="7" t="s">
        <v>6465</v>
      </c>
      <c r="E665" s="7" t="s">
        <v>6295</v>
      </c>
      <c r="F665" s="7" t="s">
        <v>6335</v>
      </c>
      <c r="G665" s="7" t="s">
        <v>7150</v>
      </c>
      <c r="H665" s="7" t="s">
        <v>7156</v>
      </c>
      <c r="I665" s="7"/>
      <c r="J665" s="10">
        <v>42485</v>
      </c>
      <c r="K665" s="7" t="s">
        <v>7163</v>
      </c>
      <c r="L665" s="7"/>
      <c r="M665" s="7"/>
    </row>
    <row r="666" spans="1:13" x14ac:dyDescent="0.3">
      <c r="A666" s="7">
        <v>13808</v>
      </c>
      <c r="B666" s="7" t="s">
        <v>674</v>
      </c>
      <c r="C666" s="7" t="s">
        <v>6457</v>
      </c>
      <c r="D666" s="7" t="s">
        <v>6466</v>
      </c>
      <c r="E666" s="7" t="s">
        <v>6295</v>
      </c>
      <c r="F666" s="7" t="s">
        <v>6353</v>
      </c>
      <c r="G666" s="7" t="s">
        <v>7150</v>
      </c>
      <c r="H666" s="7" t="s">
        <v>7156</v>
      </c>
      <c r="I666" s="7"/>
      <c r="J666" s="10">
        <v>44586</v>
      </c>
      <c r="K666" s="7" t="s">
        <v>7163</v>
      </c>
      <c r="L666" s="7"/>
      <c r="M666" s="7"/>
    </row>
    <row r="667" spans="1:13" x14ac:dyDescent="0.3">
      <c r="A667" s="7">
        <v>11179</v>
      </c>
      <c r="B667" s="7" t="s">
        <v>675</v>
      </c>
      <c r="C667" s="7" t="s">
        <v>6457</v>
      </c>
      <c r="D667" s="7" t="s">
        <v>6465</v>
      </c>
      <c r="E667" s="7" t="s">
        <v>6295</v>
      </c>
      <c r="F667" s="7" t="s">
        <v>6353</v>
      </c>
      <c r="G667" s="7" t="s">
        <v>7151</v>
      </c>
      <c r="H667" s="7" t="s">
        <v>7156</v>
      </c>
      <c r="I667" s="7"/>
      <c r="J667" s="10">
        <v>42360</v>
      </c>
      <c r="K667" s="7" t="s">
        <v>7163</v>
      </c>
      <c r="L667" s="7"/>
      <c r="M667" s="7"/>
    </row>
    <row r="668" spans="1:13" x14ac:dyDescent="0.3">
      <c r="A668" s="7">
        <v>300104</v>
      </c>
      <c r="B668" s="7" t="s">
        <v>676</v>
      </c>
      <c r="C668" s="7" t="s">
        <v>6457</v>
      </c>
      <c r="D668" s="7" t="s">
        <v>6466</v>
      </c>
      <c r="E668" s="7" t="s">
        <v>6295</v>
      </c>
      <c r="F668" s="7" t="s">
        <v>6340</v>
      </c>
      <c r="G668" s="7" t="s">
        <v>7151</v>
      </c>
      <c r="H668" s="7" t="s">
        <v>7156</v>
      </c>
      <c r="I668" s="7"/>
      <c r="J668" s="10">
        <v>43035</v>
      </c>
      <c r="K668" s="7" t="s">
        <v>7163</v>
      </c>
      <c r="L668" s="7"/>
      <c r="M668" s="7"/>
    </row>
    <row r="669" spans="1:13" x14ac:dyDescent="0.3">
      <c r="A669" s="7">
        <v>18125</v>
      </c>
      <c r="B669" s="7" t="s">
        <v>677</v>
      </c>
      <c r="C669" s="7" t="s">
        <v>6457</v>
      </c>
      <c r="D669" s="7" t="s">
        <v>6466</v>
      </c>
      <c r="E669" s="7" t="s">
        <v>6295</v>
      </c>
      <c r="F669" s="7" t="s">
        <v>6467</v>
      </c>
      <c r="G669" s="7" t="s">
        <v>7150</v>
      </c>
      <c r="H669" s="7" t="s">
        <v>7157</v>
      </c>
      <c r="I669" s="7"/>
      <c r="J669" s="10">
        <v>46006</v>
      </c>
      <c r="K669" s="7" t="s">
        <v>7163</v>
      </c>
      <c r="L669" s="7"/>
      <c r="M669" s="7"/>
    </row>
    <row r="670" spans="1:13" x14ac:dyDescent="0.3">
      <c r="A670" s="7">
        <v>16949</v>
      </c>
      <c r="B670" s="7" t="s">
        <v>678</v>
      </c>
      <c r="C670" s="7" t="s">
        <v>6457</v>
      </c>
      <c r="D670" s="7" t="s">
        <v>6466</v>
      </c>
      <c r="E670" s="7" t="s">
        <v>6295</v>
      </c>
      <c r="F670" s="7" t="s">
        <v>6353</v>
      </c>
      <c r="G670" s="7" t="s">
        <v>7150</v>
      </c>
      <c r="H670" s="7" t="s">
        <v>7156</v>
      </c>
      <c r="I670" s="7"/>
      <c r="J670" s="10">
        <v>45574</v>
      </c>
      <c r="K670" s="7" t="s">
        <v>7163</v>
      </c>
      <c r="L670" s="7"/>
      <c r="M670" s="7"/>
    </row>
    <row r="671" spans="1:13" x14ac:dyDescent="0.3">
      <c r="A671" s="7">
        <v>18917</v>
      </c>
      <c r="B671" s="7" t="s">
        <v>679</v>
      </c>
      <c r="C671" s="7" t="s">
        <v>6457</v>
      </c>
      <c r="D671" s="7" t="s">
        <v>6466</v>
      </c>
      <c r="E671" s="7" t="s">
        <v>6295</v>
      </c>
      <c r="F671" s="7" t="s">
        <v>6353</v>
      </c>
      <c r="G671" s="7" t="s">
        <v>7150</v>
      </c>
      <c r="H671" s="7" t="s">
        <v>7156</v>
      </c>
      <c r="I671" s="7"/>
      <c r="J671" s="10">
        <v>46237</v>
      </c>
      <c r="K671" s="7" t="s">
        <v>7163</v>
      </c>
      <c r="L671" s="7"/>
      <c r="M671" s="7"/>
    </row>
    <row r="672" spans="1:13" x14ac:dyDescent="0.3">
      <c r="A672" s="7">
        <v>16770</v>
      </c>
      <c r="B672" s="7" t="s">
        <v>680</v>
      </c>
      <c r="C672" s="7" t="s">
        <v>6457</v>
      </c>
      <c r="D672" s="7" t="s">
        <v>6464</v>
      </c>
      <c r="E672" s="7" t="s">
        <v>6295</v>
      </c>
      <c r="F672" s="7" t="s">
        <v>6340</v>
      </c>
      <c r="G672" s="7" t="s">
        <v>7150</v>
      </c>
      <c r="H672" s="7" t="s">
        <v>7156</v>
      </c>
      <c r="I672" s="7"/>
      <c r="J672" s="10">
        <v>45553</v>
      </c>
      <c r="K672" s="7" t="s">
        <v>7163</v>
      </c>
      <c r="L672" s="7"/>
      <c r="M672" s="7"/>
    </row>
    <row r="673" spans="1:13" x14ac:dyDescent="0.3">
      <c r="A673" s="7">
        <v>17037</v>
      </c>
      <c r="B673" s="7" t="s">
        <v>681</v>
      </c>
      <c r="C673" s="7" t="s">
        <v>6457</v>
      </c>
      <c r="D673" s="7" t="s">
        <v>6464</v>
      </c>
      <c r="E673" s="7" t="s">
        <v>6295</v>
      </c>
      <c r="F673" s="7" t="s">
        <v>6340</v>
      </c>
      <c r="G673" s="7" t="s">
        <v>7150</v>
      </c>
      <c r="H673" s="7" t="s">
        <v>7156</v>
      </c>
      <c r="I673" s="7"/>
      <c r="J673" s="10">
        <v>45610</v>
      </c>
      <c r="K673" s="7" t="s">
        <v>7163</v>
      </c>
      <c r="L673" s="7"/>
      <c r="M673" s="7"/>
    </row>
    <row r="674" spans="1:13" x14ac:dyDescent="0.3">
      <c r="A674" s="7">
        <v>11987</v>
      </c>
      <c r="B674" s="7" t="s">
        <v>682</v>
      </c>
      <c r="C674" s="7" t="s">
        <v>6456</v>
      </c>
      <c r="D674" s="7" t="s">
        <v>6468</v>
      </c>
      <c r="E674" s="7" t="s">
        <v>6295</v>
      </c>
      <c r="F674" s="7" t="s">
        <v>6338</v>
      </c>
      <c r="G674" s="7" t="s">
        <v>7150</v>
      </c>
      <c r="H674" s="7" t="s">
        <v>7156</v>
      </c>
      <c r="I674" s="7"/>
      <c r="J674" s="10">
        <v>43362</v>
      </c>
      <c r="K674" s="7" t="s">
        <v>7163</v>
      </c>
      <c r="L674" s="7"/>
      <c r="M674" s="7"/>
    </row>
    <row r="675" spans="1:13" x14ac:dyDescent="0.3">
      <c r="A675" s="7">
        <v>12639</v>
      </c>
      <c r="B675" s="7" t="s">
        <v>683</v>
      </c>
      <c r="C675" s="7" t="s">
        <v>6456</v>
      </c>
      <c r="D675" s="7" t="s">
        <v>6468</v>
      </c>
      <c r="E675" s="7" t="s">
        <v>6295</v>
      </c>
      <c r="F675" s="7" t="s">
        <v>6353</v>
      </c>
      <c r="G675" s="7" t="s">
        <v>7150</v>
      </c>
      <c r="H675" s="7" t="s">
        <v>7156</v>
      </c>
      <c r="I675" s="7"/>
      <c r="J675" s="10">
        <v>43846</v>
      </c>
      <c r="K675" s="7" t="s">
        <v>7163</v>
      </c>
      <c r="L675" s="7"/>
      <c r="M675" s="7"/>
    </row>
    <row r="676" spans="1:13" x14ac:dyDescent="0.3">
      <c r="A676" s="7">
        <v>14666</v>
      </c>
      <c r="B676" s="7" t="s">
        <v>684</v>
      </c>
      <c r="C676" s="7" t="s">
        <v>6456</v>
      </c>
      <c r="D676" s="7" t="s">
        <v>6468</v>
      </c>
      <c r="E676" s="7" t="s">
        <v>6295</v>
      </c>
      <c r="F676" s="7" t="s">
        <v>6340</v>
      </c>
      <c r="G676" s="7" t="s">
        <v>7150</v>
      </c>
      <c r="H676" s="7" t="s">
        <v>7156</v>
      </c>
      <c r="I676" s="7"/>
      <c r="J676" s="10">
        <v>44823</v>
      </c>
      <c r="K676" s="7" t="s">
        <v>7163</v>
      </c>
      <c r="L676" s="7"/>
      <c r="M676" s="7"/>
    </row>
    <row r="677" spans="1:13" x14ac:dyDescent="0.3">
      <c r="A677" s="7">
        <v>15240</v>
      </c>
      <c r="B677" s="7" t="s">
        <v>685</v>
      </c>
      <c r="C677" s="7" t="s">
        <v>6456</v>
      </c>
      <c r="D677" s="7" t="s">
        <v>6468</v>
      </c>
      <c r="E677" s="7" t="s">
        <v>6295</v>
      </c>
      <c r="F677" s="7" t="s">
        <v>6340</v>
      </c>
      <c r="G677" s="7" t="s">
        <v>7150</v>
      </c>
      <c r="H677" s="7" t="s">
        <v>7156</v>
      </c>
      <c r="I677" s="7"/>
      <c r="J677" s="10">
        <v>44998</v>
      </c>
      <c r="K677" s="7" t="s">
        <v>7163</v>
      </c>
      <c r="L677" s="7"/>
      <c r="M677" s="7"/>
    </row>
    <row r="678" spans="1:13" x14ac:dyDescent="0.3">
      <c r="A678" s="7">
        <v>16512</v>
      </c>
      <c r="B678" s="7" t="s">
        <v>686</v>
      </c>
      <c r="C678" s="7" t="s">
        <v>6456</v>
      </c>
      <c r="D678" s="7" t="s">
        <v>6468</v>
      </c>
      <c r="E678" s="7" t="s">
        <v>6295</v>
      </c>
      <c r="F678" s="7" t="s">
        <v>6340</v>
      </c>
      <c r="G678" s="7" t="s">
        <v>7152</v>
      </c>
      <c r="H678" s="7" t="s">
        <v>7156</v>
      </c>
      <c r="I678" s="7"/>
      <c r="J678" s="10">
        <v>45453</v>
      </c>
      <c r="K678" s="7" t="s">
        <v>7163</v>
      </c>
      <c r="L678" s="7"/>
      <c r="M678" s="7"/>
    </row>
    <row r="679" spans="1:13" x14ac:dyDescent="0.3">
      <c r="A679" s="7">
        <v>300239</v>
      </c>
      <c r="B679" s="7" t="s">
        <v>687</v>
      </c>
      <c r="C679" s="7" t="s">
        <v>6456</v>
      </c>
      <c r="D679" s="7" t="s">
        <v>6468</v>
      </c>
      <c r="E679" s="7" t="s">
        <v>6295</v>
      </c>
      <c r="F679" s="7" t="s">
        <v>6340</v>
      </c>
      <c r="G679" s="7" t="s">
        <v>7150</v>
      </c>
      <c r="H679" s="7" t="s">
        <v>7156</v>
      </c>
      <c r="I679" s="7"/>
      <c r="J679" s="10">
        <v>44501</v>
      </c>
      <c r="K679" s="7" t="s">
        <v>7163</v>
      </c>
      <c r="L679" s="7"/>
      <c r="M679" s="7"/>
    </row>
    <row r="680" spans="1:13" x14ac:dyDescent="0.3">
      <c r="A680" s="7">
        <v>12589</v>
      </c>
      <c r="B680" s="7" t="s">
        <v>688</v>
      </c>
      <c r="C680" s="7" t="s">
        <v>6456</v>
      </c>
      <c r="D680" s="7" t="s">
        <v>6469</v>
      </c>
      <c r="E680" s="7" t="s">
        <v>6295</v>
      </c>
      <c r="F680" s="7" t="s">
        <v>6338</v>
      </c>
      <c r="G680" s="7" t="s">
        <v>7150</v>
      </c>
      <c r="H680" s="7" t="s">
        <v>7156</v>
      </c>
      <c r="I680" s="7"/>
      <c r="J680" s="10">
        <v>43819</v>
      </c>
      <c r="K680" s="7" t="s">
        <v>7163</v>
      </c>
      <c r="L680" s="7"/>
      <c r="M680" s="7"/>
    </row>
    <row r="681" spans="1:13" x14ac:dyDescent="0.3">
      <c r="A681" s="7">
        <v>20029</v>
      </c>
      <c r="B681" s="7" t="s">
        <v>689</v>
      </c>
      <c r="C681" s="7" t="s">
        <v>6456</v>
      </c>
      <c r="D681" s="7" t="s">
        <v>6469</v>
      </c>
      <c r="E681" s="7" t="s">
        <v>6295</v>
      </c>
      <c r="F681" s="7" t="s">
        <v>6335</v>
      </c>
      <c r="G681" s="7" t="s">
        <v>7150</v>
      </c>
      <c r="H681" s="7" t="s">
        <v>7156</v>
      </c>
      <c r="I681" s="7"/>
      <c r="J681" s="10">
        <v>40066</v>
      </c>
      <c r="K681" s="7" t="s">
        <v>7163</v>
      </c>
      <c r="L681" s="7"/>
      <c r="M681" s="7"/>
    </row>
    <row r="682" spans="1:13" x14ac:dyDescent="0.3">
      <c r="A682" s="7">
        <v>18956</v>
      </c>
      <c r="B682" s="7" t="s">
        <v>690</v>
      </c>
      <c r="C682" s="7" t="s">
        <v>6456</v>
      </c>
      <c r="D682" s="7" t="s">
        <v>6469</v>
      </c>
      <c r="E682" s="7" t="s">
        <v>6295</v>
      </c>
      <c r="F682" s="7" t="s">
        <v>6353</v>
      </c>
      <c r="G682" s="7" t="s">
        <v>7150</v>
      </c>
      <c r="H682" s="7" t="s">
        <v>7156</v>
      </c>
      <c r="I682" s="7"/>
      <c r="J682" s="10">
        <v>46248</v>
      </c>
      <c r="K682" s="7" t="s">
        <v>7163</v>
      </c>
      <c r="L682" s="7"/>
      <c r="M682" s="7"/>
    </row>
    <row r="683" spans="1:13" x14ac:dyDescent="0.3">
      <c r="A683" s="7">
        <v>11323</v>
      </c>
      <c r="B683" s="7" t="s">
        <v>691</v>
      </c>
      <c r="C683" s="7" t="s">
        <v>6295</v>
      </c>
      <c r="D683" s="7" t="s">
        <v>6470</v>
      </c>
      <c r="E683" s="7" t="s">
        <v>6295</v>
      </c>
      <c r="F683" s="7" t="s">
        <v>6335</v>
      </c>
      <c r="G683" s="7" t="s">
        <v>7150</v>
      </c>
      <c r="H683" s="7" t="s">
        <v>7156</v>
      </c>
      <c r="I683" s="7"/>
      <c r="J683" s="10">
        <v>42529</v>
      </c>
      <c r="K683" s="7" t="s">
        <v>7163</v>
      </c>
      <c r="L683" s="7"/>
      <c r="M683" s="7"/>
    </row>
    <row r="684" spans="1:13" x14ac:dyDescent="0.3">
      <c r="A684" s="7">
        <v>680002</v>
      </c>
      <c r="B684" s="7" t="s">
        <v>692</v>
      </c>
      <c r="C684" s="7" t="s">
        <v>6295</v>
      </c>
      <c r="D684" s="7" t="s">
        <v>6470</v>
      </c>
      <c r="E684" s="7" t="s">
        <v>6295</v>
      </c>
      <c r="F684" s="7" t="s">
        <v>6353</v>
      </c>
      <c r="G684" s="7" t="s">
        <v>7150</v>
      </c>
      <c r="H684" s="7" t="s">
        <v>7156</v>
      </c>
      <c r="I684" s="7"/>
      <c r="J684" s="10">
        <v>36710</v>
      </c>
      <c r="K684" s="7" t="s">
        <v>7163</v>
      </c>
      <c r="L684" s="7"/>
      <c r="M684" s="7"/>
    </row>
    <row r="685" spans="1:13" x14ac:dyDescent="0.3">
      <c r="A685" s="7">
        <v>220003</v>
      </c>
      <c r="B685" s="7" t="s">
        <v>693</v>
      </c>
      <c r="C685" s="7" t="s">
        <v>6461</v>
      </c>
      <c r="D685" s="7" t="s">
        <v>6462</v>
      </c>
      <c r="E685" s="7" t="s">
        <v>6295</v>
      </c>
      <c r="F685" s="7" t="s">
        <v>6353</v>
      </c>
      <c r="G685" s="7" t="s">
        <v>7150</v>
      </c>
      <c r="H685" s="7" t="s">
        <v>7156</v>
      </c>
      <c r="I685" s="7"/>
      <c r="J685" s="10">
        <v>36689</v>
      </c>
      <c r="K685" s="7" t="s">
        <v>7163</v>
      </c>
      <c r="L685" s="7"/>
      <c r="M685" s="7"/>
    </row>
    <row r="686" spans="1:13" x14ac:dyDescent="0.3">
      <c r="A686" s="7">
        <v>10189</v>
      </c>
      <c r="B686" s="7" t="s">
        <v>694</v>
      </c>
      <c r="C686" s="7" t="s">
        <v>6295</v>
      </c>
      <c r="D686" s="7" t="s">
        <v>6470</v>
      </c>
      <c r="E686" s="7" t="s">
        <v>6295</v>
      </c>
      <c r="F686" s="7" t="s">
        <v>6353</v>
      </c>
      <c r="G686" s="7" t="s">
        <v>7150</v>
      </c>
      <c r="H686" s="7" t="s">
        <v>7156</v>
      </c>
      <c r="I686" s="7"/>
      <c r="J686" s="10">
        <v>37844</v>
      </c>
      <c r="K686" s="7" t="s">
        <v>7163</v>
      </c>
      <c r="L686" s="7"/>
      <c r="M686" s="7"/>
    </row>
    <row r="687" spans="1:13" x14ac:dyDescent="0.3">
      <c r="A687" s="7">
        <v>230005</v>
      </c>
      <c r="B687" s="7" t="s">
        <v>695</v>
      </c>
      <c r="C687" s="7" t="s">
        <v>6295</v>
      </c>
      <c r="D687" s="7" t="s">
        <v>6470</v>
      </c>
      <c r="E687" s="7" t="s">
        <v>6295</v>
      </c>
      <c r="F687" s="7" t="s">
        <v>6340</v>
      </c>
      <c r="G687" s="7" t="s">
        <v>7150</v>
      </c>
      <c r="H687" s="7" t="s">
        <v>7156</v>
      </c>
      <c r="I687" s="7"/>
      <c r="J687" s="10">
        <v>39366</v>
      </c>
      <c r="K687" s="7" t="s">
        <v>7163</v>
      </c>
      <c r="L687" s="7"/>
      <c r="M687" s="7"/>
    </row>
    <row r="688" spans="1:13" x14ac:dyDescent="0.3">
      <c r="A688" s="7">
        <v>14836</v>
      </c>
      <c r="B688" s="7" t="s">
        <v>696</v>
      </c>
      <c r="C688" s="7" t="s">
        <v>6471</v>
      </c>
      <c r="D688" s="7" t="s">
        <v>6472</v>
      </c>
      <c r="E688" s="7" t="s">
        <v>6295</v>
      </c>
      <c r="F688" s="7" t="s">
        <v>6353</v>
      </c>
      <c r="G688" s="7" t="s">
        <v>7150</v>
      </c>
      <c r="H688" s="7" t="s">
        <v>7156</v>
      </c>
      <c r="I688" s="7"/>
      <c r="J688" s="10">
        <v>44870</v>
      </c>
      <c r="K688" s="7" t="s">
        <v>7163</v>
      </c>
      <c r="L688" s="7"/>
      <c r="M688" s="7"/>
    </row>
    <row r="689" spans="1:13" x14ac:dyDescent="0.3">
      <c r="A689" s="7">
        <v>300253</v>
      </c>
      <c r="B689" s="7" t="s">
        <v>697</v>
      </c>
      <c r="C689" s="7" t="s">
        <v>6461</v>
      </c>
      <c r="D689" s="7" t="s">
        <v>6462</v>
      </c>
      <c r="E689" s="7" t="s">
        <v>6295</v>
      </c>
      <c r="F689" s="7" t="s">
        <v>6341</v>
      </c>
      <c r="G689" s="7" t="s">
        <v>7150</v>
      </c>
      <c r="H689" s="7" t="s">
        <v>7156</v>
      </c>
      <c r="I689" s="7"/>
      <c r="J689" s="10">
        <v>44603</v>
      </c>
      <c r="K689" s="7" t="s">
        <v>7163</v>
      </c>
      <c r="L689" s="7"/>
      <c r="M689" s="7"/>
    </row>
    <row r="690" spans="1:13" x14ac:dyDescent="0.3">
      <c r="A690" s="7">
        <v>16964</v>
      </c>
      <c r="B690" s="7" t="s">
        <v>698</v>
      </c>
      <c r="C690" s="7" t="s">
        <v>6456</v>
      </c>
      <c r="D690" s="7" t="s">
        <v>6469</v>
      </c>
      <c r="E690" s="7" t="s">
        <v>6295</v>
      </c>
      <c r="F690" s="7" t="s">
        <v>6340</v>
      </c>
      <c r="G690" s="7" t="s">
        <v>7150</v>
      </c>
      <c r="H690" s="7" t="s">
        <v>7156</v>
      </c>
      <c r="I690" s="7"/>
      <c r="J690" s="10">
        <v>45579</v>
      </c>
      <c r="K690" s="7" t="s">
        <v>7163</v>
      </c>
      <c r="L690" s="7"/>
      <c r="M690" s="7"/>
    </row>
    <row r="691" spans="1:13" x14ac:dyDescent="0.3">
      <c r="A691" s="7">
        <v>18301</v>
      </c>
      <c r="B691" s="7" t="s">
        <v>699</v>
      </c>
      <c r="C691" s="7" t="s">
        <v>6456</v>
      </c>
      <c r="D691" s="7" t="s">
        <v>6469</v>
      </c>
      <c r="E691" s="7" t="s">
        <v>6295</v>
      </c>
      <c r="F691" s="7" t="s">
        <v>6341</v>
      </c>
      <c r="G691" s="7" t="s">
        <v>7150</v>
      </c>
      <c r="H691" s="7" t="s">
        <v>7156</v>
      </c>
      <c r="I691" s="7"/>
      <c r="J691" s="10">
        <v>46083</v>
      </c>
      <c r="K691" s="7" t="s">
        <v>7163</v>
      </c>
      <c r="L691" s="7"/>
      <c r="M691" s="7"/>
    </row>
    <row r="692" spans="1:13" x14ac:dyDescent="0.3">
      <c r="A692" s="7">
        <v>17073</v>
      </c>
      <c r="B692" s="7" t="s">
        <v>700</v>
      </c>
      <c r="C692" s="7" t="s">
        <v>6456</v>
      </c>
      <c r="D692" s="7" t="s">
        <v>6469</v>
      </c>
      <c r="E692" s="7" t="s">
        <v>6295</v>
      </c>
      <c r="F692" s="7" t="s">
        <v>6340</v>
      </c>
      <c r="G692" s="7" t="s">
        <v>7150</v>
      </c>
      <c r="H692" s="7" t="s">
        <v>7156</v>
      </c>
      <c r="I692" s="7"/>
      <c r="J692" s="10">
        <v>45621</v>
      </c>
      <c r="K692" s="7" t="s">
        <v>7163</v>
      </c>
      <c r="L692" s="7"/>
      <c r="M692" s="7"/>
    </row>
    <row r="693" spans="1:13" x14ac:dyDescent="0.3">
      <c r="A693" s="7">
        <v>17752</v>
      </c>
      <c r="B693" s="7" t="s">
        <v>701</v>
      </c>
      <c r="C693" s="7" t="s">
        <v>6456</v>
      </c>
      <c r="D693" s="7" t="s">
        <v>6469</v>
      </c>
      <c r="E693" s="7" t="s">
        <v>6295</v>
      </c>
      <c r="F693" s="7" t="s">
        <v>6341</v>
      </c>
      <c r="G693" s="7" t="s">
        <v>7150</v>
      </c>
      <c r="H693" s="7" t="s">
        <v>7156</v>
      </c>
      <c r="I693" s="7"/>
      <c r="J693" s="10">
        <v>45874</v>
      </c>
      <c r="K693" s="7" t="s">
        <v>7163</v>
      </c>
      <c r="L693" s="7"/>
      <c r="M693" s="7"/>
    </row>
    <row r="694" spans="1:13" x14ac:dyDescent="0.3">
      <c r="A694" s="7">
        <v>10631</v>
      </c>
      <c r="B694" s="7" t="s">
        <v>702</v>
      </c>
      <c r="C694" s="7" t="s">
        <v>6473</v>
      </c>
      <c r="D694" s="7" t="s">
        <v>6295</v>
      </c>
      <c r="E694" s="7" t="s">
        <v>6295</v>
      </c>
      <c r="F694" s="7" t="s">
        <v>6356</v>
      </c>
      <c r="G694" s="7" t="s">
        <v>7150</v>
      </c>
      <c r="H694" s="7" t="s">
        <v>7156</v>
      </c>
      <c r="I694" s="7"/>
      <c r="J694" s="10">
        <v>41548</v>
      </c>
      <c r="K694" s="7" t="s">
        <v>7163</v>
      </c>
      <c r="L694" s="7"/>
      <c r="M694" s="7"/>
    </row>
    <row r="695" spans="1:13" x14ac:dyDescent="0.3">
      <c r="A695" s="7">
        <v>18164</v>
      </c>
      <c r="B695" s="7" t="s">
        <v>703</v>
      </c>
      <c r="C695" s="7" t="s">
        <v>6471</v>
      </c>
      <c r="D695" s="7" t="s">
        <v>6474</v>
      </c>
      <c r="E695" s="7" t="s">
        <v>6295</v>
      </c>
      <c r="F695" s="7" t="s">
        <v>6338</v>
      </c>
      <c r="G695" s="7" t="s">
        <v>7150</v>
      </c>
      <c r="H695" s="7" t="s">
        <v>7156</v>
      </c>
      <c r="I695" s="7"/>
      <c r="J695" s="10">
        <v>46028</v>
      </c>
      <c r="K695" s="7" t="s">
        <v>7163</v>
      </c>
      <c r="L695" s="7"/>
      <c r="M695" s="7"/>
    </row>
    <row r="696" spans="1:13" x14ac:dyDescent="0.3">
      <c r="A696" s="7">
        <v>15684</v>
      </c>
      <c r="B696" s="7" t="s">
        <v>704</v>
      </c>
      <c r="C696" s="7" t="s">
        <v>6471</v>
      </c>
      <c r="D696" s="7" t="s">
        <v>6474</v>
      </c>
      <c r="E696" s="7" t="s">
        <v>6295</v>
      </c>
      <c r="F696" s="7" t="s">
        <v>6340</v>
      </c>
      <c r="G696" s="7" t="s">
        <v>7150</v>
      </c>
      <c r="H696" s="7" t="s">
        <v>7156</v>
      </c>
      <c r="I696" s="7"/>
      <c r="J696" s="10">
        <v>45163</v>
      </c>
      <c r="K696" s="7" t="s">
        <v>7163</v>
      </c>
      <c r="L696" s="7"/>
      <c r="M696" s="7"/>
    </row>
    <row r="697" spans="1:13" x14ac:dyDescent="0.3">
      <c r="A697" s="7">
        <v>15424</v>
      </c>
      <c r="B697" s="7" t="s">
        <v>705</v>
      </c>
      <c r="C697" s="7" t="s">
        <v>6471</v>
      </c>
      <c r="D697" s="7" t="s">
        <v>6474</v>
      </c>
      <c r="E697" s="7" t="s">
        <v>6295</v>
      </c>
      <c r="F697" s="7" t="s">
        <v>6353</v>
      </c>
      <c r="G697" s="7" t="s">
        <v>7150</v>
      </c>
      <c r="H697" s="7" t="s">
        <v>7156</v>
      </c>
      <c r="I697" s="7"/>
      <c r="J697" s="10">
        <v>45068</v>
      </c>
      <c r="K697" s="7" t="s">
        <v>7163</v>
      </c>
      <c r="L697" s="7"/>
      <c r="M697" s="7"/>
    </row>
    <row r="698" spans="1:13" x14ac:dyDescent="0.3">
      <c r="A698" s="7">
        <v>19190</v>
      </c>
      <c r="B698" s="7" t="s">
        <v>706</v>
      </c>
      <c r="C698" s="7" t="s">
        <v>6471</v>
      </c>
      <c r="D698" s="7" t="s">
        <v>6474</v>
      </c>
      <c r="E698" s="7" t="s">
        <v>6295</v>
      </c>
      <c r="F698" s="7" t="s">
        <v>6341</v>
      </c>
      <c r="G698" s="7" t="s">
        <v>7150</v>
      </c>
      <c r="H698" s="7" t="s">
        <v>7156</v>
      </c>
      <c r="I698" s="7"/>
      <c r="J698" s="10">
        <v>46280</v>
      </c>
      <c r="K698" s="7" t="s">
        <v>7163</v>
      </c>
      <c r="L698" s="7"/>
      <c r="M698" s="7"/>
    </row>
    <row r="699" spans="1:13" x14ac:dyDescent="0.3">
      <c r="A699" s="7">
        <v>10646</v>
      </c>
      <c r="B699" s="7" t="s">
        <v>707</v>
      </c>
      <c r="C699" s="7" t="s">
        <v>6471</v>
      </c>
      <c r="D699" s="7" t="s">
        <v>6295</v>
      </c>
      <c r="E699" s="7" t="s">
        <v>6295</v>
      </c>
      <c r="F699" s="7" t="s">
        <v>6336</v>
      </c>
      <c r="G699" s="7" t="s">
        <v>7150</v>
      </c>
      <c r="H699" s="7" t="s">
        <v>7156</v>
      </c>
      <c r="I699" s="7"/>
      <c r="J699" s="10">
        <v>41579</v>
      </c>
      <c r="K699" s="7" t="s">
        <v>7163</v>
      </c>
      <c r="L699" s="7"/>
      <c r="M699" s="7"/>
    </row>
    <row r="700" spans="1:13" x14ac:dyDescent="0.3">
      <c r="A700" s="7">
        <v>10109</v>
      </c>
      <c r="B700" s="7" t="s">
        <v>708</v>
      </c>
      <c r="C700" s="7" t="s">
        <v>6471</v>
      </c>
      <c r="D700" s="7" t="s">
        <v>6472</v>
      </c>
      <c r="E700" s="7" t="s">
        <v>6295</v>
      </c>
      <c r="F700" s="7" t="s">
        <v>6335</v>
      </c>
      <c r="G700" s="7" t="s">
        <v>7150</v>
      </c>
      <c r="H700" s="7" t="s">
        <v>7156</v>
      </c>
      <c r="I700" s="7"/>
      <c r="J700" s="10">
        <v>38002</v>
      </c>
      <c r="K700" s="7" t="s">
        <v>7163</v>
      </c>
      <c r="L700" s="7"/>
      <c r="M700" s="7"/>
    </row>
    <row r="701" spans="1:13" x14ac:dyDescent="0.3">
      <c r="A701" s="7">
        <v>13114</v>
      </c>
      <c r="B701" s="7" t="s">
        <v>709</v>
      </c>
      <c r="C701" s="7" t="s">
        <v>6471</v>
      </c>
      <c r="D701" s="7" t="s">
        <v>6472</v>
      </c>
      <c r="E701" s="7" t="s">
        <v>6295</v>
      </c>
      <c r="F701" s="7" t="s">
        <v>6335</v>
      </c>
      <c r="G701" s="7" t="s">
        <v>7150</v>
      </c>
      <c r="H701" s="7" t="s">
        <v>7156</v>
      </c>
      <c r="I701" s="7"/>
      <c r="J701" s="10">
        <v>44260</v>
      </c>
      <c r="K701" s="7" t="s">
        <v>7163</v>
      </c>
      <c r="L701" s="7"/>
      <c r="M701" s="7"/>
    </row>
    <row r="702" spans="1:13" x14ac:dyDescent="0.3">
      <c r="A702" s="7">
        <v>12114</v>
      </c>
      <c r="B702" s="7" t="s">
        <v>710</v>
      </c>
      <c r="C702" s="7" t="s">
        <v>6471</v>
      </c>
      <c r="D702" s="7" t="s">
        <v>6472</v>
      </c>
      <c r="E702" s="7" t="s">
        <v>6295</v>
      </c>
      <c r="F702" s="7" t="s">
        <v>6335</v>
      </c>
      <c r="G702" s="7" t="s">
        <v>7150</v>
      </c>
      <c r="H702" s="7" t="s">
        <v>7156</v>
      </c>
      <c r="I702" s="7"/>
      <c r="J702" s="10">
        <v>43482</v>
      </c>
      <c r="K702" s="7" t="s">
        <v>7163</v>
      </c>
      <c r="L702" s="7"/>
      <c r="M702" s="7"/>
    </row>
    <row r="703" spans="1:13" x14ac:dyDescent="0.3">
      <c r="A703" s="7">
        <v>12747</v>
      </c>
      <c r="B703" s="7" t="s">
        <v>711</v>
      </c>
      <c r="C703" s="7" t="s">
        <v>6471</v>
      </c>
      <c r="D703" s="7" t="s">
        <v>6472</v>
      </c>
      <c r="E703" s="7" t="s">
        <v>6295</v>
      </c>
      <c r="F703" s="7" t="s">
        <v>6353</v>
      </c>
      <c r="G703" s="7" t="s">
        <v>7150</v>
      </c>
      <c r="H703" s="7" t="s">
        <v>7156</v>
      </c>
      <c r="I703" s="7"/>
      <c r="J703" s="10">
        <v>43892</v>
      </c>
      <c r="K703" s="7" t="s">
        <v>7163</v>
      </c>
      <c r="L703" s="7"/>
      <c r="M703" s="7"/>
    </row>
    <row r="704" spans="1:13" x14ac:dyDescent="0.3">
      <c r="A704" s="7">
        <v>13454</v>
      </c>
      <c r="B704" s="7" t="s">
        <v>712</v>
      </c>
      <c r="C704" s="7" t="s">
        <v>6471</v>
      </c>
      <c r="D704" s="7" t="s">
        <v>6472</v>
      </c>
      <c r="E704" s="7" t="s">
        <v>6295</v>
      </c>
      <c r="F704" s="7" t="s">
        <v>6353</v>
      </c>
      <c r="G704" s="7" t="s">
        <v>7150</v>
      </c>
      <c r="H704" s="7" t="s">
        <v>7156</v>
      </c>
      <c r="I704" s="7"/>
      <c r="J704" s="10">
        <v>44462</v>
      </c>
      <c r="K704" s="7" t="s">
        <v>7163</v>
      </c>
      <c r="L704" s="7"/>
      <c r="M704" s="7"/>
    </row>
    <row r="705" spans="1:13" x14ac:dyDescent="0.3">
      <c r="A705" s="7">
        <v>14464</v>
      </c>
      <c r="B705" s="7" t="s">
        <v>713</v>
      </c>
      <c r="C705" s="7" t="s">
        <v>6473</v>
      </c>
      <c r="D705" s="7" t="s">
        <v>6475</v>
      </c>
      <c r="E705" s="7" t="s">
        <v>6295</v>
      </c>
      <c r="F705" s="7" t="s">
        <v>6335</v>
      </c>
      <c r="G705" s="7" t="s">
        <v>7150</v>
      </c>
      <c r="H705" s="7" t="s">
        <v>7156</v>
      </c>
      <c r="I705" s="7"/>
      <c r="J705" s="10">
        <v>44767</v>
      </c>
      <c r="K705" s="7" t="s">
        <v>7163</v>
      </c>
      <c r="L705" s="7"/>
      <c r="M705" s="7"/>
    </row>
    <row r="706" spans="1:13" x14ac:dyDescent="0.3">
      <c r="A706" s="7">
        <v>14446</v>
      </c>
      <c r="B706" s="7" t="s">
        <v>714</v>
      </c>
      <c r="C706" s="7" t="s">
        <v>6471</v>
      </c>
      <c r="D706" s="7" t="s">
        <v>6472</v>
      </c>
      <c r="E706" s="7" t="s">
        <v>6295</v>
      </c>
      <c r="F706" s="7" t="s">
        <v>6353</v>
      </c>
      <c r="G706" s="7" t="s">
        <v>7150</v>
      </c>
      <c r="H706" s="7" t="s">
        <v>7156</v>
      </c>
      <c r="I706" s="7"/>
      <c r="J706" s="10">
        <v>44762</v>
      </c>
      <c r="K706" s="7" t="s">
        <v>7163</v>
      </c>
      <c r="L706" s="7"/>
      <c r="M706" s="7"/>
    </row>
    <row r="707" spans="1:13" x14ac:dyDescent="0.3">
      <c r="A707" s="7">
        <v>17825</v>
      </c>
      <c r="B707" s="7" t="s">
        <v>715</v>
      </c>
      <c r="C707" s="7" t="s">
        <v>6471</v>
      </c>
      <c r="D707" s="7" t="s">
        <v>6472</v>
      </c>
      <c r="E707" s="7" t="s">
        <v>6295</v>
      </c>
      <c r="F707" s="7" t="s">
        <v>6353</v>
      </c>
      <c r="G707" s="7" t="s">
        <v>7150</v>
      </c>
      <c r="H707" s="7" t="s">
        <v>7156</v>
      </c>
      <c r="I707" s="7"/>
      <c r="J707" s="10">
        <v>45884</v>
      </c>
      <c r="K707" s="7" t="s">
        <v>7163</v>
      </c>
      <c r="L707" s="7"/>
      <c r="M707" s="7"/>
    </row>
    <row r="708" spans="1:13" x14ac:dyDescent="0.3">
      <c r="A708" s="7">
        <v>15578</v>
      </c>
      <c r="B708" s="7" t="s">
        <v>716</v>
      </c>
      <c r="C708" s="7" t="s">
        <v>6471</v>
      </c>
      <c r="D708" s="7" t="s">
        <v>6472</v>
      </c>
      <c r="E708" s="7" t="s">
        <v>6295</v>
      </c>
      <c r="F708" s="7" t="s">
        <v>6340</v>
      </c>
      <c r="G708" s="7" t="s">
        <v>7150</v>
      </c>
      <c r="H708" s="7" t="s">
        <v>7156</v>
      </c>
      <c r="I708" s="7"/>
      <c r="J708" s="10">
        <v>45128</v>
      </c>
      <c r="K708" s="7" t="s">
        <v>7163</v>
      </c>
      <c r="L708" s="7"/>
      <c r="M708" s="7"/>
    </row>
    <row r="709" spans="1:13" x14ac:dyDescent="0.3">
      <c r="A709" s="7">
        <v>160055</v>
      </c>
      <c r="B709" s="7" t="s">
        <v>717</v>
      </c>
      <c r="C709" s="7" t="s">
        <v>6471</v>
      </c>
      <c r="D709" s="7" t="s">
        <v>6472</v>
      </c>
      <c r="E709" s="7" t="s">
        <v>6295</v>
      </c>
      <c r="F709" s="7" t="s">
        <v>6340</v>
      </c>
      <c r="G709" s="7" t="s">
        <v>7150</v>
      </c>
      <c r="H709" s="7" t="s">
        <v>7156</v>
      </c>
      <c r="I709" s="7"/>
      <c r="J709" s="10">
        <v>44384</v>
      </c>
      <c r="K709" s="7" t="s">
        <v>7163</v>
      </c>
      <c r="L709" s="7"/>
      <c r="M709" s="7"/>
    </row>
    <row r="710" spans="1:13" x14ac:dyDescent="0.3">
      <c r="A710" s="7">
        <v>17690</v>
      </c>
      <c r="B710" s="7" t="s">
        <v>718</v>
      </c>
      <c r="C710" s="7" t="s">
        <v>6471</v>
      </c>
      <c r="D710" s="7" t="s">
        <v>6472</v>
      </c>
      <c r="E710" s="7" t="s">
        <v>6295</v>
      </c>
      <c r="F710" s="7" t="s">
        <v>6341</v>
      </c>
      <c r="G710" s="7" t="s">
        <v>7150</v>
      </c>
      <c r="H710" s="7" t="s">
        <v>7156</v>
      </c>
      <c r="I710" s="7"/>
      <c r="J710" s="10">
        <v>45842</v>
      </c>
      <c r="K710" s="7" t="s">
        <v>7163</v>
      </c>
      <c r="L710" s="7"/>
      <c r="M710" s="7"/>
    </row>
    <row r="711" spans="1:13" x14ac:dyDescent="0.3">
      <c r="A711" s="7">
        <v>12308</v>
      </c>
      <c r="B711" s="7" t="s">
        <v>719</v>
      </c>
      <c r="C711" s="7" t="s">
        <v>6471</v>
      </c>
      <c r="D711" s="7" t="s">
        <v>6476</v>
      </c>
      <c r="E711" s="7" t="s">
        <v>6295</v>
      </c>
      <c r="F711" s="7" t="s">
        <v>6338</v>
      </c>
      <c r="G711" s="7" t="s">
        <v>7150</v>
      </c>
      <c r="H711" s="7" t="s">
        <v>7156</v>
      </c>
      <c r="I711" s="7"/>
      <c r="J711" s="10">
        <v>43672</v>
      </c>
      <c r="K711" s="7" t="s">
        <v>7163</v>
      </c>
      <c r="L711" s="7"/>
      <c r="M711" s="7"/>
    </row>
    <row r="712" spans="1:13" x14ac:dyDescent="0.3">
      <c r="A712" s="7">
        <v>17747</v>
      </c>
      <c r="B712" s="7" t="s">
        <v>720</v>
      </c>
      <c r="C712" s="7" t="s">
        <v>6471</v>
      </c>
      <c r="D712" s="7" t="s">
        <v>6476</v>
      </c>
      <c r="E712" s="7" t="s">
        <v>6295</v>
      </c>
      <c r="F712" s="7" t="s">
        <v>6353</v>
      </c>
      <c r="G712" s="7" t="s">
        <v>7150</v>
      </c>
      <c r="H712" s="7" t="s">
        <v>7156</v>
      </c>
      <c r="I712" s="7"/>
      <c r="J712" s="10">
        <v>45870</v>
      </c>
      <c r="K712" s="7" t="s">
        <v>7163</v>
      </c>
      <c r="L712" s="7"/>
      <c r="M712" s="7"/>
    </row>
    <row r="713" spans="1:13" x14ac:dyDescent="0.3">
      <c r="A713" s="7">
        <v>11326</v>
      </c>
      <c r="B713" s="7" t="s">
        <v>721</v>
      </c>
      <c r="C713" s="7" t="s">
        <v>6471</v>
      </c>
      <c r="D713" s="7" t="s">
        <v>6476</v>
      </c>
      <c r="E713" s="7" t="s">
        <v>6295</v>
      </c>
      <c r="F713" s="7" t="s">
        <v>6353</v>
      </c>
      <c r="G713" s="7" t="s">
        <v>7150</v>
      </c>
      <c r="H713" s="7" t="s">
        <v>7156</v>
      </c>
      <c r="I713" s="7"/>
      <c r="J713" s="10">
        <v>42534</v>
      </c>
      <c r="K713" s="7" t="s">
        <v>7163</v>
      </c>
      <c r="L713" s="7"/>
      <c r="M713" s="7"/>
    </row>
    <row r="714" spans="1:13" x14ac:dyDescent="0.3">
      <c r="A714" s="7">
        <v>15606</v>
      </c>
      <c r="B714" s="7" t="s">
        <v>722</v>
      </c>
      <c r="C714" s="7" t="s">
        <v>6471</v>
      </c>
      <c r="D714" s="7" t="s">
        <v>6476</v>
      </c>
      <c r="E714" s="7" t="s">
        <v>6295</v>
      </c>
      <c r="F714" s="7" t="s">
        <v>6340</v>
      </c>
      <c r="G714" s="7" t="s">
        <v>7150</v>
      </c>
      <c r="H714" s="7" t="s">
        <v>7156</v>
      </c>
      <c r="I714" s="7"/>
      <c r="J714" s="10">
        <v>45139</v>
      </c>
      <c r="K714" s="7" t="s">
        <v>7163</v>
      </c>
      <c r="L714" s="7"/>
      <c r="M714" s="7"/>
    </row>
    <row r="715" spans="1:13" x14ac:dyDescent="0.3">
      <c r="A715" s="7">
        <v>16587</v>
      </c>
      <c r="B715" s="7" t="s">
        <v>723</v>
      </c>
      <c r="C715" s="7" t="s">
        <v>6471</v>
      </c>
      <c r="D715" s="7" t="s">
        <v>6476</v>
      </c>
      <c r="E715" s="7" t="s">
        <v>6295</v>
      </c>
      <c r="F715" s="7" t="s">
        <v>6340</v>
      </c>
      <c r="G715" s="7" t="s">
        <v>7150</v>
      </c>
      <c r="H715" s="7" t="s">
        <v>7156</v>
      </c>
      <c r="I715" s="7"/>
      <c r="J715" s="10">
        <v>45490</v>
      </c>
      <c r="K715" s="7" t="s">
        <v>7163</v>
      </c>
      <c r="L715" s="7"/>
      <c r="M715" s="7"/>
    </row>
    <row r="716" spans="1:13" x14ac:dyDescent="0.3">
      <c r="A716" s="7">
        <v>17194</v>
      </c>
      <c r="B716" s="7" t="s">
        <v>724</v>
      </c>
      <c r="C716" s="7" t="s">
        <v>6471</v>
      </c>
      <c r="D716" s="7" t="s">
        <v>6476</v>
      </c>
      <c r="E716" s="7" t="s">
        <v>6295</v>
      </c>
      <c r="F716" s="7" t="s">
        <v>6340</v>
      </c>
      <c r="G716" s="7" t="s">
        <v>7150</v>
      </c>
      <c r="H716" s="7" t="s">
        <v>7156</v>
      </c>
      <c r="I716" s="7"/>
      <c r="J716" s="10">
        <v>45663</v>
      </c>
      <c r="K716" s="7" t="s">
        <v>7163</v>
      </c>
      <c r="L716" s="7"/>
      <c r="M716" s="7"/>
    </row>
    <row r="717" spans="1:13" x14ac:dyDescent="0.3">
      <c r="A717" s="7">
        <v>17764</v>
      </c>
      <c r="B717" s="7" t="s">
        <v>725</v>
      </c>
      <c r="C717" s="7" t="s">
        <v>6471</v>
      </c>
      <c r="D717" s="7" t="s">
        <v>6476</v>
      </c>
      <c r="E717" s="7" t="s">
        <v>6295</v>
      </c>
      <c r="F717" s="7" t="s">
        <v>6341</v>
      </c>
      <c r="G717" s="7" t="s">
        <v>7150</v>
      </c>
      <c r="H717" s="7" t="s">
        <v>7156</v>
      </c>
      <c r="I717" s="7"/>
      <c r="J717" s="10">
        <v>45870</v>
      </c>
      <c r="K717" s="7" t="s">
        <v>7163</v>
      </c>
      <c r="L717" s="7"/>
      <c r="M717" s="7"/>
    </row>
    <row r="718" spans="1:13" x14ac:dyDescent="0.3">
      <c r="A718" s="7">
        <v>13211</v>
      </c>
      <c r="B718" s="7" t="s">
        <v>726</v>
      </c>
      <c r="C718" s="7" t="s">
        <v>6473</v>
      </c>
      <c r="D718" s="7" t="s">
        <v>6475</v>
      </c>
      <c r="E718" s="7" t="s">
        <v>6295</v>
      </c>
      <c r="F718" s="7" t="s">
        <v>6338</v>
      </c>
      <c r="G718" s="7" t="s">
        <v>7150</v>
      </c>
      <c r="H718" s="7" t="s">
        <v>7156</v>
      </c>
      <c r="I718" s="7"/>
      <c r="J718" s="10">
        <v>44322</v>
      </c>
      <c r="K718" s="7" t="s">
        <v>7163</v>
      </c>
      <c r="L718" s="7"/>
      <c r="M718" s="7"/>
    </row>
    <row r="719" spans="1:13" x14ac:dyDescent="0.3">
      <c r="A719" s="7">
        <v>16663</v>
      </c>
      <c r="B719" s="7" t="s">
        <v>727</v>
      </c>
      <c r="C719" s="7" t="s">
        <v>6473</v>
      </c>
      <c r="D719" s="7" t="s">
        <v>6475</v>
      </c>
      <c r="E719" s="7" t="s">
        <v>6295</v>
      </c>
      <c r="F719" s="7" t="s">
        <v>6340</v>
      </c>
      <c r="G719" s="7" t="s">
        <v>7150</v>
      </c>
      <c r="H719" s="7" t="s">
        <v>7156</v>
      </c>
      <c r="I719" s="7"/>
      <c r="J719" s="10">
        <v>45513</v>
      </c>
      <c r="K719" s="7" t="s">
        <v>7163</v>
      </c>
      <c r="L719" s="7"/>
      <c r="M719" s="7"/>
    </row>
    <row r="720" spans="1:13" x14ac:dyDescent="0.3">
      <c r="A720" s="7">
        <v>18520</v>
      </c>
      <c r="B720" s="7" t="s">
        <v>728</v>
      </c>
      <c r="C720" s="7" t="s">
        <v>6477</v>
      </c>
      <c r="D720" s="7" t="s">
        <v>6295</v>
      </c>
      <c r="E720" s="7" t="s">
        <v>6295</v>
      </c>
      <c r="F720" s="7" t="s">
        <v>6356</v>
      </c>
      <c r="G720" s="7" t="s">
        <v>7150</v>
      </c>
      <c r="H720" s="7" t="s">
        <v>7156</v>
      </c>
      <c r="I720" s="7" t="s">
        <v>7160</v>
      </c>
      <c r="J720" s="10">
        <v>46143</v>
      </c>
      <c r="K720" s="7" t="s">
        <v>7163</v>
      </c>
      <c r="L720" s="7"/>
      <c r="M720" s="7"/>
    </row>
    <row r="721" spans="1:13" x14ac:dyDescent="0.3">
      <c r="A721" s="7">
        <v>18512</v>
      </c>
      <c r="B721" s="7" t="s">
        <v>729</v>
      </c>
      <c r="C721" s="7" t="s">
        <v>6477</v>
      </c>
      <c r="D721" s="7" t="s">
        <v>6478</v>
      </c>
      <c r="E721" s="7" t="s">
        <v>6295</v>
      </c>
      <c r="F721" s="7" t="s">
        <v>6479</v>
      </c>
      <c r="G721" s="7" t="s">
        <v>7150</v>
      </c>
      <c r="H721" s="7" t="s">
        <v>7156</v>
      </c>
      <c r="I721" s="7" t="s">
        <v>7160</v>
      </c>
      <c r="J721" s="10">
        <v>46143</v>
      </c>
      <c r="K721" s="7" t="s">
        <v>7163</v>
      </c>
      <c r="L721" s="7"/>
      <c r="M721" s="7"/>
    </row>
    <row r="722" spans="1:13" x14ac:dyDescent="0.3">
      <c r="A722" s="7">
        <v>18521</v>
      </c>
      <c r="B722" s="7" t="s">
        <v>730</v>
      </c>
      <c r="C722" s="7" t="s">
        <v>6477</v>
      </c>
      <c r="D722" s="7" t="s">
        <v>6478</v>
      </c>
      <c r="E722" s="7" t="s">
        <v>6295</v>
      </c>
      <c r="F722" s="7" t="s">
        <v>6479</v>
      </c>
      <c r="G722" s="7" t="s">
        <v>7150</v>
      </c>
      <c r="H722" s="7" t="s">
        <v>7156</v>
      </c>
      <c r="I722" s="7" t="s">
        <v>7160</v>
      </c>
      <c r="J722" s="10">
        <v>46143</v>
      </c>
      <c r="K722" s="7" t="s">
        <v>7163</v>
      </c>
      <c r="L722" s="7"/>
      <c r="M722" s="7"/>
    </row>
    <row r="723" spans="1:13" x14ac:dyDescent="0.3">
      <c r="A723" s="7">
        <v>18513</v>
      </c>
      <c r="B723" s="7" t="s">
        <v>731</v>
      </c>
      <c r="C723" s="7" t="s">
        <v>6477</v>
      </c>
      <c r="D723" s="7" t="s">
        <v>6478</v>
      </c>
      <c r="E723" s="7" t="s">
        <v>6295</v>
      </c>
      <c r="F723" s="7" t="s">
        <v>6480</v>
      </c>
      <c r="G723" s="7" t="s">
        <v>7150</v>
      </c>
      <c r="H723" s="7" t="s">
        <v>7156</v>
      </c>
      <c r="I723" s="7" t="s">
        <v>7160</v>
      </c>
      <c r="J723" s="10">
        <v>46143</v>
      </c>
      <c r="K723" s="7" t="s">
        <v>7163</v>
      </c>
      <c r="L723" s="7"/>
      <c r="M723" s="7"/>
    </row>
    <row r="724" spans="1:13" x14ac:dyDescent="0.3">
      <c r="A724" s="7">
        <v>18516</v>
      </c>
      <c r="B724" s="7" t="s">
        <v>732</v>
      </c>
      <c r="C724" s="7" t="s">
        <v>6477</v>
      </c>
      <c r="D724" s="7" t="s">
        <v>6481</v>
      </c>
      <c r="E724" s="7" t="s">
        <v>6295</v>
      </c>
      <c r="F724" s="7" t="s">
        <v>6335</v>
      </c>
      <c r="G724" s="7" t="s">
        <v>7150</v>
      </c>
      <c r="H724" s="7" t="s">
        <v>7156</v>
      </c>
      <c r="I724" s="7" t="s">
        <v>7160</v>
      </c>
      <c r="J724" s="10">
        <v>46143</v>
      </c>
      <c r="K724" s="7" t="s">
        <v>7163</v>
      </c>
      <c r="L724" s="7"/>
      <c r="M724" s="7"/>
    </row>
    <row r="725" spans="1:13" x14ac:dyDescent="0.3">
      <c r="A725" s="7">
        <v>18519</v>
      </c>
      <c r="B725" s="7" t="s">
        <v>733</v>
      </c>
      <c r="C725" s="7" t="s">
        <v>6477</v>
      </c>
      <c r="D725" s="7" t="s">
        <v>6481</v>
      </c>
      <c r="E725" s="7" t="s">
        <v>6295</v>
      </c>
      <c r="F725" s="7" t="s">
        <v>6482</v>
      </c>
      <c r="G725" s="7" t="s">
        <v>7150</v>
      </c>
      <c r="H725" s="7" t="s">
        <v>7156</v>
      </c>
      <c r="I725" s="7" t="s">
        <v>7159</v>
      </c>
      <c r="J725" s="10">
        <v>46143</v>
      </c>
      <c r="K725" s="7" t="s">
        <v>7163</v>
      </c>
      <c r="L725" s="7"/>
      <c r="M725" s="7"/>
    </row>
    <row r="726" spans="1:13" x14ac:dyDescent="0.3">
      <c r="A726" s="7">
        <v>19123</v>
      </c>
      <c r="B726" s="7" t="s">
        <v>734</v>
      </c>
      <c r="C726" s="7" t="s">
        <v>6477</v>
      </c>
      <c r="D726" s="7" t="s">
        <v>6481</v>
      </c>
      <c r="E726" s="7" t="s">
        <v>6295</v>
      </c>
      <c r="F726" s="7" t="s">
        <v>6482</v>
      </c>
      <c r="G726" s="7" t="s">
        <v>7150</v>
      </c>
      <c r="H726" s="7" t="s">
        <v>7156</v>
      </c>
      <c r="I726" s="7"/>
      <c r="J726" s="10">
        <v>46274</v>
      </c>
      <c r="K726" s="7" t="s">
        <v>7163</v>
      </c>
      <c r="L726" s="7"/>
      <c r="M726" s="7"/>
    </row>
    <row r="727" spans="1:13" x14ac:dyDescent="0.3">
      <c r="A727" s="7">
        <v>18518</v>
      </c>
      <c r="B727" s="7" t="s">
        <v>735</v>
      </c>
      <c r="C727" s="7" t="s">
        <v>6477</v>
      </c>
      <c r="D727" s="7" t="s">
        <v>6481</v>
      </c>
      <c r="E727" s="7" t="s">
        <v>6295</v>
      </c>
      <c r="F727" s="7" t="s">
        <v>6483</v>
      </c>
      <c r="G727" s="7" t="s">
        <v>7150</v>
      </c>
      <c r="H727" s="7" t="s">
        <v>7156</v>
      </c>
      <c r="I727" s="7" t="s">
        <v>7160</v>
      </c>
      <c r="J727" s="10">
        <v>46143</v>
      </c>
      <c r="K727" s="7" t="s">
        <v>7163</v>
      </c>
      <c r="L727" s="7"/>
      <c r="M727" s="7"/>
    </row>
    <row r="728" spans="1:13" x14ac:dyDescent="0.3">
      <c r="A728" s="7">
        <v>18524</v>
      </c>
      <c r="B728" s="7" t="s">
        <v>736</v>
      </c>
      <c r="C728" s="7" t="s">
        <v>6473</v>
      </c>
      <c r="D728" s="7" t="s">
        <v>6484</v>
      </c>
      <c r="E728" s="7" t="s">
        <v>6295</v>
      </c>
      <c r="F728" s="7" t="s">
        <v>6335</v>
      </c>
      <c r="G728" s="7" t="s">
        <v>7150</v>
      </c>
      <c r="H728" s="7" t="s">
        <v>7156</v>
      </c>
      <c r="I728" s="7" t="s">
        <v>7160</v>
      </c>
      <c r="J728" s="10">
        <v>46143</v>
      </c>
      <c r="K728" s="7" t="s">
        <v>7163</v>
      </c>
      <c r="L728" s="7"/>
      <c r="M728" s="7"/>
    </row>
    <row r="729" spans="1:13" x14ac:dyDescent="0.3">
      <c r="A729" s="7">
        <v>18527</v>
      </c>
      <c r="B729" s="7" t="s">
        <v>737</v>
      </c>
      <c r="C729" s="7" t="s">
        <v>6473</v>
      </c>
      <c r="D729" s="7" t="s">
        <v>6475</v>
      </c>
      <c r="E729" s="7" t="s">
        <v>6295</v>
      </c>
      <c r="F729" s="7" t="s">
        <v>6341</v>
      </c>
      <c r="G729" s="7" t="s">
        <v>7152</v>
      </c>
      <c r="H729" s="7" t="s">
        <v>7156</v>
      </c>
      <c r="I729" s="7" t="s">
        <v>7160</v>
      </c>
      <c r="J729" s="10">
        <v>46143</v>
      </c>
      <c r="K729" s="7" t="s">
        <v>7163</v>
      </c>
      <c r="L729" s="7"/>
      <c r="M729" s="7"/>
    </row>
    <row r="730" spans="1:13" x14ac:dyDescent="0.3">
      <c r="A730" s="7">
        <v>18525</v>
      </c>
      <c r="B730" s="7" t="s">
        <v>738</v>
      </c>
      <c r="C730" s="7" t="s">
        <v>6473</v>
      </c>
      <c r="D730" s="7" t="s">
        <v>6484</v>
      </c>
      <c r="E730" s="7" t="s">
        <v>6295</v>
      </c>
      <c r="F730" s="7" t="s">
        <v>6335</v>
      </c>
      <c r="G730" s="7" t="s">
        <v>7150</v>
      </c>
      <c r="H730" s="7" t="s">
        <v>7156</v>
      </c>
      <c r="I730" s="7" t="s">
        <v>7160</v>
      </c>
      <c r="J730" s="10">
        <v>46149</v>
      </c>
      <c r="K730" s="7" t="s">
        <v>7163</v>
      </c>
      <c r="L730" s="7"/>
      <c r="M730" s="7"/>
    </row>
    <row r="731" spans="1:13" x14ac:dyDescent="0.3">
      <c r="A731" s="7">
        <v>18517</v>
      </c>
      <c r="B731" s="7" t="s">
        <v>739</v>
      </c>
      <c r="C731" s="7" t="s">
        <v>6473</v>
      </c>
      <c r="D731" s="7" t="s">
        <v>6484</v>
      </c>
      <c r="E731" s="7" t="s">
        <v>6295</v>
      </c>
      <c r="F731" s="7" t="s">
        <v>6485</v>
      </c>
      <c r="G731" s="7" t="s">
        <v>7150</v>
      </c>
      <c r="H731" s="7" t="s">
        <v>7156</v>
      </c>
      <c r="I731" s="7" t="s">
        <v>7160</v>
      </c>
      <c r="J731" s="10">
        <v>46143</v>
      </c>
      <c r="K731" s="7" t="s">
        <v>7163</v>
      </c>
      <c r="L731" s="7"/>
      <c r="M731" s="7"/>
    </row>
    <row r="732" spans="1:13" x14ac:dyDescent="0.3">
      <c r="A732" s="7">
        <v>10946</v>
      </c>
      <c r="B732" s="7" t="s">
        <v>740</v>
      </c>
      <c r="C732" s="7" t="s">
        <v>6473</v>
      </c>
      <c r="D732" s="7" t="s">
        <v>6486</v>
      </c>
      <c r="E732" s="7" t="s">
        <v>6295</v>
      </c>
      <c r="F732" s="7" t="s">
        <v>6353</v>
      </c>
      <c r="G732" s="7" t="s">
        <v>7152</v>
      </c>
      <c r="H732" s="7" t="s">
        <v>7156</v>
      </c>
      <c r="I732" s="7"/>
      <c r="J732" s="10">
        <v>42180</v>
      </c>
      <c r="K732" s="7" t="s">
        <v>7163</v>
      </c>
      <c r="L732" s="7"/>
      <c r="M732" s="7"/>
    </row>
    <row r="733" spans="1:13" x14ac:dyDescent="0.3">
      <c r="A733" s="7">
        <v>17866</v>
      </c>
      <c r="B733" s="7" t="s">
        <v>741</v>
      </c>
      <c r="C733" s="7" t="s">
        <v>6471</v>
      </c>
      <c r="D733" s="7" t="s">
        <v>6472</v>
      </c>
      <c r="E733" s="7" t="s">
        <v>6295</v>
      </c>
      <c r="F733" s="7" t="s">
        <v>6353</v>
      </c>
      <c r="G733" s="7" t="s">
        <v>7150</v>
      </c>
      <c r="H733" s="7" t="s">
        <v>7156</v>
      </c>
      <c r="I733" s="7"/>
      <c r="J733" s="10">
        <v>45901</v>
      </c>
      <c r="K733" s="7" t="s">
        <v>7163</v>
      </c>
      <c r="L733" s="7"/>
      <c r="M733" s="7"/>
    </row>
    <row r="734" spans="1:13" x14ac:dyDescent="0.3">
      <c r="A734" s="7">
        <v>15089</v>
      </c>
      <c r="B734" s="7" t="s">
        <v>742</v>
      </c>
      <c r="C734" s="7" t="s">
        <v>6473</v>
      </c>
      <c r="D734" s="7" t="s">
        <v>6475</v>
      </c>
      <c r="E734" s="7" t="s">
        <v>6295</v>
      </c>
      <c r="F734" s="7" t="s">
        <v>6353</v>
      </c>
      <c r="G734" s="7" t="s">
        <v>7150</v>
      </c>
      <c r="H734" s="7" t="s">
        <v>7156</v>
      </c>
      <c r="I734" s="7"/>
      <c r="J734" s="10">
        <v>44945</v>
      </c>
      <c r="K734" s="7" t="s">
        <v>7163</v>
      </c>
      <c r="L734" s="7"/>
      <c r="M734" s="7"/>
    </row>
    <row r="735" spans="1:13" x14ac:dyDescent="0.3">
      <c r="A735" s="7">
        <v>18134</v>
      </c>
      <c r="B735" s="7" t="s">
        <v>743</v>
      </c>
      <c r="C735" s="7" t="s">
        <v>6471</v>
      </c>
      <c r="D735" s="7" t="s">
        <v>6472</v>
      </c>
      <c r="E735" s="7" t="s">
        <v>6295</v>
      </c>
      <c r="F735" s="7" t="s">
        <v>6487</v>
      </c>
      <c r="G735" s="7" t="s">
        <v>7150</v>
      </c>
      <c r="H735" s="7" t="s">
        <v>7156</v>
      </c>
      <c r="I735" s="7"/>
      <c r="J735" s="10">
        <v>46008</v>
      </c>
      <c r="K735" s="7" t="s">
        <v>7163</v>
      </c>
      <c r="L735" s="7"/>
      <c r="M735" s="7"/>
    </row>
    <row r="736" spans="1:13" x14ac:dyDescent="0.3">
      <c r="A736" s="7">
        <v>11531</v>
      </c>
      <c r="B736" s="7" t="s">
        <v>744</v>
      </c>
      <c r="C736" s="7" t="s">
        <v>6488</v>
      </c>
      <c r="D736" s="7" t="s">
        <v>6295</v>
      </c>
      <c r="E736" s="7" t="s">
        <v>6295</v>
      </c>
      <c r="F736" s="7" t="s">
        <v>6356</v>
      </c>
      <c r="G736" s="7" t="s">
        <v>7150</v>
      </c>
      <c r="H736" s="7" t="s">
        <v>7156</v>
      </c>
      <c r="I736" s="7"/>
      <c r="J736" s="10">
        <v>42807</v>
      </c>
      <c r="K736" s="7" t="s">
        <v>7163</v>
      </c>
      <c r="L736" s="7"/>
      <c r="M736" s="7"/>
    </row>
    <row r="737" spans="1:13" x14ac:dyDescent="0.3">
      <c r="A737" s="7">
        <v>13302</v>
      </c>
      <c r="B737" s="7" t="s">
        <v>745</v>
      </c>
      <c r="C737" s="7" t="s">
        <v>6489</v>
      </c>
      <c r="D737" s="7" t="s">
        <v>6490</v>
      </c>
      <c r="E737" s="7" t="s">
        <v>6295</v>
      </c>
      <c r="F737" s="7" t="s">
        <v>6338</v>
      </c>
      <c r="G737" s="7" t="s">
        <v>7150</v>
      </c>
      <c r="H737" s="7" t="s">
        <v>7156</v>
      </c>
      <c r="I737" s="7"/>
      <c r="J737" s="10">
        <v>44378</v>
      </c>
      <c r="K737" s="7" t="s">
        <v>7163</v>
      </c>
      <c r="L737" s="7"/>
      <c r="M737" s="7"/>
    </row>
    <row r="738" spans="1:13" x14ac:dyDescent="0.3">
      <c r="A738" s="7">
        <v>11763</v>
      </c>
      <c r="B738" s="7" t="s">
        <v>746</v>
      </c>
      <c r="C738" s="7" t="s">
        <v>6489</v>
      </c>
      <c r="D738" s="7" t="s">
        <v>6490</v>
      </c>
      <c r="E738" s="7" t="s">
        <v>6295</v>
      </c>
      <c r="F738" s="7" t="s">
        <v>6335</v>
      </c>
      <c r="G738" s="7" t="s">
        <v>7150</v>
      </c>
      <c r="H738" s="7" t="s">
        <v>7156</v>
      </c>
      <c r="I738" s="7"/>
      <c r="J738" s="10">
        <v>43090</v>
      </c>
      <c r="K738" s="7" t="s">
        <v>7163</v>
      </c>
      <c r="L738" s="7"/>
      <c r="M738" s="7"/>
    </row>
    <row r="739" spans="1:13" x14ac:dyDescent="0.3">
      <c r="A739" s="7">
        <v>14827</v>
      </c>
      <c r="B739" s="7" t="s">
        <v>747</v>
      </c>
      <c r="C739" s="7" t="s">
        <v>6489</v>
      </c>
      <c r="D739" s="7" t="s">
        <v>6490</v>
      </c>
      <c r="E739" s="7" t="s">
        <v>6295</v>
      </c>
      <c r="F739" s="7" t="s">
        <v>6353</v>
      </c>
      <c r="G739" s="7" t="s">
        <v>7150</v>
      </c>
      <c r="H739" s="7" t="s">
        <v>7156</v>
      </c>
      <c r="I739" s="7"/>
      <c r="J739" s="10">
        <v>44869</v>
      </c>
      <c r="K739" s="7" t="s">
        <v>7163</v>
      </c>
      <c r="L739" s="7"/>
      <c r="M739" s="7"/>
    </row>
    <row r="740" spans="1:13" x14ac:dyDescent="0.3">
      <c r="A740" s="7">
        <v>15785</v>
      </c>
      <c r="B740" s="7" t="s">
        <v>748</v>
      </c>
      <c r="C740" s="7" t="s">
        <v>6489</v>
      </c>
      <c r="D740" s="7" t="s">
        <v>6490</v>
      </c>
      <c r="E740" s="7" t="s">
        <v>6295</v>
      </c>
      <c r="F740" s="7" t="s">
        <v>6340</v>
      </c>
      <c r="G740" s="7" t="s">
        <v>7150</v>
      </c>
      <c r="H740" s="7" t="s">
        <v>7156</v>
      </c>
      <c r="I740" s="7"/>
      <c r="J740" s="10">
        <v>45191</v>
      </c>
      <c r="K740" s="7" t="s">
        <v>7163</v>
      </c>
      <c r="L740" s="7"/>
      <c r="M740" s="7"/>
    </row>
    <row r="741" spans="1:13" x14ac:dyDescent="0.3">
      <c r="A741" s="7">
        <v>15300</v>
      </c>
      <c r="B741" s="7" t="s">
        <v>749</v>
      </c>
      <c r="C741" s="7" t="s">
        <v>6489</v>
      </c>
      <c r="D741" s="7" t="s">
        <v>6490</v>
      </c>
      <c r="E741" s="7" t="s">
        <v>6295</v>
      </c>
      <c r="F741" s="7" t="s">
        <v>6340</v>
      </c>
      <c r="G741" s="7" t="s">
        <v>7153</v>
      </c>
      <c r="H741" s="7" t="s">
        <v>7156</v>
      </c>
      <c r="I741" s="7"/>
      <c r="J741" s="10">
        <v>45019</v>
      </c>
      <c r="K741" s="7" t="s">
        <v>7163</v>
      </c>
      <c r="L741" s="7"/>
      <c r="M741" s="7"/>
    </row>
    <row r="742" spans="1:13" x14ac:dyDescent="0.3">
      <c r="A742" s="7">
        <v>18610</v>
      </c>
      <c r="B742" s="7" t="s">
        <v>750</v>
      </c>
      <c r="C742" s="7" t="s">
        <v>6489</v>
      </c>
      <c r="D742" s="7" t="s">
        <v>6490</v>
      </c>
      <c r="E742" s="7" t="s">
        <v>6295</v>
      </c>
      <c r="F742" s="7" t="s">
        <v>6406</v>
      </c>
      <c r="G742" s="7" t="s">
        <v>7150</v>
      </c>
      <c r="H742" s="7" t="s">
        <v>7157</v>
      </c>
      <c r="I742" s="7"/>
      <c r="J742" s="10">
        <v>46164</v>
      </c>
      <c r="K742" s="7" t="s">
        <v>7163</v>
      </c>
      <c r="L742" s="7"/>
      <c r="M742" s="7"/>
    </row>
    <row r="743" spans="1:13" x14ac:dyDescent="0.3">
      <c r="A743" s="7">
        <v>137019</v>
      </c>
      <c r="B743" s="7" t="s">
        <v>751</v>
      </c>
      <c r="C743" s="7" t="s">
        <v>6489</v>
      </c>
      <c r="D743" s="7" t="s">
        <v>6490</v>
      </c>
      <c r="E743" s="7" t="s">
        <v>6295</v>
      </c>
      <c r="F743" s="7" t="s">
        <v>6340</v>
      </c>
      <c r="G743" s="7" t="s">
        <v>7150</v>
      </c>
      <c r="H743" s="7" t="s">
        <v>7156</v>
      </c>
      <c r="I743" s="7"/>
      <c r="J743" s="10">
        <v>44623</v>
      </c>
      <c r="K743" s="7" t="s">
        <v>7163</v>
      </c>
      <c r="L743" s="7"/>
      <c r="M743" s="7"/>
    </row>
    <row r="744" spans="1:13" x14ac:dyDescent="0.3">
      <c r="A744" s="7">
        <v>15185</v>
      </c>
      <c r="B744" s="7" t="s">
        <v>752</v>
      </c>
      <c r="C744" s="7" t="s">
        <v>6489</v>
      </c>
      <c r="D744" s="7" t="s">
        <v>6490</v>
      </c>
      <c r="E744" s="7" t="s">
        <v>6295</v>
      </c>
      <c r="F744" s="7" t="s">
        <v>6340</v>
      </c>
      <c r="G744" s="7" t="s">
        <v>7150</v>
      </c>
      <c r="H744" s="7" t="s">
        <v>7156</v>
      </c>
      <c r="I744" s="7"/>
      <c r="J744" s="10">
        <v>44978</v>
      </c>
      <c r="K744" s="7" t="s">
        <v>7163</v>
      </c>
      <c r="L744" s="7"/>
      <c r="M744" s="7"/>
    </row>
    <row r="745" spans="1:13" x14ac:dyDescent="0.3">
      <c r="A745" s="7">
        <v>15217</v>
      </c>
      <c r="B745" s="7" t="s">
        <v>753</v>
      </c>
      <c r="C745" s="7" t="s">
        <v>6489</v>
      </c>
      <c r="D745" s="7" t="s">
        <v>6490</v>
      </c>
      <c r="E745" s="7" t="s">
        <v>6295</v>
      </c>
      <c r="F745" s="7" t="s">
        <v>6340</v>
      </c>
      <c r="G745" s="7" t="s">
        <v>7150</v>
      </c>
      <c r="H745" s="7" t="s">
        <v>7156</v>
      </c>
      <c r="I745" s="7"/>
      <c r="J745" s="10">
        <v>44992</v>
      </c>
      <c r="K745" s="7" t="s">
        <v>7163</v>
      </c>
      <c r="L745" s="7"/>
      <c r="M745" s="7"/>
    </row>
    <row r="746" spans="1:13" x14ac:dyDescent="0.3">
      <c r="A746" s="7">
        <v>15216</v>
      </c>
      <c r="B746" s="7" t="s">
        <v>754</v>
      </c>
      <c r="C746" s="7" t="s">
        <v>6489</v>
      </c>
      <c r="D746" s="7" t="s">
        <v>6490</v>
      </c>
      <c r="E746" s="7" t="s">
        <v>6295</v>
      </c>
      <c r="F746" s="7" t="s">
        <v>6340</v>
      </c>
      <c r="G746" s="7" t="s">
        <v>7150</v>
      </c>
      <c r="H746" s="7" t="s">
        <v>7156</v>
      </c>
      <c r="I746" s="7"/>
      <c r="J746" s="10">
        <v>44992</v>
      </c>
      <c r="K746" s="7" t="s">
        <v>7163</v>
      </c>
      <c r="L746" s="7"/>
      <c r="M746" s="7"/>
    </row>
    <row r="747" spans="1:13" x14ac:dyDescent="0.3">
      <c r="A747" s="7">
        <v>15270</v>
      </c>
      <c r="B747" s="7" t="s">
        <v>755</v>
      </c>
      <c r="C747" s="7" t="s">
        <v>6489</v>
      </c>
      <c r="D747" s="7" t="s">
        <v>6490</v>
      </c>
      <c r="E747" s="7" t="s">
        <v>6295</v>
      </c>
      <c r="F747" s="7" t="s">
        <v>6340</v>
      </c>
      <c r="G747" s="7" t="s">
        <v>7150</v>
      </c>
      <c r="H747" s="7" t="s">
        <v>7156</v>
      </c>
      <c r="I747" s="7"/>
      <c r="J747" s="10">
        <v>45047</v>
      </c>
      <c r="K747" s="7" t="s">
        <v>7163</v>
      </c>
      <c r="L747" s="7"/>
      <c r="M747" s="7"/>
    </row>
    <row r="748" spans="1:13" x14ac:dyDescent="0.3">
      <c r="A748" s="7">
        <v>15434</v>
      </c>
      <c r="B748" s="7" t="s">
        <v>756</v>
      </c>
      <c r="C748" s="7" t="s">
        <v>6488</v>
      </c>
      <c r="D748" s="7" t="s">
        <v>6491</v>
      </c>
      <c r="E748" s="7" t="s">
        <v>6295</v>
      </c>
      <c r="F748" s="7" t="s">
        <v>6340</v>
      </c>
      <c r="G748" s="7" t="s">
        <v>7150</v>
      </c>
      <c r="H748" s="7" t="s">
        <v>7156</v>
      </c>
      <c r="I748" s="7"/>
      <c r="J748" s="10">
        <v>45070</v>
      </c>
      <c r="K748" s="7" t="s">
        <v>7163</v>
      </c>
      <c r="L748" s="7"/>
      <c r="M748" s="7"/>
    </row>
    <row r="749" spans="1:13" x14ac:dyDescent="0.3">
      <c r="A749" s="7">
        <v>15435</v>
      </c>
      <c r="B749" s="7" t="s">
        <v>757</v>
      </c>
      <c r="C749" s="7" t="s">
        <v>6488</v>
      </c>
      <c r="D749" s="7" t="s">
        <v>6491</v>
      </c>
      <c r="E749" s="7" t="s">
        <v>6295</v>
      </c>
      <c r="F749" s="7" t="s">
        <v>6340</v>
      </c>
      <c r="G749" s="7" t="s">
        <v>7150</v>
      </c>
      <c r="H749" s="7" t="s">
        <v>7156</v>
      </c>
      <c r="I749" s="7"/>
      <c r="J749" s="10">
        <v>45070</v>
      </c>
      <c r="K749" s="7" t="s">
        <v>7163</v>
      </c>
      <c r="L749" s="7"/>
      <c r="M749" s="7"/>
    </row>
    <row r="750" spans="1:13" x14ac:dyDescent="0.3">
      <c r="A750" s="7">
        <v>15440</v>
      </c>
      <c r="B750" s="7" t="s">
        <v>758</v>
      </c>
      <c r="C750" s="7" t="s">
        <v>6489</v>
      </c>
      <c r="D750" s="7" t="s">
        <v>6490</v>
      </c>
      <c r="E750" s="7" t="s">
        <v>6295</v>
      </c>
      <c r="F750" s="7" t="s">
        <v>6340</v>
      </c>
      <c r="G750" s="7" t="s">
        <v>7150</v>
      </c>
      <c r="H750" s="7" t="s">
        <v>7156</v>
      </c>
      <c r="I750" s="7"/>
      <c r="J750" s="10">
        <v>45071</v>
      </c>
      <c r="K750" s="7" t="s">
        <v>7163</v>
      </c>
      <c r="L750" s="7"/>
      <c r="M750" s="7"/>
    </row>
    <row r="751" spans="1:13" x14ac:dyDescent="0.3">
      <c r="A751" s="7">
        <v>15441</v>
      </c>
      <c r="B751" s="7" t="s">
        <v>759</v>
      </c>
      <c r="C751" s="7" t="s">
        <v>6489</v>
      </c>
      <c r="D751" s="7" t="s">
        <v>6490</v>
      </c>
      <c r="E751" s="7" t="s">
        <v>6295</v>
      </c>
      <c r="F751" s="7" t="s">
        <v>6340</v>
      </c>
      <c r="G751" s="7" t="s">
        <v>7150</v>
      </c>
      <c r="H751" s="7" t="s">
        <v>7156</v>
      </c>
      <c r="I751" s="7"/>
      <c r="J751" s="10">
        <v>45071</v>
      </c>
      <c r="K751" s="7" t="s">
        <v>7163</v>
      </c>
      <c r="L751" s="7"/>
      <c r="M751" s="7"/>
    </row>
    <row r="752" spans="1:13" x14ac:dyDescent="0.3">
      <c r="A752" s="7">
        <v>15433</v>
      </c>
      <c r="B752" s="7" t="s">
        <v>760</v>
      </c>
      <c r="C752" s="7" t="s">
        <v>6489</v>
      </c>
      <c r="D752" s="7" t="s">
        <v>6490</v>
      </c>
      <c r="E752" s="7" t="s">
        <v>6295</v>
      </c>
      <c r="F752" s="7" t="s">
        <v>6341</v>
      </c>
      <c r="G752" s="7" t="s">
        <v>7150</v>
      </c>
      <c r="H752" s="7" t="s">
        <v>7156</v>
      </c>
      <c r="I752" s="7"/>
      <c r="J752" s="10">
        <v>45070</v>
      </c>
      <c r="K752" s="7" t="s">
        <v>7163</v>
      </c>
      <c r="L752" s="7"/>
      <c r="M752" s="7"/>
    </row>
    <row r="753" spans="1:13" x14ac:dyDescent="0.3">
      <c r="A753" s="7">
        <v>16021</v>
      </c>
      <c r="B753" s="7" t="s">
        <v>761</v>
      </c>
      <c r="C753" s="7" t="s">
        <v>6489</v>
      </c>
      <c r="D753" s="7" t="s">
        <v>6490</v>
      </c>
      <c r="E753" s="7" t="s">
        <v>6295</v>
      </c>
      <c r="F753" s="7" t="s">
        <v>6341</v>
      </c>
      <c r="G753" s="7" t="s">
        <v>7150</v>
      </c>
      <c r="H753" s="7" t="s">
        <v>7156</v>
      </c>
      <c r="I753" s="7"/>
      <c r="J753" s="10">
        <v>45265</v>
      </c>
      <c r="K753" s="7" t="s">
        <v>7163</v>
      </c>
      <c r="L753" s="7"/>
      <c r="M753" s="7"/>
    </row>
    <row r="754" spans="1:13" x14ac:dyDescent="0.3">
      <c r="A754" s="7">
        <v>16022</v>
      </c>
      <c r="B754" s="7" t="s">
        <v>762</v>
      </c>
      <c r="C754" s="7" t="s">
        <v>6489</v>
      </c>
      <c r="D754" s="7" t="s">
        <v>6490</v>
      </c>
      <c r="E754" s="7" t="s">
        <v>6295</v>
      </c>
      <c r="F754" s="7" t="s">
        <v>6341</v>
      </c>
      <c r="G754" s="7" t="s">
        <v>7150</v>
      </c>
      <c r="H754" s="7" t="s">
        <v>7156</v>
      </c>
      <c r="I754" s="7"/>
      <c r="J754" s="10">
        <v>45265</v>
      </c>
      <c r="K754" s="7" t="s">
        <v>7163</v>
      </c>
      <c r="L754" s="7"/>
      <c r="M754" s="7"/>
    </row>
    <row r="755" spans="1:13" x14ac:dyDescent="0.3">
      <c r="A755" s="7">
        <v>16043</v>
      </c>
      <c r="B755" s="7" t="s">
        <v>763</v>
      </c>
      <c r="C755" s="7" t="s">
        <v>6489</v>
      </c>
      <c r="D755" s="7" t="s">
        <v>6490</v>
      </c>
      <c r="E755" s="7" t="s">
        <v>6295</v>
      </c>
      <c r="F755" s="7" t="s">
        <v>6341</v>
      </c>
      <c r="G755" s="7" t="s">
        <v>7150</v>
      </c>
      <c r="H755" s="7" t="s">
        <v>7156</v>
      </c>
      <c r="I755" s="7"/>
      <c r="J755" s="10">
        <v>45271</v>
      </c>
      <c r="K755" s="7" t="s">
        <v>7163</v>
      </c>
      <c r="L755" s="7"/>
      <c r="M755" s="7"/>
    </row>
    <row r="756" spans="1:13" x14ac:dyDescent="0.3">
      <c r="A756" s="7">
        <v>16044</v>
      </c>
      <c r="B756" s="7" t="s">
        <v>764</v>
      </c>
      <c r="C756" s="7" t="s">
        <v>6488</v>
      </c>
      <c r="D756" s="7" t="s">
        <v>6491</v>
      </c>
      <c r="E756" s="7" t="s">
        <v>6295</v>
      </c>
      <c r="F756" s="7" t="s">
        <v>6341</v>
      </c>
      <c r="G756" s="7" t="s">
        <v>7150</v>
      </c>
      <c r="H756" s="7" t="s">
        <v>7156</v>
      </c>
      <c r="I756" s="7"/>
      <c r="J756" s="10">
        <v>45271</v>
      </c>
      <c r="K756" s="7" t="s">
        <v>7163</v>
      </c>
      <c r="L756" s="7"/>
      <c r="M756" s="7"/>
    </row>
    <row r="757" spans="1:13" x14ac:dyDescent="0.3">
      <c r="A757" s="7">
        <v>16386</v>
      </c>
      <c r="B757" s="7" t="s">
        <v>765</v>
      </c>
      <c r="C757" s="7" t="s">
        <v>6489</v>
      </c>
      <c r="D757" s="7" t="s">
        <v>6490</v>
      </c>
      <c r="E757" s="7" t="s">
        <v>6295</v>
      </c>
      <c r="F757" s="7" t="s">
        <v>6341</v>
      </c>
      <c r="G757" s="7" t="s">
        <v>7150</v>
      </c>
      <c r="H757" s="7" t="s">
        <v>7156</v>
      </c>
      <c r="I757" s="7"/>
      <c r="J757" s="10">
        <v>45366</v>
      </c>
      <c r="K757" s="7" t="s">
        <v>7163</v>
      </c>
      <c r="L757" s="7"/>
      <c r="M757" s="7"/>
    </row>
    <row r="758" spans="1:13" x14ac:dyDescent="0.3">
      <c r="A758" s="7">
        <v>16398</v>
      </c>
      <c r="B758" s="7" t="s">
        <v>766</v>
      </c>
      <c r="C758" s="7" t="s">
        <v>6489</v>
      </c>
      <c r="D758" s="7" t="s">
        <v>6490</v>
      </c>
      <c r="E758" s="7" t="s">
        <v>6295</v>
      </c>
      <c r="F758" s="7" t="s">
        <v>6341</v>
      </c>
      <c r="G758" s="7" t="s">
        <v>7150</v>
      </c>
      <c r="H758" s="7" t="s">
        <v>7156</v>
      </c>
      <c r="I758" s="7"/>
      <c r="J758" s="10">
        <v>45370</v>
      </c>
      <c r="K758" s="7" t="s">
        <v>7163</v>
      </c>
      <c r="L758" s="7"/>
      <c r="M758" s="7"/>
    </row>
    <row r="759" spans="1:13" x14ac:dyDescent="0.3">
      <c r="A759" s="7">
        <v>16401</v>
      </c>
      <c r="B759" s="7" t="s">
        <v>767</v>
      </c>
      <c r="C759" s="7" t="s">
        <v>6489</v>
      </c>
      <c r="D759" s="7" t="s">
        <v>6490</v>
      </c>
      <c r="E759" s="7" t="s">
        <v>6295</v>
      </c>
      <c r="F759" s="7" t="s">
        <v>6341</v>
      </c>
      <c r="G759" s="7" t="s">
        <v>7150</v>
      </c>
      <c r="H759" s="7" t="s">
        <v>7156</v>
      </c>
      <c r="I759" s="7"/>
      <c r="J759" s="10">
        <v>45370</v>
      </c>
      <c r="K759" s="7" t="s">
        <v>7163</v>
      </c>
      <c r="L759" s="7"/>
      <c r="M759" s="7"/>
    </row>
    <row r="760" spans="1:13" x14ac:dyDescent="0.3">
      <c r="A760" s="7">
        <v>16020</v>
      </c>
      <c r="B760" s="7" t="s">
        <v>768</v>
      </c>
      <c r="C760" s="7" t="s">
        <v>6489</v>
      </c>
      <c r="D760" s="7" t="s">
        <v>6490</v>
      </c>
      <c r="E760" s="7" t="s">
        <v>6295</v>
      </c>
      <c r="F760" s="7" t="s">
        <v>6341</v>
      </c>
      <c r="G760" s="7" t="s">
        <v>7150</v>
      </c>
      <c r="H760" s="7" t="s">
        <v>7156</v>
      </c>
      <c r="I760" s="7"/>
      <c r="J760" s="10">
        <v>45265</v>
      </c>
      <c r="K760" s="7" t="s">
        <v>7163</v>
      </c>
      <c r="L760" s="7"/>
      <c r="M760" s="7"/>
    </row>
    <row r="761" spans="1:13" x14ac:dyDescent="0.3">
      <c r="A761" s="7">
        <v>16449</v>
      </c>
      <c r="B761" s="7" t="s">
        <v>769</v>
      </c>
      <c r="C761" s="7" t="s">
        <v>6489</v>
      </c>
      <c r="D761" s="7" t="s">
        <v>6490</v>
      </c>
      <c r="E761" s="7" t="s">
        <v>6295</v>
      </c>
      <c r="F761" s="7" t="s">
        <v>6341</v>
      </c>
      <c r="G761" s="7" t="s">
        <v>7150</v>
      </c>
      <c r="H761" s="7" t="s">
        <v>7156</v>
      </c>
      <c r="I761" s="7"/>
      <c r="J761" s="10">
        <v>45406</v>
      </c>
      <c r="K761" s="7" t="s">
        <v>7163</v>
      </c>
      <c r="L761" s="7"/>
      <c r="M761" s="7"/>
    </row>
    <row r="762" spans="1:13" x14ac:dyDescent="0.3">
      <c r="A762" s="7">
        <v>16754</v>
      </c>
      <c r="B762" s="7" t="s">
        <v>770</v>
      </c>
      <c r="C762" s="7" t="s">
        <v>6489</v>
      </c>
      <c r="D762" s="7" t="s">
        <v>6490</v>
      </c>
      <c r="E762" s="7" t="s">
        <v>6295</v>
      </c>
      <c r="F762" s="7" t="s">
        <v>6341</v>
      </c>
      <c r="G762" s="7" t="s">
        <v>7150</v>
      </c>
      <c r="H762" s="7" t="s">
        <v>7156</v>
      </c>
      <c r="I762" s="7"/>
      <c r="J762" s="10">
        <v>45539</v>
      </c>
      <c r="K762" s="7" t="s">
        <v>7163</v>
      </c>
      <c r="L762" s="7"/>
      <c r="M762" s="7"/>
    </row>
    <row r="763" spans="1:13" x14ac:dyDescent="0.3">
      <c r="A763" s="7">
        <v>16041</v>
      </c>
      <c r="B763" s="7" t="s">
        <v>771</v>
      </c>
      <c r="C763" s="7" t="s">
        <v>6489</v>
      </c>
      <c r="D763" s="7" t="s">
        <v>6490</v>
      </c>
      <c r="E763" s="7" t="s">
        <v>6295</v>
      </c>
      <c r="F763" s="7" t="s">
        <v>6348</v>
      </c>
      <c r="G763" s="7" t="s">
        <v>7151</v>
      </c>
      <c r="H763" s="7" t="s">
        <v>7156</v>
      </c>
      <c r="I763" s="7"/>
      <c r="J763" s="10">
        <v>45271</v>
      </c>
      <c r="K763" s="7" t="s">
        <v>7163</v>
      </c>
      <c r="L763" s="7"/>
      <c r="M763" s="7"/>
    </row>
    <row r="764" spans="1:13" x14ac:dyDescent="0.3">
      <c r="A764" s="7">
        <v>18222</v>
      </c>
      <c r="B764" s="7" t="s">
        <v>772</v>
      </c>
      <c r="C764" s="7" t="s">
        <v>6489</v>
      </c>
      <c r="D764" s="7" t="s">
        <v>6490</v>
      </c>
      <c r="E764" s="7" t="s">
        <v>6295</v>
      </c>
      <c r="F764" s="7" t="s">
        <v>6406</v>
      </c>
      <c r="G764" s="7" t="s">
        <v>7150</v>
      </c>
      <c r="H764" s="7" t="s">
        <v>7157</v>
      </c>
      <c r="I764" s="7"/>
      <c r="J764" s="10">
        <v>46063</v>
      </c>
      <c r="K764" s="7" t="s">
        <v>7163</v>
      </c>
      <c r="L764" s="7"/>
      <c r="M764" s="7"/>
    </row>
    <row r="765" spans="1:13" x14ac:dyDescent="0.3">
      <c r="A765" s="7">
        <v>17360</v>
      </c>
      <c r="B765" s="7" t="s">
        <v>773</v>
      </c>
      <c r="C765" s="7" t="s">
        <v>6489</v>
      </c>
      <c r="D765" s="7" t="s">
        <v>6490</v>
      </c>
      <c r="E765" s="7" t="s">
        <v>6295</v>
      </c>
      <c r="F765" s="7" t="s">
        <v>6341</v>
      </c>
      <c r="G765" s="7" t="s">
        <v>7150</v>
      </c>
      <c r="H765" s="7" t="s">
        <v>7156</v>
      </c>
      <c r="I765" s="7"/>
      <c r="J765" s="10">
        <v>45721</v>
      </c>
      <c r="K765" s="7" t="s">
        <v>7163</v>
      </c>
      <c r="L765" s="7"/>
      <c r="M765" s="7"/>
    </row>
    <row r="766" spans="1:13" x14ac:dyDescent="0.3">
      <c r="A766" s="7">
        <v>16578</v>
      </c>
      <c r="B766" s="7" t="s">
        <v>774</v>
      </c>
      <c r="C766" s="7" t="s">
        <v>6488</v>
      </c>
      <c r="D766" s="7" t="s">
        <v>6491</v>
      </c>
      <c r="E766" s="7" t="s">
        <v>6295</v>
      </c>
      <c r="F766" s="7" t="s">
        <v>6341</v>
      </c>
      <c r="G766" s="7" t="s">
        <v>7150</v>
      </c>
      <c r="H766" s="7" t="s">
        <v>7156</v>
      </c>
      <c r="I766" s="7"/>
      <c r="J766" s="10">
        <v>45475</v>
      </c>
      <c r="K766" s="7" t="s">
        <v>7163</v>
      </c>
      <c r="L766" s="7"/>
      <c r="M766" s="7"/>
    </row>
    <row r="767" spans="1:13" x14ac:dyDescent="0.3">
      <c r="A767" s="7">
        <v>16580</v>
      </c>
      <c r="B767" s="7" t="s">
        <v>775</v>
      </c>
      <c r="C767" s="7" t="s">
        <v>6489</v>
      </c>
      <c r="D767" s="7" t="s">
        <v>6490</v>
      </c>
      <c r="E767" s="7" t="s">
        <v>6295</v>
      </c>
      <c r="F767" s="7" t="s">
        <v>6341</v>
      </c>
      <c r="G767" s="7" t="s">
        <v>7150</v>
      </c>
      <c r="H767" s="7" t="s">
        <v>7156</v>
      </c>
      <c r="I767" s="7"/>
      <c r="J767" s="10">
        <v>45475</v>
      </c>
      <c r="K767" s="7" t="s">
        <v>7163</v>
      </c>
      <c r="L767" s="7"/>
      <c r="M767" s="7"/>
    </row>
    <row r="768" spans="1:13" x14ac:dyDescent="0.3">
      <c r="A768" s="7">
        <v>16539</v>
      </c>
      <c r="B768" s="7" t="s">
        <v>776</v>
      </c>
      <c r="C768" s="7" t="s">
        <v>6489</v>
      </c>
      <c r="D768" s="7" t="s">
        <v>6490</v>
      </c>
      <c r="E768" s="7" t="s">
        <v>6295</v>
      </c>
      <c r="F768" s="7" t="s">
        <v>6348</v>
      </c>
      <c r="G768" s="7" t="s">
        <v>7151</v>
      </c>
      <c r="H768" s="7" t="s">
        <v>7156</v>
      </c>
      <c r="I768" s="7"/>
      <c r="J768" s="10">
        <v>45478</v>
      </c>
      <c r="K768" s="7" t="s">
        <v>7163</v>
      </c>
      <c r="L768" s="7"/>
      <c r="M768" s="7"/>
    </row>
    <row r="769" spans="1:13" x14ac:dyDescent="0.3">
      <c r="A769" s="7">
        <v>18325</v>
      </c>
      <c r="B769" s="7" t="s">
        <v>777</v>
      </c>
      <c r="C769" s="7" t="s">
        <v>6489</v>
      </c>
      <c r="D769" s="7" t="s">
        <v>6490</v>
      </c>
      <c r="E769" s="7" t="s">
        <v>6295</v>
      </c>
      <c r="F769" s="7" t="s">
        <v>6406</v>
      </c>
      <c r="G769" s="7" t="s">
        <v>7150</v>
      </c>
      <c r="H769" s="7" t="s">
        <v>7157</v>
      </c>
      <c r="I769" s="7"/>
      <c r="J769" s="10">
        <v>46091</v>
      </c>
      <c r="K769" s="7" t="s">
        <v>7163</v>
      </c>
      <c r="L769" s="7"/>
      <c r="M769" s="7"/>
    </row>
    <row r="770" spans="1:13" x14ac:dyDescent="0.3">
      <c r="A770" s="7">
        <v>17905</v>
      </c>
      <c r="B770" s="7" t="s">
        <v>778</v>
      </c>
      <c r="C770" s="7" t="s">
        <v>6488</v>
      </c>
      <c r="D770" s="7" t="s">
        <v>6491</v>
      </c>
      <c r="E770" s="7" t="s">
        <v>6295</v>
      </c>
      <c r="F770" s="7" t="s">
        <v>6341</v>
      </c>
      <c r="G770" s="7" t="s">
        <v>7150</v>
      </c>
      <c r="H770" s="7" t="s">
        <v>7156</v>
      </c>
      <c r="I770" s="7"/>
      <c r="J770" s="10">
        <v>45910</v>
      </c>
      <c r="K770" s="7" t="s">
        <v>7163</v>
      </c>
      <c r="L770" s="7"/>
      <c r="M770" s="7"/>
    </row>
    <row r="771" spans="1:13" x14ac:dyDescent="0.3">
      <c r="A771" s="7">
        <v>16616</v>
      </c>
      <c r="B771" s="7" t="s">
        <v>779</v>
      </c>
      <c r="C771" s="7" t="s">
        <v>6489</v>
      </c>
      <c r="D771" s="7" t="s">
        <v>6490</v>
      </c>
      <c r="E771" s="7" t="s">
        <v>6295</v>
      </c>
      <c r="F771" s="7" t="s">
        <v>6341</v>
      </c>
      <c r="G771" s="7" t="s">
        <v>7150</v>
      </c>
      <c r="H771" s="7" t="s">
        <v>7156</v>
      </c>
      <c r="I771" s="7"/>
      <c r="J771" s="10">
        <v>45497</v>
      </c>
      <c r="K771" s="7" t="s">
        <v>7163</v>
      </c>
      <c r="L771" s="7"/>
      <c r="M771" s="7"/>
    </row>
    <row r="772" spans="1:13" x14ac:dyDescent="0.3">
      <c r="A772" s="7">
        <v>16744</v>
      </c>
      <c r="B772" s="7" t="s">
        <v>780</v>
      </c>
      <c r="C772" s="7" t="s">
        <v>6489</v>
      </c>
      <c r="D772" s="7" t="s">
        <v>6490</v>
      </c>
      <c r="E772" s="7" t="s">
        <v>6295</v>
      </c>
      <c r="F772" s="7" t="s">
        <v>6341</v>
      </c>
      <c r="G772" s="7" t="s">
        <v>7150</v>
      </c>
      <c r="H772" s="7" t="s">
        <v>7156</v>
      </c>
      <c r="I772" s="7"/>
      <c r="J772" s="10">
        <v>45538</v>
      </c>
      <c r="K772" s="7" t="s">
        <v>7163</v>
      </c>
      <c r="L772" s="7"/>
      <c r="M772" s="7"/>
    </row>
    <row r="773" spans="1:13" x14ac:dyDescent="0.3">
      <c r="A773" s="7">
        <v>16745</v>
      </c>
      <c r="B773" s="7" t="s">
        <v>781</v>
      </c>
      <c r="C773" s="7" t="s">
        <v>6489</v>
      </c>
      <c r="D773" s="7" t="s">
        <v>6490</v>
      </c>
      <c r="E773" s="7" t="s">
        <v>6295</v>
      </c>
      <c r="F773" s="7" t="s">
        <v>6341</v>
      </c>
      <c r="G773" s="7" t="s">
        <v>7150</v>
      </c>
      <c r="H773" s="7" t="s">
        <v>7156</v>
      </c>
      <c r="I773" s="7"/>
      <c r="J773" s="10">
        <v>45538</v>
      </c>
      <c r="K773" s="7" t="s">
        <v>7163</v>
      </c>
      <c r="L773" s="7"/>
      <c r="M773" s="7"/>
    </row>
    <row r="774" spans="1:13" x14ac:dyDescent="0.3">
      <c r="A774" s="7">
        <v>16746</v>
      </c>
      <c r="B774" s="7" t="s">
        <v>782</v>
      </c>
      <c r="C774" s="7" t="s">
        <v>6489</v>
      </c>
      <c r="D774" s="7" t="s">
        <v>6490</v>
      </c>
      <c r="E774" s="7" t="s">
        <v>6295</v>
      </c>
      <c r="F774" s="7" t="s">
        <v>6341</v>
      </c>
      <c r="G774" s="7" t="s">
        <v>7150</v>
      </c>
      <c r="H774" s="7" t="s">
        <v>7156</v>
      </c>
      <c r="I774" s="7"/>
      <c r="J774" s="10">
        <v>45538</v>
      </c>
      <c r="K774" s="7" t="s">
        <v>7163</v>
      </c>
      <c r="L774" s="7"/>
      <c r="M774" s="7"/>
    </row>
    <row r="775" spans="1:13" x14ac:dyDescent="0.3">
      <c r="A775" s="7">
        <v>11779</v>
      </c>
      <c r="B775" s="7" t="s">
        <v>783</v>
      </c>
      <c r="C775" s="7" t="s">
        <v>6488</v>
      </c>
      <c r="D775" s="7" t="s">
        <v>6491</v>
      </c>
      <c r="E775" s="7" t="s">
        <v>6295</v>
      </c>
      <c r="F775" s="7" t="s">
        <v>6341</v>
      </c>
      <c r="G775" s="7" t="s">
        <v>7150</v>
      </c>
      <c r="H775" s="7" t="s">
        <v>7156</v>
      </c>
      <c r="I775" s="7"/>
      <c r="J775" s="10">
        <v>43116</v>
      </c>
      <c r="K775" s="7" t="s">
        <v>7163</v>
      </c>
      <c r="L775" s="7"/>
      <c r="M775" s="7"/>
    </row>
    <row r="776" spans="1:13" x14ac:dyDescent="0.3">
      <c r="A776" s="7">
        <v>18223</v>
      </c>
      <c r="B776" s="7" t="s">
        <v>784</v>
      </c>
      <c r="C776" s="7" t="s">
        <v>6489</v>
      </c>
      <c r="D776" s="7" t="s">
        <v>6490</v>
      </c>
      <c r="E776" s="7" t="s">
        <v>6295</v>
      </c>
      <c r="F776" s="7" t="s">
        <v>6348</v>
      </c>
      <c r="G776" s="7" t="s">
        <v>7150</v>
      </c>
      <c r="H776" s="7" t="s">
        <v>7156</v>
      </c>
      <c r="I776" s="7"/>
      <c r="J776" s="10">
        <v>46063</v>
      </c>
      <c r="K776" s="7" t="s">
        <v>7163</v>
      </c>
      <c r="L776" s="7"/>
      <c r="M776" s="7"/>
    </row>
    <row r="777" spans="1:13" x14ac:dyDescent="0.3">
      <c r="A777" s="7">
        <v>18594</v>
      </c>
      <c r="B777" s="7" t="s">
        <v>785</v>
      </c>
      <c r="C777" s="7" t="s">
        <v>6489</v>
      </c>
      <c r="D777" s="7" t="s">
        <v>6490</v>
      </c>
      <c r="E777" s="7" t="s">
        <v>6295</v>
      </c>
      <c r="F777" s="7" t="s">
        <v>6348</v>
      </c>
      <c r="G777" s="7" t="s">
        <v>7150</v>
      </c>
      <c r="H777" s="7" t="s">
        <v>7156</v>
      </c>
      <c r="I777" s="7"/>
      <c r="J777" s="10">
        <v>46163</v>
      </c>
      <c r="K777" s="7" t="s">
        <v>7163</v>
      </c>
      <c r="L777" s="7"/>
      <c r="M777" s="7"/>
    </row>
    <row r="778" spans="1:13" x14ac:dyDescent="0.3">
      <c r="A778" s="7">
        <v>16747</v>
      </c>
      <c r="B778" s="7" t="s">
        <v>786</v>
      </c>
      <c r="C778" s="7" t="s">
        <v>6489</v>
      </c>
      <c r="D778" s="7" t="s">
        <v>6490</v>
      </c>
      <c r="E778" s="7" t="s">
        <v>6295</v>
      </c>
      <c r="F778" s="7" t="s">
        <v>6341</v>
      </c>
      <c r="G778" s="7" t="s">
        <v>7150</v>
      </c>
      <c r="H778" s="7" t="s">
        <v>7156</v>
      </c>
      <c r="I778" s="7"/>
      <c r="J778" s="10">
        <v>45538</v>
      </c>
      <c r="K778" s="7" t="s">
        <v>7163</v>
      </c>
      <c r="L778" s="7"/>
      <c r="M778" s="7"/>
    </row>
    <row r="779" spans="1:13" x14ac:dyDescent="0.3">
      <c r="A779" s="7">
        <v>18221</v>
      </c>
      <c r="B779" s="7" t="s">
        <v>787</v>
      </c>
      <c r="C779" s="7" t="s">
        <v>6489</v>
      </c>
      <c r="D779" s="7" t="s">
        <v>6490</v>
      </c>
      <c r="E779" s="7" t="s">
        <v>6295</v>
      </c>
      <c r="F779" s="7" t="s">
        <v>6348</v>
      </c>
      <c r="G779" s="7" t="s">
        <v>7150</v>
      </c>
      <c r="H779" s="7" t="s">
        <v>7156</v>
      </c>
      <c r="I779" s="7"/>
      <c r="J779" s="10">
        <v>46063</v>
      </c>
      <c r="K779" s="7" t="s">
        <v>7163</v>
      </c>
      <c r="L779" s="7"/>
      <c r="M779" s="7"/>
    </row>
    <row r="780" spans="1:13" x14ac:dyDescent="0.3">
      <c r="A780" s="7">
        <v>16748</v>
      </c>
      <c r="B780" s="7" t="s">
        <v>788</v>
      </c>
      <c r="C780" s="7" t="s">
        <v>6489</v>
      </c>
      <c r="D780" s="7" t="s">
        <v>6490</v>
      </c>
      <c r="E780" s="7" t="s">
        <v>6295</v>
      </c>
      <c r="F780" s="7" t="s">
        <v>6341</v>
      </c>
      <c r="G780" s="7" t="s">
        <v>7150</v>
      </c>
      <c r="H780" s="7" t="s">
        <v>7156</v>
      </c>
      <c r="I780" s="7"/>
      <c r="J780" s="10">
        <v>45538</v>
      </c>
      <c r="K780" s="7" t="s">
        <v>7163</v>
      </c>
      <c r="L780" s="7"/>
      <c r="M780" s="7"/>
    </row>
    <row r="781" spans="1:13" x14ac:dyDescent="0.3">
      <c r="A781" s="7">
        <v>16926</v>
      </c>
      <c r="B781" s="7" t="s">
        <v>789</v>
      </c>
      <c r="C781" s="7" t="s">
        <v>6488</v>
      </c>
      <c r="D781" s="7" t="s">
        <v>6491</v>
      </c>
      <c r="E781" s="7" t="s">
        <v>6295</v>
      </c>
      <c r="F781" s="7" t="s">
        <v>6341</v>
      </c>
      <c r="G781" s="7" t="s">
        <v>7150</v>
      </c>
      <c r="H781" s="7" t="s">
        <v>7156</v>
      </c>
      <c r="I781" s="7"/>
      <c r="J781" s="10">
        <v>45568</v>
      </c>
      <c r="K781" s="7" t="s">
        <v>7163</v>
      </c>
      <c r="L781" s="7"/>
      <c r="M781" s="7"/>
    </row>
    <row r="782" spans="1:13" x14ac:dyDescent="0.3">
      <c r="A782" s="7">
        <v>17452</v>
      </c>
      <c r="B782" s="7" t="s">
        <v>790</v>
      </c>
      <c r="C782" s="7" t="s">
        <v>6489</v>
      </c>
      <c r="D782" s="7" t="s">
        <v>6490</v>
      </c>
      <c r="E782" s="7" t="s">
        <v>6295</v>
      </c>
      <c r="F782" s="7" t="s">
        <v>6341</v>
      </c>
      <c r="G782" s="7" t="s">
        <v>7150</v>
      </c>
      <c r="H782" s="7" t="s">
        <v>7156</v>
      </c>
      <c r="I782" s="7"/>
      <c r="J782" s="10">
        <v>45756</v>
      </c>
      <c r="K782" s="7" t="s">
        <v>7163</v>
      </c>
      <c r="L782" s="7"/>
      <c r="M782" s="7"/>
    </row>
    <row r="783" spans="1:13" x14ac:dyDescent="0.3">
      <c r="A783" s="7">
        <v>17506</v>
      </c>
      <c r="B783" s="7" t="s">
        <v>791</v>
      </c>
      <c r="C783" s="7" t="s">
        <v>6489</v>
      </c>
      <c r="D783" s="7" t="s">
        <v>6490</v>
      </c>
      <c r="E783" s="7" t="s">
        <v>6295</v>
      </c>
      <c r="F783" s="7" t="s">
        <v>6341</v>
      </c>
      <c r="G783" s="7" t="s">
        <v>7150</v>
      </c>
      <c r="H783" s="7" t="s">
        <v>7156</v>
      </c>
      <c r="I783" s="7"/>
      <c r="J783" s="10">
        <v>45778</v>
      </c>
      <c r="K783" s="7" t="s">
        <v>7163</v>
      </c>
      <c r="L783" s="7"/>
      <c r="M783" s="7"/>
    </row>
    <row r="784" spans="1:13" x14ac:dyDescent="0.3">
      <c r="A784" s="7">
        <v>17739</v>
      </c>
      <c r="B784" s="7" t="s">
        <v>792</v>
      </c>
      <c r="C784" s="7" t="s">
        <v>6488</v>
      </c>
      <c r="D784" s="7" t="s">
        <v>6491</v>
      </c>
      <c r="E784" s="7" t="s">
        <v>6295</v>
      </c>
      <c r="F784" s="7" t="s">
        <v>6341</v>
      </c>
      <c r="G784" s="7" t="s">
        <v>7150</v>
      </c>
      <c r="H784" s="7" t="s">
        <v>7156</v>
      </c>
      <c r="I784" s="7"/>
      <c r="J784" s="10">
        <v>45860</v>
      </c>
      <c r="K784" s="7" t="s">
        <v>7163</v>
      </c>
      <c r="L784" s="7"/>
      <c r="M784" s="7"/>
    </row>
    <row r="785" spans="1:13" x14ac:dyDescent="0.3">
      <c r="A785" s="7">
        <v>17746</v>
      </c>
      <c r="B785" s="7" t="s">
        <v>793</v>
      </c>
      <c r="C785" s="7" t="s">
        <v>6489</v>
      </c>
      <c r="D785" s="7" t="s">
        <v>6490</v>
      </c>
      <c r="E785" s="7" t="s">
        <v>6295</v>
      </c>
      <c r="F785" s="7" t="s">
        <v>6341</v>
      </c>
      <c r="G785" s="7" t="s">
        <v>7150</v>
      </c>
      <c r="H785" s="7" t="s">
        <v>7156</v>
      </c>
      <c r="I785" s="7"/>
      <c r="J785" s="10">
        <v>45861</v>
      </c>
      <c r="K785" s="7" t="s">
        <v>7163</v>
      </c>
      <c r="L785" s="7"/>
      <c r="M785" s="7"/>
    </row>
    <row r="786" spans="1:13" x14ac:dyDescent="0.3">
      <c r="A786" s="7">
        <v>17926</v>
      </c>
      <c r="B786" s="7" t="s">
        <v>794</v>
      </c>
      <c r="C786" s="7" t="s">
        <v>6488</v>
      </c>
      <c r="D786" s="7" t="s">
        <v>6491</v>
      </c>
      <c r="E786" s="7" t="s">
        <v>6295</v>
      </c>
      <c r="F786" s="7" t="s">
        <v>6341</v>
      </c>
      <c r="G786" s="7" t="s">
        <v>7150</v>
      </c>
      <c r="H786" s="7" t="s">
        <v>7156</v>
      </c>
      <c r="I786" s="7"/>
      <c r="J786" s="10">
        <v>45919</v>
      </c>
      <c r="K786" s="7" t="s">
        <v>7163</v>
      </c>
      <c r="L786" s="7"/>
      <c r="M786" s="7"/>
    </row>
    <row r="787" spans="1:13" x14ac:dyDescent="0.3">
      <c r="A787" s="7">
        <v>12285</v>
      </c>
      <c r="B787" s="7" t="s">
        <v>795</v>
      </c>
      <c r="C787" s="7" t="s">
        <v>6488</v>
      </c>
      <c r="D787" s="7" t="s">
        <v>6491</v>
      </c>
      <c r="E787" s="7" t="s">
        <v>6295</v>
      </c>
      <c r="F787" s="7" t="s">
        <v>6338</v>
      </c>
      <c r="G787" s="7" t="s">
        <v>7150</v>
      </c>
      <c r="H787" s="7" t="s">
        <v>7156</v>
      </c>
      <c r="I787" s="7"/>
      <c r="J787" s="10">
        <v>43668</v>
      </c>
      <c r="K787" s="7" t="s">
        <v>7163</v>
      </c>
      <c r="L787" s="7"/>
      <c r="M787" s="7"/>
    </row>
    <row r="788" spans="1:13" x14ac:dyDescent="0.3">
      <c r="A788" s="7">
        <v>137007</v>
      </c>
      <c r="B788" s="7" t="s">
        <v>796</v>
      </c>
      <c r="C788" s="7" t="s">
        <v>6488</v>
      </c>
      <c r="D788" s="7" t="s">
        <v>6491</v>
      </c>
      <c r="E788" s="7" t="s">
        <v>6295</v>
      </c>
      <c r="F788" s="7" t="s">
        <v>6335</v>
      </c>
      <c r="G788" s="7" t="s">
        <v>7150</v>
      </c>
      <c r="H788" s="7" t="s">
        <v>7156</v>
      </c>
      <c r="I788" s="7"/>
      <c r="J788" s="10">
        <v>44324</v>
      </c>
      <c r="K788" s="7" t="s">
        <v>7163</v>
      </c>
      <c r="L788" s="7"/>
      <c r="M788" s="7"/>
    </row>
    <row r="789" spans="1:13" x14ac:dyDescent="0.3">
      <c r="A789" s="7">
        <v>900050</v>
      </c>
      <c r="B789" s="7" t="s">
        <v>797</v>
      </c>
      <c r="C789" s="7" t="s">
        <v>6488</v>
      </c>
      <c r="D789" s="7" t="s">
        <v>6491</v>
      </c>
      <c r="E789" s="7" t="s">
        <v>6295</v>
      </c>
      <c r="F789" s="7" t="s">
        <v>6335</v>
      </c>
      <c r="G789" s="7" t="s">
        <v>7150</v>
      </c>
      <c r="H789" s="7" t="s">
        <v>7156</v>
      </c>
      <c r="I789" s="7"/>
      <c r="J789" s="10">
        <v>44389</v>
      </c>
      <c r="K789" s="7" t="s">
        <v>7163</v>
      </c>
      <c r="L789" s="7"/>
      <c r="M789" s="7"/>
    </row>
    <row r="790" spans="1:13" x14ac:dyDescent="0.3">
      <c r="A790" s="7">
        <v>140048</v>
      </c>
      <c r="B790" s="7" t="s">
        <v>798</v>
      </c>
      <c r="C790" s="7" t="s">
        <v>6488</v>
      </c>
      <c r="D790" s="7" t="s">
        <v>6491</v>
      </c>
      <c r="E790" s="7" t="s">
        <v>6295</v>
      </c>
      <c r="F790" s="7" t="s">
        <v>6353</v>
      </c>
      <c r="G790" s="7" t="s">
        <v>7150</v>
      </c>
      <c r="H790" s="7" t="s">
        <v>7156</v>
      </c>
      <c r="I790" s="7"/>
      <c r="J790" s="10">
        <v>44324</v>
      </c>
      <c r="K790" s="7" t="s">
        <v>7163</v>
      </c>
      <c r="L790" s="7"/>
      <c r="M790" s="7"/>
    </row>
    <row r="791" spans="1:13" x14ac:dyDescent="0.3">
      <c r="A791" s="7">
        <v>14479</v>
      </c>
      <c r="B791" s="7" t="s">
        <v>799</v>
      </c>
      <c r="C791" s="7" t="s">
        <v>6488</v>
      </c>
      <c r="D791" s="7" t="s">
        <v>6491</v>
      </c>
      <c r="E791" s="7" t="s">
        <v>6295</v>
      </c>
      <c r="F791" s="7" t="s">
        <v>6341</v>
      </c>
      <c r="G791" s="7" t="s">
        <v>7150</v>
      </c>
      <c r="H791" s="7" t="s">
        <v>7156</v>
      </c>
      <c r="I791" s="7"/>
      <c r="J791" s="10">
        <v>44767</v>
      </c>
      <c r="K791" s="7" t="s">
        <v>7163</v>
      </c>
      <c r="L791" s="7"/>
      <c r="M791" s="7"/>
    </row>
    <row r="792" spans="1:13" x14ac:dyDescent="0.3">
      <c r="A792" s="7">
        <v>18487</v>
      </c>
      <c r="B792" s="7" t="s">
        <v>800</v>
      </c>
      <c r="C792" s="7" t="s">
        <v>6488</v>
      </c>
      <c r="D792" s="7" t="s">
        <v>6491</v>
      </c>
      <c r="E792" s="7" t="s">
        <v>6295</v>
      </c>
      <c r="F792" s="7" t="s">
        <v>6348</v>
      </c>
      <c r="G792" s="7" t="s">
        <v>7150</v>
      </c>
      <c r="H792" s="7" t="s">
        <v>7156</v>
      </c>
      <c r="I792" s="7"/>
      <c r="J792" s="10">
        <v>46140</v>
      </c>
      <c r="K792" s="7" t="s">
        <v>7163</v>
      </c>
      <c r="L792" s="7"/>
      <c r="M792" s="7"/>
    </row>
    <row r="793" spans="1:13" x14ac:dyDescent="0.3">
      <c r="A793" s="7">
        <v>10254</v>
      </c>
      <c r="B793" s="7" t="s">
        <v>801</v>
      </c>
      <c r="C793" s="7" t="s">
        <v>6492</v>
      </c>
      <c r="D793" s="7" t="s">
        <v>6295</v>
      </c>
      <c r="E793" s="7" t="s">
        <v>6295</v>
      </c>
      <c r="F793" s="7" t="s">
        <v>6356</v>
      </c>
      <c r="G793" s="7" t="s">
        <v>7150</v>
      </c>
      <c r="H793" s="7" t="s">
        <v>7156</v>
      </c>
      <c r="I793" s="7"/>
      <c r="J793" s="10">
        <v>39049</v>
      </c>
      <c r="K793" s="7" t="s">
        <v>7163</v>
      </c>
      <c r="L793" s="7"/>
      <c r="M793" s="7"/>
    </row>
    <row r="794" spans="1:13" x14ac:dyDescent="0.3">
      <c r="A794" s="7">
        <v>10791</v>
      </c>
      <c r="B794" s="7" t="s">
        <v>802</v>
      </c>
      <c r="C794" s="7" t="s">
        <v>6492</v>
      </c>
      <c r="D794" s="7" t="s">
        <v>6295</v>
      </c>
      <c r="E794" s="7" t="s">
        <v>6295</v>
      </c>
      <c r="F794" s="7" t="s">
        <v>6336</v>
      </c>
      <c r="G794" s="7" t="s">
        <v>7150</v>
      </c>
      <c r="H794" s="7" t="s">
        <v>7156</v>
      </c>
      <c r="I794" s="7"/>
      <c r="J794" s="10">
        <v>41890</v>
      </c>
      <c r="K794" s="7" t="s">
        <v>7163</v>
      </c>
      <c r="L794" s="7"/>
      <c r="M794" s="7"/>
    </row>
    <row r="795" spans="1:13" x14ac:dyDescent="0.3">
      <c r="A795" s="7">
        <v>17190</v>
      </c>
      <c r="B795" s="7" t="s">
        <v>803</v>
      </c>
      <c r="C795" s="7" t="s">
        <v>6492</v>
      </c>
      <c r="D795" s="7" t="s">
        <v>6493</v>
      </c>
      <c r="E795" s="7" t="s">
        <v>6295</v>
      </c>
      <c r="F795" s="7" t="s">
        <v>6335</v>
      </c>
      <c r="G795" s="7" t="s">
        <v>7150</v>
      </c>
      <c r="H795" s="7" t="s">
        <v>7156</v>
      </c>
      <c r="I795" s="7"/>
      <c r="J795" s="10">
        <v>45663</v>
      </c>
      <c r="K795" s="7" t="s">
        <v>7163</v>
      </c>
      <c r="L795" s="7"/>
      <c r="M795" s="7"/>
    </row>
    <row r="796" spans="1:13" x14ac:dyDescent="0.3">
      <c r="A796" s="7">
        <v>10515</v>
      </c>
      <c r="B796" s="7" t="s">
        <v>804</v>
      </c>
      <c r="C796" s="7" t="s">
        <v>6492</v>
      </c>
      <c r="D796" s="7" t="s">
        <v>6493</v>
      </c>
      <c r="E796" s="7" t="s">
        <v>6295</v>
      </c>
      <c r="F796" s="7" t="s">
        <v>6353</v>
      </c>
      <c r="G796" s="7" t="s">
        <v>7150</v>
      </c>
      <c r="H796" s="7" t="s">
        <v>7156</v>
      </c>
      <c r="I796" s="7"/>
      <c r="J796" s="10">
        <v>41015</v>
      </c>
      <c r="K796" s="7" t="s">
        <v>7163</v>
      </c>
      <c r="L796" s="7"/>
      <c r="M796" s="7"/>
    </row>
    <row r="797" spans="1:13" x14ac:dyDescent="0.3">
      <c r="A797" s="7">
        <v>400018</v>
      </c>
      <c r="B797" s="7" t="s">
        <v>805</v>
      </c>
      <c r="C797" s="7" t="s">
        <v>6492</v>
      </c>
      <c r="D797" s="7" t="s">
        <v>6493</v>
      </c>
      <c r="E797" s="7" t="s">
        <v>6295</v>
      </c>
      <c r="F797" s="7" t="s">
        <v>6335</v>
      </c>
      <c r="G797" s="7" t="s">
        <v>7150</v>
      </c>
      <c r="H797" s="7" t="s">
        <v>7156</v>
      </c>
      <c r="I797" s="7"/>
      <c r="J797" s="10">
        <v>38405</v>
      </c>
      <c r="K797" s="7" t="s">
        <v>7163</v>
      </c>
      <c r="L797" s="7"/>
      <c r="M797" s="7"/>
    </row>
    <row r="798" spans="1:13" x14ac:dyDescent="0.3">
      <c r="A798" s="7">
        <v>12659</v>
      </c>
      <c r="B798" s="7" t="s">
        <v>806</v>
      </c>
      <c r="C798" s="7" t="s">
        <v>6492</v>
      </c>
      <c r="D798" s="7" t="s">
        <v>6493</v>
      </c>
      <c r="E798" s="7" t="s">
        <v>6295</v>
      </c>
      <c r="F798" s="7" t="s">
        <v>6353</v>
      </c>
      <c r="G798" s="7" t="s">
        <v>7150</v>
      </c>
      <c r="H798" s="7" t="s">
        <v>7156</v>
      </c>
      <c r="I798" s="7"/>
      <c r="J798" s="10">
        <v>43857</v>
      </c>
      <c r="K798" s="7" t="s">
        <v>7163</v>
      </c>
      <c r="L798" s="7"/>
      <c r="M798" s="7"/>
    </row>
    <row r="799" spans="1:13" x14ac:dyDescent="0.3">
      <c r="A799" s="7">
        <v>12425</v>
      </c>
      <c r="B799" s="7" t="s">
        <v>807</v>
      </c>
      <c r="C799" s="7" t="s">
        <v>6492</v>
      </c>
      <c r="D799" s="7" t="s">
        <v>6493</v>
      </c>
      <c r="E799" s="7" t="s">
        <v>6295</v>
      </c>
      <c r="F799" s="7" t="s">
        <v>6340</v>
      </c>
      <c r="G799" s="7" t="s">
        <v>7150</v>
      </c>
      <c r="H799" s="7" t="s">
        <v>7156</v>
      </c>
      <c r="I799" s="7"/>
      <c r="J799" s="10">
        <v>43742</v>
      </c>
      <c r="K799" s="7" t="s">
        <v>7163</v>
      </c>
      <c r="L799" s="7"/>
      <c r="M799" s="7"/>
    </row>
    <row r="800" spans="1:13" x14ac:dyDescent="0.3">
      <c r="A800" s="7">
        <v>14883</v>
      </c>
      <c r="B800" s="7" t="s">
        <v>808</v>
      </c>
      <c r="C800" s="7" t="s">
        <v>6492</v>
      </c>
      <c r="D800" s="7" t="s">
        <v>6493</v>
      </c>
      <c r="E800" s="7" t="s">
        <v>6295</v>
      </c>
      <c r="F800" s="7" t="s">
        <v>6340</v>
      </c>
      <c r="G800" s="7" t="s">
        <v>7150</v>
      </c>
      <c r="H800" s="7" t="s">
        <v>7156</v>
      </c>
      <c r="I800" s="7"/>
      <c r="J800" s="10">
        <v>44888</v>
      </c>
      <c r="K800" s="7" t="s">
        <v>7163</v>
      </c>
      <c r="L800" s="7"/>
      <c r="M800" s="7"/>
    </row>
    <row r="801" spans="1:13" x14ac:dyDescent="0.3">
      <c r="A801" s="7">
        <v>14015</v>
      </c>
      <c r="B801" s="7" t="s">
        <v>809</v>
      </c>
      <c r="C801" s="7" t="s">
        <v>6492</v>
      </c>
      <c r="D801" s="7" t="s">
        <v>6493</v>
      </c>
      <c r="E801" s="7" t="s">
        <v>6295</v>
      </c>
      <c r="F801" s="7" t="s">
        <v>6341</v>
      </c>
      <c r="G801" s="7" t="s">
        <v>7150</v>
      </c>
      <c r="H801" s="7" t="s">
        <v>7156</v>
      </c>
      <c r="I801" s="7"/>
      <c r="J801" s="10">
        <v>44624</v>
      </c>
      <c r="K801" s="7" t="s">
        <v>7163</v>
      </c>
      <c r="L801" s="7"/>
      <c r="M801" s="7"/>
    </row>
    <row r="802" spans="1:13" x14ac:dyDescent="0.3">
      <c r="A802" s="7">
        <v>18686</v>
      </c>
      <c r="B802" s="7" t="s">
        <v>810</v>
      </c>
      <c r="C802" s="7" t="s">
        <v>6492</v>
      </c>
      <c r="D802" s="7" t="s">
        <v>6493</v>
      </c>
      <c r="E802" s="7" t="s">
        <v>6295</v>
      </c>
      <c r="F802" s="7" t="s">
        <v>6341</v>
      </c>
      <c r="G802" s="7" t="s">
        <v>7150</v>
      </c>
      <c r="H802" s="7" t="s">
        <v>7156</v>
      </c>
      <c r="I802" s="7"/>
      <c r="J802" s="10">
        <v>46191</v>
      </c>
      <c r="K802" s="7" t="s">
        <v>7163</v>
      </c>
      <c r="L802" s="7"/>
      <c r="M802" s="7"/>
    </row>
    <row r="803" spans="1:13" x14ac:dyDescent="0.3">
      <c r="A803" s="7">
        <v>15876</v>
      </c>
      <c r="B803" s="7" t="s">
        <v>811</v>
      </c>
      <c r="C803" s="7" t="s">
        <v>6492</v>
      </c>
      <c r="D803" s="7" t="s">
        <v>6493</v>
      </c>
      <c r="E803" s="7" t="s">
        <v>6295</v>
      </c>
      <c r="F803" s="7" t="s">
        <v>6340</v>
      </c>
      <c r="G803" s="7" t="s">
        <v>7150</v>
      </c>
      <c r="H803" s="7" t="s">
        <v>7156</v>
      </c>
      <c r="I803" s="7"/>
      <c r="J803" s="10">
        <v>45226</v>
      </c>
      <c r="K803" s="7" t="s">
        <v>7163</v>
      </c>
      <c r="L803" s="7"/>
      <c r="M803" s="7"/>
    </row>
    <row r="804" spans="1:13" x14ac:dyDescent="0.3">
      <c r="A804" s="7">
        <v>17210</v>
      </c>
      <c r="B804" s="7" t="s">
        <v>812</v>
      </c>
      <c r="C804" s="7" t="s">
        <v>6492</v>
      </c>
      <c r="D804" s="7" t="s">
        <v>6493</v>
      </c>
      <c r="E804" s="7" t="s">
        <v>6295</v>
      </c>
      <c r="F804" s="7" t="s">
        <v>6340</v>
      </c>
      <c r="G804" s="7" t="s">
        <v>7150</v>
      </c>
      <c r="H804" s="7" t="s">
        <v>7156</v>
      </c>
      <c r="I804" s="7"/>
      <c r="J804" s="10">
        <v>45663</v>
      </c>
      <c r="K804" s="7" t="s">
        <v>7163</v>
      </c>
      <c r="L804" s="7"/>
      <c r="M804" s="7"/>
    </row>
    <row r="805" spans="1:13" x14ac:dyDescent="0.3">
      <c r="A805" s="7">
        <v>11244</v>
      </c>
      <c r="B805" s="7" t="s">
        <v>813</v>
      </c>
      <c r="C805" s="7" t="s">
        <v>6492</v>
      </c>
      <c r="D805" s="7" t="s">
        <v>6494</v>
      </c>
      <c r="E805" s="7" t="s">
        <v>6295</v>
      </c>
      <c r="F805" s="7" t="s">
        <v>6338</v>
      </c>
      <c r="G805" s="7" t="s">
        <v>7150</v>
      </c>
      <c r="H805" s="7" t="s">
        <v>7156</v>
      </c>
      <c r="I805" s="7"/>
      <c r="J805" s="10">
        <v>42464</v>
      </c>
      <c r="K805" s="7" t="s">
        <v>7163</v>
      </c>
      <c r="L805" s="7"/>
      <c r="M805" s="7"/>
    </row>
    <row r="806" spans="1:13" x14ac:dyDescent="0.3">
      <c r="A806" s="7">
        <v>12139</v>
      </c>
      <c r="B806" s="7" t="s">
        <v>814</v>
      </c>
      <c r="C806" s="7" t="s">
        <v>6492</v>
      </c>
      <c r="D806" s="7" t="s">
        <v>6494</v>
      </c>
      <c r="E806" s="7" t="s">
        <v>6295</v>
      </c>
      <c r="F806" s="7" t="s">
        <v>6335</v>
      </c>
      <c r="G806" s="7" t="s">
        <v>7150</v>
      </c>
      <c r="H806" s="7" t="s">
        <v>7156</v>
      </c>
      <c r="I806" s="7"/>
      <c r="J806" s="10">
        <v>43515</v>
      </c>
      <c r="K806" s="7" t="s">
        <v>7163</v>
      </c>
      <c r="L806" s="7"/>
      <c r="M806" s="7"/>
    </row>
    <row r="807" spans="1:13" x14ac:dyDescent="0.3">
      <c r="A807" s="7">
        <v>18647</v>
      </c>
      <c r="B807" s="7" t="s">
        <v>815</v>
      </c>
      <c r="C807" s="7" t="s">
        <v>6492</v>
      </c>
      <c r="D807" s="7" t="s">
        <v>6494</v>
      </c>
      <c r="E807" s="7" t="s">
        <v>6295</v>
      </c>
      <c r="F807" s="7" t="s">
        <v>6341</v>
      </c>
      <c r="G807" s="7" t="s">
        <v>7150</v>
      </c>
      <c r="H807" s="7" t="s">
        <v>7156</v>
      </c>
      <c r="I807" s="7" t="s">
        <v>7158</v>
      </c>
      <c r="J807" s="10">
        <v>46176</v>
      </c>
      <c r="K807" s="7" t="s">
        <v>7163</v>
      </c>
      <c r="L807" s="7"/>
      <c r="M807" s="7"/>
    </row>
    <row r="808" spans="1:13" x14ac:dyDescent="0.3">
      <c r="A808" s="7">
        <v>18646</v>
      </c>
      <c r="B808" s="7" t="s">
        <v>816</v>
      </c>
      <c r="C808" s="7" t="s">
        <v>6492</v>
      </c>
      <c r="D808" s="7" t="s">
        <v>6494</v>
      </c>
      <c r="E808" s="7" t="s">
        <v>6295</v>
      </c>
      <c r="F808" s="7" t="s">
        <v>6341</v>
      </c>
      <c r="G808" s="7" t="s">
        <v>7150</v>
      </c>
      <c r="H808" s="7" t="s">
        <v>7156</v>
      </c>
      <c r="I808" s="7" t="s">
        <v>7158</v>
      </c>
      <c r="J808" s="10">
        <v>46176</v>
      </c>
      <c r="K808" s="7" t="s">
        <v>7163</v>
      </c>
      <c r="L808" s="7"/>
      <c r="M808" s="7"/>
    </row>
    <row r="809" spans="1:13" x14ac:dyDescent="0.3">
      <c r="A809" s="7">
        <v>190004</v>
      </c>
      <c r="B809" s="7" t="s">
        <v>817</v>
      </c>
      <c r="C809" s="7" t="s">
        <v>6492</v>
      </c>
      <c r="D809" s="7" t="s">
        <v>6495</v>
      </c>
      <c r="E809" s="7" t="s">
        <v>6295</v>
      </c>
      <c r="F809" s="7" t="s">
        <v>6338</v>
      </c>
      <c r="G809" s="7" t="s">
        <v>7150</v>
      </c>
      <c r="H809" s="7" t="s">
        <v>7156</v>
      </c>
      <c r="I809" s="7"/>
      <c r="J809" s="10">
        <v>38775</v>
      </c>
      <c r="K809" s="7" t="s">
        <v>7163</v>
      </c>
      <c r="L809" s="7"/>
      <c r="M809" s="7"/>
    </row>
    <row r="810" spans="1:13" x14ac:dyDescent="0.3">
      <c r="A810" s="7">
        <v>12163</v>
      </c>
      <c r="B810" s="7" t="s">
        <v>818</v>
      </c>
      <c r="C810" s="7" t="s">
        <v>6492</v>
      </c>
      <c r="D810" s="7" t="s">
        <v>6495</v>
      </c>
      <c r="E810" s="7" t="s">
        <v>6295</v>
      </c>
      <c r="F810" s="7" t="s">
        <v>6353</v>
      </c>
      <c r="G810" s="7" t="s">
        <v>7150</v>
      </c>
      <c r="H810" s="7" t="s">
        <v>7156</v>
      </c>
      <c r="I810" s="7"/>
      <c r="J810" s="10">
        <v>43535</v>
      </c>
      <c r="K810" s="7" t="s">
        <v>7163</v>
      </c>
      <c r="L810" s="7"/>
      <c r="M810" s="7"/>
    </row>
    <row r="811" spans="1:13" x14ac:dyDescent="0.3">
      <c r="A811" s="7">
        <v>13556</v>
      </c>
      <c r="B811" s="7" t="s">
        <v>819</v>
      </c>
      <c r="C811" s="7" t="s">
        <v>6492</v>
      </c>
      <c r="D811" s="7" t="s">
        <v>6495</v>
      </c>
      <c r="E811" s="7" t="s">
        <v>6295</v>
      </c>
      <c r="F811" s="7" t="s">
        <v>6340</v>
      </c>
      <c r="G811" s="7" t="s">
        <v>7150</v>
      </c>
      <c r="H811" s="7" t="s">
        <v>7156</v>
      </c>
      <c r="I811" s="7"/>
      <c r="J811" s="10">
        <v>44494</v>
      </c>
      <c r="K811" s="7" t="s">
        <v>7163</v>
      </c>
      <c r="L811" s="7"/>
      <c r="M811" s="7"/>
    </row>
    <row r="812" spans="1:13" x14ac:dyDescent="0.3">
      <c r="A812" s="7">
        <v>133011</v>
      </c>
      <c r="B812" s="7" t="s">
        <v>820</v>
      </c>
      <c r="C812" s="7" t="s">
        <v>6492</v>
      </c>
      <c r="D812" s="7" t="s">
        <v>6495</v>
      </c>
      <c r="E812" s="7" t="s">
        <v>6295</v>
      </c>
      <c r="F812" s="7" t="s">
        <v>6340</v>
      </c>
      <c r="G812" s="7" t="s">
        <v>7150</v>
      </c>
      <c r="H812" s="7" t="s">
        <v>7156</v>
      </c>
      <c r="I812" s="7"/>
      <c r="J812" s="10">
        <v>43222</v>
      </c>
      <c r="K812" s="7" t="s">
        <v>7163</v>
      </c>
      <c r="L812" s="7"/>
      <c r="M812" s="7"/>
    </row>
    <row r="813" spans="1:13" x14ac:dyDescent="0.3">
      <c r="A813" s="7">
        <v>18904</v>
      </c>
      <c r="B813" s="7" t="s">
        <v>821</v>
      </c>
      <c r="C813" s="7" t="s">
        <v>6492</v>
      </c>
      <c r="D813" s="7" t="s">
        <v>6495</v>
      </c>
      <c r="E813" s="7" t="s">
        <v>6295</v>
      </c>
      <c r="F813" s="7" t="s">
        <v>6340</v>
      </c>
      <c r="G813" s="7" t="s">
        <v>7150</v>
      </c>
      <c r="H813" s="7" t="s">
        <v>7156</v>
      </c>
      <c r="I813" s="7"/>
      <c r="J813" s="10">
        <v>46239</v>
      </c>
      <c r="K813" s="7" t="s">
        <v>7163</v>
      </c>
      <c r="L813" s="7"/>
      <c r="M813" s="7"/>
    </row>
    <row r="814" spans="1:13" x14ac:dyDescent="0.3">
      <c r="A814" s="7">
        <v>700067</v>
      </c>
      <c r="B814" s="7" t="s">
        <v>822</v>
      </c>
      <c r="C814" s="7" t="s">
        <v>6492</v>
      </c>
      <c r="D814" s="7" t="s">
        <v>6495</v>
      </c>
      <c r="E814" s="7" t="s">
        <v>6295</v>
      </c>
      <c r="F814" s="7" t="s">
        <v>6353</v>
      </c>
      <c r="G814" s="7" t="s">
        <v>7150</v>
      </c>
      <c r="H814" s="7" t="s">
        <v>7156</v>
      </c>
      <c r="I814" s="7"/>
      <c r="J814" s="10">
        <v>44614</v>
      </c>
      <c r="K814" s="7" t="s">
        <v>7163</v>
      </c>
      <c r="L814" s="7"/>
      <c r="M814" s="7"/>
    </row>
    <row r="815" spans="1:13" x14ac:dyDescent="0.3">
      <c r="A815" s="7">
        <v>13107</v>
      </c>
      <c r="B815" s="7" t="s">
        <v>823</v>
      </c>
      <c r="C815" s="7" t="s">
        <v>6492</v>
      </c>
      <c r="D815" s="7" t="s">
        <v>6495</v>
      </c>
      <c r="E815" s="7" t="s">
        <v>6295</v>
      </c>
      <c r="F815" s="7" t="s">
        <v>6496</v>
      </c>
      <c r="G815" s="7" t="s">
        <v>7150</v>
      </c>
      <c r="H815" s="7" t="s">
        <v>7156</v>
      </c>
      <c r="I815" s="7"/>
      <c r="J815" s="10">
        <v>44258</v>
      </c>
      <c r="K815" s="7" t="s">
        <v>7163</v>
      </c>
      <c r="L815" s="7"/>
      <c r="M815" s="7"/>
    </row>
    <row r="816" spans="1:13" x14ac:dyDescent="0.3">
      <c r="A816" s="7">
        <v>400053</v>
      </c>
      <c r="B816" s="7" t="s">
        <v>824</v>
      </c>
      <c r="C816" s="7" t="s">
        <v>6492</v>
      </c>
      <c r="D816" s="7" t="s">
        <v>6495</v>
      </c>
      <c r="E816" s="7" t="s">
        <v>6295</v>
      </c>
      <c r="F816" s="7" t="s">
        <v>6340</v>
      </c>
      <c r="G816" s="7" t="s">
        <v>7150</v>
      </c>
      <c r="H816" s="7" t="s">
        <v>7156</v>
      </c>
      <c r="I816" s="7"/>
      <c r="J816" s="10">
        <v>43781</v>
      </c>
      <c r="K816" s="7" t="s">
        <v>7163</v>
      </c>
      <c r="L816" s="7"/>
      <c r="M816" s="7"/>
    </row>
    <row r="817" spans="1:13" x14ac:dyDescent="0.3">
      <c r="A817" s="7">
        <v>16584</v>
      </c>
      <c r="B817" s="7" t="s">
        <v>825</v>
      </c>
      <c r="C817" s="7" t="s">
        <v>6492</v>
      </c>
      <c r="D817" s="7" t="s">
        <v>6495</v>
      </c>
      <c r="E817" s="7" t="s">
        <v>6295</v>
      </c>
      <c r="F817" s="7" t="s">
        <v>6341</v>
      </c>
      <c r="G817" s="7" t="s">
        <v>7150</v>
      </c>
      <c r="H817" s="7" t="s">
        <v>7156</v>
      </c>
      <c r="I817" s="7"/>
      <c r="J817" s="10">
        <v>45476</v>
      </c>
      <c r="K817" s="7" t="s">
        <v>7163</v>
      </c>
      <c r="L817" s="7"/>
      <c r="M817" s="7"/>
    </row>
    <row r="818" spans="1:13" x14ac:dyDescent="0.3">
      <c r="A818" s="7">
        <v>11919</v>
      </c>
      <c r="B818" s="7" t="s">
        <v>826</v>
      </c>
      <c r="C818" s="7" t="s">
        <v>6492</v>
      </c>
      <c r="D818" s="7" t="s">
        <v>6495</v>
      </c>
      <c r="E818" s="7" t="s">
        <v>6497</v>
      </c>
      <c r="F818" s="7" t="s">
        <v>6498</v>
      </c>
      <c r="G818" s="7" t="s">
        <v>7150</v>
      </c>
      <c r="H818" s="7" t="s">
        <v>7156</v>
      </c>
      <c r="I818" s="7"/>
      <c r="J818" s="10">
        <v>43283</v>
      </c>
      <c r="K818" s="7" t="s">
        <v>7163</v>
      </c>
      <c r="L818" s="7"/>
      <c r="M818" s="7"/>
    </row>
    <row r="819" spans="1:13" x14ac:dyDescent="0.3">
      <c r="A819" s="7">
        <v>18427</v>
      </c>
      <c r="B819" s="7" t="s">
        <v>827</v>
      </c>
      <c r="C819" s="7" t="s">
        <v>6492</v>
      </c>
      <c r="D819" s="7" t="s">
        <v>6495</v>
      </c>
      <c r="E819" s="7" t="s">
        <v>6497</v>
      </c>
      <c r="F819" s="7" t="s">
        <v>6335</v>
      </c>
      <c r="G819" s="7" t="s">
        <v>7150</v>
      </c>
      <c r="H819" s="7" t="s">
        <v>7156</v>
      </c>
      <c r="I819" s="7"/>
      <c r="J819" s="10">
        <v>46126</v>
      </c>
      <c r="K819" s="7" t="s">
        <v>7163</v>
      </c>
      <c r="L819" s="7"/>
      <c r="M819" s="7"/>
    </row>
    <row r="820" spans="1:13" x14ac:dyDescent="0.3">
      <c r="A820" s="7">
        <v>530020</v>
      </c>
      <c r="B820" s="7" t="s">
        <v>828</v>
      </c>
      <c r="C820" s="7" t="s">
        <v>6492</v>
      </c>
      <c r="D820" s="7" t="s">
        <v>6495</v>
      </c>
      <c r="E820" s="7" t="s">
        <v>6497</v>
      </c>
      <c r="F820" s="7" t="s">
        <v>6353</v>
      </c>
      <c r="G820" s="7" t="s">
        <v>7150</v>
      </c>
      <c r="H820" s="7" t="s">
        <v>7156</v>
      </c>
      <c r="I820" s="7"/>
      <c r="J820" s="10">
        <v>43318</v>
      </c>
      <c r="K820" s="7" t="s">
        <v>7163</v>
      </c>
      <c r="L820" s="7"/>
      <c r="M820" s="7"/>
    </row>
    <row r="821" spans="1:13" x14ac:dyDescent="0.3">
      <c r="A821" s="7">
        <v>14644</v>
      </c>
      <c r="B821" s="7" t="s">
        <v>829</v>
      </c>
      <c r="C821" s="7" t="s">
        <v>6492</v>
      </c>
      <c r="D821" s="7" t="s">
        <v>6495</v>
      </c>
      <c r="E821" s="7" t="s">
        <v>6497</v>
      </c>
      <c r="F821" s="7" t="s">
        <v>6340</v>
      </c>
      <c r="G821" s="7" t="s">
        <v>7150</v>
      </c>
      <c r="H821" s="7" t="s">
        <v>7156</v>
      </c>
      <c r="I821" s="7"/>
      <c r="J821" s="10">
        <v>44811</v>
      </c>
      <c r="K821" s="7" t="s">
        <v>7163</v>
      </c>
      <c r="L821" s="7"/>
      <c r="M821" s="7"/>
    </row>
    <row r="822" spans="1:13" x14ac:dyDescent="0.3">
      <c r="A822" s="7">
        <v>18425</v>
      </c>
      <c r="B822" s="7" t="s">
        <v>830</v>
      </c>
      <c r="C822" s="7" t="s">
        <v>6492</v>
      </c>
      <c r="D822" s="7" t="s">
        <v>6495</v>
      </c>
      <c r="E822" s="7" t="s">
        <v>6497</v>
      </c>
      <c r="F822" s="7" t="s">
        <v>6341</v>
      </c>
      <c r="G822" s="7" t="s">
        <v>7150</v>
      </c>
      <c r="H822" s="7" t="s">
        <v>7156</v>
      </c>
      <c r="I822" s="7" t="s">
        <v>7158</v>
      </c>
      <c r="J822" s="10">
        <v>46122</v>
      </c>
      <c r="K822" s="7" t="s">
        <v>7163</v>
      </c>
      <c r="L822" s="7"/>
      <c r="M822" s="7"/>
    </row>
    <row r="823" spans="1:13" x14ac:dyDescent="0.3">
      <c r="A823" s="7">
        <v>18426</v>
      </c>
      <c r="B823" s="7" t="s">
        <v>831</v>
      </c>
      <c r="C823" s="7" t="s">
        <v>6492</v>
      </c>
      <c r="D823" s="7" t="s">
        <v>6495</v>
      </c>
      <c r="E823" s="7" t="s">
        <v>6497</v>
      </c>
      <c r="F823" s="7" t="s">
        <v>6341</v>
      </c>
      <c r="G823" s="7" t="s">
        <v>7150</v>
      </c>
      <c r="H823" s="7" t="s">
        <v>7156</v>
      </c>
      <c r="I823" s="7" t="s">
        <v>7158</v>
      </c>
      <c r="J823" s="10">
        <v>46122</v>
      </c>
      <c r="K823" s="7" t="s">
        <v>7163</v>
      </c>
      <c r="L823" s="7"/>
      <c r="M823" s="7"/>
    </row>
    <row r="824" spans="1:13" x14ac:dyDescent="0.3">
      <c r="A824" s="7">
        <v>18240</v>
      </c>
      <c r="B824" s="7" t="s">
        <v>832</v>
      </c>
      <c r="C824" s="7" t="s">
        <v>6492</v>
      </c>
      <c r="D824" s="7" t="s">
        <v>6495</v>
      </c>
      <c r="E824" s="7" t="s">
        <v>6497</v>
      </c>
      <c r="F824" s="7" t="s">
        <v>6340</v>
      </c>
      <c r="G824" s="7" t="s">
        <v>7150</v>
      </c>
      <c r="H824" s="7" t="s">
        <v>7156</v>
      </c>
      <c r="I824" s="7"/>
      <c r="J824" s="10">
        <v>46070</v>
      </c>
      <c r="K824" s="7" t="s">
        <v>7163</v>
      </c>
      <c r="L824" s="7"/>
      <c r="M824" s="7"/>
    </row>
    <row r="825" spans="1:13" x14ac:dyDescent="0.3">
      <c r="A825" s="7">
        <v>11219</v>
      </c>
      <c r="B825" s="7" t="s">
        <v>833</v>
      </c>
      <c r="C825" s="7" t="s">
        <v>6492</v>
      </c>
      <c r="D825" s="7" t="s">
        <v>6499</v>
      </c>
      <c r="E825" s="7" t="s">
        <v>6295</v>
      </c>
      <c r="F825" s="7" t="s">
        <v>6338</v>
      </c>
      <c r="G825" s="7" t="s">
        <v>7150</v>
      </c>
      <c r="H825" s="7" t="s">
        <v>7156</v>
      </c>
      <c r="I825" s="7"/>
      <c r="J825" s="10">
        <v>42430</v>
      </c>
      <c r="K825" s="7" t="s">
        <v>7163</v>
      </c>
      <c r="L825" s="7"/>
      <c r="M825" s="7"/>
    </row>
    <row r="826" spans="1:13" x14ac:dyDescent="0.3">
      <c r="A826" s="7">
        <v>18044</v>
      </c>
      <c r="B826" s="7" t="s">
        <v>834</v>
      </c>
      <c r="C826" s="7" t="s">
        <v>6492</v>
      </c>
      <c r="D826" s="7" t="s">
        <v>6499</v>
      </c>
      <c r="E826" s="7" t="s">
        <v>6295</v>
      </c>
      <c r="F826" s="7" t="s">
        <v>6353</v>
      </c>
      <c r="G826" s="7" t="s">
        <v>7150</v>
      </c>
      <c r="H826" s="7" t="s">
        <v>7156</v>
      </c>
      <c r="I826" s="7"/>
      <c r="J826" s="10">
        <v>45974</v>
      </c>
      <c r="K826" s="7" t="s">
        <v>7163</v>
      </c>
      <c r="L826" s="7"/>
      <c r="M826" s="7"/>
    </row>
    <row r="827" spans="1:13" x14ac:dyDescent="0.3">
      <c r="A827" s="7">
        <v>18159</v>
      </c>
      <c r="B827" s="7" t="s">
        <v>835</v>
      </c>
      <c r="C827" s="7" t="s">
        <v>6492</v>
      </c>
      <c r="D827" s="7" t="s">
        <v>6499</v>
      </c>
      <c r="E827" s="7" t="s">
        <v>6295</v>
      </c>
      <c r="F827" s="7" t="s">
        <v>6340</v>
      </c>
      <c r="G827" s="7" t="s">
        <v>7150</v>
      </c>
      <c r="H827" s="7" t="s">
        <v>7156</v>
      </c>
      <c r="I827" s="7"/>
      <c r="J827" s="10">
        <v>46028</v>
      </c>
      <c r="K827" s="7" t="s">
        <v>7163</v>
      </c>
      <c r="L827" s="7"/>
      <c r="M827" s="7"/>
    </row>
    <row r="828" spans="1:13" x14ac:dyDescent="0.3">
      <c r="A828" s="7">
        <v>13635</v>
      </c>
      <c r="B828" s="7" t="s">
        <v>836</v>
      </c>
      <c r="C828" s="7" t="s">
        <v>6492</v>
      </c>
      <c r="D828" s="7" t="s">
        <v>6499</v>
      </c>
      <c r="E828" s="7" t="s">
        <v>6295</v>
      </c>
      <c r="F828" s="7" t="s">
        <v>6340</v>
      </c>
      <c r="G828" s="7" t="s">
        <v>7150</v>
      </c>
      <c r="H828" s="7" t="s">
        <v>7156</v>
      </c>
      <c r="I828" s="7"/>
      <c r="J828" s="10">
        <v>44522</v>
      </c>
      <c r="K828" s="7" t="s">
        <v>7163</v>
      </c>
      <c r="L828" s="7"/>
      <c r="M828" s="7"/>
    </row>
    <row r="829" spans="1:13" x14ac:dyDescent="0.3">
      <c r="A829" s="7">
        <v>16063</v>
      </c>
      <c r="B829" s="7" t="s">
        <v>837</v>
      </c>
      <c r="C829" s="7" t="s">
        <v>6492</v>
      </c>
      <c r="D829" s="7" t="s">
        <v>6499</v>
      </c>
      <c r="E829" s="7" t="s">
        <v>6295</v>
      </c>
      <c r="F829" s="7" t="s">
        <v>6340</v>
      </c>
      <c r="G829" s="7" t="s">
        <v>7150</v>
      </c>
      <c r="H829" s="7" t="s">
        <v>7156</v>
      </c>
      <c r="I829" s="7"/>
      <c r="J829" s="10">
        <v>45275</v>
      </c>
      <c r="K829" s="7" t="s">
        <v>7163</v>
      </c>
      <c r="L829" s="7"/>
      <c r="M829" s="7"/>
    </row>
    <row r="830" spans="1:13" x14ac:dyDescent="0.3">
      <c r="A830" s="7">
        <v>10095</v>
      </c>
      <c r="B830" s="7" t="s">
        <v>838</v>
      </c>
      <c r="C830" s="7" t="s">
        <v>6492</v>
      </c>
      <c r="D830" s="7" t="s">
        <v>6500</v>
      </c>
      <c r="E830" s="7" t="s">
        <v>6295</v>
      </c>
      <c r="F830" s="7" t="s">
        <v>6338</v>
      </c>
      <c r="G830" s="7" t="s">
        <v>7150</v>
      </c>
      <c r="H830" s="7" t="s">
        <v>7156</v>
      </c>
      <c r="I830" s="7"/>
      <c r="J830" s="10">
        <v>38378</v>
      </c>
      <c r="K830" s="7" t="s">
        <v>7163</v>
      </c>
      <c r="L830" s="7"/>
      <c r="M830" s="7"/>
    </row>
    <row r="831" spans="1:13" x14ac:dyDescent="0.3">
      <c r="A831" s="7">
        <v>11660</v>
      </c>
      <c r="B831" s="7" t="s">
        <v>839</v>
      </c>
      <c r="C831" s="7" t="s">
        <v>6492</v>
      </c>
      <c r="D831" s="7" t="s">
        <v>6500</v>
      </c>
      <c r="E831" s="7" t="s">
        <v>6295</v>
      </c>
      <c r="F831" s="7" t="s">
        <v>6353</v>
      </c>
      <c r="G831" s="7" t="s">
        <v>7150</v>
      </c>
      <c r="H831" s="7" t="s">
        <v>7156</v>
      </c>
      <c r="I831" s="7"/>
      <c r="J831" s="10">
        <v>42998</v>
      </c>
      <c r="K831" s="7" t="s">
        <v>7163</v>
      </c>
      <c r="L831" s="7"/>
      <c r="M831" s="7"/>
    </row>
    <row r="832" spans="1:13" x14ac:dyDescent="0.3">
      <c r="A832" s="7">
        <v>17720</v>
      </c>
      <c r="B832" s="7" t="s">
        <v>840</v>
      </c>
      <c r="C832" s="7" t="s">
        <v>6492</v>
      </c>
      <c r="D832" s="7" t="s">
        <v>6500</v>
      </c>
      <c r="E832" s="7" t="s">
        <v>6295</v>
      </c>
      <c r="F832" s="7" t="s">
        <v>6335</v>
      </c>
      <c r="G832" s="7" t="s">
        <v>7150</v>
      </c>
      <c r="H832" s="7" t="s">
        <v>7156</v>
      </c>
      <c r="I832" s="7"/>
      <c r="J832" s="10">
        <v>45853</v>
      </c>
      <c r="K832" s="7" t="s">
        <v>7163</v>
      </c>
      <c r="L832" s="7"/>
      <c r="M832" s="7"/>
    </row>
    <row r="833" spans="1:13" x14ac:dyDescent="0.3">
      <c r="A833" s="7">
        <v>10595</v>
      </c>
      <c r="B833" s="7" t="s">
        <v>841</v>
      </c>
      <c r="C833" s="7" t="s">
        <v>6492</v>
      </c>
      <c r="D833" s="7" t="s">
        <v>6501</v>
      </c>
      <c r="E833" s="7" t="s">
        <v>6502</v>
      </c>
      <c r="F833" s="7" t="s">
        <v>6353</v>
      </c>
      <c r="G833" s="7" t="s">
        <v>7150</v>
      </c>
      <c r="H833" s="7" t="s">
        <v>7156</v>
      </c>
      <c r="I833" s="7"/>
      <c r="J833" s="10">
        <v>41421</v>
      </c>
      <c r="K833" s="7" t="s">
        <v>7163</v>
      </c>
      <c r="L833" s="7"/>
      <c r="M833" s="7"/>
    </row>
    <row r="834" spans="1:13" x14ac:dyDescent="0.3">
      <c r="A834" s="7">
        <v>10521</v>
      </c>
      <c r="B834" s="7" t="s">
        <v>842</v>
      </c>
      <c r="C834" s="7" t="s">
        <v>6492</v>
      </c>
      <c r="D834" s="7" t="s">
        <v>6503</v>
      </c>
      <c r="E834" s="7" t="s">
        <v>6295</v>
      </c>
      <c r="F834" s="7" t="s">
        <v>6353</v>
      </c>
      <c r="G834" s="7" t="s">
        <v>7150</v>
      </c>
      <c r="H834" s="7" t="s">
        <v>7156</v>
      </c>
      <c r="I834" s="7"/>
      <c r="J834" s="10">
        <v>41043</v>
      </c>
      <c r="K834" s="7" t="s">
        <v>7163</v>
      </c>
      <c r="L834" s="7"/>
      <c r="M834" s="7"/>
    </row>
    <row r="835" spans="1:13" x14ac:dyDescent="0.3">
      <c r="A835" s="7">
        <v>10417</v>
      </c>
      <c r="B835" s="7" t="s">
        <v>843</v>
      </c>
      <c r="C835" s="7" t="s">
        <v>6492</v>
      </c>
      <c r="D835" s="7" t="s">
        <v>6503</v>
      </c>
      <c r="E835" s="7" t="s">
        <v>6295</v>
      </c>
      <c r="F835" s="7" t="s">
        <v>6353</v>
      </c>
      <c r="G835" s="7" t="s">
        <v>7150</v>
      </c>
      <c r="H835" s="7" t="s">
        <v>7156</v>
      </c>
      <c r="I835" s="7"/>
      <c r="J835" s="10">
        <v>40129</v>
      </c>
      <c r="K835" s="7" t="s">
        <v>7163</v>
      </c>
      <c r="L835" s="7"/>
      <c r="M835" s="7"/>
    </row>
    <row r="836" spans="1:13" x14ac:dyDescent="0.3">
      <c r="A836" s="7">
        <v>10220</v>
      </c>
      <c r="B836" s="7" t="s">
        <v>844</v>
      </c>
      <c r="C836" s="7" t="s">
        <v>6492</v>
      </c>
      <c r="D836" s="7" t="s">
        <v>6500</v>
      </c>
      <c r="E836" s="7" t="s">
        <v>6295</v>
      </c>
      <c r="F836" s="7" t="s">
        <v>6340</v>
      </c>
      <c r="G836" s="7" t="s">
        <v>7150</v>
      </c>
      <c r="H836" s="7" t="s">
        <v>7156</v>
      </c>
      <c r="I836" s="7"/>
      <c r="J836" s="10">
        <v>36713</v>
      </c>
      <c r="K836" s="7" t="s">
        <v>7163</v>
      </c>
      <c r="L836" s="7"/>
      <c r="M836" s="7"/>
    </row>
    <row r="837" spans="1:13" x14ac:dyDescent="0.3">
      <c r="A837" s="7">
        <v>11377</v>
      </c>
      <c r="B837" s="7" t="s">
        <v>845</v>
      </c>
      <c r="C837" s="7" t="s">
        <v>6492</v>
      </c>
      <c r="D837" s="7" t="s">
        <v>6500</v>
      </c>
      <c r="E837" s="7" t="s">
        <v>6295</v>
      </c>
      <c r="F837" s="7" t="s">
        <v>6353</v>
      </c>
      <c r="G837" s="7" t="s">
        <v>7150</v>
      </c>
      <c r="H837" s="7" t="s">
        <v>7156</v>
      </c>
      <c r="I837" s="7"/>
      <c r="J837" s="10">
        <v>42607</v>
      </c>
      <c r="K837" s="7" t="s">
        <v>7163</v>
      </c>
      <c r="L837" s="7"/>
      <c r="M837" s="7"/>
    </row>
    <row r="838" spans="1:13" x14ac:dyDescent="0.3">
      <c r="A838" s="7">
        <v>390020</v>
      </c>
      <c r="B838" s="7" t="s">
        <v>846</v>
      </c>
      <c r="C838" s="7" t="s">
        <v>6492</v>
      </c>
      <c r="D838" s="7" t="s">
        <v>6503</v>
      </c>
      <c r="E838" s="7" t="s">
        <v>6295</v>
      </c>
      <c r="F838" s="7" t="s">
        <v>6340</v>
      </c>
      <c r="G838" s="7" t="s">
        <v>7150</v>
      </c>
      <c r="H838" s="7" t="s">
        <v>7156</v>
      </c>
      <c r="I838" s="7"/>
      <c r="J838" s="10">
        <v>42716</v>
      </c>
      <c r="K838" s="7" t="s">
        <v>7163</v>
      </c>
      <c r="L838" s="7"/>
      <c r="M838" s="7"/>
    </row>
    <row r="839" spans="1:13" x14ac:dyDescent="0.3">
      <c r="A839" s="7">
        <v>13067</v>
      </c>
      <c r="B839" s="7" t="s">
        <v>847</v>
      </c>
      <c r="C839" s="7" t="s">
        <v>6492</v>
      </c>
      <c r="D839" s="7" t="s">
        <v>6503</v>
      </c>
      <c r="E839" s="7" t="s">
        <v>6295</v>
      </c>
      <c r="F839" s="7" t="s">
        <v>6340</v>
      </c>
      <c r="G839" s="7" t="s">
        <v>7150</v>
      </c>
      <c r="H839" s="7" t="s">
        <v>7156</v>
      </c>
      <c r="I839" s="7"/>
      <c r="J839" s="10">
        <v>44236</v>
      </c>
      <c r="K839" s="7" t="s">
        <v>7163</v>
      </c>
      <c r="L839" s="7"/>
      <c r="M839" s="7"/>
    </row>
    <row r="840" spans="1:13" x14ac:dyDescent="0.3">
      <c r="A840" s="7">
        <v>10425</v>
      </c>
      <c r="B840" s="7" t="s">
        <v>848</v>
      </c>
      <c r="C840" s="7" t="s">
        <v>6492</v>
      </c>
      <c r="D840" s="7" t="s">
        <v>6295</v>
      </c>
      <c r="E840" s="7" t="s">
        <v>6295</v>
      </c>
      <c r="F840" s="7" t="s">
        <v>6336</v>
      </c>
      <c r="G840" s="7" t="s">
        <v>7150</v>
      </c>
      <c r="H840" s="7" t="s">
        <v>7156</v>
      </c>
      <c r="I840" s="7"/>
      <c r="J840" s="10">
        <v>40210</v>
      </c>
      <c r="K840" s="7" t="s">
        <v>7163</v>
      </c>
      <c r="L840" s="7"/>
      <c r="M840" s="7"/>
    </row>
    <row r="841" spans="1:13" x14ac:dyDescent="0.3">
      <c r="A841" s="7">
        <v>13325</v>
      </c>
      <c r="B841" s="7" t="s">
        <v>849</v>
      </c>
      <c r="C841" s="7" t="s">
        <v>6492</v>
      </c>
      <c r="D841" s="7" t="s">
        <v>6504</v>
      </c>
      <c r="E841" s="7" t="s">
        <v>6295</v>
      </c>
      <c r="F841" s="7" t="s">
        <v>6335</v>
      </c>
      <c r="G841" s="7" t="s">
        <v>7150</v>
      </c>
      <c r="H841" s="7" t="s">
        <v>7156</v>
      </c>
      <c r="I841" s="7"/>
      <c r="J841" s="10">
        <v>44385</v>
      </c>
      <c r="K841" s="7" t="s">
        <v>7163</v>
      </c>
      <c r="L841" s="7"/>
      <c r="M841" s="7"/>
    </row>
    <row r="842" spans="1:13" x14ac:dyDescent="0.3">
      <c r="A842" s="7">
        <v>11433</v>
      </c>
      <c r="B842" s="7" t="s">
        <v>850</v>
      </c>
      <c r="C842" s="7" t="s">
        <v>6492</v>
      </c>
      <c r="D842" s="7" t="s">
        <v>6504</v>
      </c>
      <c r="E842" s="7" t="s">
        <v>6295</v>
      </c>
      <c r="F842" s="7" t="s">
        <v>6335</v>
      </c>
      <c r="G842" s="7" t="s">
        <v>7150</v>
      </c>
      <c r="H842" s="7" t="s">
        <v>7156</v>
      </c>
      <c r="I842" s="7"/>
      <c r="J842" s="10">
        <v>42695</v>
      </c>
      <c r="K842" s="7" t="s">
        <v>7163</v>
      </c>
      <c r="L842" s="7"/>
      <c r="M842" s="7"/>
    </row>
    <row r="843" spans="1:13" x14ac:dyDescent="0.3">
      <c r="A843" s="7">
        <v>10882</v>
      </c>
      <c r="B843" s="7" t="s">
        <v>851</v>
      </c>
      <c r="C843" s="7" t="s">
        <v>6492</v>
      </c>
      <c r="D843" s="7" t="s">
        <v>6504</v>
      </c>
      <c r="E843" s="7" t="s">
        <v>6295</v>
      </c>
      <c r="F843" s="7" t="s">
        <v>6353</v>
      </c>
      <c r="G843" s="7" t="s">
        <v>7150</v>
      </c>
      <c r="H843" s="7" t="s">
        <v>7156</v>
      </c>
      <c r="I843" s="7"/>
      <c r="J843" s="10">
        <v>42069</v>
      </c>
      <c r="K843" s="7" t="s">
        <v>7163</v>
      </c>
      <c r="L843" s="7"/>
      <c r="M843" s="7"/>
    </row>
    <row r="844" spans="1:13" x14ac:dyDescent="0.3">
      <c r="A844" s="7">
        <v>18912</v>
      </c>
      <c r="B844" s="7" t="s">
        <v>852</v>
      </c>
      <c r="C844" s="7" t="s">
        <v>6492</v>
      </c>
      <c r="D844" s="7" t="s">
        <v>6504</v>
      </c>
      <c r="E844" s="7" t="s">
        <v>6295</v>
      </c>
      <c r="F844" s="7" t="s">
        <v>6353</v>
      </c>
      <c r="G844" s="7" t="s">
        <v>7150</v>
      </c>
      <c r="H844" s="7" t="s">
        <v>7156</v>
      </c>
      <c r="I844" s="7" t="s">
        <v>7159</v>
      </c>
      <c r="J844" s="10">
        <v>46237</v>
      </c>
      <c r="K844" s="7" t="s">
        <v>7163</v>
      </c>
      <c r="L844" s="7"/>
      <c r="M844" s="7"/>
    </row>
    <row r="845" spans="1:13" x14ac:dyDescent="0.3">
      <c r="A845" s="7">
        <v>12338</v>
      </c>
      <c r="B845" s="7" t="s">
        <v>853</v>
      </c>
      <c r="C845" s="7" t="s">
        <v>6492</v>
      </c>
      <c r="D845" s="7" t="s">
        <v>6504</v>
      </c>
      <c r="E845" s="7" t="s">
        <v>6295</v>
      </c>
      <c r="F845" s="7" t="s">
        <v>6340</v>
      </c>
      <c r="G845" s="7" t="s">
        <v>7150</v>
      </c>
      <c r="H845" s="7" t="s">
        <v>7156</v>
      </c>
      <c r="I845" s="7"/>
      <c r="J845" s="10">
        <v>43692</v>
      </c>
      <c r="K845" s="7" t="s">
        <v>7163</v>
      </c>
      <c r="L845" s="7"/>
      <c r="M845" s="7"/>
    </row>
    <row r="846" spans="1:13" x14ac:dyDescent="0.3">
      <c r="A846" s="7">
        <v>14306</v>
      </c>
      <c r="B846" s="7" t="s">
        <v>854</v>
      </c>
      <c r="C846" s="7" t="s">
        <v>6492</v>
      </c>
      <c r="D846" s="7" t="s">
        <v>6504</v>
      </c>
      <c r="E846" s="7" t="s">
        <v>6295</v>
      </c>
      <c r="F846" s="7" t="s">
        <v>6340</v>
      </c>
      <c r="G846" s="7" t="s">
        <v>7150</v>
      </c>
      <c r="H846" s="7" t="s">
        <v>7156</v>
      </c>
      <c r="I846" s="7"/>
      <c r="J846" s="10">
        <v>44726</v>
      </c>
      <c r="K846" s="7" t="s">
        <v>7163</v>
      </c>
      <c r="L846" s="7"/>
      <c r="M846" s="7"/>
    </row>
    <row r="847" spans="1:13" x14ac:dyDescent="0.3">
      <c r="A847" s="7">
        <v>11687</v>
      </c>
      <c r="B847" s="7" t="s">
        <v>855</v>
      </c>
      <c r="C847" s="7" t="s">
        <v>6492</v>
      </c>
      <c r="D847" s="7" t="s">
        <v>6504</v>
      </c>
      <c r="E847" s="7" t="s">
        <v>6295</v>
      </c>
      <c r="F847" s="7" t="s">
        <v>6340</v>
      </c>
      <c r="G847" s="7" t="s">
        <v>7150</v>
      </c>
      <c r="H847" s="7" t="s">
        <v>7156</v>
      </c>
      <c r="I847" s="7"/>
      <c r="J847" s="10">
        <v>43019</v>
      </c>
      <c r="K847" s="7" t="s">
        <v>7163</v>
      </c>
      <c r="L847" s="7"/>
      <c r="M847" s="7"/>
    </row>
    <row r="848" spans="1:13" x14ac:dyDescent="0.3">
      <c r="A848" s="7">
        <v>12239</v>
      </c>
      <c r="B848" s="7" t="s">
        <v>856</v>
      </c>
      <c r="C848" s="7" t="s">
        <v>6492</v>
      </c>
      <c r="D848" s="7" t="s">
        <v>6504</v>
      </c>
      <c r="E848" s="7" t="s">
        <v>6295</v>
      </c>
      <c r="F848" s="7" t="s">
        <v>6340</v>
      </c>
      <c r="G848" s="7" t="s">
        <v>7150</v>
      </c>
      <c r="H848" s="7" t="s">
        <v>7156</v>
      </c>
      <c r="I848" s="7"/>
      <c r="J848" s="10">
        <v>43630</v>
      </c>
      <c r="K848" s="7" t="s">
        <v>7163</v>
      </c>
      <c r="L848" s="7"/>
      <c r="M848" s="7"/>
    </row>
    <row r="849" spans="1:13" x14ac:dyDescent="0.3">
      <c r="A849" s="7">
        <v>15832</v>
      </c>
      <c r="B849" s="7" t="s">
        <v>857</v>
      </c>
      <c r="C849" s="7" t="s">
        <v>6492</v>
      </c>
      <c r="D849" s="7" t="s">
        <v>6504</v>
      </c>
      <c r="E849" s="7" t="s">
        <v>6295</v>
      </c>
      <c r="F849" s="7" t="s">
        <v>6340</v>
      </c>
      <c r="G849" s="7" t="s">
        <v>7150</v>
      </c>
      <c r="H849" s="7" t="s">
        <v>7156</v>
      </c>
      <c r="I849" s="7"/>
      <c r="J849" s="10">
        <v>45210</v>
      </c>
      <c r="K849" s="7" t="s">
        <v>7163</v>
      </c>
      <c r="L849" s="7"/>
      <c r="M849" s="7"/>
    </row>
    <row r="850" spans="1:13" x14ac:dyDescent="0.3">
      <c r="A850" s="7">
        <v>10696</v>
      </c>
      <c r="B850" s="7" t="s">
        <v>858</v>
      </c>
      <c r="C850" s="7" t="s">
        <v>6492</v>
      </c>
      <c r="D850" s="7" t="s">
        <v>6501</v>
      </c>
      <c r="E850" s="7" t="s">
        <v>6295</v>
      </c>
      <c r="F850" s="7" t="s">
        <v>6335</v>
      </c>
      <c r="G850" s="7" t="s">
        <v>7150</v>
      </c>
      <c r="H850" s="7" t="s">
        <v>7156</v>
      </c>
      <c r="I850" s="7"/>
      <c r="J850" s="10">
        <v>41673</v>
      </c>
      <c r="K850" s="7" t="s">
        <v>7163</v>
      </c>
      <c r="L850" s="7"/>
      <c r="M850" s="7"/>
    </row>
    <row r="851" spans="1:13" x14ac:dyDescent="0.3">
      <c r="A851" s="7">
        <v>18913</v>
      </c>
      <c r="B851" s="7" t="s">
        <v>859</v>
      </c>
      <c r="C851" s="7" t="s">
        <v>6492</v>
      </c>
      <c r="D851" s="7" t="s">
        <v>6501</v>
      </c>
      <c r="E851" s="7" t="s">
        <v>6295</v>
      </c>
      <c r="F851" s="7" t="s">
        <v>6341</v>
      </c>
      <c r="G851" s="7" t="s">
        <v>7150</v>
      </c>
      <c r="H851" s="7" t="s">
        <v>7156</v>
      </c>
      <c r="I851" s="7" t="s">
        <v>7159</v>
      </c>
      <c r="J851" s="10">
        <v>46237</v>
      </c>
      <c r="K851" s="7" t="s">
        <v>7163</v>
      </c>
      <c r="L851" s="7"/>
      <c r="M851" s="7"/>
    </row>
    <row r="852" spans="1:13" x14ac:dyDescent="0.3">
      <c r="A852" s="7">
        <v>10329</v>
      </c>
      <c r="B852" s="7" t="s">
        <v>860</v>
      </c>
      <c r="C852" s="7" t="s">
        <v>6492</v>
      </c>
      <c r="D852" s="7" t="s">
        <v>6493</v>
      </c>
      <c r="E852" s="7" t="s">
        <v>6295</v>
      </c>
      <c r="F852" s="7" t="s">
        <v>6335</v>
      </c>
      <c r="G852" s="7" t="s">
        <v>7150</v>
      </c>
      <c r="H852" s="7" t="s">
        <v>7156</v>
      </c>
      <c r="I852" s="7"/>
      <c r="J852" s="10">
        <v>39819</v>
      </c>
      <c r="K852" s="7" t="s">
        <v>7163</v>
      </c>
      <c r="L852" s="7"/>
      <c r="M852" s="7"/>
    </row>
    <row r="853" spans="1:13" x14ac:dyDescent="0.3">
      <c r="A853" s="7">
        <v>18435</v>
      </c>
      <c r="B853" s="7" t="s">
        <v>861</v>
      </c>
      <c r="C853" s="7" t="s">
        <v>6492</v>
      </c>
      <c r="D853" s="7" t="s">
        <v>6501</v>
      </c>
      <c r="E853" s="7" t="s">
        <v>6295</v>
      </c>
      <c r="F853" s="7" t="s">
        <v>6353</v>
      </c>
      <c r="G853" s="7" t="s">
        <v>7150</v>
      </c>
      <c r="H853" s="7" t="s">
        <v>7156</v>
      </c>
      <c r="I853" s="7" t="s">
        <v>7159</v>
      </c>
      <c r="J853" s="10">
        <v>46125</v>
      </c>
      <c r="K853" s="7" t="s">
        <v>7163</v>
      </c>
      <c r="L853" s="7"/>
      <c r="M853" s="7"/>
    </row>
    <row r="854" spans="1:13" x14ac:dyDescent="0.3">
      <c r="A854" s="7">
        <v>11637</v>
      </c>
      <c r="B854" s="7" t="s">
        <v>862</v>
      </c>
      <c r="C854" s="7" t="s">
        <v>6492</v>
      </c>
      <c r="D854" s="7" t="s">
        <v>6501</v>
      </c>
      <c r="E854" s="7" t="s">
        <v>6502</v>
      </c>
      <c r="F854" s="7" t="s">
        <v>6498</v>
      </c>
      <c r="G854" s="7" t="s">
        <v>7150</v>
      </c>
      <c r="H854" s="7" t="s">
        <v>7156</v>
      </c>
      <c r="I854" s="7"/>
      <c r="J854" s="10">
        <v>42962</v>
      </c>
      <c r="K854" s="7" t="s">
        <v>7163</v>
      </c>
      <c r="L854" s="7"/>
      <c r="M854" s="7"/>
    </row>
    <row r="855" spans="1:13" x14ac:dyDescent="0.3">
      <c r="A855" s="7">
        <v>16281</v>
      </c>
      <c r="B855" s="7" t="s">
        <v>863</v>
      </c>
      <c r="C855" s="7" t="s">
        <v>6492</v>
      </c>
      <c r="D855" s="7" t="s">
        <v>6501</v>
      </c>
      <c r="E855" s="7" t="s">
        <v>6295</v>
      </c>
      <c r="F855" s="7" t="s">
        <v>6335</v>
      </c>
      <c r="G855" s="7" t="s">
        <v>7150</v>
      </c>
      <c r="H855" s="7" t="s">
        <v>7156</v>
      </c>
      <c r="I855" s="7"/>
      <c r="J855" s="10">
        <v>45341</v>
      </c>
      <c r="K855" s="7" t="s">
        <v>7163</v>
      </c>
      <c r="L855" s="7"/>
      <c r="M855" s="7"/>
    </row>
    <row r="856" spans="1:13" x14ac:dyDescent="0.3">
      <c r="A856" s="7">
        <v>15811</v>
      </c>
      <c r="B856" s="7" t="s">
        <v>864</v>
      </c>
      <c r="C856" s="7" t="s">
        <v>6492</v>
      </c>
      <c r="D856" s="7" t="s">
        <v>6501</v>
      </c>
      <c r="E856" s="7" t="s">
        <v>6295</v>
      </c>
      <c r="F856" s="7" t="s">
        <v>6353</v>
      </c>
      <c r="G856" s="7" t="s">
        <v>7150</v>
      </c>
      <c r="H856" s="7" t="s">
        <v>7156</v>
      </c>
      <c r="I856" s="7"/>
      <c r="J856" s="10">
        <v>45215</v>
      </c>
      <c r="K856" s="7" t="s">
        <v>7163</v>
      </c>
      <c r="L856" s="7"/>
      <c r="M856" s="7"/>
    </row>
    <row r="857" spans="1:13" x14ac:dyDescent="0.3">
      <c r="A857" s="7">
        <v>10538</v>
      </c>
      <c r="B857" s="7" t="s">
        <v>865</v>
      </c>
      <c r="C857" s="7" t="s">
        <v>6492</v>
      </c>
      <c r="D857" s="7" t="s">
        <v>6501</v>
      </c>
      <c r="E857" s="7" t="s">
        <v>6502</v>
      </c>
      <c r="F857" s="7" t="s">
        <v>6340</v>
      </c>
      <c r="G857" s="7" t="s">
        <v>7150</v>
      </c>
      <c r="H857" s="7" t="s">
        <v>7156</v>
      </c>
      <c r="I857" s="7"/>
      <c r="J857" s="10">
        <v>41108</v>
      </c>
      <c r="K857" s="7" t="s">
        <v>7163</v>
      </c>
      <c r="L857" s="7"/>
      <c r="M857" s="7"/>
    </row>
    <row r="858" spans="1:13" x14ac:dyDescent="0.3">
      <c r="A858" s="7">
        <v>10932</v>
      </c>
      <c r="B858" s="7" t="s">
        <v>866</v>
      </c>
      <c r="C858" s="7" t="s">
        <v>6492</v>
      </c>
      <c r="D858" s="7" t="s">
        <v>6501</v>
      </c>
      <c r="E858" s="7" t="s">
        <v>6502</v>
      </c>
      <c r="F858" s="7" t="s">
        <v>6340</v>
      </c>
      <c r="G858" s="7" t="s">
        <v>7150</v>
      </c>
      <c r="H858" s="7" t="s">
        <v>7156</v>
      </c>
      <c r="I858" s="7"/>
      <c r="J858" s="10">
        <v>42144</v>
      </c>
      <c r="K858" s="7" t="s">
        <v>7163</v>
      </c>
      <c r="L858" s="7"/>
      <c r="M858" s="7"/>
    </row>
    <row r="859" spans="1:13" x14ac:dyDescent="0.3">
      <c r="A859" s="7">
        <v>15656</v>
      </c>
      <c r="B859" s="7" t="s">
        <v>867</v>
      </c>
      <c r="C859" s="7" t="s">
        <v>6492</v>
      </c>
      <c r="D859" s="7" t="s">
        <v>6501</v>
      </c>
      <c r="E859" s="7" t="s">
        <v>6502</v>
      </c>
      <c r="F859" s="7" t="s">
        <v>6340</v>
      </c>
      <c r="G859" s="7" t="s">
        <v>7150</v>
      </c>
      <c r="H859" s="7" t="s">
        <v>7156</v>
      </c>
      <c r="I859" s="7"/>
      <c r="J859" s="10">
        <v>45153</v>
      </c>
      <c r="K859" s="7" t="s">
        <v>7163</v>
      </c>
      <c r="L859" s="7"/>
      <c r="M859" s="7"/>
    </row>
    <row r="860" spans="1:13" x14ac:dyDescent="0.3">
      <c r="A860" s="7">
        <v>13088</v>
      </c>
      <c r="B860" s="7" t="s">
        <v>868</v>
      </c>
      <c r="C860" s="7" t="s">
        <v>6492</v>
      </c>
      <c r="D860" s="7" t="s">
        <v>6501</v>
      </c>
      <c r="E860" s="7" t="s">
        <v>6502</v>
      </c>
      <c r="F860" s="7" t="s">
        <v>6340</v>
      </c>
      <c r="G860" s="7" t="s">
        <v>7150</v>
      </c>
      <c r="H860" s="7" t="s">
        <v>7156</v>
      </c>
      <c r="I860" s="7"/>
      <c r="J860" s="10">
        <v>44246</v>
      </c>
      <c r="K860" s="7" t="s">
        <v>7163</v>
      </c>
      <c r="L860" s="7"/>
      <c r="M860" s="7"/>
    </row>
    <row r="861" spans="1:13" x14ac:dyDescent="0.3">
      <c r="A861" s="7">
        <v>16628</v>
      </c>
      <c r="B861" s="7" t="s">
        <v>869</v>
      </c>
      <c r="C861" s="7" t="s">
        <v>6492</v>
      </c>
      <c r="D861" s="7" t="s">
        <v>6501</v>
      </c>
      <c r="E861" s="7" t="s">
        <v>6295</v>
      </c>
      <c r="F861" s="7" t="s">
        <v>6341</v>
      </c>
      <c r="G861" s="7" t="s">
        <v>7150</v>
      </c>
      <c r="H861" s="7" t="s">
        <v>7156</v>
      </c>
      <c r="I861" s="7"/>
      <c r="J861" s="10">
        <v>45502</v>
      </c>
      <c r="K861" s="7" t="s">
        <v>7163</v>
      </c>
      <c r="L861" s="7"/>
      <c r="M861" s="7"/>
    </row>
    <row r="862" spans="1:13" x14ac:dyDescent="0.3">
      <c r="A862" s="7">
        <v>10835</v>
      </c>
      <c r="B862" s="7" t="s">
        <v>870</v>
      </c>
      <c r="C862" s="7" t="s">
        <v>6492</v>
      </c>
      <c r="D862" s="7" t="s">
        <v>6503</v>
      </c>
      <c r="E862" s="7" t="s">
        <v>6295</v>
      </c>
      <c r="F862" s="7" t="s">
        <v>6338</v>
      </c>
      <c r="G862" s="7" t="s">
        <v>7150</v>
      </c>
      <c r="H862" s="7" t="s">
        <v>7156</v>
      </c>
      <c r="I862" s="7"/>
      <c r="J862" s="10">
        <v>41989</v>
      </c>
      <c r="K862" s="7" t="s">
        <v>7163</v>
      </c>
      <c r="L862" s="7"/>
      <c r="M862" s="7"/>
    </row>
    <row r="863" spans="1:13" x14ac:dyDescent="0.3">
      <c r="A863" s="7">
        <v>13038</v>
      </c>
      <c r="B863" s="7" t="s">
        <v>871</v>
      </c>
      <c r="C863" s="7" t="s">
        <v>6492</v>
      </c>
      <c r="D863" s="7" t="s">
        <v>6503</v>
      </c>
      <c r="E863" s="7" t="s">
        <v>6295</v>
      </c>
      <c r="F863" s="7" t="s">
        <v>6353</v>
      </c>
      <c r="G863" s="7" t="s">
        <v>7150</v>
      </c>
      <c r="H863" s="7" t="s">
        <v>7156</v>
      </c>
      <c r="I863" s="7"/>
      <c r="J863" s="10">
        <v>44209</v>
      </c>
      <c r="K863" s="7" t="s">
        <v>7163</v>
      </c>
      <c r="L863" s="7"/>
      <c r="M863" s="7"/>
    </row>
    <row r="864" spans="1:13" x14ac:dyDescent="0.3">
      <c r="A864" s="7">
        <v>14567</v>
      </c>
      <c r="B864" s="7" t="s">
        <v>872</v>
      </c>
      <c r="C864" s="7" t="s">
        <v>6492</v>
      </c>
      <c r="D864" s="7" t="s">
        <v>6503</v>
      </c>
      <c r="E864" s="7" t="s">
        <v>6295</v>
      </c>
      <c r="F864" s="7" t="s">
        <v>6340</v>
      </c>
      <c r="G864" s="7" t="s">
        <v>7150</v>
      </c>
      <c r="H864" s="7" t="s">
        <v>7156</v>
      </c>
      <c r="I864" s="7"/>
      <c r="J864" s="10">
        <v>44789</v>
      </c>
      <c r="K864" s="7" t="s">
        <v>7163</v>
      </c>
      <c r="L864" s="7"/>
      <c r="M864" s="7"/>
    </row>
    <row r="865" spans="1:13" x14ac:dyDescent="0.3">
      <c r="A865" s="7">
        <v>16119</v>
      </c>
      <c r="B865" s="7" t="s">
        <v>873</v>
      </c>
      <c r="C865" s="7" t="s">
        <v>6492</v>
      </c>
      <c r="D865" s="7" t="s">
        <v>6503</v>
      </c>
      <c r="E865" s="7" t="s">
        <v>6295</v>
      </c>
      <c r="F865" s="7" t="s">
        <v>6340</v>
      </c>
      <c r="G865" s="7" t="s">
        <v>7150</v>
      </c>
      <c r="H865" s="7" t="s">
        <v>7156</v>
      </c>
      <c r="I865" s="7"/>
      <c r="J865" s="10">
        <v>45287</v>
      </c>
      <c r="K865" s="7" t="s">
        <v>7163</v>
      </c>
      <c r="L865" s="7"/>
      <c r="M865" s="7"/>
    </row>
    <row r="866" spans="1:13" x14ac:dyDescent="0.3">
      <c r="A866" s="7">
        <v>15850</v>
      </c>
      <c r="B866" s="7" t="s">
        <v>874</v>
      </c>
      <c r="C866" s="7" t="s">
        <v>6492</v>
      </c>
      <c r="D866" s="7" t="s">
        <v>6503</v>
      </c>
      <c r="E866" s="7" t="s">
        <v>6295</v>
      </c>
      <c r="F866" s="7" t="s">
        <v>6341</v>
      </c>
      <c r="G866" s="7" t="s">
        <v>7150</v>
      </c>
      <c r="H866" s="7" t="s">
        <v>7156</v>
      </c>
      <c r="I866" s="7"/>
      <c r="J866" s="10">
        <v>45212</v>
      </c>
      <c r="K866" s="7" t="s">
        <v>7163</v>
      </c>
      <c r="L866" s="7"/>
      <c r="M866" s="7"/>
    </row>
    <row r="867" spans="1:13" x14ac:dyDescent="0.3">
      <c r="A867" s="7">
        <v>19239</v>
      </c>
      <c r="B867" s="7" t="s">
        <v>875</v>
      </c>
      <c r="C867" s="7" t="s">
        <v>6492</v>
      </c>
      <c r="D867" s="7" t="s">
        <v>6503</v>
      </c>
      <c r="E867" s="7" t="s">
        <v>6295</v>
      </c>
      <c r="F867" s="7" t="s">
        <v>6348</v>
      </c>
      <c r="G867" s="7" t="s">
        <v>7150</v>
      </c>
      <c r="H867" s="7" t="s">
        <v>7156</v>
      </c>
      <c r="I867" s="7"/>
      <c r="J867" s="10">
        <v>46286</v>
      </c>
      <c r="K867" s="7" t="s">
        <v>7163</v>
      </c>
      <c r="L867" s="7"/>
      <c r="M867" s="7"/>
    </row>
    <row r="868" spans="1:13" x14ac:dyDescent="0.3">
      <c r="A868" s="7">
        <v>10763</v>
      </c>
      <c r="B868" s="7" t="s">
        <v>876</v>
      </c>
      <c r="C868" s="7" t="s">
        <v>6505</v>
      </c>
      <c r="D868" s="7" t="s">
        <v>6295</v>
      </c>
      <c r="E868" s="7" t="s">
        <v>6295</v>
      </c>
      <c r="F868" s="7" t="s">
        <v>6351</v>
      </c>
      <c r="G868" s="7" t="s">
        <v>7150</v>
      </c>
      <c r="H868" s="7" t="s">
        <v>7156</v>
      </c>
      <c r="I868" s="7"/>
      <c r="J868" s="10">
        <v>41835</v>
      </c>
      <c r="K868" s="7" t="s">
        <v>7164</v>
      </c>
      <c r="L868" s="7"/>
      <c r="M868" s="7"/>
    </row>
    <row r="869" spans="1:13" x14ac:dyDescent="0.3">
      <c r="A869" s="7">
        <v>11277</v>
      </c>
      <c r="B869" s="7" t="s">
        <v>877</v>
      </c>
      <c r="C869" s="7" t="s">
        <v>6506</v>
      </c>
      <c r="D869" s="7" t="s">
        <v>6295</v>
      </c>
      <c r="E869" s="7" t="s">
        <v>6295</v>
      </c>
      <c r="F869" s="7" t="s">
        <v>6414</v>
      </c>
      <c r="G869" s="7" t="s">
        <v>7150</v>
      </c>
      <c r="H869" s="7" t="s">
        <v>7156</v>
      </c>
      <c r="I869" s="7"/>
      <c r="J869" s="10">
        <v>42478</v>
      </c>
      <c r="K869" s="7" t="s">
        <v>7164</v>
      </c>
      <c r="L869" s="7"/>
      <c r="M869" s="7"/>
    </row>
    <row r="870" spans="1:13" x14ac:dyDescent="0.3">
      <c r="A870" s="7">
        <v>16446</v>
      </c>
      <c r="B870" s="7" t="s">
        <v>878</v>
      </c>
      <c r="C870" s="7" t="s">
        <v>6506</v>
      </c>
      <c r="D870" s="7" t="s">
        <v>6295</v>
      </c>
      <c r="E870" s="7" t="s">
        <v>6295</v>
      </c>
      <c r="F870" s="7" t="s">
        <v>6507</v>
      </c>
      <c r="G870" s="7" t="s">
        <v>7150</v>
      </c>
      <c r="H870" s="7" t="s">
        <v>7156</v>
      </c>
      <c r="I870" s="7"/>
      <c r="J870" s="10">
        <v>45404</v>
      </c>
      <c r="K870" s="7" t="s">
        <v>7164</v>
      </c>
      <c r="L870" s="7"/>
      <c r="M870" s="7"/>
    </row>
    <row r="871" spans="1:13" x14ac:dyDescent="0.3">
      <c r="A871" s="7">
        <v>18898</v>
      </c>
      <c r="B871" s="7" t="s">
        <v>879</v>
      </c>
      <c r="C871" s="7" t="s">
        <v>6506</v>
      </c>
      <c r="D871" s="7" t="s">
        <v>6508</v>
      </c>
      <c r="E871" s="7" t="s">
        <v>6295</v>
      </c>
      <c r="F871" s="7" t="s">
        <v>6509</v>
      </c>
      <c r="G871" s="7" t="s">
        <v>7150</v>
      </c>
      <c r="H871" s="7" t="s">
        <v>7156</v>
      </c>
      <c r="I871" s="7" t="s">
        <v>7159</v>
      </c>
      <c r="J871" s="10">
        <v>46232</v>
      </c>
      <c r="K871" s="7" t="s">
        <v>7164</v>
      </c>
      <c r="L871" s="7"/>
      <c r="M871" s="7"/>
    </row>
    <row r="872" spans="1:13" x14ac:dyDescent="0.3">
      <c r="A872" s="7">
        <v>18324</v>
      </c>
      <c r="B872" s="7" t="s">
        <v>880</v>
      </c>
      <c r="C872" s="7" t="s">
        <v>6505</v>
      </c>
      <c r="D872" s="7" t="s">
        <v>6295</v>
      </c>
      <c r="E872" s="7" t="s">
        <v>6295</v>
      </c>
      <c r="F872" s="7" t="s">
        <v>6510</v>
      </c>
      <c r="G872" s="7" t="s">
        <v>7150</v>
      </c>
      <c r="H872" s="7" t="s">
        <v>7156</v>
      </c>
      <c r="I872" s="7"/>
      <c r="J872" s="10">
        <v>46091</v>
      </c>
      <c r="K872" s="7" t="s">
        <v>7164</v>
      </c>
      <c r="L872" s="7"/>
      <c r="M872" s="7"/>
    </row>
    <row r="873" spans="1:13" x14ac:dyDescent="0.3">
      <c r="A873" s="7">
        <v>18996</v>
      </c>
      <c r="B873" s="7" t="s">
        <v>881</v>
      </c>
      <c r="C873" s="7" t="s">
        <v>6505</v>
      </c>
      <c r="D873" s="7" t="s">
        <v>6295</v>
      </c>
      <c r="E873" s="7" t="s">
        <v>6295</v>
      </c>
      <c r="F873" s="7" t="s">
        <v>6510</v>
      </c>
      <c r="G873" s="7" t="s">
        <v>7150</v>
      </c>
      <c r="H873" s="7" t="s">
        <v>7156</v>
      </c>
      <c r="I873" s="7" t="s">
        <v>7159</v>
      </c>
      <c r="J873" s="10">
        <v>46252</v>
      </c>
      <c r="K873" s="7" t="s">
        <v>7164</v>
      </c>
      <c r="L873" s="7"/>
      <c r="M873" s="7"/>
    </row>
    <row r="874" spans="1:13" x14ac:dyDescent="0.3">
      <c r="A874" s="7">
        <v>19013</v>
      </c>
      <c r="B874" s="7" t="s">
        <v>882</v>
      </c>
      <c r="C874" s="7" t="s">
        <v>6505</v>
      </c>
      <c r="D874" s="7" t="s">
        <v>6295</v>
      </c>
      <c r="E874" s="7" t="s">
        <v>6295</v>
      </c>
      <c r="F874" s="7" t="s">
        <v>6509</v>
      </c>
      <c r="G874" s="7" t="s">
        <v>7150</v>
      </c>
      <c r="H874" s="7" t="s">
        <v>7156</v>
      </c>
      <c r="I874" s="7" t="s">
        <v>7159</v>
      </c>
      <c r="J874" s="10">
        <v>46254</v>
      </c>
      <c r="K874" s="7" t="s">
        <v>7164</v>
      </c>
      <c r="L874" s="7"/>
      <c r="M874" s="7"/>
    </row>
    <row r="875" spans="1:13" x14ac:dyDescent="0.3">
      <c r="A875" s="7">
        <v>18506</v>
      </c>
      <c r="B875" s="7" t="s">
        <v>883</v>
      </c>
      <c r="C875" s="7" t="s">
        <v>6505</v>
      </c>
      <c r="D875" s="7" t="s">
        <v>6295</v>
      </c>
      <c r="E875" s="7" t="s">
        <v>6295</v>
      </c>
      <c r="F875" s="7" t="s">
        <v>6510</v>
      </c>
      <c r="G875" s="7" t="s">
        <v>7150</v>
      </c>
      <c r="H875" s="7" t="s">
        <v>7156</v>
      </c>
      <c r="I875" s="7"/>
      <c r="J875" s="10">
        <v>46148</v>
      </c>
      <c r="K875" s="7" t="s">
        <v>7164</v>
      </c>
      <c r="L875" s="7"/>
      <c r="M875" s="7"/>
    </row>
    <row r="876" spans="1:13" x14ac:dyDescent="0.3">
      <c r="A876" s="7">
        <v>16602</v>
      </c>
      <c r="B876" s="7" t="s">
        <v>884</v>
      </c>
      <c r="C876" s="7" t="s">
        <v>6506</v>
      </c>
      <c r="D876" s="7" t="s">
        <v>6295</v>
      </c>
      <c r="E876" s="7" t="s">
        <v>6295</v>
      </c>
      <c r="F876" s="7" t="s">
        <v>6507</v>
      </c>
      <c r="G876" s="7" t="s">
        <v>7150</v>
      </c>
      <c r="H876" s="7" t="s">
        <v>7156</v>
      </c>
      <c r="I876" s="7"/>
      <c r="J876" s="10">
        <v>45505</v>
      </c>
      <c r="K876" s="7" t="s">
        <v>7164</v>
      </c>
      <c r="L876" s="7"/>
      <c r="M876" s="7"/>
    </row>
    <row r="877" spans="1:13" x14ac:dyDescent="0.3">
      <c r="A877" s="7">
        <v>19281</v>
      </c>
      <c r="B877" s="7" t="s">
        <v>885</v>
      </c>
      <c r="C877" s="7" t="s">
        <v>6506</v>
      </c>
      <c r="D877" s="7" t="s">
        <v>6295</v>
      </c>
      <c r="E877" s="7" t="s">
        <v>6295</v>
      </c>
      <c r="F877" s="7" t="s">
        <v>6507</v>
      </c>
      <c r="G877" s="7" t="s">
        <v>7150</v>
      </c>
      <c r="H877" s="7" t="s">
        <v>7156</v>
      </c>
      <c r="I877" s="7"/>
      <c r="J877" s="10">
        <v>46296</v>
      </c>
      <c r="K877" s="7" t="s">
        <v>7164</v>
      </c>
      <c r="L877" s="7"/>
      <c r="M877" s="7"/>
    </row>
    <row r="878" spans="1:13" x14ac:dyDescent="0.3">
      <c r="A878" s="7">
        <v>16848</v>
      </c>
      <c r="B878" s="7" t="s">
        <v>886</v>
      </c>
      <c r="C878" s="7" t="s">
        <v>6473</v>
      </c>
      <c r="D878" s="7" t="s">
        <v>6486</v>
      </c>
      <c r="E878" s="7" t="s">
        <v>6295</v>
      </c>
      <c r="F878" s="7" t="s">
        <v>6511</v>
      </c>
      <c r="G878" s="7" t="s">
        <v>7150</v>
      </c>
      <c r="H878" s="7" t="s">
        <v>7156</v>
      </c>
      <c r="I878" s="7"/>
      <c r="J878" s="10">
        <v>45566</v>
      </c>
      <c r="K878" s="7" t="s">
        <v>7164</v>
      </c>
      <c r="L878" s="7"/>
      <c r="M878" s="7"/>
    </row>
    <row r="879" spans="1:13" x14ac:dyDescent="0.3">
      <c r="A879" s="7">
        <v>17431</v>
      </c>
      <c r="B879" s="7" t="s">
        <v>887</v>
      </c>
      <c r="C879" s="7" t="s">
        <v>6473</v>
      </c>
      <c r="D879" s="7" t="s">
        <v>6486</v>
      </c>
      <c r="E879" s="7" t="s">
        <v>6295</v>
      </c>
      <c r="F879" s="7" t="s">
        <v>6511</v>
      </c>
      <c r="G879" s="7" t="s">
        <v>7150</v>
      </c>
      <c r="H879" s="7" t="s">
        <v>7156</v>
      </c>
      <c r="I879" s="7"/>
      <c r="J879" s="10">
        <v>45764</v>
      </c>
      <c r="K879" s="7" t="s">
        <v>7164</v>
      </c>
      <c r="L879" s="7"/>
      <c r="M879" s="7"/>
    </row>
    <row r="880" spans="1:13" x14ac:dyDescent="0.3">
      <c r="A880" s="7">
        <v>13465</v>
      </c>
      <c r="B880" s="7" t="s">
        <v>888</v>
      </c>
      <c r="C880" s="7" t="s">
        <v>6505</v>
      </c>
      <c r="D880" s="7" t="s">
        <v>6295</v>
      </c>
      <c r="E880" s="7" t="s">
        <v>6295</v>
      </c>
      <c r="F880" s="7" t="s">
        <v>6509</v>
      </c>
      <c r="G880" s="7" t="s">
        <v>7151</v>
      </c>
      <c r="H880" s="7" t="s">
        <v>7156</v>
      </c>
      <c r="I880" s="7"/>
      <c r="J880" s="10">
        <v>44463</v>
      </c>
      <c r="K880" s="7" t="s">
        <v>7164</v>
      </c>
      <c r="L880" s="7"/>
      <c r="M880" s="7"/>
    </row>
    <row r="881" spans="1:13" x14ac:dyDescent="0.3">
      <c r="A881" s="7">
        <v>16561</v>
      </c>
      <c r="B881" s="7" t="s">
        <v>889</v>
      </c>
      <c r="C881" s="7" t="s">
        <v>6505</v>
      </c>
      <c r="D881" s="7" t="s">
        <v>6295</v>
      </c>
      <c r="E881" s="7" t="s">
        <v>6295</v>
      </c>
      <c r="F881" s="7" t="s">
        <v>6512</v>
      </c>
      <c r="G881" s="7" t="s">
        <v>7150</v>
      </c>
      <c r="H881" s="7" t="s">
        <v>7157</v>
      </c>
      <c r="I881" s="7"/>
      <c r="J881" s="10">
        <v>45495</v>
      </c>
      <c r="K881" s="7" t="s">
        <v>7164</v>
      </c>
      <c r="L881" s="7"/>
      <c r="M881" s="7"/>
    </row>
    <row r="882" spans="1:13" x14ac:dyDescent="0.3">
      <c r="A882" s="7">
        <v>13464</v>
      </c>
      <c r="B882" s="7" t="s">
        <v>890</v>
      </c>
      <c r="C882" s="7" t="s">
        <v>6505</v>
      </c>
      <c r="D882" s="7" t="s">
        <v>6295</v>
      </c>
      <c r="E882" s="7" t="s">
        <v>6295</v>
      </c>
      <c r="F882" s="7" t="s">
        <v>6509</v>
      </c>
      <c r="G882" s="7" t="s">
        <v>7151</v>
      </c>
      <c r="H882" s="7" t="s">
        <v>7156</v>
      </c>
      <c r="I882" s="7"/>
      <c r="J882" s="10">
        <v>44463</v>
      </c>
      <c r="K882" s="7" t="s">
        <v>7164</v>
      </c>
      <c r="L882" s="7"/>
      <c r="M882" s="7"/>
    </row>
    <row r="883" spans="1:13" x14ac:dyDescent="0.3">
      <c r="A883" s="7">
        <v>17405</v>
      </c>
      <c r="B883" s="7" t="s">
        <v>891</v>
      </c>
      <c r="C883" s="7" t="s">
        <v>6505</v>
      </c>
      <c r="D883" s="7" t="s">
        <v>6295</v>
      </c>
      <c r="E883" s="7" t="s">
        <v>6295</v>
      </c>
      <c r="F883" s="7" t="s">
        <v>6509</v>
      </c>
      <c r="G883" s="7" t="s">
        <v>7150</v>
      </c>
      <c r="H883" s="7" t="s">
        <v>7156</v>
      </c>
      <c r="I883" s="7"/>
      <c r="J883" s="10">
        <v>45728</v>
      </c>
      <c r="K883" s="7" t="s">
        <v>7164</v>
      </c>
      <c r="L883" s="7"/>
      <c r="M883" s="7"/>
    </row>
    <row r="884" spans="1:13" x14ac:dyDescent="0.3">
      <c r="A884" s="7">
        <v>17036</v>
      </c>
      <c r="B884" s="7" t="s">
        <v>892</v>
      </c>
      <c r="C884" s="7" t="s">
        <v>6513</v>
      </c>
      <c r="D884" s="7" t="s">
        <v>6295</v>
      </c>
      <c r="E884" s="7" t="s">
        <v>6295</v>
      </c>
      <c r="F884" s="7" t="s">
        <v>6509</v>
      </c>
      <c r="G884" s="7" t="s">
        <v>7150</v>
      </c>
      <c r="H884" s="7" t="s">
        <v>7156</v>
      </c>
      <c r="I884" s="7"/>
      <c r="J884" s="10">
        <v>45597</v>
      </c>
      <c r="K884" s="7" t="s">
        <v>7164</v>
      </c>
      <c r="L884" s="7"/>
      <c r="M884" s="7"/>
    </row>
    <row r="885" spans="1:13" x14ac:dyDescent="0.3">
      <c r="A885" s="7">
        <v>18218</v>
      </c>
      <c r="B885" s="7" t="s">
        <v>893</v>
      </c>
      <c r="C885" s="7" t="s">
        <v>6505</v>
      </c>
      <c r="D885" s="7" t="s">
        <v>6295</v>
      </c>
      <c r="E885" s="7" t="s">
        <v>6295</v>
      </c>
      <c r="F885" s="7" t="s">
        <v>6509</v>
      </c>
      <c r="G885" s="7" t="s">
        <v>7150</v>
      </c>
      <c r="H885" s="7" t="s">
        <v>7156</v>
      </c>
      <c r="I885" s="7"/>
      <c r="J885" s="10">
        <v>46063</v>
      </c>
      <c r="K885" s="7" t="s">
        <v>7164</v>
      </c>
      <c r="L885" s="7"/>
      <c r="M885" s="7"/>
    </row>
    <row r="886" spans="1:13" x14ac:dyDescent="0.3">
      <c r="A886" s="7">
        <v>18072</v>
      </c>
      <c r="B886" s="7" t="s">
        <v>894</v>
      </c>
      <c r="C886" s="7" t="s">
        <v>6505</v>
      </c>
      <c r="D886" s="7" t="s">
        <v>6295</v>
      </c>
      <c r="E886" s="7" t="s">
        <v>6295</v>
      </c>
      <c r="F886" s="7" t="s">
        <v>6509</v>
      </c>
      <c r="G886" s="7" t="s">
        <v>7150</v>
      </c>
      <c r="H886" s="7" t="s">
        <v>7156</v>
      </c>
      <c r="I886" s="7"/>
      <c r="J886" s="10">
        <v>45982</v>
      </c>
      <c r="K886" s="7" t="s">
        <v>7164</v>
      </c>
      <c r="L886" s="7"/>
      <c r="M886" s="7"/>
    </row>
    <row r="887" spans="1:13" x14ac:dyDescent="0.3">
      <c r="A887" s="7">
        <v>16238</v>
      </c>
      <c r="B887" s="7" t="s">
        <v>895</v>
      </c>
      <c r="C887" s="7" t="s">
        <v>6513</v>
      </c>
      <c r="D887" s="7" t="s">
        <v>6295</v>
      </c>
      <c r="E887" s="7" t="s">
        <v>6295</v>
      </c>
      <c r="F887" s="7" t="s">
        <v>6509</v>
      </c>
      <c r="G887" s="7" t="s">
        <v>7151</v>
      </c>
      <c r="H887" s="7" t="s">
        <v>7156</v>
      </c>
      <c r="I887" s="7"/>
      <c r="J887" s="10">
        <v>45330</v>
      </c>
      <c r="K887" s="7" t="s">
        <v>7164</v>
      </c>
      <c r="L887" s="7"/>
      <c r="M887" s="7"/>
    </row>
    <row r="888" spans="1:13" x14ac:dyDescent="0.3">
      <c r="A888" s="7">
        <v>18360</v>
      </c>
      <c r="B888" s="7" t="s">
        <v>896</v>
      </c>
      <c r="C888" s="7" t="s">
        <v>6514</v>
      </c>
      <c r="D888" s="7" t="s">
        <v>6295</v>
      </c>
      <c r="E888" s="7" t="s">
        <v>6295</v>
      </c>
      <c r="F888" s="7" t="s">
        <v>6510</v>
      </c>
      <c r="G888" s="7" t="s">
        <v>7150</v>
      </c>
      <c r="H888" s="7" t="s">
        <v>7156</v>
      </c>
      <c r="I888" s="7"/>
      <c r="J888" s="10">
        <v>46113</v>
      </c>
      <c r="K888" s="7" t="s">
        <v>7164</v>
      </c>
      <c r="L888" s="7"/>
      <c r="M888" s="7"/>
    </row>
    <row r="889" spans="1:13" x14ac:dyDescent="0.3">
      <c r="A889" s="7">
        <v>15560</v>
      </c>
      <c r="B889" s="7" t="s">
        <v>897</v>
      </c>
      <c r="C889" s="7" t="s">
        <v>6505</v>
      </c>
      <c r="D889" s="7" t="s">
        <v>6295</v>
      </c>
      <c r="E889" s="7" t="s">
        <v>6295</v>
      </c>
      <c r="F889" s="7" t="s">
        <v>6510</v>
      </c>
      <c r="G889" s="7" t="s">
        <v>7150</v>
      </c>
      <c r="H889" s="7" t="s">
        <v>7156</v>
      </c>
      <c r="I889" s="7"/>
      <c r="J889" s="10">
        <v>45121</v>
      </c>
      <c r="K889" s="7" t="s">
        <v>7164</v>
      </c>
      <c r="L889" s="7"/>
      <c r="M889" s="7"/>
    </row>
    <row r="890" spans="1:13" x14ac:dyDescent="0.3">
      <c r="A890" s="7">
        <v>18312</v>
      </c>
      <c r="B890" s="7" t="s">
        <v>898</v>
      </c>
      <c r="C890" s="7" t="s">
        <v>6513</v>
      </c>
      <c r="D890" s="7" t="s">
        <v>6295</v>
      </c>
      <c r="E890" s="7" t="s">
        <v>6295</v>
      </c>
      <c r="F890" s="7" t="s">
        <v>6510</v>
      </c>
      <c r="G890" s="7" t="s">
        <v>7150</v>
      </c>
      <c r="H890" s="7" t="s">
        <v>7156</v>
      </c>
      <c r="I890" s="7"/>
      <c r="J890" s="10">
        <v>46084</v>
      </c>
      <c r="K890" s="7" t="s">
        <v>7164</v>
      </c>
      <c r="L890" s="7"/>
      <c r="M890" s="7"/>
    </row>
    <row r="891" spans="1:13" x14ac:dyDescent="0.3">
      <c r="A891" s="7">
        <v>19265</v>
      </c>
      <c r="B891" s="7" t="s">
        <v>899</v>
      </c>
      <c r="C891" s="7" t="s">
        <v>6513</v>
      </c>
      <c r="D891" s="7" t="s">
        <v>6295</v>
      </c>
      <c r="E891" s="7" t="s">
        <v>6295</v>
      </c>
      <c r="F891" s="7" t="s">
        <v>6510</v>
      </c>
      <c r="G891" s="7" t="s">
        <v>7150</v>
      </c>
      <c r="H891" s="7" t="s">
        <v>7156</v>
      </c>
      <c r="I891" s="7"/>
      <c r="J891" s="10">
        <v>46297</v>
      </c>
      <c r="K891" s="7" t="s">
        <v>7164</v>
      </c>
      <c r="L891" s="7"/>
      <c r="M891" s="7"/>
    </row>
    <row r="892" spans="1:13" x14ac:dyDescent="0.3">
      <c r="A892" s="7">
        <v>17364</v>
      </c>
      <c r="B892" s="7" t="s">
        <v>900</v>
      </c>
      <c r="C892" s="7" t="s">
        <v>6505</v>
      </c>
      <c r="D892" s="7" t="s">
        <v>6295</v>
      </c>
      <c r="E892" s="7" t="s">
        <v>6295</v>
      </c>
      <c r="F892" s="7" t="s">
        <v>6510</v>
      </c>
      <c r="G892" s="7" t="s">
        <v>7150</v>
      </c>
      <c r="H892" s="7" t="s">
        <v>7156</v>
      </c>
      <c r="I892" s="7"/>
      <c r="J892" s="10">
        <v>45720</v>
      </c>
      <c r="K892" s="7" t="s">
        <v>7164</v>
      </c>
      <c r="L892" s="7"/>
      <c r="M892" s="7"/>
    </row>
    <row r="893" spans="1:13" x14ac:dyDescent="0.3">
      <c r="A893" s="7">
        <v>170034</v>
      </c>
      <c r="B893" s="7" t="s">
        <v>901</v>
      </c>
      <c r="C893" s="7" t="s">
        <v>6513</v>
      </c>
      <c r="D893" s="7" t="s">
        <v>6295</v>
      </c>
      <c r="E893" s="7" t="s">
        <v>6295</v>
      </c>
      <c r="F893" s="7" t="s">
        <v>6509</v>
      </c>
      <c r="G893" s="7" t="s">
        <v>7150</v>
      </c>
      <c r="H893" s="7" t="s">
        <v>7156</v>
      </c>
      <c r="I893" s="7"/>
      <c r="J893" s="10">
        <v>42949</v>
      </c>
      <c r="K893" s="7" t="s">
        <v>7164</v>
      </c>
      <c r="L893" s="7"/>
      <c r="M893" s="7"/>
    </row>
    <row r="894" spans="1:13" x14ac:dyDescent="0.3">
      <c r="A894" s="7">
        <v>17242</v>
      </c>
      <c r="B894" s="7" t="s">
        <v>902</v>
      </c>
      <c r="C894" s="7" t="s">
        <v>6505</v>
      </c>
      <c r="D894" s="7" t="s">
        <v>6295</v>
      </c>
      <c r="E894" s="7" t="s">
        <v>6295</v>
      </c>
      <c r="F894" s="7" t="s">
        <v>6510</v>
      </c>
      <c r="G894" s="7" t="s">
        <v>7150</v>
      </c>
      <c r="H894" s="7" t="s">
        <v>7156</v>
      </c>
      <c r="I894" s="7"/>
      <c r="J894" s="10">
        <v>45684</v>
      </c>
      <c r="K894" s="7" t="s">
        <v>7164</v>
      </c>
      <c r="L894" s="7"/>
      <c r="M894" s="7"/>
    </row>
    <row r="895" spans="1:13" x14ac:dyDescent="0.3">
      <c r="A895" s="7">
        <v>12971</v>
      </c>
      <c r="B895" s="7" t="s">
        <v>903</v>
      </c>
      <c r="C895" s="7" t="s">
        <v>6515</v>
      </c>
      <c r="D895" s="7" t="s">
        <v>6295</v>
      </c>
      <c r="E895" s="7" t="s">
        <v>6295</v>
      </c>
      <c r="F895" s="7" t="s">
        <v>6516</v>
      </c>
      <c r="G895" s="7" t="s">
        <v>7150</v>
      </c>
      <c r="H895" s="7" t="s">
        <v>7156</v>
      </c>
      <c r="I895" s="7"/>
      <c r="J895" s="10">
        <v>44153</v>
      </c>
      <c r="K895" s="7" t="s">
        <v>7164</v>
      </c>
      <c r="L895" s="7"/>
      <c r="M895" s="7"/>
    </row>
    <row r="896" spans="1:13" x14ac:dyDescent="0.3">
      <c r="A896" s="7">
        <v>13085</v>
      </c>
      <c r="B896" s="7" t="s">
        <v>904</v>
      </c>
      <c r="C896" s="7" t="s">
        <v>6488</v>
      </c>
      <c r="D896" s="7" t="s">
        <v>6295</v>
      </c>
      <c r="E896" s="7" t="s">
        <v>6295</v>
      </c>
      <c r="F896" s="7" t="s">
        <v>6333</v>
      </c>
      <c r="G896" s="7" t="s">
        <v>7150</v>
      </c>
      <c r="H896" s="7" t="s">
        <v>7156</v>
      </c>
      <c r="I896" s="7"/>
      <c r="J896" s="10">
        <v>44243</v>
      </c>
      <c r="K896" s="7" t="s">
        <v>7164</v>
      </c>
      <c r="L896" s="7"/>
      <c r="M896" s="7"/>
    </row>
    <row r="897" spans="1:13" x14ac:dyDescent="0.3">
      <c r="A897" s="7">
        <v>11370</v>
      </c>
      <c r="B897" s="7" t="s">
        <v>905</v>
      </c>
      <c r="C897" s="7" t="s">
        <v>6515</v>
      </c>
      <c r="D897" s="7" t="s">
        <v>6517</v>
      </c>
      <c r="E897" s="7" t="s">
        <v>6295</v>
      </c>
      <c r="F897" s="7" t="s">
        <v>6333</v>
      </c>
      <c r="G897" s="7" t="s">
        <v>7150</v>
      </c>
      <c r="H897" s="7" t="s">
        <v>7156</v>
      </c>
      <c r="I897" s="7"/>
      <c r="J897" s="10">
        <v>42600</v>
      </c>
      <c r="K897" s="7" t="s">
        <v>7164</v>
      </c>
      <c r="L897" s="7"/>
      <c r="M897" s="7"/>
    </row>
    <row r="898" spans="1:13" x14ac:dyDescent="0.3">
      <c r="A898" s="7">
        <v>500014</v>
      </c>
      <c r="B898" s="7" t="s">
        <v>906</v>
      </c>
      <c r="C898" s="7" t="s">
        <v>6515</v>
      </c>
      <c r="D898" s="7" t="s">
        <v>6518</v>
      </c>
      <c r="E898" s="7" t="s">
        <v>6295</v>
      </c>
      <c r="F898" s="7" t="s">
        <v>6333</v>
      </c>
      <c r="G898" s="7" t="s">
        <v>7150</v>
      </c>
      <c r="H898" s="7" t="s">
        <v>7156</v>
      </c>
      <c r="I898" s="7"/>
      <c r="J898" s="10">
        <v>40569</v>
      </c>
      <c r="K898" s="7" t="s">
        <v>7164</v>
      </c>
      <c r="L898" s="7"/>
      <c r="M898" s="7"/>
    </row>
    <row r="899" spans="1:13" x14ac:dyDescent="0.3">
      <c r="A899" s="7">
        <v>18851</v>
      </c>
      <c r="B899" s="7" t="s">
        <v>907</v>
      </c>
      <c r="C899" s="7" t="s">
        <v>6515</v>
      </c>
      <c r="D899" s="7" t="s">
        <v>6519</v>
      </c>
      <c r="E899" s="7" t="s">
        <v>6295</v>
      </c>
      <c r="F899" s="7" t="s">
        <v>6333</v>
      </c>
      <c r="G899" s="7" t="s">
        <v>7150</v>
      </c>
      <c r="H899" s="7" t="s">
        <v>7156</v>
      </c>
      <c r="I899" s="7"/>
      <c r="J899" s="10">
        <v>46224</v>
      </c>
      <c r="K899" s="7" t="s">
        <v>7164</v>
      </c>
      <c r="L899" s="7"/>
      <c r="M899" s="7"/>
    </row>
    <row r="900" spans="1:13" x14ac:dyDescent="0.3">
      <c r="A900" s="7">
        <v>11770</v>
      </c>
      <c r="B900" s="7" t="s">
        <v>908</v>
      </c>
      <c r="C900" s="7" t="s">
        <v>6515</v>
      </c>
      <c r="D900" s="7" t="s">
        <v>6520</v>
      </c>
      <c r="E900" s="7" t="s">
        <v>6295</v>
      </c>
      <c r="F900" s="7" t="s">
        <v>6333</v>
      </c>
      <c r="G900" s="7" t="s">
        <v>7150</v>
      </c>
      <c r="H900" s="7" t="s">
        <v>7156</v>
      </c>
      <c r="I900" s="7"/>
      <c r="J900" s="10">
        <v>43094</v>
      </c>
      <c r="K900" s="7" t="s">
        <v>7164</v>
      </c>
      <c r="L900" s="7"/>
      <c r="M900" s="7"/>
    </row>
    <row r="901" spans="1:13" x14ac:dyDescent="0.3">
      <c r="A901" s="7">
        <v>11215</v>
      </c>
      <c r="B901" s="7" t="s">
        <v>909</v>
      </c>
      <c r="C901" s="7" t="s">
        <v>6461</v>
      </c>
      <c r="D901" s="7" t="s">
        <v>6295</v>
      </c>
      <c r="E901" s="7" t="s">
        <v>6295</v>
      </c>
      <c r="F901" s="7" t="s">
        <v>6336</v>
      </c>
      <c r="G901" s="7" t="s">
        <v>7150</v>
      </c>
      <c r="H901" s="7" t="s">
        <v>7156</v>
      </c>
      <c r="I901" s="7"/>
      <c r="J901" s="10">
        <v>42426</v>
      </c>
      <c r="K901" s="7" t="s">
        <v>7163</v>
      </c>
      <c r="L901" s="7"/>
      <c r="M901" s="7"/>
    </row>
    <row r="902" spans="1:13" x14ac:dyDescent="0.3">
      <c r="A902" s="7">
        <v>190039</v>
      </c>
      <c r="B902" s="7" t="s">
        <v>910</v>
      </c>
      <c r="C902" s="7" t="s">
        <v>6461</v>
      </c>
      <c r="D902" s="7" t="s">
        <v>6462</v>
      </c>
      <c r="E902" s="7" t="s">
        <v>6295</v>
      </c>
      <c r="F902" s="7" t="s">
        <v>6338</v>
      </c>
      <c r="G902" s="7" t="s">
        <v>7150</v>
      </c>
      <c r="H902" s="7" t="s">
        <v>7156</v>
      </c>
      <c r="I902" s="7"/>
      <c r="J902" s="10">
        <v>42684</v>
      </c>
      <c r="K902" s="7" t="s">
        <v>7163</v>
      </c>
      <c r="L902" s="7"/>
      <c r="M902" s="7"/>
    </row>
    <row r="903" spans="1:13" x14ac:dyDescent="0.3">
      <c r="A903" s="7">
        <v>10480</v>
      </c>
      <c r="B903" s="7" t="s">
        <v>911</v>
      </c>
      <c r="C903" s="7" t="s">
        <v>6461</v>
      </c>
      <c r="D903" s="7" t="s">
        <v>6462</v>
      </c>
      <c r="E903" s="7" t="s">
        <v>6295</v>
      </c>
      <c r="F903" s="7" t="s">
        <v>6335</v>
      </c>
      <c r="G903" s="7" t="s">
        <v>7150</v>
      </c>
      <c r="H903" s="7" t="s">
        <v>7156</v>
      </c>
      <c r="I903" s="7"/>
      <c r="J903" s="10">
        <v>40787</v>
      </c>
      <c r="K903" s="7" t="s">
        <v>7163</v>
      </c>
      <c r="L903" s="7"/>
      <c r="M903" s="7"/>
    </row>
    <row r="904" spans="1:13" x14ac:dyDescent="0.3">
      <c r="A904" s="7">
        <v>920002</v>
      </c>
      <c r="B904" s="7" t="s">
        <v>912</v>
      </c>
      <c r="C904" s="7" t="s">
        <v>6461</v>
      </c>
      <c r="D904" s="7" t="s">
        <v>6462</v>
      </c>
      <c r="E904" s="7" t="s">
        <v>6295</v>
      </c>
      <c r="F904" s="7" t="s">
        <v>6353</v>
      </c>
      <c r="G904" s="7" t="s">
        <v>7150</v>
      </c>
      <c r="H904" s="7" t="s">
        <v>7156</v>
      </c>
      <c r="I904" s="7"/>
      <c r="J904" s="10">
        <v>40168</v>
      </c>
      <c r="K904" s="7" t="s">
        <v>7163</v>
      </c>
      <c r="L904" s="7"/>
      <c r="M904" s="7"/>
    </row>
    <row r="905" spans="1:13" x14ac:dyDescent="0.3">
      <c r="A905" s="7">
        <v>11319</v>
      </c>
      <c r="B905" s="7" t="s">
        <v>913</v>
      </c>
      <c r="C905" s="7" t="s">
        <v>6461</v>
      </c>
      <c r="D905" s="7" t="s">
        <v>6521</v>
      </c>
      <c r="E905" s="7" t="s">
        <v>6295</v>
      </c>
      <c r="F905" s="7" t="s">
        <v>6353</v>
      </c>
      <c r="G905" s="7" t="s">
        <v>7150</v>
      </c>
      <c r="H905" s="7" t="s">
        <v>7156</v>
      </c>
      <c r="I905" s="7"/>
      <c r="J905" s="10">
        <v>42527</v>
      </c>
      <c r="K905" s="7" t="s">
        <v>7163</v>
      </c>
      <c r="L905" s="7"/>
      <c r="M905" s="7"/>
    </row>
    <row r="906" spans="1:13" x14ac:dyDescent="0.3">
      <c r="A906" s="7">
        <v>10548</v>
      </c>
      <c r="B906" s="7" t="s">
        <v>914</v>
      </c>
      <c r="C906" s="7" t="s">
        <v>6461</v>
      </c>
      <c r="D906" s="7" t="s">
        <v>6462</v>
      </c>
      <c r="E906" s="7" t="s">
        <v>6295</v>
      </c>
      <c r="F906" s="7" t="s">
        <v>6353</v>
      </c>
      <c r="G906" s="7" t="s">
        <v>7150</v>
      </c>
      <c r="H906" s="7" t="s">
        <v>7156</v>
      </c>
      <c r="I906" s="7"/>
      <c r="J906" s="10">
        <v>41176</v>
      </c>
      <c r="K906" s="7" t="s">
        <v>7163</v>
      </c>
      <c r="L906" s="7"/>
      <c r="M906" s="7"/>
    </row>
    <row r="907" spans="1:13" x14ac:dyDescent="0.3">
      <c r="A907" s="7">
        <v>11287</v>
      </c>
      <c r="B907" s="7" t="s">
        <v>915</v>
      </c>
      <c r="C907" s="7" t="s">
        <v>6461</v>
      </c>
      <c r="D907" s="7" t="s">
        <v>6462</v>
      </c>
      <c r="E907" s="7" t="s">
        <v>6295</v>
      </c>
      <c r="F907" s="7" t="s">
        <v>6353</v>
      </c>
      <c r="G907" s="7" t="s">
        <v>7151</v>
      </c>
      <c r="H907" s="7" t="s">
        <v>7156</v>
      </c>
      <c r="I907" s="7"/>
      <c r="J907" s="10">
        <v>42493</v>
      </c>
      <c r="K907" s="7" t="s">
        <v>7163</v>
      </c>
      <c r="L907" s="7"/>
      <c r="M907" s="7"/>
    </row>
    <row r="908" spans="1:13" x14ac:dyDescent="0.3">
      <c r="A908" s="7">
        <v>10215</v>
      </c>
      <c r="B908" s="7" t="s">
        <v>916</v>
      </c>
      <c r="C908" s="7" t="s">
        <v>6461</v>
      </c>
      <c r="D908" s="7" t="s">
        <v>6462</v>
      </c>
      <c r="E908" s="7" t="s">
        <v>6295</v>
      </c>
      <c r="F908" s="7" t="s">
        <v>6340</v>
      </c>
      <c r="G908" s="7" t="s">
        <v>7150</v>
      </c>
      <c r="H908" s="7" t="s">
        <v>7156</v>
      </c>
      <c r="I908" s="7"/>
      <c r="J908" s="10">
        <v>38790</v>
      </c>
      <c r="K908" s="7" t="s">
        <v>7163</v>
      </c>
      <c r="L908" s="7"/>
      <c r="M908" s="7"/>
    </row>
    <row r="909" spans="1:13" x14ac:dyDescent="0.3">
      <c r="A909" s="7">
        <v>250022</v>
      </c>
      <c r="B909" s="7" t="s">
        <v>917</v>
      </c>
      <c r="C909" s="7" t="s">
        <v>6461</v>
      </c>
      <c r="D909" s="7" t="s">
        <v>6462</v>
      </c>
      <c r="E909" s="7" t="s">
        <v>6295</v>
      </c>
      <c r="F909" s="7" t="s">
        <v>6340</v>
      </c>
      <c r="G909" s="7" t="s">
        <v>7150</v>
      </c>
      <c r="H909" s="7" t="s">
        <v>7156</v>
      </c>
      <c r="I909" s="7"/>
      <c r="J909" s="10">
        <v>41610</v>
      </c>
      <c r="K909" s="7" t="s">
        <v>7163</v>
      </c>
      <c r="L909" s="7"/>
      <c r="M909" s="7"/>
    </row>
    <row r="910" spans="1:13" x14ac:dyDescent="0.3">
      <c r="A910" s="7">
        <v>12493</v>
      </c>
      <c r="B910" s="7" t="s">
        <v>918</v>
      </c>
      <c r="C910" s="7" t="s">
        <v>6461</v>
      </c>
      <c r="D910" s="7" t="s">
        <v>6462</v>
      </c>
      <c r="E910" s="7" t="s">
        <v>6295</v>
      </c>
      <c r="F910" s="7" t="s">
        <v>6340</v>
      </c>
      <c r="G910" s="7" t="s">
        <v>7150</v>
      </c>
      <c r="H910" s="7" t="s">
        <v>7156</v>
      </c>
      <c r="I910" s="7"/>
      <c r="J910" s="10">
        <v>43775</v>
      </c>
      <c r="K910" s="7" t="s">
        <v>7163</v>
      </c>
      <c r="L910" s="7"/>
      <c r="M910" s="7"/>
    </row>
    <row r="911" spans="1:13" x14ac:dyDescent="0.3">
      <c r="A911" s="7">
        <v>680001</v>
      </c>
      <c r="B911" s="7" t="s">
        <v>919</v>
      </c>
      <c r="C911" s="7" t="s">
        <v>6461</v>
      </c>
      <c r="D911" s="7" t="s">
        <v>6462</v>
      </c>
      <c r="E911" s="7" t="s">
        <v>6295</v>
      </c>
      <c r="F911" s="7" t="s">
        <v>6340</v>
      </c>
      <c r="G911" s="7" t="s">
        <v>7150</v>
      </c>
      <c r="H911" s="7" t="s">
        <v>7156</v>
      </c>
      <c r="I911" s="7"/>
      <c r="J911" s="10">
        <v>38328</v>
      </c>
      <c r="K911" s="7" t="s">
        <v>7163</v>
      </c>
      <c r="L911" s="7"/>
      <c r="M911" s="7"/>
    </row>
    <row r="912" spans="1:13" x14ac:dyDescent="0.3">
      <c r="A912" s="7">
        <v>120005</v>
      </c>
      <c r="B912" s="7" t="s">
        <v>920</v>
      </c>
      <c r="C912" s="7" t="s">
        <v>6461</v>
      </c>
      <c r="D912" s="7" t="s">
        <v>6462</v>
      </c>
      <c r="E912" s="7" t="s">
        <v>6295</v>
      </c>
      <c r="F912" s="7" t="s">
        <v>6340</v>
      </c>
      <c r="G912" s="7" t="s">
        <v>7150</v>
      </c>
      <c r="H912" s="7" t="s">
        <v>7156</v>
      </c>
      <c r="I912" s="7"/>
      <c r="J912" s="10">
        <v>36693</v>
      </c>
      <c r="K912" s="7" t="s">
        <v>7163</v>
      </c>
      <c r="L912" s="7"/>
      <c r="M912" s="7"/>
    </row>
    <row r="913" spans="1:13" x14ac:dyDescent="0.3">
      <c r="A913" s="7">
        <v>130029</v>
      </c>
      <c r="B913" s="7" t="s">
        <v>921</v>
      </c>
      <c r="C913" s="7" t="s">
        <v>6461</v>
      </c>
      <c r="D913" s="7" t="s">
        <v>6462</v>
      </c>
      <c r="E913" s="7" t="s">
        <v>6295</v>
      </c>
      <c r="F913" s="7" t="s">
        <v>6340</v>
      </c>
      <c r="G913" s="7" t="s">
        <v>7151</v>
      </c>
      <c r="H913" s="7" t="s">
        <v>7156</v>
      </c>
      <c r="I913" s="7"/>
      <c r="J913" s="10">
        <v>39654</v>
      </c>
      <c r="K913" s="7" t="s">
        <v>7163</v>
      </c>
      <c r="L913" s="7"/>
      <c r="M913" s="7"/>
    </row>
    <row r="914" spans="1:13" x14ac:dyDescent="0.3">
      <c r="A914" s="7">
        <v>300004</v>
      </c>
      <c r="B914" s="7" t="s">
        <v>922</v>
      </c>
      <c r="C914" s="7" t="s">
        <v>6461</v>
      </c>
      <c r="D914" s="7" t="s">
        <v>6462</v>
      </c>
      <c r="E914" s="7" t="s">
        <v>6295</v>
      </c>
      <c r="F914" s="7" t="s">
        <v>6340</v>
      </c>
      <c r="G914" s="7" t="s">
        <v>7150</v>
      </c>
      <c r="H914" s="7" t="s">
        <v>7156</v>
      </c>
      <c r="I914" s="7"/>
      <c r="J914" s="10">
        <v>37015</v>
      </c>
      <c r="K914" s="7" t="s">
        <v>7163</v>
      </c>
      <c r="L914" s="7"/>
      <c r="M914" s="7"/>
    </row>
    <row r="915" spans="1:13" x14ac:dyDescent="0.3">
      <c r="A915" s="7">
        <v>140004</v>
      </c>
      <c r="B915" s="7" t="s">
        <v>923</v>
      </c>
      <c r="C915" s="7" t="s">
        <v>6461</v>
      </c>
      <c r="D915" s="7" t="s">
        <v>6462</v>
      </c>
      <c r="E915" s="7" t="s">
        <v>6295</v>
      </c>
      <c r="F915" s="7" t="s">
        <v>6340</v>
      </c>
      <c r="G915" s="7" t="s">
        <v>7150</v>
      </c>
      <c r="H915" s="7" t="s">
        <v>7156</v>
      </c>
      <c r="I915" s="7"/>
      <c r="J915" s="10">
        <v>36686</v>
      </c>
      <c r="K915" s="7" t="s">
        <v>7163</v>
      </c>
      <c r="L915" s="7"/>
      <c r="M915" s="7"/>
    </row>
    <row r="916" spans="1:13" x14ac:dyDescent="0.3">
      <c r="A916" s="7">
        <v>11307</v>
      </c>
      <c r="B916" s="7" t="s">
        <v>924</v>
      </c>
      <c r="C916" s="7" t="s">
        <v>6461</v>
      </c>
      <c r="D916" s="7" t="s">
        <v>6462</v>
      </c>
      <c r="E916" s="7" t="s">
        <v>6295</v>
      </c>
      <c r="F916" s="7" t="s">
        <v>6353</v>
      </c>
      <c r="G916" s="7" t="s">
        <v>7150</v>
      </c>
      <c r="H916" s="7" t="s">
        <v>7156</v>
      </c>
      <c r="I916" s="7"/>
      <c r="J916" s="10">
        <v>42510</v>
      </c>
      <c r="K916" s="7" t="s">
        <v>7163</v>
      </c>
      <c r="L916" s="7"/>
      <c r="M916" s="7"/>
    </row>
    <row r="917" spans="1:13" x14ac:dyDescent="0.3">
      <c r="A917" s="7">
        <v>120006</v>
      </c>
      <c r="B917" s="7" t="s">
        <v>925</v>
      </c>
      <c r="C917" s="7" t="s">
        <v>6461</v>
      </c>
      <c r="D917" s="7" t="s">
        <v>6462</v>
      </c>
      <c r="E917" s="7" t="s">
        <v>6295</v>
      </c>
      <c r="F917" s="7" t="s">
        <v>6341</v>
      </c>
      <c r="G917" s="7" t="s">
        <v>7150</v>
      </c>
      <c r="H917" s="7" t="s">
        <v>7156</v>
      </c>
      <c r="I917" s="7"/>
      <c r="J917" s="10">
        <v>36990</v>
      </c>
      <c r="K917" s="7" t="s">
        <v>7163</v>
      </c>
      <c r="L917" s="7"/>
      <c r="M917" s="7"/>
    </row>
    <row r="918" spans="1:13" x14ac:dyDescent="0.3">
      <c r="A918" s="7">
        <v>13365</v>
      </c>
      <c r="B918" s="7" t="s">
        <v>926</v>
      </c>
      <c r="C918" s="7" t="s">
        <v>6461</v>
      </c>
      <c r="D918" s="7" t="s">
        <v>6462</v>
      </c>
      <c r="E918" s="7" t="s">
        <v>6295</v>
      </c>
      <c r="F918" s="7" t="s">
        <v>6340</v>
      </c>
      <c r="G918" s="7" t="s">
        <v>7150</v>
      </c>
      <c r="H918" s="7" t="s">
        <v>7156</v>
      </c>
      <c r="I918" s="7"/>
      <c r="J918" s="10">
        <v>44410</v>
      </c>
      <c r="K918" s="7" t="s">
        <v>7163</v>
      </c>
      <c r="L918" s="7"/>
      <c r="M918" s="7"/>
    </row>
    <row r="919" spans="1:13" x14ac:dyDescent="0.3">
      <c r="A919" s="7">
        <v>250012</v>
      </c>
      <c r="B919" s="7" t="s">
        <v>927</v>
      </c>
      <c r="C919" s="7" t="s">
        <v>6461</v>
      </c>
      <c r="D919" s="7" t="s">
        <v>6462</v>
      </c>
      <c r="E919" s="7" t="s">
        <v>6295</v>
      </c>
      <c r="F919" s="7" t="s">
        <v>6341</v>
      </c>
      <c r="G919" s="7" t="s">
        <v>7150</v>
      </c>
      <c r="H919" s="7" t="s">
        <v>7156</v>
      </c>
      <c r="I919" s="7"/>
      <c r="J919" s="10">
        <v>36691</v>
      </c>
      <c r="K919" s="7" t="s">
        <v>7163</v>
      </c>
      <c r="L919" s="7"/>
      <c r="M919" s="7"/>
    </row>
    <row r="920" spans="1:13" x14ac:dyDescent="0.3">
      <c r="A920" s="7">
        <v>16160</v>
      </c>
      <c r="B920" s="7" t="s">
        <v>928</v>
      </c>
      <c r="C920" s="7" t="s">
        <v>6461</v>
      </c>
      <c r="D920" s="7" t="s">
        <v>6462</v>
      </c>
      <c r="E920" s="7" t="s">
        <v>6295</v>
      </c>
      <c r="F920" s="7" t="s">
        <v>6340</v>
      </c>
      <c r="G920" s="7" t="s">
        <v>7150</v>
      </c>
      <c r="H920" s="7" t="s">
        <v>7156</v>
      </c>
      <c r="I920" s="7"/>
      <c r="J920" s="10">
        <v>45303</v>
      </c>
      <c r="K920" s="7" t="s">
        <v>7163</v>
      </c>
      <c r="L920" s="7"/>
      <c r="M920" s="7"/>
    </row>
    <row r="921" spans="1:13" x14ac:dyDescent="0.3">
      <c r="A921" s="7">
        <v>12855</v>
      </c>
      <c r="B921" s="7" t="s">
        <v>929</v>
      </c>
      <c r="C921" s="7" t="s">
        <v>6461</v>
      </c>
      <c r="D921" s="7" t="s">
        <v>6462</v>
      </c>
      <c r="E921" s="7" t="s">
        <v>6295</v>
      </c>
      <c r="F921" s="7" t="s">
        <v>6522</v>
      </c>
      <c r="G921" s="7" t="s">
        <v>7151</v>
      </c>
      <c r="H921" s="7" t="s">
        <v>7156</v>
      </c>
      <c r="I921" s="7"/>
      <c r="J921" s="10">
        <v>44049</v>
      </c>
      <c r="K921" s="7" t="s">
        <v>7163</v>
      </c>
      <c r="L921" s="7"/>
      <c r="M921" s="7"/>
    </row>
    <row r="922" spans="1:13" x14ac:dyDescent="0.3">
      <c r="A922" s="7">
        <v>210017</v>
      </c>
      <c r="B922" s="7" t="s">
        <v>930</v>
      </c>
      <c r="C922" s="7" t="s">
        <v>6523</v>
      </c>
      <c r="D922" s="7" t="s">
        <v>6524</v>
      </c>
      <c r="E922" s="7" t="s">
        <v>6295</v>
      </c>
      <c r="F922" s="7" t="s">
        <v>6338</v>
      </c>
      <c r="G922" s="7" t="s">
        <v>7150</v>
      </c>
      <c r="H922" s="7" t="s">
        <v>7156</v>
      </c>
      <c r="I922" s="7"/>
      <c r="J922" s="10">
        <v>39483</v>
      </c>
      <c r="K922" s="7" t="s">
        <v>7163</v>
      </c>
      <c r="L922" s="7"/>
      <c r="M922" s="7"/>
    </row>
    <row r="923" spans="1:13" x14ac:dyDescent="0.3">
      <c r="A923" s="7">
        <v>270005</v>
      </c>
      <c r="B923" s="7" t="s">
        <v>931</v>
      </c>
      <c r="C923" s="7" t="s">
        <v>6295</v>
      </c>
      <c r="D923" s="7" t="s">
        <v>6470</v>
      </c>
      <c r="E923" s="7" t="s">
        <v>6295</v>
      </c>
      <c r="F923" s="7" t="s">
        <v>6335</v>
      </c>
      <c r="G923" s="7" t="s">
        <v>7150</v>
      </c>
      <c r="H923" s="7" t="s">
        <v>7156</v>
      </c>
      <c r="I923" s="7"/>
      <c r="J923" s="10">
        <v>39336</v>
      </c>
      <c r="K923" s="7" t="s">
        <v>7163</v>
      </c>
      <c r="L923" s="7"/>
      <c r="M923" s="7"/>
    </row>
    <row r="924" spans="1:13" x14ac:dyDescent="0.3">
      <c r="A924" s="7">
        <v>900011</v>
      </c>
      <c r="B924" s="7" t="s">
        <v>932</v>
      </c>
      <c r="C924" s="7" t="s">
        <v>6295</v>
      </c>
      <c r="D924" s="7" t="s">
        <v>6470</v>
      </c>
      <c r="E924" s="7" t="s">
        <v>6295</v>
      </c>
      <c r="F924" s="7" t="s">
        <v>6353</v>
      </c>
      <c r="G924" s="7" t="s">
        <v>7150</v>
      </c>
      <c r="H924" s="7" t="s">
        <v>7156</v>
      </c>
      <c r="I924" s="7"/>
      <c r="J924" s="10">
        <v>39213</v>
      </c>
      <c r="K924" s="7" t="s">
        <v>7163</v>
      </c>
      <c r="L924" s="7"/>
      <c r="M924" s="7"/>
    </row>
    <row r="925" spans="1:13" x14ac:dyDescent="0.3">
      <c r="A925" s="7">
        <v>11274</v>
      </c>
      <c r="B925" s="7" t="s">
        <v>933</v>
      </c>
      <c r="C925" s="7" t="s">
        <v>6295</v>
      </c>
      <c r="D925" s="7" t="s">
        <v>6470</v>
      </c>
      <c r="E925" s="7" t="s">
        <v>6295</v>
      </c>
      <c r="F925" s="7" t="s">
        <v>6353</v>
      </c>
      <c r="G925" s="7" t="s">
        <v>7150</v>
      </c>
      <c r="H925" s="7" t="s">
        <v>7156</v>
      </c>
      <c r="I925" s="7"/>
      <c r="J925" s="10">
        <v>42478</v>
      </c>
      <c r="K925" s="7" t="s">
        <v>7163</v>
      </c>
      <c r="L925" s="7"/>
      <c r="M925" s="7"/>
    </row>
    <row r="926" spans="1:13" x14ac:dyDescent="0.3">
      <c r="A926" s="7">
        <v>18960</v>
      </c>
      <c r="B926" s="7" t="s">
        <v>934</v>
      </c>
      <c r="C926" s="7" t="s">
        <v>6295</v>
      </c>
      <c r="D926" s="7" t="s">
        <v>6470</v>
      </c>
      <c r="E926" s="7" t="s">
        <v>6295</v>
      </c>
      <c r="F926" s="7" t="s">
        <v>6341</v>
      </c>
      <c r="G926" s="7" t="s">
        <v>7150</v>
      </c>
      <c r="H926" s="7" t="s">
        <v>7156</v>
      </c>
      <c r="I926" s="7"/>
      <c r="J926" s="10">
        <v>46248</v>
      </c>
      <c r="K926" s="7" t="s">
        <v>7163</v>
      </c>
      <c r="L926" s="7"/>
      <c r="M926" s="7"/>
    </row>
    <row r="927" spans="1:13" x14ac:dyDescent="0.3">
      <c r="A927" s="7">
        <v>10321</v>
      </c>
      <c r="B927" s="7" t="s">
        <v>935</v>
      </c>
      <c r="C927" s="7" t="s">
        <v>6523</v>
      </c>
      <c r="D927" s="7" t="s">
        <v>6524</v>
      </c>
      <c r="E927" s="7" t="s">
        <v>6295</v>
      </c>
      <c r="F927" s="7" t="s">
        <v>6353</v>
      </c>
      <c r="G927" s="7" t="s">
        <v>7150</v>
      </c>
      <c r="H927" s="7" t="s">
        <v>7156</v>
      </c>
      <c r="I927" s="7"/>
      <c r="J927" s="10">
        <v>39755</v>
      </c>
      <c r="K927" s="7" t="s">
        <v>7163</v>
      </c>
      <c r="L927" s="7"/>
      <c r="M927" s="7"/>
    </row>
    <row r="928" spans="1:13" x14ac:dyDescent="0.3">
      <c r="A928" s="7">
        <v>16323</v>
      </c>
      <c r="B928" s="7" t="s">
        <v>936</v>
      </c>
      <c r="C928" s="7" t="s">
        <v>6523</v>
      </c>
      <c r="D928" s="7" t="s">
        <v>6524</v>
      </c>
      <c r="E928" s="7" t="s">
        <v>6295</v>
      </c>
      <c r="F928" s="7" t="s">
        <v>6340</v>
      </c>
      <c r="G928" s="7" t="s">
        <v>7150</v>
      </c>
      <c r="H928" s="7" t="s">
        <v>7156</v>
      </c>
      <c r="I928" s="7"/>
      <c r="J928" s="10">
        <v>45362</v>
      </c>
      <c r="K928" s="7" t="s">
        <v>7163</v>
      </c>
      <c r="L928" s="7"/>
      <c r="M928" s="7"/>
    </row>
    <row r="929" spans="1:13" x14ac:dyDescent="0.3">
      <c r="A929" s="7">
        <v>12063</v>
      </c>
      <c r="B929" s="7" t="s">
        <v>937</v>
      </c>
      <c r="C929" s="7" t="s">
        <v>6523</v>
      </c>
      <c r="D929" s="7" t="s">
        <v>6524</v>
      </c>
      <c r="E929" s="7" t="s">
        <v>6295</v>
      </c>
      <c r="F929" s="7" t="s">
        <v>6340</v>
      </c>
      <c r="G929" s="7" t="s">
        <v>7150</v>
      </c>
      <c r="H929" s="7" t="s">
        <v>7156</v>
      </c>
      <c r="I929" s="7"/>
      <c r="J929" s="10">
        <v>43438</v>
      </c>
      <c r="K929" s="7" t="s">
        <v>7163</v>
      </c>
      <c r="L929" s="7"/>
      <c r="M929" s="7"/>
    </row>
    <row r="930" spans="1:13" x14ac:dyDescent="0.3">
      <c r="A930" s="7">
        <v>13588</v>
      </c>
      <c r="B930" s="7" t="s">
        <v>938</v>
      </c>
      <c r="C930" s="7" t="s">
        <v>6523</v>
      </c>
      <c r="D930" s="7" t="s">
        <v>6524</v>
      </c>
      <c r="E930" s="7" t="s">
        <v>6295</v>
      </c>
      <c r="F930" s="7" t="s">
        <v>6353</v>
      </c>
      <c r="G930" s="7" t="s">
        <v>7150</v>
      </c>
      <c r="H930" s="7" t="s">
        <v>7156</v>
      </c>
      <c r="I930" s="7"/>
      <c r="J930" s="10">
        <v>44503</v>
      </c>
      <c r="K930" s="7" t="s">
        <v>7163</v>
      </c>
      <c r="L930" s="7"/>
      <c r="M930" s="7"/>
    </row>
    <row r="931" spans="1:13" x14ac:dyDescent="0.3">
      <c r="A931" s="7">
        <v>220033</v>
      </c>
      <c r="B931" s="7" t="s">
        <v>939</v>
      </c>
      <c r="C931" s="7" t="s">
        <v>6523</v>
      </c>
      <c r="D931" s="7" t="s">
        <v>6524</v>
      </c>
      <c r="E931" s="7" t="s">
        <v>6295</v>
      </c>
      <c r="F931" s="7" t="s">
        <v>6340</v>
      </c>
      <c r="G931" s="7" t="s">
        <v>7150</v>
      </c>
      <c r="H931" s="7" t="s">
        <v>7156</v>
      </c>
      <c r="I931" s="7"/>
      <c r="J931" s="10">
        <v>44580</v>
      </c>
      <c r="K931" s="7" t="s">
        <v>7163</v>
      </c>
      <c r="L931" s="7"/>
      <c r="M931" s="7"/>
    </row>
    <row r="932" spans="1:13" x14ac:dyDescent="0.3">
      <c r="A932" s="7">
        <v>12391</v>
      </c>
      <c r="B932" s="7" t="s">
        <v>940</v>
      </c>
      <c r="C932" s="7" t="s">
        <v>6523</v>
      </c>
      <c r="D932" s="7" t="s">
        <v>6524</v>
      </c>
      <c r="E932" s="7" t="s">
        <v>6295</v>
      </c>
      <c r="F932" s="7" t="s">
        <v>6340</v>
      </c>
      <c r="G932" s="7" t="s">
        <v>7150</v>
      </c>
      <c r="H932" s="7" t="s">
        <v>7156</v>
      </c>
      <c r="I932" s="7"/>
      <c r="J932" s="10">
        <v>43727</v>
      </c>
      <c r="K932" s="7" t="s">
        <v>7163</v>
      </c>
      <c r="L932" s="7"/>
      <c r="M932" s="7"/>
    </row>
    <row r="933" spans="1:13" x14ac:dyDescent="0.3">
      <c r="A933" s="7">
        <v>10807</v>
      </c>
      <c r="B933" s="7" t="s">
        <v>941</v>
      </c>
      <c r="C933" s="7" t="s">
        <v>6523</v>
      </c>
      <c r="D933" s="7" t="s">
        <v>6524</v>
      </c>
      <c r="E933" s="7" t="s">
        <v>6295</v>
      </c>
      <c r="F933" s="7" t="s">
        <v>6340</v>
      </c>
      <c r="G933" s="7" t="s">
        <v>7150</v>
      </c>
      <c r="H933" s="7" t="s">
        <v>7156</v>
      </c>
      <c r="I933" s="7"/>
      <c r="J933" s="10">
        <v>41946</v>
      </c>
      <c r="K933" s="7" t="s">
        <v>7163</v>
      </c>
      <c r="L933" s="7"/>
      <c r="M933" s="7"/>
    </row>
    <row r="934" spans="1:13" x14ac:dyDescent="0.3">
      <c r="A934" s="7">
        <v>13628</v>
      </c>
      <c r="B934" s="7" t="s">
        <v>942</v>
      </c>
      <c r="C934" s="7" t="s">
        <v>6525</v>
      </c>
      <c r="D934" s="7" t="s">
        <v>6526</v>
      </c>
      <c r="E934" s="7" t="s">
        <v>6527</v>
      </c>
      <c r="F934" s="7" t="s">
        <v>6340</v>
      </c>
      <c r="G934" s="7" t="s">
        <v>7150</v>
      </c>
      <c r="H934" s="7" t="s">
        <v>7156</v>
      </c>
      <c r="I934" s="7"/>
      <c r="J934" s="10">
        <v>44519</v>
      </c>
      <c r="K934" s="7" t="s">
        <v>7163</v>
      </c>
      <c r="L934" s="7"/>
      <c r="M934" s="7"/>
    </row>
    <row r="935" spans="1:13" x14ac:dyDescent="0.3">
      <c r="A935" s="7">
        <v>14358</v>
      </c>
      <c r="B935" s="7" t="s">
        <v>943</v>
      </c>
      <c r="C935" s="7" t="s">
        <v>6523</v>
      </c>
      <c r="D935" s="7" t="s">
        <v>6524</v>
      </c>
      <c r="E935" s="7" t="s">
        <v>6295</v>
      </c>
      <c r="F935" s="7" t="s">
        <v>6340</v>
      </c>
      <c r="G935" s="7" t="s">
        <v>7150</v>
      </c>
      <c r="H935" s="7" t="s">
        <v>7156</v>
      </c>
      <c r="I935" s="7"/>
      <c r="J935" s="10">
        <v>44743</v>
      </c>
      <c r="K935" s="7" t="s">
        <v>7163</v>
      </c>
      <c r="L935" s="7"/>
      <c r="M935" s="7"/>
    </row>
    <row r="936" spans="1:13" x14ac:dyDescent="0.3">
      <c r="A936" s="7">
        <v>13669</v>
      </c>
      <c r="B936" s="7" t="s">
        <v>944</v>
      </c>
      <c r="C936" s="7" t="s">
        <v>6295</v>
      </c>
      <c r="D936" s="7" t="s">
        <v>6470</v>
      </c>
      <c r="E936" s="7" t="s">
        <v>6295</v>
      </c>
      <c r="F936" s="7" t="s">
        <v>6341</v>
      </c>
      <c r="G936" s="7" t="s">
        <v>7150</v>
      </c>
      <c r="H936" s="7" t="s">
        <v>7156</v>
      </c>
      <c r="I936" s="7"/>
      <c r="J936" s="10">
        <v>44532</v>
      </c>
      <c r="K936" s="7" t="s">
        <v>7163</v>
      </c>
      <c r="L936" s="7"/>
      <c r="M936" s="7"/>
    </row>
    <row r="937" spans="1:13" x14ac:dyDescent="0.3">
      <c r="A937" s="7">
        <v>14546</v>
      </c>
      <c r="B937" s="7" t="s">
        <v>945</v>
      </c>
      <c r="C937" s="7" t="s">
        <v>6525</v>
      </c>
      <c r="D937" s="7" t="s">
        <v>6526</v>
      </c>
      <c r="E937" s="7" t="s">
        <v>6528</v>
      </c>
      <c r="F937" s="7" t="s">
        <v>6341</v>
      </c>
      <c r="G937" s="7" t="s">
        <v>7150</v>
      </c>
      <c r="H937" s="7" t="s">
        <v>7156</v>
      </c>
      <c r="I937" s="7"/>
      <c r="J937" s="10">
        <v>44783</v>
      </c>
      <c r="K937" s="7" t="s">
        <v>7163</v>
      </c>
      <c r="L937" s="7"/>
      <c r="M937" s="7"/>
    </row>
    <row r="938" spans="1:13" x14ac:dyDescent="0.3">
      <c r="A938" s="7">
        <v>13627</v>
      </c>
      <c r="B938" s="7" t="s">
        <v>946</v>
      </c>
      <c r="C938" s="7" t="s">
        <v>6523</v>
      </c>
      <c r="D938" s="7" t="s">
        <v>6524</v>
      </c>
      <c r="E938" s="7" t="s">
        <v>6295</v>
      </c>
      <c r="F938" s="7" t="s">
        <v>6341</v>
      </c>
      <c r="G938" s="7" t="s">
        <v>7150</v>
      </c>
      <c r="H938" s="7" t="s">
        <v>7156</v>
      </c>
      <c r="I938" s="7"/>
      <c r="J938" s="10">
        <v>44519</v>
      </c>
      <c r="K938" s="7" t="s">
        <v>7163</v>
      </c>
      <c r="L938" s="7"/>
      <c r="M938" s="7"/>
    </row>
    <row r="939" spans="1:13" x14ac:dyDescent="0.3">
      <c r="A939" s="7">
        <v>16487</v>
      </c>
      <c r="B939" s="7" t="s">
        <v>947</v>
      </c>
      <c r="C939" s="7" t="s">
        <v>6529</v>
      </c>
      <c r="D939" s="7" t="s">
        <v>6530</v>
      </c>
      <c r="E939" s="7" t="s">
        <v>6295</v>
      </c>
      <c r="F939" s="7" t="s">
        <v>6341</v>
      </c>
      <c r="G939" s="7" t="s">
        <v>7150</v>
      </c>
      <c r="H939" s="7" t="s">
        <v>7156</v>
      </c>
      <c r="I939" s="7"/>
      <c r="J939" s="10">
        <v>45434</v>
      </c>
      <c r="K939" s="7" t="s">
        <v>7163</v>
      </c>
      <c r="L939" s="7"/>
      <c r="M939" s="7"/>
    </row>
    <row r="940" spans="1:13" x14ac:dyDescent="0.3">
      <c r="A940" s="7">
        <v>17230</v>
      </c>
      <c r="B940" s="7" t="s">
        <v>948</v>
      </c>
      <c r="C940" s="7" t="s">
        <v>6523</v>
      </c>
      <c r="D940" s="7" t="s">
        <v>6524</v>
      </c>
      <c r="E940" s="7" t="s">
        <v>6295</v>
      </c>
      <c r="F940" s="7" t="s">
        <v>6341</v>
      </c>
      <c r="G940" s="7" t="s">
        <v>7150</v>
      </c>
      <c r="H940" s="7" t="s">
        <v>7156</v>
      </c>
      <c r="I940" s="7"/>
      <c r="J940" s="10">
        <v>45678</v>
      </c>
      <c r="K940" s="7" t="s">
        <v>7163</v>
      </c>
      <c r="L940" s="7"/>
      <c r="M940" s="7"/>
    </row>
    <row r="941" spans="1:13" x14ac:dyDescent="0.3">
      <c r="A941" s="7">
        <v>17668</v>
      </c>
      <c r="B941" s="7" t="s">
        <v>949</v>
      </c>
      <c r="C941" s="7" t="s">
        <v>6529</v>
      </c>
      <c r="D941" s="7" t="s">
        <v>6530</v>
      </c>
      <c r="E941" s="7" t="s">
        <v>6295</v>
      </c>
      <c r="F941" s="7" t="s">
        <v>6341</v>
      </c>
      <c r="G941" s="7" t="s">
        <v>7150</v>
      </c>
      <c r="H941" s="7" t="s">
        <v>7156</v>
      </c>
      <c r="I941" s="7"/>
      <c r="J941" s="10">
        <v>45839</v>
      </c>
      <c r="K941" s="7" t="s">
        <v>7163</v>
      </c>
      <c r="L941" s="7"/>
      <c r="M941" s="7"/>
    </row>
    <row r="942" spans="1:13" x14ac:dyDescent="0.3">
      <c r="A942" s="7">
        <v>18466</v>
      </c>
      <c r="B942" s="7" t="s">
        <v>950</v>
      </c>
      <c r="C942" s="7" t="s">
        <v>6529</v>
      </c>
      <c r="D942" s="7" t="s">
        <v>6530</v>
      </c>
      <c r="E942" s="7" t="s">
        <v>6295</v>
      </c>
      <c r="F942" s="7" t="s">
        <v>6348</v>
      </c>
      <c r="G942" s="7" t="s">
        <v>7150</v>
      </c>
      <c r="H942" s="7" t="s">
        <v>7156</v>
      </c>
      <c r="I942" s="7"/>
      <c r="J942" s="10">
        <v>46133</v>
      </c>
      <c r="K942" s="7" t="s">
        <v>7163</v>
      </c>
      <c r="L942" s="7"/>
      <c r="M942" s="7"/>
    </row>
    <row r="943" spans="1:13" x14ac:dyDescent="0.3">
      <c r="A943" s="7">
        <v>17439</v>
      </c>
      <c r="B943" s="7" t="s">
        <v>951</v>
      </c>
      <c r="C943" s="7" t="s">
        <v>6461</v>
      </c>
      <c r="D943" s="7" t="s">
        <v>6295</v>
      </c>
      <c r="E943" s="7" t="s">
        <v>6295</v>
      </c>
      <c r="F943" s="7" t="s">
        <v>6336</v>
      </c>
      <c r="G943" s="7" t="s">
        <v>7150</v>
      </c>
      <c r="H943" s="7" t="s">
        <v>7156</v>
      </c>
      <c r="I943" s="7"/>
      <c r="J943" s="10">
        <v>45750</v>
      </c>
      <c r="K943" s="7" t="s">
        <v>7163</v>
      </c>
      <c r="L943" s="7"/>
      <c r="M943" s="7"/>
    </row>
    <row r="944" spans="1:13" x14ac:dyDescent="0.3">
      <c r="A944" s="7">
        <v>11453</v>
      </c>
      <c r="B944" s="7" t="s">
        <v>952</v>
      </c>
      <c r="C944" s="7" t="s">
        <v>6461</v>
      </c>
      <c r="D944" s="7" t="s">
        <v>6531</v>
      </c>
      <c r="E944" s="7" t="s">
        <v>6295</v>
      </c>
      <c r="F944" s="7" t="s">
        <v>6338</v>
      </c>
      <c r="G944" s="7" t="s">
        <v>7150</v>
      </c>
      <c r="H944" s="7" t="s">
        <v>7156</v>
      </c>
      <c r="I944" s="7"/>
      <c r="J944" s="10">
        <v>42711</v>
      </c>
      <c r="K944" s="7" t="s">
        <v>7163</v>
      </c>
      <c r="L944" s="7"/>
      <c r="M944" s="7"/>
    </row>
    <row r="945" spans="1:13" x14ac:dyDescent="0.3">
      <c r="A945" s="7">
        <v>280011</v>
      </c>
      <c r="B945" s="7" t="s">
        <v>953</v>
      </c>
      <c r="C945" s="7" t="s">
        <v>6461</v>
      </c>
      <c r="D945" s="7" t="s">
        <v>6531</v>
      </c>
      <c r="E945" s="7" t="s">
        <v>6295</v>
      </c>
      <c r="F945" s="7" t="s">
        <v>6335</v>
      </c>
      <c r="G945" s="7" t="s">
        <v>7150</v>
      </c>
      <c r="H945" s="7" t="s">
        <v>7156</v>
      </c>
      <c r="I945" s="7"/>
      <c r="J945" s="10">
        <v>40387</v>
      </c>
      <c r="K945" s="7" t="s">
        <v>7163</v>
      </c>
      <c r="L945" s="7"/>
      <c r="M945" s="7"/>
    </row>
    <row r="946" spans="1:13" x14ac:dyDescent="0.3">
      <c r="A946" s="7">
        <v>11343</v>
      </c>
      <c r="B946" s="7" t="s">
        <v>954</v>
      </c>
      <c r="C946" s="7" t="s">
        <v>6461</v>
      </c>
      <c r="D946" s="7" t="s">
        <v>6531</v>
      </c>
      <c r="E946" s="7" t="s">
        <v>6295</v>
      </c>
      <c r="F946" s="7" t="s">
        <v>6335</v>
      </c>
      <c r="G946" s="7" t="s">
        <v>7150</v>
      </c>
      <c r="H946" s="7" t="s">
        <v>7156</v>
      </c>
      <c r="I946" s="7"/>
      <c r="J946" s="10">
        <v>42562</v>
      </c>
      <c r="K946" s="7" t="s">
        <v>7163</v>
      </c>
      <c r="L946" s="7"/>
      <c r="M946" s="7"/>
    </row>
    <row r="947" spans="1:13" x14ac:dyDescent="0.3">
      <c r="A947" s="7">
        <v>11466</v>
      </c>
      <c r="B947" s="7" t="s">
        <v>955</v>
      </c>
      <c r="C947" s="7" t="s">
        <v>6461</v>
      </c>
      <c r="D947" s="7" t="s">
        <v>6531</v>
      </c>
      <c r="E947" s="7" t="s">
        <v>6295</v>
      </c>
      <c r="F947" s="7" t="s">
        <v>6353</v>
      </c>
      <c r="G947" s="7" t="s">
        <v>7150</v>
      </c>
      <c r="H947" s="7" t="s">
        <v>7156</v>
      </c>
      <c r="I947" s="7"/>
      <c r="J947" s="10">
        <v>42723</v>
      </c>
      <c r="K947" s="7" t="s">
        <v>7163</v>
      </c>
      <c r="L947" s="7"/>
      <c r="M947" s="7"/>
    </row>
    <row r="948" spans="1:13" x14ac:dyDescent="0.3">
      <c r="A948" s="7">
        <v>11374</v>
      </c>
      <c r="B948" s="7" t="s">
        <v>956</v>
      </c>
      <c r="C948" s="7" t="s">
        <v>6461</v>
      </c>
      <c r="D948" s="7" t="s">
        <v>6531</v>
      </c>
      <c r="E948" s="7" t="s">
        <v>6295</v>
      </c>
      <c r="F948" s="7" t="s">
        <v>6353</v>
      </c>
      <c r="G948" s="7" t="s">
        <v>7150</v>
      </c>
      <c r="H948" s="7" t="s">
        <v>7156</v>
      </c>
      <c r="I948" s="7"/>
      <c r="J948" s="10">
        <v>42607</v>
      </c>
      <c r="K948" s="7" t="s">
        <v>7163</v>
      </c>
      <c r="L948" s="7"/>
      <c r="M948" s="7"/>
    </row>
    <row r="949" spans="1:13" x14ac:dyDescent="0.3">
      <c r="A949" s="7">
        <v>980008</v>
      </c>
      <c r="B949" s="7" t="s">
        <v>957</v>
      </c>
      <c r="C949" s="7" t="s">
        <v>6461</v>
      </c>
      <c r="D949" s="7" t="s">
        <v>6531</v>
      </c>
      <c r="E949" s="7" t="s">
        <v>6295</v>
      </c>
      <c r="F949" s="7" t="s">
        <v>6353</v>
      </c>
      <c r="G949" s="7" t="s">
        <v>7150</v>
      </c>
      <c r="H949" s="7" t="s">
        <v>7156</v>
      </c>
      <c r="I949" s="7"/>
      <c r="J949" s="10">
        <v>42474</v>
      </c>
      <c r="K949" s="7" t="s">
        <v>7163</v>
      </c>
      <c r="L949" s="7"/>
      <c r="M949" s="7"/>
    </row>
    <row r="950" spans="1:13" x14ac:dyDescent="0.3">
      <c r="A950" s="7">
        <v>600050</v>
      </c>
      <c r="B950" s="7" t="s">
        <v>958</v>
      </c>
      <c r="C950" s="7" t="s">
        <v>6461</v>
      </c>
      <c r="D950" s="7" t="s">
        <v>6531</v>
      </c>
      <c r="E950" s="7" t="s">
        <v>6295</v>
      </c>
      <c r="F950" s="7" t="s">
        <v>6353</v>
      </c>
      <c r="G950" s="7" t="s">
        <v>7150</v>
      </c>
      <c r="H950" s="7" t="s">
        <v>7156</v>
      </c>
      <c r="I950" s="7"/>
      <c r="J950" s="10">
        <v>44006</v>
      </c>
      <c r="K950" s="7" t="s">
        <v>7163</v>
      </c>
      <c r="L950" s="7"/>
      <c r="M950" s="7"/>
    </row>
    <row r="951" spans="1:13" x14ac:dyDescent="0.3">
      <c r="A951" s="7">
        <v>11549</v>
      </c>
      <c r="B951" s="7" t="s">
        <v>959</v>
      </c>
      <c r="C951" s="7" t="s">
        <v>6461</v>
      </c>
      <c r="D951" s="7" t="s">
        <v>6531</v>
      </c>
      <c r="E951" s="7" t="s">
        <v>6295</v>
      </c>
      <c r="F951" s="7" t="s">
        <v>6353</v>
      </c>
      <c r="G951" s="7" t="s">
        <v>7150</v>
      </c>
      <c r="H951" s="7" t="s">
        <v>7156</v>
      </c>
      <c r="I951" s="7"/>
      <c r="J951" s="10">
        <v>42829</v>
      </c>
      <c r="K951" s="7" t="s">
        <v>7163</v>
      </c>
      <c r="L951" s="7"/>
      <c r="M951" s="7"/>
    </row>
    <row r="952" spans="1:13" x14ac:dyDescent="0.3">
      <c r="A952" s="7">
        <v>300199</v>
      </c>
      <c r="B952" s="7" t="s">
        <v>960</v>
      </c>
      <c r="C952" s="7" t="s">
        <v>6461</v>
      </c>
      <c r="D952" s="7" t="s">
        <v>6531</v>
      </c>
      <c r="E952" s="7" t="s">
        <v>6295</v>
      </c>
      <c r="F952" s="7" t="s">
        <v>6353</v>
      </c>
      <c r="G952" s="7" t="s">
        <v>7150</v>
      </c>
      <c r="H952" s="7" t="s">
        <v>7156</v>
      </c>
      <c r="I952" s="7"/>
      <c r="J952" s="10">
        <v>43852</v>
      </c>
      <c r="K952" s="7" t="s">
        <v>7163</v>
      </c>
      <c r="L952" s="7"/>
      <c r="M952" s="7"/>
    </row>
    <row r="953" spans="1:13" x14ac:dyDescent="0.3">
      <c r="A953" s="7">
        <v>400052</v>
      </c>
      <c r="B953" s="7" t="s">
        <v>961</v>
      </c>
      <c r="C953" s="7" t="s">
        <v>6461</v>
      </c>
      <c r="D953" s="7" t="s">
        <v>6531</v>
      </c>
      <c r="E953" s="7" t="s">
        <v>6295</v>
      </c>
      <c r="F953" s="7" t="s">
        <v>6353</v>
      </c>
      <c r="G953" s="7" t="s">
        <v>7150</v>
      </c>
      <c r="H953" s="7" t="s">
        <v>7156</v>
      </c>
      <c r="I953" s="7"/>
      <c r="J953" s="10">
        <v>43866</v>
      </c>
      <c r="K953" s="7" t="s">
        <v>7163</v>
      </c>
      <c r="L953" s="7"/>
      <c r="M953" s="7"/>
    </row>
    <row r="954" spans="1:13" x14ac:dyDescent="0.3">
      <c r="A954" s="7">
        <v>400054</v>
      </c>
      <c r="B954" s="7" t="s">
        <v>962</v>
      </c>
      <c r="C954" s="7" t="s">
        <v>6461</v>
      </c>
      <c r="D954" s="7" t="s">
        <v>6531</v>
      </c>
      <c r="E954" s="7" t="s">
        <v>6295</v>
      </c>
      <c r="F954" s="7" t="s">
        <v>6353</v>
      </c>
      <c r="G954" s="7" t="s">
        <v>7150</v>
      </c>
      <c r="H954" s="7" t="s">
        <v>7156</v>
      </c>
      <c r="I954" s="7"/>
      <c r="J954" s="10">
        <v>43985</v>
      </c>
      <c r="K954" s="7" t="s">
        <v>7163</v>
      </c>
      <c r="L954" s="7"/>
      <c r="M954" s="7"/>
    </row>
    <row r="955" spans="1:13" x14ac:dyDescent="0.3">
      <c r="A955" s="7">
        <v>190037</v>
      </c>
      <c r="B955" s="7" t="s">
        <v>963</v>
      </c>
      <c r="C955" s="7" t="s">
        <v>6461</v>
      </c>
      <c r="D955" s="7" t="s">
        <v>6531</v>
      </c>
      <c r="E955" s="7" t="s">
        <v>6295</v>
      </c>
      <c r="F955" s="7" t="s">
        <v>6340</v>
      </c>
      <c r="G955" s="7" t="s">
        <v>7150</v>
      </c>
      <c r="H955" s="7" t="s">
        <v>7156</v>
      </c>
      <c r="I955" s="7"/>
      <c r="J955" s="10">
        <v>42545</v>
      </c>
      <c r="K955" s="7" t="s">
        <v>7163</v>
      </c>
      <c r="L955" s="7"/>
      <c r="M955" s="7"/>
    </row>
    <row r="956" spans="1:13" x14ac:dyDescent="0.3">
      <c r="A956" s="7">
        <v>13810</v>
      </c>
      <c r="B956" s="7" t="s">
        <v>964</v>
      </c>
      <c r="C956" s="7" t="s">
        <v>6295</v>
      </c>
      <c r="D956" s="7" t="s">
        <v>6470</v>
      </c>
      <c r="E956" s="7" t="s">
        <v>6295</v>
      </c>
      <c r="F956" s="7" t="s">
        <v>6353</v>
      </c>
      <c r="G956" s="7" t="s">
        <v>7150</v>
      </c>
      <c r="H956" s="7" t="s">
        <v>7156</v>
      </c>
      <c r="I956" s="7"/>
      <c r="J956" s="10">
        <v>44593</v>
      </c>
      <c r="K956" s="7" t="s">
        <v>7163</v>
      </c>
      <c r="L956" s="7"/>
      <c r="M956" s="7"/>
    </row>
    <row r="957" spans="1:13" x14ac:dyDescent="0.3">
      <c r="A957" s="7">
        <v>10166</v>
      </c>
      <c r="B957" s="7" t="s">
        <v>965</v>
      </c>
      <c r="C957" s="7" t="s">
        <v>6461</v>
      </c>
      <c r="D957" s="7" t="s">
        <v>6531</v>
      </c>
      <c r="E957" s="7" t="s">
        <v>6295</v>
      </c>
      <c r="F957" s="7" t="s">
        <v>6340</v>
      </c>
      <c r="G957" s="7" t="s">
        <v>7150</v>
      </c>
      <c r="H957" s="7" t="s">
        <v>7156</v>
      </c>
      <c r="I957" s="7"/>
      <c r="J957" s="10">
        <v>36931</v>
      </c>
      <c r="K957" s="7" t="s">
        <v>7163</v>
      </c>
      <c r="L957" s="7"/>
      <c r="M957" s="7"/>
    </row>
    <row r="958" spans="1:13" x14ac:dyDescent="0.3">
      <c r="A958" s="7">
        <v>11553</v>
      </c>
      <c r="B958" s="7" t="s">
        <v>966</v>
      </c>
      <c r="C958" s="7" t="s">
        <v>6461</v>
      </c>
      <c r="D958" s="7" t="s">
        <v>6531</v>
      </c>
      <c r="E958" s="7" t="s">
        <v>6295</v>
      </c>
      <c r="F958" s="7" t="s">
        <v>6340</v>
      </c>
      <c r="G958" s="7" t="s">
        <v>7151</v>
      </c>
      <c r="H958" s="7" t="s">
        <v>7156</v>
      </c>
      <c r="I958" s="7"/>
      <c r="J958" s="10">
        <v>42832</v>
      </c>
      <c r="K958" s="7" t="s">
        <v>7163</v>
      </c>
      <c r="L958" s="7"/>
      <c r="M958" s="7"/>
    </row>
    <row r="959" spans="1:13" x14ac:dyDescent="0.3">
      <c r="A959" s="7">
        <v>300154</v>
      </c>
      <c r="B959" s="7" t="s">
        <v>967</v>
      </c>
      <c r="C959" s="7" t="s">
        <v>6461</v>
      </c>
      <c r="D959" s="7" t="s">
        <v>6531</v>
      </c>
      <c r="E959" s="7" t="s">
        <v>6295</v>
      </c>
      <c r="F959" s="7" t="s">
        <v>6340</v>
      </c>
      <c r="G959" s="7" t="s">
        <v>7150</v>
      </c>
      <c r="H959" s="7" t="s">
        <v>7156</v>
      </c>
      <c r="I959" s="7"/>
      <c r="J959" s="10">
        <v>43497</v>
      </c>
      <c r="K959" s="7" t="s">
        <v>7163</v>
      </c>
      <c r="L959" s="7"/>
      <c r="M959" s="7"/>
    </row>
    <row r="960" spans="1:13" x14ac:dyDescent="0.3">
      <c r="A960" s="7">
        <v>160016</v>
      </c>
      <c r="B960" s="7" t="s">
        <v>968</v>
      </c>
      <c r="C960" s="7" t="s">
        <v>6461</v>
      </c>
      <c r="D960" s="7" t="s">
        <v>6531</v>
      </c>
      <c r="E960" s="7" t="s">
        <v>6295</v>
      </c>
      <c r="F960" s="7" t="s">
        <v>6340</v>
      </c>
      <c r="G960" s="7" t="s">
        <v>7150</v>
      </c>
      <c r="H960" s="7" t="s">
        <v>7156</v>
      </c>
      <c r="I960" s="7"/>
      <c r="J960" s="10">
        <v>39807</v>
      </c>
      <c r="K960" s="7" t="s">
        <v>7163</v>
      </c>
      <c r="L960" s="7"/>
      <c r="M960" s="7"/>
    </row>
    <row r="961" spans="1:13" x14ac:dyDescent="0.3">
      <c r="A961" s="7">
        <v>800004</v>
      </c>
      <c r="B961" s="7" t="s">
        <v>969</v>
      </c>
      <c r="C961" s="7" t="s">
        <v>6461</v>
      </c>
      <c r="D961" s="7" t="s">
        <v>6531</v>
      </c>
      <c r="E961" s="7" t="s">
        <v>6295</v>
      </c>
      <c r="F961" s="7" t="s">
        <v>6341</v>
      </c>
      <c r="G961" s="7" t="s">
        <v>7150</v>
      </c>
      <c r="H961" s="7" t="s">
        <v>7156</v>
      </c>
      <c r="I961" s="7"/>
      <c r="J961" s="10">
        <v>36696</v>
      </c>
      <c r="K961" s="7" t="s">
        <v>7163</v>
      </c>
      <c r="L961" s="7"/>
      <c r="M961" s="7"/>
    </row>
    <row r="962" spans="1:13" x14ac:dyDescent="0.3">
      <c r="A962" s="7">
        <v>15892</v>
      </c>
      <c r="B962" s="7" t="s">
        <v>970</v>
      </c>
      <c r="C962" s="7" t="s">
        <v>6461</v>
      </c>
      <c r="D962" s="7" t="s">
        <v>6531</v>
      </c>
      <c r="E962" s="7" t="s">
        <v>6295</v>
      </c>
      <c r="F962" s="7" t="s">
        <v>6340</v>
      </c>
      <c r="G962" s="7" t="s">
        <v>7150</v>
      </c>
      <c r="H962" s="7" t="s">
        <v>7156</v>
      </c>
      <c r="I962" s="7"/>
      <c r="J962" s="10">
        <v>45231</v>
      </c>
      <c r="K962" s="7" t="s">
        <v>7163</v>
      </c>
      <c r="L962" s="7"/>
      <c r="M962" s="7"/>
    </row>
    <row r="963" spans="1:13" x14ac:dyDescent="0.3">
      <c r="A963" s="7">
        <v>16671</v>
      </c>
      <c r="B963" s="7" t="s">
        <v>971</v>
      </c>
      <c r="C963" s="7" t="s">
        <v>6461</v>
      </c>
      <c r="D963" s="7" t="s">
        <v>6531</v>
      </c>
      <c r="E963" s="7" t="s">
        <v>6295</v>
      </c>
      <c r="F963" s="7" t="s">
        <v>6341</v>
      </c>
      <c r="G963" s="7" t="s">
        <v>7150</v>
      </c>
      <c r="H963" s="7" t="s">
        <v>7156</v>
      </c>
      <c r="I963" s="7"/>
      <c r="J963" s="10">
        <v>45516</v>
      </c>
      <c r="K963" s="7" t="s">
        <v>7163</v>
      </c>
      <c r="L963" s="7"/>
      <c r="M963" s="7"/>
    </row>
    <row r="964" spans="1:13" x14ac:dyDescent="0.3">
      <c r="A964" s="7">
        <v>16162</v>
      </c>
      <c r="B964" s="7" t="s">
        <v>972</v>
      </c>
      <c r="C964" s="7" t="s">
        <v>6461</v>
      </c>
      <c r="D964" s="7" t="s">
        <v>6531</v>
      </c>
      <c r="E964" s="7" t="s">
        <v>6295</v>
      </c>
      <c r="F964" s="7" t="s">
        <v>6341</v>
      </c>
      <c r="G964" s="7" t="s">
        <v>7150</v>
      </c>
      <c r="H964" s="7" t="s">
        <v>7156</v>
      </c>
      <c r="I964" s="7"/>
      <c r="J964" s="10">
        <v>45309</v>
      </c>
      <c r="K964" s="7" t="s">
        <v>7163</v>
      </c>
      <c r="L964" s="7"/>
      <c r="M964" s="7"/>
    </row>
    <row r="965" spans="1:13" x14ac:dyDescent="0.3">
      <c r="A965" s="7">
        <v>15181</v>
      </c>
      <c r="B965" s="7" t="s">
        <v>973</v>
      </c>
      <c r="C965" s="7" t="s">
        <v>6461</v>
      </c>
      <c r="D965" s="7" t="s">
        <v>6531</v>
      </c>
      <c r="E965" s="7" t="s">
        <v>6295</v>
      </c>
      <c r="F965" s="7" t="s">
        <v>6340</v>
      </c>
      <c r="G965" s="7" t="s">
        <v>7150</v>
      </c>
      <c r="H965" s="7" t="s">
        <v>7156</v>
      </c>
      <c r="I965" s="7"/>
      <c r="J965" s="10">
        <v>44974</v>
      </c>
      <c r="K965" s="7" t="s">
        <v>7163</v>
      </c>
      <c r="L965" s="7"/>
      <c r="M965" s="7"/>
    </row>
    <row r="966" spans="1:13" x14ac:dyDescent="0.3">
      <c r="A966" s="7">
        <v>14066</v>
      </c>
      <c r="B966" s="7" t="s">
        <v>974</v>
      </c>
      <c r="C966" s="7" t="s">
        <v>6461</v>
      </c>
      <c r="D966" s="7" t="s">
        <v>6531</v>
      </c>
      <c r="E966" s="7" t="s">
        <v>6295</v>
      </c>
      <c r="F966" s="7" t="s">
        <v>6340</v>
      </c>
      <c r="G966" s="7" t="s">
        <v>7150</v>
      </c>
      <c r="H966" s="7" t="s">
        <v>7156</v>
      </c>
      <c r="I966" s="7"/>
      <c r="J966" s="10">
        <v>44638</v>
      </c>
      <c r="K966" s="7" t="s">
        <v>7163</v>
      </c>
      <c r="L966" s="7"/>
      <c r="M966" s="7"/>
    </row>
    <row r="967" spans="1:13" x14ac:dyDescent="0.3">
      <c r="A967" s="7">
        <v>11338</v>
      </c>
      <c r="B967" s="7" t="s">
        <v>975</v>
      </c>
      <c r="C967" s="7" t="s">
        <v>6523</v>
      </c>
      <c r="D967" s="7" t="s">
        <v>6532</v>
      </c>
      <c r="E967" s="7" t="s">
        <v>6295</v>
      </c>
      <c r="F967" s="7" t="s">
        <v>6338</v>
      </c>
      <c r="G967" s="7" t="s">
        <v>7150</v>
      </c>
      <c r="H967" s="7" t="s">
        <v>7156</v>
      </c>
      <c r="I967" s="7"/>
      <c r="J967" s="10">
        <v>42543</v>
      </c>
      <c r="K967" s="7" t="s">
        <v>7163</v>
      </c>
      <c r="L967" s="7"/>
      <c r="M967" s="7"/>
    </row>
    <row r="968" spans="1:13" x14ac:dyDescent="0.3">
      <c r="A968" s="7">
        <v>18633</v>
      </c>
      <c r="B968" s="7" t="s">
        <v>976</v>
      </c>
      <c r="C968" s="7" t="s">
        <v>6523</v>
      </c>
      <c r="D968" s="7" t="s">
        <v>6532</v>
      </c>
      <c r="E968" s="7" t="s">
        <v>6295</v>
      </c>
      <c r="F968" s="7" t="s">
        <v>6353</v>
      </c>
      <c r="G968" s="7" t="s">
        <v>7150</v>
      </c>
      <c r="H968" s="7" t="s">
        <v>7156</v>
      </c>
      <c r="I968" s="7" t="s">
        <v>7159</v>
      </c>
      <c r="J968" s="10">
        <v>46174</v>
      </c>
      <c r="K968" s="7" t="s">
        <v>7163</v>
      </c>
      <c r="L968" s="7"/>
      <c r="M968" s="7"/>
    </row>
    <row r="969" spans="1:13" x14ac:dyDescent="0.3">
      <c r="A969" s="7">
        <v>11337</v>
      </c>
      <c r="B969" s="7" t="s">
        <v>977</v>
      </c>
      <c r="C969" s="7" t="s">
        <v>6461</v>
      </c>
      <c r="D969" s="7" t="s">
        <v>6462</v>
      </c>
      <c r="E969" s="7" t="s">
        <v>6295</v>
      </c>
      <c r="F969" s="7" t="s">
        <v>6335</v>
      </c>
      <c r="G969" s="7" t="s">
        <v>7150</v>
      </c>
      <c r="H969" s="7" t="s">
        <v>7156</v>
      </c>
      <c r="I969" s="7"/>
      <c r="J969" s="10">
        <v>42543</v>
      </c>
      <c r="K969" s="7" t="s">
        <v>7163</v>
      </c>
      <c r="L969" s="7"/>
      <c r="M969" s="7"/>
    </row>
    <row r="970" spans="1:13" x14ac:dyDescent="0.3">
      <c r="A970" s="7">
        <v>11457</v>
      </c>
      <c r="B970" s="7" t="s">
        <v>978</v>
      </c>
      <c r="C970" s="7" t="s">
        <v>6461</v>
      </c>
      <c r="D970" s="7" t="s">
        <v>6462</v>
      </c>
      <c r="E970" s="7" t="s">
        <v>6295</v>
      </c>
      <c r="F970" s="7" t="s">
        <v>6353</v>
      </c>
      <c r="G970" s="7" t="s">
        <v>7150</v>
      </c>
      <c r="H970" s="7" t="s">
        <v>7156</v>
      </c>
      <c r="I970" s="7"/>
      <c r="J970" s="10">
        <v>42713</v>
      </c>
      <c r="K970" s="7" t="s">
        <v>7163</v>
      </c>
      <c r="L970" s="7"/>
      <c r="M970" s="7"/>
    </row>
    <row r="971" spans="1:13" x14ac:dyDescent="0.3">
      <c r="A971" s="7">
        <v>10342</v>
      </c>
      <c r="B971" s="7" t="s">
        <v>979</v>
      </c>
      <c r="C971" s="7" t="s">
        <v>6295</v>
      </c>
      <c r="D971" s="7" t="s">
        <v>6470</v>
      </c>
      <c r="E971" s="7" t="s">
        <v>6295</v>
      </c>
      <c r="F971" s="7" t="s">
        <v>6340</v>
      </c>
      <c r="G971" s="7" t="s">
        <v>7150</v>
      </c>
      <c r="H971" s="7" t="s">
        <v>7156</v>
      </c>
      <c r="I971" s="7"/>
      <c r="J971" s="10">
        <v>39882</v>
      </c>
      <c r="K971" s="7" t="s">
        <v>7163</v>
      </c>
      <c r="L971" s="7"/>
      <c r="M971" s="7"/>
    </row>
    <row r="972" spans="1:13" x14ac:dyDescent="0.3">
      <c r="A972" s="7">
        <v>11355</v>
      </c>
      <c r="B972" s="7" t="s">
        <v>980</v>
      </c>
      <c r="C972" s="7" t="s">
        <v>6461</v>
      </c>
      <c r="D972" s="7" t="s">
        <v>6462</v>
      </c>
      <c r="E972" s="7" t="s">
        <v>6295</v>
      </c>
      <c r="F972" s="7" t="s">
        <v>6340</v>
      </c>
      <c r="G972" s="7" t="s">
        <v>7151</v>
      </c>
      <c r="H972" s="7" t="s">
        <v>7156</v>
      </c>
      <c r="I972" s="7"/>
      <c r="J972" s="10">
        <v>42586</v>
      </c>
      <c r="K972" s="7" t="s">
        <v>7163</v>
      </c>
      <c r="L972" s="7"/>
      <c r="M972" s="7"/>
    </row>
    <row r="973" spans="1:13" x14ac:dyDescent="0.3">
      <c r="A973" s="7">
        <v>13461</v>
      </c>
      <c r="B973" s="7" t="s">
        <v>981</v>
      </c>
      <c r="C973" s="7" t="s">
        <v>6461</v>
      </c>
      <c r="D973" s="7" t="s">
        <v>6462</v>
      </c>
      <c r="E973" s="7" t="s">
        <v>6295</v>
      </c>
      <c r="F973" s="7" t="s">
        <v>6353</v>
      </c>
      <c r="G973" s="7" t="s">
        <v>7150</v>
      </c>
      <c r="H973" s="7" t="s">
        <v>7156</v>
      </c>
      <c r="I973" s="7"/>
      <c r="J973" s="10">
        <v>44462</v>
      </c>
      <c r="K973" s="7" t="s">
        <v>7163</v>
      </c>
      <c r="L973" s="7"/>
      <c r="M973" s="7"/>
    </row>
    <row r="974" spans="1:13" x14ac:dyDescent="0.3">
      <c r="A974" s="7">
        <v>11198</v>
      </c>
      <c r="B974" s="7" t="s">
        <v>982</v>
      </c>
      <c r="C974" s="7" t="s">
        <v>6461</v>
      </c>
      <c r="D974" s="7" t="s">
        <v>6462</v>
      </c>
      <c r="E974" s="7" t="s">
        <v>6295</v>
      </c>
      <c r="F974" s="7" t="s">
        <v>6341</v>
      </c>
      <c r="G974" s="7" t="s">
        <v>7150</v>
      </c>
      <c r="H974" s="7" t="s">
        <v>7156</v>
      </c>
      <c r="I974" s="7"/>
      <c r="J974" s="10">
        <v>42412</v>
      </c>
      <c r="K974" s="7" t="s">
        <v>7163</v>
      </c>
      <c r="L974" s="7"/>
      <c r="M974" s="7"/>
    </row>
    <row r="975" spans="1:13" x14ac:dyDescent="0.3">
      <c r="A975" s="7">
        <v>16121</v>
      </c>
      <c r="B975" s="7" t="s">
        <v>983</v>
      </c>
      <c r="C975" s="7" t="s">
        <v>6523</v>
      </c>
      <c r="D975" s="7" t="s">
        <v>6532</v>
      </c>
      <c r="E975" s="7" t="s">
        <v>6295</v>
      </c>
      <c r="F975" s="7" t="s">
        <v>6340</v>
      </c>
      <c r="G975" s="7" t="s">
        <v>7150</v>
      </c>
      <c r="H975" s="7" t="s">
        <v>7156</v>
      </c>
      <c r="I975" s="7"/>
      <c r="J975" s="10">
        <v>45287</v>
      </c>
      <c r="K975" s="7" t="s">
        <v>7163</v>
      </c>
      <c r="L975" s="7"/>
      <c r="M975" s="7"/>
    </row>
    <row r="976" spans="1:13" x14ac:dyDescent="0.3">
      <c r="A976" s="7">
        <v>16226</v>
      </c>
      <c r="B976" s="7" t="s">
        <v>984</v>
      </c>
      <c r="C976" s="7" t="s">
        <v>6523</v>
      </c>
      <c r="D976" s="7" t="s">
        <v>6532</v>
      </c>
      <c r="E976" s="7" t="s">
        <v>6295</v>
      </c>
      <c r="F976" s="7" t="s">
        <v>6341</v>
      </c>
      <c r="G976" s="7" t="s">
        <v>7150</v>
      </c>
      <c r="H976" s="7" t="s">
        <v>7156</v>
      </c>
      <c r="I976" s="7"/>
      <c r="J976" s="10">
        <v>45327</v>
      </c>
      <c r="K976" s="7" t="s">
        <v>7163</v>
      </c>
      <c r="L976" s="7"/>
      <c r="M976" s="7"/>
    </row>
    <row r="977" spans="1:13" x14ac:dyDescent="0.3">
      <c r="A977" s="7">
        <v>11318</v>
      </c>
      <c r="B977" s="7" t="s">
        <v>985</v>
      </c>
      <c r="C977" s="7" t="s">
        <v>6523</v>
      </c>
      <c r="D977" s="7" t="s">
        <v>6532</v>
      </c>
      <c r="E977" s="7" t="s">
        <v>6295</v>
      </c>
      <c r="F977" s="7" t="s">
        <v>6341</v>
      </c>
      <c r="G977" s="7" t="s">
        <v>7150</v>
      </c>
      <c r="H977" s="7" t="s">
        <v>7156</v>
      </c>
      <c r="I977" s="7"/>
      <c r="J977" s="10">
        <v>42524</v>
      </c>
      <c r="K977" s="7" t="s">
        <v>7163</v>
      </c>
      <c r="L977" s="7"/>
      <c r="M977" s="7"/>
    </row>
    <row r="978" spans="1:13" x14ac:dyDescent="0.3">
      <c r="A978" s="7">
        <v>16227</v>
      </c>
      <c r="B978" s="7" t="s">
        <v>986</v>
      </c>
      <c r="C978" s="7" t="s">
        <v>6461</v>
      </c>
      <c r="D978" s="7" t="s">
        <v>6462</v>
      </c>
      <c r="E978" s="7" t="s">
        <v>6295</v>
      </c>
      <c r="F978" s="7" t="s">
        <v>6341</v>
      </c>
      <c r="G978" s="7" t="s">
        <v>7150</v>
      </c>
      <c r="H978" s="7" t="s">
        <v>7156</v>
      </c>
      <c r="I978" s="7"/>
      <c r="J978" s="10">
        <v>45327</v>
      </c>
      <c r="K978" s="7" t="s">
        <v>7163</v>
      </c>
      <c r="L978" s="7"/>
      <c r="M978" s="7"/>
    </row>
    <row r="979" spans="1:13" x14ac:dyDescent="0.3">
      <c r="A979" s="7">
        <v>11260</v>
      </c>
      <c r="B979" s="7" t="s">
        <v>987</v>
      </c>
      <c r="C979" s="7" t="s">
        <v>6533</v>
      </c>
      <c r="D979" s="7" t="s">
        <v>6534</v>
      </c>
      <c r="E979" s="7" t="s">
        <v>6295</v>
      </c>
      <c r="F979" s="7" t="s">
        <v>6340</v>
      </c>
      <c r="G979" s="7" t="s">
        <v>7150</v>
      </c>
      <c r="H979" s="7" t="s">
        <v>7156</v>
      </c>
      <c r="I979" s="7"/>
      <c r="J979" s="10">
        <v>42471</v>
      </c>
      <c r="K979" s="7" t="s">
        <v>7163</v>
      </c>
      <c r="L979" s="7"/>
      <c r="M979" s="7"/>
    </row>
    <row r="980" spans="1:13" x14ac:dyDescent="0.3">
      <c r="A980" s="7">
        <v>18087</v>
      </c>
      <c r="B980" s="7" t="s">
        <v>988</v>
      </c>
      <c r="C980" s="7" t="s">
        <v>6327</v>
      </c>
      <c r="D980" s="7" t="s">
        <v>6535</v>
      </c>
      <c r="E980" s="7" t="s">
        <v>6295</v>
      </c>
      <c r="F980" s="7" t="s">
        <v>6536</v>
      </c>
      <c r="G980" s="7" t="s">
        <v>7150</v>
      </c>
      <c r="H980" s="7" t="s">
        <v>7156</v>
      </c>
      <c r="I980" s="7"/>
      <c r="J980" s="10">
        <v>45992</v>
      </c>
      <c r="K980" s="7" t="s">
        <v>7163</v>
      </c>
      <c r="L980" s="7"/>
      <c r="M980" s="7"/>
    </row>
    <row r="981" spans="1:13" x14ac:dyDescent="0.3">
      <c r="A981" s="7">
        <v>18755</v>
      </c>
      <c r="B981" s="7" t="s">
        <v>989</v>
      </c>
      <c r="C981" s="7" t="s">
        <v>6327</v>
      </c>
      <c r="D981" s="7" t="s">
        <v>6535</v>
      </c>
      <c r="E981" s="7" t="s">
        <v>6295</v>
      </c>
      <c r="F981" s="7" t="s">
        <v>6536</v>
      </c>
      <c r="G981" s="7" t="s">
        <v>7150</v>
      </c>
      <c r="H981" s="7" t="s">
        <v>7156</v>
      </c>
      <c r="I981" s="7"/>
      <c r="J981" s="10">
        <v>46204</v>
      </c>
      <c r="K981" s="7" t="s">
        <v>7163</v>
      </c>
      <c r="L981" s="7"/>
      <c r="M981" s="7"/>
    </row>
    <row r="982" spans="1:13" x14ac:dyDescent="0.3">
      <c r="A982" s="7">
        <v>12810</v>
      </c>
      <c r="B982" s="7" t="s">
        <v>990</v>
      </c>
      <c r="C982" s="7" t="s">
        <v>6327</v>
      </c>
      <c r="D982" s="7" t="s">
        <v>6535</v>
      </c>
      <c r="E982" s="7" t="s">
        <v>6295</v>
      </c>
      <c r="F982" s="7" t="s">
        <v>6536</v>
      </c>
      <c r="G982" s="7" t="s">
        <v>7150</v>
      </c>
      <c r="H982" s="7" t="s">
        <v>7156</v>
      </c>
      <c r="I982" s="7"/>
      <c r="J982" s="10">
        <v>43945</v>
      </c>
      <c r="K982" s="7" t="s">
        <v>7163</v>
      </c>
      <c r="L982" s="7"/>
      <c r="M982" s="7"/>
    </row>
    <row r="983" spans="1:13" x14ac:dyDescent="0.3">
      <c r="A983" s="7">
        <v>18764</v>
      </c>
      <c r="B983" s="7" t="s">
        <v>991</v>
      </c>
      <c r="C983" s="7" t="s">
        <v>6327</v>
      </c>
      <c r="D983" s="7" t="s">
        <v>6535</v>
      </c>
      <c r="E983" s="7" t="s">
        <v>6295</v>
      </c>
      <c r="F983" s="7" t="s">
        <v>6536</v>
      </c>
      <c r="G983" s="7" t="s">
        <v>7150</v>
      </c>
      <c r="H983" s="7" t="s">
        <v>7156</v>
      </c>
      <c r="I983" s="7"/>
      <c r="J983" s="10">
        <v>46209</v>
      </c>
      <c r="K983" s="7" t="s">
        <v>7163</v>
      </c>
      <c r="L983" s="7"/>
      <c r="M983" s="7"/>
    </row>
    <row r="984" spans="1:13" x14ac:dyDescent="0.3">
      <c r="A984" s="7">
        <v>18708</v>
      </c>
      <c r="B984" s="7" t="s">
        <v>992</v>
      </c>
      <c r="C984" s="7" t="s">
        <v>6327</v>
      </c>
      <c r="D984" s="7" t="s">
        <v>6535</v>
      </c>
      <c r="E984" s="7" t="s">
        <v>6295</v>
      </c>
      <c r="F984" s="7" t="s">
        <v>6536</v>
      </c>
      <c r="G984" s="7" t="s">
        <v>7150</v>
      </c>
      <c r="H984" s="7" t="s">
        <v>7156</v>
      </c>
      <c r="I984" s="7"/>
      <c r="J984" s="10">
        <v>46197</v>
      </c>
      <c r="K984" s="7" t="s">
        <v>7163</v>
      </c>
      <c r="L984" s="7"/>
      <c r="M984" s="7"/>
    </row>
    <row r="985" spans="1:13" x14ac:dyDescent="0.3">
      <c r="A985" s="7">
        <v>11306</v>
      </c>
      <c r="B985" s="7" t="s">
        <v>993</v>
      </c>
      <c r="C985" s="7" t="s">
        <v>6461</v>
      </c>
      <c r="D985" s="7" t="s">
        <v>6537</v>
      </c>
      <c r="E985" s="7" t="s">
        <v>6295</v>
      </c>
      <c r="F985" s="7" t="s">
        <v>6338</v>
      </c>
      <c r="G985" s="7" t="s">
        <v>7150</v>
      </c>
      <c r="H985" s="7" t="s">
        <v>7156</v>
      </c>
      <c r="I985" s="7"/>
      <c r="J985" s="10">
        <v>42510</v>
      </c>
      <c r="K985" s="7" t="s">
        <v>7163</v>
      </c>
      <c r="L985" s="7"/>
      <c r="M985" s="7"/>
    </row>
    <row r="986" spans="1:13" x14ac:dyDescent="0.3">
      <c r="A986" s="7">
        <v>11475</v>
      </c>
      <c r="B986" s="7" t="s">
        <v>994</v>
      </c>
      <c r="C986" s="7" t="s">
        <v>6461</v>
      </c>
      <c r="D986" s="7" t="s">
        <v>6537</v>
      </c>
      <c r="E986" s="7" t="s">
        <v>6295</v>
      </c>
      <c r="F986" s="7" t="s">
        <v>6335</v>
      </c>
      <c r="G986" s="7" t="s">
        <v>7150</v>
      </c>
      <c r="H986" s="7" t="s">
        <v>7156</v>
      </c>
      <c r="I986" s="7"/>
      <c r="J986" s="10">
        <v>42744</v>
      </c>
      <c r="K986" s="7" t="s">
        <v>7163</v>
      </c>
      <c r="L986" s="7"/>
      <c r="M986" s="7"/>
    </row>
    <row r="987" spans="1:13" x14ac:dyDescent="0.3">
      <c r="A987" s="7">
        <v>12616</v>
      </c>
      <c r="B987" s="7" t="s">
        <v>995</v>
      </c>
      <c r="C987" s="7" t="s">
        <v>6322</v>
      </c>
      <c r="D987" s="7" t="s">
        <v>6535</v>
      </c>
      <c r="E987" s="7" t="s">
        <v>6295</v>
      </c>
      <c r="F987" s="7" t="s">
        <v>6536</v>
      </c>
      <c r="G987" s="7" t="s">
        <v>7150</v>
      </c>
      <c r="H987" s="7" t="s">
        <v>7156</v>
      </c>
      <c r="I987" s="7"/>
      <c r="J987" s="10">
        <v>43839</v>
      </c>
      <c r="K987" s="7" t="s">
        <v>7163</v>
      </c>
      <c r="L987" s="7"/>
      <c r="M987" s="7"/>
    </row>
    <row r="988" spans="1:13" x14ac:dyDescent="0.3">
      <c r="A988" s="7">
        <v>18804</v>
      </c>
      <c r="B988" s="7" t="s">
        <v>996</v>
      </c>
      <c r="C988" s="7" t="s">
        <v>6322</v>
      </c>
      <c r="D988" s="7" t="s">
        <v>6535</v>
      </c>
      <c r="E988" s="7" t="s">
        <v>6295</v>
      </c>
      <c r="F988" s="7" t="s">
        <v>6536</v>
      </c>
      <c r="G988" s="7" t="s">
        <v>7150</v>
      </c>
      <c r="H988" s="7" t="s">
        <v>7156</v>
      </c>
      <c r="I988" s="7"/>
      <c r="J988" s="10">
        <v>46218</v>
      </c>
      <c r="K988" s="7" t="s">
        <v>7163</v>
      </c>
      <c r="L988" s="7"/>
      <c r="M988" s="7"/>
    </row>
    <row r="989" spans="1:13" x14ac:dyDescent="0.3">
      <c r="A989" s="7">
        <v>11472</v>
      </c>
      <c r="B989" s="7" t="s">
        <v>997</v>
      </c>
      <c r="C989" s="7" t="s">
        <v>6461</v>
      </c>
      <c r="D989" s="7" t="s">
        <v>6537</v>
      </c>
      <c r="E989" s="7" t="s">
        <v>6295</v>
      </c>
      <c r="F989" s="7" t="s">
        <v>6353</v>
      </c>
      <c r="G989" s="7" t="s">
        <v>7150</v>
      </c>
      <c r="H989" s="7" t="s">
        <v>7156</v>
      </c>
      <c r="I989" s="7"/>
      <c r="J989" s="10">
        <v>42741</v>
      </c>
      <c r="K989" s="7" t="s">
        <v>7163</v>
      </c>
      <c r="L989" s="7"/>
      <c r="M989" s="7"/>
    </row>
    <row r="990" spans="1:13" x14ac:dyDescent="0.3">
      <c r="A990" s="7">
        <v>12021</v>
      </c>
      <c r="B990" s="7" t="s">
        <v>998</v>
      </c>
      <c r="C990" s="7" t="s">
        <v>6461</v>
      </c>
      <c r="D990" s="7" t="s">
        <v>6537</v>
      </c>
      <c r="E990" s="7" t="s">
        <v>6295</v>
      </c>
      <c r="F990" s="7" t="s">
        <v>6340</v>
      </c>
      <c r="G990" s="7" t="s">
        <v>7150</v>
      </c>
      <c r="H990" s="7" t="s">
        <v>7156</v>
      </c>
      <c r="I990" s="7"/>
      <c r="J990" s="10">
        <v>43391</v>
      </c>
      <c r="K990" s="7" t="s">
        <v>7163</v>
      </c>
      <c r="L990" s="7"/>
      <c r="M990" s="7"/>
    </row>
    <row r="991" spans="1:13" x14ac:dyDescent="0.3">
      <c r="A991" s="7">
        <v>300118</v>
      </c>
      <c r="B991" s="7" t="s">
        <v>999</v>
      </c>
      <c r="C991" s="7" t="s">
        <v>6461</v>
      </c>
      <c r="D991" s="7" t="s">
        <v>6537</v>
      </c>
      <c r="E991" s="7" t="s">
        <v>6295</v>
      </c>
      <c r="F991" s="7" t="s">
        <v>6340</v>
      </c>
      <c r="G991" s="7" t="s">
        <v>7150</v>
      </c>
      <c r="H991" s="7" t="s">
        <v>7156</v>
      </c>
      <c r="I991" s="7"/>
      <c r="J991" s="10">
        <v>43124</v>
      </c>
      <c r="K991" s="7" t="s">
        <v>7163</v>
      </c>
      <c r="L991" s="7"/>
      <c r="M991" s="7"/>
    </row>
    <row r="992" spans="1:13" x14ac:dyDescent="0.3">
      <c r="A992" s="7">
        <v>13503</v>
      </c>
      <c r="B992" s="7" t="s">
        <v>1000</v>
      </c>
      <c r="C992" s="7" t="s">
        <v>6461</v>
      </c>
      <c r="D992" s="7" t="s">
        <v>6537</v>
      </c>
      <c r="E992" s="7" t="s">
        <v>6295</v>
      </c>
      <c r="F992" s="7" t="s">
        <v>6340</v>
      </c>
      <c r="G992" s="7" t="s">
        <v>7150</v>
      </c>
      <c r="H992" s="7" t="s">
        <v>7156</v>
      </c>
      <c r="I992" s="7"/>
      <c r="J992" s="10">
        <v>44477</v>
      </c>
      <c r="K992" s="7" t="s">
        <v>7163</v>
      </c>
      <c r="L992" s="7"/>
      <c r="M992" s="7"/>
    </row>
    <row r="993" spans="1:13" x14ac:dyDescent="0.3">
      <c r="A993" s="7">
        <v>13474</v>
      </c>
      <c r="B993" s="7" t="s">
        <v>1001</v>
      </c>
      <c r="C993" s="7" t="s">
        <v>6461</v>
      </c>
      <c r="D993" s="7" t="s">
        <v>6537</v>
      </c>
      <c r="E993" s="7" t="s">
        <v>6295</v>
      </c>
      <c r="F993" s="7" t="s">
        <v>6341</v>
      </c>
      <c r="G993" s="7" t="s">
        <v>7151</v>
      </c>
      <c r="H993" s="7" t="s">
        <v>7156</v>
      </c>
      <c r="I993" s="7"/>
      <c r="J993" s="10">
        <v>44474</v>
      </c>
      <c r="K993" s="7" t="s">
        <v>7163</v>
      </c>
      <c r="L993" s="7"/>
      <c r="M993" s="7"/>
    </row>
    <row r="994" spans="1:13" x14ac:dyDescent="0.3">
      <c r="A994" s="7">
        <v>16463</v>
      </c>
      <c r="B994" s="7" t="s">
        <v>1002</v>
      </c>
      <c r="C994" s="7" t="s">
        <v>6461</v>
      </c>
      <c r="D994" s="7" t="s">
        <v>6537</v>
      </c>
      <c r="E994" s="7" t="s">
        <v>6295</v>
      </c>
      <c r="F994" s="7" t="s">
        <v>6341</v>
      </c>
      <c r="G994" s="7" t="s">
        <v>7150</v>
      </c>
      <c r="H994" s="7" t="s">
        <v>7156</v>
      </c>
      <c r="I994" s="7"/>
      <c r="J994" s="10">
        <v>45414</v>
      </c>
      <c r="K994" s="7" t="s">
        <v>7163</v>
      </c>
      <c r="L994" s="7"/>
      <c r="M994" s="7"/>
    </row>
    <row r="995" spans="1:13" x14ac:dyDescent="0.3">
      <c r="A995" s="7">
        <v>15291</v>
      </c>
      <c r="B995" s="7" t="s">
        <v>1003</v>
      </c>
      <c r="C995" s="7" t="s">
        <v>6461</v>
      </c>
      <c r="D995" s="7" t="s">
        <v>6537</v>
      </c>
      <c r="E995" s="7" t="s">
        <v>6295</v>
      </c>
      <c r="F995" s="7" t="s">
        <v>6341</v>
      </c>
      <c r="G995" s="7" t="s">
        <v>7151</v>
      </c>
      <c r="H995" s="7" t="s">
        <v>7156</v>
      </c>
      <c r="I995" s="7"/>
      <c r="J995" s="10">
        <v>45012</v>
      </c>
      <c r="K995" s="7" t="s">
        <v>7163</v>
      </c>
      <c r="L995" s="7"/>
      <c r="M995" s="7"/>
    </row>
    <row r="996" spans="1:13" x14ac:dyDescent="0.3">
      <c r="A996" s="7">
        <v>15997</v>
      </c>
      <c r="B996" s="7" t="s">
        <v>1004</v>
      </c>
      <c r="C996" s="7" t="s">
        <v>6461</v>
      </c>
      <c r="D996" s="7" t="s">
        <v>6537</v>
      </c>
      <c r="E996" s="7" t="s">
        <v>6295</v>
      </c>
      <c r="F996" s="7" t="s">
        <v>6341</v>
      </c>
      <c r="G996" s="7" t="s">
        <v>7150</v>
      </c>
      <c r="H996" s="7" t="s">
        <v>7156</v>
      </c>
      <c r="I996" s="7"/>
      <c r="J996" s="10">
        <v>45257</v>
      </c>
      <c r="K996" s="7" t="s">
        <v>7163</v>
      </c>
      <c r="L996" s="7"/>
      <c r="M996" s="7"/>
    </row>
    <row r="997" spans="1:13" x14ac:dyDescent="0.3">
      <c r="A997" s="7">
        <v>15528</v>
      </c>
      <c r="B997" s="7" t="s">
        <v>1005</v>
      </c>
      <c r="C997" s="7" t="s">
        <v>6461</v>
      </c>
      <c r="D997" s="7" t="s">
        <v>6537</v>
      </c>
      <c r="E997" s="7" t="s">
        <v>6295</v>
      </c>
      <c r="F997" s="7" t="s">
        <v>6341</v>
      </c>
      <c r="G997" s="7" t="s">
        <v>7150</v>
      </c>
      <c r="H997" s="7" t="s">
        <v>7156</v>
      </c>
      <c r="I997" s="7"/>
      <c r="J997" s="10">
        <v>45101</v>
      </c>
      <c r="K997" s="7" t="s">
        <v>7163</v>
      </c>
      <c r="L997" s="7"/>
      <c r="M997" s="7"/>
    </row>
    <row r="998" spans="1:13" x14ac:dyDescent="0.3">
      <c r="A998" s="7">
        <v>16669</v>
      </c>
      <c r="B998" s="7" t="s">
        <v>1006</v>
      </c>
      <c r="C998" s="7" t="s">
        <v>6461</v>
      </c>
      <c r="D998" s="7" t="s">
        <v>6537</v>
      </c>
      <c r="E998" s="7" t="s">
        <v>6295</v>
      </c>
      <c r="F998" s="7" t="s">
        <v>6341</v>
      </c>
      <c r="G998" s="7" t="s">
        <v>7150</v>
      </c>
      <c r="H998" s="7" t="s">
        <v>7156</v>
      </c>
      <c r="I998" s="7"/>
      <c r="J998" s="10">
        <v>45516</v>
      </c>
      <c r="K998" s="7" t="s">
        <v>7163</v>
      </c>
      <c r="L998" s="7"/>
      <c r="M998" s="7"/>
    </row>
    <row r="999" spans="1:13" x14ac:dyDescent="0.3">
      <c r="A999" s="7">
        <v>20034</v>
      </c>
      <c r="B999" s="7" t="s">
        <v>1007</v>
      </c>
      <c r="C999" s="7" t="s">
        <v>6533</v>
      </c>
      <c r="D999" s="7" t="s">
        <v>6538</v>
      </c>
      <c r="E999" s="7" t="s">
        <v>6295</v>
      </c>
      <c r="F999" s="7" t="s">
        <v>6338</v>
      </c>
      <c r="G999" s="7" t="s">
        <v>7150</v>
      </c>
      <c r="H999" s="7" t="s">
        <v>7156</v>
      </c>
      <c r="I999" s="7"/>
      <c r="J999" s="10">
        <v>42405</v>
      </c>
      <c r="K999" s="7" t="s">
        <v>7163</v>
      </c>
      <c r="L999" s="7"/>
      <c r="M999" s="7"/>
    </row>
    <row r="1000" spans="1:13" x14ac:dyDescent="0.3">
      <c r="A1000" s="7">
        <v>300145</v>
      </c>
      <c r="B1000" s="7" t="s">
        <v>1008</v>
      </c>
      <c r="C1000" s="7" t="s">
        <v>6533</v>
      </c>
      <c r="D1000" s="7" t="s">
        <v>6538</v>
      </c>
      <c r="E1000" s="7" t="s">
        <v>6295</v>
      </c>
      <c r="F1000" s="7" t="s">
        <v>6335</v>
      </c>
      <c r="G1000" s="7" t="s">
        <v>7151</v>
      </c>
      <c r="H1000" s="7" t="s">
        <v>7156</v>
      </c>
      <c r="I1000" s="7"/>
      <c r="J1000" s="10">
        <v>43374</v>
      </c>
      <c r="K1000" s="7" t="s">
        <v>7163</v>
      </c>
      <c r="L1000" s="7"/>
      <c r="M1000" s="7"/>
    </row>
    <row r="1001" spans="1:13" x14ac:dyDescent="0.3">
      <c r="A1001" s="7">
        <v>580016</v>
      </c>
      <c r="B1001" s="7" t="s">
        <v>1009</v>
      </c>
      <c r="C1001" s="7" t="s">
        <v>6533</v>
      </c>
      <c r="D1001" s="7" t="s">
        <v>6538</v>
      </c>
      <c r="E1001" s="7" t="s">
        <v>6295</v>
      </c>
      <c r="F1001" s="7" t="s">
        <v>6353</v>
      </c>
      <c r="G1001" s="7" t="s">
        <v>7150</v>
      </c>
      <c r="H1001" s="7" t="s">
        <v>7156</v>
      </c>
      <c r="I1001" s="7"/>
      <c r="J1001" s="10">
        <v>42745</v>
      </c>
      <c r="K1001" s="7" t="s">
        <v>7163</v>
      </c>
      <c r="L1001" s="7"/>
      <c r="M1001" s="7"/>
    </row>
    <row r="1002" spans="1:13" x14ac:dyDescent="0.3">
      <c r="A1002" s="7">
        <v>150026</v>
      </c>
      <c r="B1002" s="7" t="s">
        <v>1010</v>
      </c>
      <c r="C1002" s="7" t="s">
        <v>6533</v>
      </c>
      <c r="D1002" s="7" t="s">
        <v>6538</v>
      </c>
      <c r="E1002" s="7" t="s">
        <v>6295</v>
      </c>
      <c r="F1002" s="7" t="s">
        <v>6340</v>
      </c>
      <c r="G1002" s="7" t="s">
        <v>7151</v>
      </c>
      <c r="H1002" s="7" t="s">
        <v>7156</v>
      </c>
      <c r="I1002" s="7"/>
      <c r="J1002" s="10">
        <v>42186</v>
      </c>
      <c r="K1002" s="7" t="s">
        <v>7163</v>
      </c>
      <c r="L1002" s="7"/>
      <c r="M1002" s="7"/>
    </row>
    <row r="1003" spans="1:13" x14ac:dyDescent="0.3">
      <c r="A1003" s="7">
        <v>450004</v>
      </c>
      <c r="B1003" s="7" t="s">
        <v>1011</v>
      </c>
      <c r="C1003" s="7" t="s">
        <v>6533</v>
      </c>
      <c r="D1003" s="7" t="s">
        <v>6538</v>
      </c>
      <c r="E1003" s="7" t="s">
        <v>6295</v>
      </c>
      <c r="F1003" s="7" t="s">
        <v>6353</v>
      </c>
      <c r="G1003" s="7" t="s">
        <v>7150</v>
      </c>
      <c r="H1003" s="7" t="s">
        <v>7156</v>
      </c>
      <c r="I1003" s="7"/>
      <c r="J1003" s="10">
        <v>40023</v>
      </c>
      <c r="K1003" s="7" t="s">
        <v>7163</v>
      </c>
      <c r="L1003" s="7"/>
      <c r="M1003" s="7"/>
    </row>
    <row r="1004" spans="1:13" x14ac:dyDescent="0.3">
      <c r="A1004" s="7">
        <v>550038</v>
      </c>
      <c r="B1004" s="7" t="s">
        <v>1012</v>
      </c>
      <c r="C1004" s="7" t="s">
        <v>6461</v>
      </c>
      <c r="D1004" s="7" t="s">
        <v>6462</v>
      </c>
      <c r="E1004" s="7" t="s">
        <v>6295</v>
      </c>
      <c r="F1004" s="7" t="s">
        <v>6353</v>
      </c>
      <c r="G1004" s="7" t="s">
        <v>7150</v>
      </c>
      <c r="H1004" s="7" t="s">
        <v>7156</v>
      </c>
      <c r="I1004" s="7"/>
      <c r="J1004" s="10">
        <v>43623</v>
      </c>
      <c r="K1004" s="7" t="s">
        <v>7163</v>
      </c>
      <c r="L1004" s="7"/>
      <c r="M1004" s="7"/>
    </row>
    <row r="1005" spans="1:13" x14ac:dyDescent="0.3">
      <c r="A1005" s="7">
        <v>800033</v>
      </c>
      <c r="B1005" s="7" t="s">
        <v>1013</v>
      </c>
      <c r="C1005" s="7" t="s">
        <v>6533</v>
      </c>
      <c r="D1005" s="7" t="s">
        <v>6538</v>
      </c>
      <c r="E1005" s="7" t="s">
        <v>6295</v>
      </c>
      <c r="F1005" s="7" t="s">
        <v>6340</v>
      </c>
      <c r="G1005" s="7" t="s">
        <v>7150</v>
      </c>
      <c r="H1005" s="7" t="s">
        <v>7156</v>
      </c>
      <c r="I1005" s="7"/>
      <c r="J1005" s="10">
        <v>42678</v>
      </c>
      <c r="K1005" s="7" t="s">
        <v>7163</v>
      </c>
      <c r="L1005" s="7"/>
      <c r="M1005" s="7"/>
    </row>
    <row r="1006" spans="1:13" x14ac:dyDescent="0.3">
      <c r="A1006" s="7">
        <v>410049</v>
      </c>
      <c r="B1006" s="7" t="s">
        <v>1014</v>
      </c>
      <c r="C1006" s="7" t="s">
        <v>6533</v>
      </c>
      <c r="D1006" s="7" t="s">
        <v>6538</v>
      </c>
      <c r="E1006" s="7" t="s">
        <v>6295</v>
      </c>
      <c r="F1006" s="7" t="s">
        <v>6340</v>
      </c>
      <c r="G1006" s="7" t="s">
        <v>7150</v>
      </c>
      <c r="H1006" s="7" t="s">
        <v>7156</v>
      </c>
      <c r="I1006" s="7"/>
      <c r="J1006" s="10">
        <v>42811</v>
      </c>
      <c r="K1006" s="7" t="s">
        <v>7163</v>
      </c>
      <c r="L1006" s="7"/>
      <c r="M1006" s="7"/>
    </row>
    <row r="1007" spans="1:13" x14ac:dyDescent="0.3">
      <c r="A1007" s="7">
        <v>12132</v>
      </c>
      <c r="B1007" s="7" t="s">
        <v>1015</v>
      </c>
      <c r="C1007" s="7" t="s">
        <v>6533</v>
      </c>
      <c r="D1007" s="7" t="s">
        <v>6538</v>
      </c>
      <c r="E1007" s="7" t="s">
        <v>6295</v>
      </c>
      <c r="F1007" s="7" t="s">
        <v>6353</v>
      </c>
      <c r="G1007" s="7" t="s">
        <v>7150</v>
      </c>
      <c r="H1007" s="7" t="s">
        <v>7156</v>
      </c>
      <c r="I1007" s="7"/>
      <c r="J1007" s="10">
        <v>43508</v>
      </c>
      <c r="K1007" s="7" t="s">
        <v>7163</v>
      </c>
      <c r="L1007" s="7"/>
      <c r="M1007" s="7"/>
    </row>
    <row r="1008" spans="1:13" x14ac:dyDescent="0.3">
      <c r="A1008" s="7">
        <v>13298</v>
      </c>
      <c r="B1008" s="7" t="s">
        <v>1016</v>
      </c>
      <c r="C1008" s="7" t="s">
        <v>6533</v>
      </c>
      <c r="D1008" s="7" t="s">
        <v>6538</v>
      </c>
      <c r="E1008" s="7" t="s">
        <v>6295</v>
      </c>
      <c r="F1008" s="7" t="s">
        <v>6340</v>
      </c>
      <c r="G1008" s="7" t="s">
        <v>7150</v>
      </c>
      <c r="H1008" s="7" t="s">
        <v>7156</v>
      </c>
      <c r="I1008" s="7"/>
      <c r="J1008" s="10">
        <v>44378</v>
      </c>
      <c r="K1008" s="7" t="s">
        <v>7163</v>
      </c>
      <c r="L1008" s="7"/>
      <c r="M1008" s="7"/>
    </row>
    <row r="1009" spans="1:13" x14ac:dyDescent="0.3">
      <c r="A1009" s="7">
        <v>400050</v>
      </c>
      <c r="B1009" s="7" t="s">
        <v>1017</v>
      </c>
      <c r="C1009" s="7" t="s">
        <v>6461</v>
      </c>
      <c r="D1009" s="7" t="s">
        <v>6462</v>
      </c>
      <c r="E1009" s="7" t="s">
        <v>6295</v>
      </c>
      <c r="F1009" s="7" t="s">
        <v>6340</v>
      </c>
      <c r="G1009" s="7" t="s">
        <v>7150</v>
      </c>
      <c r="H1009" s="7" t="s">
        <v>7156</v>
      </c>
      <c r="I1009" s="7"/>
      <c r="J1009" s="10">
        <v>43607</v>
      </c>
      <c r="K1009" s="7" t="s">
        <v>7163</v>
      </c>
      <c r="L1009" s="7"/>
      <c r="M1009" s="7"/>
    </row>
    <row r="1010" spans="1:13" x14ac:dyDescent="0.3">
      <c r="A1010" s="7">
        <v>15727</v>
      </c>
      <c r="B1010" s="7" t="s">
        <v>1018</v>
      </c>
      <c r="C1010" s="7" t="s">
        <v>6533</v>
      </c>
      <c r="D1010" s="7" t="s">
        <v>6538</v>
      </c>
      <c r="E1010" s="7" t="s">
        <v>6295</v>
      </c>
      <c r="F1010" s="7" t="s">
        <v>6341</v>
      </c>
      <c r="G1010" s="7" t="s">
        <v>7150</v>
      </c>
      <c r="H1010" s="7" t="s">
        <v>7156</v>
      </c>
      <c r="I1010" s="7"/>
      <c r="J1010" s="10">
        <v>45177</v>
      </c>
      <c r="K1010" s="7" t="s">
        <v>7163</v>
      </c>
      <c r="L1010" s="7"/>
      <c r="M1010" s="7"/>
    </row>
    <row r="1011" spans="1:13" x14ac:dyDescent="0.3">
      <c r="A1011" s="7">
        <v>730056</v>
      </c>
      <c r="B1011" s="7" t="s">
        <v>1019</v>
      </c>
      <c r="C1011" s="7" t="s">
        <v>6533</v>
      </c>
      <c r="D1011" s="7" t="s">
        <v>6538</v>
      </c>
      <c r="E1011" s="7" t="s">
        <v>6295</v>
      </c>
      <c r="F1011" s="7" t="s">
        <v>6340</v>
      </c>
      <c r="G1011" s="7" t="s">
        <v>7150</v>
      </c>
      <c r="H1011" s="7" t="s">
        <v>7156</v>
      </c>
      <c r="I1011" s="7"/>
      <c r="J1011" s="10">
        <v>44600</v>
      </c>
      <c r="K1011" s="7" t="s">
        <v>7163</v>
      </c>
      <c r="L1011" s="7"/>
      <c r="M1011" s="7"/>
    </row>
    <row r="1012" spans="1:13" x14ac:dyDescent="0.3">
      <c r="A1012" s="7">
        <v>660051</v>
      </c>
      <c r="B1012" s="7" t="s">
        <v>1020</v>
      </c>
      <c r="C1012" s="7" t="s">
        <v>6533</v>
      </c>
      <c r="D1012" s="7" t="s">
        <v>6538</v>
      </c>
      <c r="E1012" s="7" t="s">
        <v>6295</v>
      </c>
      <c r="F1012" s="7" t="s">
        <v>6340</v>
      </c>
      <c r="G1012" s="7" t="s">
        <v>7150</v>
      </c>
      <c r="H1012" s="7" t="s">
        <v>7156</v>
      </c>
      <c r="I1012" s="7"/>
      <c r="J1012" s="10">
        <v>44609</v>
      </c>
      <c r="K1012" s="7" t="s">
        <v>7163</v>
      </c>
      <c r="L1012" s="7"/>
      <c r="M1012" s="7"/>
    </row>
    <row r="1013" spans="1:13" x14ac:dyDescent="0.3">
      <c r="A1013" s="7">
        <v>14253</v>
      </c>
      <c r="B1013" s="7" t="s">
        <v>1021</v>
      </c>
      <c r="C1013" s="7" t="s">
        <v>6533</v>
      </c>
      <c r="D1013" s="7" t="s">
        <v>6538</v>
      </c>
      <c r="E1013" s="7" t="s">
        <v>6295</v>
      </c>
      <c r="F1013" s="7" t="s">
        <v>6340</v>
      </c>
      <c r="G1013" s="7" t="s">
        <v>7150</v>
      </c>
      <c r="H1013" s="7" t="s">
        <v>7156</v>
      </c>
      <c r="I1013" s="7"/>
      <c r="J1013" s="10">
        <v>44705</v>
      </c>
      <c r="K1013" s="7" t="s">
        <v>7163</v>
      </c>
      <c r="L1013" s="7"/>
      <c r="M1013" s="7"/>
    </row>
    <row r="1014" spans="1:13" x14ac:dyDescent="0.3">
      <c r="A1014" s="7">
        <v>15546</v>
      </c>
      <c r="B1014" s="7" t="s">
        <v>1022</v>
      </c>
      <c r="C1014" s="7" t="s">
        <v>6461</v>
      </c>
      <c r="D1014" s="7" t="s">
        <v>6462</v>
      </c>
      <c r="E1014" s="7" t="s">
        <v>6295</v>
      </c>
      <c r="F1014" s="7" t="s">
        <v>6341</v>
      </c>
      <c r="G1014" s="7" t="s">
        <v>7150</v>
      </c>
      <c r="H1014" s="7" t="s">
        <v>7156</v>
      </c>
      <c r="I1014" s="7"/>
      <c r="J1014" s="10">
        <v>45121</v>
      </c>
      <c r="K1014" s="7" t="s">
        <v>7163</v>
      </c>
      <c r="L1014" s="7"/>
      <c r="M1014" s="7"/>
    </row>
    <row r="1015" spans="1:13" x14ac:dyDescent="0.3">
      <c r="A1015" s="7">
        <v>12765</v>
      </c>
      <c r="B1015" s="7" t="s">
        <v>1023</v>
      </c>
      <c r="C1015" s="7" t="s">
        <v>6523</v>
      </c>
      <c r="D1015" s="7" t="s">
        <v>6532</v>
      </c>
      <c r="E1015" s="7" t="s">
        <v>6295</v>
      </c>
      <c r="F1015" s="7" t="s">
        <v>6340</v>
      </c>
      <c r="G1015" s="7" t="s">
        <v>7150</v>
      </c>
      <c r="H1015" s="7" t="s">
        <v>7156</v>
      </c>
      <c r="I1015" s="7"/>
      <c r="J1015" s="10">
        <v>43902</v>
      </c>
      <c r="K1015" s="7" t="s">
        <v>7163</v>
      </c>
      <c r="L1015" s="7"/>
      <c r="M1015" s="7"/>
    </row>
    <row r="1016" spans="1:13" x14ac:dyDescent="0.3">
      <c r="A1016" s="7">
        <v>16494</v>
      </c>
      <c r="B1016" s="7" t="s">
        <v>1024</v>
      </c>
      <c r="C1016" s="7" t="s">
        <v>6533</v>
      </c>
      <c r="D1016" s="7" t="s">
        <v>6538</v>
      </c>
      <c r="E1016" s="7" t="s">
        <v>6295</v>
      </c>
      <c r="F1016" s="7" t="s">
        <v>6340</v>
      </c>
      <c r="G1016" s="7" t="s">
        <v>7150</v>
      </c>
      <c r="H1016" s="7" t="s">
        <v>7156</v>
      </c>
      <c r="I1016" s="7"/>
      <c r="J1016" s="10">
        <v>45439</v>
      </c>
      <c r="K1016" s="7" t="s">
        <v>7163</v>
      </c>
      <c r="L1016" s="7"/>
      <c r="M1016" s="7"/>
    </row>
    <row r="1017" spans="1:13" x14ac:dyDescent="0.3">
      <c r="A1017" s="7">
        <v>11556</v>
      </c>
      <c r="B1017" s="7" t="s">
        <v>1025</v>
      </c>
      <c r="C1017" s="7" t="s">
        <v>6461</v>
      </c>
      <c r="D1017" s="7" t="s">
        <v>6462</v>
      </c>
      <c r="E1017" s="7" t="s">
        <v>6295</v>
      </c>
      <c r="F1017" s="7" t="s">
        <v>6335</v>
      </c>
      <c r="G1017" s="7" t="s">
        <v>7150</v>
      </c>
      <c r="H1017" s="7" t="s">
        <v>7156</v>
      </c>
      <c r="I1017" s="7"/>
      <c r="J1017" s="10">
        <v>42832</v>
      </c>
      <c r="K1017" s="7" t="s">
        <v>7163</v>
      </c>
      <c r="L1017" s="7"/>
      <c r="M1017" s="7"/>
    </row>
    <row r="1018" spans="1:13" x14ac:dyDescent="0.3">
      <c r="A1018" s="7">
        <v>10178</v>
      </c>
      <c r="B1018" s="7" t="s">
        <v>1026</v>
      </c>
      <c r="C1018" s="7" t="s">
        <v>6461</v>
      </c>
      <c r="D1018" s="7" t="s">
        <v>6462</v>
      </c>
      <c r="E1018" s="7" t="s">
        <v>6295</v>
      </c>
      <c r="F1018" s="7" t="s">
        <v>6335</v>
      </c>
      <c r="G1018" s="7" t="s">
        <v>7150</v>
      </c>
      <c r="H1018" s="7" t="s">
        <v>7156</v>
      </c>
      <c r="I1018" s="7"/>
      <c r="J1018" s="10">
        <v>36713</v>
      </c>
      <c r="K1018" s="7" t="s">
        <v>7163</v>
      </c>
      <c r="L1018" s="7"/>
      <c r="M1018" s="7"/>
    </row>
    <row r="1019" spans="1:13" x14ac:dyDescent="0.3">
      <c r="A1019" s="7">
        <v>700016</v>
      </c>
      <c r="B1019" s="7" t="s">
        <v>1027</v>
      </c>
      <c r="C1019" s="7" t="s">
        <v>6461</v>
      </c>
      <c r="D1019" s="7" t="s">
        <v>6462</v>
      </c>
      <c r="E1019" s="7" t="s">
        <v>6295</v>
      </c>
      <c r="F1019" s="7" t="s">
        <v>6335</v>
      </c>
      <c r="G1019" s="7" t="s">
        <v>7150</v>
      </c>
      <c r="H1019" s="7" t="s">
        <v>7156</v>
      </c>
      <c r="I1019" s="7"/>
      <c r="J1019" s="10">
        <v>36687</v>
      </c>
      <c r="K1019" s="7" t="s">
        <v>7163</v>
      </c>
      <c r="L1019" s="7"/>
      <c r="M1019" s="7"/>
    </row>
    <row r="1020" spans="1:13" x14ac:dyDescent="0.3">
      <c r="A1020" s="7">
        <v>600041</v>
      </c>
      <c r="B1020" s="7" t="s">
        <v>1028</v>
      </c>
      <c r="C1020" s="7" t="s">
        <v>6461</v>
      </c>
      <c r="D1020" s="7" t="s">
        <v>6462</v>
      </c>
      <c r="E1020" s="7" t="s">
        <v>6295</v>
      </c>
      <c r="F1020" s="7" t="s">
        <v>6335</v>
      </c>
      <c r="G1020" s="7" t="s">
        <v>7150</v>
      </c>
      <c r="H1020" s="7" t="s">
        <v>7156</v>
      </c>
      <c r="I1020" s="7"/>
      <c r="J1020" s="10">
        <v>43328</v>
      </c>
      <c r="K1020" s="7" t="s">
        <v>7163</v>
      </c>
      <c r="L1020" s="7"/>
      <c r="M1020" s="7"/>
    </row>
    <row r="1021" spans="1:13" x14ac:dyDescent="0.3">
      <c r="A1021" s="7">
        <v>700055</v>
      </c>
      <c r="B1021" s="7" t="s">
        <v>1029</v>
      </c>
      <c r="C1021" s="7" t="s">
        <v>6461</v>
      </c>
      <c r="D1021" s="7" t="s">
        <v>6462</v>
      </c>
      <c r="E1021" s="7" t="s">
        <v>6295</v>
      </c>
      <c r="F1021" s="7" t="s">
        <v>6335</v>
      </c>
      <c r="G1021" s="7" t="s">
        <v>7150</v>
      </c>
      <c r="H1021" s="7" t="s">
        <v>7156</v>
      </c>
      <c r="I1021" s="7"/>
      <c r="J1021" s="10">
        <v>43028</v>
      </c>
      <c r="K1021" s="7" t="s">
        <v>7163</v>
      </c>
      <c r="L1021" s="7"/>
      <c r="M1021" s="7"/>
    </row>
    <row r="1022" spans="1:13" x14ac:dyDescent="0.3">
      <c r="A1022" s="7">
        <v>600020</v>
      </c>
      <c r="B1022" s="7" t="s">
        <v>1030</v>
      </c>
      <c r="C1022" s="7" t="s">
        <v>6461</v>
      </c>
      <c r="D1022" s="7" t="s">
        <v>6462</v>
      </c>
      <c r="E1022" s="7" t="s">
        <v>6295</v>
      </c>
      <c r="F1022" s="7" t="s">
        <v>6335</v>
      </c>
      <c r="G1022" s="7" t="s">
        <v>7150</v>
      </c>
      <c r="H1022" s="7" t="s">
        <v>7156</v>
      </c>
      <c r="I1022" s="7"/>
      <c r="J1022" s="10">
        <v>40046</v>
      </c>
      <c r="K1022" s="7" t="s">
        <v>7163</v>
      </c>
      <c r="L1022" s="7"/>
      <c r="M1022" s="7"/>
    </row>
    <row r="1023" spans="1:13" x14ac:dyDescent="0.3">
      <c r="A1023" s="7">
        <v>12558</v>
      </c>
      <c r="B1023" s="7" t="s">
        <v>1031</v>
      </c>
      <c r="C1023" s="7" t="s">
        <v>6461</v>
      </c>
      <c r="D1023" s="7" t="s">
        <v>6531</v>
      </c>
      <c r="E1023" s="7" t="s">
        <v>6295</v>
      </c>
      <c r="F1023" s="7" t="s">
        <v>6335</v>
      </c>
      <c r="G1023" s="7" t="s">
        <v>7150</v>
      </c>
      <c r="H1023" s="7" t="s">
        <v>7156</v>
      </c>
      <c r="I1023" s="7"/>
      <c r="J1023" s="10">
        <v>43815</v>
      </c>
      <c r="K1023" s="7" t="s">
        <v>7163</v>
      </c>
      <c r="L1023" s="7"/>
      <c r="M1023" s="7"/>
    </row>
    <row r="1024" spans="1:13" x14ac:dyDescent="0.3">
      <c r="A1024" s="7">
        <v>10298</v>
      </c>
      <c r="B1024" s="7" t="s">
        <v>1032</v>
      </c>
      <c r="C1024" s="7" t="s">
        <v>6461</v>
      </c>
      <c r="D1024" s="7" t="s">
        <v>6462</v>
      </c>
      <c r="E1024" s="7" t="s">
        <v>6295</v>
      </c>
      <c r="F1024" s="7" t="s">
        <v>6353</v>
      </c>
      <c r="G1024" s="7" t="s">
        <v>7150</v>
      </c>
      <c r="H1024" s="7" t="s">
        <v>7156</v>
      </c>
      <c r="I1024" s="7"/>
      <c r="J1024" s="10">
        <v>39559</v>
      </c>
      <c r="K1024" s="7" t="s">
        <v>7163</v>
      </c>
      <c r="L1024" s="7"/>
      <c r="M1024" s="7"/>
    </row>
    <row r="1025" spans="1:13" x14ac:dyDescent="0.3">
      <c r="A1025" s="7">
        <v>13381</v>
      </c>
      <c r="B1025" s="7" t="s">
        <v>1033</v>
      </c>
      <c r="C1025" s="7" t="s">
        <v>6461</v>
      </c>
      <c r="D1025" s="7" t="s">
        <v>6462</v>
      </c>
      <c r="E1025" s="7" t="s">
        <v>6295</v>
      </c>
      <c r="F1025" s="7" t="s">
        <v>6353</v>
      </c>
      <c r="G1025" s="7" t="s">
        <v>7150</v>
      </c>
      <c r="H1025" s="7" t="s">
        <v>7156</v>
      </c>
      <c r="I1025" s="7"/>
      <c r="J1025" s="10">
        <v>44414</v>
      </c>
      <c r="K1025" s="7" t="s">
        <v>7163</v>
      </c>
      <c r="L1025" s="7"/>
      <c r="M1025" s="7"/>
    </row>
    <row r="1026" spans="1:13" x14ac:dyDescent="0.3">
      <c r="A1026" s="7">
        <v>300018</v>
      </c>
      <c r="B1026" s="7" t="s">
        <v>1034</v>
      </c>
      <c r="C1026" s="7" t="s">
        <v>6461</v>
      </c>
      <c r="D1026" s="7" t="s">
        <v>6537</v>
      </c>
      <c r="E1026" s="7" t="s">
        <v>6295</v>
      </c>
      <c r="F1026" s="7" t="s">
        <v>6340</v>
      </c>
      <c r="G1026" s="7" t="s">
        <v>7150</v>
      </c>
      <c r="H1026" s="7" t="s">
        <v>7156</v>
      </c>
      <c r="I1026" s="7"/>
      <c r="J1026" s="10">
        <v>36697</v>
      </c>
      <c r="K1026" s="7" t="s">
        <v>7163</v>
      </c>
      <c r="L1026" s="7"/>
      <c r="M1026" s="7"/>
    </row>
    <row r="1027" spans="1:13" x14ac:dyDescent="0.3">
      <c r="A1027" s="7">
        <v>10181</v>
      </c>
      <c r="B1027" s="7" t="s">
        <v>1035</v>
      </c>
      <c r="C1027" s="7" t="s">
        <v>6461</v>
      </c>
      <c r="D1027" s="7" t="s">
        <v>6462</v>
      </c>
      <c r="E1027" s="7" t="s">
        <v>6295</v>
      </c>
      <c r="F1027" s="7" t="s">
        <v>6340</v>
      </c>
      <c r="G1027" s="7" t="s">
        <v>7150</v>
      </c>
      <c r="H1027" s="7" t="s">
        <v>7156</v>
      </c>
      <c r="I1027" s="7"/>
      <c r="J1027" s="10">
        <v>36931</v>
      </c>
      <c r="K1027" s="7" t="s">
        <v>7163</v>
      </c>
      <c r="L1027" s="7"/>
      <c r="M1027" s="7"/>
    </row>
    <row r="1028" spans="1:13" x14ac:dyDescent="0.3">
      <c r="A1028" s="7">
        <v>10179</v>
      </c>
      <c r="B1028" s="7" t="s">
        <v>1036</v>
      </c>
      <c r="C1028" s="7" t="s">
        <v>6461</v>
      </c>
      <c r="D1028" s="7" t="s">
        <v>6462</v>
      </c>
      <c r="E1028" s="7" t="s">
        <v>6295</v>
      </c>
      <c r="F1028" s="7" t="s">
        <v>6340</v>
      </c>
      <c r="G1028" s="7" t="s">
        <v>7150</v>
      </c>
      <c r="H1028" s="7" t="s">
        <v>7156</v>
      </c>
      <c r="I1028" s="7"/>
      <c r="J1028" s="10">
        <v>36679</v>
      </c>
      <c r="K1028" s="7" t="s">
        <v>7163</v>
      </c>
      <c r="L1028" s="7"/>
      <c r="M1028" s="7"/>
    </row>
    <row r="1029" spans="1:13" x14ac:dyDescent="0.3">
      <c r="A1029" s="7">
        <v>300130</v>
      </c>
      <c r="B1029" s="7" t="s">
        <v>1037</v>
      </c>
      <c r="C1029" s="7" t="s">
        <v>6461</v>
      </c>
      <c r="D1029" s="7" t="s">
        <v>6531</v>
      </c>
      <c r="E1029" s="7" t="s">
        <v>6295</v>
      </c>
      <c r="F1029" s="7" t="s">
        <v>6340</v>
      </c>
      <c r="G1029" s="7" t="s">
        <v>7150</v>
      </c>
      <c r="H1029" s="7" t="s">
        <v>7156</v>
      </c>
      <c r="I1029" s="7"/>
      <c r="J1029" s="10">
        <v>43234</v>
      </c>
      <c r="K1029" s="7" t="s">
        <v>7163</v>
      </c>
      <c r="L1029" s="7"/>
      <c r="M1029" s="7"/>
    </row>
    <row r="1030" spans="1:13" x14ac:dyDescent="0.3">
      <c r="A1030" s="7">
        <v>700063</v>
      </c>
      <c r="B1030" s="7" t="s">
        <v>1038</v>
      </c>
      <c r="C1030" s="7" t="s">
        <v>6461</v>
      </c>
      <c r="D1030" s="7" t="s">
        <v>6462</v>
      </c>
      <c r="E1030" s="7" t="s">
        <v>6295</v>
      </c>
      <c r="F1030" s="7" t="s">
        <v>6340</v>
      </c>
      <c r="G1030" s="7" t="s">
        <v>7150</v>
      </c>
      <c r="H1030" s="7" t="s">
        <v>7156</v>
      </c>
      <c r="I1030" s="7"/>
      <c r="J1030" s="10">
        <v>43808</v>
      </c>
      <c r="K1030" s="7" t="s">
        <v>7163</v>
      </c>
      <c r="L1030" s="7"/>
      <c r="M1030" s="7"/>
    </row>
    <row r="1031" spans="1:13" x14ac:dyDescent="0.3">
      <c r="A1031" s="7">
        <v>400033</v>
      </c>
      <c r="B1031" s="7" t="s">
        <v>1039</v>
      </c>
      <c r="C1031" s="7" t="s">
        <v>6461</v>
      </c>
      <c r="D1031" s="7" t="s">
        <v>6531</v>
      </c>
      <c r="E1031" s="7" t="s">
        <v>6295</v>
      </c>
      <c r="F1031" s="7" t="s">
        <v>6353</v>
      </c>
      <c r="G1031" s="7" t="s">
        <v>7150</v>
      </c>
      <c r="H1031" s="7" t="s">
        <v>7156</v>
      </c>
      <c r="I1031" s="7"/>
      <c r="J1031" s="10">
        <v>42009</v>
      </c>
      <c r="K1031" s="7" t="s">
        <v>7163</v>
      </c>
      <c r="L1031" s="7"/>
      <c r="M1031" s="7"/>
    </row>
    <row r="1032" spans="1:13" x14ac:dyDescent="0.3">
      <c r="A1032" s="7">
        <v>13673</v>
      </c>
      <c r="B1032" s="7" t="s">
        <v>1040</v>
      </c>
      <c r="C1032" s="7" t="s">
        <v>6461</v>
      </c>
      <c r="D1032" s="7" t="s">
        <v>6537</v>
      </c>
      <c r="E1032" s="7" t="s">
        <v>6295</v>
      </c>
      <c r="F1032" s="7" t="s">
        <v>6353</v>
      </c>
      <c r="G1032" s="7" t="s">
        <v>7150</v>
      </c>
      <c r="H1032" s="7" t="s">
        <v>7156</v>
      </c>
      <c r="I1032" s="7"/>
      <c r="J1032" s="10">
        <v>44537</v>
      </c>
      <c r="K1032" s="7" t="s">
        <v>7163</v>
      </c>
      <c r="L1032" s="7"/>
      <c r="M1032" s="7"/>
    </row>
    <row r="1033" spans="1:13" x14ac:dyDescent="0.3">
      <c r="A1033" s="7">
        <v>127006</v>
      </c>
      <c r="B1033" s="7" t="s">
        <v>1041</v>
      </c>
      <c r="C1033" s="7" t="s">
        <v>6461</v>
      </c>
      <c r="D1033" s="7" t="s">
        <v>6531</v>
      </c>
      <c r="E1033" s="7" t="s">
        <v>6295</v>
      </c>
      <c r="F1033" s="7" t="s">
        <v>6340</v>
      </c>
      <c r="G1033" s="7" t="s">
        <v>7150</v>
      </c>
      <c r="H1033" s="7" t="s">
        <v>7156</v>
      </c>
      <c r="I1033" s="7"/>
      <c r="J1033" s="10">
        <v>44425</v>
      </c>
      <c r="K1033" s="7" t="s">
        <v>7163</v>
      </c>
      <c r="L1033" s="7"/>
      <c r="M1033" s="7"/>
    </row>
    <row r="1034" spans="1:13" x14ac:dyDescent="0.3">
      <c r="A1034" s="7">
        <v>120047</v>
      </c>
      <c r="B1034" s="7" t="s">
        <v>1042</v>
      </c>
      <c r="C1034" s="7" t="s">
        <v>6461</v>
      </c>
      <c r="D1034" s="7" t="s">
        <v>6462</v>
      </c>
      <c r="E1034" s="7" t="s">
        <v>6295</v>
      </c>
      <c r="F1034" s="7" t="s">
        <v>6341</v>
      </c>
      <c r="G1034" s="7" t="s">
        <v>7151</v>
      </c>
      <c r="H1034" s="7" t="s">
        <v>7156</v>
      </c>
      <c r="I1034" s="7"/>
      <c r="J1034" s="10">
        <v>43542</v>
      </c>
      <c r="K1034" s="7" t="s">
        <v>7163</v>
      </c>
      <c r="L1034" s="7"/>
      <c r="M1034" s="7"/>
    </row>
    <row r="1035" spans="1:13" x14ac:dyDescent="0.3">
      <c r="A1035" s="7">
        <v>16649</v>
      </c>
      <c r="B1035" s="7" t="s">
        <v>1043</v>
      </c>
      <c r="C1035" s="7" t="s">
        <v>6461</v>
      </c>
      <c r="D1035" s="7" t="s">
        <v>6531</v>
      </c>
      <c r="E1035" s="7" t="s">
        <v>6295</v>
      </c>
      <c r="F1035" s="7" t="s">
        <v>6341</v>
      </c>
      <c r="G1035" s="7" t="s">
        <v>7150</v>
      </c>
      <c r="H1035" s="7" t="s">
        <v>7156</v>
      </c>
      <c r="I1035" s="7"/>
      <c r="J1035" s="10">
        <v>45510</v>
      </c>
      <c r="K1035" s="7" t="s">
        <v>7163</v>
      </c>
      <c r="L1035" s="7"/>
      <c r="M1035" s="7"/>
    </row>
    <row r="1036" spans="1:13" x14ac:dyDescent="0.3">
      <c r="A1036" s="7">
        <v>18232</v>
      </c>
      <c r="B1036" s="7" t="s">
        <v>1044</v>
      </c>
      <c r="C1036" s="7" t="s">
        <v>6461</v>
      </c>
      <c r="D1036" s="7" t="s">
        <v>6537</v>
      </c>
      <c r="E1036" s="7" t="s">
        <v>6295</v>
      </c>
      <c r="F1036" s="7" t="s">
        <v>6341</v>
      </c>
      <c r="G1036" s="7" t="s">
        <v>7150</v>
      </c>
      <c r="H1036" s="7" t="s">
        <v>7156</v>
      </c>
      <c r="I1036" s="7"/>
      <c r="J1036" s="10">
        <v>46066</v>
      </c>
      <c r="K1036" s="7" t="s">
        <v>7163</v>
      </c>
      <c r="L1036" s="7"/>
      <c r="M1036" s="7"/>
    </row>
    <row r="1037" spans="1:13" x14ac:dyDescent="0.3">
      <c r="A1037" s="7">
        <v>300245</v>
      </c>
      <c r="B1037" s="7" t="s">
        <v>1045</v>
      </c>
      <c r="C1037" s="7" t="s">
        <v>6461</v>
      </c>
      <c r="D1037" s="7" t="s">
        <v>6537</v>
      </c>
      <c r="E1037" s="7" t="s">
        <v>6295</v>
      </c>
      <c r="F1037" s="7" t="s">
        <v>6340</v>
      </c>
      <c r="G1037" s="7" t="s">
        <v>7150</v>
      </c>
      <c r="H1037" s="7" t="s">
        <v>7156</v>
      </c>
      <c r="I1037" s="7"/>
      <c r="J1037" s="10">
        <v>44551</v>
      </c>
      <c r="K1037" s="7" t="s">
        <v>7163</v>
      </c>
      <c r="L1037" s="7"/>
      <c r="M1037" s="7"/>
    </row>
    <row r="1038" spans="1:13" x14ac:dyDescent="0.3">
      <c r="A1038" s="7">
        <v>13709</v>
      </c>
      <c r="B1038" s="7" t="s">
        <v>1046</v>
      </c>
      <c r="C1038" s="7" t="s">
        <v>6461</v>
      </c>
      <c r="D1038" s="7" t="s">
        <v>6531</v>
      </c>
      <c r="E1038" s="7" t="s">
        <v>6295</v>
      </c>
      <c r="F1038" s="7" t="s">
        <v>6340</v>
      </c>
      <c r="G1038" s="7" t="s">
        <v>7150</v>
      </c>
      <c r="H1038" s="7" t="s">
        <v>7156</v>
      </c>
      <c r="I1038" s="7"/>
      <c r="J1038" s="10">
        <v>44539</v>
      </c>
      <c r="K1038" s="7" t="s">
        <v>7163</v>
      </c>
      <c r="L1038" s="7"/>
      <c r="M1038" s="7"/>
    </row>
    <row r="1039" spans="1:13" x14ac:dyDescent="0.3">
      <c r="A1039" s="7">
        <v>13591</v>
      </c>
      <c r="B1039" s="7" t="s">
        <v>1047</v>
      </c>
      <c r="C1039" s="7" t="s">
        <v>6461</v>
      </c>
      <c r="D1039" s="7" t="s">
        <v>6537</v>
      </c>
      <c r="E1039" s="7" t="s">
        <v>6295</v>
      </c>
      <c r="F1039" s="7" t="s">
        <v>6341</v>
      </c>
      <c r="G1039" s="7" t="s">
        <v>7150</v>
      </c>
      <c r="H1039" s="7" t="s">
        <v>7156</v>
      </c>
      <c r="I1039" s="7"/>
      <c r="J1039" s="10">
        <v>44503</v>
      </c>
      <c r="K1039" s="7" t="s">
        <v>7163</v>
      </c>
      <c r="L1039" s="7"/>
      <c r="M1039" s="7"/>
    </row>
    <row r="1040" spans="1:13" x14ac:dyDescent="0.3">
      <c r="A1040" s="7">
        <v>204007</v>
      </c>
      <c r="B1040" s="7" t="s">
        <v>1048</v>
      </c>
      <c r="C1040" s="7" t="s">
        <v>6461</v>
      </c>
      <c r="D1040" s="7" t="s">
        <v>6462</v>
      </c>
      <c r="E1040" s="7" t="s">
        <v>6295</v>
      </c>
      <c r="F1040" s="7" t="s">
        <v>6340</v>
      </c>
      <c r="G1040" s="7" t="s">
        <v>7150</v>
      </c>
      <c r="H1040" s="7" t="s">
        <v>7156</v>
      </c>
      <c r="I1040" s="7"/>
      <c r="J1040" s="10">
        <v>44155</v>
      </c>
      <c r="K1040" s="7" t="s">
        <v>7163</v>
      </c>
      <c r="L1040" s="7"/>
      <c r="M1040" s="7"/>
    </row>
    <row r="1041" spans="1:13" x14ac:dyDescent="0.3">
      <c r="A1041" s="7">
        <v>160006</v>
      </c>
      <c r="B1041" s="7" t="s">
        <v>1049</v>
      </c>
      <c r="C1041" s="7" t="s">
        <v>6461</v>
      </c>
      <c r="D1041" s="7" t="s">
        <v>6462</v>
      </c>
      <c r="E1041" s="7" t="s">
        <v>6295</v>
      </c>
      <c r="F1041" s="7" t="s">
        <v>6341</v>
      </c>
      <c r="G1041" s="7" t="s">
        <v>7150</v>
      </c>
      <c r="H1041" s="7" t="s">
        <v>7156</v>
      </c>
      <c r="I1041" s="7"/>
      <c r="J1041" s="10">
        <v>37152</v>
      </c>
      <c r="K1041" s="7" t="s">
        <v>7163</v>
      </c>
      <c r="L1041" s="7"/>
      <c r="M1041" s="7"/>
    </row>
    <row r="1042" spans="1:13" x14ac:dyDescent="0.3">
      <c r="A1042" s="7">
        <v>16470</v>
      </c>
      <c r="B1042" s="7" t="s">
        <v>1050</v>
      </c>
      <c r="C1042" s="7" t="s">
        <v>6461</v>
      </c>
      <c r="D1042" s="7" t="s">
        <v>6537</v>
      </c>
      <c r="E1042" s="7" t="s">
        <v>6295</v>
      </c>
      <c r="F1042" s="7" t="s">
        <v>6341</v>
      </c>
      <c r="G1042" s="7" t="s">
        <v>7150</v>
      </c>
      <c r="H1042" s="7" t="s">
        <v>7156</v>
      </c>
      <c r="I1042" s="7"/>
      <c r="J1042" s="10">
        <v>45439</v>
      </c>
      <c r="K1042" s="7" t="s">
        <v>7163</v>
      </c>
      <c r="L1042" s="7"/>
      <c r="M1042" s="7"/>
    </row>
    <row r="1043" spans="1:13" x14ac:dyDescent="0.3">
      <c r="A1043" s="7">
        <v>18296</v>
      </c>
      <c r="B1043" s="7" t="s">
        <v>1051</v>
      </c>
      <c r="C1043" s="7" t="s">
        <v>6461</v>
      </c>
      <c r="D1043" s="7" t="s">
        <v>6537</v>
      </c>
      <c r="E1043" s="7" t="s">
        <v>6295</v>
      </c>
      <c r="F1043" s="7" t="s">
        <v>6341</v>
      </c>
      <c r="G1043" s="7" t="s">
        <v>7150</v>
      </c>
      <c r="H1043" s="7" t="s">
        <v>7156</v>
      </c>
      <c r="I1043" s="7"/>
      <c r="J1043" s="10">
        <v>46083</v>
      </c>
      <c r="K1043" s="7" t="s">
        <v>7163</v>
      </c>
      <c r="L1043" s="7"/>
      <c r="M1043" s="7"/>
    </row>
    <row r="1044" spans="1:13" x14ac:dyDescent="0.3">
      <c r="A1044" s="7">
        <v>11533</v>
      </c>
      <c r="B1044" s="7" t="s">
        <v>1052</v>
      </c>
      <c r="C1044" s="7" t="s">
        <v>6533</v>
      </c>
      <c r="D1044" s="7" t="s">
        <v>6295</v>
      </c>
      <c r="E1044" s="7" t="s">
        <v>6295</v>
      </c>
      <c r="F1044" s="7" t="s">
        <v>6356</v>
      </c>
      <c r="G1044" s="7" t="s">
        <v>7150</v>
      </c>
      <c r="H1044" s="7" t="s">
        <v>7156</v>
      </c>
      <c r="I1044" s="7"/>
      <c r="J1044" s="10">
        <v>42807</v>
      </c>
      <c r="K1044" s="7" t="s">
        <v>7163</v>
      </c>
      <c r="L1044" s="7"/>
      <c r="M1044" s="7"/>
    </row>
    <row r="1045" spans="1:13" x14ac:dyDescent="0.3">
      <c r="A1045" s="7">
        <v>17020</v>
      </c>
      <c r="B1045" s="7" t="s">
        <v>1053</v>
      </c>
      <c r="C1045" s="7" t="s">
        <v>6533</v>
      </c>
      <c r="D1045" s="7" t="s">
        <v>6295</v>
      </c>
      <c r="E1045" s="7" t="s">
        <v>6295</v>
      </c>
      <c r="F1045" s="7" t="s">
        <v>6336</v>
      </c>
      <c r="G1045" s="7" t="s">
        <v>7150</v>
      </c>
      <c r="H1045" s="7" t="s">
        <v>7156</v>
      </c>
      <c r="I1045" s="7"/>
      <c r="J1045" s="10">
        <v>45610</v>
      </c>
      <c r="K1045" s="7" t="s">
        <v>7163</v>
      </c>
      <c r="L1045" s="7"/>
      <c r="M1045" s="7"/>
    </row>
    <row r="1046" spans="1:13" x14ac:dyDescent="0.3">
      <c r="A1046" s="7">
        <v>120002</v>
      </c>
      <c r="B1046" s="7" t="s">
        <v>1054</v>
      </c>
      <c r="C1046" s="7" t="s">
        <v>6533</v>
      </c>
      <c r="D1046" s="7" t="s">
        <v>6295</v>
      </c>
      <c r="E1046" s="7" t="s">
        <v>6295</v>
      </c>
      <c r="F1046" s="7" t="s">
        <v>6336</v>
      </c>
      <c r="G1046" s="7" t="s">
        <v>7150</v>
      </c>
      <c r="H1046" s="7" t="s">
        <v>7156</v>
      </c>
      <c r="I1046" s="7"/>
      <c r="J1046" s="10">
        <v>40134</v>
      </c>
      <c r="K1046" s="7" t="s">
        <v>7163</v>
      </c>
      <c r="L1046" s="7"/>
      <c r="M1046" s="7"/>
    </row>
    <row r="1047" spans="1:13" x14ac:dyDescent="0.3">
      <c r="A1047" s="7">
        <v>770017</v>
      </c>
      <c r="B1047" s="7" t="s">
        <v>1055</v>
      </c>
      <c r="C1047" s="7" t="s">
        <v>6533</v>
      </c>
      <c r="D1047" s="7" t="s">
        <v>6539</v>
      </c>
      <c r="E1047" s="7" t="s">
        <v>6295</v>
      </c>
      <c r="F1047" s="7" t="s">
        <v>6338</v>
      </c>
      <c r="G1047" s="7" t="s">
        <v>7150</v>
      </c>
      <c r="H1047" s="7" t="s">
        <v>7156</v>
      </c>
      <c r="I1047" s="7"/>
      <c r="J1047" s="10">
        <v>42354</v>
      </c>
      <c r="K1047" s="7" t="s">
        <v>7163</v>
      </c>
      <c r="L1047" s="7"/>
      <c r="M1047" s="7"/>
    </row>
    <row r="1048" spans="1:13" x14ac:dyDescent="0.3">
      <c r="A1048" s="7">
        <v>133003</v>
      </c>
      <c r="B1048" s="7" t="s">
        <v>1056</v>
      </c>
      <c r="C1048" s="7" t="s">
        <v>6533</v>
      </c>
      <c r="D1048" s="7" t="s">
        <v>6539</v>
      </c>
      <c r="E1048" s="7" t="s">
        <v>6295</v>
      </c>
      <c r="F1048" s="7" t="s">
        <v>6335</v>
      </c>
      <c r="G1048" s="7" t="s">
        <v>7150</v>
      </c>
      <c r="H1048" s="7" t="s">
        <v>7156</v>
      </c>
      <c r="I1048" s="7"/>
      <c r="J1048" s="10">
        <v>42501</v>
      </c>
      <c r="K1048" s="7" t="s">
        <v>7163</v>
      </c>
      <c r="L1048" s="7"/>
      <c r="M1048" s="7"/>
    </row>
    <row r="1049" spans="1:13" x14ac:dyDescent="0.3">
      <c r="A1049" s="7">
        <v>11901</v>
      </c>
      <c r="B1049" s="7" t="s">
        <v>1057</v>
      </c>
      <c r="C1049" s="7" t="s">
        <v>6533</v>
      </c>
      <c r="D1049" s="7" t="s">
        <v>6539</v>
      </c>
      <c r="E1049" s="7" t="s">
        <v>6295</v>
      </c>
      <c r="F1049" s="7" t="s">
        <v>6335</v>
      </c>
      <c r="G1049" s="7" t="s">
        <v>7150</v>
      </c>
      <c r="H1049" s="7" t="s">
        <v>7156</v>
      </c>
      <c r="I1049" s="7"/>
      <c r="J1049" s="10">
        <v>43249</v>
      </c>
      <c r="K1049" s="7" t="s">
        <v>7163</v>
      </c>
      <c r="L1049" s="7"/>
      <c r="M1049" s="7"/>
    </row>
    <row r="1050" spans="1:13" x14ac:dyDescent="0.3">
      <c r="A1050" s="7">
        <v>780013</v>
      </c>
      <c r="B1050" s="7" t="s">
        <v>1058</v>
      </c>
      <c r="C1050" s="7" t="s">
        <v>6533</v>
      </c>
      <c r="D1050" s="7" t="s">
        <v>6539</v>
      </c>
      <c r="E1050" s="7" t="s">
        <v>6295</v>
      </c>
      <c r="F1050" s="7" t="s">
        <v>6335</v>
      </c>
      <c r="G1050" s="7" t="s">
        <v>7150</v>
      </c>
      <c r="H1050" s="7" t="s">
        <v>7156</v>
      </c>
      <c r="I1050" s="7"/>
      <c r="J1050" s="10">
        <v>42342</v>
      </c>
      <c r="K1050" s="7" t="s">
        <v>7163</v>
      </c>
      <c r="L1050" s="7"/>
      <c r="M1050" s="7"/>
    </row>
    <row r="1051" spans="1:13" x14ac:dyDescent="0.3">
      <c r="A1051" s="7">
        <v>115003</v>
      </c>
      <c r="B1051" s="7" t="s">
        <v>1059</v>
      </c>
      <c r="C1051" s="7" t="s">
        <v>6533</v>
      </c>
      <c r="D1051" s="7" t="s">
        <v>6539</v>
      </c>
      <c r="E1051" s="7" t="s">
        <v>6295</v>
      </c>
      <c r="F1051" s="7" t="s">
        <v>6335</v>
      </c>
      <c r="G1051" s="7" t="s">
        <v>7150</v>
      </c>
      <c r="H1051" s="7" t="s">
        <v>7156</v>
      </c>
      <c r="I1051" s="7"/>
      <c r="J1051" s="10">
        <v>38593</v>
      </c>
      <c r="K1051" s="7" t="s">
        <v>7163</v>
      </c>
      <c r="L1051" s="7"/>
      <c r="M1051" s="7"/>
    </row>
    <row r="1052" spans="1:13" x14ac:dyDescent="0.3">
      <c r="A1052" s="7">
        <v>11322</v>
      </c>
      <c r="B1052" s="7" t="s">
        <v>1060</v>
      </c>
      <c r="C1052" s="7" t="s">
        <v>6533</v>
      </c>
      <c r="D1052" s="7" t="s">
        <v>6539</v>
      </c>
      <c r="E1052" s="7" t="s">
        <v>6295</v>
      </c>
      <c r="F1052" s="7" t="s">
        <v>6335</v>
      </c>
      <c r="G1052" s="7" t="s">
        <v>7150</v>
      </c>
      <c r="H1052" s="7" t="s">
        <v>7156</v>
      </c>
      <c r="I1052" s="7"/>
      <c r="J1052" s="10">
        <v>42528</v>
      </c>
      <c r="K1052" s="7" t="s">
        <v>7163</v>
      </c>
      <c r="L1052" s="7"/>
      <c r="M1052" s="7"/>
    </row>
    <row r="1053" spans="1:13" x14ac:dyDescent="0.3">
      <c r="A1053" s="7">
        <v>130049</v>
      </c>
      <c r="B1053" s="7" t="s">
        <v>1061</v>
      </c>
      <c r="C1053" s="7" t="s">
        <v>6533</v>
      </c>
      <c r="D1053" s="7" t="s">
        <v>6539</v>
      </c>
      <c r="E1053" s="7" t="s">
        <v>6295</v>
      </c>
      <c r="F1053" s="7" t="s">
        <v>6335</v>
      </c>
      <c r="G1053" s="7" t="s">
        <v>7150</v>
      </c>
      <c r="H1053" s="7" t="s">
        <v>7156</v>
      </c>
      <c r="I1053" s="7"/>
      <c r="J1053" s="10">
        <v>43020</v>
      </c>
      <c r="K1053" s="7" t="s">
        <v>7163</v>
      </c>
      <c r="L1053" s="7"/>
      <c r="M1053" s="7"/>
    </row>
    <row r="1054" spans="1:13" x14ac:dyDescent="0.3">
      <c r="A1054" s="7">
        <v>14482</v>
      </c>
      <c r="B1054" s="7" t="s">
        <v>1062</v>
      </c>
      <c r="C1054" s="7" t="s">
        <v>6533</v>
      </c>
      <c r="D1054" s="7" t="s">
        <v>6539</v>
      </c>
      <c r="E1054" s="7" t="s">
        <v>6295</v>
      </c>
      <c r="F1054" s="7" t="s">
        <v>6335</v>
      </c>
      <c r="G1054" s="7" t="s">
        <v>7150</v>
      </c>
      <c r="H1054" s="7" t="s">
        <v>7156</v>
      </c>
      <c r="I1054" s="7"/>
      <c r="J1054" s="10">
        <v>44774</v>
      </c>
      <c r="K1054" s="7" t="s">
        <v>7163</v>
      </c>
      <c r="L1054" s="7"/>
      <c r="M1054" s="7"/>
    </row>
    <row r="1055" spans="1:13" x14ac:dyDescent="0.3">
      <c r="A1055" s="7">
        <v>300139</v>
      </c>
      <c r="B1055" s="7" t="s">
        <v>1063</v>
      </c>
      <c r="C1055" s="7" t="s">
        <v>6533</v>
      </c>
      <c r="D1055" s="7" t="s">
        <v>6539</v>
      </c>
      <c r="E1055" s="7" t="s">
        <v>6295</v>
      </c>
      <c r="F1055" s="7" t="s">
        <v>6353</v>
      </c>
      <c r="G1055" s="7" t="s">
        <v>7150</v>
      </c>
      <c r="H1055" s="7" t="s">
        <v>7156</v>
      </c>
      <c r="I1055" s="7"/>
      <c r="J1055" s="10">
        <v>43325</v>
      </c>
      <c r="K1055" s="7" t="s">
        <v>7163</v>
      </c>
      <c r="L1055" s="7"/>
      <c r="M1055" s="7"/>
    </row>
    <row r="1056" spans="1:13" x14ac:dyDescent="0.3">
      <c r="A1056" s="7">
        <v>240040</v>
      </c>
      <c r="B1056" s="7" t="s">
        <v>1064</v>
      </c>
      <c r="C1056" s="7" t="s">
        <v>6533</v>
      </c>
      <c r="D1056" s="7" t="s">
        <v>6539</v>
      </c>
      <c r="E1056" s="7" t="s">
        <v>6295</v>
      </c>
      <c r="F1056" s="7" t="s">
        <v>6353</v>
      </c>
      <c r="G1056" s="7" t="s">
        <v>7150</v>
      </c>
      <c r="H1056" s="7" t="s">
        <v>7156</v>
      </c>
      <c r="I1056" s="7"/>
      <c r="J1056" s="10">
        <v>42933</v>
      </c>
      <c r="K1056" s="7" t="s">
        <v>7163</v>
      </c>
      <c r="L1056" s="7"/>
      <c r="M1056" s="7"/>
    </row>
    <row r="1057" spans="1:13" x14ac:dyDescent="0.3">
      <c r="A1057" s="7">
        <v>118026</v>
      </c>
      <c r="B1057" s="7" t="s">
        <v>1065</v>
      </c>
      <c r="C1057" s="7" t="s">
        <v>6533</v>
      </c>
      <c r="D1057" s="7" t="s">
        <v>6539</v>
      </c>
      <c r="E1057" s="7" t="s">
        <v>6295</v>
      </c>
      <c r="F1057" s="7" t="s">
        <v>6353</v>
      </c>
      <c r="G1057" s="7" t="s">
        <v>7150</v>
      </c>
      <c r="H1057" s="7" t="s">
        <v>7156</v>
      </c>
      <c r="I1057" s="7"/>
      <c r="J1057" s="10">
        <v>43080</v>
      </c>
      <c r="K1057" s="7" t="s">
        <v>7163</v>
      </c>
      <c r="L1057" s="7"/>
      <c r="M1057" s="7"/>
    </row>
    <row r="1058" spans="1:13" x14ac:dyDescent="0.3">
      <c r="A1058" s="7">
        <v>133009</v>
      </c>
      <c r="B1058" s="7" t="s">
        <v>1066</v>
      </c>
      <c r="C1058" s="7" t="s">
        <v>6533</v>
      </c>
      <c r="D1058" s="7" t="s">
        <v>6539</v>
      </c>
      <c r="E1058" s="7" t="s">
        <v>6295</v>
      </c>
      <c r="F1058" s="7" t="s">
        <v>6353</v>
      </c>
      <c r="G1058" s="7" t="s">
        <v>7150</v>
      </c>
      <c r="H1058" s="7" t="s">
        <v>7156</v>
      </c>
      <c r="I1058" s="7"/>
      <c r="J1058" s="10">
        <v>43075</v>
      </c>
      <c r="K1058" s="7" t="s">
        <v>7163</v>
      </c>
      <c r="L1058" s="7"/>
      <c r="M1058" s="7"/>
    </row>
    <row r="1059" spans="1:13" x14ac:dyDescent="0.3">
      <c r="A1059" s="7">
        <v>130054</v>
      </c>
      <c r="B1059" s="7" t="s">
        <v>1067</v>
      </c>
      <c r="C1059" s="7" t="s">
        <v>6533</v>
      </c>
      <c r="D1059" s="7" t="s">
        <v>6539</v>
      </c>
      <c r="E1059" s="7" t="s">
        <v>6295</v>
      </c>
      <c r="F1059" s="7" t="s">
        <v>6353</v>
      </c>
      <c r="G1059" s="7" t="s">
        <v>7150</v>
      </c>
      <c r="H1059" s="7" t="s">
        <v>7156</v>
      </c>
      <c r="I1059" s="7"/>
      <c r="J1059" s="10">
        <v>44096</v>
      </c>
      <c r="K1059" s="7" t="s">
        <v>7163</v>
      </c>
      <c r="L1059" s="7"/>
      <c r="M1059" s="7"/>
    </row>
    <row r="1060" spans="1:13" x14ac:dyDescent="0.3">
      <c r="A1060" s="7">
        <v>11594</v>
      </c>
      <c r="B1060" s="7" t="s">
        <v>1068</v>
      </c>
      <c r="C1060" s="7" t="s">
        <v>6533</v>
      </c>
      <c r="D1060" s="7" t="s">
        <v>6539</v>
      </c>
      <c r="E1060" s="7" t="s">
        <v>6295</v>
      </c>
      <c r="F1060" s="7" t="s">
        <v>6353</v>
      </c>
      <c r="G1060" s="7" t="s">
        <v>7151</v>
      </c>
      <c r="H1060" s="7" t="s">
        <v>7156</v>
      </c>
      <c r="I1060" s="7"/>
      <c r="J1060" s="10">
        <v>42894</v>
      </c>
      <c r="K1060" s="7" t="s">
        <v>7163</v>
      </c>
      <c r="L1060" s="7"/>
      <c r="M1060" s="7"/>
    </row>
    <row r="1061" spans="1:13" x14ac:dyDescent="0.3">
      <c r="A1061" s="7">
        <v>300187</v>
      </c>
      <c r="B1061" s="7" t="s">
        <v>1069</v>
      </c>
      <c r="C1061" s="7" t="s">
        <v>6533</v>
      </c>
      <c r="D1061" s="7" t="s">
        <v>6539</v>
      </c>
      <c r="E1061" s="7" t="s">
        <v>6295</v>
      </c>
      <c r="F1061" s="7" t="s">
        <v>6353</v>
      </c>
      <c r="G1061" s="7" t="s">
        <v>7150</v>
      </c>
      <c r="H1061" s="7" t="s">
        <v>7156</v>
      </c>
      <c r="I1061" s="7"/>
      <c r="J1061" s="10">
        <v>43740</v>
      </c>
      <c r="K1061" s="7" t="s">
        <v>7163</v>
      </c>
      <c r="L1061" s="7"/>
      <c r="M1061" s="7"/>
    </row>
    <row r="1062" spans="1:13" x14ac:dyDescent="0.3">
      <c r="A1062" s="7">
        <v>206005</v>
      </c>
      <c r="B1062" s="7" t="s">
        <v>1070</v>
      </c>
      <c r="C1062" s="7" t="s">
        <v>6533</v>
      </c>
      <c r="D1062" s="7" t="s">
        <v>6539</v>
      </c>
      <c r="E1062" s="7" t="s">
        <v>6295</v>
      </c>
      <c r="F1062" s="7" t="s">
        <v>6353</v>
      </c>
      <c r="G1062" s="7" t="s">
        <v>7150</v>
      </c>
      <c r="H1062" s="7" t="s">
        <v>7156</v>
      </c>
      <c r="I1062" s="7"/>
      <c r="J1062" s="10">
        <v>44123</v>
      </c>
      <c r="K1062" s="7" t="s">
        <v>7163</v>
      </c>
      <c r="L1062" s="7"/>
      <c r="M1062" s="7"/>
    </row>
    <row r="1063" spans="1:13" x14ac:dyDescent="0.3">
      <c r="A1063" s="7">
        <v>11539</v>
      </c>
      <c r="B1063" s="7" t="s">
        <v>1071</v>
      </c>
      <c r="C1063" s="7" t="s">
        <v>6533</v>
      </c>
      <c r="D1063" s="7" t="s">
        <v>6539</v>
      </c>
      <c r="E1063" s="7" t="s">
        <v>6295</v>
      </c>
      <c r="F1063" s="7" t="s">
        <v>6353</v>
      </c>
      <c r="G1063" s="7" t="s">
        <v>7150</v>
      </c>
      <c r="H1063" s="7" t="s">
        <v>7156</v>
      </c>
      <c r="I1063" s="7"/>
      <c r="J1063" s="10">
        <v>42811</v>
      </c>
      <c r="K1063" s="7" t="s">
        <v>7163</v>
      </c>
      <c r="L1063" s="7"/>
      <c r="M1063" s="7"/>
    </row>
    <row r="1064" spans="1:13" x14ac:dyDescent="0.3">
      <c r="A1064" s="7">
        <v>250043</v>
      </c>
      <c r="B1064" s="7" t="s">
        <v>1072</v>
      </c>
      <c r="C1064" s="7" t="s">
        <v>6533</v>
      </c>
      <c r="D1064" s="7" t="s">
        <v>6539</v>
      </c>
      <c r="E1064" s="7" t="s">
        <v>6295</v>
      </c>
      <c r="F1064" s="7" t="s">
        <v>6353</v>
      </c>
      <c r="G1064" s="7" t="s">
        <v>7150</v>
      </c>
      <c r="H1064" s="7" t="s">
        <v>7156</v>
      </c>
      <c r="I1064" s="7"/>
      <c r="J1064" s="10">
        <v>43710</v>
      </c>
      <c r="K1064" s="7" t="s">
        <v>7163</v>
      </c>
      <c r="L1064" s="7"/>
      <c r="M1064" s="7"/>
    </row>
    <row r="1065" spans="1:13" x14ac:dyDescent="0.3">
      <c r="A1065" s="7">
        <v>14517</v>
      </c>
      <c r="B1065" s="7" t="s">
        <v>1073</v>
      </c>
      <c r="C1065" s="7" t="s">
        <v>6533</v>
      </c>
      <c r="D1065" s="7" t="s">
        <v>6539</v>
      </c>
      <c r="E1065" s="7" t="s">
        <v>6295</v>
      </c>
      <c r="F1065" s="7" t="s">
        <v>6340</v>
      </c>
      <c r="G1065" s="7" t="s">
        <v>7150</v>
      </c>
      <c r="H1065" s="7" t="s">
        <v>7156</v>
      </c>
      <c r="I1065" s="7"/>
      <c r="J1065" s="10">
        <v>44777</v>
      </c>
      <c r="K1065" s="7" t="s">
        <v>7163</v>
      </c>
      <c r="L1065" s="7"/>
      <c r="M1065" s="7"/>
    </row>
    <row r="1066" spans="1:13" x14ac:dyDescent="0.3">
      <c r="A1066" s="7">
        <v>600043</v>
      </c>
      <c r="B1066" s="7" t="s">
        <v>1074</v>
      </c>
      <c r="C1066" s="7" t="s">
        <v>6533</v>
      </c>
      <c r="D1066" s="7" t="s">
        <v>6539</v>
      </c>
      <c r="E1066" s="7" t="s">
        <v>6295</v>
      </c>
      <c r="F1066" s="7" t="s">
        <v>6340</v>
      </c>
      <c r="G1066" s="7" t="s">
        <v>7150</v>
      </c>
      <c r="H1066" s="7" t="s">
        <v>7156</v>
      </c>
      <c r="I1066" s="7"/>
      <c r="J1066" s="10">
        <v>43367</v>
      </c>
      <c r="K1066" s="7" t="s">
        <v>7163</v>
      </c>
      <c r="L1066" s="7"/>
      <c r="M1066" s="7"/>
    </row>
    <row r="1067" spans="1:13" x14ac:dyDescent="0.3">
      <c r="A1067" s="7">
        <v>16277</v>
      </c>
      <c r="B1067" s="7" t="s">
        <v>1075</v>
      </c>
      <c r="C1067" s="7" t="s">
        <v>6533</v>
      </c>
      <c r="D1067" s="7" t="s">
        <v>6539</v>
      </c>
      <c r="E1067" s="7" t="s">
        <v>6295</v>
      </c>
      <c r="F1067" s="7" t="s">
        <v>6340</v>
      </c>
      <c r="G1067" s="7" t="s">
        <v>7150</v>
      </c>
      <c r="H1067" s="7" t="s">
        <v>7156</v>
      </c>
      <c r="I1067" s="7"/>
      <c r="J1067" s="10">
        <v>45337</v>
      </c>
      <c r="K1067" s="7" t="s">
        <v>7163</v>
      </c>
      <c r="L1067" s="7"/>
      <c r="M1067" s="7"/>
    </row>
    <row r="1068" spans="1:13" x14ac:dyDescent="0.3">
      <c r="A1068" s="7">
        <v>160054</v>
      </c>
      <c r="B1068" s="7" t="s">
        <v>1076</v>
      </c>
      <c r="C1068" s="7" t="s">
        <v>6533</v>
      </c>
      <c r="D1068" s="7" t="s">
        <v>6539</v>
      </c>
      <c r="E1068" s="7" t="s">
        <v>6295</v>
      </c>
      <c r="F1068" s="7" t="s">
        <v>6340</v>
      </c>
      <c r="G1068" s="7" t="s">
        <v>7150</v>
      </c>
      <c r="H1068" s="7" t="s">
        <v>7156</v>
      </c>
      <c r="I1068" s="7"/>
      <c r="J1068" s="10">
        <v>44048</v>
      </c>
      <c r="K1068" s="7" t="s">
        <v>7163</v>
      </c>
      <c r="L1068" s="7"/>
      <c r="M1068" s="7"/>
    </row>
    <row r="1069" spans="1:13" x14ac:dyDescent="0.3">
      <c r="A1069" s="7">
        <v>18128</v>
      </c>
      <c r="B1069" s="7" t="s">
        <v>1077</v>
      </c>
      <c r="C1069" s="7" t="s">
        <v>6533</v>
      </c>
      <c r="D1069" s="7" t="s">
        <v>6539</v>
      </c>
      <c r="E1069" s="7" t="s">
        <v>6295</v>
      </c>
      <c r="F1069" s="7" t="s">
        <v>6340</v>
      </c>
      <c r="G1069" s="7" t="s">
        <v>7150</v>
      </c>
      <c r="H1069" s="7" t="s">
        <v>7156</v>
      </c>
      <c r="I1069" s="7"/>
      <c r="J1069" s="10">
        <v>46007</v>
      </c>
      <c r="K1069" s="7" t="s">
        <v>7163</v>
      </c>
      <c r="L1069" s="7"/>
      <c r="M1069" s="7"/>
    </row>
    <row r="1070" spans="1:13" x14ac:dyDescent="0.3">
      <c r="A1070" s="7">
        <v>110018</v>
      </c>
      <c r="B1070" s="7" t="s">
        <v>1078</v>
      </c>
      <c r="C1070" s="7" t="s">
        <v>6533</v>
      </c>
      <c r="D1070" s="7" t="s">
        <v>6540</v>
      </c>
      <c r="E1070" s="7" t="s">
        <v>6295</v>
      </c>
      <c r="F1070" s="7" t="s">
        <v>6338</v>
      </c>
      <c r="G1070" s="7" t="s">
        <v>7150</v>
      </c>
      <c r="H1070" s="7" t="s">
        <v>7156</v>
      </c>
      <c r="I1070" s="7"/>
      <c r="J1070" s="10">
        <v>42331</v>
      </c>
      <c r="K1070" s="7" t="s">
        <v>7163</v>
      </c>
      <c r="L1070" s="7"/>
      <c r="M1070" s="7"/>
    </row>
    <row r="1071" spans="1:13" x14ac:dyDescent="0.3">
      <c r="A1071" s="7">
        <v>120044</v>
      </c>
      <c r="B1071" s="7" t="s">
        <v>1079</v>
      </c>
      <c r="C1071" s="7" t="s">
        <v>6533</v>
      </c>
      <c r="D1071" s="7" t="s">
        <v>6540</v>
      </c>
      <c r="E1071" s="7" t="s">
        <v>6295</v>
      </c>
      <c r="F1071" s="7" t="s">
        <v>6335</v>
      </c>
      <c r="G1071" s="7" t="s">
        <v>7150</v>
      </c>
      <c r="H1071" s="7" t="s">
        <v>7156</v>
      </c>
      <c r="I1071" s="7"/>
      <c r="J1071" s="10">
        <v>43257</v>
      </c>
      <c r="K1071" s="7" t="s">
        <v>7163</v>
      </c>
      <c r="L1071" s="7"/>
      <c r="M1071" s="7"/>
    </row>
    <row r="1072" spans="1:13" x14ac:dyDescent="0.3">
      <c r="A1072" s="7">
        <v>12669</v>
      </c>
      <c r="B1072" s="7" t="s">
        <v>1080</v>
      </c>
      <c r="C1072" s="7" t="s">
        <v>6533</v>
      </c>
      <c r="D1072" s="7" t="s">
        <v>6540</v>
      </c>
      <c r="E1072" s="7" t="s">
        <v>6295</v>
      </c>
      <c r="F1072" s="7" t="s">
        <v>6353</v>
      </c>
      <c r="G1072" s="7" t="s">
        <v>7150</v>
      </c>
      <c r="H1072" s="7" t="s">
        <v>7156</v>
      </c>
      <c r="I1072" s="7"/>
      <c r="J1072" s="10">
        <v>43864</v>
      </c>
      <c r="K1072" s="7" t="s">
        <v>7163</v>
      </c>
      <c r="L1072" s="7"/>
      <c r="M1072" s="7"/>
    </row>
    <row r="1073" spans="1:13" x14ac:dyDescent="0.3">
      <c r="A1073" s="7">
        <v>980021</v>
      </c>
      <c r="B1073" s="7" t="s">
        <v>1081</v>
      </c>
      <c r="C1073" s="7" t="s">
        <v>6533</v>
      </c>
      <c r="D1073" s="7" t="s">
        <v>6540</v>
      </c>
      <c r="E1073" s="7" t="s">
        <v>6295</v>
      </c>
      <c r="F1073" s="7" t="s">
        <v>6353</v>
      </c>
      <c r="G1073" s="7" t="s">
        <v>7150</v>
      </c>
      <c r="H1073" s="7" t="s">
        <v>7156</v>
      </c>
      <c r="I1073" s="7"/>
      <c r="J1073" s="10">
        <v>43304</v>
      </c>
      <c r="K1073" s="7" t="s">
        <v>7163</v>
      </c>
      <c r="L1073" s="7"/>
      <c r="M1073" s="7"/>
    </row>
    <row r="1074" spans="1:13" x14ac:dyDescent="0.3">
      <c r="A1074" s="7">
        <v>127004</v>
      </c>
      <c r="B1074" s="7" t="s">
        <v>1082</v>
      </c>
      <c r="C1074" s="7" t="s">
        <v>6533</v>
      </c>
      <c r="D1074" s="7" t="s">
        <v>6540</v>
      </c>
      <c r="E1074" s="7" t="s">
        <v>6295</v>
      </c>
      <c r="F1074" s="7" t="s">
        <v>6353</v>
      </c>
      <c r="G1074" s="7" t="s">
        <v>7150</v>
      </c>
      <c r="H1074" s="7" t="s">
        <v>7156</v>
      </c>
      <c r="I1074" s="7"/>
      <c r="J1074" s="10">
        <v>43430</v>
      </c>
      <c r="K1074" s="7" t="s">
        <v>7163</v>
      </c>
      <c r="L1074" s="7"/>
      <c r="M1074" s="7"/>
    </row>
    <row r="1075" spans="1:13" x14ac:dyDescent="0.3">
      <c r="A1075" s="7">
        <v>12742</v>
      </c>
      <c r="B1075" s="7" t="s">
        <v>1083</v>
      </c>
      <c r="C1075" s="7" t="s">
        <v>6533</v>
      </c>
      <c r="D1075" s="7" t="s">
        <v>6540</v>
      </c>
      <c r="E1075" s="7" t="s">
        <v>6295</v>
      </c>
      <c r="F1075" s="7" t="s">
        <v>6340</v>
      </c>
      <c r="G1075" s="7" t="s">
        <v>7150</v>
      </c>
      <c r="H1075" s="7" t="s">
        <v>7156</v>
      </c>
      <c r="I1075" s="7"/>
      <c r="J1075" s="10">
        <v>43885</v>
      </c>
      <c r="K1075" s="7" t="s">
        <v>7163</v>
      </c>
      <c r="L1075" s="7"/>
      <c r="M1075" s="7"/>
    </row>
    <row r="1076" spans="1:13" x14ac:dyDescent="0.3">
      <c r="A1076" s="7">
        <v>133015</v>
      </c>
      <c r="B1076" s="7" t="s">
        <v>1084</v>
      </c>
      <c r="C1076" s="7" t="s">
        <v>6533</v>
      </c>
      <c r="D1076" s="7" t="s">
        <v>6540</v>
      </c>
      <c r="E1076" s="7" t="s">
        <v>6295</v>
      </c>
      <c r="F1076" s="7" t="s">
        <v>6340</v>
      </c>
      <c r="G1076" s="7" t="s">
        <v>7150</v>
      </c>
      <c r="H1076" s="7" t="s">
        <v>7156</v>
      </c>
      <c r="I1076" s="7"/>
      <c r="J1076" s="10">
        <v>44621</v>
      </c>
      <c r="K1076" s="7" t="s">
        <v>7163</v>
      </c>
      <c r="L1076" s="7"/>
      <c r="M1076" s="7"/>
    </row>
    <row r="1077" spans="1:13" x14ac:dyDescent="0.3">
      <c r="A1077" s="7">
        <v>12787</v>
      </c>
      <c r="B1077" s="7" t="s">
        <v>1085</v>
      </c>
      <c r="C1077" s="7" t="s">
        <v>6533</v>
      </c>
      <c r="D1077" s="7" t="s">
        <v>6540</v>
      </c>
      <c r="E1077" s="7" t="s">
        <v>6295</v>
      </c>
      <c r="F1077" s="7" t="s">
        <v>6340</v>
      </c>
      <c r="G1077" s="7" t="s">
        <v>7150</v>
      </c>
      <c r="H1077" s="7" t="s">
        <v>7156</v>
      </c>
      <c r="I1077" s="7"/>
      <c r="J1077" s="10">
        <v>43931</v>
      </c>
      <c r="K1077" s="7" t="s">
        <v>7163</v>
      </c>
      <c r="L1077" s="7"/>
      <c r="M1077" s="7"/>
    </row>
    <row r="1078" spans="1:13" x14ac:dyDescent="0.3">
      <c r="A1078" s="7">
        <v>150038</v>
      </c>
      <c r="B1078" s="7" t="s">
        <v>1086</v>
      </c>
      <c r="C1078" s="7" t="s">
        <v>6533</v>
      </c>
      <c r="D1078" s="7" t="s">
        <v>6540</v>
      </c>
      <c r="E1078" s="7" t="s">
        <v>6295</v>
      </c>
      <c r="F1078" s="7" t="s">
        <v>6340</v>
      </c>
      <c r="G1078" s="7" t="s">
        <v>7150</v>
      </c>
      <c r="H1078" s="7" t="s">
        <v>7156</v>
      </c>
      <c r="I1078" s="7"/>
      <c r="J1078" s="10">
        <v>43811</v>
      </c>
      <c r="K1078" s="7" t="s">
        <v>7163</v>
      </c>
      <c r="L1078" s="7"/>
      <c r="M1078" s="7"/>
    </row>
    <row r="1079" spans="1:13" x14ac:dyDescent="0.3">
      <c r="A1079" s="7">
        <v>160041</v>
      </c>
      <c r="B1079" s="7" t="s">
        <v>1087</v>
      </c>
      <c r="C1079" s="7" t="s">
        <v>6533</v>
      </c>
      <c r="D1079" s="7" t="s">
        <v>6540</v>
      </c>
      <c r="E1079" s="7" t="s">
        <v>6295</v>
      </c>
      <c r="F1079" s="7" t="s">
        <v>6340</v>
      </c>
      <c r="G1079" s="7" t="s">
        <v>7150</v>
      </c>
      <c r="H1079" s="7" t="s">
        <v>7156</v>
      </c>
      <c r="I1079" s="7"/>
      <c r="J1079" s="10">
        <v>42745</v>
      </c>
      <c r="K1079" s="7" t="s">
        <v>7163</v>
      </c>
      <c r="L1079" s="7"/>
      <c r="M1079" s="7"/>
    </row>
    <row r="1080" spans="1:13" x14ac:dyDescent="0.3">
      <c r="A1080" s="7">
        <v>14741</v>
      </c>
      <c r="B1080" s="7" t="s">
        <v>1088</v>
      </c>
      <c r="C1080" s="7" t="s">
        <v>6533</v>
      </c>
      <c r="D1080" s="7" t="s">
        <v>6540</v>
      </c>
      <c r="E1080" s="7" t="s">
        <v>6295</v>
      </c>
      <c r="F1080" s="7" t="s">
        <v>6340</v>
      </c>
      <c r="G1080" s="7" t="s">
        <v>7150</v>
      </c>
      <c r="H1080" s="7" t="s">
        <v>7156</v>
      </c>
      <c r="I1080" s="7"/>
      <c r="J1080" s="10">
        <v>44840</v>
      </c>
      <c r="K1080" s="7" t="s">
        <v>7163</v>
      </c>
      <c r="L1080" s="7"/>
      <c r="M1080" s="7"/>
    </row>
    <row r="1081" spans="1:13" x14ac:dyDescent="0.3">
      <c r="A1081" s="7">
        <v>590021</v>
      </c>
      <c r="B1081" s="7" t="s">
        <v>1089</v>
      </c>
      <c r="C1081" s="7" t="s">
        <v>6533</v>
      </c>
      <c r="D1081" s="7" t="s">
        <v>6540</v>
      </c>
      <c r="E1081" s="7" t="s">
        <v>6295</v>
      </c>
      <c r="F1081" s="7" t="s">
        <v>6353</v>
      </c>
      <c r="G1081" s="7" t="s">
        <v>7150</v>
      </c>
      <c r="H1081" s="7" t="s">
        <v>7156</v>
      </c>
      <c r="I1081" s="7"/>
      <c r="J1081" s="10">
        <v>43710</v>
      </c>
      <c r="K1081" s="7" t="s">
        <v>7163</v>
      </c>
      <c r="L1081" s="7"/>
      <c r="M1081" s="7"/>
    </row>
    <row r="1082" spans="1:13" x14ac:dyDescent="0.3">
      <c r="A1082" s="7">
        <v>15114</v>
      </c>
      <c r="B1082" s="7" t="s">
        <v>1090</v>
      </c>
      <c r="C1082" s="7" t="s">
        <v>6533</v>
      </c>
      <c r="D1082" s="7" t="s">
        <v>6540</v>
      </c>
      <c r="E1082" s="7" t="s">
        <v>6295</v>
      </c>
      <c r="F1082" s="7" t="s">
        <v>6340</v>
      </c>
      <c r="G1082" s="7" t="s">
        <v>7150</v>
      </c>
      <c r="H1082" s="7" t="s">
        <v>7156</v>
      </c>
      <c r="I1082" s="7"/>
      <c r="J1082" s="10">
        <v>44950</v>
      </c>
      <c r="K1082" s="7" t="s">
        <v>7163</v>
      </c>
      <c r="L1082" s="7"/>
      <c r="M1082" s="7"/>
    </row>
    <row r="1083" spans="1:13" x14ac:dyDescent="0.3">
      <c r="A1083" s="7">
        <v>201005</v>
      </c>
      <c r="B1083" s="7" t="s">
        <v>1091</v>
      </c>
      <c r="C1083" s="7" t="s">
        <v>6533</v>
      </c>
      <c r="D1083" s="7" t="s">
        <v>6540</v>
      </c>
      <c r="E1083" s="7" t="s">
        <v>6295</v>
      </c>
      <c r="F1083" s="7" t="s">
        <v>6340</v>
      </c>
      <c r="G1083" s="7" t="s">
        <v>7150</v>
      </c>
      <c r="H1083" s="7" t="s">
        <v>7156</v>
      </c>
      <c r="I1083" s="7"/>
      <c r="J1083" s="10">
        <v>44357</v>
      </c>
      <c r="K1083" s="7" t="s">
        <v>7163</v>
      </c>
      <c r="L1083" s="7"/>
      <c r="M1083" s="7"/>
    </row>
    <row r="1084" spans="1:13" x14ac:dyDescent="0.3">
      <c r="A1084" s="7">
        <v>12080</v>
      </c>
      <c r="B1084" s="7" t="s">
        <v>1092</v>
      </c>
      <c r="C1084" s="7" t="s">
        <v>6533</v>
      </c>
      <c r="D1084" s="7" t="s">
        <v>6540</v>
      </c>
      <c r="E1084" s="7" t="s">
        <v>6295</v>
      </c>
      <c r="F1084" s="7" t="s">
        <v>6341</v>
      </c>
      <c r="G1084" s="7" t="s">
        <v>7150</v>
      </c>
      <c r="H1084" s="7" t="s">
        <v>7156</v>
      </c>
      <c r="I1084" s="7"/>
      <c r="J1084" s="10">
        <v>43455</v>
      </c>
      <c r="K1084" s="7" t="s">
        <v>7163</v>
      </c>
      <c r="L1084" s="7"/>
      <c r="M1084" s="7"/>
    </row>
    <row r="1085" spans="1:13" x14ac:dyDescent="0.3">
      <c r="A1085" s="7">
        <v>14040</v>
      </c>
      <c r="B1085" s="7" t="s">
        <v>1093</v>
      </c>
      <c r="C1085" s="7" t="s">
        <v>6533</v>
      </c>
      <c r="D1085" s="7" t="s">
        <v>6540</v>
      </c>
      <c r="E1085" s="7" t="s">
        <v>6295</v>
      </c>
      <c r="F1085" s="7" t="s">
        <v>6340</v>
      </c>
      <c r="G1085" s="7" t="s">
        <v>7150</v>
      </c>
      <c r="H1085" s="7" t="s">
        <v>7156</v>
      </c>
      <c r="I1085" s="7"/>
      <c r="J1085" s="10">
        <v>44631</v>
      </c>
      <c r="K1085" s="7" t="s">
        <v>7163</v>
      </c>
      <c r="L1085" s="7"/>
      <c r="M1085" s="7"/>
    </row>
    <row r="1086" spans="1:13" x14ac:dyDescent="0.3">
      <c r="A1086" s="7">
        <v>15494</v>
      </c>
      <c r="B1086" s="7" t="s">
        <v>1094</v>
      </c>
      <c r="C1086" s="7" t="s">
        <v>6533</v>
      </c>
      <c r="D1086" s="7" t="s">
        <v>6540</v>
      </c>
      <c r="E1086" s="7" t="s">
        <v>6295</v>
      </c>
      <c r="F1086" s="7" t="s">
        <v>6341</v>
      </c>
      <c r="G1086" s="7" t="s">
        <v>7150</v>
      </c>
      <c r="H1086" s="7" t="s">
        <v>7156</v>
      </c>
      <c r="I1086" s="7"/>
      <c r="J1086" s="10">
        <v>45096</v>
      </c>
      <c r="K1086" s="7" t="s">
        <v>7163</v>
      </c>
      <c r="L1086" s="7"/>
      <c r="M1086" s="7"/>
    </row>
    <row r="1087" spans="1:13" x14ac:dyDescent="0.3">
      <c r="A1087" s="7">
        <v>13448</v>
      </c>
      <c r="B1087" s="7" t="s">
        <v>1095</v>
      </c>
      <c r="C1087" s="7" t="s">
        <v>6533</v>
      </c>
      <c r="D1087" s="7" t="s">
        <v>6540</v>
      </c>
      <c r="E1087" s="7" t="s">
        <v>6295</v>
      </c>
      <c r="F1087" s="7" t="s">
        <v>6341</v>
      </c>
      <c r="G1087" s="7" t="s">
        <v>7150</v>
      </c>
      <c r="H1087" s="7" t="s">
        <v>7156</v>
      </c>
      <c r="I1087" s="7"/>
      <c r="J1087" s="10">
        <v>44460</v>
      </c>
      <c r="K1087" s="7" t="s">
        <v>7163</v>
      </c>
      <c r="L1087" s="7"/>
      <c r="M1087" s="7"/>
    </row>
    <row r="1088" spans="1:13" x14ac:dyDescent="0.3">
      <c r="A1088" s="7">
        <v>12847</v>
      </c>
      <c r="B1088" s="7" t="s">
        <v>1096</v>
      </c>
      <c r="C1088" s="7" t="s">
        <v>6533</v>
      </c>
      <c r="D1088" s="7" t="s">
        <v>6541</v>
      </c>
      <c r="E1088" s="7" t="s">
        <v>6295</v>
      </c>
      <c r="F1088" s="7" t="s">
        <v>6338</v>
      </c>
      <c r="G1088" s="7" t="s">
        <v>7150</v>
      </c>
      <c r="H1088" s="7" t="s">
        <v>7156</v>
      </c>
      <c r="I1088" s="7"/>
      <c r="J1088" s="10">
        <v>44034</v>
      </c>
      <c r="K1088" s="7" t="s">
        <v>7163</v>
      </c>
      <c r="L1088" s="7"/>
      <c r="M1088" s="7"/>
    </row>
    <row r="1089" spans="1:13" x14ac:dyDescent="0.3">
      <c r="A1089" s="7">
        <v>15797</v>
      </c>
      <c r="B1089" s="7" t="s">
        <v>1097</v>
      </c>
      <c r="C1089" s="7" t="s">
        <v>6533</v>
      </c>
      <c r="D1089" s="7" t="s">
        <v>6541</v>
      </c>
      <c r="E1089" s="7" t="s">
        <v>6295</v>
      </c>
      <c r="F1089" s="7" t="s">
        <v>6335</v>
      </c>
      <c r="G1089" s="7" t="s">
        <v>7150</v>
      </c>
      <c r="H1089" s="7" t="s">
        <v>7156</v>
      </c>
      <c r="I1089" s="7"/>
      <c r="J1089" s="10">
        <v>45201</v>
      </c>
      <c r="K1089" s="7" t="s">
        <v>7163</v>
      </c>
      <c r="L1089" s="7"/>
      <c r="M1089" s="7"/>
    </row>
    <row r="1090" spans="1:13" x14ac:dyDescent="0.3">
      <c r="A1090" s="7">
        <v>10900</v>
      </c>
      <c r="B1090" s="7" t="s">
        <v>1098</v>
      </c>
      <c r="C1090" s="7" t="s">
        <v>6533</v>
      </c>
      <c r="D1090" s="7" t="s">
        <v>6541</v>
      </c>
      <c r="E1090" s="7" t="s">
        <v>6295</v>
      </c>
      <c r="F1090" s="7" t="s">
        <v>6353</v>
      </c>
      <c r="G1090" s="7" t="s">
        <v>7151</v>
      </c>
      <c r="H1090" s="7" t="s">
        <v>7156</v>
      </c>
      <c r="I1090" s="7"/>
      <c r="J1090" s="10">
        <v>42101</v>
      </c>
      <c r="K1090" s="7" t="s">
        <v>7163</v>
      </c>
      <c r="L1090" s="7"/>
      <c r="M1090" s="7"/>
    </row>
    <row r="1091" spans="1:13" x14ac:dyDescent="0.3">
      <c r="A1091" s="7">
        <v>14578</v>
      </c>
      <c r="B1091" s="7" t="s">
        <v>1099</v>
      </c>
      <c r="C1091" s="7" t="s">
        <v>6533</v>
      </c>
      <c r="D1091" s="7" t="s">
        <v>6541</v>
      </c>
      <c r="E1091" s="7" t="s">
        <v>6295</v>
      </c>
      <c r="F1091" s="7" t="s">
        <v>6389</v>
      </c>
      <c r="G1091" s="7" t="s">
        <v>7150</v>
      </c>
      <c r="H1091" s="7" t="s">
        <v>7157</v>
      </c>
      <c r="I1091" s="7"/>
      <c r="J1091" s="10">
        <v>44791</v>
      </c>
      <c r="K1091" s="7" t="s">
        <v>7163</v>
      </c>
      <c r="L1091" s="7"/>
      <c r="M1091" s="7"/>
    </row>
    <row r="1092" spans="1:13" x14ac:dyDescent="0.3">
      <c r="A1092" s="7">
        <v>430020</v>
      </c>
      <c r="B1092" s="7" t="s">
        <v>1100</v>
      </c>
      <c r="C1092" s="7" t="s">
        <v>6533</v>
      </c>
      <c r="D1092" s="7" t="s">
        <v>6541</v>
      </c>
      <c r="E1092" s="7" t="s">
        <v>6295</v>
      </c>
      <c r="F1092" s="7" t="s">
        <v>6542</v>
      </c>
      <c r="G1092" s="7" t="s">
        <v>7150</v>
      </c>
      <c r="H1092" s="7" t="s">
        <v>7156</v>
      </c>
      <c r="I1092" s="7"/>
      <c r="J1092" s="10">
        <v>43551</v>
      </c>
      <c r="K1092" s="7" t="s">
        <v>7163</v>
      </c>
      <c r="L1092" s="7"/>
      <c r="M1092" s="7"/>
    </row>
    <row r="1093" spans="1:13" x14ac:dyDescent="0.3">
      <c r="A1093" s="7">
        <v>12626</v>
      </c>
      <c r="B1093" s="7" t="s">
        <v>1101</v>
      </c>
      <c r="C1093" s="7" t="s">
        <v>6533</v>
      </c>
      <c r="D1093" s="7" t="s">
        <v>6541</v>
      </c>
      <c r="E1093" s="7" t="s">
        <v>6295</v>
      </c>
      <c r="F1093" s="7" t="s">
        <v>6353</v>
      </c>
      <c r="G1093" s="7" t="s">
        <v>7151</v>
      </c>
      <c r="H1093" s="7" t="s">
        <v>7156</v>
      </c>
      <c r="I1093" s="7"/>
      <c r="J1093" s="10">
        <v>43844</v>
      </c>
      <c r="K1093" s="7" t="s">
        <v>7163</v>
      </c>
      <c r="L1093" s="7"/>
      <c r="M1093" s="7"/>
    </row>
    <row r="1094" spans="1:13" x14ac:dyDescent="0.3">
      <c r="A1094" s="7">
        <v>700023</v>
      </c>
      <c r="B1094" s="7" t="s">
        <v>1102</v>
      </c>
      <c r="C1094" s="7" t="s">
        <v>6533</v>
      </c>
      <c r="D1094" s="7" t="s">
        <v>6541</v>
      </c>
      <c r="E1094" s="7" t="s">
        <v>6295</v>
      </c>
      <c r="F1094" s="7" t="s">
        <v>6340</v>
      </c>
      <c r="G1094" s="7" t="s">
        <v>7150</v>
      </c>
      <c r="H1094" s="7" t="s">
        <v>7156</v>
      </c>
      <c r="I1094" s="7"/>
      <c r="J1094" s="10">
        <v>41148</v>
      </c>
      <c r="K1094" s="7" t="s">
        <v>7163</v>
      </c>
      <c r="L1094" s="7"/>
      <c r="M1094" s="7"/>
    </row>
    <row r="1095" spans="1:13" x14ac:dyDescent="0.3">
      <c r="A1095" s="7">
        <v>11764</v>
      </c>
      <c r="B1095" s="7" t="s">
        <v>1103</v>
      </c>
      <c r="C1095" s="7" t="s">
        <v>6533</v>
      </c>
      <c r="D1095" s="7" t="s">
        <v>6541</v>
      </c>
      <c r="E1095" s="7" t="s">
        <v>6295</v>
      </c>
      <c r="F1095" s="7" t="s">
        <v>6340</v>
      </c>
      <c r="G1095" s="7" t="s">
        <v>7150</v>
      </c>
      <c r="H1095" s="7" t="s">
        <v>7156</v>
      </c>
      <c r="I1095" s="7"/>
      <c r="J1095" s="10">
        <v>43090</v>
      </c>
      <c r="K1095" s="7" t="s">
        <v>7163</v>
      </c>
      <c r="L1095" s="7"/>
      <c r="M1095" s="7"/>
    </row>
    <row r="1096" spans="1:13" x14ac:dyDescent="0.3">
      <c r="A1096" s="7">
        <v>11396</v>
      </c>
      <c r="B1096" s="7" t="s">
        <v>1104</v>
      </c>
      <c r="C1096" s="7" t="s">
        <v>6533</v>
      </c>
      <c r="D1096" s="7" t="s">
        <v>6541</v>
      </c>
      <c r="E1096" s="7" t="s">
        <v>6295</v>
      </c>
      <c r="F1096" s="7" t="s">
        <v>6340</v>
      </c>
      <c r="G1096" s="7" t="s">
        <v>7150</v>
      </c>
      <c r="H1096" s="7" t="s">
        <v>7156</v>
      </c>
      <c r="I1096" s="7"/>
      <c r="J1096" s="10">
        <v>42653</v>
      </c>
      <c r="K1096" s="7" t="s">
        <v>7163</v>
      </c>
      <c r="L1096" s="7"/>
      <c r="M1096" s="7"/>
    </row>
    <row r="1097" spans="1:13" x14ac:dyDescent="0.3">
      <c r="A1097" s="7">
        <v>12168</v>
      </c>
      <c r="B1097" s="7" t="s">
        <v>1105</v>
      </c>
      <c r="C1097" s="7" t="s">
        <v>6533</v>
      </c>
      <c r="D1097" s="7" t="s">
        <v>6541</v>
      </c>
      <c r="E1097" s="7" t="s">
        <v>6295</v>
      </c>
      <c r="F1097" s="7" t="s">
        <v>6340</v>
      </c>
      <c r="G1097" s="7" t="s">
        <v>7151</v>
      </c>
      <c r="H1097" s="7" t="s">
        <v>7156</v>
      </c>
      <c r="I1097" s="7"/>
      <c r="J1097" s="10">
        <v>43538</v>
      </c>
      <c r="K1097" s="7" t="s">
        <v>7163</v>
      </c>
      <c r="L1097" s="7"/>
      <c r="M1097" s="7"/>
    </row>
    <row r="1098" spans="1:13" x14ac:dyDescent="0.3">
      <c r="A1098" s="7">
        <v>16781</v>
      </c>
      <c r="B1098" s="7" t="s">
        <v>1106</v>
      </c>
      <c r="C1098" s="7" t="s">
        <v>6533</v>
      </c>
      <c r="D1098" s="7" t="s">
        <v>6541</v>
      </c>
      <c r="E1098" s="7" t="s">
        <v>6295</v>
      </c>
      <c r="F1098" s="7" t="s">
        <v>6389</v>
      </c>
      <c r="G1098" s="7" t="s">
        <v>7150</v>
      </c>
      <c r="H1098" s="7" t="s">
        <v>7157</v>
      </c>
      <c r="I1098" s="7"/>
      <c r="J1098" s="10">
        <v>45547</v>
      </c>
      <c r="K1098" s="7" t="s">
        <v>7163</v>
      </c>
      <c r="L1098" s="7"/>
      <c r="M1098" s="7"/>
    </row>
    <row r="1099" spans="1:13" x14ac:dyDescent="0.3">
      <c r="A1099" s="7">
        <v>300180</v>
      </c>
      <c r="B1099" s="7" t="s">
        <v>1107</v>
      </c>
      <c r="C1099" s="7" t="s">
        <v>6533</v>
      </c>
      <c r="D1099" s="7" t="s">
        <v>6541</v>
      </c>
      <c r="E1099" s="7" t="s">
        <v>6295</v>
      </c>
      <c r="F1099" s="7" t="s">
        <v>6340</v>
      </c>
      <c r="G1099" s="7" t="s">
        <v>7150</v>
      </c>
      <c r="H1099" s="7" t="s">
        <v>7156</v>
      </c>
      <c r="I1099" s="7"/>
      <c r="J1099" s="10">
        <v>43864</v>
      </c>
      <c r="K1099" s="7" t="s">
        <v>7163</v>
      </c>
      <c r="L1099" s="7"/>
      <c r="M1099" s="7"/>
    </row>
    <row r="1100" spans="1:13" x14ac:dyDescent="0.3">
      <c r="A1100" s="7">
        <v>205003</v>
      </c>
      <c r="B1100" s="7" t="s">
        <v>1108</v>
      </c>
      <c r="C1100" s="7" t="s">
        <v>6533</v>
      </c>
      <c r="D1100" s="7" t="s">
        <v>6541</v>
      </c>
      <c r="E1100" s="7" t="s">
        <v>6295</v>
      </c>
      <c r="F1100" s="7" t="s">
        <v>6340</v>
      </c>
      <c r="G1100" s="7" t="s">
        <v>7151</v>
      </c>
      <c r="H1100" s="7" t="s">
        <v>7156</v>
      </c>
      <c r="I1100" s="7"/>
      <c r="J1100" s="10">
        <v>43747</v>
      </c>
      <c r="K1100" s="7" t="s">
        <v>7163</v>
      </c>
      <c r="L1100" s="7"/>
      <c r="M1100" s="7"/>
    </row>
    <row r="1101" spans="1:13" x14ac:dyDescent="0.3">
      <c r="A1101" s="7">
        <v>12744</v>
      </c>
      <c r="B1101" s="7" t="s">
        <v>1109</v>
      </c>
      <c r="C1101" s="7" t="s">
        <v>6533</v>
      </c>
      <c r="D1101" s="7" t="s">
        <v>6541</v>
      </c>
      <c r="E1101" s="7" t="s">
        <v>6295</v>
      </c>
      <c r="F1101" s="7" t="s">
        <v>6353</v>
      </c>
      <c r="G1101" s="7" t="s">
        <v>7150</v>
      </c>
      <c r="H1101" s="7" t="s">
        <v>7156</v>
      </c>
      <c r="I1101" s="7"/>
      <c r="J1101" s="10">
        <v>43885</v>
      </c>
      <c r="K1101" s="7" t="s">
        <v>7163</v>
      </c>
      <c r="L1101" s="7"/>
      <c r="M1101" s="7"/>
    </row>
    <row r="1102" spans="1:13" x14ac:dyDescent="0.3">
      <c r="A1102" s="7">
        <v>800043</v>
      </c>
      <c r="B1102" s="7" t="s">
        <v>1110</v>
      </c>
      <c r="C1102" s="7" t="s">
        <v>6533</v>
      </c>
      <c r="D1102" s="7" t="s">
        <v>6541</v>
      </c>
      <c r="E1102" s="7" t="s">
        <v>6295</v>
      </c>
      <c r="F1102" s="7" t="s">
        <v>6340</v>
      </c>
      <c r="G1102" s="7" t="s">
        <v>7151</v>
      </c>
      <c r="H1102" s="7" t="s">
        <v>7156</v>
      </c>
      <c r="I1102" s="7"/>
      <c r="J1102" s="10">
        <v>43672</v>
      </c>
      <c r="K1102" s="7" t="s">
        <v>7163</v>
      </c>
      <c r="L1102" s="7"/>
      <c r="M1102" s="7"/>
    </row>
    <row r="1103" spans="1:13" x14ac:dyDescent="0.3">
      <c r="A1103" s="7">
        <v>16857</v>
      </c>
      <c r="B1103" s="7" t="s">
        <v>1111</v>
      </c>
      <c r="C1103" s="7" t="s">
        <v>6533</v>
      </c>
      <c r="D1103" s="7" t="s">
        <v>6541</v>
      </c>
      <c r="E1103" s="7" t="s">
        <v>6295</v>
      </c>
      <c r="F1103" s="7" t="s">
        <v>6389</v>
      </c>
      <c r="G1103" s="7" t="s">
        <v>7150</v>
      </c>
      <c r="H1103" s="7" t="s">
        <v>7157</v>
      </c>
      <c r="I1103" s="7"/>
      <c r="J1103" s="10">
        <v>45568</v>
      </c>
      <c r="K1103" s="7" t="s">
        <v>7163</v>
      </c>
      <c r="L1103" s="7"/>
      <c r="M1103" s="7"/>
    </row>
    <row r="1104" spans="1:13" x14ac:dyDescent="0.3">
      <c r="A1104" s="7">
        <v>12513</v>
      </c>
      <c r="B1104" s="7" t="s">
        <v>1112</v>
      </c>
      <c r="C1104" s="7" t="s">
        <v>6533</v>
      </c>
      <c r="D1104" s="7" t="s">
        <v>6541</v>
      </c>
      <c r="E1104" s="7" t="s">
        <v>6295</v>
      </c>
      <c r="F1104" s="7" t="s">
        <v>6340</v>
      </c>
      <c r="G1104" s="7" t="s">
        <v>7150</v>
      </c>
      <c r="H1104" s="7" t="s">
        <v>7156</v>
      </c>
      <c r="I1104" s="7"/>
      <c r="J1104" s="10">
        <v>43790</v>
      </c>
      <c r="K1104" s="7" t="s">
        <v>7163</v>
      </c>
      <c r="L1104" s="7"/>
      <c r="M1104" s="7"/>
    </row>
    <row r="1105" spans="1:13" x14ac:dyDescent="0.3">
      <c r="A1105" s="7">
        <v>13831</v>
      </c>
      <c r="B1105" s="7" t="s">
        <v>1113</v>
      </c>
      <c r="C1105" s="7" t="s">
        <v>6533</v>
      </c>
      <c r="D1105" s="7" t="s">
        <v>6541</v>
      </c>
      <c r="E1105" s="7" t="s">
        <v>6295</v>
      </c>
      <c r="F1105" s="7" t="s">
        <v>6340</v>
      </c>
      <c r="G1105" s="7" t="s">
        <v>7150</v>
      </c>
      <c r="H1105" s="7" t="s">
        <v>7156</v>
      </c>
      <c r="I1105" s="7"/>
      <c r="J1105" s="10">
        <v>44596</v>
      </c>
      <c r="K1105" s="7" t="s">
        <v>7163</v>
      </c>
      <c r="L1105" s="7"/>
      <c r="M1105" s="7"/>
    </row>
    <row r="1106" spans="1:13" x14ac:dyDescent="0.3">
      <c r="A1106" s="7">
        <v>133010</v>
      </c>
      <c r="B1106" s="7" t="s">
        <v>1114</v>
      </c>
      <c r="C1106" s="7" t="s">
        <v>6533</v>
      </c>
      <c r="D1106" s="7" t="s">
        <v>6541</v>
      </c>
      <c r="E1106" s="7" t="s">
        <v>6295</v>
      </c>
      <c r="F1106" s="7" t="s">
        <v>6340</v>
      </c>
      <c r="G1106" s="7" t="s">
        <v>7152</v>
      </c>
      <c r="H1106" s="7" t="s">
        <v>7156</v>
      </c>
      <c r="I1106" s="7"/>
      <c r="J1106" s="10">
        <v>43199</v>
      </c>
      <c r="K1106" s="7" t="s">
        <v>7163</v>
      </c>
      <c r="L1106" s="7"/>
      <c r="M1106" s="7"/>
    </row>
    <row r="1107" spans="1:13" x14ac:dyDescent="0.3">
      <c r="A1107" s="7">
        <v>18918</v>
      </c>
      <c r="B1107" s="7" t="s">
        <v>1115</v>
      </c>
      <c r="C1107" s="7" t="s">
        <v>6533</v>
      </c>
      <c r="D1107" s="7" t="s">
        <v>6541</v>
      </c>
      <c r="E1107" s="7" t="s">
        <v>6295</v>
      </c>
      <c r="F1107" s="7" t="s">
        <v>6389</v>
      </c>
      <c r="G1107" s="7" t="s">
        <v>7150</v>
      </c>
      <c r="H1107" s="7" t="s">
        <v>7157</v>
      </c>
      <c r="I1107" s="7"/>
      <c r="J1107" s="10">
        <v>46241</v>
      </c>
      <c r="K1107" s="7" t="s">
        <v>7163</v>
      </c>
      <c r="L1107" s="7"/>
      <c r="M1107" s="7"/>
    </row>
    <row r="1108" spans="1:13" x14ac:dyDescent="0.3">
      <c r="A1108" s="7">
        <v>12978</v>
      </c>
      <c r="B1108" s="7" t="s">
        <v>1116</v>
      </c>
      <c r="C1108" s="7" t="s">
        <v>6533</v>
      </c>
      <c r="D1108" s="7" t="s">
        <v>6541</v>
      </c>
      <c r="E1108" s="7" t="s">
        <v>6295</v>
      </c>
      <c r="F1108" s="7" t="s">
        <v>6340</v>
      </c>
      <c r="G1108" s="7" t="s">
        <v>7150</v>
      </c>
      <c r="H1108" s="7" t="s">
        <v>7156</v>
      </c>
      <c r="I1108" s="7"/>
      <c r="J1108" s="10">
        <v>44160</v>
      </c>
      <c r="K1108" s="7" t="s">
        <v>7163</v>
      </c>
      <c r="L1108" s="7"/>
      <c r="M1108" s="7"/>
    </row>
    <row r="1109" spans="1:13" x14ac:dyDescent="0.3">
      <c r="A1109" s="7">
        <v>12642</v>
      </c>
      <c r="B1109" s="7" t="s">
        <v>1117</v>
      </c>
      <c r="C1109" s="7" t="s">
        <v>6533</v>
      </c>
      <c r="D1109" s="7" t="s">
        <v>6541</v>
      </c>
      <c r="E1109" s="7" t="s">
        <v>6295</v>
      </c>
      <c r="F1109" s="7" t="s">
        <v>6340</v>
      </c>
      <c r="G1109" s="7" t="s">
        <v>7150</v>
      </c>
      <c r="H1109" s="7" t="s">
        <v>7156</v>
      </c>
      <c r="I1109" s="7"/>
      <c r="J1109" s="10">
        <v>43851</v>
      </c>
      <c r="K1109" s="7" t="s">
        <v>7163</v>
      </c>
      <c r="L1109" s="7"/>
      <c r="M1109" s="7"/>
    </row>
    <row r="1110" spans="1:13" x14ac:dyDescent="0.3">
      <c r="A1110" s="7">
        <v>140046</v>
      </c>
      <c r="B1110" s="7" t="s">
        <v>1118</v>
      </c>
      <c r="C1110" s="7" t="s">
        <v>6533</v>
      </c>
      <c r="D1110" s="7" t="s">
        <v>6541</v>
      </c>
      <c r="E1110" s="7" t="s">
        <v>6295</v>
      </c>
      <c r="F1110" s="7" t="s">
        <v>6341</v>
      </c>
      <c r="G1110" s="7" t="s">
        <v>7150</v>
      </c>
      <c r="H1110" s="7" t="s">
        <v>7156</v>
      </c>
      <c r="I1110" s="7"/>
      <c r="J1110" s="10">
        <v>44228</v>
      </c>
      <c r="K1110" s="7" t="s">
        <v>7163</v>
      </c>
      <c r="L1110" s="7"/>
      <c r="M1110" s="7"/>
    </row>
    <row r="1111" spans="1:13" x14ac:dyDescent="0.3">
      <c r="A1111" s="7">
        <v>13733</v>
      </c>
      <c r="B1111" s="7" t="s">
        <v>1119</v>
      </c>
      <c r="C1111" s="7" t="s">
        <v>6533</v>
      </c>
      <c r="D1111" s="7" t="s">
        <v>6541</v>
      </c>
      <c r="E1111" s="7" t="s">
        <v>6295</v>
      </c>
      <c r="F1111" s="7" t="s">
        <v>6340</v>
      </c>
      <c r="G1111" s="7" t="s">
        <v>7151</v>
      </c>
      <c r="H1111" s="7" t="s">
        <v>7156</v>
      </c>
      <c r="I1111" s="7"/>
      <c r="J1111" s="10">
        <v>44551</v>
      </c>
      <c r="K1111" s="7" t="s">
        <v>7163</v>
      </c>
      <c r="L1111" s="7"/>
      <c r="M1111" s="7"/>
    </row>
    <row r="1112" spans="1:13" x14ac:dyDescent="0.3">
      <c r="A1112" s="7">
        <v>11786</v>
      </c>
      <c r="B1112" s="7" t="s">
        <v>1120</v>
      </c>
      <c r="C1112" s="7" t="s">
        <v>6533</v>
      </c>
      <c r="D1112" s="7" t="s">
        <v>6541</v>
      </c>
      <c r="E1112" s="7" t="s">
        <v>6295</v>
      </c>
      <c r="F1112" s="7" t="s">
        <v>6341</v>
      </c>
      <c r="G1112" s="7" t="s">
        <v>7151</v>
      </c>
      <c r="H1112" s="7" t="s">
        <v>7156</v>
      </c>
      <c r="I1112" s="7"/>
      <c r="J1112" s="10">
        <v>43122</v>
      </c>
      <c r="K1112" s="7" t="s">
        <v>7163</v>
      </c>
      <c r="L1112" s="7"/>
      <c r="M1112" s="7"/>
    </row>
    <row r="1113" spans="1:13" x14ac:dyDescent="0.3">
      <c r="A1113" s="7">
        <v>17038</v>
      </c>
      <c r="B1113" s="7" t="s">
        <v>1121</v>
      </c>
      <c r="C1113" s="7" t="s">
        <v>6533</v>
      </c>
      <c r="D1113" s="7" t="s">
        <v>6541</v>
      </c>
      <c r="E1113" s="7" t="s">
        <v>6295</v>
      </c>
      <c r="F1113" s="7" t="s">
        <v>6389</v>
      </c>
      <c r="G1113" s="7" t="s">
        <v>7150</v>
      </c>
      <c r="H1113" s="7" t="s">
        <v>7157</v>
      </c>
      <c r="I1113" s="7"/>
      <c r="J1113" s="10">
        <v>45600</v>
      </c>
      <c r="K1113" s="7" t="s">
        <v>7163</v>
      </c>
      <c r="L1113" s="7"/>
      <c r="M1113" s="7"/>
    </row>
    <row r="1114" spans="1:13" x14ac:dyDescent="0.3">
      <c r="A1114" s="7">
        <v>15503</v>
      </c>
      <c r="B1114" s="7" t="s">
        <v>1122</v>
      </c>
      <c r="C1114" s="7" t="s">
        <v>6533</v>
      </c>
      <c r="D1114" s="7" t="s">
        <v>6541</v>
      </c>
      <c r="E1114" s="7" t="s">
        <v>6295</v>
      </c>
      <c r="F1114" s="7" t="s">
        <v>6340</v>
      </c>
      <c r="G1114" s="7" t="s">
        <v>7150</v>
      </c>
      <c r="H1114" s="7" t="s">
        <v>7156</v>
      </c>
      <c r="I1114" s="7"/>
      <c r="J1114" s="10">
        <v>45097</v>
      </c>
      <c r="K1114" s="7" t="s">
        <v>7163</v>
      </c>
      <c r="L1114" s="7"/>
      <c r="M1114" s="7"/>
    </row>
    <row r="1115" spans="1:13" x14ac:dyDescent="0.3">
      <c r="A1115" s="7">
        <v>300238</v>
      </c>
      <c r="B1115" s="7" t="s">
        <v>1123</v>
      </c>
      <c r="C1115" s="7" t="s">
        <v>6533</v>
      </c>
      <c r="D1115" s="7" t="s">
        <v>6541</v>
      </c>
      <c r="E1115" s="7" t="s">
        <v>6295</v>
      </c>
      <c r="F1115" s="7" t="s">
        <v>6340</v>
      </c>
      <c r="G1115" s="7" t="s">
        <v>7150</v>
      </c>
      <c r="H1115" s="7" t="s">
        <v>7156</v>
      </c>
      <c r="I1115" s="7"/>
      <c r="J1115" s="10">
        <v>44463</v>
      </c>
      <c r="K1115" s="7" t="s">
        <v>7163</v>
      </c>
      <c r="L1115" s="7"/>
      <c r="M1115" s="7"/>
    </row>
    <row r="1116" spans="1:13" x14ac:dyDescent="0.3">
      <c r="A1116" s="7">
        <v>14961</v>
      </c>
      <c r="B1116" s="7" t="s">
        <v>1124</v>
      </c>
      <c r="C1116" s="7" t="s">
        <v>6533</v>
      </c>
      <c r="D1116" s="7" t="s">
        <v>6541</v>
      </c>
      <c r="E1116" s="7" t="s">
        <v>6295</v>
      </c>
      <c r="F1116" s="7" t="s">
        <v>6341</v>
      </c>
      <c r="G1116" s="7" t="s">
        <v>7150</v>
      </c>
      <c r="H1116" s="7" t="s">
        <v>7156</v>
      </c>
      <c r="I1116" s="7"/>
      <c r="J1116" s="10">
        <v>44901</v>
      </c>
      <c r="K1116" s="7" t="s">
        <v>7163</v>
      </c>
      <c r="L1116" s="7"/>
      <c r="M1116" s="7"/>
    </row>
    <row r="1117" spans="1:13" x14ac:dyDescent="0.3">
      <c r="A1117" s="7">
        <v>15138</v>
      </c>
      <c r="B1117" s="7" t="s">
        <v>1125</v>
      </c>
      <c r="C1117" s="7" t="s">
        <v>6533</v>
      </c>
      <c r="D1117" s="7" t="s">
        <v>6541</v>
      </c>
      <c r="E1117" s="7" t="s">
        <v>6295</v>
      </c>
      <c r="F1117" s="7" t="s">
        <v>6341</v>
      </c>
      <c r="G1117" s="7" t="s">
        <v>7150</v>
      </c>
      <c r="H1117" s="7" t="s">
        <v>7156</v>
      </c>
      <c r="I1117" s="7"/>
      <c r="J1117" s="10">
        <v>45000</v>
      </c>
      <c r="K1117" s="7" t="s">
        <v>7163</v>
      </c>
      <c r="L1117" s="7"/>
      <c r="M1117" s="7"/>
    </row>
    <row r="1118" spans="1:13" x14ac:dyDescent="0.3">
      <c r="A1118" s="7">
        <v>11738</v>
      </c>
      <c r="B1118" s="7" t="s">
        <v>1126</v>
      </c>
      <c r="C1118" s="7" t="s">
        <v>6533</v>
      </c>
      <c r="D1118" s="7" t="s">
        <v>6541</v>
      </c>
      <c r="E1118" s="7" t="s">
        <v>6295</v>
      </c>
      <c r="F1118" s="7" t="s">
        <v>6340</v>
      </c>
      <c r="G1118" s="7" t="s">
        <v>7150</v>
      </c>
      <c r="H1118" s="7" t="s">
        <v>7156</v>
      </c>
      <c r="I1118" s="7"/>
      <c r="J1118" s="10">
        <v>43074</v>
      </c>
      <c r="K1118" s="7" t="s">
        <v>7163</v>
      </c>
      <c r="L1118" s="7"/>
      <c r="M1118" s="7"/>
    </row>
    <row r="1119" spans="1:13" x14ac:dyDescent="0.3">
      <c r="A1119" s="7">
        <v>15305</v>
      </c>
      <c r="B1119" s="7" t="s">
        <v>1127</v>
      </c>
      <c r="C1119" s="7" t="s">
        <v>6533</v>
      </c>
      <c r="D1119" s="7" t="s">
        <v>6541</v>
      </c>
      <c r="E1119" s="7" t="s">
        <v>6295</v>
      </c>
      <c r="F1119" s="7" t="s">
        <v>6341</v>
      </c>
      <c r="G1119" s="7" t="s">
        <v>7150</v>
      </c>
      <c r="H1119" s="7" t="s">
        <v>7156</v>
      </c>
      <c r="I1119" s="7"/>
      <c r="J1119" s="10">
        <v>45021</v>
      </c>
      <c r="K1119" s="7" t="s">
        <v>7163</v>
      </c>
      <c r="L1119" s="7"/>
      <c r="M1119" s="7"/>
    </row>
    <row r="1120" spans="1:13" x14ac:dyDescent="0.3">
      <c r="A1120" s="7">
        <v>16750</v>
      </c>
      <c r="B1120" s="7" t="s">
        <v>1128</v>
      </c>
      <c r="C1120" s="7" t="s">
        <v>6533</v>
      </c>
      <c r="D1120" s="7" t="s">
        <v>6541</v>
      </c>
      <c r="E1120" s="7" t="s">
        <v>6295</v>
      </c>
      <c r="F1120" s="7" t="s">
        <v>6341</v>
      </c>
      <c r="G1120" s="7" t="s">
        <v>7150</v>
      </c>
      <c r="H1120" s="7" t="s">
        <v>7156</v>
      </c>
      <c r="I1120" s="7"/>
      <c r="J1120" s="10">
        <v>45539</v>
      </c>
      <c r="K1120" s="7" t="s">
        <v>7163</v>
      </c>
      <c r="L1120" s="7"/>
      <c r="M1120" s="7"/>
    </row>
    <row r="1121" spans="1:13" x14ac:dyDescent="0.3">
      <c r="A1121" s="7">
        <v>14970</v>
      </c>
      <c r="B1121" s="7" t="s">
        <v>1129</v>
      </c>
      <c r="C1121" s="7" t="s">
        <v>6533</v>
      </c>
      <c r="D1121" s="7" t="s">
        <v>6541</v>
      </c>
      <c r="E1121" s="7" t="s">
        <v>6295</v>
      </c>
      <c r="F1121" s="7" t="s">
        <v>6341</v>
      </c>
      <c r="G1121" s="7" t="s">
        <v>7150</v>
      </c>
      <c r="H1121" s="7" t="s">
        <v>7156</v>
      </c>
      <c r="I1121" s="7"/>
      <c r="J1121" s="10">
        <v>44902</v>
      </c>
      <c r="K1121" s="7" t="s">
        <v>7163</v>
      </c>
      <c r="L1121" s="7"/>
      <c r="M1121" s="7"/>
    </row>
    <row r="1122" spans="1:13" x14ac:dyDescent="0.3">
      <c r="A1122" s="7">
        <v>15317</v>
      </c>
      <c r="B1122" s="7" t="s">
        <v>1130</v>
      </c>
      <c r="C1122" s="7" t="s">
        <v>6533</v>
      </c>
      <c r="D1122" s="7" t="s">
        <v>6541</v>
      </c>
      <c r="E1122" s="7" t="s">
        <v>6295</v>
      </c>
      <c r="F1122" s="7" t="s">
        <v>6340</v>
      </c>
      <c r="G1122" s="7" t="s">
        <v>7150</v>
      </c>
      <c r="H1122" s="7" t="s">
        <v>7156</v>
      </c>
      <c r="I1122" s="7"/>
      <c r="J1122" s="10">
        <v>45026</v>
      </c>
      <c r="K1122" s="7" t="s">
        <v>7163</v>
      </c>
      <c r="L1122" s="7"/>
      <c r="M1122" s="7"/>
    </row>
    <row r="1123" spans="1:13" x14ac:dyDescent="0.3">
      <c r="A1123" s="7">
        <v>14404</v>
      </c>
      <c r="B1123" s="7" t="s">
        <v>1131</v>
      </c>
      <c r="C1123" s="7" t="s">
        <v>6533</v>
      </c>
      <c r="D1123" s="7" t="s">
        <v>6541</v>
      </c>
      <c r="E1123" s="7" t="s">
        <v>6295</v>
      </c>
      <c r="F1123" s="7" t="s">
        <v>6340</v>
      </c>
      <c r="G1123" s="7" t="s">
        <v>7150</v>
      </c>
      <c r="H1123" s="7" t="s">
        <v>7156</v>
      </c>
      <c r="I1123" s="7"/>
      <c r="J1123" s="10">
        <v>44749</v>
      </c>
      <c r="K1123" s="7" t="s">
        <v>7163</v>
      </c>
      <c r="L1123" s="7"/>
      <c r="M1123" s="7"/>
    </row>
    <row r="1124" spans="1:13" x14ac:dyDescent="0.3">
      <c r="A1124" s="7">
        <v>12297</v>
      </c>
      <c r="B1124" s="7" t="s">
        <v>1132</v>
      </c>
      <c r="C1124" s="7" t="s">
        <v>6533</v>
      </c>
      <c r="D1124" s="7" t="s">
        <v>6541</v>
      </c>
      <c r="E1124" s="7" t="s">
        <v>6295</v>
      </c>
      <c r="F1124" s="7" t="s">
        <v>6341</v>
      </c>
      <c r="G1124" s="7" t="s">
        <v>7151</v>
      </c>
      <c r="H1124" s="7" t="s">
        <v>7156</v>
      </c>
      <c r="I1124" s="7"/>
      <c r="J1124" s="10">
        <v>43671</v>
      </c>
      <c r="K1124" s="7" t="s">
        <v>7163</v>
      </c>
      <c r="L1124" s="7"/>
      <c r="M1124" s="7"/>
    </row>
    <row r="1125" spans="1:13" x14ac:dyDescent="0.3">
      <c r="A1125" s="7">
        <v>12367</v>
      </c>
      <c r="B1125" s="7" t="s">
        <v>1133</v>
      </c>
      <c r="C1125" s="7" t="s">
        <v>6533</v>
      </c>
      <c r="D1125" s="7" t="s">
        <v>6541</v>
      </c>
      <c r="E1125" s="7" t="s">
        <v>6295</v>
      </c>
      <c r="F1125" s="7" t="s">
        <v>6341</v>
      </c>
      <c r="G1125" s="7" t="s">
        <v>7150</v>
      </c>
      <c r="H1125" s="7" t="s">
        <v>7156</v>
      </c>
      <c r="I1125" s="7"/>
      <c r="J1125" s="10">
        <v>43712</v>
      </c>
      <c r="K1125" s="7" t="s">
        <v>7163</v>
      </c>
      <c r="L1125" s="7"/>
      <c r="M1125" s="7"/>
    </row>
    <row r="1126" spans="1:13" x14ac:dyDescent="0.3">
      <c r="A1126" s="7">
        <v>14231</v>
      </c>
      <c r="B1126" s="7" t="s">
        <v>1134</v>
      </c>
      <c r="C1126" s="7" t="s">
        <v>6533</v>
      </c>
      <c r="D1126" s="7" t="s">
        <v>6541</v>
      </c>
      <c r="E1126" s="7" t="s">
        <v>6295</v>
      </c>
      <c r="F1126" s="7" t="s">
        <v>6340</v>
      </c>
      <c r="G1126" s="7" t="s">
        <v>7150</v>
      </c>
      <c r="H1126" s="7" t="s">
        <v>7156</v>
      </c>
      <c r="I1126" s="7"/>
      <c r="J1126" s="10">
        <v>44700</v>
      </c>
      <c r="K1126" s="7" t="s">
        <v>7163</v>
      </c>
      <c r="L1126" s="7"/>
      <c r="M1126" s="7"/>
    </row>
    <row r="1127" spans="1:13" x14ac:dyDescent="0.3">
      <c r="A1127" s="7">
        <v>14123</v>
      </c>
      <c r="B1127" s="7" t="s">
        <v>1135</v>
      </c>
      <c r="C1127" s="7" t="s">
        <v>6533</v>
      </c>
      <c r="D1127" s="7" t="s">
        <v>6541</v>
      </c>
      <c r="E1127" s="7" t="s">
        <v>6295</v>
      </c>
      <c r="F1127" s="7" t="s">
        <v>6340</v>
      </c>
      <c r="G1127" s="7" t="s">
        <v>7150</v>
      </c>
      <c r="H1127" s="7" t="s">
        <v>7156</v>
      </c>
      <c r="I1127" s="7"/>
      <c r="J1127" s="10">
        <v>44666</v>
      </c>
      <c r="K1127" s="7" t="s">
        <v>7163</v>
      </c>
      <c r="L1127" s="7"/>
      <c r="M1127" s="7"/>
    </row>
    <row r="1128" spans="1:13" x14ac:dyDescent="0.3">
      <c r="A1128" s="7">
        <v>12982</v>
      </c>
      <c r="B1128" s="7" t="s">
        <v>1136</v>
      </c>
      <c r="C1128" s="7" t="s">
        <v>6533</v>
      </c>
      <c r="D1128" s="7" t="s">
        <v>6541</v>
      </c>
      <c r="E1128" s="7" t="s">
        <v>6295</v>
      </c>
      <c r="F1128" s="7" t="s">
        <v>6341</v>
      </c>
      <c r="G1128" s="7" t="s">
        <v>7150</v>
      </c>
      <c r="H1128" s="7" t="s">
        <v>7156</v>
      </c>
      <c r="I1128" s="7"/>
      <c r="J1128" s="10">
        <v>44160</v>
      </c>
      <c r="K1128" s="7" t="s">
        <v>7163</v>
      </c>
      <c r="L1128" s="7"/>
      <c r="M1128" s="7"/>
    </row>
    <row r="1129" spans="1:13" x14ac:dyDescent="0.3">
      <c r="A1129" s="7">
        <v>12636</v>
      </c>
      <c r="B1129" s="7" t="s">
        <v>1137</v>
      </c>
      <c r="C1129" s="7" t="s">
        <v>6533</v>
      </c>
      <c r="D1129" s="7" t="s">
        <v>6541</v>
      </c>
      <c r="E1129" s="7" t="s">
        <v>6295</v>
      </c>
      <c r="F1129" s="7" t="s">
        <v>6340</v>
      </c>
      <c r="G1129" s="7" t="s">
        <v>7150</v>
      </c>
      <c r="H1129" s="7" t="s">
        <v>7156</v>
      </c>
      <c r="I1129" s="7"/>
      <c r="J1129" s="10">
        <v>43847</v>
      </c>
      <c r="K1129" s="7" t="s">
        <v>7163</v>
      </c>
      <c r="L1129" s="7"/>
      <c r="M1129" s="7"/>
    </row>
    <row r="1130" spans="1:13" x14ac:dyDescent="0.3">
      <c r="A1130" s="7">
        <v>12693</v>
      </c>
      <c r="B1130" s="7" t="s">
        <v>1138</v>
      </c>
      <c r="C1130" s="7" t="s">
        <v>6533</v>
      </c>
      <c r="D1130" s="7" t="s">
        <v>6541</v>
      </c>
      <c r="E1130" s="7" t="s">
        <v>6295</v>
      </c>
      <c r="F1130" s="7" t="s">
        <v>6340</v>
      </c>
      <c r="G1130" s="7" t="s">
        <v>7150</v>
      </c>
      <c r="H1130" s="7" t="s">
        <v>7156</v>
      </c>
      <c r="I1130" s="7"/>
      <c r="J1130" s="10">
        <v>43867</v>
      </c>
      <c r="K1130" s="7" t="s">
        <v>7163</v>
      </c>
      <c r="L1130" s="7"/>
      <c r="M1130" s="7"/>
    </row>
    <row r="1131" spans="1:13" x14ac:dyDescent="0.3">
      <c r="A1131" s="7">
        <v>14640</v>
      </c>
      <c r="B1131" s="7" t="s">
        <v>1139</v>
      </c>
      <c r="C1131" s="7" t="s">
        <v>6533</v>
      </c>
      <c r="D1131" s="7" t="s">
        <v>6541</v>
      </c>
      <c r="E1131" s="7" t="s">
        <v>6295</v>
      </c>
      <c r="F1131" s="7" t="s">
        <v>6340</v>
      </c>
      <c r="G1131" s="7" t="s">
        <v>7150</v>
      </c>
      <c r="H1131" s="7" t="s">
        <v>7156</v>
      </c>
      <c r="I1131" s="7"/>
      <c r="J1131" s="10">
        <v>44812</v>
      </c>
      <c r="K1131" s="7" t="s">
        <v>7163</v>
      </c>
      <c r="L1131" s="7"/>
      <c r="M1131" s="7"/>
    </row>
    <row r="1132" spans="1:13" x14ac:dyDescent="0.3">
      <c r="A1132" s="7">
        <v>11616</v>
      </c>
      <c r="B1132" s="7" t="s">
        <v>1140</v>
      </c>
      <c r="C1132" s="7" t="s">
        <v>6533</v>
      </c>
      <c r="D1132" s="7" t="s">
        <v>6541</v>
      </c>
      <c r="E1132" s="7" t="s">
        <v>6295</v>
      </c>
      <c r="F1132" s="7" t="s">
        <v>6341</v>
      </c>
      <c r="G1132" s="7" t="s">
        <v>7151</v>
      </c>
      <c r="H1132" s="7" t="s">
        <v>7156</v>
      </c>
      <c r="I1132" s="7"/>
      <c r="J1132" s="10">
        <v>42933</v>
      </c>
      <c r="K1132" s="7" t="s">
        <v>7163</v>
      </c>
      <c r="L1132" s="7"/>
      <c r="M1132" s="7"/>
    </row>
    <row r="1133" spans="1:13" x14ac:dyDescent="0.3">
      <c r="A1133" s="7">
        <v>15849</v>
      </c>
      <c r="B1133" s="7" t="s">
        <v>1141</v>
      </c>
      <c r="C1133" s="7" t="s">
        <v>6533</v>
      </c>
      <c r="D1133" s="7" t="s">
        <v>6541</v>
      </c>
      <c r="E1133" s="7" t="s">
        <v>6295</v>
      </c>
      <c r="F1133" s="7" t="s">
        <v>6389</v>
      </c>
      <c r="G1133" s="7" t="s">
        <v>7150</v>
      </c>
      <c r="H1133" s="7" t="s">
        <v>7157</v>
      </c>
      <c r="I1133" s="7"/>
      <c r="J1133" s="10">
        <v>45212</v>
      </c>
      <c r="K1133" s="7" t="s">
        <v>7163</v>
      </c>
      <c r="L1133" s="7"/>
      <c r="M1133" s="7"/>
    </row>
    <row r="1134" spans="1:13" x14ac:dyDescent="0.3">
      <c r="A1134" s="7">
        <v>120050</v>
      </c>
      <c r="B1134" s="7" t="s">
        <v>1142</v>
      </c>
      <c r="C1134" s="7" t="s">
        <v>6533</v>
      </c>
      <c r="D1134" s="7" t="s">
        <v>6541</v>
      </c>
      <c r="E1134" s="7" t="s">
        <v>6295</v>
      </c>
      <c r="F1134" s="7" t="s">
        <v>6340</v>
      </c>
      <c r="G1134" s="7" t="s">
        <v>7150</v>
      </c>
      <c r="H1134" s="7" t="s">
        <v>7156</v>
      </c>
      <c r="I1134" s="7"/>
      <c r="J1134" s="10">
        <v>43732</v>
      </c>
      <c r="K1134" s="7" t="s">
        <v>7163</v>
      </c>
      <c r="L1134" s="7"/>
      <c r="M1134" s="7"/>
    </row>
    <row r="1135" spans="1:13" x14ac:dyDescent="0.3">
      <c r="A1135" s="7">
        <v>760042</v>
      </c>
      <c r="B1135" s="7" t="s">
        <v>1143</v>
      </c>
      <c r="C1135" s="7" t="s">
        <v>6533</v>
      </c>
      <c r="D1135" s="7" t="s">
        <v>6541</v>
      </c>
      <c r="E1135" s="7" t="s">
        <v>6295</v>
      </c>
      <c r="F1135" s="7" t="s">
        <v>6341</v>
      </c>
      <c r="G1135" s="7" t="s">
        <v>7150</v>
      </c>
      <c r="H1135" s="7" t="s">
        <v>7156</v>
      </c>
      <c r="I1135" s="7"/>
      <c r="J1135" s="10">
        <v>43515</v>
      </c>
      <c r="K1135" s="7" t="s">
        <v>7163</v>
      </c>
      <c r="L1135" s="7"/>
      <c r="M1135" s="7"/>
    </row>
    <row r="1136" spans="1:13" x14ac:dyDescent="0.3">
      <c r="A1136" s="7">
        <v>16125</v>
      </c>
      <c r="B1136" s="7" t="s">
        <v>1144</v>
      </c>
      <c r="C1136" s="7" t="s">
        <v>6533</v>
      </c>
      <c r="D1136" s="7" t="s">
        <v>6534</v>
      </c>
      <c r="E1136" s="7" t="s">
        <v>6295</v>
      </c>
      <c r="F1136" s="7" t="s">
        <v>6335</v>
      </c>
      <c r="G1136" s="7" t="s">
        <v>7150</v>
      </c>
      <c r="H1136" s="7" t="s">
        <v>7156</v>
      </c>
      <c r="I1136" s="7"/>
      <c r="J1136" s="10">
        <v>45288</v>
      </c>
      <c r="K1136" s="7" t="s">
        <v>7163</v>
      </c>
      <c r="L1136" s="7"/>
      <c r="M1136" s="7"/>
    </row>
    <row r="1137" spans="1:13" x14ac:dyDescent="0.3">
      <c r="A1137" s="7">
        <v>12713</v>
      </c>
      <c r="B1137" s="7" t="s">
        <v>1145</v>
      </c>
      <c r="C1137" s="7" t="s">
        <v>6533</v>
      </c>
      <c r="D1137" s="7" t="s">
        <v>6534</v>
      </c>
      <c r="E1137" s="7" t="s">
        <v>6295</v>
      </c>
      <c r="F1137" s="7" t="s">
        <v>6542</v>
      </c>
      <c r="G1137" s="7" t="s">
        <v>7150</v>
      </c>
      <c r="H1137" s="7" t="s">
        <v>7156</v>
      </c>
      <c r="I1137" s="7"/>
      <c r="J1137" s="10">
        <v>43875</v>
      </c>
      <c r="K1137" s="7" t="s">
        <v>7163</v>
      </c>
      <c r="L1137" s="7"/>
      <c r="M1137" s="7"/>
    </row>
    <row r="1138" spans="1:13" x14ac:dyDescent="0.3">
      <c r="A1138" s="7">
        <v>470044</v>
      </c>
      <c r="B1138" s="7" t="s">
        <v>1146</v>
      </c>
      <c r="C1138" s="7" t="s">
        <v>6533</v>
      </c>
      <c r="D1138" s="7" t="s">
        <v>6534</v>
      </c>
      <c r="E1138" s="7" t="s">
        <v>6295</v>
      </c>
      <c r="F1138" s="7" t="s">
        <v>6542</v>
      </c>
      <c r="G1138" s="7" t="s">
        <v>7150</v>
      </c>
      <c r="H1138" s="7" t="s">
        <v>7156</v>
      </c>
      <c r="I1138" s="7"/>
      <c r="J1138" s="10">
        <v>44421</v>
      </c>
      <c r="K1138" s="7" t="s">
        <v>7163</v>
      </c>
      <c r="L1138" s="7"/>
      <c r="M1138" s="7"/>
    </row>
    <row r="1139" spans="1:13" x14ac:dyDescent="0.3">
      <c r="A1139" s="7">
        <v>10670</v>
      </c>
      <c r="B1139" s="7" t="s">
        <v>1147</v>
      </c>
      <c r="C1139" s="7" t="s">
        <v>6533</v>
      </c>
      <c r="D1139" s="7" t="s">
        <v>6534</v>
      </c>
      <c r="E1139" s="7" t="s">
        <v>6295</v>
      </c>
      <c r="F1139" s="7" t="s">
        <v>6353</v>
      </c>
      <c r="G1139" s="7" t="s">
        <v>7150</v>
      </c>
      <c r="H1139" s="7" t="s">
        <v>7156</v>
      </c>
      <c r="I1139" s="7"/>
      <c r="J1139" s="10">
        <v>41646</v>
      </c>
      <c r="K1139" s="7" t="s">
        <v>7163</v>
      </c>
      <c r="L1139" s="7"/>
      <c r="M1139" s="7"/>
    </row>
    <row r="1140" spans="1:13" x14ac:dyDescent="0.3">
      <c r="A1140" s="7">
        <v>12643</v>
      </c>
      <c r="B1140" s="7" t="s">
        <v>1148</v>
      </c>
      <c r="C1140" s="7" t="s">
        <v>6533</v>
      </c>
      <c r="D1140" s="7" t="s">
        <v>6534</v>
      </c>
      <c r="E1140" s="7" t="s">
        <v>6295</v>
      </c>
      <c r="F1140" s="7" t="s">
        <v>6542</v>
      </c>
      <c r="G1140" s="7" t="s">
        <v>7150</v>
      </c>
      <c r="H1140" s="7" t="s">
        <v>7156</v>
      </c>
      <c r="I1140" s="7"/>
      <c r="J1140" s="10">
        <v>43851</v>
      </c>
      <c r="K1140" s="7" t="s">
        <v>7163</v>
      </c>
      <c r="L1140" s="7"/>
      <c r="M1140" s="7"/>
    </row>
    <row r="1141" spans="1:13" x14ac:dyDescent="0.3">
      <c r="A1141" s="7">
        <v>12788</v>
      </c>
      <c r="B1141" s="7" t="s">
        <v>1149</v>
      </c>
      <c r="C1141" s="7" t="s">
        <v>6533</v>
      </c>
      <c r="D1141" s="7" t="s">
        <v>6534</v>
      </c>
      <c r="E1141" s="7" t="s">
        <v>6295</v>
      </c>
      <c r="F1141" s="7" t="s">
        <v>6340</v>
      </c>
      <c r="G1141" s="7" t="s">
        <v>7150</v>
      </c>
      <c r="H1141" s="7" t="s">
        <v>7156</v>
      </c>
      <c r="I1141" s="7"/>
      <c r="J1141" s="10">
        <v>43931</v>
      </c>
      <c r="K1141" s="7" t="s">
        <v>7163</v>
      </c>
      <c r="L1141" s="7"/>
      <c r="M1141" s="7"/>
    </row>
    <row r="1142" spans="1:13" x14ac:dyDescent="0.3">
      <c r="A1142" s="7">
        <v>14719</v>
      </c>
      <c r="B1142" s="7" t="s">
        <v>1150</v>
      </c>
      <c r="C1142" s="7" t="s">
        <v>6533</v>
      </c>
      <c r="D1142" s="7" t="s">
        <v>6534</v>
      </c>
      <c r="E1142" s="7" t="s">
        <v>6295</v>
      </c>
      <c r="F1142" s="7" t="s">
        <v>6340</v>
      </c>
      <c r="G1142" s="7" t="s">
        <v>7150</v>
      </c>
      <c r="H1142" s="7" t="s">
        <v>7156</v>
      </c>
      <c r="I1142" s="7"/>
      <c r="J1142" s="10">
        <v>44840</v>
      </c>
      <c r="K1142" s="7" t="s">
        <v>7163</v>
      </c>
      <c r="L1142" s="7"/>
      <c r="M1142" s="7"/>
    </row>
    <row r="1143" spans="1:13" x14ac:dyDescent="0.3">
      <c r="A1143" s="7">
        <v>13798</v>
      </c>
      <c r="B1143" s="7" t="s">
        <v>1151</v>
      </c>
      <c r="C1143" s="7" t="s">
        <v>6533</v>
      </c>
      <c r="D1143" s="7" t="s">
        <v>6534</v>
      </c>
      <c r="E1143" s="7" t="s">
        <v>6295</v>
      </c>
      <c r="F1143" s="7" t="s">
        <v>6341</v>
      </c>
      <c r="G1143" s="7" t="s">
        <v>7150</v>
      </c>
      <c r="H1143" s="7" t="s">
        <v>7156</v>
      </c>
      <c r="I1143" s="7"/>
      <c r="J1143" s="10">
        <v>44582</v>
      </c>
      <c r="K1143" s="7" t="s">
        <v>7163</v>
      </c>
      <c r="L1143" s="7"/>
      <c r="M1143" s="7"/>
    </row>
    <row r="1144" spans="1:13" x14ac:dyDescent="0.3">
      <c r="A1144" s="7">
        <v>13482</v>
      </c>
      <c r="B1144" s="7" t="s">
        <v>1152</v>
      </c>
      <c r="C1144" s="7" t="s">
        <v>6533</v>
      </c>
      <c r="D1144" s="7" t="s">
        <v>6534</v>
      </c>
      <c r="E1144" s="7" t="s">
        <v>6295</v>
      </c>
      <c r="F1144" s="7" t="s">
        <v>6341</v>
      </c>
      <c r="G1144" s="7" t="s">
        <v>7150</v>
      </c>
      <c r="H1144" s="7" t="s">
        <v>7156</v>
      </c>
      <c r="I1144" s="7"/>
      <c r="J1144" s="10">
        <v>44474</v>
      </c>
      <c r="K1144" s="7" t="s">
        <v>7163</v>
      </c>
      <c r="L1144" s="7"/>
      <c r="M1144" s="7"/>
    </row>
    <row r="1145" spans="1:13" x14ac:dyDescent="0.3">
      <c r="A1145" s="7">
        <v>15937</v>
      </c>
      <c r="B1145" s="7" t="s">
        <v>1153</v>
      </c>
      <c r="C1145" s="7" t="s">
        <v>6533</v>
      </c>
      <c r="D1145" s="7" t="s">
        <v>6534</v>
      </c>
      <c r="E1145" s="7" t="s">
        <v>6295</v>
      </c>
      <c r="F1145" s="7" t="s">
        <v>6341</v>
      </c>
      <c r="G1145" s="7" t="s">
        <v>7150</v>
      </c>
      <c r="H1145" s="7" t="s">
        <v>7156</v>
      </c>
      <c r="I1145" s="7"/>
      <c r="J1145" s="10">
        <v>45245</v>
      </c>
      <c r="K1145" s="7" t="s">
        <v>7163</v>
      </c>
      <c r="L1145" s="7"/>
      <c r="M1145" s="7"/>
    </row>
    <row r="1146" spans="1:13" x14ac:dyDescent="0.3">
      <c r="A1146" s="7">
        <v>15934</v>
      </c>
      <c r="B1146" s="7" t="s">
        <v>1154</v>
      </c>
      <c r="C1146" s="7" t="s">
        <v>6533</v>
      </c>
      <c r="D1146" s="7" t="s">
        <v>6534</v>
      </c>
      <c r="E1146" s="7" t="s">
        <v>6295</v>
      </c>
      <c r="F1146" s="7" t="s">
        <v>6341</v>
      </c>
      <c r="G1146" s="7" t="s">
        <v>7150</v>
      </c>
      <c r="H1146" s="7" t="s">
        <v>7156</v>
      </c>
      <c r="I1146" s="7"/>
      <c r="J1146" s="10">
        <v>45244</v>
      </c>
      <c r="K1146" s="7" t="s">
        <v>7163</v>
      </c>
      <c r="L1146" s="7"/>
      <c r="M1146" s="7"/>
    </row>
    <row r="1147" spans="1:13" x14ac:dyDescent="0.3">
      <c r="A1147" s="7">
        <v>14844</v>
      </c>
      <c r="B1147" s="7" t="s">
        <v>1155</v>
      </c>
      <c r="C1147" s="7" t="s">
        <v>6533</v>
      </c>
      <c r="D1147" s="7" t="s">
        <v>6534</v>
      </c>
      <c r="E1147" s="7" t="s">
        <v>6295</v>
      </c>
      <c r="F1147" s="7" t="s">
        <v>6340</v>
      </c>
      <c r="G1147" s="7" t="s">
        <v>7150</v>
      </c>
      <c r="H1147" s="7" t="s">
        <v>7156</v>
      </c>
      <c r="I1147" s="7"/>
      <c r="J1147" s="10">
        <v>44875</v>
      </c>
      <c r="K1147" s="7" t="s">
        <v>7163</v>
      </c>
      <c r="L1147" s="7"/>
      <c r="M1147" s="7"/>
    </row>
    <row r="1148" spans="1:13" x14ac:dyDescent="0.3">
      <c r="A1148" s="7">
        <v>13735</v>
      </c>
      <c r="B1148" s="7" t="s">
        <v>1156</v>
      </c>
      <c r="C1148" s="7" t="s">
        <v>6533</v>
      </c>
      <c r="D1148" s="7" t="s">
        <v>6534</v>
      </c>
      <c r="E1148" s="7" t="s">
        <v>6295</v>
      </c>
      <c r="F1148" s="7" t="s">
        <v>6340</v>
      </c>
      <c r="G1148" s="7" t="s">
        <v>7150</v>
      </c>
      <c r="H1148" s="7" t="s">
        <v>7156</v>
      </c>
      <c r="I1148" s="7"/>
      <c r="J1148" s="10">
        <v>44551</v>
      </c>
      <c r="K1148" s="7" t="s">
        <v>7163</v>
      </c>
      <c r="L1148" s="7"/>
      <c r="M1148" s="7"/>
    </row>
    <row r="1149" spans="1:13" x14ac:dyDescent="0.3">
      <c r="A1149" s="7">
        <v>13728</v>
      </c>
      <c r="B1149" s="7" t="s">
        <v>1157</v>
      </c>
      <c r="C1149" s="7" t="s">
        <v>6533</v>
      </c>
      <c r="D1149" s="7" t="s">
        <v>6534</v>
      </c>
      <c r="E1149" s="7" t="s">
        <v>6295</v>
      </c>
      <c r="F1149" s="7" t="s">
        <v>6341</v>
      </c>
      <c r="G1149" s="7" t="s">
        <v>7150</v>
      </c>
      <c r="H1149" s="7" t="s">
        <v>7156</v>
      </c>
      <c r="I1149" s="7"/>
      <c r="J1149" s="10">
        <v>44551</v>
      </c>
      <c r="K1149" s="7" t="s">
        <v>7163</v>
      </c>
      <c r="L1149" s="7"/>
      <c r="M1149" s="7"/>
    </row>
    <row r="1150" spans="1:13" x14ac:dyDescent="0.3">
      <c r="A1150" s="7">
        <v>14405</v>
      </c>
      <c r="B1150" s="7" t="s">
        <v>1158</v>
      </c>
      <c r="C1150" s="7" t="s">
        <v>6533</v>
      </c>
      <c r="D1150" s="7" t="s">
        <v>6534</v>
      </c>
      <c r="E1150" s="7" t="s">
        <v>6295</v>
      </c>
      <c r="F1150" s="7" t="s">
        <v>6341</v>
      </c>
      <c r="G1150" s="7" t="s">
        <v>7150</v>
      </c>
      <c r="H1150" s="7" t="s">
        <v>7156</v>
      </c>
      <c r="I1150" s="7"/>
      <c r="J1150" s="10">
        <v>44749</v>
      </c>
      <c r="K1150" s="7" t="s">
        <v>7163</v>
      </c>
      <c r="L1150" s="7"/>
      <c r="M1150" s="7"/>
    </row>
    <row r="1151" spans="1:13" x14ac:dyDescent="0.3">
      <c r="A1151" s="7">
        <v>15208</v>
      </c>
      <c r="B1151" s="7" t="s">
        <v>1159</v>
      </c>
      <c r="C1151" s="7" t="s">
        <v>6533</v>
      </c>
      <c r="D1151" s="7" t="s">
        <v>6534</v>
      </c>
      <c r="E1151" s="7" t="s">
        <v>6295</v>
      </c>
      <c r="F1151" s="7" t="s">
        <v>6341</v>
      </c>
      <c r="G1151" s="7" t="s">
        <v>7150</v>
      </c>
      <c r="H1151" s="7" t="s">
        <v>7156</v>
      </c>
      <c r="I1151" s="7"/>
      <c r="J1151" s="10">
        <v>44987</v>
      </c>
      <c r="K1151" s="7" t="s">
        <v>7163</v>
      </c>
      <c r="L1151" s="7"/>
      <c r="M1151" s="7"/>
    </row>
    <row r="1152" spans="1:13" x14ac:dyDescent="0.3">
      <c r="A1152" s="7">
        <v>410056</v>
      </c>
      <c r="B1152" s="7" t="s">
        <v>1160</v>
      </c>
      <c r="C1152" s="7" t="s">
        <v>6533</v>
      </c>
      <c r="D1152" s="7" t="s">
        <v>6534</v>
      </c>
      <c r="E1152" s="7" t="s">
        <v>6295</v>
      </c>
      <c r="F1152" s="7" t="s">
        <v>6341</v>
      </c>
      <c r="G1152" s="7" t="s">
        <v>7150</v>
      </c>
      <c r="H1152" s="7" t="s">
        <v>7156</v>
      </c>
      <c r="I1152" s="7"/>
      <c r="J1152" s="10">
        <v>43361</v>
      </c>
      <c r="K1152" s="7" t="s">
        <v>7163</v>
      </c>
      <c r="L1152" s="7"/>
      <c r="M1152" s="7"/>
    </row>
    <row r="1153" spans="1:13" x14ac:dyDescent="0.3">
      <c r="A1153" s="7">
        <v>13727</v>
      </c>
      <c r="B1153" s="7" t="s">
        <v>1161</v>
      </c>
      <c r="C1153" s="7" t="s">
        <v>6533</v>
      </c>
      <c r="D1153" s="7" t="s">
        <v>6534</v>
      </c>
      <c r="E1153" s="7" t="s">
        <v>6295</v>
      </c>
      <c r="F1153" s="7" t="s">
        <v>6341</v>
      </c>
      <c r="G1153" s="7" t="s">
        <v>7150</v>
      </c>
      <c r="H1153" s="7" t="s">
        <v>7156</v>
      </c>
      <c r="I1153" s="7"/>
      <c r="J1153" s="10">
        <v>44551</v>
      </c>
      <c r="K1153" s="7" t="s">
        <v>7163</v>
      </c>
      <c r="L1153" s="7"/>
      <c r="M1153" s="7"/>
    </row>
    <row r="1154" spans="1:13" x14ac:dyDescent="0.3">
      <c r="A1154" s="7">
        <v>13552</v>
      </c>
      <c r="B1154" s="7" t="s">
        <v>1162</v>
      </c>
      <c r="C1154" s="7" t="s">
        <v>6533</v>
      </c>
      <c r="D1154" s="7" t="s">
        <v>6534</v>
      </c>
      <c r="E1154" s="7" t="s">
        <v>6295</v>
      </c>
      <c r="F1154" s="7" t="s">
        <v>6341</v>
      </c>
      <c r="G1154" s="7" t="s">
        <v>7150</v>
      </c>
      <c r="H1154" s="7" t="s">
        <v>7156</v>
      </c>
      <c r="I1154" s="7"/>
      <c r="J1154" s="10">
        <v>44494</v>
      </c>
      <c r="K1154" s="7" t="s">
        <v>7163</v>
      </c>
      <c r="L1154" s="7"/>
      <c r="M1154" s="7"/>
    </row>
    <row r="1155" spans="1:13" x14ac:dyDescent="0.3">
      <c r="A1155" s="7">
        <v>16576</v>
      </c>
      <c r="B1155" s="7" t="s">
        <v>1163</v>
      </c>
      <c r="C1155" s="7" t="s">
        <v>6533</v>
      </c>
      <c r="D1155" s="7" t="s">
        <v>6534</v>
      </c>
      <c r="E1155" s="7" t="s">
        <v>6295</v>
      </c>
      <c r="F1155" s="7" t="s">
        <v>6341</v>
      </c>
      <c r="G1155" s="7" t="s">
        <v>7150</v>
      </c>
      <c r="H1155" s="7" t="s">
        <v>7156</v>
      </c>
      <c r="I1155" s="7"/>
      <c r="J1155" s="10">
        <v>45475</v>
      </c>
      <c r="K1155" s="7" t="s">
        <v>7163</v>
      </c>
      <c r="L1155" s="7"/>
      <c r="M1155" s="7"/>
    </row>
    <row r="1156" spans="1:13" x14ac:dyDescent="0.3">
      <c r="A1156" s="7">
        <v>17053</v>
      </c>
      <c r="B1156" s="7" t="s">
        <v>1164</v>
      </c>
      <c r="C1156" s="7" t="s">
        <v>6533</v>
      </c>
      <c r="D1156" s="7" t="s">
        <v>6534</v>
      </c>
      <c r="E1156" s="7" t="s">
        <v>6295</v>
      </c>
      <c r="F1156" s="7" t="s">
        <v>6341</v>
      </c>
      <c r="G1156" s="7" t="s">
        <v>7150</v>
      </c>
      <c r="H1156" s="7" t="s">
        <v>7156</v>
      </c>
      <c r="I1156" s="7"/>
      <c r="J1156" s="10">
        <v>45603</v>
      </c>
      <c r="K1156" s="7" t="s">
        <v>7163</v>
      </c>
      <c r="L1156" s="7"/>
      <c r="M1156" s="7"/>
    </row>
    <row r="1157" spans="1:13" x14ac:dyDescent="0.3">
      <c r="A1157" s="7">
        <v>16169</v>
      </c>
      <c r="B1157" s="7" t="s">
        <v>1165</v>
      </c>
      <c r="C1157" s="7" t="s">
        <v>6533</v>
      </c>
      <c r="D1157" s="7" t="s">
        <v>6534</v>
      </c>
      <c r="E1157" s="7" t="s">
        <v>6295</v>
      </c>
      <c r="F1157" s="7" t="s">
        <v>6341</v>
      </c>
      <c r="G1157" s="7" t="s">
        <v>7150</v>
      </c>
      <c r="H1157" s="7" t="s">
        <v>7156</v>
      </c>
      <c r="I1157" s="7"/>
      <c r="J1157" s="10">
        <v>45309</v>
      </c>
      <c r="K1157" s="7" t="s">
        <v>7163</v>
      </c>
      <c r="L1157" s="7"/>
      <c r="M1157" s="7"/>
    </row>
    <row r="1158" spans="1:13" x14ac:dyDescent="0.3">
      <c r="A1158" s="7">
        <v>13551</v>
      </c>
      <c r="B1158" s="7" t="s">
        <v>1166</v>
      </c>
      <c r="C1158" s="7" t="s">
        <v>6533</v>
      </c>
      <c r="D1158" s="7" t="s">
        <v>6534</v>
      </c>
      <c r="E1158" s="7" t="s">
        <v>6295</v>
      </c>
      <c r="F1158" s="7" t="s">
        <v>6341</v>
      </c>
      <c r="G1158" s="7" t="s">
        <v>7150</v>
      </c>
      <c r="H1158" s="7" t="s">
        <v>7156</v>
      </c>
      <c r="I1158" s="7"/>
      <c r="J1158" s="10">
        <v>44494</v>
      </c>
      <c r="K1158" s="7" t="s">
        <v>7163</v>
      </c>
      <c r="L1158" s="7"/>
      <c r="M1158" s="7"/>
    </row>
    <row r="1159" spans="1:13" x14ac:dyDescent="0.3">
      <c r="A1159" s="7">
        <v>14784</v>
      </c>
      <c r="B1159" s="7" t="s">
        <v>1167</v>
      </c>
      <c r="C1159" s="7" t="s">
        <v>6533</v>
      </c>
      <c r="D1159" s="7" t="s">
        <v>6534</v>
      </c>
      <c r="E1159" s="7" t="s">
        <v>6295</v>
      </c>
      <c r="F1159" s="7" t="s">
        <v>6341</v>
      </c>
      <c r="G1159" s="7" t="s">
        <v>7150</v>
      </c>
      <c r="H1159" s="7" t="s">
        <v>7156</v>
      </c>
      <c r="I1159" s="7"/>
      <c r="J1159" s="10">
        <v>44858</v>
      </c>
      <c r="K1159" s="7" t="s">
        <v>7163</v>
      </c>
      <c r="L1159" s="7"/>
      <c r="M1159" s="7"/>
    </row>
    <row r="1160" spans="1:13" x14ac:dyDescent="0.3">
      <c r="A1160" s="7">
        <v>13586</v>
      </c>
      <c r="B1160" s="7" t="s">
        <v>1168</v>
      </c>
      <c r="C1160" s="7" t="s">
        <v>6533</v>
      </c>
      <c r="D1160" s="7" t="s">
        <v>6534</v>
      </c>
      <c r="E1160" s="7" t="s">
        <v>6295</v>
      </c>
      <c r="F1160" s="7" t="s">
        <v>6341</v>
      </c>
      <c r="G1160" s="7" t="s">
        <v>7150</v>
      </c>
      <c r="H1160" s="7" t="s">
        <v>7156</v>
      </c>
      <c r="I1160" s="7"/>
      <c r="J1160" s="10">
        <v>44503</v>
      </c>
      <c r="K1160" s="7" t="s">
        <v>7163</v>
      </c>
      <c r="L1160" s="7"/>
      <c r="M1160" s="7"/>
    </row>
    <row r="1161" spans="1:13" x14ac:dyDescent="0.3">
      <c r="A1161" s="7">
        <v>14440</v>
      </c>
      <c r="B1161" s="7" t="s">
        <v>1169</v>
      </c>
      <c r="C1161" s="7" t="s">
        <v>6533</v>
      </c>
      <c r="D1161" s="7" t="s">
        <v>6534</v>
      </c>
      <c r="E1161" s="7" t="s">
        <v>6295</v>
      </c>
      <c r="F1161" s="7" t="s">
        <v>6340</v>
      </c>
      <c r="G1161" s="7" t="s">
        <v>7150</v>
      </c>
      <c r="H1161" s="7" t="s">
        <v>7156</v>
      </c>
      <c r="I1161" s="7"/>
      <c r="J1161" s="10">
        <v>44760</v>
      </c>
      <c r="K1161" s="7" t="s">
        <v>7163</v>
      </c>
      <c r="L1161" s="7"/>
      <c r="M1161" s="7"/>
    </row>
    <row r="1162" spans="1:13" x14ac:dyDescent="0.3">
      <c r="A1162" s="7">
        <v>15297</v>
      </c>
      <c r="B1162" s="7" t="s">
        <v>1170</v>
      </c>
      <c r="C1162" s="7" t="s">
        <v>6533</v>
      </c>
      <c r="D1162" s="7" t="s">
        <v>6534</v>
      </c>
      <c r="E1162" s="7" t="s">
        <v>6295</v>
      </c>
      <c r="F1162" s="7" t="s">
        <v>6341</v>
      </c>
      <c r="G1162" s="7" t="s">
        <v>7150</v>
      </c>
      <c r="H1162" s="7" t="s">
        <v>7156</v>
      </c>
      <c r="I1162" s="7"/>
      <c r="J1162" s="10">
        <v>45019</v>
      </c>
      <c r="K1162" s="7" t="s">
        <v>7163</v>
      </c>
      <c r="L1162" s="7"/>
      <c r="M1162" s="7"/>
    </row>
    <row r="1163" spans="1:13" x14ac:dyDescent="0.3">
      <c r="A1163" s="7">
        <v>12767</v>
      </c>
      <c r="B1163" s="7" t="s">
        <v>1171</v>
      </c>
      <c r="C1163" s="7" t="s">
        <v>6533</v>
      </c>
      <c r="D1163" s="7" t="s">
        <v>6534</v>
      </c>
      <c r="E1163" s="7" t="s">
        <v>6295</v>
      </c>
      <c r="F1163" s="7" t="s">
        <v>6340</v>
      </c>
      <c r="G1163" s="7" t="s">
        <v>7150</v>
      </c>
      <c r="H1163" s="7" t="s">
        <v>7156</v>
      </c>
      <c r="I1163" s="7"/>
      <c r="J1163" s="10">
        <v>43902</v>
      </c>
      <c r="K1163" s="7" t="s">
        <v>7163</v>
      </c>
      <c r="L1163" s="7"/>
      <c r="M1163" s="7"/>
    </row>
    <row r="1164" spans="1:13" x14ac:dyDescent="0.3">
      <c r="A1164" s="7">
        <v>11261</v>
      </c>
      <c r="B1164" s="7" t="s">
        <v>1172</v>
      </c>
      <c r="C1164" s="7" t="s">
        <v>6533</v>
      </c>
      <c r="D1164" s="7" t="s">
        <v>6534</v>
      </c>
      <c r="E1164" s="7" t="s">
        <v>6295</v>
      </c>
      <c r="F1164" s="7" t="s">
        <v>6341</v>
      </c>
      <c r="G1164" s="7" t="s">
        <v>7150</v>
      </c>
      <c r="H1164" s="7" t="s">
        <v>7156</v>
      </c>
      <c r="I1164" s="7"/>
      <c r="J1164" s="10">
        <v>42471</v>
      </c>
      <c r="K1164" s="7" t="s">
        <v>7163</v>
      </c>
      <c r="L1164" s="7"/>
      <c r="M1164" s="7"/>
    </row>
    <row r="1165" spans="1:13" x14ac:dyDescent="0.3">
      <c r="A1165" s="7">
        <v>14927</v>
      </c>
      <c r="B1165" s="7" t="s">
        <v>1173</v>
      </c>
      <c r="C1165" s="7" t="s">
        <v>6533</v>
      </c>
      <c r="D1165" s="7" t="s">
        <v>6534</v>
      </c>
      <c r="E1165" s="7" t="s">
        <v>6295</v>
      </c>
      <c r="F1165" s="7" t="s">
        <v>6341</v>
      </c>
      <c r="G1165" s="7" t="s">
        <v>7150</v>
      </c>
      <c r="H1165" s="7" t="s">
        <v>7156</v>
      </c>
      <c r="I1165" s="7"/>
      <c r="J1165" s="10">
        <v>44896</v>
      </c>
      <c r="K1165" s="7" t="s">
        <v>7163</v>
      </c>
      <c r="L1165" s="7"/>
      <c r="M1165" s="7"/>
    </row>
    <row r="1166" spans="1:13" x14ac:dyDescent="0.3">
      <c r="A1166" s="7">
        <v>14221</v>
      </c>
      <c r="B1166" s="7" t="s">
        <v>1174</v>
      </c>
      <c r="C1166" s="7" t="s">
        <v>6533</v>
      </c>
      <c r="D1166" s="7" t="s">
        <v>6534</v>
      </c>
      <c r="E1166" s="7" t="s">
        <v>6295</v>
      </c>
      <c r="F1166" s="7" t="s">
        <v>6341</v>
      </c>
      <c r="G1166" s="7" t="s">
        <v>7150</v>
      </c>
      <c r="H1166" s="7" t="s">
        <v>7156</v>
      </c>
      <c r="I1166" s="7"/>
      <c r="J1166" s="10">
        <v>44699</v>
      </c>
      <c r="K1166" s="7" t="s">
        <v>7163</v>
      </c>
      <c r="L1166" s="7"/>
      <c r="M1166" s="7"/>
    </row>
    <row r="1167" spans="1:13" x14ac:dyDescent="0.3">
      <c r="A1167" s="7">
        <v>300248</v>
      </c>
      <c r="B1167" s="7" t="s">
        <v>1175</v>
      </c>
      <c r="C1167" s="7" t="s">
        <v>6533</v>
      </c>
      <c r="D1167" s="7" t="s">
        <v>6534</v>
      </c>
      <c r="E1167" s="7" t="s">
        <v>6295</v>
      </c>
      <c r="F1167" s="7" t="s">
        <v>6341</v>
      </c>
      <c r="G1167" s="7" t="s">
        <v>7150</v>
      </c>
      <c r="H1167" s="7" t="s">
        <v>7156</v>
      </c>
      <c r="I1167" s="7"/>
      <c r="J1167" s="10">
        <v>44558</v>
      </c>
      <c r="K1167" s="7" t="s">
        <v>7163</v>
      </c>
      <c r="L1167" s="7"/>
      <c r="M1167" s="7"/>
    </row>
    <row r="1168" spans="1:13" x14ac:dyDescent="0.3">
      <c r="A1168" s="7">
        <v>600047</v>
      </c>
      <c r="B1168" s="7" t="s">
        <v>1176</v>
      </c>
      <c r="C1168" s="7" t="s">
        <v>6533</v>
      </c>
      <c r="D1168" s="7" t="s">
        <v>6534</v>
      </c>
      <c r="E1168" s="7" t="s">
        <v>6295</v>
      </c>
      <c r="F1168" s="7" t="s">
        <v>6341</v>
      </c>
      <c r="G1168" s="7" t="s">
        <v>7150</v>
      </c>
      <c r="H1168" s="7" t="s">
        <v>7156</v>
      </c>
      <c r="I1168" s="7"/>
      <c r="J1168" s="10">
        <v>43672</v>
      </c>
      <c r="K1168" s="7" t="s">
        <v>7163</v>
      </c>
      <c r="L1168" s="7"/>
      <c r="M1168" s="7"/>
    </row>
    <row r="1169" spans="1:13" x14ac:dyDescent="0.3">
      <c r="A1169" s="7">
        <v>14213</v>
      </c>
      <c r="B1169" s="7" t="s">
        <v>1177</v>
      </c>
      <c r="C1169" s="7" t="s">
        <v>6533</v>
      </c>
      <c r="D1169" s="7" t="s">
        <v>6534</v>
      </c>
      <c r="E1169" s="7" t="s">
        <v>6295</v>
      </c>
      <c r="F1169" s="7" t="s">
        <v>6341</v>
      </c>
      <c r="G1169" s="7" t="s">
        <v>7151</v>
      </c>
      <c r="H1169" s="7" t="s">
        <v>7156</v>
      </c>
      <c r="I1169" s="7"/>
      <c r="J1169" s="10">
        <v>44698</v>
      </c>
      <c r="K1169" s="7" t="s">
        <v>7163</v>
      </c>
      <c r="L1169" s="7"/>
      <c r="M1169" s="7"/>
    </row>
    <row r="1170" spans="1:13" x14ac:dyDescent="0.3">
      <c r="A1170" s="7">
        <v>16038</v>
      </c>
      <c r="B1170" s="7" t="s">
        <v>1178</v>
      </c>
      <c r="C1170" s="7" t="s">
        <v>6533</v>
      </c>
      <c r="D1170" s="7" t="s">
        <v>6534</v>
      </c>
      <c r="E1170" s="7" t="s">
        <v>6295</v>
      </c>
      <c r="F1170" s="7" t="s">
        <v>6389</v>
      </c>
      <c r="G1170" s="7" t="s">
        <v>7150</v>
      </c>
      <c r="H1170" s="7" t="s">
        <v>7157</v>
      </c>
      <c r="I1170" s="7"/>
      <c r="J1170" s="10">
        <v>45271</v>
      </c>
      <c r="K1170" s="7" t="s">
        <v>7163</v>
      </c>
      <c r="L1170" s="7"/>
      <c r="M1170" s="7"/>
    </row>
    <row r="1171" spans="1:13" x14ac:dyDescent="0.3">
      <c r="A1171" s="7">
        <v>270044</v>
      </c>
      <c r="B1171" s="7" t="s">
        <v>1179</v>
      </c>
      <c r="C1171" s="7" t="s">
        <v>6533</v>
      </c>
      <c r="D1171" s="7" t="s">
        <v>6534</v>
      </c>
      <c r="E1171" s="7" t="s">
        <v>6295</v>
      </c>
      <c r="F1171" s="7" t="s">
        <v>6341</v>
      </c>
      <c r="G1171" s="7" t="s">
        <v>7151</v>
      </c>
      <c r="H1171" s="7" t="s">
        <v>7156</v>
      </c>
      <c r="I1171" s="7"/>
      <c r="J1171" s="10">
        <v>43514</v>
      </c>
      <c r="K1171" s="7" t="s">
        <v>7163</v>
      </c>
      <c r="L1171" s="7"/>
      <c r="M1171" s="7"/>
    </row>
    <row r="1172" spans="1:13" x14ac:dyDescent="0.3">
      <c r="A1172" s="7">
        <v>15353</v>
      </c>
      <c r="B1172" s="7" t="s">
        <v>1180</v>
      </c>
      <c r="C1172" s="7" t="s">
        <v>6533</v>
      </c>
      <c r="D1172" s="7" t="s">
        <v>6534</v>
      </c>
      <c r="E1172" s="7" t="s">
        <v>6295</v>
      </c>
      <c r="F1172" s="7" t="s">
        <v>6389</v>
      </c>
      <c r="G1172" s="7" t="s">
        <v>7150</v>
      </c>
      <c r="H1172" s="7" t="s">
        <v>7157</v>
      </c>
      <c r="I1172" s="7"/>
      <c r="J1172" s="10">
        <v>45042</v>
      </c>
      <c r="K1172" s="7" t="s">
        <v>7163</v>
      </c>
      <c r="L1172" s="7"/>
      <c r="M1172" s="7"/>
    </row>
    <row r="1173" spans="1:13" x14ac:dyDescent="0.3">
      <c r="A1173" s="7">
        <v>12369</v>
      </c>
      <c r="B1173" s="7" t="s">
        <v>1181</v>
      </c>
      <c r="C1173" s="7" t="s">
        <v>6533</v>
      </c>
      <c r="D1173" s="7" t="s">
        <v>6534</v>
      </c>
      <c r="E1173" s="7" t="s">
        <v>6295</v>
      </c>
      <c r="F1173" s="7" t="s">
        <v>6341</v>
      </c>
      <c r="G1173" s="7" t="s">
        <v>7151</v>
      </c>
      <c r="H1173" s="7" t="s">
        <v>7156</v>
      </c>
      <c r="I1173" s="7"/>
      <c r="J1173" s="10">
        <v>43714</v>
      </c>
      <c r="K1173" s="7" t="s">
        <v>7163</v>
      </c>
      <c r="L1173" s="7"/>
      <c r="M1173" s="7"/>
    </row>
    <row r="1174" spans="1:13" x14ac:dyDescent="0.3">
      <c r="A1174" s="7">
        <v>12668</v>
      </c>
      <c r="B1174" s="7" t="s">
        <v>1182</v>
      </c>
      <c r="C1174" s="7" t="s">
        <v>6533</v>
      </c>
      <c r="D1174" s="7" t="s">
        <v>6534</v>
      </c>
      <c r="E1174" s="7" t="s">
        <v>6295</v>
      </c>
      <c r="F1174" s="7" t="s">
        <v>6341</v>
      </c>
      <c r="G1174" s="7" t="s">
        <v>7150</v>
      </c>
      <c r="H1174" s="7" t="s">
        <v>7156</v>
      </c>
      <c r="I1174" s="7"/>
      <c r="J1174" s="10">
        <v>43864</v>
      </c>
      <c r="K1174" s="7" t="s">
        <v>7163</v>
      </c>
      <c r="L1174" s="7"/>
      <c r="M1174" s="7"/>
    </row>
    <row r="1175" spans="1:13" x14ac:dyDescent="0.3">
      <c r="A1175" s="7">
        <v>13265</v>
      </c>
      <c r="B1175" s="7" t="s">
        <v>1183</v>
      </c>
      <c r="C1175" s="7" t="s">
        <v>6533</v>
      </c>
      <c r="D1175" s="7" t="s">
        <v>6534</v>
      </c>
      <c r="E1175" s="7" t="s">
        <v>6295</v>
      </c>
      <c r="F1175" s="7" t="s">
        <v>6341</v>
      </c>
      <c r="G1175" s="7" t="s">
        <v>7150</v>
      </c>
      <c r="H1175" s="7" t="s">
        <v>7156</v>
      </c>
      <c r="I1175" s="7"/>
      <c r="J1175" s="10">
        <v>44355</v>
      </c>
      <c r="K1175" s="7" t="s">
        <v>7163</v>
      </c>
      <c r="L1175" s="7"/>
      <c r="M1175" s="7"/>
    </row>
    <row r="1176" spans="1:13" x14ac:dyDescent="0.3">
      <c r="A1176" s="7">
        <v>12807</v>
      </c>
      <c r="B1176" s="7" t="s">
        <v>1184</v>
      </c>
      <c r="C1176" s="7" t="s">
        <v>6533</v>
      </c>
      <c r="D1176" s="7" t="s">
        <v>6534</v>
      </c>
      <c r="E1176" s="7" t="s">
        <v>6295</v>
      </c>
      <c r="F1176" s="7" t="s">
        <v>6341</v>
      </c>
      <c r="G1176" s="7" t="s">
        <v>7150</v>
      </c>
      <c r="H1176" s="7" t="s">
        <v>7156</v>
      </c>
      <c r="I1176" s="7"/>
      <c r="J1176" s="10">
        <v>43942</v>
      </c>
      <c r="K1176" s="7" t="s">
        <v>7163</v>
      </c>
      <c r="L1176" s="7"/>
      <c r="M1176" s="7"/>
    </row>
    <row r="1177" spans="1:13" x14ac:dyDescent="0.3">
      <c r="A1177" s="7">
        <v>137017</v>
      </c>
      <c r="B1177" s="7" t="s">
        <v>1185</v>
      </c>
      <c r="C1177" s="7" t="s">
        <v>6533</v>
      </c>
      <c r="D1177" s="7" t="s">
        <v>6534</v>
      </c>
      <c r="E1177" s="7" t="s">
        <v>6295</v>
      </c>
      <c r="F1177" s="7" t="s">
        <v>6341</v>
      </c>
      <c r="G1177" s="7" t="s">
        <v>7150</v>
      </c>
      <c r="H1177" s="7" t="s">
        <v>7156</v>
      </c>
      <c r="I1177" s="7"/>
      <c r="J1177" s="10">
        <v>44587</v>
      </c>
      <c r="K1177" s="7" t="s">
        <v>7163</v>
      </c>
      <c r="L1177" s="7"/>
      <c r="M1177" s="7"/>
    </row>
    <row r="1178" spans="1:13" x14ac:dyDescent="0.3">
      <c r="A1178" s="7">
        <v>18835</v>
      </c>
      <c r="B1178" s="7" t="s">
        <v>1186</v>
      </c>
      <c r="C1178" s="7" t="s">
        <v>6533</v>
      </c>
      <c r="D1178" s="7" t="s">
        <v>6534</v>
      </c>
      <c r="E1178" s="7" t="s">
        <v>6295</v>
      </c>
      <c r="F1178" s="7" t="s">
        <v>6348</v>
      </c>
      <c r="G1178" s="7" t="s">
        <v>7150</v>
      </c>
      <c r="H1178" s="7" t="s">
        <v>7156</v>
      </c>
      <c r="I1178" s="7"/>
      <c r="J1178" s="10">
        <v>46217</v>
      </c>
      <c r="K1178" s="7" t="s">
        <v>7163</v>
      </c>
      <c r="L1178" s="7"/>
      <c r="M1178" s="7"/>
    </row>
    <row r="1179" spans="1:13" x14ac:dyDescent="0.3">
      <c r="A1179" s="7">
        <v>11146</v>
      </c>
      <c r="B1179" s="7" t="s">
        <v>1187</v>
      </c>
      <c r="C1179" s="7" t="s">
        <v>6523</v>
      </c>
      <c r="D1179" s="7" t="s">
        <v>6295</v>
      </c>
      <c r="E1179" s="7" t="s">
        <v>6295</v>
      </c>
      <c r="F1179" s="7" t="s">
        <v>6336</v>
      </c>
      <c r="G1179" s="7" t="s">
        <v>7150</v>
      </c>
      <c r="H1179" s="7" t="s">
        <v>7156</v>
      </c>
      <c r="I1179" s="7"/>
      <c r="J1179" s="10">
        <v>42321</v>
      </c>
      <c r="K1179" s="7" t="s">
        <v>7163</v>
      </c>
      <c r="L1179" s="7"/>
      <c r="M1179" s="7"/>
    </row>
    <row r="1180" spans="1:13" x14ac:dyDescent="0.3">
      <c r="A1180" s="7">
        <v>10205</v>
      </c>
      <c r="B1180" s="7" t="s">
        <v>1188</v>
      </c>
      <c r="C1180" s="7" t="s">
        <v>6543</v>
      </c>
      <c r="D1180" s="7" t="s">
        <v>6295</v>
      </c>
      <c r="E1180" s="7" t="s">
        <v>6295</v>
      </c>
      <c r="F1180" s="7" t="s">
        <v>6335</v>
      </c>
      <c r="G1180" s="7" t="s">
        <v>7150</v>
      </c>
      <c r="H1180" s="7" t="s">
        <v>7156</v>
      </c>
      <c r="I1180" s="7"/>
      <c r="J1180" s="10">
        <v>37568</v>
      </c>
      <c r="K1180" s="7" t="s">
        <v>7163</v>
      </c>
      <c r="L1180" s="7"/>
      <c r="M1180" s="7"/>
    </row>
    <row r="1181" spans="1:13" x14ac:dyDescent="0.3">
      <c r="A1181" s="7">
        <v>10336</v>
      </c>
      <c r="B1181" s="7" t="s">
        <v>1189</v>
      </c>
      <c r="C1181" s="7" t="s">
        <v>6543</v>
      </c>
      <c r="D1181" s="7" t="s">
        <v>6295</v>
      </c>
      <c r="E1181" s="7" t="s">
        <v>6295</v>
      </c>
      <c r="F1181" s="7" t="s">
        <v>6335</v>
      </c>
      <c r="G1181" s="7" t="s">
        <v>7150</v>
      </c>
      <c r="H1181" s="7" t="s">
        <v>7156</v>
      </c>
      <c r="I1181" s="7"/>
      <c r="J1181" s="10">
        <v>39854</v>
      </c>
      <c r="K1181" s="7" t="s">
        <v>7163</v>
      </c>
      <c r="L1181" s="7"/>
      <c r="M1181" s="7"/>
    </row>
    <row r="1182" spans="1:13" x14ac:dyDescent="0.3">
      <c r="A1182" s="7">
        <v>18577</v>
      </c>
      <c r="B1182" s="7" t="s">
        <v>1190</v>
      </c>
      <c r="C1182" s="7" t="s">
        <v>6543</v>
      </c>
      <c r="D1182" s="7" t="s">
        <v>6295</v>
      </c>
      <c r="E1182" s="7" t="s">
        <v>6295</v>
      </c>
      <c r="F1182" s="7" t="s">
        <v>6356</v>
      </c>
      <c r="G1182" s="7" t="s">
        <v>7150</v>
      </c>
      <c r="H1182" s="7" t="s">
        <v>7156</v>
      </c>
      <c r="I1182" s="7" t="s">
        <v>7159</v>
      </c>
      <c r="J1182" s="10">
        <v>46154</v>
      </c>
      <c r="K1182" s="7" t="s">
        <v>7163</v>
      </c>
      <c r="L1182" s="7"/>
      <c r="M1182" s="7"/>
    </row>
    <row r="1183" spans="1:13" x14ac:dyDescent="0.3">
      <c r="A1183" s="7">
        <v>18609</v>
      </c>
      <c r="B1183" s="7" t="s">
        <v>1191</v>
      </c>
      <c r="C1183" s="7" t="s">
        <v>6543</v>
      </c>
      <c r="D1183" s="7" t="s">
        <v>6295</v>
      </c>
      <c r="E1183" s="7" t="s">
        <v>6295</v>
      </c>
      <c r="F1183" s="7" t="s">
        <v>6336</v>
      </c>
      <c r="G1183" s="7" t="s">
        <v>7150</v>
      </c>
      <c r="H1183" s="7" t="s">
        <v>7156</v>
      </c>
      <c r="I1183" s="7" t="s">
        <v>7159</v>
      </c>
      <c r="J1183" s="10">
        <v>46162</v>
      </c>
      <c r="K1183" s="7" t="s">
        <v>7163</v>
      </c>
      <c r="L1183" s="7"/>
      <c r="M1183" s="7"/>
    </row>
    <row r="1184" spans="1:13" x14ac:dyDescent="0.3">
      <c r="A1184" s="7">
        <v>10573</v>
      </c>
      <c r="B1184" s="7" t="s">
        <v>1192</v>
      </c>
      <c r="C1184" s="7" t="s">
        <v>6543</v>
      </c>
      <c r="D1184" s="7" t="s">
        <v>6544</v>
      </c>
      <c r="E1184" s="7" t="s">
        <v>6295</v>
      </c>
      <c r="F1184" s="7" t="s">
        <v>6338</v>
      </c>
      <c r="G1184" s="7" t="s">
        <v>7150</v>
      </c>
      <c r="H1184" s="7" t="s">
        <v>7156</v>
      </c>
      <c r="I1184" s="7"/>
      <c r="J1184" s="10">
        <v>41334</v>
      </c>
      <c r="K1184" s="7" t="s">
        <v>7163</v>
      </c>
      <c r="L1184" s="7"/>
      <c r="M1184" s="7"/>
    </row>
    <row r="1185" spans="1:13" x14ac:dyDescent="0.3">
      <c r="A1185" s="7">
        <v>11206</v>
      </c>
      <c r="B1185" s="7" t="s">
        <v>1193</v>
      </c>
      <c r="C1185" s="7" t="s">
        <v>6543</v>
      </c>
      <c r="D1185" s="7" t="s">
        <v>6545</v>
      </c>
      <c r="E1185" s="7" t="s">
        <v>6295</v>
      </c>
      <c r="F1185" s="7" t="s">
        <v>6335</v>
      </c>
      <c r="G1185" s="7" t="s">
        <v>7150</v>
      </c>
      <c r="H1185" s="7" t="s">
        <v>7156</v>
      </c>
      <c r="I1185" s="7"/>
      <c r="J1185" s="10">
        <v>42422</v>
      </c>
      <c r="K1185" s="7" t="s">
        <v>7163</v>
      </c>
      <c r="L1185" s="7"/>
      <c r="M1185" s="7"/>
    </row>
    <row r="1186" spans="1:13" x14ac:dyDescent="0.3">
      <c r="A1186" s="7">
        <v>11820</v>
      </c>
      <c r="B1186" s="7" t="s">
        <v>1194</v>
      </c>
      <c r="C1186" s="7" t="s">
        <v>6543</v>
      </c>
      <c r="D1186" s="7" t="s">
        <v>6295</v>
      </c>
      <c r="E1186" s="7" t="s">
        <v>6295</v>
      </c>
      <c r="F1186" s="7" t="s">
        <v>6335</v>
      </c>
      <c r="G1186" s="7" t="s">
        <v>7150</v>
      </c>
      <c r="H1186" s="7" t="s">
        <v>7156</v>
      </c>
      <c r="I1186" s="7"/>
      <c r="J1186" s="10">
        <v>43164</v>
      </c>
      <c r="K1186" s="7" t="s">
        <v>7163</v>
      </c>
      <c r="L1186" s="7"/>
      <c r="M1186" s="7"/>
    </row>
    <row r="1187" spans="1:13" x14ac:dyDescent="0.3">
      <c r="A1187" s="7">
        <v>10129</v>
      </c>
      <c r="B1187" s="7" t="s">
        <v>1195</v>
      </c>
      <c r="C1187" s="7" t="s">
        <v>6543</v>
      </c>
      <c r="D1187" s="7" t="s">
        <v>6544</v>
      </c>
      <c r="E1187" s="7" t="s">
        <v>6295</v>
      </c>
      <c r="F1187" s="7" t="s">
        <v>6353</v>
      </c>
      <c r="G1187" s="7" t="s">
        <v>7150</v>
      </c>
      <c r="H1187" s="7" t="s">
        <v>7156</v>
      </c>
      <c r="I1187" s="7"/>
      <c r="J1187" s="10">
        <v>36697</v>
      </c>
      <c r="K1187" s="7" t="s">
        <v>7163</v>
      </c>
      <c r="L1187" s="7"/>
      <c r="M1187" s="7"/>
    </row>
    <row r="1188" spans="1:13" x14ac:dyDescent="0.3">
      <c r="A1188" s="7">
        <v>10286</v>
      </c>
      <c r="B1188" s="7" t="s">
        <v>1196</v>
      </c>
      <c r="C1188" s="7" t="s">
        <v>6523</v>
      </c>
      <c r="D1188" s="7" t="s">
        <v>6532</v>
      </c>
      <c r="E1188" s="7" t="s">
        <v>6295</v>
      </c>
      <c r="F1188" s="7" t="s">
        <v>6353</v>
      </c>
      <c r="G1188" s="7" t="s">
        <v>7150</v>
      </c>
      <c r="H1188" s="7" t="s">
        <v>7156</v>
      </c>
      <c r="I1188" s="7"/>
      <c r="J1188" s="10">
        <v>39457</v>
      </c>
      <c r="K1188" s="7" t="s">
        <v>7163</v>
      </c>
      <c r="L1188" s="7"/>
      <c r="M1188" s="7"/>
    </row>
    <row r="1189" spans="1:13" x14ac:dyDescent="0.3">
      <c r="A1189" s="7">
        <v>10632</v>
      </c>
      <c r="B1189" s="7" t="s">
        <v>1197</v>
      </c>
      <c r="C1189" s="7" t="s">
        <v>6523</v>
      </c>
      <c r="D1189" s="7" t="s">
        <v>6532</v>
      </c>
      <c r="E1189" s="7" t="s">
        <v>6295</v>
      </c>
      <c r="F1189" s="7" t="s">
        <v>6353</v>
      </c>
      <c r="G1189" s="7" t="s">
        <v>7152</v>
      </c>
      <c r="H1189" s="7" t="s">
        <v>7156</v>
      </c>
      <c r="I1189" s="7"/>
      <c r="J1189" s="10">
        <v>41548</v>
      </c>
      <c r="K1189" s="7" t="s">
        <v>7163</v>
      </c>
      <c r="L1189" s="7"/>
      <c r="M1189" s="7"/>
    </row>
    <row r="1190" spans="1:13" x14ac:dyDescent="0.3">
      <c r="A1190" s="7">
        <v>10561</v>
      </c>
      <c r="B1190" s="7" t="s">
        <v>1198</v>
      </c>
      <c r="C1190" s="7" t="s">
        <v>6543</v>
      </c>
      <c r="D1190" s="7" t="s">
        <v>6546</v>
      </c>
      <c r="E1190" s="7" t="s">
        <v>6295</v>
      </c>
      <c r="F1190" s="7" t="s">
        <v>6353</v>
      </c>
      <c r="G1190" s="7" t="s">
        <v>7150</v>
      </c>
      <c r="H1190" s="7" t="s">
        <v>7156</v>
      </c>
      <c r="I1190" s="7"/>
      <c r="J1190" s="10">
        <v>41281</v>
      </c>
      <c r="K1190" s="7" t="s">
        <v>7163</v>
      </c>
      <c r="L1190" s="7"/>
      <c r="M1190" s="7"/>
    </row>
    <row r="1191" spans="1:13" x14ac:dyDescent="0.3">
      <c r="A1191" s="7">
        <v>11150</v>
      </c>
      <c r="B1191" s="7" t="s">
        <v>1199</v>
      </c>
      <c r="C1191" s="7" t="s">
        <v>6543</v>
      </c>
      <c r="D1191" s="7" t="s">
        <v>6544</v>
      </c>
      <c r="E1191" s="7" t="s">
        <v>6295</v>
      </c>
      <c r="F1191" s="7" t="s">
        <v>6340</v>
      </c>
      <c r="G1191" s="7" t="s">
        <v>7150</v>
      </c>
      <c r="H1191" s="7" t="s">
        <v>7156</v>
      </c>
      <c r="I1191" s="7"/>
      <c r="J1191" s="10">
        <v>42311</v>
      </c>
      <c r="K1191" s="7" t="s">
        <v>7163</v>
      </c>
      <c r="L1191" s="7"/>
      <c r="M1191" s="7"/>
    </row>
    <row r="1192" spans="1:13" x14ac:dyDescent="0.3">
      <c r="A1192" s="7">
        <v>900032</v>
      </c>
      <c r="B1192" s="7" t="s">
        <v>1200</v>
      </c>
      <c r="C1192" s="7" t="s">
        <v>6543</v>
      </c>
      <c r="D1192" s="7" t="s">
        <v>6544</v>
      </c>
      <c r="E1192" s="7" t="s">
        <v>6295</v>
      </c>
      <c r="F1192" s="7" t="s">
        <v>6340</v>
      </c>
      <c r="G1192" s="7" t="s">
        <v>7150</v>
      </c>
      <c r="H1192" s="7" t="s">
        <v>7156</v>
      </c>
      <c r="I1192" s="7"/>
      <c r="J1192" s="10">
        <v>41772</v>
      </c>
      <c r="K1192" s="7" t="s">
        <v>7163</v>
      </c>
      <c r="L1192" s="7"/>
      <c r="M1192" s="7"/>
    </row>
    <row r="1193" spans="1:13" x14ac:dyDescent="0.3">
      <c r="A1193" s="7">
        <v>10988</v>
      </c>
      <c r="B1193" s="7" t="s">
        <v>1201</v>
      </c>
      <c r="C1193" s="7" t="s">
        <v>6543</v>
      </c>
      <c r="D1193" s="7" t="s">
        <v>6545</v>
      </c>
      <c r="E1193" s="7" t="s">
        <v>6295</v>
      </c>
      <c r="F1193" s="7" t="s">
        <v>6340</v>
      </c>
      <c r="G1193" s="7" t="s">
        <v>7150</v>
      </c>
      <c r="H1193" s="7" t="s">
        <v>7156</v>
      </c>
      <c r="I1193" s="7"/>
      <c r="J1193" s="10">
        <v>42248</v>
      </c>
      <c r="K1193" s="7" t="s">
        <v>7163</v>
      </c>
      <c r="L1193" s="7"/>
      <c r="M1193" s="7"/>
    </row>
    <row r="1194" spans="1:13" x14ac:dyDescent="0.3">
      <c r="A1194" s="7">
        <v>10837</v>
      </c>
      <c r="B1194" s="7" t="s">
        <v>1202</v>
      </c>
      <c r="C1194" s="7" t="s">
        <v>6543</v>
      </c>
      <c r="D1194" s="7" t="s">
        <v>6546</v>
      </c>
      <c r="E1194" s="7" t="s">
        <v>6295</v>
      </c>
      <c r="F1194" s="7" t="s">
        <v>6340</v>
      </c>
      <c r="G1194" s="7" t="s">
        <v>7150</v>
      </c>
      <c r="H1194" s="7" t="s">
        <v>7156</v>
      </c>
      <c r="I1194" s="7"/>
      <c r="J1194" s="10">
        <v>41991</v>
      </c>
      <c r="K1194" s="7" t="s">
        <v>7163</v>
      </c>
      <c r="L1194" s="7"/>
      <c r="M1194" s="7"/>
    </row>
    <row r="1195" spans="1:13" x14ac:dyDescent="0.3">
      <c r="A1195" s="7">
        <v>18578</v>
      </c>
      <c r="B1195" s="7" t="s">
        <v>1203</v>
      </c>
      <c r="C1195" s="7" t="s">
        <v>6529</v>
      </c>
      <c r="D1195" s="7" t="s">
        <v>6295</v>
      </c>
      <c r="E1195" s="7" t="s">
        <v>6295</v>
      </c>
      <c r="F1195" s="7" t="s">
        <v>6356</v>
      </c>
      <c r="G1195" s="7" t="s">
        <v>7150</v>
      </c>
      <c r="H1195" s="7" t="s">
        <v>7156</v>
      </c>
      <c r="I1195" s="7" t="s">
        <v>7159</v>
      </c>
      <c r="J1195" s="10">
        <v>46154</v>
      </c>
      <c r="K1195" s="7" t="s">
        <v>7163</v>
      </c>
      <c r="L1195" s="7"/>
      <c r="M1195" s="7"/>
    </row>
    <row r="1196" spans="1:13" x14ac:dyDescent="0.3">
      <c r="A1196" s="7">
        <v>11165</v>
      </c>
      <c r="B1196" s="7" t="s">
        <v>1204</v>
      </c>
      <c r="C1196" s="7" t="s">
        <v>6529</v>
      </c>
      <c r="D1196" s="7" t="s">
        <v>6547</v>
      </c>
      <c r="E1196" s="7" t="s">
        <v>6295</v>
      </c>
      <c r="F1196" s="7" t="s">
        <v>6335</v>
      </c>
      <c r="G1196" s="7" t="s">
        <v>7150</v>
      </c>
      <c r="H1196" s="7" t="s">
        <v>7156</v>
      </c>
      <c r="I1196" s="7"/>
      <c r="J1196" s="10">
        <v>42346</v>
      </c>
      <c r="K1196" s="7" t="s">
        <v>7163</v>
      </c>
      <c r="L1196" s="7"/>
      <c r="M1196" s="7"/>
    </row>
    <row r="1197" spans="1:13" x14ac:dyDescent="0.3">
      <c r="A1197" s="7">
        <v>10616</v>
      </c>
      <c r="B1197" s="7" t="s">
        <v>1205</v>
      </c>
      <c r="C1197" s="7" t="s">
        <v>6529</v>
      </c>
      <c r="D1197" s="7" t="s">
        <v>6547</v>
      </c>
      <c r="E1197" s="7" t="s">
        <v>6295</v>
      </c>
      <c r="F1197" s="7" t="s">
        <v>6353</v>
      </c>
      <c r="G1197" s="7" t="s">
        <v>7150</v>
      </c>
      <c r="H1197" s="7" t="s">
        <v>7156</v>
      </c>
      <c r="I1197" s="7"/>
      <c r="J1197" s="10">
        <v>41500</v>
      </c>
      <c r="K1197" s="7" t="s">
        <v>7163</v>
      </c>
      <c r="L1197" s="7"/>
      <c r="M1197" s="7"/>
    </row>
    <row r="1198" spans="1:13" x14ac:dyDescent="0.3">
      <c r="A1198" s="7">
        <v>700005</v>
      </c>
      <c r="B1198" s="7" t="s">
        <v>1206</v>
      </c>
      <c r="C1198" s="7" t="s">
        <v>6529</v>
      </c>
      <c r="D1198" s="7" t="s">
        <v>6547</v>
      </c>
      <c r="E1198" s="7" t="s">
        <v>6295</v>
      </c>
      <c r="F1198" s="7" t="s">
        <v>6353</v>
      </c>
      <c r="G1198" s="7" t="s">
        <v>7150</v>
      </c>
      <c r="H1198" s="7" t="s">
        <v>7156</v>
      </c>
      <c r="I1198" s="7"/>
      <c r="J1198" s="10">
        <v>40375</v>
      </c>
      <c r="K1198" s="7" t="s">
        <v>7163</v>
      </c>
      <c r="L1198" s="7"/>
      <c r="M1198" s="7"/>
    </row>
    <row r="1199" spans="1:13" x14ac:dyDescent="0.3">
      <c r="A1199" s="7">
        <v>10537</v>
      </c>
      <c r="B1199" s="7" t="s">
        <v>1207</v>
      </c>
      <c r="C1199" s="7" t="s">
        <v>6529</v>
      </c>
      <c r="D1199" s="7" t="s">
        <v>6547</v>
      </c>
      <c r="E1199" s="7" t="s">
        <v>6295</v>
      </c>
      <c r="F1199" s="7" t="s">
        <v>6353</v>
      </c>
      <c r="G1199" s="7" t="s">
        <v>7150</v>
      </c>
      <c r="H1199" s="7" t="s">
        <v>7156</v>
      </c>
      <c r="I1199" s="7"/>
      <c r="J1199" s="10">
        <v>41108</v>
      </c>
      <c r="K1199" s="7" t="s">
        <v>7163</v>
      </c>
      <c r="L1199" s="7"/>
      <c r="M1199" s="7"/>
    </row>
    <row r="1200" spans="1:13" x14ac:dyDescent="0.3">
      <c r="A1200" s="7">
        <v>11435</v>
      </c>
      <c r="B1200" s="7" t="s">
        <v>1208</v>
      </c>
      <c r="C1200" s="7" t="s">
        <v>6529</v>
      </c>
      <c r="D1200" s="7" t="s">
        <v>6547</v>
      </c>
      <c r="E1200" s="7" t="s">
        <v>6295</v>
      </c>
      <c r="F1200" s="7" t="s">
        <v>6340</v>
      </c>
      <c r="G1200" s="7" t="s">
        <v>7150</v>
      </c>
      <c r="H1200" s="7" t="s">
        <v>7156</v>
      </c>
      <c r="I1200" s="7"/>
      <c r="J1200" s="10">
        <v>42695</v>
      </c>
      <c r="K1200" s="7" t="s">
        <v>7163</v>
      </c>
      <c r="L1200" s="7"/>
      <c r="M1200" s="7"/>
    </row>
    <row r="1201" spans="1:13" x14ac:dyDescent="0.3">
      <c r="A1201" s="7">
        <v>240022</v>
      </c>
      <c r="B1201" s="7" t="s">
        <v>1209</v>
      </c>
      <c r="C1201" s="7" t="s">
        <v>6529</v>
      </c>
      <c r="D1201" s="7" t="s">
        <v>6547</v>
      </c>
      <c r="E1201" s="7" t="s">
        <v>6295</v>
      </c>
      <c r="F1201" s="7" t="s">
        <v>6340</v>
      </c>
      <c r="G1201" s="7" t="s">
        <v>7150</v>
      </c>
      <c r="H1201" s="7" t="s">
        <v>7156</v>
      </c>
      <c r="I1201" s="7"/>
      <c r="J1201" s="10">
        <v>41416</v>
      </c>
      <c r="K1201" s="7" t="s">
        <v>7163</v>
      </c>
      <c r="L1201" s="7"/>
      <c r="M1201" s="7"/>
    </row>
    <row r="1202" spans="1:13" x14ac:dyDescent="0.3">
      <c r="A1202" s="7">
        <v>12550</v>
      </c>
      <c r="B1202" s="7" t="s">
        <v>1210</v>
      </c>
      <c r="C1202" s="7" t="s">
        <v>6529</v>
      </c>
      <c r="D1202" s="7" t="s">
        <v>6547</v>
      </c>
      <c r="E1202" s="7" t="s">
        <v>6295</v>
      </c>
      <c r="F1202" s="7" t="s">
        <v>6340</v>
      </c>
      <c r="G1202" s="7" t="s">
        <v>7150</v>
      </c>
      <c r="H1202" s="7" t="s">
        <v>7156</v>
      </c>
      <c r="I1202" s="7"/>
      <c r="J1202" s="10">
        <v>43808</v>
      </c>
      <c r="K1202" s="7" t="s">
        <v>7163</v>
      </c>
      <c r="L1202" s="7"/>
      <c r="M1202" s="7"/>
    </row>
    <row r="1203" spans="1:13" x14ac:dyDescent="0.3">
      <c r="A1203" s="7">
        <v>12987</v>
      </c>
      <c r="B1203" s="7" t="s">
        <v>1211</v>
      </c>
      <c r="C1203" s="7" t="s">
        <v>6529</v>
      </c>
      <c r="D1203" s="7" t="s">
        <v>6547</v>
      </c>
      <c r="E1203" s="7" t="s">
        <v>6295</v>
      </c>
      <c r="F1203" s="7" t="s">
        <v>6340</v>
      </c>
      <c r="G1203" s="7" t="s">
        <v>7150</v>
      </c>
      <c r="H1203" s="7" t="s">
        <v>7156</v>
      </c>
      <c r="I1203" s="7"/>
      <c r="J1203" s="10">
        <v>44168</v>
      </c>
      <c r="K1203" s="7" t="s">
        <v>7163</v>
      </c>
      <c r="L1203" s="7"/>
      <c r="M1203" s="7"/>
    </row>
    <row r="1204" spans="1:13" x14ac:dyDescent="0.3">
      <c r="A1204" s="7">
        <v>13232</v>
      </c>
      <c r="B1204" s="7" t="s">
        <v>1212</v>
      </c>
      <c r="C1204" s="7" t="s">
        <v>6529</v>
      </c>
      <c r="D1204" s="7" t="s">
        <v>6547</v>
      </c>
      <c r="E1204" s="7" t="s">
        <v>6295</v>
      </c>
      <c r="F1204" s="7" t="s">
        <v>6341</v>
      </c>
      <c r="G1204" s="7" t="s">
        <v>7150</v>
      </c>
      <c r="H1204" s="7" t="s">
        <v>7156</v>
      </c>
      <c r="I1204" s="7"/>
      <c r="J1204" s="10">
        <v>44333</v>
      </c>
      <c r="K1204" s="7" t="s">
        <v>7163</v>
      </c>
      <c r="L1204" s="7"/>
      <c r="M1204" s="7"/>
    </row>
    <row r="1205" spans="1:13" x14ac:dyDescent="0.3">
      <c r="A1205" s="7">
        <v>13624</v>
      </c>
      <c r="B1205" s="7" t="s">
        <v>1213</v>
      </c>
      <c r="C1205" s="7" t="s">
        <v>6529</v>
      </c>
      <c r="D1205" s="7" t="s">
        <v>6547</v>
      </c>
      <c r="E1205" s="7" t="s">
        <v>6295</v>
      </c>
      <c r="F1205" s="7" t="s">
        <v>6341</v>
      </c>
      <c r="G1205" s="7" t="s">
        <v>7150</v>
      </c>
      <c r="H1205" s="7" t="s">
        <v>7156</v>
      </c>
      <c r="I1205" s="7"/>
      <c r="J1205" s="10">
        <v>44519</v>
      </c>
      <c r="K1205" s="7" t="s">
        <v>7163</v>
      </c>
      <c r="L1205" s="7"/>
      <c r="M1205" s="7"/>
    </row>
    <row r="1206" spans="1:13" x14ac:dyDescent="0.3">
      <c r="A1206" s="7">
        <v>14896</v>
      </c>
      <c r="B1206" s="7" t="s">
        <v>1214</v>
      </c>
      <c r="C1206" s="7" t="s">
        <v>6529</v>
      </c>
      <c r="D1206" s="7" t="s">
        <v>6547</v>
      </c>
      <c r="E1206" s="7" t="s">
        <v>6295</v>
      </c>
      <c r="F1206" s="7" t="s">
        <v>6341</v>
      </c>
      <c r="G1206" s="7" t="s">
        <v>7150</v>
      </c>
      <c r="H1206" s="7" t="s">
        <v>7156</v>
      </c>
      <c r="I1206" s="7"/>
      <c r="J1206" s="10">
        <v>44890</v>
      </c>
      <c r="K1206" s="7" t="s">
        <v>7163</v>
      </c>
      <c r="L1206" s="7"/>
      <c r="M1206" s="7"/>
    </row>
    <row r="1207" spans="1:13" x14ac:dyDescent="0.3">
      <c r="A1207" s="7">
        <v>14899</v>
      </c>
      <c r="B1207" s="7" t="s">
        <v>1215</v>
      </c>
      <c r="C1207" s="7" t="s">
        <v>6529</v>
      </c>
      <c r="D1207" s="7" t="s">
        <v>6547</v>
      </c>
      <c r="E1207" s="7" t="s">
        <v>6295</v>
      </c>
      <c r="F1207" s="7" t="s">
        <v>6340</v>
      </c>
      <c r="G1207" s="7" t="s">
        <v>7150</v>
      </c>
      <c r="H1207" s="7" t="s">
        <v>7156</v>
      </c>
      <c r="I1207" s="7"/>
      <c r="J1207" s="10">
        <v>44890</v>
      </c>
      <c r="K1207" s="7" t="s">
        <v>7163</v>
      </c>
      <c r="L1207" s="7"/>
      <c r="M1207" s="7"/>
    </row>
    <row r="1208" spans="1:13" x14ac:dyDescent="0.3">
      <c r="A1208" s="7">
        <v>14988</v>
      </c>
      <c r="B1208" s="7" t="s">
        <v>1216</v>
      </c>
      <c r="C1208" s="7" t="s">
        <v>6529</v>
      </c>
      <c r="D1208" s="7" t="s">
        <v>6547</v>
      </c>
      <c r="E1208" s="7" t="s">
        <v>6295</v>
      </c>
      <c r="F1208" s="7" t="s">
        <v>6341</v>
      </c>
      <c r="G1208" s="7" t="s">
        <v>7150</v>
      </c>
      <c r="H1208" s="7" t="s">
        <v>7156</v>
      </c>
      <c r="I1208" s="7"/>
      <c r="J1208" s="10">
        <v>44910</v>
      </c>
      <c r="K1208" s="7" t="s">
        <v>7163</v>
      </c>
      <c r="L1208" s="7"/>
      <c r="M1208" s="7"/>
    </row>
    <row r="1209" spans="1:13" x14ac:dyDescent="0.3">
      <c r="A1209" s="7">
        <v>15322</v>
      </c>
      <c r="B1209" s="7" t="s">
        <v>1217</v>
      </c>
      <c r="C1209" s="7" t="s">
        <v>6529</v>
      </c>
      <c r="D1209" s="7" t="s">
        <v>6547</v>
      </c>
      <c r="E1209" s="7" t="s">
        <v>6295</v>
      </c>
      <c r="F1209" s="7" t="s">
        <v>6341</v>
      </c>
      <c r="G1209" s="7" t="s">
        <v>7150</v>
      </c>
      <c r="H1209" s="7" t="s">
        <v>7156</v>
      </c>
      <c r="I1209" s="7"/>
      <c r="J1209" s="10">
        <v>45028</v>
      </c>
      <c r="K1209" s="7" t="s">
        <v>7163</v>
      </c>
      <c r="L1209" s="7"/>
      <c r="M1209" s="7"/>
    </row>
    <row r="1210" spans="1:13" x14ac:dyDescent="0.3">
      <c r="A1210" s="7">
        <v>15428</v>
      </c>
      <c r="B1210" s="7" t="s">
        <v>1218</v>
      </c>
      <c r="C1210" s="7" t="s">
        <v>6529</v>
      </c>
      <c r="D1210" s="7" t="s">
        <v>6547</v>
      </c>
      <c r="E1210" s="7" t="s">
        <v>6295</v>
      </c>
      <c r="F1210" s="7" t="s">
        <v>6340</v>
      </c>
      <c r="G1210" s="7" t="s">
        <v>7150</v>
      </c>
      <c r="H1210" s="7" t="s">
        <v>7156</v>
      </c>
      <c r="I1210" s="7"/>
      <c r="J1210" s="10">
        <v>45068</v>
      </c>
      <c r="K1210" s="7" t="s">
        <v>7163</v>
      </c>
      <c r="L1210" s="7"/>
      <c r="M1210" s="7"/>
    </row>
    <row r="1211" spans="1:13" x14ac:dyDescent="0.3">
      <c r="A1211" s="7">
        <v>15616</v>
      </c>
      <c r="B1211" s="7" t="s">
        <v>1219</v>
      </c>
      <c r="C1211" s="7" t="s">
        <v>6529</v>
      </c>
      <c r="D1211" s="7" t="s">
        <v>6547</v>
      </c>
      <c r="E1211" s="7" t="s">
        <v>6295</v>
      </c>
      <c r="F1211" s="7" t="s">
        <v>6341</v>
      </c>
      <c r="G1211" s="7" t="s">
        <v>7150</v>
      </c>
      <c r="H1211" s="7" t="s">
        <v>7156</v>
      </c>
      <c r="I1211" s="7"/>
      <c r="J1211" s="10">
        <v>45140</v>
      </c>
      <c r="K1211" s="7" t="s">
        <v>7163</v>
      </c>
      <c r="L1211" s="7"/>
      <c r="M1211" s="7"/>
    </row>
    <row r="1212" spans="1:13" x14ac:dyDescent="0.3">
      <c r="A1212" s="7">
        <v>16074</v>
      </c>
      <c r="B1212" s="7" t="s">
        <v>1220</v>
      </c>
      <c r="C1212" s="7" t="s">
        <v>6529</v>
      </c>
      <c r="D1212" s="7" t="s">
        <v>6547</v>
      </c>
      <c r="E1212" s="7" t="s">
        <v>6295</v>
      </c>
      <c r="F1212" s="7" t="s">
        <v>6548</v>
      </c>
      <c r="G1212" s="7" t="s">
        <v>7150</v>
      </c>
      <c r="H1212" s="7" t="s">
        <v>7156</v>
      </c>
      <c r="I1212" s="7"/>
      <c r="J1212" s="10">
        <v>45275</v>
      </c>
      <c r="K1212" s="7" t="s">
        <v>7163</v>
      </c>
      <c r="L1212" s="7"/>
      <c r="M1212" s="7"/>
    </row>
    <row r="1213" spans="1:13" x14ac:dyDescent="0.3">
      <c r="A1213" s="7">
        <v>15814</v>
      </c>
      <c r="B1213" s="7" t="s">
        <v>1221</v>
      </c>
      <c r="C1213" s="7" t="s">
        <v>6529</v>
      </c>
      <c r="D1213" s="7" t="s">
        <v>6547</v>
      </c>
      <c r="E1213" s="7" t="s">
        <v>6295</v>
      </c>
      <c r="F1213" s="7" t="s">
        <v>6548</v>
      </c>
      <c r="G1213" s="7" t="s">
        <v>7150</v>
      </c>
      <c r="H1213" s="7" t="s">
        <v>7156</v>
      </c>
      <c r="I1213" s="7"/>
      <c r="J1213" s="10">
        <v>45203</v>
      </c>
      <c r="K1213" s="7" t="s">
        <v>7163</v>
      </c>
      <c r="L1213" s="7"/>
      <c r="M1213" s="7"/>
    </row>
    <row r="1214" spans="1:13" x14ac:dyDescent="0.3">
      <c r="A1214" s="7">
        <v>14308</v>
      </c>
      <c r="B1214" s="7" t="s">
        <v>1222</v>
      </c>
      <c r="C1214" s="7" t="s">
        <v>6529</v>
      </c>
      <c r="D1214" s="7" t="s">
        <v>6547</v>
      </c>
      <c r="E1214" s="7" t="s">
        <v>6295</v>
      </c>
      <c r="F1214" s="7" t="s">
        <v>6548</v>
      </c>
      <c r="G1214" s="7" t="s">
        <v>7150</v>
      </c>
      <c r="H1214" s="7" t="s">
        <v>7156</v>
      </c>
      <c r="I1214" s="7"/>
      <c r="J1214" s="10">
        <v>44728</v>
      </c>
      <c r="K1214" s="7" t="s">
        <v>7163</v>
      </c>
      <c r="L1214" s="7"/>
      <c r="M1214" s="7"/>
    </row>
    <row r="1215" spans="1:13" x14ac:dyDescent="0.3">
      <c r="A1215" s="7">
        <v>14921</v>
      </c>
      <c r="B1215" s="7" t="s">
        <v>1223</v>
      </c>
      <c r="C1215" s="7" t="s">
        <v>6529</v>
      </c>
      <c r="D1215" s="7" t="s">
        <v>6547</v>
      </c>
      <c r="E1215" s="7" t="s">
        <v>6295</v>
      </c>
      <c r="F1215" s="7" t="s">
        <v>6548</v>
      </c>
      <c r="G1215" s="7" t="s">
        <v>7150</v>
      </c>
      <c r="H1215" s="7" t="s">
        <v>7156</v>
      </c>
      <c r="I1215" s="7"/>
      <c r="J1215" s="10">
        <v>44896</v>
      </c>
      <c r="K1215" s="7" t="s">
        <v>7163</v>
      </c>
      <c r="L1215" s="7"/>
      <c r="M1215" s="7"/>
    </row>
    <row r="1216" spans="1:13" x14ac:dyDescent="0.3">
      <c r="A1216" s="7">
        <v>13540</v>
      </c>
      <c r="B1216" s="7" t="s">
        <v>1224</v>
      </c>
      <c r="C1216" s="7" t="s">
        <v>6529</v>
      </c>
      <c r="D1216" s="7" t="s">
        <v>6547</v>
      </c>
      <c r="E1216" s="7" t="s">
        <v>6295</v>
      </c>
      <c r="F1216" s="7" t="s">
        <v>6548</v>
      </c>
      <c r="G1216" s="7" t="s">
        <v>7150</v>
      </c>
      <c r="H1216" s="7" t="s">
        <v>7156</v>
      </c>
      <c r="I1216" s="7"/>
      <c r="J1216" s="10">
        <v>44497</v>
      </c>
      <c r="K1216" s="7" t="s">
        <v>7163</v>
      </c>
      <c r="L1216" s="7"/>
      <c r="M1216" s="7"/>
    </row>
    <row r="1217" spans="1:13" x14ac:dyDescent="0.3">
      <c r="A1217" s="7">
        <v>14537</v>
      </c>
      <c r="B1217" s="7" t="s">
        <v>1225</v>
      </c>
      <c r="C1217" s="7" t="s">
        <v>6529</v>
      </c>
      <c r="D1217" s="7" t="s">
        <v>6547</v>
      </c>
      <c r="E1217" s="7" t="s">
        <v>6295</v>
      </c>
      <c r="F1217" s="7" t="s">
        <v>6548</v>
      </c>
      <c r="G1217" s="7" t="s">
        <v>7150</v>
      </c>
      <c r="H1217" s="7" t="s">
        <v>7156</v>
      </c>
      <c r="I1217" s="7"/>
      <c r="J1217" s="10">
        <v>44784</v>
      </c>
      <c r="K1217" s="7" t="s">
        <v>7163</v>
      </c>
      <c r="L1217" s="7"/>
      <c r="M1217" s="7"/>
    </row>
    <row r="1218" spans="1:13" x14ac:dyDescent="0.3">
      <c r="A1218" s="7">
        <v>18104</v>
      </c>
      <c r="B1218" s="7" t="s">
        <v>1226</v>
      </c>
      <c r="C1218" s="7" t="s">
        <v>6529</v>
      </c>
      <c r="D1218" s="7" t="s">
        <v>6547</v>
      </c>
      <c r="E1218" s="7" t="s">
        <v>6295</v>
      </c>
      <c r="F1218" s="7" t="s">
        <v>6548</v>
      </c>
      <c r="G1218" s="7" t="s">
        <v>7150</v>
      </c>
      <c r="H1218" s="7" t="s">
        <v>7156</v>
      </c>
      <c r="I1218" s="7"/>
      <c r="J1218" s="10">
        <v>45996</v>
      </c>
      <c r="K1218" s="7" t="s">
        <v>7163</v>
      </c>
      <c r="L1218" s="7"/>
      <c r="M1218" s="7"/>
    </row>
    <row r="1219" spans="1:13" x14ac:dyDescent="0.3">
      <c r="A1219" s="7">
        <v>17199</v>
      </c>
      <c r="B1219" s="7" t="s">
        <v>1227</v>
      </c>
      <c r="C1219" s="7" t="s">
        <v>6529</v>
      </c>
      <c r="D1219" s="7" t="s">
        <v>6547</v>
      </c>
      <c r="E1219" s="7" t="s">
        <v>6295</v>
      </c>
      <c r="F1219" s="7" t="s">
        <v>6403</v>
      </c>
      <c r="G1219" s="7" t="s">
        <v>7150</v>
      </c>
      <c r="H1219" s="7" t="s">
        <v>7156</v>
      </c>
      <c r="I1219" s="7"/>
      <c r="J1219" s="10">
        <v>45663</v>
      </c>
      <c r="K1219" s="7" t="s">
        <v>7163</v>
      </c>
      <c r="L1219" s="7"/>
      <c r="M1219" s="7"/>
    </row>
    <row r="1220" spans="1:13" x14ac:dyDescent="0.3">
      <c r="A1220" s="7">
        <v>17200</v>
      </c>
      <c r="B1220" s="7" t="s">
        <v>1228</v>
      </c>
      <c r="C1220" s="7" t="s">
        <v>6529</v>
      </c>
      <c r="D1220" s="7" t="s">
        <v>6547</v>
      </c>
      <c r="E1220" s="7" t="s">
        <v>6295</v>
      </c>
      <c r="F1220" s="7" t="s">
        <v>6403</v>
      </c>
      <c r="G1220" s="7" t="s">
        <v>7150</v>
      </c>
      <c r="H1220" s="7" t="s">
        <v>7156</v>
      </c>
      <c r="I1220" s="7"/>
      <c r="J1220" s="10">
        <v>45663</v>
      </c>
      <c r="K1220" s="7" t="s">
        <v>7163</v>
      </c>
      <c r="L1220" s="7"/>
      <c r="M1220" s="7"/>
    </row>
    <row r="1221" spans="1:13" x14ac:dyDescent="0.3">
      <c r="A1221" s="7">
        <v>18680</v>
      </c>
      <c r="B1221" s="7" t="s">
        <v>1229</v>
      </c>
      <c r="C1221" s="7" t="s">
        <v>6529</v>
      </c>
      <c r="D1221" s="7" t="s">
        <v>6549</v>
      </c>
      <c r="E1221" s="7" t="s">
        <v>6295</v>
      </c>
      <c r="F1221" s="7" t="s">
        <v>6353</v>
      </c>
      <c r="G1221" s="7" t="s">
        <v>7150</v>
      </c>
      <c r="H1221" s="7" t="s">
        <v>7156</v>
      </c>
      <c r="I1221" s="7" t="s">
        <v>7159</v>
      </c>
      <c r="J1221" s="10">
        <v>46184</v>
      </c>
      <c r="K1221" s="7" t="s">
        <v>7163</v>
      </c>
      <c r="L1221" s="7"/>
      <c r="M1221" s="7"/>
    </row>
    <row r="1222" spans="1:13" x14ac:dyDescent="0.3">
      <c r="A1222" s="7">
        <v>18682</v>
      </c>
      <c r="B1222" s="7" t="s">
        <v>1230</v>
      </c>
      <c r="C1222" s="7" t="s">
        <v>6529</v>
      </c>
      <c r="D1222" s="7" t="s">
        <v>6549</v>
      </c>
      <c r="E1222" s="7" t="s">
        <v>6295</v>
      </c>
      <c r="F1222" s="7" t="s">
        <v>6353</v>
      </c>
      <c r="G1222" s="7" t="s">
        <v>7150</v>
      </c>
      <c r="H1222" s="7" t="s">
        <v>7156</v>
      </c>
      <c r="I1222" s="7" t="s">
        <v>7159</v>
      </c>
      <c r="J1222" s="10">
        <v>46184</v>
      </c>
      <c r="K1222" s="7" t="s">
        <v>7163</v>
      </c>
      <c r="L1222" s="7"/>
      <c r="M1222" s="7"/>
    </row>
    <row r="1223" spans="1:13" x14ac:dyDescent="0.3">
      <c r="A1223" s="7">
        <v>18685</v>
      </c>
      <c r="B1223" s="7" t="s">
        <v>1231</v>
      </c>
      <c r="C1223" s="7" t="s">
        <v>6529</v>
      </c>
      <c r="D1223" s="7" t="s">
        <v>6549</v>
      </c>
      <c r="E1223" s="7" t="s">
        <v>6295</v>
      </c>
      <c r="F1223" s="7" t="s">
        <v>6353</v>
      </c>
      <c r="G1223" s="7" t="s">
        <v>7150</v>
      </c>
      <c r="H1223" s="7" t="s">
        <v>7156</v>
      </c>
      <c r="I1223" s="7" t="s">
        <v>7159</v>
      </c>
      <c r="J1223" s="10">
        <v>46184</v>
      </c>
      <c r="K1223" s="7" t="s">
        <v>7163</v>
      </c>
      <c r="L1223" s="7"/>
      <c r="M1223" s="7"/>
    </row>
    <row r="1224" spans="1:13" x14ac:dyDescent="0.3">
      <c r="A1224" s="7">
        <v>18676</v>
      </c>
      <c r="B1224" s="7" t="s">
        <v>1232</v>
      </c>
      <c r="C1224" s="7" t="s">
        <v>6529</v>
      </c>
      <c r="D1224" s="7" t="s">
        <v>6549</v>
      </c>
      <c r="E1224" s="7" t="s">
        <v>6295</v>
      </c>
      <c r="F1224" s="7" t="s">
        <v>6353</v>
      </c>
      <c r="G1224" s="7" t="s">
        <v>7150</v>
      </c>
      <c r="H1224" s="7" t="s">
        <v>7156</v>
      </c>
      <c r="I1224" s="7" t="s">
        <v>7159</v>
      </c>
      <c r="J1224" s="10">
        <v>46184</v>
      </c>
      <c r="K1224" s="7" t="s">
        <v>7163</v>
      </c>
      <c r="L1224" s="7"/>
      <c r="M1224" s="7"/>
    </row>
    <row r="1225" spans="1:13" x14ac:dyDescent="0.3">
      <c r="A1225" s="7">
        <v>18684</v>
      </c>
      <c r="B1225" s="7" t="s">
        <v>1233</v>
      </c>
      <c r="C1225" s="7" t="s">
        <v>6529</v>
      </c>
      <c r="D1225" s="7" t="s">
        <v>6549</v>
      </c>
      <c r="E1225" s="7" t="s">
        <v>6295</v>
      </c>
      <c r="F1225" s="7" t="s">
        <v>6353</v>
      </c>
      <c r="G1225" s="7" t="s">
        <v>7150</v>
      </c>
      <c r="H1225" s="7" t="s">
        <v>7156</v>
      </c>
      <c r="I1225" s="7" t="s">
        <v>7159</v>
      </c>
      <c r="J1225" s="10">
        <v>46184</v>
      </c>
      <c r="K1225" s="7" t="s">
        <v>7163</v>
      </c>
      <c r="L1225" s="7"/>
      <c r="M1225" s="7"/>
    </row>
    <row r="1226" spans="1:13" x14ac:dyDescent="0.3">
      <c r="A1226" s="7">
        <v>18679</v>
      </c>
      <c r="B1226" s="7" t="s">
        <v>1234</v>
      </c>
      <c r="C1226" s="7" t="s">
        <v>6529</v>
      </c>
      <c r="D1226" s="7" t="s">
        <v>6549</v>
      </c>
      <c r="E1226" s="7" t="s">
        <v>6295</v>
      </c>
      <c r="F1226" s="7" t="s">
        <v>6353</v>
      </c>
      <c r="G1226" s="7" t="s">
        <v>7150</v>
      </c>
      <c r="H1226" s="7" t="s">
        <v>7156</v>
      </c>
      <c r="I1226" s="7" t="s">
        <v>7159</v>
      </c>
      <c r="J1226" s="10">
        <v>46184</v>
      </c>
      <c r="K1226" s="7" t="s">
        <v>7163</v>
      </c>
      <c r="L1226" s="7"/>
      <c r="M1226" s="7"/>
    </row>
    <row r="1227" spans="1:13" x14ac:dyDescent="0.3">
      <c r="A1227" s="7">
        <v>18689</v>
      </c>
      <c r="B1227" s="7" t="s">
        <v>1235</v>
      </c>
      <c r="C1227" s="7" t="s">
        <v>6529</v>
      </c>
      <c r="D1227" s="7" t="s">
        <v>6549</v>
      </c>
      <c r="E1227" s="7" t="s">
        <v>6295</v>
      </c>
      <c r="F1227" s="7" t="s">
        <v>6353</v>
      </c>
      <c r="G1227" s="7" t="s">
        <v>7150</v>
      </c>
      <c r="H1227" s="7" t="s">
        <v>7156</v>
      </c>
      <c r="I1227" s="7" t="s">
        <v>7159</v>
      </c>
      <c r="J1227" s="10">
        <v>46185</v>
      </c>
      <c r="K1227" s="7" t="s">
        <v>7163</v>
      </c>
      <c r="L1227" s="7"/>
      <c r="M1227" s="7"/>
    </row>
    <row r="1228" spans="1:13" x14ac:dyDescent="0.3">
      <c r="A1228" s="7">
        <v>18673</v>
      </c>
      <c r="B1228" s="7" t="s">
        <v>1236</v>
      </c>
      <c r="C1228" s="7" t="s">
        <v>6529</v>
      </c>
      <c r="D1228" s="7" t="s">
        <v>6549</v>
      </c>
      <c r="E1228" s="7" t="s">
        <v>6295</v>
      </c>
      <c r="F1228" s="7" t="s">
        <v>6340</v>
      </c>
      <c r="G1228" s="7" t="s">
        <v>7150</v>
      </c>
      <c r="H1228" s="7" t="s">
        <v>7156</v>
      </c>
      <c r="I1228" s="7" t="s">
        <v>7159</v>
      </c>
      <c r="J1228" s="10">
        <v>46184</v>
      </c>
      <c r="K1228" s="7" t="s">
        <v>7163</v>
      </c>
      <c r="L1228" s="7"/>
      <c r="M1228" s="7"/>
    </row>
    <row r="1229" spans="1:13" x14ac:dyDescent="0.3">
      <c r="A1229" s="7">
        <v>18681</v>
      </c>
      <c r="B1229" s="7" t="s">
        <v>1237</v>
      </c>
      <c r="C1229" s="7" t="s">
        <v>6529</v>
      </c>
      <c r="D1229" s="7" t="s">
        <v>6549</v>
      </c>
      <c r="E1229" s="7" t="s">
        <v>6295</v>
      </c>
      <c r="F1229" s="7" t="s">
        <v>6340</v>
      </c>
      <c r="G1229" s="7" t="s">
        <v>7150</v>
      </c>
      <c r="H1229" s="7" t="s">
        <v>7156</v>
      </c>
      <c r="I1229" s="7" t="s">
        <v>7159</v>
      </c>
      <c r="J1229" s="10">
        <v>46184</v>
      </c>
      <c r="K1229" s="7" t="s">
        <v>7163</v>
      </c>
      <c r="L1229" s="7"/>
      <c r="M1229" s="7"/>
    </row>
    <row r="1230" spans="1:13" x14ac:dyDescent="0.3">
      <c r="A1230" s="7">
        <v>18677</v>
      </c>
      <c r="B1230" s="7" t="s">
        <v>1238</v>
      </c>
      <c r="C1230" s="7" t="s">
        <v>6529</v>
      </c>
      <c r="D1230" s="7" t="s">
        <v>6549</v>
      </c>
      <c r="E1230" s="7" t="s">
        <v>6295</v>
      </c>
      <c r="F1230" s="7" t="s">
        <v>6340</v>
      </c>
      <c r="G1230" s="7" t="s">
        <v>7150</v>
      </c>
      <c r="H1230" s="7" t="s">
        <v>7156</v>
      </c>
      <c r="I1230" s="7" t="s">
        <v>7159</v>
      </c>
      <c r="J1230" s="10">
        <v>46184</v>
      </c>
      <c r="K1230" s="7" t="s">
        <v>7163</v>
      </c>
      <c r="L1230" s="7"/>
      <c r="M1230" s="7"/>
    </row>
    <row r="1231" spans="1:13" x14ac:dyDescent="0.3">
      <c r="A1231" s="7">
        <v>18694</v>
      </c>
      <c r="B1231" s="7" t="s">
        <v>1239</v>
      </c>
      <c r="C1231" s="7" t="s">
        <v>6529</v>
      </c>
      <c r="D1231" s="7" t="s">
        <v>6549</v>
      </c>
      <c r="E1231" s="7" t="s">
        <v>6295</v>
      </c>
      <c r="F1231" s="7" t="s">
        <v>6340</v>
      </c>
      <c r="G1231" s="7" t="s">
        <v>7150</v>
      </c>
      <c r="H1231" s="7" t="s">
        <v>7156</v>
      </c>
      <c r="I1231" s="7" t="s">
        <v>7159</v>
      </c>
      <c r="J1231" s="10">
        <v>46185</v>
      </c>
      <c r="K1231" s="7" t="s">
        <v>7163</v>
      </c>
      <c r="L1231" s="7"/>
      <c r="M1231" s="7"/>
    </row>
    <row r="1232" spans="1:13" x14ac:dyDescent="0.3">
      <c r="A1232" s="7">
        <v>18678</v>
      </c>
      <c r="B1232" s="7" t="s">
        <v>1240</v>
      </c>
      <c r="C1232" s="7" t="s">
        <v>6529</v>
      </c>
      <c r="D1232" s="7" t="s">
        <v>6549</v>
      </c>
      <c r="E1232" s="7" t="s">
        <v>6295</v>
      </c>
      <c r="F1232" s="7" t="s">
        <v>6340</v>
      </c>
      <c r="G1232" s="7" t="s">
        <v>7150</v>
      </c>
      <c r="H1232" s="7" t="s">
        <v>7156</v>
      </c>
      <c r="I1232" s="7" t="s">
        <v>7159</v>
      </c>
      <c r="J1232" s="10">
        <v>46184</v>
      </c>
      <c r="K1232" s="7" t="s">
        <v>7163</v>
      </c>
      <c r="L1232" s="7"/>
      <c r="M1232" s="7"/>
    </row>
    <row r="1233" spans="1:13" x14ac:dyDescent="0.3">
      <c r="A1233" s="7">
        <v>18674</v>
      </c>
      <c r="B1233" s="7" t="s">
        <v>1241</v>
      </c>
      <c r="C1233" s="7" t="s">
        <v>6529</v>
      </c>
      <c r="D1233" s="7" t="s">
        <v>6549</v>
      </c>
      <c r="E1233" s="7" t="s">
        <v>6295</v>
      </c>
      <c r="F1233" s="7" t="s">
        <v>6340</v>
      </c>
      <c r="G1233" s="7" t="s">
        <v>7150</v>
      </c>
      <c r="H1233" s="7" t="s">
        <v>7156</v>
      </c>
      <c r="I1233" s="7" t="s">
        <v>7159</v>
      </c>
      <c r="J1233" s="10">
        <v>46184</v>
      </c>
      <c r="K1233" s="7" t="s">
        <v>7163</v>
      </c>
      <c r="L1233" s="7"/>
      <c r="M1233" s="7"/>
    </row>
    <row r="1234" spans="1:13" x14ac:dyDescent="0.3">
      <c r="A1234" s="7">
        <v>18683</v>
      </c>
      <c r="B1234" s="7" t="s">
        <v>1242</v>
      </c>
      <c r="C1234" s="7" t="s">
        <v>6529</v>
      </c>
      <c r="D1234" s="7" t="s">
        <v>6549</v>
      </c>
      <c r="E1234" s="7" t="s">
        <v>6295</v>
      </c>
      <c r="F1234" s="7" t="s">
        <v>6340</v>
      </c>
      <c r="G1234" s="7" t="s">
        <v>7150</v>
      </c>
      <c r="H1234" s="7" t="s">
        <v>7156</v>
      </c>
      <c r="I1234" s="7" t="s">
        <v>7159</v>
      </c>
      <c r="J1234" s="10">
        <v>46184</v>
      </c>
      <c r="K1234" s="7" t="s">
        <v>7163</v>
      </c>
      <c r="L1234" s="7"/>
      <c r="M1234" s="7"/>
    </row>
    <row r="1235" spans="1:13" x14ac:dyDescent="0.3">
      <c r="A1235" s="7">
        <v>18688</v>
      </c>
      <c r="B1235" s="7" t="s">
        <v>1243</v>
      </c>
      <c r="C1235" s="7" t="s">
        <v>6529</v>
      </c>
      <c r="D1235" s="7" t="s">
        <v>6549</v>
      </c>
      <c r="E1235" s="7" t="s">
        <v>6295</v>
      </c>
      <c r="F1235" s="7" t="s">
        <v>6340</v>
      </c>
      <c r="G1235" s="7" t="s">
        <v>7150</v>
      </c>
      <c r="H1235" s="7" t="s">
        <v>7156</v>
      </c>
      <c r="I1235" s="7" t="s">
        <v>7159</v>
      </c>
      <c r="J1235" s="10">
        <v>46185</v>
      </c>
      <c r="K1235" s="7" t="s">
        <v>7163</v>
      </c>
      <c r="L1235" s="7"/>
      <c r="M1235" s="7"/>
    </row>
    <row r="1236" spans="1:13" x14ac:dyDescent="0.3">
      <c r="A1236" s="7">
        <v>18695</v>
      </c>
      <c r="B1236" s="7" t="s">
        <v>1244</v>
      </c>
      <c r="C1236" s="7" t="s">
        <v>6529</v>
      </c>
      <c r="D1236" s="7" t="s">
        <v>6549</v>
      </c>
      <c r="E1236" s="7" t="s">
        <v>6295</v>
      </c>
      <c r="F1236" s="7" t="s">
        <v>6340</v>
      </c>
      <c r="G1236" s="7" t="s">
        <v>7150</v>
      </c>
      <c r="H1236" s="7" t="s">
        <v>7156</v>
      </c>
      <c r="I1236" s="7" t="s">
        <v>7159</v>
      </c>
      <c r="J1236" s="10">
        <v>46185</v>
      </c>
      <c r="K1236" s="7" t="s">
        <v>7163</v>
      </c>
      <c r="L1236" s="7"/>
      <c r="M1236" s="7"/>
    </row>
    <row r="1237" spans="1:13" x14ac:dyDescent="0.3">
      <c r="A1237" s="7">
        <v>18692</v>
      </c>
      <c r="B1237" s="7" t="s">
        <v>1245</v>
      </c>
      <c r="C1237" s="7" t="s">
        <v>6529</v>
      </c>
      <c r="D1237" s="7" t="s">
        <v>6549</v>
      </c>
      <c r="E1237" s="7" t="s">
        <v>6295</v>
      </c>
      <c r="F1237" s="7" t="s">
        <v>6340</v>
      </c>
      <c r="G1237" s="7" t="s">
        <v>7150</v>
      </c>
      <c r="H1237" s="7" t="s">
        <v>7156</v>
      </c>
      <c r="I1237" s="7" t="s">
        <v>7159</v>
      </c>
      <c r="J1237" s="10">
        <v>46185</v>
      </c>
      <c r="K1237" s="7" t="s">
        <v>7163</v>
      </c>
      <c r="L1237" s="7"/>
      <c r="M1237" s="7"/>
    </row>
    <row r="1238" spans="1:13" x14ac:dyDescent="0.3">
      <c r="A1238" s="7">
        <v>18693</v>
      </c>
      <c r="B1238" s="7" t="s">
        <v>1246</v>
      </c>
      <c r="C1238" s="7" t="s">
        <v>6529</v>
      </c>
      <c r="D1238" s="7" t="s">
        <v>6549</v>
      </c>
      <c r="E1238" s="7" t="s">
        <v>6295</v>
      </c>
      <c r="F1238" s="7" t="s">
        <v>6340</v>
      </c>
      <c r="G1238" s="7" t="s">
        <v>7150</v>
      </c>
      <c r="H1238" s="7" t="s">
        <v>7156</v>
      </c>
      <c r="I1238" s="7" t="s">
        <v>7159</v>
      </c>
      <c r="J1238" s="10">
        <v>46185</v>
      </c>
      <c r="K1238" s="7" t="s">
        <v>7163</v>
      </c>
      <c r="L1238" s="7"/>
      <c r="M1238" s="7"/>
    </row>
    <row r="1239" spans="1:13" x14ac:dyDescent="0.3">
      <c r="A1239" s="7">
        <v>18707</v>
      </c>
      <c r="B1239" s="7" t="s">
        <v>1247</v>
      </c>
      <c r="C1239" s="7" t="s">
        <v>6529</v>
      </c>
      <c r="D1239" s="7" t="s">
        <v>6549</v>
      </c>
      <c r="E1239" s="7" t="s">
        <v>6295</v>
      </c>
      <c r="F1239" s="7" t="s">
        <v>6340</v>
      </c>
      <c r="G1239" s="7" t="s">
        <v>7150</v>
      </c>
      <c r="H1239" s="7" t="s">
        <v>7156</v>
      </c>
      <c r="I1239" s="7" t="s">
        <v>7159</v>
      </c>
      <c r="J1239" s="10">
        <v>46190</v>
      </c>
      <c r="K1239" s="7" t="s">
        <v>7163</v>
      </c>
      <c r="L1239" s="7"/>
      <c r="M1239" s="7"/>
    </row>
    <row r="1240" spans="1:13" x14ac:dyDescent="0.3">
      <c r="A1240" s="7">
        <v>18675</v>
      </c>
      <c r="B1240" s="7" t="s">
        <v>1248</v>
      </c>
      <c r="C1240" s="7" t="s">
        <v>6529</v>
      </c>
      <c r="D1240" s="7" t="s">
        <v>6549</v>
      </c>
      <c r="E1240" s="7" t="s">
        <v>6295</v>
      </c>
      <c r="F1240" s="7" t="s">
        <v>6341</v>
      </c>
      <c r="G1240" s="7" t="s">
        <v>7150</v>
      </c>
      <c r="H1240" s="7" t="s">
        <v>7156</v>
      </c>
      <c r="I1240" s="7" t="s">
        <v>7159</v>
      </c>
      <c r="J1240" s="10">
        <v>46184</v>
      </c>
      <c r="K1240" s="7" t="s">
        <v>7163</v>
      </c>
      <c r="L1240" s="7"/>
      <c r="M1240" s="7"/>
    </row>
    <row r="1241" spans="1:13" x14ac:dyDescent="0.3">
      <c r="A1241" s="7">
        <v>18697</v>
      </c>
      <c r="B1241" s="7" t="s">
        <v>1249</v>
      </c>
      <c r="C1241" s="7" t="s">
        <v>6529</v>
      </c>
      <c r="D1241" s="7" t="s">
        <v>6549</v>
      </c>
      <c r="E1241" s="7" t="s">
        <v>6295</v>
      </c>
      <c r="F1241" s="7" t="s">
        <v>6340</v>
      </c>
      <c r="G1241" s="7" t="s">
        <v>7150</v>
      </c>
      <c r="H1241" s="7" t="s">
        <v>7156</v>
      </c>
      <c r="I1241" s="7" t="s">
        <v>7159</v>
      </c>
      <c r="J1241" s="10">
        <v>46185</v>
      </c>
      <c r="K1241" s="7" t="s">
        <v>7163</v>
      </c>
      <c r="L1241" s="7"/>
      <c r="M1241" s="7"/>
    </row>
    <row r="1242" spans="1:13" x14ac:dyDescent="0.3">
      <c r="A1242" s="7">
        <v>18698</v>
      </c>
      <c r="B1242" s="7" t="s">
        <v>1250</v>
      </c>
      <c r="C1242" s="7" t="s">
        <v>6529</v>
      </c>
      <c r="D1242" s="7" t="s">
        <v>6549</v>
      </c>
      <c r="E1242" s="7" t="s">
        <v>6295</v>
      </c>
      <c r="F1242" s="7" t="s">
        <v>6341</v>
      </c>
      <c r="G1242" s="7" t="s">
        <v>7150</v>
      </c>
      <c r="H1242" s="7" t="s">
        <v>7156</v>
      </c>
      <c r="I1242" s="7" t="s">
        <v>7159</v>
      </c>
      <c r="J1242" s="10">
        <v>46185</v>
      </c>
      <c r="K1242" s="7" t="s">
        <v>7163</v>
      </c>
      <c r="L1242" s="7"/>
      <c r="M1242" s="7"/>
    </row>
    <row r="1243" spans="1:13" x14ac:dyDescent="0.3">
      <c r="A1243" s="7">
        <v>18691</v>
      </c>
      <c r="B1243" s="7" t="s">
        <v>1251</v>
      </c>
      <c r="C1243" s="7" t="s">
        <v>6529</v>
      </c>
      <c r="D1243" s="7" t="s">
        <v>6549</v>
      </c>
      <c r="E1243" s="7" t="s">
        <v>6295</v>
      </c>
      <c r="F1243" s="7" t="s">
        <v>6341</v>
      </c>
      <c r="G1243" s="7" t="s">
        <v>7150</v>
      </c>
      <c r="H1243" s="7" t="s">
        <v>7156</v>
      </c>
      <c r="I1243" s="7" t="s">
        <v>7159</v>
      </c>
      <c r="J1243" s="10">
        <v>46185</v>
      </c>
      <c r="K1243" s="7" t="s">
        <v>7163</v>
      </c>
      <c r="L1243" s="7"/>
      <c r="M1243" s="7"/>
    </row>
    <row r="1244" spans="1:13" x14ac:dyDescent="0.3">
      <c r="A1244" s="7">
        <v>18696</v>
      </c>
      <c r="B1244" s="7" t="s">
        <v>1252</v>
      </c>
      <c r="C1244" s="7" t="s">
        <v>6529</v>
      </c>
      <c r="D1244" s="7" t="s">
        <v>6549</v>
      </c>
      <c r="E1244" s="7" t="s">
        <v>6295</v>
      </c>
      <c r="F1244" s="7" t="s">
        <v>6341</v>
      </c>
      <c r="G1244" s="7" t="s">
        <v>7150</v>
      </c>
      <c r="H1244" s="7" t="s">
        <v>7156</v>
      </c>
      <c r="I1244" s="7" t="s">
        <v>7159</v>
      </c>
      <c r="J1244" s="10">
        <v>46185</v>
      </c>
      <c r="K1244" s="7" t="s">
        <v>7163</v>
      </c>
      <c r="L1244" s="7"/>
      <c r="M1244" s="7"/>
    </row>
    <row r="1245" spans="1:13" x14ac:dyDescent="0.3">
      <c r="A1245" s="7">
        <v>18699</v>
      </c>
      <c r="B1245" s="7" t="s">
        <v>1253</v>
      </c>
      <c r="C1245" s="7" t="s">
        <v>6529</v>
      </c>
      <c r="D1245" s="7" t="s">
        <v>6549</v>
      </c>
      <c r="E1245" s="7" t="s">
        <v>6295</v>
      </c>
      <c r="F1245" s="7" t="s">
        <v>6341</v>
      </c>
      <c r="G1245" s="7" t="s">
        <v>7150</v>
      </c>
      <c r="H1245" s="7" t="s">
        <v>7156</v>
      </c>
      <c r="I1245" s="7" t="s">
        <v>7159</v>
      </c>
      <c r="J1245" s="10">
        <v>46185</v>
      </c>
      <c r="K1245" s="7" t="s">
        <v>7163</v>
      </c>
      <c r="L1245" s="7"/>
      <c r="M1245" s="7"/>
    </row>
    <row r="1246" spans="1:13" x14ac:dyDescent="0.3">
      <c r="A1246" s="7">
        <v>18706</v>
      </c>
      <c r="B1246" s="7" t="s">
        <v>1254</v>
      </c>
      <c r="C1246" s="7" t="s">
        <v>6529</v>
      </c>
      <c r="D1246" s="7" t="s">
        <v>6549</v>
      </c>
      <c r="E1246" s="7" t="s">
        <v>6295</v>
      </c>
      <c r="F1246" s="7" t="s">
        <v>6341</v>
      </c>
      <c r="G1246" s="7" t="s">
        <v>7150</v>
      </c>
      <c r="H1246" s="7" t="s">
        <v>7156</v>
      </c>
      <c r="I1246" s="7" t="s">
        <v>7159</v>
      </c>
      <c r="J1246" s="10">
        <v>46190</v>
      </c>
      <c r="K1246" s="7" t="s">
        <v>7163</v>
      </c>
      <c r="L1246" s="7"/>
      <c r="M1246" s="7"/>
    </row>
    <row r="1247" spans="1:13" x14ac:dyDescent="0.3">
      <c r="A1247" s="7">
        <v>18737</v>
      </c>
      <c r="B1247" s="7" t="s">
        <v>1255</v>
      </c>
      <c r="C1247" s="7" t="s">
        <v>6529</v>
      </c>
      <c r="D1247" s="7" t="s">
        <v>6549</v>
      </c>
      <c r="E1247" s="7" t="s">
        <v>6295</v>
      </c>
      <c r="F1247" s="7" t="s">
        <v>6550</v>
      </c>
      <c r="G1247" s="7" t="s">
        <v>7150</v>
      </c>
      <c r="H1247" s="7" t="s">
        <v>7156</v>
      </c>
      <c r="I1247" s="7" t="s">
        <v>7159</v>
      </c>
      <c r="J1247" s="10">
        <v>46197</v>
      </c>
      <c r="K1247" s="7" t="s">
        <v>7163</v>
      </c>
      <c r="L1247" s="7"/>
      <c r="M1247" s="7" t="s">
        <v>7241</v>
      </c>
    </row>
    <row r="1248" spans="1:13" x14ac:dyDescent="0.3">
      <c r="A1248" s="7">
        <v>18738</v>
      </c>
      <c r="B1248" s="7" t="s">
        <v>1256</v>
      </c>
      <c r="C1248" s="7" t="s">
        <v>6529</v>
      </c>
      <c r="D1248" s="7" t="s">
        <v>6549</v>
      </c>
      <c r="E1248" s="7" t="s">
        <v>6295</v>
      </c>
      <c r="F1248" s="7" t="s">
        <v>6550</v>
      </c>
      <c r="G1248" s="7" t="s">
        <v>7150</v>
      </c>
      <c r="H1248" s="7" t="s">
        <v>7156</v>
      </c>
      <c r="I1248" s="7" t="s">
        <v>7159</v>
      </c>
      <c r="J1248" s="10">
        <v>46197</v>
      </c>
      <c r="K1248" s="7" t="s">
        <v>7163</v>
      </c>
      <c r="L1248" s="7"/>
      <c r="M1248" s="7" t="s">
        <v>7241</v>
      </c>
    </row>
    <row r="1249" spans="1:13" x14ac:dyDescent="0.3">
      <c r="A1249" s="7">
        <v>18739</v>
      </c>
      <c r="B1249" s="7" t="s">
        <v>1257</v>
      </c>
      <c r="C1249" s="7" t="s">
        <v>6529</v>
      </c>
      <c r="D1249" s="7" t="s">
        <v>6549</v>
      </c>
      <c r="E1249" s="7" t="s">
        <v>6295</v>
      </c>
      <c r="F1249" s="7" t="s">
        <v>6550</v>
      </c>
      <c r="G1249" s="7" t="s">
        <v>7150</v>
      </c>
      <c r="H1249" s="7" t="s">
        <v>7156</v>
      </c>
      <c r="I1249" s="7" t="s">
        <v>7159</v>
      </c>
      <c r="J1249" s="10">
        <v>46197</v>
      </c>
      <c r="K1249" s="7" t="s">
        <v>7163</v>
      </c>
      <c r="L1249" s="7"/>
      <c r="M1249" s="7" t="s">
        <v>7241</v>
      </c>
    </row>
    <row r="1250" spans="1:13" x14ac:dyDescent="0.3">
      <c r="A1250" s="7">
        <v>10473</v>
      </c>
      <c r="B1250" s="7" t="s">
        <v>1258</v>
      </c>
      <c r="C1250" s="7" t="s">
        <v>6543</v>
      </c>
      <c r="D1250" s="7" t="s">
        <v>6545</v>
      </c>
      <c r="E1250" s="7" t="s">
        <v>6295</v>
      </c>
      <c r="F1250" s="7" t="s">
        <v>6338</v>
      </c>
      <c r="G1250" s="7" t="s">
        <v>7150</v>
      </c>
      <c r="H1250" s="7" t="s">
        <v>7156</v>
      </c>
      <c r="I1250" s="7"/>
      <c r="J1250" s="10">
        <v>40191</v>
      </c>
      <c r="K1250" s="7" t="s">
        <v>7163</v>
      </c>
      <c r="L1250" s="7"/>
      <c r="M1250" s="7"/>
    </row>
    <row r="1251" spans="1:13" x14ac:dyDescent="0.3">
      <c r="A1251" s="7">
        <v>810014</v>
      </c>
      <c r="B1251" s="7" t="s">
        <v>1259</v>
      </c>
      <c r="C1251" s="7" t="s">
        <v>6543</v>
      </c>
      <c r="D1251" s="7" t="s">
        <v>6546</v>
      </c>
      <c r="E1251" s="7" t="s">
        <v>6295</v>
      </c>
      <c r="F1251" s="7" t="s">
        <v>6335</v>
      </c>
      <c r="G1251" s="7" t="s">
        <v>7150</v>
      </c>
      <c r="H1251" s="7" t="s">
        <v>7156</v>
      </c>
      <c r="I1251" s="7"/>
      <c r="J1251" s="10">
        <v>42254</v>
      </c>
      <c r="K1251" s="7" t="s">
        <v>7163</v>
      </c>
      <c r="L1251" s="7"/>
      <c r="M1251" s="7"/>
    </row>
    <row r="1252" spans="1:13" x14ac:dyDescent="0.3">
      <c r="A1252" s="7">
        <v>11168</v>
      </c>
      <c r="B1252" s="7" t="s">
        <v>1260</v>
      </c>
      <c r="C1252" s="7" t="s">
        <v>6543</v>
      </c>
      <c r="D1252" s="7" t="s">
        <v>6544</v>
      </c>
      <c r="E1252" s="7" t="s">
        <v>6295</v>
      </c>
      <c r="F1252" s="7" t="s">
        <v>6335</v>
      </c>
      <c r="G1252" s="7" t="s">
        <v>7150</v>
      </c>
      <c r="H1252" s="7" t="s">
        <v>7156</v>
      </c>
      <c r="I1252" s="7"/>
      <c r="J1252" s="10">
        <v>42348</v>
      </c>
      <c r="K1252" s="7" t="s">
        <v>7163</v>
      </c>
      <c r="L1252" s="7"/>
      <c r="M1252" s="7"/>
    </row>
    <row r="1253" spans="1:13" x14ac:dyDescent="0.3">
      <c r="A1253" s="7">
        <v>11841</v>
      </c>
      <c r="B1253" s="7" t="s">
        <v>1261</v>
      </c>
      <c r="C1253" s="7" t="s">
        <v>6543</v>
      </c>
      <c r="D1253" s="7" t="s">
        <v>6544</v>
      </c>
      <c r="E1253" s="7" t="s">
        <v>6295</v>
      </c>
      <c r="F1253" s="7" t="s">
        <v>6335</v>
      </c>
      <c r="G1253" s="7" t="s">
        <v>7150</v>
      </c>
      <c r="H1253" s="7" t="s">
        <v>7156</v>
      </c>
      <c r="I1253" s="7"/>
      <c r="J1253" s="10">
        <v>43192</v>
      </c>
      <c r="K1253" s="7" t="s">
        <v>7163</v>
      </c>
      <c r="L1253" s="7"/>
      <c r="M1253" s="7"/>
    </row>
    <row r="1254" spans="1:13" x14ac:dyDescent="0.3">
      <c r="A1254" s="7">
        <v>18568</v>
      </c>
      <c r="B1254" s="7" t="s">
        <v>1262</v>
      </c>
      <c r="C1254" s="7" t="s">
        <v>6543</v>
      </c>
      <c r="D1254" s="7" t="s">
        <v>6544</v>
      </c>
      <c r="E1254" s="7" t="s">
        <v>6295</v>
      </c>
      <c r="F1254" s="7" t="s">
        <v>6335</v>
      </c>
      <c r="G1254" s="7" t="s">
        <v>7150</v>
      </c>
      <c r="H1254" s="7" t="s">
        <v>7156</v>
      </c>
      <c r="I1254" s="7" t="s">
        <v>7159</v>
      </c>
      <c r="J1254" s="10">
        <v>46154</v>
      </c>
      <c r="K1254" s="7" t="s">
        <v>7163</v>
      </c>
      <c r="L1254" s="7"/>
      <c r="M1254" s="7"/>
    </row>
    <row r="1255" spans="1:13" x14ac:dyDescent="0.3">
      <c r="A1255" s="7">
        <v>240003</v>
      </c>
      <c r="B1255" s="7" t="s">
        <v>1263</v>
      </c>
      <c r="C1255" s="7" t="s">
        <v>6543</v>
      </c>
      <c r="D1255" s="7" t="s">
        <v>6544</v>
      </c>
      <c r="E1255" s="7" t="s">
        <v>6295</v>
      </c>
      <c r="F1255" s="7" t="s">
        <v>6335</v>
      </c>
      <c r="G1255" s="7" t="s">
        <v>7150</v>
      </c>
      <c r="H1255" s="7" t="s">
        <v>7156</v>
      </c>
      <c r="I1255" s="7"/>
      <c r="J1255" s="10">
        <v>39966</v>
      </c>
      <c r="K1255" s="7" t="s">
        <v>7163</v>
      </c>
      <c r="L1255" s="7"/>
      <c r="M1255" s="7"/>
    </row>
    <row r="1256" spans="1:13" x14ac:dyDescent="0.3">
      <c r="A1256" s="7">
        <v>10393</v>
      </c>
      <c r="B1256" s="7" t="s">
        <v>1264</v>
      </c>
      <c r="C1256" s="7" t="s">
        <v>6543</v>
      </c>
      <c r="D1256" s="7" t="s">
        <v>6545</v>
      </c>
      <c r="E1256" s="7" t="s">
        <v>6295</v>
      </c>
      <c r="F1256" s="7" t="s">
        <v>6335</v>
      </c>
      <c r="G1256" s="7" t="s">
        <v>7150</v>
      </c>
      <c r="H1256" s="7" t="s">
        <v>7156</v>
      </c>
      <c r="I1256" s="7"/>
      <c r="J1256" s="10">
        <v>40010</v>
      </c>
      <c r="K1256" s="7" t="s">
        <v>7163</v>
      </c>
      <c r="L1256" s="7"/>
      <c r="M1256" s="7"/>
    </row>
    <row r="1257" spans="1:13" x14ac:dyDescent="0.3">
      <c r="A1257" s="7">
        <v>10712</v>
      </c>
      <c r="B1257" s="7" t="s">
        <v>1265</v>
      </c>
      <c r="C1257" s="7" t="s">
        <v>6543</v>
      </c>
      <c r="D1257" s="7" t="s">
        <v>6546</v>
      </c>
      <c r="E1257" s="7" t="s">
        <v>6295</v>
      </c>
      <c r="F1257" s="7" t="s">
        <v>6353</v>
      </c>
      <c r="G1257" s="7" t="s">
        <v>7150</v>
      </c>
      <c r="H1257" s="7" t="s">
        <v>7156</v>
      </c>
      <c r="I1257" s="7"/>
      <c r="J1257" s="10">
        <v>41703</v>
      </c>
      <c r="K1257" s="7" t="s">
        <v>7163</v>
      </c>
      <c r="L1257" s="7"/>
      <c r="M1257" s="7"/>
    </row>
    <row r="1258" spans="1:13" x14ac:dyDescent="0.3">
      <c r="A1258" s="7">
        <v>19109</v>
      </c>
      <c r="B1258" s="7" t="s">
        <v>1266</v>
      </c>
      <c r="C1258" s="7" t="s">
        <v>6543</v>
      </c>
      <c r="D1258" s="7" t="s">
        <v>6546</v>
      </c>
      <c r="E1258" s="7" t="s">
        <v>6295</v>
      </c>
      <c r="F1258" s="7" t="s">
        <v>6551</v>
      </c>
      <c r="G1258" s="7" t="s">
        <v>7150</v>
      </c>
      <c r="H1258" s="7" t="s">
        <v>7156</v>
      </c>
      <c r="I1258" s="7" t="s">
        <v>7159</v>
      </c>
      <c r="J1258" s="10">
        <v>46267</v>
      </c>
      <c r="K1258" s="7" t="s">
        <v>7163</v>
      </c>
      <c r="L1258" s="7"/>
      <c r="M1258" s="7"/>
    </row>
    <row r="1259" spans="1:13" x14ac:dyDescent="0.3">
      <c r="A1259" s="7">
        <v>19113</v>
      </c>
      <c r="B1259" s="7" t="s">
        <v>1267</v>
      </c>
      <c r="C1259" s="7" t="s">
        <v>6543</v>
      </c>
      <c r="D1259" s="7" t="s">
        <v>6546</v>
      </c>
      <c r="E1259" s="7" t="s">
        <v>6295</v>
      </c>
      <c r="F1259" s="7" t="s">
        <v>6551</v>
      </c>
      <c r="G1259" s="7" t="s">
        <v>7150</v>
      </c>
      <c r="H1259" s="7" t="s">
        <v>7156</v>
      </c>
      <c r="I1259" s="7" t="s">
        <v>7159</v>
      </c>
      <c r="J1259" s="10">
        <v>46267</v>
      </c>
      <c r="K1259" s="7" t="s">
        <v>7163</v>
      </c>
      <c r="L1259" s="7"/>
      <c r="M1259" s="7"/>
    </row>
    <row r="1260" spans="1:13" x14ac:dyDescent="0.3">
      <c r="A1260" s="7">
        <v>19110</v>
      </c>
      <c r="B1260" s="7" t="s">
        <v>1268</v>
      </c>
      <c r="C1260" s="7" t="s">
        <v>6543</v>
      </c>
      <c r="D1260" s="7" t="s">
        <v>6546</v>
      </c>
      <c r="E1260" s="7" t="s">
        <v>6295</v>
      </c>
      <c r="F1260" s="7" t="s">
        <v>6551</v>
      </c>
      <c r="G1260" s="7" t="s">
        <v>7150</v>
      </c>
      <c r="H1260" s="7" t="s">
        <v>7156</v>
      </c>
      <c r="I1260" s="7" t="s">
        <v>7159</v>
      </c>
      <c r="J1260" s="10">
        <v>46267</v>
      </c>
      <c r="K1260" s="7" t="s">
        <v>7163</v>
      </c>
      <c r="L1260" s="7"/>
      <c r="M1260" s="7"/>
    </row>
    <row r="1261" spans="1:13" x14ac:dyDescent="0.3">
      <c r="A1261" s="7">
        <v>19111</v>
      </c>
      <c r="B1261" s="7" t="s">
        <v>1269</v>
      </c>
      <c r="C1261" s="7" t="s">
        <v>6543</v>
      </c>
      <c r="D1261" s="7" t="s">
        <v>6546</v>
      </c>
      <c r="E1261" s="7" t="s">
        <v>6295</v>
      </c>
      <c r="F1261" s="7" t="s">
        <v>6551</v>
      </c>
      <c r="G1261" s="7" t="s">
        <v>7150</v>
      </c>
      <c r="H1261" s="7" t="s">
        <v>7156</v>
      </c>
      <c r="I1261" s="7" t="s">
        <v>7159</v>
      </c>
      <c r="J1261" s="10">
        <v>46267</v>
      </c>
      <c r="K1261" s="7" t="s">
        <v>7163</v>
      </c>
      <c r="L1261" s="7"/>
      <c r="M1261" s="7"/>
    </row>
    <row r="1262" spans="1:13" x14ac:dyDescent="0.3">
      <c r="A1262" s="7">
        <v>19112</v>
      </c>
      <c r="B1262" s="7" t="s">
        <v>1270</v>
      </c>
      <c r="C1262" s="7" t="s">
        <v>6543</v>
      </c>
      <c r="D1262" s="7" t="s">
        <v>6546</v>
      </c>
      <c r="E1262" s="7" t="s">
        <v>6295</v>
      </c>
      <c r="F1262" s="7" t="s">
        <v>6551</v>
      </c>
      <c r="G1262" s="7" t="s">
        <v>7150</v>
      </c>
      <c r="H1262" s="7" t="s">
        <v>7156</v>
      </c>
      <c r="I1262" s="7" t="s">
        <v>7159</v>
      </c>
      <c r="J1262" s="10">
        <v>46267</v>
      </c>
      <c r="K1262" s="7" t="s">
        <v>7163</v>
      </c>
      <c r="L1262" s="7"/>
      <c r="M1262" s="7"/>
    </row>
    <row r="1263" spans="1:13" x14ac:dyDescent="0.3">
      <c r="A1263" s="7">
        <v>19114</v>
      </c>
      <c r="B1263" s="7" t="s">
        <v>1271</v>
      </c>
      <c r="C1263" s="7" t="s">
        <v>6543</v>
      </c>
      <c r="D1263" s="7" t="s">
        <v>6546</v>
      </c>
      <c r="E1263" s="7" t="s">
        <v>6295</v>
      </c>
      <c r="F1263" s="7" t="s">
        <v>6551</v>
      </c>
      <c r="G1263" s="7" t="s">
        <v>7150</v>
      </c>
      <c r="H1263" s="7" t="s">
        <v>7156</v>
      </c>
      <c r="I1263" s="7" t="s">
        <v>7159</v>
      </c>
      <c r="J1263" s="10">
        <v>46267</v>
      </c>
      <c r="K1263" s="7" t="s">
        <v>7163</v>
      </c>
      <c r="L1263" s="7"/>
      <c r="M1263" s="7"/>
    </row>
    <row r="1264" spans="1:13" x14ac:dyDescent="0.3">
      <c r="A1264" s="7">
        <v>19115</v>
      </c>
      <c r="B1264" s="7" t="s">
        <v>1272</v>
      </c>
      <c r="C1264" s="7" t="s">
        <v>6543</v>
      </c>
      <c r="D1264" s="7" t="s">
        <v>6546</v>
      </c>
      <c r="E1264" s="7" t="s">
        <v>6295</v>
      </c>
      <c r="F1264" s="7" t="s">
        <v>6551</v>
      </c>
      <c r="G1264" s="7" t="s">
        <v>7150</v>
      </c>
      <c r="H1264" s="7" t="s">
        <v>7156</v>
      </c>
      <c r="I1264" s="7" t="s">
        <v>7159</v>
      </c>
      <c r="J1264" s="10">
        <v>46267</v>
      </c>
      <c r="K1264" s="7" t="s">
        <v>7163</v>
      </c>
      <c r="L1264" s="7"/>
      <c r="M1264" s="7"/>
    </row>
    <row r="1265" spans="1:13" x14ac:dyDescent="0.3">
      <c r="A1265" s="7">
        <v>19188</v>
      </c>
      <c r="B1265" s="7" t="s">
        <v>1273</v>
      </c>
      <c r="C1265" s="7" t="s">
        <v>6543</v>
      </c>
      <c r="D1265" s="7" t="s">
        <v>6546</v>
      </c>
      <c r="E1265" s="7" t="s">
        <v>6295</v>
      </c>
      <c r="F1265" s="7" t="s">
        <v>6551</v>
      </c>
      <c r="G1265" s="7" t="s">
        <v>7150</v>
      </c>
      <c r="H1265" s="7" t="s">
        <v>7156</v>
      </c>
      <c r="I1265" s="7" t="s">
        <v>7159</v>
      </c>
      <c r="J1265" s="10">
        <v>46274</v>
      </c>
      <c r="K1265" s="7" t="s">
        <v>7163</v>
      </c>
      <c r="L1265" s="7"/>
      <c r="M1265" s="7"/>
    </row>
    <row r="1266" spans="1:13" x14ac:dyDescent="0.3">
      <c r="A1266" s="7">
        <v>18927</v>
      </c>
      <c r="B1266" s="7" t="s">
        <v>1274</v>
      </c>
      <c r="C1266" s="7" t="s">
        <v>6543</v>
      </c>
      <c r="D1266" s="7" t="s">
        <v>6546</v>
      </c>
      <c r="E1266" s="7" t="s">
        <v>6295</v>
      </c>
      <c r="F1266" s="7" t="s">
        <v>6552</v>
      </c>
      <c r="G1266" s="7" t="s">
        <v>7150</v>
      </c>
      <c r="H1266" s="7" t="s">
        <v>7156</v>
      </c>
      <c r="I1266" s="7" t="s">
        <v>7159</v>
      </c>
      <c r="J1266" s="10">
        <v>46239</v>
      </c>
      <c r="K1266" s="7" t="s">
        <v>7163</v>
      </c>
      <c r="L1266" s="7"/>
      <c r="M1266" s="7"/>
    </row>
    <row r="1267" spans="1:13" x14ac:dyDescent="0.3">
      <c r="A1267" s="7">
        <v>18926</v>
      </c>
      <c r="B1267" s="7" t="s">
        <v>1275</v>
      </c>
      <c r="C1267" s="7" t="s">
        <v>6543</v>
      </c>
      <c r="D1267" s="7" t="s">
        <v>6546</v>
      </c>
      <c r="E1267" s="7" t="s">
        <v>6295</v>
      </c>
      <c r="F1267" s="7" t="s">
        <v>6553</v>
      </c>
      <c r="G1267" s="7" t="s">
        <v>7150</v>
      </c>
      <c r="H1267" s="7" t="s">
        <v>7156</v>
      </c>
      <c r="I1267" s="7" t="s">
        <v>7159</v>
      </c>
      <c r="J1267" s="10">
        <v>46239</v>
      </c>
      <c r="K1267" s="7" t="s">
        <v>7163</v>
      </c>
      <c r="L1267" s="7"/>
      <c r="M1267" s="7"/>
    </row>
    <row r="1268" spans="1:13" x14ac:dyDescent="0.3">
      <c r="A1268" s="7">
        <v>19117</v>
      </c>
      <c r="B1268" s="7" t="s">
        <v>1276</v>
      </c>
      <c r="C1268" s="7" t="s">
        <v>6543</v>
      </c>
      <c r="D1268" s="7" t="s">
        <v>6546</v>
      </c>
      <c r="E1268" s="7" t="s">
        <v>6295</v>
      </c>
      <c r="F1268" s="7" t="s">
        <v>6554</v>
      </c>
      <c r="G1268" s="7" t="s">
        <v>7150</v>
      </c>
      <c r="H1268" s="7" t="s">
        <v>7156</v>
      </c>
      <c r="I1268" s="7" t="s">
        <v>7159</v>
      </c>
      <c r="J1268" s="10">
        <v>46267</v>
      </c>
      <c r="K1268" s="7" t="s">
        <v>7163</v>
      </c>
      <c r="L1268" s="7"/>
      <c r="M1268" s="7"/>
    </row>
    <row r="1269" spans="1:13" x14ac:dyDescent="0.3">
      <c r="A1269" s="7">
        <v>19116</v>
      </c>
      <c r="B1269" s="7" t="s">
        <v>1277</v>
      </c>
      <c r="C1269" s="7" t="s">
        <v>6543</v>
      </c>
      <c r="D1269" s="7" t="s">
        <v>6546</v>
      </c>
      <c r="E1269" s="7" t="s">
        <v>6295</v>
      </c>
      <c r="F1269" s="7" t="s">
        <v>6554</v>
      </c>
      <c r="G1269" s="7" t="s">
        <v>7150</v>
      </c>
      <c r="H1269" s="7" t="s">
        <v>7156</v>
      </c>
      <c r="I1269" s="7" t="s">
        <v>7159</v>
      </c>
      <c r="J1269" s="10">
        <v>46267</v>
      </c>
      <c r="K1269" s="7" t="s">
        <v>7163</v>
      </c>
      <c r="L1269" s="7"/>
      <c r="M1269" s="7"/>
    </row>
    <row r="1270" spans="1:13" x14ac:dyDescent="0.3">
      <c r="A1270" s="7">
        <v>19118</v>
      </c>
      <c r="B1270" s="7" t="s">
        <v>1278</v>
      </c>
      <c r="C1270" s="7" t="s">
        <v>6543</v>
      </c>
      <c r="D1270" s="7" t="s">
        <v>6546</v>
      </c>
      <c r="E1270" s="7" t="s">
        <v>6295</v>
      </c>
      <c r="F1270" s="7" t="s">
        <v>6554</v>
      </c>
      <c r="G1270" s="7" t="s">
        <v>7150</v>
      </c>
      <c r="H1270" s="7" t="s">
        <v>7156</v>
      </c>
      <c r="I1270" s="7" t="s">
        <v>7159</v>
      </c>
      <c r="J1270" s="10">
        <v>46267</v>
      </c>
      <c r="K1270" s="7" t="s">
        <v>7163</v>
      </c>
      <c r="L1270" s="7"/>
      <c r="M1270" s="7"/>
    </row>
    <row r="1271" spans="1:13" x14ac:dyDescent="0.3">
      <c r="A1271" s="7">
        <v>19119</v>
      </c>
      <c r="B1271" s="7" t="s">
        <v>1279</v>
      </c>
      <c r="C1271" s="7" t="s">
        <v>6543</v>
      </c>
      <c r="D1271" s="7" t="s">
        <v>6546</v>
      </c>
      <c r="E1271" s="7" t="s">
        <v>6295</v>
      </c>
      <c r="F1271" s="7" t="s">
        <v>6554</v>
      </c>
      <c r="G1271" s="7" t="s">
        <v>7150</v>
      </c>
      <c r="H1271" s="7" t="s">
        <v>7156</v>
      </c>
      <c r="I1271" s="7" t="s">
        <v>7159</v>
      </c>
      <c r="J1271" s="10">
        <v>46267</v>
      </c>
      <c r="K1271" s="7" t="s">
        <v>7163</v>
      </c>
      <c r="L1271" s="7"/>
      <c r="M1271" s="7"/>
    </row>
    <row r="1272" spans="1:13" x14ac:dyDescent="0.3">
      <c r="A1272" s="7">
        <v>19120</v>
      </c>
      <c r="B1272" s="7" t="s">
        <v>1280</v>
      </c>
      <c r="C1272" s="7" t="s">
        <v>6543</v>
      </c>
      <c r="D1272" s="7" t="s">
        <v>6546</v>
      </c>
      <c r="E1272" s="7" t="s">
        <v>6295</v>
      </c>
      <c r="F1272" s="7" t="s">
        <v>6554</v>
      </c>
      <c r="G1272" s="7" t="s">
        <v>7150</v>
      </c>
      <c r="H1272" s="7" t="s">
        <v>7156</v>
      </c>
      <c r="I1272" s="7" t="s">
        <v>7159</v>
      </c>
      <c r="J1272" s="10">
        <v>46267</v>
      </c>
      <c r="K1272" s="7" t="s">
        <v>7163</v>
      </c>
      <c r="L1272" s="7"/>
      <c r="M1272" s="7"/>
    </row>
    <row r="1273" spans="1:13" x14ac:dyDescent="0.3">
      <c r="A1273" s="7">
        <v>18966</v>
      </c>
      <c r="B1273" s="7" t="s">
        <v>1281</v>
      </c>
      <c r="C1273" s="7" t="s">
        <v>6543</v>
      </c>
      <c r="D1273" s="7" t="s">
        <v>6546</v>
      </c>
      <c r="E1273" s="7" t="s">
        <v>6295</v>
      </c>
      <c r="F1273" s="7" t="s">
        <v>6555</v>
      </c>
      <c r="G1273" s="7" t="s">
        <v>7150</v>
      </c>
      <c r="H1273" s="7" t="s">
        <v>7156</v>
      </c>
      <c r="I1273" s="7" t="s">
        <v>7159</v>
      </c>
      <c r="J1273" s="10">
        <v>46246</v>
      </c>
      <c r="K1273" s="7" t="s">
        <v>7163</v>
      </c>
      <c r="L1273" s="7"/>
      <c r="M1273" s="7"/>
    </row>
    <row r="1274" spans="1:13" x14ac:dyDescent="0.3">
      <c r="A1274" s="7">
        <v>18998</v>
      </c>
      <c r="B1274" s="7" t="s">
        <v>1282</v>
      </c>
      <c r="C1274" s="7" t="s">
        <v>6543</v>
      </c>
      <c r="D1274" s="7" t="s">
        <v>6546</v>
      </c>
      <c r="E1274" s="7" t="s">
        <v>6295</v>
      </c>
      <c r="F1274" s="7" t="s">
        <v>6556</v>
      </c>
      <c r="G1274" s="7" t="s">
        <v>7150</v>
      </c>
      <c r="H1274" s="7" t="s">
        <v>7156</v>
      </c>
      <c r="I1274" s="7" t="s">
        <v>7159</v>
      </c>
      <c r="J1274" s="10">
        <v>46252</v>
      </c>
      <c r="K1274" s="7" t="s">
        <v>7163</v>
      </c>
      <c r="L1274" s="7"/>
      <c r="M1274" s="7"/>
    </row>
    <row r="1275" spans="1:13" x14ac:dyDescent="0.3">
      <c r="A1275" s="7">
        <v>19024</v>
      </c>
      <c r="B1275" s="7" t="s">
        <v>1283</v>
      </c>
      <c r="C1275" s="7" t="s">
        <v>6543</v>
      </c>
      <c r="D1275" s="7" t="s">
        <v>6546</v>
      </c>
      <c r="E1275" s="7" t="s">
        <v>6295</v>
      </c>
      <c r="F1275" s="7" t="s">
        <v>6557</v>
      </c>
      <c r="G1275" s="7" t="s">
        <v>7150</v>
      </c>
      <c r="H1275" s="7" t="s">
        <v>7156</v>
      </c>
      <c r="I1275" s="7" t="s">
        <v>7159</v>
      </c>
      <c r="J1275" s="10">
        <v>46258</v>
      </c>
      <c r="K1275" s="7" t="s">
        <v>7163</v>
      </c>
      <c r="L1275" s="7"/>
      <c r="M1275" s="7"/>
    </row>
    <row r="1276" spans="1:13" x14ac:dyDescent="0.3">
      <c r="A1276" s="7">
        <v>19025</v>
      </c>
      <c r="B1276" s="7" t="s">
        <v>1284</v>
      </c>
      <c r="C1276" s="7" t="s">
        <v>6543</v>
      </c>
      <c r="D1276" s="7" t="s">
        <v>6546</v>
      </c>
      <c r="E1276" s="7" t="s">
        <v>6295</v>
      </c>
      <c r="F1276" s="7" t="s">
        <v>6558</v>
      </c>
      <c r="G1276" s="7" t="s">
        <v>7150</v>
      </c>
      <c r="H1276" s="7" t="s">
        <v>7156</v>
      </c>
      <c r="I1276" s="7" t="s">
        <v>7159</v>
      </c>
      <c r="J1276" s="10">
        <v>46258</v>
      </c>
      <c r="K1276" s="7" t="s">
        <v>7163</v>
      </c>
      <c r="L1276" s="7"/>
      <c r="M1276" s="7"/>
    </row>
    <row r="1277" spans="1:13" x14ac:dyDescent="0.3">
      <c r="A1277" s="7">
        <v>19027</v>
      </c>
      <c r="B1277" s="7" t="s">
        <v>1285</v>
      </c>
      <c r="C1277" s="7" t="s">
        <v>6543</v>
      </c>
      <c r="D1277" s="7" t="s">
        <v>6546</v>
      </c>
      <c r="E1277" s="7" t="s">
        <v>6295</v>
      </c>
      <c r="F1277" s="7" t="s">
        <v>6558</v>
      </c>
      <c r="G1277" s="7" t="s">
        <v>7150</v>
      </c>
      <c r="H1277" s="7" t="s">
        <v>7156</v>
      </c>
      <c r="I1277" s="7" t="s">
        <v>7159</v>
      </c>
      <c r="J1277" s="10">
        <v>46258</v>
      </c>
      <c r="K1277" s="7" t="s">
        <v>7163</v>
      </c>
      <c r="L1277" s="7"/>
      <c r="M1277" s="7"/>
    </row>
    <row r="1278" spans="1:13" x14ac:dyDescent="0.3">
      <c r="A1278" s="7">
        <v>19028</v>
      </c>
      <c r="B1278" s="7" t="s">
        <v>1286</v>
      </c>
      <c r="C1278" s="7" t="s">
        <v>6543</v>
      </c>
      <c r="D1278" s="7" t="s">
        <v>6546</v>
      </c>
      <c r="E1278" s="7" t="s">
        <v>6295</v>
      </c>
      <c r="F1278" s="7" t="s">
        <v>6558</v>
      </c>
      <c r="G1278" s="7" t="s">
        <v>7150</v>
      </c>
      <c r="H1278" s="7" t="s">
        <v>7156</v>
      </c>
      <c r="I1278" s="7" t="s">
        <v>7159</v>
      </c>
      <c r="J1278" s="10">
        <v>46258</v>
      </c>
      <c r="K1278" s="7" t="s">
        <v>7163</v>
      </c>
      <c r="L1278" s="7"/>
      <c r="M1278" s="7"/>
    </row>
    <row r="1279" spans="1:13" x14ac:dyDescent="0.3">
      <c r="A1279" s="7">
        <v>19026</v>
      </c>
      <c r="B1279" s="7" t="s">
        <v>1287</v>
      </c>
      <c r="C1279" s="7" t="s">
        <v>6543</v>
      </c>
      <c r="D1279" s="7" t="s">
        <v>6546</v>
      </c>
      <c r="E1279" s="7" t="s">
        <v>6295</v>
      </c>
      <c r="F1279" s="7" t="s">
        <v>6559</v>
      </c>
      <c r="G1279" s="7" t="s">
        <v>7150</v>
      </c>
      <c r="H1279" s="7" t="s">
        <v>7156</v>
      </c>
      <c r="I1279" s="7" t="s">
        <v>7159</v>
      </c>
      <c r="J1279" s="10">
        <v>46258</v>
      </c>
      <c r="K1279" s="7" t="s">
        <v>7163</v>
      </c>
      <c r="L1279" s="7"/>
      <c r="M1279" s="7"/>
    </row>
    <row r="1280" spans="1:13" x14ac:dyDescent="0.3">
      <c r="A1280" s="7">
        <v>19187</v>
      </c>
      <c r="B1280" s="7" t="s">
        <v>1288</v>
      </c>
      <c r="C1280" s="7" t="s">
        <v>6543</v>
      </c>
      <c r="D1280" s="7" t="s">
        <v>6546</v>
      </c>
      <c r="E1280" s="7" t="s">
        <v>6295</v>
      </c>
      <c r="F1280" s="7" t="s">
        <v>6559</v>
      </c>
      <c r="G1280" s="7" t="s">
        <v>7150</v>
      </c>
      <c r="H1280" s="7" t="s">
        <v>7156</v>
      </c>
      <c r="I1280" s="7" t="s">
        <v>7159</v>
      </c>
      <c r="J1280" s="10">
        <v>46274</v>
      </c>
      <c r="K1280" s="7" t="s">
        <v>7163</v>
      </c>
      <c r="L1280" s="7"/>
      <c r="M1280" s="7"/>
    </row>
    <row r="1281" spans="1:13" x14ac:dyDescent="0.3">
      <c r="A1281" s="7">
        <v>14016</v>
      </c>
      <c r="B1281" s="7" t="s">
        <v>1289</v>
      </c>
      <c r="C1281" s="7" t="s">
        <v>6543</v>
      </c>
      <c r="D1281" s="7" t="s">
        <v>6544</v>
      </c>
      <c r="E1281" s="7" t="s">
        <v>6295</v>
      </c>
      <c r="F1281" s="7" t="s">
        <v>6340</v>
      </c>
      <c r="G1281" s="7" t="s">
        <v>7150</v>
      </c>
      <c r="H1281" s="7" t="s">
        <v>7156</v>
      </c>
      <c r="I1281" s="7"/>
      <c r="J1281" s="10">
        <v>44624</v>
      </c>
      <c r="K1281" s="7" t="s">
        <v>7163</v>
      </c>
      <c r="L1281" s="7"/>
      <c r="M1281" s="7"/>
    </row>
    <row r="1282" spans="1:13" x14ac:dyDescent="0.3">
      <c r="A1282" s="7">
        <v>10852</v>
      </c>
      <c r="B1282" s="7" t="s">
        <v>1290</v>
      </c>
      <c r="C1282" s="7" t="s">
        <v>6543</v>
      </c>
      <c r="D1282" s="7" t="s">
        <v>6544</v>
      </c>
      <c r="E1282" s="7" t="s">
        <v>6295</v>
      </c>
      <c r="F1282" s="7" t="s">
        <v>6340</v>
      </c>
      <c r="G1282" s="7" t="s">
        <v>7150</v>
      </c>
      <c r="H1282" s="7" t="s">
        <v>7156</v>
      </c>
      <c r="I1282" s="7"/>
      <c r="J1282" s="10">
        <v>41997</v>
      </c>
      <c r="K1282" s="7" t="s">
        <v>7163</v>
      </c>
      <c r="L1282" s="7"/>
      <c r="M1282" s="7"/>
    </row>
    <row r="1283" spans="1:13" x14ac:dyDescent="0.3">
      <c r="A1283" s="7">
        <v>18558</v>
      </c>
      <c r="B1283" s="7" t="s">
        <v>1291</v>
      </c>
      <c r="C1283" s="7" t="s">
        <v>6543</v>
      </c>
      <c r="D1283" s="7" t="s">
        <v>6544</v>
      </c>
      <c r="E1283" s="7" t="s">
        <v>6295</v>
      </c>
      <c r="F1283" s="7" t="s">
        <v>6340</v>
      </c>
      <c r="G1283" s="7" t="s">
        <v>7150</v>
      </c>
      <c r="H1283" s="7" t="s">
        <v>7156</v>
      </c>
      <c r="I1283" s="7" t="s">
        <v>7159</v>
      </c>
      <c r="J1283" s="10">
        <v>46150</v>
      </c>
      <c r="K1283" s="7" t="s">
        <v>7163</v>
      </c>
      <c r="L1283" s="7"/>
      <c r="M1283" s="7"/>
    </row>
    <row r="1284" spans="1:13" x14ac:dyDescent="0.3">
      <c r="A1284" s="7">
        <v>200004</v>
      </c>
      <c r="B1284" s="7" t="s">
        <v>1292</v>
      </c>
      <c r="C1284" s="7" t="s">
        <v>6543</v>
      </c>
      <c r="D1284" s="7" t="s">
        <v>6544</v>
      </c>
      <c r="E1284" s="7" t="s">
        <v>6295</v>
      </c>
      <c r="F1284" s="7" t="s">
        <v>6341</v>
      </c>
      <c r="G1284" s="7" t="s">
        <v>7150</v>
      </c>
      <c r="H1284" s="7" t="s">
        <v>7156</v>
      </c>
      <c r="I1284" s="7"/>
      <c r="J1284" s="10">
        <v>43210</v>
      </c>
      <c r="K1284" s="7" t="s">
        <v>7163</v>
      </c>
      <c r="L1284" s="7"/>
      <c r="M1284" s="7"/>
    </row>
    <row r="1285" spans="1:13" x14ac:dyDescent="0.3">
      <c r="A1285" s="7">
        <v>10221</v>
      </c>
      <c r="B1285" s="7" t="s">
        <v>1293</v>
      </c>
      <c r="C1285" s="7" t="s">
        <v>6543</v>
      </c>
      <c r="D1285" s="7" t="s">
        <v>6544</v>
      </c>
      <c r="E1285" s="7" t="s">
        <v>6295</v>
      </c>
      <c r="F1285" s="7" t="s">
        <v>6560</v>
      </c>
      <c r="G1285" s="7" t="s">
        <v>7150</v>
      </c>
      <c r="H1285" s="7" t="s">
        <v>7156</v>
      </c>
      <c r="I1285" s="7"/>
      <c r="J1285" s="10">
        <v>36713</v>
      </c>
      <c r="K1285" s="7" t="s">
        <v>7163</v>
      </c>
      <c r="L1285" s="7"/>
      <c r="M1285" s="7"/>
    </row>
    <row r="1286" spans="1:13" x14ac:dyDescent="0.3">
      <c r="A1286" s="7">
        <v>900036</v>
      </c>
      <c r="B1286" s="7" t="s">
        <v>1294</v>
      </c>
      <c r="C1286" s="7" t="s">
        <v>6543</v>
      </c>
      <c r="D1286" s="7" t="s">
        <v>6546</v>
      </c>
      <c r="E1286" s="7" t="s">
        <v>6295</v>
      </c>
      <c r="F1286" s="7" t="s">
        <v>6560</v>
      </c>
      <c r="G1286" s="7" t="s">
        <v>7150</v>
      </c>
      <c r="H1286" s="7" t="s">
        <v>7156</v>
      </c>
      <c r="I1286" s="7"/>
      <c r="J1286" s="10">
        <v>41823</v>
      </c>
      <c r="K1286" s="7" t="s">
        <v>7163</v>
      </c>
      <c r="L1286" s="7"/>
      <c r="M1286" s="7"/>
    </row>
    <row r="1287" spans="1:13" x14ac:dyDescent="0.3">
      <c r="A1287" s="7">
        <v>11128</v>
      </c>
      <c r="B1287" s="7" t="s">
        <v>1295</v>
      </c>
      <c r="C1287" s="7" t="s">
        <v>6543</v>
      </c>
      <c r="D1287" s="7" t="s">
        <v>6545</v>
      </c>
      <c r="E1287" s="7" t="s">
        <v>6295</v>
      </c>
      <c r="F1287" s="7" t="s">
        <v>6560</v>
      </c>
      <c r="G1287" s="7" t="s">
        <v>7150</v>
      </c>
      <c r="H1287" s="7" t="s">
        <v>7156</v>
      </c>
      <c r="I1287" s="7"/>
      <c r="J1287" s="10">
        <v>42299</v>
      </c>
      <c r="K1287" s="7" t="s">
        <v>7163</v>
      </c>
      <c r="L1287" s="7"/>
      <c r="M1287" s="7"/>
    </row>
    <row r="1288" spans="1:13" x14ac:dyDescent="0.3">
      <c r="A1288" s="7">
        <v>16360</v>
      </c>
      <c r="B1288" s="7" t="s">
        <v>1296</v>
      </c>
      <c r="C1288" s="7" t="s">
        <v>6543</v>
      </c>
      <c r="D1288" s="7" t="s">
        <v>6544</v>
      </c>
      <c r="E1288" s="7" t="s">
        <v>6295</v>
      </c>
      <c r="F1288" s="7" t="s">
        <v>6560</v>
      </c>
      <c r="G1288" s="7" t="s">
        <v>7150</v>
      </c>
      <c r="H1288" s="7" t="s">
        <v>7156</v>
      </c>
      <c r="I1288" s="7"/>
      <c r="J1288" s="10">
        <v>45357</v>
      </c>
      <c r="K1288" s="7" t="s">
        <v>7163</v>
      </c>
      <c r="L1288" s="7"/>
      <c r="M1288" s="7"/>
    </row>
    <row r="1289" spans="1:13" x14ac:dyDescent="0.3">
      <c r="A1289" s="7">
        <v>16361</v>
      </c>
      <c r="B1289" s="7" t="s">
        <v>1297</v>
      </c>
      <c r="C1289" s="7" t="s">
        <v>6543</v>
      </c>
      <c r="D1289" s="7" t="s">
        <v>6544</v>
      </c>
      <c r="E1289" s="7" t="s">
        <v>6295</v>
      </c>
      <c r="F1289" s="7" t="s">
        <v>6560</v>
      </c>
      <c r="G1289" s="7" t="s">
        <v>7150</v>
      </c>
      <c r="H1289" s="7" t="s">
        <v>7156</v>
      </c>
      <c r="I1289" s="7"/>
      <c r="J1289" s="10">
        <v>45357</v>
      </c>
      <c r="K1289" s="7" t="s">
        <v>7163</v>
      </c>
      <c r="L1289" s="7"/>
      <c r="M1289" s="7"/>
    </row>
    <row r="1290" spans="1:13" x14ac:dyDescent="0.3">
      <c r="A1290" s="7">
        <v>16362</v>
      </c>
      <c r="B1290" s="7" t="s">
        <v>1298</v>
      </c>
      <c r="C1290" s="7" t="s">
        <v>6543</v>
      </c>
      <c r="D1290" s="7" t="s">
        <v>6544</v>
      </c>
      <c r="E1290" s="7" t="s">
        <v>6295</v>
      </c>
      <c r="F1290" s="7" t="s">
        <v>6560</v>
      </c>
      <c r="G1290" s="7" t="s">
        <v>7150</v>
      </c>
      <c r="H1290" s="7" t="s">
        <v>7156</v>
      </c>
      <c r="I1290" s="7"/>
      <c r="J1290" s="10">
        <v>45357</v>
      </c>
      <c r="K1290" s="7" t="s">
        <v>7163</v>
      </c>
      <c r="L1290" s="7"/>
      <c r="M1290" s="7"/>
    </row>
    <row r="1291" spans="1:13" x14ac:dyDescent="0.3">
      <c r="A1291" s="7">
        <v>16364</v>
      </c>
      <c r="B1291" s="7" t="s">
        <v>1299</v>
      </c>
      <c r="C1291" s="7" t="s">
        <v>6543</v>
      </c>
      <c r="D1291" s="7" t="s">
        <v>6544</v>
      </c>
      <c r="E1291" s="7" t="s">
        <v>6295</v>
      </c>
      <c r="F1291" s="7" t="s">
        <v>6560</v>
      </c>
      <c r="G1291" s="7" t="s">
        <v>7150</v>
      </c>
      <c r="H1291" s="7" t="s">
        <v>7156</v>
      </c>
      <c r="I1291" s="7"/>
      <c r="J1291" s="10">
        <v>45357</v>
      </c>
      <c r="K1291" s="7" t="s">
        <v>7163</v>
      </c>
      <c r="L1291" s="7"/>
      <c r="M1291" s="7"/>
    </row>
    <row r="1292" spans="1:13" x14ac:dyDescent="0.3">
      <c r="A1292" s="7">
        <v>11690</v>
      </c>
      <c r="B1292" s="7" t="s">
        <v>1300</v>
      </c>
      <c r="C1292" s="7" t="s">
        <v>6543</v>
      </c>
      <c r="D1292" s="7" t="s">
        <v>6546</v>
      </c>
      <c r="E1292" s="7" t="s">
        <v>6295</v>
      </c>
      <c r="F1292" s="7" t="s">
        <v>6560</v>
      </c>
      <c r="G1292" s="7" t="s">
        <v>7150</v>
      </c>
      <c r="H1292" s="7" t="s">
        <v>7156</v>
      </c>
      <c r="I1292" s="7"/>
      <c r="J1292" s="10">
        <v>43024</v>
      </c>
      <c r="K1292" s="7" t="s">
        <v>7163</v>
      </c>
      <c r="L1292" s="7"/>
      <c r="M1292" s="7"/>
    </row>
    <row r="1293" spans="1:13" x14ac:dyDescent="0.3">
      <c r="A1293" s="7">
        <v>18559</v>
      </c>
      <c r="B1293" s="7" t="s">
        <v>1301</v>
      </c>
      <c r="C1293" s="7" t="s">
        <v>6543</v>
      </c>
      <c r="D1293" s="7" t="s">
        <v>6546</v>
      </c>
      <c r="E1293" s="7" t="s">
        <v>6295</v>
      </c>
      <c r="F1293" s="7" t="s">
        <v>6560</v>
      </c>
      <c r="G1293" s="7" t="s">
        <v>7150</v>
      </c>
      <c r="H1293" s="7" t="s">
        <v>7156</v>
      </c>
      <c r="I1293" s="7" t="s">
        <v>7159</v>
      </c>
      <c r="J1293" s="10">
        <v>46154</v>
      </c>
      <c r="K1293" s="7" t="s">
        <v>7163</v>
      </c>
      <c r="L1293" s="7"/>
      <c r="M1293" s="7"/>
    </row>
    <row r="1294" spans="1:13" x14ac:dyDescent="0.3">
      <c r="A1294" s="7">
        <v>18566</v>
      </c>
      <c r="B1294" s="7" t="s">
        <v>1302</v>
      </c>
      <c r="C1294" s="7" t="s">
        <v>6543</v>
      </c>
      <c r="D1294" s="7" t="s">
        <v>6546</v>
      </c>
      <c r="E1294" s="7" t="s">
        <v>6295</v>
      </c>
      <c r="F1294" s="7" t="s">
        <v>6560</v>
      </c>
      <c r="G1294" s="7" t="s">
        <v>7150</v>
      </c>
      <c r="H1294" s="7" t="s">
        <v>7156</v>
      </c>
      <c r="I1294" s="7" t="s">
        <v>7159</v>
      </c>
      <c r="J1294" s="10">
        <v>46154</v>
      </c>
      <c r="K1294" s="7" t="s">
        <v>7163</v>
      </c>
      <c r="L1294" s="7"/>
      <c r="M1294" s="7"/>
    </row>
    <row r="1295" spans="1:13" x14ac:dyDescent="0.3">
      <c r="A1295" s="7">
        <v>18560</v>
      </c>
      <c r="B1295" s="7" t="s">
        <v>1303</v>
      </c>
      <c r="C1295" s="7" t="s">
        <v>6543</v>
      </c>
      <c r="D1295" s="7" t="s">
        <v>6546</v>
      </c>
      <c r="E1295" s="7" t="s">
        <v>6295</v>
      </c>
      <c r="F1295" s="7" t="s">
        <v>6560</v>
      </c>
      <c r="G1295" s="7" t="s">
        <v>7150</v>
      </c>
      <c r="H1295" s="7" t="s">
        <v>7156</v>
      </c>
      <c r="I1295" s="7" t="s">
        <v>7159</v>
      </c>
      <c r="J1295" s="10">
        <v>46154</v>
      </c>
      <c r="K1295" s="7" t="s">
        <v>7163</v>
      </c>
      <c r="L1295" s="7"/>
      <c r="M1295" s="7"/>
    </row>
    <row r="1296" spans="1:13" x14ac:dyDescent="0.3">
      <c r="A1296" s="7">
        <v>15206</v>
      </c>
      <c r="B1296" s="7" t="s">
        <v>1304</v>
      </c>
      <c r="C1296" s="7" t="s">
        <v>6543</v>
      </c>
      <c r="D1296" s="7" t="s">
        <v>6545</v>
      </c>
      <c r="E1296" s="7" t="s">
        <v>6295</v>
      </c>
      <c r="F1296" s="7" t="s">
        <v>6560</v>
      </c>
      <c r="G1296" s="7" t="s">
        <v>7150</v>
      </c>
      <c r="H1296" s="7" t="s">
        <v>7156</v>
      </c>
      <c r="I1296" s="7"/>
      <c r="J1296" s="10">
        <v>44987</v>
      </c>
      <c r="K1296" s="7" t="s">
        <v>7163</v>
      </c>
      <c r="L1296" s="7"/>
      <c r="M1296" s="7"/>
    </row>
    <row r="1297" spans="1:13" x14ac:dyDescent="0.3">
      <c r="A1297" s="7">
        <v>14802</v>
      </c>
      <c r="B1297" s="7" t="s">
        <v>1305</v>
      </c>
      <c r="C1297" s="7" t="s">
        <v>6543</v>
      </c>
      <c r="D1297" s="7" t="s">
        <v>6546</v>
      </c>
      <c r="E1297" s="7" t="s">
        <v>6295</v>
      </c>
      <c r="F1297" s="7" t="s">
        <v>6560</v>
      </c>
      <c r="G1297" s="7" t="s">
        <v>7150</v>
      </c>
      <c r="H1297" s="7" t="s">
        <v>7156</v>
      </c>
      <c r="I1297" s="7"/>
      <c r="J1297" s="10">
        <v>44860</v>
      </c>
      <c r="K1297" s="7" t="s">
        <v>7163</v>
      </c>
      <c r="L1297" s="7"/>
      <c r="M1297" s="7"/>
    </row>
    <row r="1298" spans="1:13" x14ac:dyDescent="0.3">
      <c r="A1298" s="7">
        <v>15451</v>
      </c>
      <c r="B1298" s="7" t="s">
        <v>1306</v>
      </c>
      <c r="C1298" s="7" t="s">
        <v>6543</v>
      </c>
      <c r="D1298" s="7" t="s">
        <v>6544</v>
      </c>
      <c r="E1298" s="7" t="s">
        <v>6295</v>
      </c>
      <c r="F1298" s="7" t="s">
        <v>6560</v>
      </c>
      <c r="G1298" s="7" t="s">
        <v>7150</v>
      </c>
      <c r="H1298" s="7" t="s">
        <v>7156</v>
      </c>
      <c r="I1298" s="7"/>
      <c r="J1298" s="10">
        <v>45079</v>
      </c>
      <c r="K1298" s="7" t="s">
        <v>7163</v>
      </c>
      <c r="L1298" s="7"/>
      <c r="M1298" s="7"/>
    </row>
    <row r="1299" spans="1:13" x14ac:dyDescent="0.3">
      <c r="A1299" s="7">
        <v>18561</v>
      </c>
      <c r="B1299" s="7" t="s">
        <v>1307</v>
      </c>
      <c r="C1299" s="7" t="s">
        <v>6543</v>
      </c>
      <c r="D1299" s="7" t="s">
        <v>6544</v>
      </c>
      <c r="E1299" s="7" t="s">
        <v>6295</v>
      </c>
      <c r="F1299" s="7" t="s">
        <v>6561</v>
      </c>
      <c r="G1299" s="7" t="s">
        <v>7150</v>
      </c>
      <c r="H1299" s="7" t="s">
        <v>7156</v>
      </c>
      <c r="I1299" s="7" t="s">
        <v>7159</v>
      </c>
      <c r="J1299" s="10">
        <v>46154</v>
      </c>
      <c r="K1299" s="7" t="s">
        <v>7163</v>
      </c>
      <c r="L1299" s="7"/>
      <c r="M1299" s="7"/>
    </row>
    <row r="1300" spans="1:13" x14ac:dyDescent="0.3">
      <c r="A1300" s="7">
        <v>18562</v>
      </c>
      <c r="B1300" s="7" t="s">
        <v>1308</v>
      </c>
      <c r="C1300" s="7" t="s">
        <v>6543</v>
      </c>
      <c r="D1300" s="7" t="s">
        <v>6544</v>
      </c>
      <c r="E1300" s="7" t="s">
        <v>6295</v>
      </c>
      <c r="F1300" s="7" t="s">
        <v>6561</v>
      </c>
      <c r="G1300" s="7" t="s">
        <v>7150</v>
      </c>
      <c r="H1300" s="7" t="s">
        <v>7156</v>
      </c>
      <c r="I1300" s="7" t="s">
        <v>7159</v>
      </c>
      <c r="J1300" s="10">
        <v>46154</v>
      </c>
      <c r="K1300" s="7" t="s">
        <v>7163</v>
      </c>
      <c r="L1300" s="7"/>
      <c r="M1300" s="7"/>
    </row>
    <row r="1301" spans="1:13" x14ac:dyDescent="0.3">
      <c r="A1301" s="7">
        <v>18563</v>
      </c>
      <c r="B1301" s="7" t="s">
        <v>1309</v>
      </c>
      <c r="C1301" s="7" t="s">
        <v>6543</v>
      </c>
      <c r="D1301" s="7" t="s">
        <v>6544</v>
      </c>
      <c r="E1301" s="7" t="s">
        <v>6295</v>
      </c>
      <c r="F1301" s="7" t="s">
        <v>6561</v>
      </c>
      <c r="G1301" s="7" t="s">
        <v>7150</v>
      </c>
      <c r="H1301" s="7" t="s">
        <v>7156</v>
      </c>
      <c r="I1301" s="7" t="s">
        <v>7159</v>
      </c>
      <c r="J1301" s="10">
        <v>46154</v>
      </c>
      <c r="K1301" s="7" t="s">
        <v>7163</v>
      </c>
      <c r="L1301" s="7"/>
      <c r="M1301" s="7"/>
    </row>
    <row r="1302" spans="1:13" x14ac:dyDescent="0.3">
      <c r="A1302" s="7">
        <v>18564</v>
      </c>
      <c r="B1302" s="7" t="s">
        <v>1310</v>
      </c>
      <c r="C1302" s="7" t="s">
        <v>6543</v>
      </c>
      <c r="D1302" s="7" t="s">
        <v>6544</v>
      </c>
      <c r="E1302" s="7" t="s">
        <v>6295</v>
      </c>
      <c r="F1302" s="7" t="s">
        <v>6561</v>
      </c>
      <c r="G1302" s="7" t="s">
        <v>7150</v>
      </c>
      <c r="H1302" s="7" t="s">
        <v>7156</v>
      </c>
      <c r="I1302" s="7" t="s">
        <v>7159</v>
      </c>
      <c r="J1302" s="10">
        <v>46154</v>
      </c>
      <c r="K1302" s="7" t="s">
        <v>7163</v>
      </c>
      <c r="L1302" s="7"/>
      <c r="M1302" s="7"/>
    </row>
    <row r="1303" spans="1:13" x14ac:dyDescent="0.3">
      <c r="A1303" s="7">
        <v>18565</v>
      </c>
      <c r="B1303" s="7" t="s">
        <v>1311</v>
      </c>
      <c r="C1303" s="7" t="s">
        <v>6543</v>
      </c>
      <c r="D1303" s="7" t="s">
        <v>6544</v>
      </c>
      <c r="E1303" s="7" t="s">
        <v>6295</v>
      </c>
      <c r="F1303" s="7" t="s">
        <v>6561</v>
      </c>
      <c r="G1303" s="7" t="s">
        <v>7150</v>
      </c>
      <c r="H1303" s="7" t="s">
        <v>7156</v>
      </c>
      <c r="I1303" s="7" t="s">
        <v>7159</v>
      </c>
      <c r="J1303" s="10">
        <v>46154</v>
      </c>
      <c r="K1303" s="7" t="s">
        <v>7163</v>
      </c>
      <c r="L1303" s="7"/>
      <c r="M1303" s="7"/>
    </row>
    <row r="1304" spans="1:13" x14ac:dyDescent="0.3">
      <c r="A1304" s="7">
        <v>18567</v>
      </c>
      <c r="B1304" s="7" t="s">
        <v>1312</v>
      </c>
      <c r="C1304" s="7" t="s">
        <v>6543</v>
      </c>
      <c r="D1304" s="7" t="s">
        <v>6544</v>
      </c>
      <c r="E1304" s="7" t="s">
        <v>6295</v>
      </c>
      <c r="F1304" s="7" t="s">
        <v>6561</v>
      </c>
      <c r="G1304" s="7" t="s">
        <v>7150</v>
      </c>
      <c r="H1304" s="7" t="s">
        <v>7156</v>
      </c>
      <c r="I1304" s="7" t="s">
        <v>7159</v>
      </c>
      <c r="J1304" s="10">
        <v>46154</v>
      </c>
      <c r="K1304" s="7" t="s">
        <v>7163</v>
      </c>
      <c r="L1304" s="7"/>
      <c r="M1304" s="7"/>
    </row>
    <row r="1305" spans="1:13" x14ac:dyDescent="0.3">
      <c r="A1305" s="7">
        <v>18569</v>
      </c>
      <c r="B1305" s="7" t="s">
        <v>1313</v>
      </c>
      <c r="C1305" s="7" t="s">
        <v>6543</v>
      </c>
      <c r="D1305" s="7" t="s">
        <v>6544</v>
      </c>
      <c r="E1305" s="7" t="s">
        <v>6295</v>
      </c>
      <c r="F1305" s="7" t="s">
        <v>6561</v>
      </c>
      <c r="G1305" s="7" t="s">
        <v>7150</v>
      </c>
      <c r="H1305" s="7" t="s">
        <v>7156</v>
      </c>
      <c r="I1305" s="7" t="s">
        <v>7159</v>
      </c>
      <c r="J1305" s="10">
        <v>46154</v>
      </c>
      <c r="K1305" s="7" t="s">
        <v>7163</v>
      </c>
      <c r="L1305" s="7"/>
      <c r="M1305" s="7"/>
    </row>
    <row r="1306" spans="1:13" x14ac:dyDescent="0.3">
      <c r="A1306" s="7">
        <v>18603</v>
      </c>
      <c r="B1306" s="7" t="s">
        <v>1314</v>
      </c>
      <c r="C1306" s="7" t="s">
        <v>6543</v>
      </c>
      <c r="D1306" s="7" t="s">
        <v>6544</v>
      </c>
      <c r="E1306" s="7" t="s">
        <v>6295</v>
      </c>
      <c r="F1306" s="7" t="s">
        <v>6561</v>
      </c>
      <c r="G1306" s="7" t="s">
        <v>7150</v>
      </c>
      <c r="H1306" s="7" t="s">
        <v>7156</v>
      </c>
      <c r="I1306" s="7" t="s">
        <v>7159</v>
      </c>
      <c r="J1306" s="10">
        <v>46161</v>
      </c>
      <c r="K1306" s="7" t="s">
        <v>7163</v>
      </c>
      <c r="L1306" s="7"/>
      <c r="M1306" s="7"/>
    </row>
    <row r="1307" spans="1:13" x14ac:dyDescent="0.3">
      <c r="A1307" s="7">
        <v>18570</v>
      </c>
      <c r="B1307" s="7" t="s">
        <v>1315</v>
      </c>
      <c r="C1307" s="7" t="s">
        <v>6543</v>
      </c>
      <c r="D1307" s="7" t="s">
        <v>6544</v>
      </c>
      <c r="E1307" s="7" t="s">
        <v>6295</v>
      </c>
      <c r="F1307" s="7" t="s">
        <v>6561</v>
      </c>
      <c r="G1307" s="7" t="s">
        <v>7150</v>
      </c>
      <c r="H1307" s="7" t="s">
        <v>7156</v>
      </c>
      <c r="I1307" s="7" t="s">
        <v>7159</v>
      </c>
      <c r="J1307" s="10">
        <v>46154</v>
      </c>
      <c r="K1307" s="7" t="s">
        <v>7163</v>
      </c>
      <c r="L1307" s="7"/>
      <c r="M1307" s="7"/>
    </row>
    <row r="1308" spans="1:13" x14ac:dyDescent="0.3">
      <c r="A1308" s="7">
        <v>18571</v>
      </c>
      <c r="B1308" s="7" t="s">
        <v>1316</v>
      </c>
      <c r="C1308" s="7" t="s">
        <v>6543</v>
      </c>
      <c r="D1308" s="7" t="s">
        <v>6544</v>
      </c>
      <c r="E1308" s="7" t="s">
        <v>6295</v>
      </c>
      <c r="F1308" s="7" t="s">
        <v>6561</v>
      </c>
      <c r="G1308" s="7" t="s">
        <v>7150</v>
      </c>
      <c r="H1308" s="7" t="s">
        <v>7156</v>
      </c>
      <c r="I1308" s="7" t="s">
        <v>7159</v>
      </c>
      <c r="J1308" s="10">
        <v>46154</v>
      </c>
      <c r="K1308" s="7" t="s">
        <v>7163</v>
      </c>
      <c r="L1308" s="7"/>
      <c r="M1308" s="7"/>
    </row>
    <row r="1309" spans="1:13" x14ac:dyDescent="0.3">
      <c r="A1309" s="7">
        <v>18576</v>
      </c>
      <c r="B1309" s="7" t="s">
        <v>1317</v>
      </c>
      <c r="C1309" s="7" t="s">
        <v>6543</v>
      </c>
      <c r="D1309" s="7" t="s">
        <v>6544</v>
      </c>
      <c r="E1309" s="7" t="s">
        <v>6295</v>
      </c>
      <c r="F1309" s="7" t="s">
        <v>6561</v>
      </c>
      <c r="G1309" s="7" t="s">
        <v>7150</v>
      </c>
      <c r="H1309" s="7" t="s">
        <v>7156</v>
      </c>
      <c r="I1309" s="7" t="s">
        <v>7159</v>
      </c>
      <c r="J1309" s="10">
        <v>46154</v>
      </c>
      <c r="K1309" s="7" t="s">
        <v>7163</v>
      </c>
      <c r="L1309" s="7"/>
      <c r="M1309" s="7"/>
    </row>
    <row r="1310" spans="1:13" x14ac:dyDescent="0.3">
      <c r="A1310" s="7">
        <v>18572</v>
      </c>
      <c r="B1310" s="7" t="s">
        <v>1318</v>
      </c>
      <c r="C1310" s="7" t="s">
        <v>6543</v>
      </c>
      <c r="D1310" s="7" t="s">
        <v>6544</v>
      </c>
      <c r="E1310" s="7" t="s">
        <v>6295</v>
      </c>
      <c r="F1310" s="7" t="s">
        <v>6561</v>
      </c>
      <c r="G1310" s="7" t="s">
        <v>7150</v>
      </c>
      <c r="H1310" s="7" t="s">
        <v>7156</v>
      </c>
      <c r="I1310" s="7" t="s">
        <v>7159</v>
      </c>
      <c r="J1310" s="10">
        <v>46154</v>
      </c>
      <c r="K1310" s="7" t="s">
        <v>7163</v>
      </c>
      <c r="L1310" s="7"/>
      <c r="M1310" s="7"/>
    </row>
    <row r="1311" spans="1:13" x14ac:dyDescent="0.3">
      <c r="A1311" s="7">
        <v>18573</v>
      </c>
      <c r="B1311" s="7" t="s">
        <v>1319</v>
      </c>
      <c r="C1311" s="7" t="s">
        <v>6543</v>
      </c>
      <c r="D1311" s="7" t="s">
        <v>6544</v>
      </c>
      <c r="E1311" s="7" t="s">
        <v>6295</v>
      </c>
      <c r="F1311" s="7" t="s">
        <v>6561</v>
      </c>
      <c r="G1311" s="7" t="s">
        <v>7150</v>
      </c>
      <c r="H1311" s="7" t="s">
        <v>7156</v>
      </c>
      <c r="I1311" s="7" t="s">
        <v>7159</v>
      </c>
      <c r="J1311" s="10">
        <v>46154</v>
      </c>
      <c r="K1311" s="7" t="s">
        <v>7163</v>
      </c>
      <c r="L1311" s="7"/>
      <c r="M1311" s="7"/>
    </row>
    <row r="1312" spans="1:13" x14ac:dyDescent="0.3">
      <c r="A1312" s="7">
        <v>18574</v>
      </c>
      <c r="B1312" s="7" t="s">
        <v>1320</v>
      </c>
      <c r="C1312" s="7" t="s">
        <v>6543</v>
      </c>
      <c r="D1312" s="7" t="s">
        <v>6544</v>
      </c>
      <c r="E1312" s="7" t="s">
        <v>6295</v>
      </c>
      <c r="F1312" s="7" t="s">
        <v>6561</v>
      </c>
      <c r="G1312" s="7" t="s">
        <v>7150</v>
      </c>
      <c r="H1312" s="7" t="s">
        <v>7156</v>
      </c>
      <c r="I1312" s="7" t="s">
        <v>7159</v>
      </c>
      <c r="J1312" s="10">
        <v>46154</v>
      </c>
      <c r="K1312" s="7" t="s">
        <v>7163</v>
      </c>
      <c r="L1312" s="7"/>
      <c r="M1312" s="7"/>
    </row>
    <row r="1313" spans="1:13" x14ac:dyDescent="0.3">
      <c r="A1313" s="7">
        <v>18575</v>
      </c>
      <c r="B1313" s="7" t="s">
        <v>1321</v>
      </c>
      <c r="C1313" s="7" t="s">
        <v>6543</v>
      </c>
      <c r="D1313" s="7" t="s">
        <v>6544</v>
      </c>
      <c r="E1313" s="7" t="s">
        <v>6295</v>
      </c>
      <c r="F1313" s="7" t="s">
        <v>6560</v>
      </c>
      <c r="G1313" s="7" t="s">
        <v>7150</v>
      </c>
      <c r="H1313" s="7" t="s">
        <v>7156</v>
      </c>
      <c r="I1313" s="7" t="s">
        <v>7159</v>
      </c>
      <c r="J1313" s="10">
        <v>46154</v>
      </c>
      <c r="K1313" s="7" t="s">
        <v>7163</v>
      </c>
      <c r="L1313" s="7"/>
      <c r="M1313" s="7"/>
    </row>
    <row r="1314" spans="1:13" x14ac:dyDescent="0.3">
      <c r="A1314" s="7">
        <v>18602</v>
      </c>
      <c r="B1314" s="7" t="s">
        <v>1322</v>
      </c>
      <c r="C1314" s="7" t="s">
        <v>6543</v>
      </c>
      <c r="D1314" s="7" t="s">
        <v>6544</v>
      </c>
      <c r="E1314" s="7" t="s">
        <v>6295</v>
      </c>
      <c r="F1314" s="7" t="s">
        <v>6560</v>
      </c>
      <c r="G1314" s="7" t="s">
        <v>7150</v>
      </c>
      <c r="H1314" s="7" t="s">
        <v>7156</v>
      </c>
      <c r="I1314" s="7" t="s">
        <v>7159</v>
      </c>
      <c r="J1314" s="10">
        <v>46161</v>
      </c>
      <c r="K1314" s="7" t="s">
        <v>7163</v>
      </c>
      <c r="L1314" s="7"/>
      <c r="M1314" s="7"/>
    </row>
    <row r="1315" spans="1:13" x14ac:dyDescent="0.3">
      <c r="A1315" s="7">
        <v>15319</v>
      </c>
      <c r="B1315" s="7" t="s">
        <v>1323</v>
      </c>
      <c r="C1315" s="7" t="s">
        <v>6543</v>
      </c>
      <c r="D1315" s="7" t="s">
        <v>6544</v>
      </c>
      <c r="E1315" s="7" t="s">
        <v>6295</v>
      </c>
      <c r="F1315" s="7" t="s">
        <v>6560</v>
      </c>
      <c r="G1315" s="7" t="s">
        <v>7150</v>
      </c>
      <c r="H1315" s="7" t="s">
        <v>7156</v>
      </c>
      <c r="I1315" s="7"/>
      <c r="J1315" s="10">
        <v>45028</v>
      </c>
      <c r="K1315" s="7" t="s">
        <v>7163</v>
      </c>
      <c r="L1315" s="7"/>
      <c r="M1315" s="7"/>
    </row>
    <row r="1316" spans="1:13" x14ac:dyDescent="0.3">
      <c r="A1316" s="7">
        <v>18652</v>
      </c>
      <c r="B1316" s="7" t="s">
        <v>1324</v>
      </c>
      <c r="C1316" s="7" t="s">
        <v>6543</v>
      </c>
      <c r="D1316" s="7" t="s">
        <v>6546</v>
      </c>
      <c r="E1316" s="7" t="s">
        <v>6295</v>
      </c>
      <c r="F1316" s="7" t="s">
        <v>6335</v>
      </c>
      <c r="G1316" s="7" t="s">
        <v>7150</v>
      </c>
      <c r="H1316" s="7" t="s">
        <v>7156</v>
      </c>
      <c r="I1316" s="7" t="s">
        <v>7159</v>
      </c>
      <c r="J1316" s="10">
        <v>46181</v>
      </c>
      <c r="K1316" s="7" t="s">
        <v>7163</v>
      </c>
      <c r="L1316" s="7"/>
      <c r="M1316" s="7"/>
    </row>
    <row r="1317" spans="1:13" x14ac:dyDescent="0.3">
      <c r="A1317" s="7">
        <v>15125</v>
      </c>
      <c r="B1317" s="7" t="s">
        <v>1325</v>
      </c>
      <c r="C1317" s="7" t="s">
        <v>6543</v>
      </c>
      <c r="D1317" s="7" t="s">
        <v>6546</v>
      </c>
      <c r="E1317" s="7" t="s">
        <v>6295</v>
      </c>
      <c r="F1317" s="7" t="s">
        <v>6560</v>
      </c>
      <c r="G1317" s="7" t="s">
        <v>7150</v>
      </c>
      <c r="H1317" s="7" t="s">
        <v>7156</v>
      </c>
      <c r="I1317" s="7"/>
      <c r="J1317" s="10">
        <v>44959</v>
      </c>
      <c r="K1317" s="7" t="s">
        <v>7163</v>
      </c>
      <c r="L1317" s="7"/>
      <c r="M1317" s="7"/>
    </row>
    <row r="1318" spans="1:13" x14ac:dyDescent="0.3">
      <c r="A1318" s="7">
        <v>11148</v>
      </c>
      <c r="B1318" s="7" t="s">
        <v>1326</v>
      </c>
      <c r="C1318" s="7" t="s">
        <v>6543</v>
      </c>
      <c r="D1318" s="7" t="s">
        <v>6546</v>
      </c>
      <c r="E1318" s="7" t="s">
        <v>6295</v>
      </c>
      <c r="F1318" s="7" t="s">
        <v>6560</v>
      </c>
      <c r="G1318" s="7" t="s">
        <v>7150</v>
      </c>
      <c r="H1318" s="7" t="s">
        <v>7156</v>
      </c>
      <c r="I1318" s="7"/>
      <c r="J1318" s="10">
        <v>42311</v>
      </c>
      <c r="K1318" s="7" t="s">
        <v>7163</v>
      </c>
      <c r="L1318" s="7"/>
      <c r="M1318" s="7"/>
    </row>
    <row r="1319" spans="1:13" x14ac:dyDescent="0.3">
      <c r="A1319" s="7">
        <v>12234</v>
      </c>
      <c r="B1319" s="7" t="s">
        <v>1327</v>
      </c>
      <c r="C1319" s="7" t="s">
        <v>6543</v>
      </c>
      <c r="D1319" s="7" t="s">
        <v>6545</v>
      </c>
      <c r="E1319" s="7" t="s">
        <v>6295</v>
      </c>
      <c r="F1319" s="7" t="s">
        <v>6560</v>
      </c>
      <c r="G1319" s="7" t="s">
        <v>7150</v>
      </c>
      <c r="H1319" s="7" t="s">
        <v>7156</v>
      </c>
      <c r="I1319" s="7"/>
      <c r="J1319" s="10">
        <v>43620</v>
      </c>
      <c r="K1319" s="7" t="s">
        <v>7163</v>
      </c>
      <c r="L1319" s="7"/>
      <c r="M1319" s="7"/>
    </row>
    <row r="1320" spans="1:13" x14ac:dyDescent="0.3">
      <c r="A1320" s="7">
        <v>10635</v>
      </c>
      <c r="B1320" s="7" t="s">
        <v>1328</v>
      </c>
      <c r="C1320" s="7" t="s">
        <v>6543</v>
      </c>
      <c r="D1320" s="7" t="s">
        <v>6544</v>
      </c>
      <c r="E1320" s="7" t="s">
        <v>6295</v>
      </c>
      <c r="F1320" s="7" t="s">
        <v>6560</v>
      </c>
      <c r="G1320" s="7" t="s">
        <v>7150</v>
      </c>
      <c r="H1320" s="7" t="s">
        <v>7156</v>
      </c>
      <c r="I1320" s="7"/>
      <c r="J1320" s="10">
        <v>39766</v>
      </c>
      <c r="K1320" s="7" t="s">
        <v>7163</v>
      </c>
      <c r="L1320" s="7"/>
      <c r="M1320" s="7"/>
    </row>
    <row r="1321" spans="1:13" x14ac:dyDescent="0.3">
      <c r="A1321" s="7">
        <v>17782</v>
      </c>
      <c r="B1321" s="7" t="s">
        <v>1329</v>
      </c>
      <c r="C1321" s="7" t="s">
        <v>6543</v>
      </c>
      <c r="D1321" s="7" t="s">
        <v>6545</v>
      </c>
      <c r="E1321" s="7" t="s">
        <v>6295</v>
      </c>
      <c r="F1321" s="7" t="s">
        <v>6560</v>
      </c>
      <c r="G1321" s="7" t="s">
        <v>7150</v>
      </c>
      <c r="H1321" s="7" t="s">
        <v>7156</v>
      </c>
      <c r="I1321" s="7"/>
      <c r="J1321" s="10">
        <v>45881</v>
      </c>
      <c r="K1321" s="7" t="s">
        <v>7163</v>
      </c>
      <c r="L1321" s="7"/>
      <c r="M1321" s="7"/>
    </row>
    <row r="1322" spans="1:13" x14ac:dyDescent="0.3">
      <c r="A1322" s="7">
        <v>10468</v>
      </c>
      <c r="B1322" s="7" t="s">
        <v>1330</v>
      </c>
      <c r="C1322" s="7" t="s">
        <v>6543</v>
      </c>
      <c r="D1322" s="7" t="s">
        <v>6544</v>
      </c>
      <c r="E1322" s="7" t="s">
        <v>6295</v>
      </c>
      <c r="F1322" s="7" t="s">
        <v>6560</v>
      </c>
      <c r="G1322" s="7" t="s">
        <v>7150</v>
      </c>
      <c r="H1322" s="7" t="s">
        <v>7156</v>
      </c>
      <c r="I1322" s="7"/>
      <c r="J1322" s="10">
        <v>40155</v>
      </c>
      <c r="K1322" s="7" t="s">
        <v>7163</v>
      </c>
      <c r="L1322" s="7"/>
      <c r="M1322" s="7"/>
    </row>
    <row r="1323" spans="1:13" x14ac:dyDescent="0.3">
      <c r="A1323" s="7">
        <v>12185</v>
      </c>
      <c r="B1323" s="7" t="s">
        <v>1331</v>
      </c>
      <c r="C1323" s="7" t="s">
        <v>6543</v>
      </c>
      <c r="D1323" s="7" t="s">
        <v>6545</v>
      </c>
      <c r="E1323" s="7" t="s">
        <v>6295</v>
      </c>
      <c r="F1323" s="7" t="s">
        <v>6560</v>
      </c>
      <c r="G1323" s="7" t="s">
        <v>7150</v>
      </c>
      <c r="H1323" s="7" t="s">
        <v>7156</v>
      </c>
      <c r="I1323" s="7"/>
      <c r="J1323" s="10">
        <v>43566</v>
      </c>
      <c r="K1323" s="7" t="s">
        <v>7163</v>
      </c>
      <c r="L1323" s="7"/>
      <c r="M1323" s="7"/>
    </row>
    <row r="1324" spans="1:13" x14ac:dyDescent="0.3">
      <c r="A1324" s="7">
        <v>12281</v>
      </c>
      <c r="B1324" s="7" t="s">
        <v>1332</v>
      </c>
      <c r="C1324" s="7" t="s">
        <v>6543</v>
      </c>
      <c r="D1324" s="7" t="s">
        <v>6544</v>
      </c>
      <c r="E1324" s="7" t="s">
        <v>6295</v>
      </c>
      <c r="F1324" s="7" t="s">
        <v>6560</v>
      </c>
      <c r="G1324" s="7" t="s">
        <v>7150</v>
      </c>
      <c r="H1324" s="7" t="s">
        <v>7156</v>
      </c>
      <c r="I1324" s="7"/>
      <c r="J1324" s="10">
        <v>43662</v>
      </c>
      <c r="K1324" s="7" t="s">
        <v>7163</v>
      </c>
      <c r="L1324" s="7"/>
      <c r="M1324" s="7"/>
    </row>
    <row r="1325" spans="1:13" x14ac:dyDescent="0.3">
      <c r="A1325" s="7">
        <v>11169</v>
      </c>
      <c r="B1325" s="7" t="s">
        <v>1333</v>
      </c>
      <c r="C1325" s="7" t="s">
        <v>6543</v>
      </c>
      <c r="D1325" s="7" t="s">
        <v>6544</v>
      </c>
      <c r="E1325" s="7" t="s">
        <v>6295</v>
      </c>
      <c r="F1325" s="7" t="s">
        <v>6560</v>
      </c>
      <c r="G1325" s="7" t="s">
        <v>7150</v>
      </c>
      <c r="H1325" s="7" t="s">
        <v>7156</v>
      </c>
      <c r="I1325" s="7"/>
      <c r="J1325" s="10">
        <v>42348</v>
      </c>
      <c r="K1325" s="7" t="s">
        <v>7163</v>
      </c>
      <c r="L1325" s="7"/>
      <c r="M1325" s="7"/>
    </row>
    <row r="1326" spans="1:13" x14ac:dyDescent="0.3">
      <c r="A1326" s="7">
        <v>11328</v>
      </c>
      <c r="B1326" s="7" t="s">
        <v>1334</v>
      </c>
      <c r="C1326" s="7" t="s">
        <v>6543</v>
      </c>
      <c r="D1326" s="7" t="s">
        <v>6544</v>
      </c>
      <c r="E1326" s="7" t="s">
        <v>6295</v>
      </c>
      <c r="F1326" s="7" t="s">
        <v>6560</v>
      </c>
      <c r="G1326" s="7" t="s">
        <v>7150</v>
      </c>
      <c r="H1326" s="7" t="s">
        <v>7156</v>
      </c>
      <c r="I1326" s="7"/>
      <c r="J1326" s="10">
        <v>42530</v>
      </c>
      <c r="K1326" s="7" t="s">
        <v>7163</v>
      </c>
      <c r="L1326" s="7"/>
      <c r="M1326" s="7"/>
    </row>
    <row r="1327" spans="1:13" x14ac:dyDescent="0.3">
      <c r="A1327" s="7">
        <v>12042</v>
      </c>
      <c r="B1327" s="7" t="s">
        <v>1335</v>
      </c>
      <c r="C1327" s="7" t="s">
        <v>6543</v>
      </c>
      <c r="D1327" s="7" t="s">
        <v>6545</v>
      </c>
      <c r="E1327" s="7" t="s">
        <v>6295</v>
      </c>
      <c r="F1327" s="7" t="s">
        <v>6560</v>
      </c>
      <c r="G1327" s="7" t="s">
        <v>7150</v>
      </c>
      <c r="H1327" s="7" t="s">
        <v>7156</v>
      </c>
      <c r="I1327" s="7"/>
      <c r="J1327" s="10">
        <v>43409</v>
      </c>
      <c r="K1327" s="7" t="s">
        <v>7163</v>
      </c>
      <c r="L1327" s="7"/>
      <c r="M1327" s="7"/>
    </row>
    <row r="1328" spans="1:13" x14ac:dyDescent="0.3">
      <c r="A1328" s="7">
        <v>206002</v>
      </c>
      <c r="B1328" s="7" t="s">
        <v>1336</v>
      </c>
      <c r="C1328" s="7" t="s">
        <v>6543</v>
      </c>
      <c r="D1328" s="7" t="s">
        <v>6544</v>
      </c>
      <c r="E1328" s="7" t="s">
        <v>6295</v>
      </c>
      <c r="F1328" s="7" t="s">
        <v>6560</v>
      </c>
      <c r="G1328" s="7" t="s">
        <v>7150</v>
      </c>
      <c r="H1328" s="7" t="s">
        <v>7156</v>
      </c>
      <c r="I1328" s="7"/>
      <c r="J1328" s="10">
        <v>43602</v>
      </c>
      <c r="K1328" s="7" t="s">
        <v>7163</v>
      </c>
      <c r="L1328" s="7"/>
      <c r="M1328" s="7"/>
    </row>
    <row r="1329" spans="1:13" x14ac:dyDescent="0.3">
      <c r="A1329" s="7">
        <v>19237</v>
      </c>
      <c r="B1329" s="7" t="s">
        <v>1337</v>
      </c>
      <c r="C1329" s="7" t="s">
        <v>6543</v>
      </c>
      <c r="D1329" s="7" t="s">
        <v>6544</v>
      </c>
      <c r="E1329" s="7" t="s">
        <v>6295</v>
      </c>
      <c r="F1329" s="7" t="s">
        <v>6562</v>
      </c>
      <c r="G1329" s="7" t="s">
        <v>7150</v>
      </c>
      <c r="H1329" s="7" t="s">
        <v>7156</v>
      </c>
      <c r="I1329" s="7" t="s">
        <v>7159</v>
      </c>
      <c r="J1329" s="10">
        <v>46280</v>
      </c>
      <c r="K1329" s="7" t="s">
        <v>7163</v>
      </c>
      <c r="L1329" s="7"/>
      <c r="M1329" s="7"/>
    </row>
    <row r="1330" spans="1:13" x14ac:dyDescent="0.3">
      <c r="A1330" s="7">
        <v>12044</v>
      </c>
      <c r="B1330" s="7" t="s">
        <v>1338</v>
      </c>
      <c r="C1330" s="7" t="s">
        <v>6543</v>
      </c>
      <c r="D1330" s="7" t="s">
        <v>6545</v>
      </c>
      <c r="E1330" s="7" t="s">
        <v>6295</v>
      </c>
      <c r="F1330" s="7" t="s">
        <v>6560</v>
      </c>
      <c r="G1330" s="7" t="s">
        <v>7150</v>
      </c>
      <c r="H1330" s="7" t="s">
        <v>7156</v>
      </c>
      <c r="I1330" s="7"/>
      <c r="J1330" s="10">
        <v>43416</v>
      </c>
      <c r="K1330" s="7" t="s">
        <v>7163</v>
      </c>
      <c r="L1330" s="7"/>
      <c r="M1330" s="7"/>
    </row>
    <row r="1331" spans="1:13" x14ac:dyDescent="0.3">
      <c r="A1331" s="7">
        <v>12204</v>
      </c>
      <c r="B1331" s="7" t="s">
        <v>1339</v>
      </c>
      <c r="C1331" s="7" t="s">
        <v>6543</v>
      </c>
      <c r="D1331" s="7" t="s">
        <v>6545</v>
      </c>
      <c r="E1331" s="7" t="s">
        <v>6295</v>
      </c>
      <c r="F1331" s="7" t="s">
        <v>6560</v>
      </c>
      <c r="G1331" s="7" t="s">
        <v>7150</v>
      </c>
      <c r="H1331" s="7" t="s">
        <v>7156</v>
      </c>
      <c r="I1331" s="7"/>
      <c r="J1331" s="10">
        <v>43580</v>
      </c>
      <c r="K1331" s="7" t="s">
        <v>7163</v>
      </c>
      <c r="L1331" s="7"/>
      <c r="M1331" s="7"/>
    </row>
    <row r="1332" spans="1:13" x14ac:dyDescent="0.3">
      <c r="A1332" s="7">
        <v>12472</v>
      </c>
      <c r="B1332" s="7" t="s">
        <v>1340</v>
      </c>
      <c r="C1332" s="7" t="s">
        <v>6543</v>
      </c>
      <c r="D1332" s="7" t="s">
        <v>6544</v>
      </c>
      <c r="E1332" s="7" t="s">
        <v>6295</v>
      </c>
      <c r="F1332" s="7" t="s">
        <v>6340</v>
      </c>
      <c r="G1332" s="7" t="s">
        <v>7150</v>
      </c>
      <c r="H1332" s="7" t="s">
        <v>7156</v>
      </c>
      <c r="I1332" s="7"/>
      <c r="J1332" s="10">
        <v>43762</v>
      </c>
      <c r="K1332" s="7" t="s">
        <v>7163</v>
      </c>
      <c r="L1332" s="7"/>
      <c r="M1332" s="7"/>
    </row>
    <row r="1333" spans="1:13" x14ac:dyDescent="0.3">
      <c r="A1333" s="7">
        <v>11863</v>
      </c>
      <c r="B1333" s="7" t="s">
        <v>1341</v>
      </c>
      <c r="C1333" s="7" t="s">
        <v>6543</v>
      </c>
      <c r="D1333" s="7" t="s">
        <v>6546</v>
      </c>
      <c r="E1333" s="7" t="s">
        <v>6295</v>
      </c>
      <c r="F1333" s="7" t="s">
        <v>6560</v>
      </c>
      <c r="G1333" s="7" t="s">
        <v>7150</v>
      </c>
      <c r="H1333" s="7" t="s">
        <v>7156</v>
      </c>
      <c r="I1333" s="7"/>
      <c r="J1333" s="10">
        <v>43210</v>
      </c>
      <c r="K1333" s="7" t="s">
        <v>7163</v>
      </c>
      <c r="L1333" s="7"/>
      <c r="M1333" s="7"/>
    </row>
    <row r="1334" spans="1:13" x14ac:dyDescent="0.3">
      <c r="A1334" s="7">
        <v>880020</v>
      </c>
      <c r="B1334" s="7" t="s">
        <v>1342</v>
      </c>
      <c r="C1334" s="7" t="s">
        <v>6543</v>
      </c>
      <c r="D1334" s="7" t="s">
        <v>6544</v>
      </c>
      <c r="E1334" s="7" t="s">
        <v>6295</v>
      </c>
      <c r="F1334" s="7" t="s">
        <v>6560</v>
      </c>
      <c r="G1334" s="7" t="s">
        <v>7150</v>
      </c>
      <c r="H1334" s="7" t="s">
        <v>7156</v>
      </c>
      <c r="I1334" s="7"/>
      <c r="J1334" s="10">
        <v>38757</v>
      </c>
      <c r="K1334" s="7" t="s">
        <v>7163</v>
      </c>
      <c r="L1334" s="7"/>
      <c r="M1334" s="7"/>
    </row>
    <row r="1335" spans="1:13" x14ac:dyDescent="0.3">
      <c r="A1335" s="7">
        <v>150039</v>
      </c>
      <c r="B1335" s="7" t="s">
        <v>1343</v>
      </c>
      <c r="C1335" s="7" t="s">
        <v>6543</v>
      </c>
      <c r="D1335" s="7" t="s">
        <v>6544</v>
      </c>
      <c r="E1335" s="7" t="s">
        <v>6295</v>
      </c>
      <c r="F1335" s="7" t="s">
        <v>6340</v>
      </c>
      <c r="G1335" s="7" t="s">
        <v>7150</v>
      </c>
      <c r="H1335" s="7" t="s">
        <v>7156</v>
      </c>
      <c r="I1335" s="7"/>
      <c r="J1335" s="10">
        <v>44090</v>
      </c>
      <c r="K1335" s="7" t="s">
        <v>7163</v>
      </c>
      <c r="L1335" s="7"/>
      <c r="M1335" s="7"/>
    </row>
    <row r="1336" spans="1:13" x14ac:dyDescent="0.3">
      <c r="A1336" s="7">
        <v>180013</v>
      </c>
      <c r="B1336" s="7" t="s">
        <v>1344</v>
      </c>
      <c r="C1336" s="7" t="s">
        <v>6543</v>
      </c>
      <c r="D1336" s="7" t="s">
        <v>6545</v>
      </c>
      <c r="E1336" s="7" t="s">
        <v>6295</v>
      </c>
      <c r="F1336" s="7" t="s">
        <v>6560</v>
      </c>
      <c r="G1336" s="7" t="s">
        <v>7150</v>
      </c>
      <c r="H1336" s="7" t="s">
        <v>7156</v>
      </c>
      <c r="I1336" s="7"/>
      <c r="J1336" s="10">
        <v>41137</v>
      </c>
      <c r="K1336" s="7" t="s">
        <v>7163</v>
      </c>
      <c r="L1336" s="7"/>
      <c r="M1336" s="7"/>
    </row>
    <row r="1337" spans="1:13" x14ac:dyDescent="0.3">
      <c r="A1337" s="7">
        <v>13326</v>
      </c>
      <c r="B1337" s="7" t="s">
        <v>1345</v>
      </c>
      <c r="C1337" s="7" t="s">
        <v>6543</v>
      </c>
      <c r="D1337" s="7" t="s">
        <v>6546</v>
      </c>
      <c r="E1337" s="7" t="s">
        <v>6295</v>
      </c>
      <c r="F1337" s="7" t="s">
        <v>6560</v>
      </c>
      <c r="G1337" s="7" t="s">
        <v>7150</v>
      </c>
      <c r="H1337" s="7" t="s">
        <v>7156</v>
      </c>
      <c r="I1337" s="7"/>
      <c r="J1337" s="10">
        <v>44386</v>
      </c>
      <c r="K1337" s="7" t="s">
        <v>7163</v>
      </c>
      <c r="L1337" s="7"/>
      <c r="M1337" s="7"/>
    </row>
    <row r="1338" spans="1:13" x14ac:dyDescent="0.3">
      <c r="A1338" s="7">
        <v>10399</v>
      </c>
      <c r="B1338" s="7" t="s">
        <v>1346</v>
      </c>
      <c r="C1338" s="7" t="s">
        <v>6543</v>
      </c>
      <c r="D1338" s="7" t="s">
        <v>6546</v>
      </c>
      <c r="E1338" s="7" t="s">
        <v>6295</v>
      </c>
      <c r="F1338" s="7" t="s">
        <v>6560</v>
      </c>
      <c r="G1338" s="7" t="s">
        <v>7150</v>
      </c>
      <c r="H1338" s="7" t="s">
        <v>7156</v>
      </c>
      <c r="I1338" s="7"/>
      <c r="J1338" s="10">
        <v>40063</v>
      </c>
      <c r="K1338" s="7" t="s">
        <v>7163</v>
      </c>
      <c r="L1338" s="7"/>
      <c r="M1338" s="7"/>
    </row>
    <row r="1339" spans="1:13" x14ac:dyDescent="0.3">
      <c r="A1339" s="7">
        <v>10447</v>
      </c>
      <c r="B1339" s="7" t="s">
        <v>1347</v>
      </c>
      <c r="C1339" s="7" t="s">
        <v>6543</v>
      </c>
      <c r="D1339" s="7" t="s">
        <v>6545</v>
      </c>
      <c r="E1339" s="7" t="s">
        <v>6295</v>
      </c>
      <c r="F1339" s="7" t="s">
        <v>6560</v>
      </c>
      <c r="G1339" s="7" t="s">
        <v>7150</v>
      </c>
      <c r="H1339" s="7" t="s">
        <v>7156</v>
      </c>
      <c r="I1339" s="7"/>
      <c r="J1339" s="10">
        <v>40462</v>
      </c>
      <c r="K1339" s="7" t="s">
        <v>7163</v>
      </c>
      <c r="L1339" s="7"/>
      <c r="M1339" s="7"/>
    </row>
    <row r="1340" spans="1:13" x14ac:dyDescent="0.3">
      <c r="A1340" s="7">
        <v>10623</v>
      </c>
      <c r="B1340" s="7" t="s">
        <v>1348</v>
      </c>
      <c r="C1340" s="7" t="s">
        <v>6543</v>
      </c>
      <c r="D1340" s="7" t="s">
        <v>6546</v>
      </c>
      <c r="E1340" s="7" t="s">
        <v>6295</v>
      </c>
      <c r="F1340" s="7" t="s">
        <v>6560</v>
      </c>
      <c r="G1340" s="7" t="s">
        <v>7150</v>
      </c>
      <c r="H1340" s="7" t="s">
        <v>7156</v>
      </c>
      <c r="I1340" s="7"/>
      <c r="J1340" s="10">
        <v>41521</v>
      </c>
      <c r="K1340" s="7" t="s">
        <v>7163</v>
      </c>
      <c r="L1340" s="7"/>
      <c r="M1340" s="7"/>
    </row>
    <row r="1341" spans="1:13" x14ac:dyDescent="0.3">
      <c r="A1341" s="7">
        <v>10624</v>
      </c>
      <c r="B1341" s="7" t="s">
        <v>1349</v>
      </c>
      <c r="C1341" s="7" t="s">
        <v>6543</v>
      </c>
      <c r="D1341" s="7" t="s">
        <v>6545</v>
      </c>
      <c r="E1341" s="7" t="s">
        <v>6295</v>
      </c>
      <c r="F1341" s="7" t="s">
        <v>6560</v>
      </c>
      <c r="G1341" s="7" t="s">
        <v>7150</v>
      </c>
      <c r="H1341" s="7" t="s">
        <v>7156</v>
      </c>
      <c r="I1341" s="7"/>
      <c r="J1341" s="10">
        <v>41521</v>
      </c>
      <c r="K1341" s="7" t="s">
        <v>7163</v>
      </c>
      <c r="L1341" s="7"/>
      <c r="M1341" s="7"/>
    </row>
    <row r="1342" spans="1:13" x14ac:dyDescent="0.3">
      <c r="A1342" s="7">
        <v>10838</v>
      </c>
      <c r="B1342" s="7" t="s">
        <v>1350</v>
      </c>
      <c r="C1342" s="7" t="s">
        <v>6543</v>
      </c>
      <c r="D1342" s="7" t="s">
        <v>6546</v>
      </c>
      <c r="E1342" s="7" t="s">
        <v>6295</v>
      </c>
      <c r="F1342" s="7" t="s">
        <v>6560</v>
      </c>
      <c r="G1342" s="7" t="s">
        <v>7150</v>
      </c>
      <c r="H1342" s="7" t="s">
        <v>7156</v>
      </c>
      <c r="I1342" s="7"/>
      <c r="J1342" s="10">
        <v>41991</v>
      </c>
      <c r="K1342" s="7" t="s">
        <v>7163</v>
      </c>
      <c r="L1342" s="7"/>
      <c r="M1342" s="7"/>
    </row>
    <row r="1343" spans="1:13" x14ac:dyDescent="0.3">
      <c r="A1343" s="7">
        <v>190025</v>
      </c>
      <c r="B1343" s="7" t="s">
        <v>1351</v>
      </c>
      <c r="C1343" s="7" t="s">
        <v>6543</v>
      </c>
      <c r="D1343" s="7" t="s">
        <v>6545</v>
      </c>
      <c r="E1343" s="7" t="s">
        <v>6295</v>
      </c>
      <c r="F1343" s="7" t="s">
        <v>6560</v>
      </c>
      <c r="G1343" s="7" t="s">
        <v>7150</v>
      </c>
      <c r="H1343" s="7" t="s">
        <v>7156</v>
      </c>
      <c r="I1343" s="7"/>
      <c r="J1343" s="10">
        <v>40210</v>
      </c>
      <c r="K1343" s="7" t="s">
        <v>7163</v>
      </c>
      <c r="L1343" s="7"/>
      <c r="M1343" s="7"/>
    </row>
    <row r="1344" spans="1:13" x14ac:dyDescent="0.3">
      <c r="A1344" s="7">
        <v>11459</v>
      </c>
      <c r="B1344" s="7" t="s">
        <v>1352</v>
      </c>
      <c r="C1344" s="7" t="s">
        <v>6543</v>
      </c>
      <c r="D1344" s="7" t="s">
        <v>6545</v>
      </c>
      <c r="E1344" s="7" t="s">
        <v>6295</v>
      </c>
      <c r="F1344" s="7" t="s">
        <v>6560</v>
      </c>
      <c r="G1344" s="7" t="s">
        <v>7150</v>
      </c>
      <c r="H1344" s="7" t="s">
        <v>7156</v>
      </c>
      <c r="I1344" s="7"/>
      <c r="J1344" s="10">
        <v>42716</v>
      </c>
      <c r="K1344" s="7" t="s">
        <v>7163</v>
      </c>
      <c r="L1344" s="7"/>
      <c r="M1344" s="7"/>
    </row>
    <row r="1345" spans="1:13" x14ac:dyDescent="0.3">
      <c r="A1345" s="7">
        <v>10209</v>
      </c>
      <c r="B1345" s="7" t="s">
        <v>1353</v>
      </c>
      <c r="C1345" s="7" t="s">
        <v>6543</v>
      </c>
      <c r="D1345" s="7" t="s">
        <v>6544</v>
      </c>
      <c r="E1345" s="7" t="s">
        <v>6295</v>
      </c>
      <c r="F1345" s="7" t="s">
        <v>6560</v>
      </c>
      <c r="G1345" s="7" t="s">
        <v>7150</v>
      </c>
      <c r="H1345" s="7" t="s">
        <v>7156</v>
      </c>
      <c r="I1345" s="7"/>
      <c r="J1345" s="10">
        <v>38460</v>
      </c>
      <c r="K1345" s="7" t="s">
        <v>7163</v>
      </c>
      <c r="L1345" s="7"/>
      <c r="M1345" s="7"/>
    </row>
    <row r="1346" spans="1:13" x14ac:dyDescent="0.3">
      <c r="A1346" s="7">
        <v>11750</v>
      </c>
      <c r="B1346" s="7" t="s">
        <v>1354</v>
      </c>
      <c r="C1346" s="7" t="s">
        <v>6543</v>
      </c>
      <c r="D1346" s="7" t="s">
        <v>6545</v>
      </c>
      <c r="E1346" s="7" t="s">
        <v>6295</v>
      </c>
      <c r="F1346" s="7" t="s">
        <v>6560</v>
      </c>
      <c r="G1346" s="7" t="s">
        <v>7150</v>
      </c>
      <c r="H1346" s="7" t="s">
        <v>7156</v>
      </c>
      <c r="I1346" s="7"/>
      <c r="J1346" s="10">
        <v>43080</v>
      </c>
      <c r="K1346" s="7" t="s">
        <v>7163</v>
      </c>
      <c r="L1346" s="7"/>
      <c r="M1346" s="7"/>
    </row>
    <row r="1347" spans="1:13" x14ac:dyDescent="0.3">
      <c r="A1347" s="7">
        <v>11661</v>
      </c>
      <c r="B1347" s="7" t="s">
        <v>1355</v>
      </c>
      <c r="C1347" s="7" t="s">
        <v>6543</v>
      </c>
      <c r="D1347" s="7" t="s">
        <v>6545</v>
      </c>
      <c r="E1347" s="7" t="s">
        <v>6295</v>
      </c>
      <c r="F1347" s="7" t="s">
        <v>6560</v>
      </c>
      <c r="G1347" s="7" t="s">
        <v>7150</v>
      </c>
      <c r="H1347" s="7" t="s">
        <v>7156</v>
      </c>
      <c r="I1347" s="7"/>
      <c r="J1347" s="10">
        <v>42998</v>
      </c>
      <c r="K1347" s="7" t="s">
        <v>7163</v>
      </c>
      <c r="L1347" s="7"/>
      <c r="M1347" s="7"/>
    </row>
    <row r="1348" spans="1:13" x14ac:dyDescent="0.3">
      <c r="A1348" s="7">
        <v>11804</v>
      </c>
      <c r="B1348" s="7" t="s">
        <v>1356</v>
      </c>
      <c r="C1348" s="7" t="s">
        <v>6543</v>
      </c>
      <c r="D1348" s="7" t="s">
        <v>6545</v>
      </c>
      <c r="E1348" s="7" t="s">
        <v>6295</v>
      </c>
      <c r="F1348" s="7" t="s">
        <v>6560</v>
      </c>
      <c r="G1348" s="7" t="s">
        <v>7150</v>
      </c>
      <c r="H1348" s="7" t="s">
        <v>7156</v>
      </c>
      <c r="I1348" s="7"/>
      <c r="J1348" s="10">
        <v>43143</v>
      </c>
      <c r="K1348" s="7" t="s">
        <v>7163</v>
      </c>
      <c r="L1348" s="7"/>
      <c r="M1348" s="7"/>
    </row>
    <row r="1349" spans="1:13" x14ac:dyDescent="0.3">
      <c r="A1349" s="7">
        <v>12024</v>
      </c>
      <c r="B1349" s="7" t="s">
        <v>1357</v>
      </c>
      <c r="C1349" s="7" t="s">
        <v>6543</v>
      </c>
      <c r="D1349" s="7" t="s">
        <v>6545</v>
      </c>
      <c r="E1349" s="7" t="s">
        <v>6295</v>
      </c>
      <c r="F1349" s="7" t="s">
        <v>6560</v>
      </c>
      <c r="G1349" s="7" t="s">
        <v>7150</v>
      </c>
      <c r="H1349" s="7" t="s">
        <v>7156</v>
      </c>
      <c r="I1349" s="7"/>
      <c r="J1349" s="10">
        <v>43391</v>
      </c>
      <c r="K1349" s="7" t="s">
        <v>7163</v>
      </c>
      <c r="L1349" s="7"/>
      <c r="M1349" s="7"/>
    </row>
    <row r="1350" spans="1:13" x14ac:dyDescent="0.3">
      <c r="A1350" s="7">
        <v>12025</v>
      </c>
      <c r="B1350" s="7" t="s">
        <v>1358</v>
      </c>
      <c r="C1350" s="7" t="s">
        <v>6543</v>
      </c>
      <c r="D1350" s="7" t="s">
        <v>6545</v>
      </c>
      <c r="E1350" s="7" t="s">
        <v>6295</v>
      </c>
      <c r="F1350" s="7" t="s">
        <v>6560</v>
      </c>
      <c r="G1350" s="7" t="s">
        <v>7150</v>
      </c>
      <c r="H1350" s="7" t="s">
        <v>7156</v>
      </c>
      <c r="I1350" s="7"/>
      <c r="J1350" s="10">
        <v>43391</v>
      </c>
      <c r="K1350" s="7" t="s">
        <v>7163</v>
      </c>
      <c r="L1350" s="7"/>
      <c r="M1350" s="7"/>
    </row>
    <row r="1351" spans="1:13" x14ac:dyDescent="0.3">
      <c r="A1351" s="7">
        <v>12026</v>
      </c>
      <c r="B1351" s="7" t="s">
        <v>1359</v>
      </c>
      <c r="C1351" s="7" t="s">
        <v>6543</v>
      </c>
      <c r="D1351" s="7" t="s">
        <v>6545</v>
      </c>
      <c r="E1351" s="7" t="s">
        <v>6295</v>
      </c>
      <c r="F1351" s="7" t="s">
        <v>6560</v>
      </c>
      <c r="G1351" s="7" t="s">
        <v>7150</v>
      </c>
      <c r="H1351" s="7" t="s">
        <v>7156</v>
      </c>
      <c r="I1351" s="7"/>
      <c r="J1351" s="10">
        <v>43391</v>
      </c>
      <c r="K1351" s="7" t="s">
        <v>7163</v>
      </c>
      <c r="L1351" s="7"/>
      <c r="M1351" s="7"/>
    </row>
    <row r="1352" spans="1:13" x14ac:dyDescent="0.3">
      <c r="A1352" s="7">
        <v>12187</v>
      </c>
      <c r="B1352" s="7" t="s">
        <v>1360</v>
      </c>
      <c r="C1352" s="7" t="s">
        <v>6543</v>
      </c>
      <c r="D1352" s="7" t="s">
        <v>6545</v>
      </c>
      <c r="E1352" s="7" t="s">
        <v>6295</v>
      </c>
      <c r="F1352" s="7" t="s">
        <v>6560</v>
      </c>
      <c r="G1352" s="7" t="s">
        <v>7150</v>
      </c>
      <c r="H1352" s="7" t="s">
        <v>7156</v>
      </c>
      <c r="I1352" s="7"/>
      <c r="J1352" s="10">
        <v>43567</v>
      </c>
      <c r="K1352" s="7" t="s">
        <v>7163</v>
      </c>
      <c r="L1352" s="7"/>
      <c r="M1352" s="7"/>
    </row>
    <row r="1353" spans="1:13" x14ac:dyDescent="0.3">
      <c r="A1353" s="7">
        <v>12195</v>
      </c>
      <c r="B1353" s="7" t="s">
        <v>1361</v>
      </c>
      <c r="C1353" s="7" t="s">
        <v>6543</v>
      </c>
      <c r="D1353" s="7" t="s">
        <v>6545</v>
      </c>
      <c r="E1353" s="7" t="s">
        <v>6295</v>
      </c>
      <c r="F1353" s="7" t="s">
        <v>6560</v>
      </c>
      <c r="G1353" s="7" t="s">
        <v>7150</v>
      </c>
      <c r="H1353" s="7" t="s">
        <v>7156</v>
      </c>
      <c r="I1353" s="7"/>
      <c r="J1353" s="10">
        <v>43572</v>
      </c>
      <c r="K1353" s="7" t="s">
        <v>7163</v>
      </c>
      <c r="L1353" s="7"/>
      <c r="M1353" s="7"/>
    </row>
    <row r="1354" spans="1:13" x14ac:dyDescent="0.3">
      <c r="A1354" s="7">
        <v>12202</v>
      </c>
      <c r="B1354" s="7" t="s">
        <v>1362</v>
      </c>
      <c r="C1354" s="7" t="s">
        <v>6543</v>
      </c>
      <c r="D1354" s="7" t="s">
        <v>6545</v>
      </c>
      <c r="E1354" s="7" t="s">
        <v>6295</v>
      </c>
      <c r="F1354" s="7" t="s">
        <v>6560</v>
      </c>
      <c r="G1354" s="7" t="s">
        <v>7150</v>
      </c>
      <c r="H1354" s="7" t="s">
        <v>7156</v>
      </c>
      <c r="I1354" s="7"/>
      <c r="J1354" s="10">
        <v>43579</v>
      </c>
      <c r="K1354" s="7" t="s">
        <v>7163</v>
      </c>
      <c r="L1354" s="7"/>
      <c r="M1354" s="7"/>
    </row>
    <row r="1355" spans="1:13" x14ac:dyDescent="0.3">
      <c r="A1355" s="7">
        <v>12475</v>
      </c>
      <c r="B1355" s="7" t="s">
        <v>1363</v>
      </c>
      <c r="C1355" s="7" t="s">
        <v>6543</v>
      </c>
      <c r="D1355" s="7" t="s">
        <v>6545</v>
      </c>
      <c r="E1355" s="7" t="s">
        <v>6295</v>
      </c>
      <c r="F1355" s="7" t="s">
        <v>6560</v>
      </c>
      <c r="G1355" s="7" t="s">
        <v>7150</v>
      </c>
      <c r="H1355" s="7" t="s">
        <v>7156</v>
      </c>
      <c r="I1355" s="7"/>
      <c r="J1355" s="10">
        <v>43763</v>
      </c>
      <c r="K1355" s="7" t="s">
        <v>7163</v>
      </c>
      <c r="L1355" s="7"/>
      <c r="M1355" s="7"/>
    </row>
    <row r="1356" spans="1:13" x14ac:dyDescent="0.3">
      <c r="A1356" s="7">
        <v>12541</v>
      </c>
      <c r="B1356" s="7" t="s">
        <v>1364</v>
      </c>
      <c r="C1356" s="7" t="s">
        <v>6543</v>
      </c>
      <c r="D1356" s="7" t="s">
        <v>6545</v>
      </c>
      <c r="E1356" s="7" t="s">
        <v>6295</v>
      </c>
      <c r="F1356" s="7" t="s">
        <v>6560</v>
      </c>
      <c r="G1356" s="7" t="s">
        <v>7150</v>
      </c>
      <c r="H1356" s="7" t="s">
        <v>7156</v>
      </c>
      <c r="I1356" s="7"/>
      <c r="J1356" s="10">
        <v>43803</v>
      </c>
      <c r="K1356" s="7" t="s">
        <v>7163</v>
      </c>
      <c r="L1356" s="7"/>
      <c r="M1356" s="7"/>
    </row>
    <row r="1357" spans="1:13" x14ac:dyDescent="0.3">
      <c r="A1357" s="7">
        <v>10238</v>
      </c>
      <c r="B1357" s="7" t="s">
        <v>1365</v>
      </c>
      <c r="C1357" s="7" t="s">
        <v>6543</v>
      </c>
      <c r="D1357" s="7" t="s">
        <v>6545</v>
      </c>
      <c r="E1357" s="7" t="s">
        <v>6295</v>
      </c>
      <c r="F1357" s="7" t="s">
        <v>6560</v>
      </c>
      <c r="G1357" s="7" t="s">
        <v>7150</v>
      </c>
      <c r="H1357" s="7" t="s">
        <v>7156</v>
      </c>
      <c r="I1357" s="7"/>
      <c r="J1357" s="10">
        <v>38840</v>
      </c>
      <c r="K1357" s="7" t="s">
        <v>7163</v>
      </c>
      <c r="L1357" s="7"/>
      <c r="M1357" s="7"/>
    </row>
    <row r="1358" spans="1:13" x14ac:dyDescent="0.3">
      <c r="A1358" s="7">
        <v>10278</v>
      </c>
      <c r="B1358" s="7" t="s">
        <v>1366</v>
      </c>
      <c r="C1358" s="7" t="s">
        <v>6543</v>
      </c>
      <c r="D1358" s="7" t="s">
        <v>6545</v>
      </c>
      <c r="E1358" s="7" t="s">
        <v>6295</v>
      </c>
      <c r="F1358" s="7" t="s">
        <v>6560</v>
      </c>
      <c r="G1358" s="7" t="s">
        <v>7150</v>
      </c>
      <c r="H1358" s="7" t="s">
        <v>7156</v>
      </c>
      <c r="I1358" s="7"/>
      <c r="J1358" s="10">
        <v>39377</v>
      </c>
      <c r="K1358" s="7" t="s">
        <v>7163</v>
      </c>
      <c r="L1358" s="7"/>
      <c r="M1358" s="7"/>
    </row>
    <row r="1359" spans="1:13" x14ac:dyDescent="0.3">
      <c r="A1359" s="7">
        <v>10476</v>
      </c>
      <c r="B1359" s="7" t="s">
        <v>1367</v>
      </c>
      <c r="C1359" s="7" t="s">
        <v>6543</v>
      </c>
      <c r="D1359" s="7" t="s">
        <v>6546</v>
      </c>
      <c r="E1359" s="7" t="s">
        <v>6295</v>
      </c>
      <c r="F1359" s="7" t="s">
        <v>6560</v>
      </c>
      <c r="G1359" s="7" t="s">
        <v>7150</v>
      </c>
      <c r="H1359" s="7" t="s">
        <v>7156</v>
      </c>
      <c r="I1359" s="7"/>
      <c r="J1359" s="10">
        <v>40777</v>
      </c>
      <c r="K1359" s="7" t="s">
        <v>7163</v>
      </c>
      <c r="L1359" s="7"/>
      <c r="M1359" s="7"/>
    </row>
    <row r="1360" spans="1:13" x14ac:dyDescent="0.3">
      <c r="A1360" s="7">
        <v>10625</v>
      </c>
      <c r="B1360" s="7" t="s">
        <v>1368</v>
      </c>
      <c r="C1360" s="7" t="s">
        <v>6543</v>
      </c>
      <c r="D1360" s="7" t="s">
        <v>6545</v>
      </c>
      <c r="E1360" s="7" t="s">
        <v>6295</v>
      </c>
      <c r="F1360" s="7" t="s">
        <v>6560</v>
      </c>
      <c r="G1360" s="7" t="s">
        <v>7150</v>
      </c>
      <c r="H1360" s="7" t="s">
        <v>7156</v>
      </c>
      <c r="I1360" s="7"/>
      <c r="J1360" s="10">
        <v>41521</v>
      </c>
      <c r="K1360" s="7" t="s">
        <v>7163</v>
      </c>
      <c r="L1360" s="7"/>
      <c r="M1360" s="7"/>
    </row>
    <row r="1361" spans="1:13" x14ac:dyDescent="0.3">
      <c r="A1361" s="7">
        <v>10627</v>
      </c>
      <c r="B1361" s="7" t="s">
        <v>1369</v>
      </c>
      <c r="C1361" s="7" t="s">
        <v>6543</v>
      </c>
      <c r="D1361" s="7" t="s">
        <v>6545</v>
      </c>
      <c r="E1361" s="7" t="s">
        <v>6295</v>
      </c>
      <c r="F1361" s="7" t="s">
        <v>6560</v>
      </c>
      <c r="G1361" s="7" t="s">
        <v>7150</v>
      </c>
      <c r="H1361" s="7" t="s">
        <v>7156</v>
      </c>
      <c r="I1361" s="7"/>
      <c r="J1361" s="10">
        <v>41537</v>
      </c>
      <c r="K1361" s="7" t="s">
        <v>7163</v>
      </c>
      <c r="L1361" s="7"/>
      <c r="M1361" s="7"/>
    </row>
    <row r="1362" spans="1:13" x14ac:dyDescent="0.3">
      <c r="A1362" s="7">
        <v>10727</v>
      </c>
      <c r="B1362" s="7" t="s">
        <v>1370</v>
      </c>
      <c r="C1362" s="7" t="s">
        <v>6543</v>
      </c>
      <c r="D1362" s="7" t="s">
        <v>6545</v>
      </c>
      <c r="E1362" s="7" t="s">
        <v>6295</v>
      </c>
      <c r="F1362" s="7" t="s">
        <v>6560</v>
      </c>
      <c r="G1362" s="7" t="s">
        <v>7150</v>
      </c>
      <c r="H1362" s="7" t="s">
        <v>7156</v>
      </c>
      <c r="I1362" s="7"/>
      <c r="J1362" s="10">
        <v>41747</v>
      </c>
      <c r="K1362" s="7" t="s">
        <v>7163</v>
      </c>
      <c r="L1362" s="7"/>
      <c r="M1362" s="7"/>
    </row>
    <row r="1363" spans="1:13" x14ac:dyDescent="0.3">
      <c r="A1363" s="7">
        <v>10839</v>
      </c>
      <c r="B1363" s="7" t="s">
        <v>1371</v>
      </c>
      <c r="C1363" s="7" t="s">
        <v>6543</v>
      </c>
      <c r="D1363" s="7" t="s">
        <v>6544</v>
      </c>
      <c r="E1363" s="7" t="s">
        <v>6295</v>
      </c>
      <c r="F1363" s="7" t="s">
        <v>6560</v>
      </c>
      <c r="G1363" s="7" t="s">
        <v>7150</v>
      </c>
      <c r="H1363" s="7" t="s">
        <v>7156</v>
      </c>
      <c r="I1363" s="7"/>
      <c r="J1363" s="10">
        <v>41991</v>
      </c>
      <c r="K1363" s="7" t="s">
        <v>7163</v>
      </c>
      <c r="L1363" s="7"/>
      <c r="M1363" s="7"/>
    </row>
    <row r="1364" spans="1:13" x14ac:dyDescent="0.3">
      <c r="A1364" s="7">
        <v>180011</v>
      </c>
      <c r="B1364" s="7" t="s">
        <v>1372</v>
      </c>
      <c r="C1364" s="7" t="s">
        <v>6543</v>
      </c>
      <c r="D1364" s="7" t="s">
        <v>6545</v>
      </c>
      <c r="E1364" s="7" t="s">
        <v>6295</v>
      </c>
      <c r="F1364" s="7" t="s">
        <v>6560</v>
      </c>
      <c r="G1364" s="7" t="s">
        <v>7150</v>
      </c>
      <c r="H1364" s="7" t="s">
        <v>7156</v>
      </c>
      <c r="I1364" s="7"/>
      <c r="J1364" s="10">
        <v>40049</v>
      </c>
      <c r="K1364" s="7" t="s">
        <v>7163</v>
      </c>
      <c r="L1364" s="7"/>
      <c r="M1364" s="7"/>
    </row>
    <row r="1365" spans="1:13" x14ac:dyDescent="0.3">
      <c r="A1365" s="7">
        <v>10986</v>
      </c>
      <c r="B1365" s="7" t="s">
        <v>1373</v>
      </c>
      <c r="C1365" s="7" t="s">
        <v>6543</v>
      </c>
      <c r="D1365" s="7" t="s">
        <v>6546</v>
      </c>
      <c r="E1365" s="7" t="s">
        <v>6295</v>
      </c>
      <c r="F1365" s="7" t="s">
        <v>6560</v>
      </c>
      <c r="G1365" s="7" t="s">
        <v>7150</v>
      </c>
      <c r="H1365" s="7" t="s">
        <v>7156</v>
      </c>
      <c r="I1365" s="7"/>
      <c r="J1365" s="10">
        <v>42248</v>
      </c>
      <c r="K1365" s="7" t="s">
        <v>7163</v>
      </c>
      <c r="L1365" s="7"/>
      <c r="M1365" s="7"/>
    </row>
    <row r="1366" spans="1:13" x14ac:dyDescent="0.3">
      <c r="A1366" s="7">
        <v>280006</v>
      </c>
      <c r="B1366" s="7" t="s">
        <v>1374</v>
      </c>
      <c r="C1366" s="7" t="s">
        <v>6543</v>
      </c>
      <c r="D1366" s="7" t="s">
        <v>6546</v>
      </c>
      <c r="E1366" s="7" t="s">
        <v>6295</v>
      </c>
      <c r="F1366" s="7" t="s">
        <v>6560</v>
      </c>
      <c r="G1366" s="7" t="s">
        <v>7150</v>
      </c>
      <c r="H1366" s="7" t="s">
        <v>7156</v>
      </c>
      <c r="I1366" s="7"/>
      <c r="J1366" s="10">
        <v>40660</v>
      </c>
      <c r="K1366" s="7" t="s">
        <v>7163</v>
      </c>
      <c r="L1366" s="7"/>
      <c r="M1366" s="7"/>
    </row>
    <row r="1367" spans="1:13" x14ac:dyDescent="0.3">
      <c r="A1367" s="7">
        <v>11151</v>
      </c>
      <c r="B1367" s="7" t="s">
        <v>1375</v>
      </c>
      <c r="C1367" s="7" t="s">
        <v>6543</v>
      </c>
      <c r="D1367" s="7" t="s">
        <v>6545</v>
      </c>
      <c r="E1367" s="7" t="s">
        <v>6295</v>
      </c>
      <c r="F1367" s="7" t="s">
        <v>6560</v>
      </c>
      <c r="G1367" s="7" t="s">
        <v>7150</v>
      </c>
      <c r="H1367" s="7" t="s">
        <v>7156</v>
      </c>
      <c r="I1367" s="7"/>
      <c r="J1367" s="10">
        <v>42311</v>
      </c>
      <c r="K1367" s="7" t="s">
        <v>7163</v>
      </c>
      <c r="L1367" s="7"/>
      <c r="M1367" s="7"/>
    </row>
    <row r="1368" spans="1:13" x14ac:dyDescent="0.3">
      <c r="A1368" s="7">
        <v>11152</v>
      </c>
      <c r="B1368" s="7" t="s">
        <v>1376</v>
      </c>
      <c r="C1368" s="7" t="s">
        <v>6543</v>
      </c>
      <c r="D1368" s="7" t="s">
        <v>6546</v>
      </c>
      <c r="E1368" s="7" t="s">
        <v>6295</v>
      </c>
      <c r="F1368" s="7" t="s">
        <v>6560</v>
      </c>
      <c r="G1368" s="7" t="s">
        <v>7150</v>
      </c>
      <c r="H1368" s="7" t="s">
        <v>7156</v>
      </c>
      <c r="I1368" s="7"/>
      <c r="J1368" s="10">
        <v>42311</v>
      </c>
      <c r="K1368" s="7" t="s">
        <v>7163</v>
      </c>
      <c r="L1368" s="7"/>
      <c r="M1368" s="7"/>
    </row>
    <row r="1369" spans="1:13" x14ac:dyDescent="0.3">
      <c r="A1369" s="7">
        <v>11547</v>
      </c>
      <c r="B1369" s="7" t="s">
        <v>1377</v>
      </c>
      <c r="C1369" s="7" t="s">
        <v>6543</v>
      </c>
      <c r="D1369" s="7" t="s">
        <v>6545</v>
      </c>
      <c r="E1369" s="7" t="s">
        <v>6295</v>
      </c>
      <c r="F1369" s="7" t="s">
        <v>6560</v>
      </c>
      <c r="G1369" s="7" t="s">
        <v>7150</v>
      </c>
      <c r="H1369" s="7" t="s">
        <v>7156</v>
      </c>
      <c r="I1369" s="7"/>
      <c r="J1369" s="10">
        <v>42828</v>
      </c>
      <c r="K1369" s="7" t="s">
        <v>7163</v>
      </c>
      <c r="L1369" s="7"/>
      <c r="M1369" s="7"/>
    </row>
    <row r="1370" spans="1:13" x14ac:dyDescent="0.3">
      <c r="A1370" s="7">
        <v>11537</v>
      </c>
      <c r="B1370" s="7" t="s">
        <v>1378</v>
      </c>
      <c r="C1370" s="7" t="s">
        <v>6543</v>
      </c>
      <c r="D1370" s="7" t="s">
        <v>6546</v>
      </c>
      <c r="E1370" s="7" t="s">
        <v>6295</v>
      </c>
      <c r="F1370" s="7" t="s">
        <v>6560</v>
      </c>
      <c r="G1370" s="7" t="s">
        <v>7150</v>
      </c>
      <c r="H1370" s="7" t="s">
        <v>7156</v>
      </c>
      <c r="I1370" s="7"/>
      <c r="J1370" s="10">
        <v>42810</v>
      </c>
      <c r="K1370" s="7" t="s">
        <v>7163</v>
      </c>
      <c r="L1370" s="7"/>
      <c r="M1370" s="7"/>
    </row>
    <row r="1371" spans="1:13" x14ac:dyDescent="0.3">
      <c r="A1371" s="7">
        <v>12534</v>
      </c>
      <c r="B1371" s="7" t="s">
        <v>1379</v>
      </c>
      <c r="C1371" s="7" t="s">
        <v>6543</v>
      </c>
      <c r="D1371" s="7" t="s">
        <v>6546</v>
      </c>
      <c r="E1371" s="7" t="s">
        <v>6295</v>
      </c>
      <c r="F1371" s="7" t="s">
        <v>6560</v>
      </c>
      <c r="G1371" s="7" t="s">
        <v>7150</v>
      </c>
      <c r="H1371" s="7" t="s">
        <v>7156</v>
      </c>
      <c r="I1371" s="7"/>
      <c r="J1371" s="10">
        <v>43801</v>
      </c>
      <c r="K1371" s="7" t="s">
        <v>7163</v>
      </c>
      <c r="L1371" s="7"/>
      <c r="M1371" s="7"/>
    </row>
    <row r="1372" spans="1:13" x14ac:dyDescent="0.3">
      <c r="A1372" s="7">
        <v>12009</v>
      </c>
      <c r="B1372" s="7" t="s">
        <v>1380</v>
      </c>
      <c r="C1372" s="7" t="s">
        <v>6543</v>
      </c>
      <c r="D1372" s="7" t="s">
        <v>6545</v>
      </c>
      <c r="E1372" s="7" t="s">
        <v>6295</v>
      </c>
      <c r="F1372" s="7" t="s">
        <v>6560</v>
      </c>
      <c r="G1372" s="7" t="s">
        <v>7150</v>
      </c>
      <c r="H1372" s="7" t="s">
        <v>7156</v>
      </c>
      <c r="I1372" s="7"/>
      <c r="J1372" s="10">
        <v>43383</v>
      </c>
      <c r="K1372" s="7" t="s">
        <v>7163</v>
      </c>
      <c r="L1372" s="7"/>
      <c r="M1372" s="7"/>
    </row>
    <row r="1373" spans="1:13" x14ac:dyDescent="0.3">
      <c r="A1373" s="7">
        <v>470023</v>
      </c>
      <c r="B1373" s="7" t="s">
        <v>1381</v>
      </c>
      <c r="C1373" s="7" t="s">
        <v>6543</v>
      </c>
      <c r="D1373" s="7" t="s">
        <v>6544</v>
      </c>
      <c r="E1373" s="7" t="s">
        <v>6295</v>
      </c>
      <c r="F1373" s="7" t="s">
        <v>6560</v>
      </c>
      <c r="G1373" s="7" t="s">
        <v>7150</v>
      </c>
      <c r="H1373" s="7" t="s">
        <v>7156</v>
      </c>
      <c r="I1373" s="7"/>
      <c r="J1373" s="10">
        <v>41702</v>
      </c>
      <c r="K1373" s="7" t="s">
        <v>7163</v>
      </c>
      <c r="L1373" s="7"/>
      <c r="M1373" s="7"/>
    </row>
    <row r="1374" spans="1:13" x14ac:dyDescent="0.3">
      <c r="A1374" s="7">
        <v>12210</v>
      </c>
      <c r="B1374" s="7" t="s">
        <v>1382</v>
      </c>
      <c r="C1374" s="7" t="s">
        <v>6543</v>
      </c>
      <c r="D1374" s="7" t="s">
        <v>6545</v>
      </c>
      <c r="E1374" s="7" t="s">
        <v>6295</v>
      </c>
      <c r="F1374" s="7" t="s">
        <v>6560</v>
      </c>
      <c r="G1374" s="7" t="s">
        <v>7150</v>
      </c>
      <c r="H1374" s="7" t="s">
        <v>7156</v>
      </c>
      <c r="I1374" s="7"/>
      <c r="J1374" s="10">
        <v>43593</v>
      </c>
      <c r="K1374" s="7" t="s">
        <v>7163</v>
      </c>
      <c r="L1374" s="7"/>
      <c r="M1374" s="7"/>
    </row>
    <row r="1375" spans="1:13" x14ac:dyDescent="0.3">
      <c r="A1375" s="7">
        <v>12280</v>
      </c>
      <c r="B1375" s="7" t="s">
        <v>1383</v>
      </c>
      <c r="C1375" s="7" t="s">
        <v>6543</v>
      </c>
      <c r="D1375" s="7" t="s">
        <v>6545</v>
      </c>
      <c r="E1375" s="7" t="s">
        <v>6295</v>
      </c>
      <c r="F1375" s="7" t="s">
        <v>6560</v>
      </c>
      <c r="G1375" s="7" t="s">
        <v>7150</v>
      </c>
      <c r="H1375" s="7" t="s">
        <v>7156</v>
      </c>
      <c r="I1375" s="7"/>
      <c r="J1375" s="10">
        <v>43662</v>
      </c>
      <c r="K1375" s="7" t="s">
        <v>7163</v>
      </c>
      <c r="L1375" s="7"/>
      <c r="M1375" s="7"/>
    </row>
    <row r="1376" spans="1:13" x14ac:dyDescent="0.3">
      <c r="A1376" s="7">
        <v>12535</v>
      </c>
      <c r="B1376" s="7" t="s">
        <v>1384</v>
      </c>
      <c r="C1376" s="7" t="s">
        <v>6533</v>
      </c>
      <c r="D1376" s="7" t="s">
        <v>6563</v>
      </c>
      <c r="E1376" s="7" t="s">
        <v>6295</v>
      </c>
      <c r="F1376" s="7" t="s">
        <v>6560</v>
      </c>
      <c r="G1376" s="7" t="s">
        <v>7150</v>
      </c>
      <c r="H1376" s="7" t="s">
        <v>7156</v>
      </c>
      <c r="I1376" s="7"/>
      <c r="J1376" s="10">
        <v>43801</v>
      </c>
      <c r="K1376" s="7" t="s">
        <v>7163</v>
      </c>
      <c r="L1376" s="7"/>
      <c r="M1376" s="7"/>
    </row>
    <row r="1377" spans="1:13" x14ac:dyDescent="0.3">
      <c r="A1377" s="7">
        <v>13542</v>
      </c>
      <c r="B1377" s="7" t="s">
        <v>1385</v>
      </c>
      <c r="C1377" s="7" t="s">
        <v>6543</v>
      </c>
      <c r="D1377" s="7" t="s">
        <v>6544</v>
      </c>
      <c r="E1377" s="7" t="s">
        <v>6295</v>
      </c>
      <c r="F1377" s="7" t="s">
        <v>6560</v>
      </c>
      <c r="G1377" s="7" t="s">
        <v>7150</v>
      </c>
      <c r="H1377" s="7" t="s">
        <v>7156</v>
      </c>
      <c r="I1377" s="7"/>
      <c r="J1377" s="10">
        <v>44491</v>
      </c>
      <c r="K1377" s="7" t="s">
        <v>7163</v>
      </c>
      <c r="L1377" s="7"/>
      <c r="M1377" s="7"/>
    </row>
    <row r="1378" spans="1:13" x14ac:dyDescent="0.3">
      <c r="A1378" s="7">
        <v>12305</v>
      </c>
      <c r="B1378" s="7" t="s">
        <v>1386</v>
      </c>
      <c r="C1378" s="7" t="s">
        <v>6543</v>
      </c>
      <c r="D1378" s="7" t="s">
        <v>6545</v>
      </c>
      <c r="E1378" s="7" t="s">
        <v>6295</v>
      </c>
      <c r="F1378" s="7" t="s">
        <v>6560</v>
      </c>
      <c r="G1378" s="7" t="s">
        <v>7150</v>
      </c>
      <c r="H1378" s="7" t="s">
        <v>7156</v>
      </c>
      <c r="I1378" s="7"/>
      <c r="J1378" s="10">
        <v>43672</v>
      </c>
      <c r="K1378" s="7" t="s">
        <v>7163</v>
      </c>
      <c r="L1378" s="7"/>
      <c r="M1378" s="7"/>
    </row>
    <row r="1379" spans="1:13" x14ac:dyDescent="0.3">
      <c r="A1379" s="7">
        <v>140042</v>
      </c>
      <c r="B1379" s="7" t="s">
        <v>1387</v>
      </c>
      <c r="C1379" s="7" t="s">
        <v>6543</v>
      </c>
      <c r="D1379" s="7" t="s">
        <v>6544</v>
      </c>
      <c r="E1379" s="7" t="s">
        <v>6295</v>
      </c>
      <c r="F1379" s="7" t="s">
        <v>6560</v>
      </c>
      <c r="G1379" s="7" t="s">
        <v>7150</v>
      </c>
      <c r="H1379" s="7" t="s">
        <v>7156</v>
      </c>
      <c r="I1379" s="7"/>
      <c r="J1379" s="10">
        <v>43511</v>
      </c>
      <c r="K1379" s="7" t="s">
        <v>7163</v>
      </c>
      <c r="L1379" s="7"/>
      <c r="M1379" s="7"/>
    </row>
    <row r="1380" spans="1:13" x14ac:dyDescent="0.3">
      <c r="A1380" s="7">
        <v>10218</v>
      </c>
      <c r="B1380" s="7" t="s">
        <v>1388</v>
      </c>
      <c r="C1380" s="7" t="s">
        <v>6543</v>
      </c>
      <c r="D1380" s="7" t="s">
        <v>6546</v>
      </c>
      <c r="E1380" s="7" t="s">
        <v>6295</v>
      </c>
      <c r="F1380" s="7" t="s">
        <v>6560</v>
      </c>
      <c r="G1380" s="7" t="s">
        <v>7150</v>
      </c>
      <c r="H1380" s="7" t="s">
        <v>7156</v>
      </c>
      <c r="I1380" s="7"/>
      <c r="J1380" s="10">
        <v>38565</v>
      </c>
      <c r="K1380" s="7" t="s">
        <v>7163</v>
      </c>
      <c r="L1380" s="7"/>
      <c r="M1380" s="7"/>
    </row>
    <row r="1381" spans="1:13" x14ac:dyDescent="0.3">
      <c r="A1381" s="7">
        <v>14674</v>
      </c>
      <c r="B1381" s="7" t="s">
        <v>1389</v>
      </c>
      <c r="C1381" s="7" t="s">
        <v>6543</v>
      </c>
      <c r="D1381" s="7" t="s">
        <v>6545</v>
      </c>
      <c r="E1381" s="7" t="s">
        <v>6295</v>
      </c>
      <c r="F1381" s="7" t="s">
        <v>6560</v>
      </c>
      <c r="G1381" s="7" t="s">
        <v>7150</v>
      </c>
      <c r="H1381" s="7" t="s">
        <v>7156</v>
      </c>
      <c r="I1381" s="7"/>
      <c r="J1381" s="10">
        <v>44824</v>
      </c>
      <c r="K1381" s="7" t="s">
        <v>7163</v>
      </c>
      <c r="L1381" s="7"/>
      <c r="M1381" s="7"/>
    </row>
    <row r="1382" spans="1:13" x14ac:dyDescent="0.3">
      <c r="A1382" s="7">
        <v>14718</v>
      </c>
      <c r="B1382" s="7" t="s">
        <v>1390</v>
      </c>
      <c r="C1382" s="7" t="s">
        <v>6543</v>
      </c>
      <c r="D1382" s="7" t="s">
        <v>6545</v>
      </c>
      <c r="E1382" s="7" t="s">
        <v>6295</v>
      </c>
      <c r="F1382" s="7" t="s">
        <v>6560</v>
      </c>
      <c r="G1382" s="7" t="s">
        <v>7150</v>
      </c>
      <c r="H1382" s="7" t="s">
        <v>7156</v>
      </c>
      <c r="I1382" s="7"/>
      <c r="J1382" s="10">
        <v>44841</v>
      </c>
      <c r="K1382" s="7" t="s">
        <v>7163</v>
      </c>
      <c r="L1382" s="7"/>
      <c r="M1382" s="7"/>
    </row>
    <row r="1383" spans="1:13" x14ac:dyDescent="0.3">
      <c r="A1383" s="7">
        <v>14798</v>
      </c>
      <c r="B1383" s="7" t="s">
        <v>1391</v>
      </c>
      <c r="C1383" s="7" t="s">
        <v>6543</v>
      </c>
      <c r="D1383" s="7" t="s">
        <v>6546</v>
      </c>
      <c r="E1383" s="7" t="s">
        <v>6295</v>
      </c>
      <c r="F1383" s="7" t="s">
        <v>6560</v>
      </c>
      <c r="G1383" s="7" t="s">
        <v>7150</v>
      </c>
      <c r="H1383" s="7" t="s">
        <v>7156</v>
      </c>
      <c r="I1383" s="7"/>
      <c r="J1383" s="10">
        <v>44870</v>
      </c>
      <c r="K1383" s="7" t="s">
        <v>7163</v>
      </c>
      <c r="L1383" s="7"/>
      <c r="M1383" s="7"/>
    </row>
    <row r="1384" spans="1:13" x14ac:dyDescent="0.3">
      <c r="A1384" s="7">
        <v>12752</v>
      </c>
      <c r="B1384" s="7" t="s">
        <v>1392</v>
      </c>
      <c r="C1384" s="7" t="s">
        <v>6543</v>
      </c>
      <c r="D1384" s="7" t="s">
        <v>6546</v>
      </c>
      <c r="E1384" s="7" t="s">
        <v>6295</v>
      </c>
      <c r="F1384" s="7" t="s">
        <v>6560</v>
      </c>
      <c r="G1384" s="7" t="s">
        <v>7150</v>
      </c>
      <c r="H1384" s="7" t="s">
        <v>7156</v>
      </c>
      <c r="I1384" s="7"/>
      <c r="J1384" s="10">
        <v>43893</v>
      </c>
      <c r="K1384" s="7" t="s">
        <v>7163</v>
      </c>
      <c r="L1384" s="7"/>
      <c r="M1384" s="7"/>
    </row>
    <row r="1385" spans="1:13" x14ac:dyDescent="0.3">
      <c r="A1385" s="7">
        <v>15808</v>
      </c>
      <c r="B1385" s="7" t="s">
        <v>1393</v>
      </c>
      <c r="C1385" s="7" t="s">
        <v>6543</v>
      </c>
      <c r="D1385" s="7" t="s">
        <v>6546</v>
      </c>
      <c r="E1385" s="7" t="s">
        <v>6295</v>
      </c>
      <c r="F1385" s="7" t="s">
        <v>6560</v>
      </c>
      <c r="G1385" s="7" t="s">
        <v>7150</v>
      </c>
      <c r="H1385" s="7" t="s">
        <v>7156</v>
      </c>
      <c r="I1385" s="7"/>
      <c r="J1385" s="10">
        <v>45201</v>
      </c>
      <c r="K1385" s="7" t="s">
        <v>7163</v>
      </c>
      <c r="L1385" s="7"/>
      <c r="M1385" s="7"/>
    </row>
    <row r="1386" spans="1:13" x14ac:dyDescent="0.3">
      <c r="A1386" s="7">
        <v>15851</v>
      </c>
      <c r="B1386" s="7" t="s">
        <v>1394</v>
      </c>
      <c r="C1386" s="7" t="s">
        <v>6543</v>
      </c>
      <c r="D1386" s="7" t="s">
        <v>6546</v>
      </c>
      <c r="E1386" s="7" t="s">
        <v>6295</v>
      </c>
      <c r="F1386" s="7" t="s">
        <v>6560</v>
      </c>
      <c r="G1386" s="7" t="s">
        <v>7150</v>
      </c>
      <c r="H1386" s="7" t="s">
        <v>7156</v>
      </c>
      <c r="I1386" s="7"/>
      <c r="J1386" s="10">
        <v>45215</v>
      </c>
      <c r="K1386" s="7" t="s">
        <v>7163</v>
      </c>
      <c r="L1386" s="7"/>
      <c r="M1386" s="7"/>
    </row>
    <row r="1387" spans="1:13" x14ac:dyDescent="0.3">
      <c r="A1387" s="7">
        <v>290037</v>
      </c>
      <c r="B1387" s="7" t="s">
        <v>1395</v>
      </c>
      <c r="C1387" s="7" t="s">
        <v>6543</v>
      </c>
      <c r="D1387" s="7" t="s">
        <v>6545</v>
      </c>
      <c r="E1387" s="7" t="s">
        <v>6295</v>
      </c>
      <c r="F1387" s="7" t="s">
        <v>6560</v>
      </c>
      <c r="G1387" s="7" t="s">
        <v>7150</v>
      </c>
      <c r="H1387" s="7" t="s">
        <v>7156</v>
      </c>
      <c r="I1387" s="7"/>
      <c r="J1387" s="10">
        <v>42186</v>
      </c>
      <c r="K1387" s="7" t="s">
        <v>7163</v>
      </c>
      <c r="L1387" s="7"/>
      <c r="M1387" s="7"/>
    </row>
    <row r="1388" spans="1:13" x14ac:dyDescent="0.3">
      <c r="A1388" s="7">
        <v>15479</v>
      </c>
      <c r="B1388" s="7" t="s">
        <v>1396</v>
      </c>
      <c r="C1388" s="7" t="s">
        <v>6543</v>
      </c>
      <c r="D1388" s="7" t="s">
        <v>6545</v>
      </c>
      <c r="E1388" s="7" t="s">
        <v>6295</v>
      </c>
      <c r="F1388" s="7" t="s">
        <v>6560</v>
      </c>
      <c r="G1388" s="7" t="s">
        <v>7150</v>
      </c>
      <c r="H1388" s="7" t="s">
        <v>7156</v>
      </c>
      <c r="I1388" s="7"/>
      <c r="J1388" s="10">
        <v>45084</v>
      </c>
      <c r="K1388" s="7" t="s">
        <v>7163</v>
      </c>
      <c r="L1388" s="7"/>
      <c r="M1388" s="7"/>
    </row>
    <row r="1389" spans="1:13" x14ac:dyDescent="0.3">
      <c r="A1389" s="7">
        <v>19137</v>
      </c>
      <c r="B1389" s="7" t="s">
        <v>1397</v>
      </c>
      <c r="C1389" s="7" t="s">
        <v>6543</v>
      </c>
      <c r="D1389" s="7" t="s">
        <v>6545</v>
      </c>
      <c r="E1389" s="7" t="s">
        <v>6295</v>
      </c>
      <c r="F1389" s="7" t="s">
        <v>6562</v>
      </c>
      <c r="G1389" s="7" t="s">
        <v>7150</v>
      </c>
      <c r="H1389" s="7" t="s">
        <v>7156</v>
      </c>
      <c r="I1389" s="7" t="s">
        <v>7159</v>
      </c>
      <c r="J1389" s="10">
        <v>46268</v>
      </c>
      <c r="K1389" s="7" t="s">
        <v>7163</v>
      </c>
      <c r="L1389" s="7"/>
      <c r="M1389" s="7"/>
    </row>
    <row r="1390" spans="1:13" x14ac:dyDescent="0.3">
      <c r="A1390" s="7">
        <v>19138</v>
      </c>
      <c r="B1390" s="7" t="s">
        <v>1398</v>
      </c>
      <c r="C1390" s="7" t="s">
        <v>6543</v>
      </c>
      <c r="D1390" s="7" t="s">
        <v>6545</v>
      </c>
      <c r="E1390" s="7" t="s">
        <v>6295</v>
      </c>
      <c r="F1390" s="7" t="s">
        <v>6562</v>
      </c>
      <c r="G1390" s="7" t="s">
        <v>7150</v>
      </c>
      <c r="H1390" s="7" t="s">
        <v>7156</v>
      </c>
      <c r="I1390" s="7" t="s">
        <v>7159</v>
      </c>
      <c r="J1390" s="10">
        <v>46268</v>
      </c>
      <c r="K1390" s="7" t="s">
        <v>7163</v>
      </c>
      <c r="L1390" s="7"/>
      <c r="M1390" s="7"/>
    </row>
    <row r="1391" spans="1:13" x14ac:dyDescent="0.3">
      <c r="A1391" s="7">
        <v>19139</v>
      </c>
      <c r="B1391" s="7" t="s">
        <v>1399</v>
      </c>
      <c r="C1391" s="7" t="s">
        <v>6543</v>
      </c>
      <c r="D1391" s="7" t="s">
        <v>6545</v>
      </c>
      <c r="E1391" s="7" t="s">
        <v>6295</v>
      </c>
      <c r="F1391" s="7" t="s">
        <v>6562</v>
      </c>
      <c r="G1391" s="7" t="s">
        <v>7150</v>
      </c>
      <c r="H1391" s="7" t="s">
        <v>7156</v>
      </c>
      <c r="I1391" s="7" t="s">
        <v>7159</v>
      </c>
      <c r="J1391" s="10">
        <v>46268</v>
      </c>
      <c r="K1391" s="7" t="s">
        <v>7163</v>
      </c>
      <c r="L1391" s="7"/>
      <c r="M1391" s="7"/>
    </row>
    <row r="1392" spans="1:13" x14ac:dyDescent="0.3">
      <c r="A1392" s="7">
        <v>19134</v>
      </c>
      <c r="B1392" s="7" t="s">
        <v>1400</v>
      </c>
      <c r="C1392" s="7" t="s">
        <v>6543</v>
      </c>
      <c r="D1392" s="7" t="s">
        <v>6545</v>
      </c>
      <c r="E1392" s="7" t="s">
        <v>6295</v>
      </c>
      <c r="F1392" s="7" t="s">
        <v>6562</v>
      </c>
      <c r="G1392" s="7" t="s">
        <v>7150</v>
      </c>
      <c r="H1392" s="7" t="s">
        <v>7156</v>
      </c>
      <c r="I1392" s="7" t="s">
        <v>7159</v>
      </c>
      <c r="J1392" s="10">
        <v>46268</v>
      </c>
      <c r="K1392" s="7" t="s">
        <v>7163</v>
      </c>
      <c r="L1392" s="7"/>
      <c r="M1392" s="7"/>
    </row>
    <row r="1393" spans="1:13" x14ac:dyDescent="0.3">
      <c r="A1393" s="7">
        <v>19146</v>
      </c>
      <c r="B1393" s="7" t="s">
        <v>1401</v>
      </c>
      <c r="C1393" s="7" t="s">
        <v>6543</v>
      </c>
      <c r="D1393" s="7" t="s">
        <v>6545</v>
      </c>
      <c r="E1393" s="7" t="s">
        <v>6295</v>
      </c>
      <c r="F1393" s="7" t="s">
        <v>6562</v>
      </c>
      <c r="G1393" s="7" t="s">
        <v>7150</v>
      </c>
      <c r="H1393" s="7" t="s">
        <v>7156</v>
      </c>
      <c r="I1393" s="7" t="s">
        <v>7159</v>
      </c>
      <c r="J1393" s="10">
        <v>46269</v>
      </c>
      <c r="K1393" s="7" t="s">
        <v>7163</v>
      </c>
      <c r="L1393" s="7"/>
      <c r="M1393" s="7"/>
    </row>
    <row r="1394" spans="1:13" x14ac:dyDescent="0.3">
      <c r="A1394" s="7">
        <v>19147</v>
      </c>
      <c r="B1394" s="7" t="s">
        <v>1402</v>
      </c>
      <c r="C1394" s="7" t="s">
        <v>6543</v>
      </c>
      <c r="D1394" s="7" t="s">
        <v>6545</v>
      </c>
      <c r="E1394" s="7" t="s">
        <v>6295</v>
      </c>
      <c r="F1394" s="7" t="s">
        <v>6562</v>
      </c>
      <c r="G1394" s="7" t="s">
        <v>7150</v>
      </c>
      <c r="H1394" s="7" t="s">
        <v>7156</v>
      </c>
      <c r="I1394" s="7" t="s">
        <v>7159</v>
      </c>
      <c r="J1394" s="10">
        <v>46269</v>
      </c>
      <c r="K1394" s="7" t="s">
        <v>7163</v>
      </c>
      <c r="L1394" s="7"/>
      <c r="M1394" s="7"/>
    </row>
    <row r="1395" spans="1:13" x14ac:dyDescent="0.3">
      <c r="A1395" s="7">
        <v>19148</v>
      </c>
      <c r="B1395" s="7" t="s">
        <v>1403</v>
      </c>
      <c r="C1395" s="7" t="s">
        <v>6543</v>
      </c>
      <c r="D1395" s="7" t="s">
        <v>6545</v>
      </c>
      <c r="E1395" s="7" t="s">
        <v>6295</v>
      </c>
      <c r="F1395" s="7" t="s">
        <v>6562</v>
      </c>
      <c r="G1395" s="7" t="s">
        <v>7150</v>
      </c>
      <c r="H1395" s="7" t="s">
        <v>7156</v>
      </c>
      <c r="I1395" s="7" t="s">
        <v>7159</v>
      </c>
      <c r="J1395" s="10">
        <v>46269</v>
      </c>
      <c r="K1395" s="7" t="s">
        <v>7163</v>
      </c>
      <c r="L1395" s="7"/>
      <c r="M1395" s="7"/>
    </row>
    <row r="1396" spans="1:13" x14ac:dyDescent="0.3">
      <c r="A1396" s="7">
        <v>19149</v>
      </c>
      <c r="B1396" s="7" t="s">
        <v>1404</v>
      </c>
      <c r="C1396" s="7" t="s">
        <v>6543</v>
      </c>
      <c r="D1396" s="7" t="s">
        <v>6545</v>
      </c>
      <c r="E1396" s="7" t="s">
        <v>6295</v>
      </c>
      <c r="F1396" s="7" t="s">
        <v>6562</v>
      </c>
      <c r="G1396" s="7" t="s">
        <v>7150</v>
      </c>
      <c r="H1396" s="7" t="s">
        <v>7156</v>
      </c>
      <c r="I1396" s="7" t="s">
        <v>7159</v>
      </c>
      <c r="J1396" s="10">
        <v>46269</v>
      </c>
      <c r="K1396" s="7" t="s">
        <v>7163</v>
      </c>
      <c r="L1396" s="7"/>
      <c r="M1396" s="7"/>
    </row>
    <row r="1397" spans="1:13" x14ac:dyDescent="0.3">
      <c r="A1397" s="7">
        <v>19150</v>
      </c>
      <c r="B1397" s="7" t="s">
        <v>1405</v>
      </c>
      <c r="C1397" s="7" t="s">
        <v>6543</v>
      </c>
      <c r="D1397" s="7" t="s">
        <v>6545</v>
      </c>
      <c r="E1397" s="7" t="s">
        <v>6295</v>
      </c>
      <c r="F1397" s="7" t="s">
        <v>6562</v>
      </c>
      <c r="G1397" s="7" t="s">
        <v>7150</v>
      </c>
      <c r="H1397" s="7" t="s">
        <v>7156</v>
      </c>
      <c r="I1397" s="7" t="s">
        <v>7159</v>
      </c>
      <c r="J1397" s="10">
        <v>46269</v>
      </c>
      <c r="K1397" s="7" t="s">
        <v>7163</v>
      </c>
      <c r="L1397" s="7"/>
      <c r="M1397" s="7"/>
    </row>
    <row r="1398" spans="1:13" x14ac:dyDescent="0.3">
      <c r="A1398" s="7">
        <v>19154</v>
      </c>
      <c r="B1398" s="7" t="s">
        <v>1406</v>
      </c>
      <c r="C1398" s="7" t="s">
        <v>6543</v>
      </c>
      <c r="D1398" s="7" t="s">
        <v>6545</v>
      </c>
      <c r="E1398" s="7" t="s">
        <v>6295</v>
      </c>
      <c r="F1398" s="7" t="s">
        <v>6562</v>
      </c>
      <c r="G1398" s="7" t="s">
        <v>7150</v>
      </c>
      <c r="H1398" s="7" t="s">
        <v>7156</v>
      </c>
      <c r="I1398" s="7" t="s">
        <v>7159</v>
      </c>
      <c r="J1398" s="10">
        <v>46269</v>
      </c>
      <c r="K1398" s="7" t="s">
        <v>7163</v>
      </c>
      <c r="L1398" s="7"/>
      <c r="M1398" s="7"/>
    </row>
    <row r="1399" spans="1:13" x14ac:dyDescent="0.3">
      <c r="A1399" s="7">
        <v>19157</v>
      </c>
      <c r="B1399" s="7" t="s">
        <v>1407</v>
      </c>
      <c r="C1399" s="7" t="s">
        <v>6543</v>
      </c>
      <c r="D1399" s="7" t="s">
        <v>6545</v>
      </c>
      <c r="E1399" s="7" t="s">
        <v>6295</v>
      </c>
      <c r="F1399" s="7" t="s">
        <v>6562</v>
      </c>
      <c r="G1399" s="7" t="s">
        <v>7150</v>
      </c>
      <c r="H1399" s="7" t="s">
        <v>7156</v>
      </c>
      <c r="I1399" s="7" t="s">
        <v>7159</v>
      </c>
      <c r="J1399" s="10">
        <v>46269</v>
      </c>
      <c r="K1399" s="7" t="s">
        <v>7163</v>
      </c>
      <c r="L1399" s="7"/>
      <c r="M1399" s="7"/>
    </row>
    <row r="1400" spans="1:13" x14ac:dyDescent="0.3">
      <c r="A1400" s="7">
        <v>19158</v>
      </c>
      <c r="B1400" s="7" t="s">
        <v>1408</v>
      </c>
      <c r="C1400" s="7" t="s">
        <v>6543</v>
      </c>
      <c r="D1400" s="7" t="s">
        <v>6545</v>
      </c>
      <c r="E1400" s="7" t="s">
        <v>6295</v>
      </c>
      <c r="F1400" s="7" t="s">
        <v>6562</v>
      </c>
      <c r="G1400" s="7" t="s">
        <v>7150</v>
      </c>
      <c r="H1400" s="7" t="s">
        <v>7156</v>
      </c>
      <c r="I1400" s="7" t="s">
        <v>7159</v>
      </c>
      <c r="J1400" s="10">
        <v>46269</v>
      </c>
      <c r="K1400" s="7" t="s">
        <v>7163</v>
      </c>
      <c r="L1400" s="7"/>
      <c r="M1400" s="7"/>
    </row>
    <row r="1401" spans="1:13" x14ac:dyDescent="0.3">
      <c r="A1401" s="7">
        <v>19159</v>
      </c>
      <c r="B1401" s="7" t="s">
        <v>1409</v>
      </c>
      <c r="C1401" s="7" t="s">
        <v>6543</v>
      </c>
      <c r="D1401" s="7" t="s">
        <v>6545</v>
      </c>
      <c r="E1401" s="7" t="s">
        <v>6295</v>
      </c>
      <c r="F1401" s="7" t="s">
        <v>6562</v>
      </c>
      <c r="G1401" s="7" t="s">
        <v>7150</v>
      </c>
      <c r="H1401" s="7" t="s">
        <v>7156</v>
      </c>
      <c r="I1401" s="7" t="s">
        <v>7159</v>
      </c>
      <c r="J1401" s="10">
        <v>46269</v>
      </c>
      <c r="K1401" s="7" t="s">
        <v>7163</v>
      </c>
      <c r="L1401" s="7"/>
      <c r="M1401" s="7"/>
    </row>
    <row r="1402" spans="1:13" x14ac:dyDescent="0.3">
      <c r="A1402" s="7">
        <v>19160</v>
      </c>
      <c r="B1402" s="7" t="s">
        <v>1410</v>
      </c>
      <c r="C1402" s="7" t="s">
        <v>6543</v>
      </c>
      <c r="D1402" s="7" t="s">
        <v>6545</v>
      </c>
      <c r="E1402" s="7" t="s">
        <v>6295</v>
      </c>
      <c r="F1402" s="7" t="s">
        <v>6562</v>
      </c>
      <c r="G1402" s="7" t="s">
        <v>7150</v>
      </c>
      <c r="H1402" s="7" t="s">
        <v>7156</v>
      </c>
      <c r="I1402" s="7" t="s">
        <v>7159</v>
      </c>
      <c r="J1402" s="10">
        <v>46269</v>
      </c>
      <c r="K1402" s="7" t="s">
        <v>7163</v>
      </c>
      <c r="L1402" s="7"/>
      <c r="M1402" s="7"/>
    </row>
    <row r="1403" spans="1:13" x14ac:dyDescent="0.3">
      <c r="A1403" s="7">
        <v>19194</v>
      </c>
      <c r="B1403" s="7" t="s">
        <v>1411</v>
      </c>
      <c r="C1403" s="7" t="s">
        <v>6543</v>
      </c>
      <c r="D1403" s="7" t="s">
        <v>6545</v>
      </c>
      <c r="E1403" s="7" t="s">
        <v>6295</v>
      </c>
      <c r="F1403" s="7" t="s">
        <v>6562</v>
      </c>
      <c r="G1403" s="7" t="s">
        <v>7150</v>
      </c>
      <c r="H1403" s="7" t="s">
        <v>7156</v>
      </c>
      <c r="I1403" s="7" t="s">
        <v>7159</v>
      </c>
      <c r="J1403" s="10">
        <v>46275</v>
      </c>
      <c r="K1403" s="7" t="s">
        <v>7163</v>
      </c>
      <c r="L1403" s="7"/>
      <c r="M1403" s="7"/>
    </row>
    <row r="1404" spans="1:13" x14ac:dyDescent="0.3">
      <c r="A1404" s="7">
        <v>19202</v>
      </c>
      <c r="B1404" s="7" t="s">
        <v>1412</v>
      </c>
      <c r="C1404" s="7" t="s">
        <v>6543</v>
      </c>
      <c r="D1404" s="7" t="s">
        <v>6545</v>
      </c>
      <c r="E1404" s="7" t="s">
        <v>6295</v>
      </c>
      <c r="F1404" s="7" t="s">
        <v>6562</v>
      </c>
      <c r="G1404" s="7" t="s">
        <v>7150</v>
      </c>
      <c r="H1404" s="7" t="s">
        <v>7156</v>
      </c>
      <c r="I1404" s="7" t="s">
        <v>7159</v>
      </c>
      <c r="J1404" s="10">
        <v>46275</v>
      </c>
      <c r="K1404" s="7" t="s">
        <v>7163</v>
      </c>
      <c r="L1404" s="7"/>
      <c r="M1404" s="7"/>
    </row>
    <row r="1405" spans="1:13" x14ac:dyDescent="0.3">
      <c r="A1405" s="7">
        <v>15502</v>
      </c>
      <c r="B1405" s="7" t="s">
        <v>1413</v>
      </c>
      <c r="C1405" s="7" t="s">
        <v>6543</v>
      </c>
      <c r="D1405" s="7" t="s">
        <v>6546</v>
      </c>
      <c r="E1405" s="7" t="s">
        <v>6295</v>
      </c>
      <c r="F1405" s="7" t="s">
        <v>6560</v>
      </c>
      <c r="G1405" s="7" t="s">
        <v>7150</v>
      </c>
      <c r="H1405" s="7" t="s">
        <v>7156</v>
      </c>
      <c r="I1405" s="7"/>
      <c r="J1405" s="10">
        <v>45099</v>
      </c>
      <c r="K1405" s="7" t="s">
        <v>7163</v>
      </c>
      <c r="L1405" s="7"/>
      <c r="M1405" s="7"/>
    </row>
    <row r="1406" spans="1:13" x14ac:dyDescent="0.3">
      <c r="A1406" s="7">
        <v>15510</v>
      </c>
      <c r="B1406" s="7" t="s">
        <v>1414</v>
      </c>
      <c r="C1406" s="7" t="s">
        <v>6543</v>
      </c>
      <c r="D1406" s="7" t="s">
        <v>6546</v>
      </c>
      <c r="E1406" s="7" t="s">
        <v>6295</v>
      </c>
      <c r="F1406" s="7" t="s">
        <v>6560</v>
      </c>
      <c r="G1406" s="7" t="s">
        <v>7150</v>
      </c>
      <c r="H1406" s="7" t="s">
        <v>7156</v>
      </c>
      <c r="I1406" s="7"/>
      <c r="J1406" s="10">
        <v>45100</v>
      </c>
      <c r="K1406" s="7" t="s">
        <v>7163</v>
      </c>
      <c r="L1406" s="7"/>
      <c r="M1406" s="7"/>
    </row>
    <row r="1407" spans="1:13" x14ac:dyDescent="0.3">
      <c r="A1407" s="7">
        <v>15703</v>
      </c>
      <c r="B1407" s="7" t="s">
        <v>1415</v>
      </c>
      <c r="C1407" s="7" t="s">
        <v>6543</v>
      </c>
      <c r="D1407" s="7" t="s">
        <v>6544</v>
      </c>
      <c r="E1407" s="7" t="s">
        <v>6295</v>
      </c>
      <c r="F1407" s="7" t="s">
        <v>6560</v>
      </c>
      <c r="G1407" s="7" t="s">
        <v>7150</v>
      </c>
      <c r="H1407" s="7" t="s">
        <v>7156</v>
      </c>
      <c r="I1407" s="7"/>
      <c r="J1407" s="10">
        <v>45170</v>
      </c>
      <c r="K1407" s="7" t="s">
        <v>7163</v>
      </c>
      <c r="L1407" s="7"/>
      <c r="M1407" s="7"/>
    </row>
    <row r="1408" spans="1:13" x14ac:dyDescent="0.3">
      <c r="A1408" s="7">
        <v>15704</v>
      </c>
      <c r="B1408" s="7" t="s">
        <v>1416</v>
      </c>
      <c r="C1408" s="7" t="s">
        <v>6543</v>
      </c>
      <c r="D1408" s="7" t="s">
        <v>6546</v>
      </c>
      <c r="E1408" s="7" t="s">
        <v>6295</v>
      </c>
      <c r="F1408" s="7" t="s">
        <v>6560</v>
      </c>
      <c r="G1408" s="7" t="s">
        <v>7150</v>
      </c>
      <c r="H1408" s="7" t="s">
        <v>7156</v>
      </c>
      <c r="I1408" s="7"/>
      <c r="J1408" s="10">
        <v>45170</v>
      </c>
      <c r="K1408" s="7" t="s">
        <v>7163</v>
      </c>
      <c r="L1408" s="7"/>
      <c r="M1408" s="7"/>
    </row>
    <row r="1409" spans="1:13" x14ac:dyDescent="0.3">
      <c r="A1409" s="7">
        <v>15758</v>
      </c>
      <c r="B1409" s="7" t="s">
        <v>1417</v>
      </c>
      <c r="C1409" s="7" t="s">
        <v>6543</v>
      </c>
      <c r="D1409" s="7" t="s">
        <v>6545</v>
      </c>
      <c r="E1409" s="7" t="s">
        <v>6295</v>
      </c>
      <c r="F1409" s="7" t="s">
        <v>6560</v>
      </c>
      <c r="G1409" s="7" t="s">
        <v>7150</v>
      </c>
      <c r="H1409" s="7" t="s">
        <v>7156</v>
      </c>
      <c r="I1409" s="7"/>
      <c r="J1409" s="10">
        <v>45187</v>
      </c>
      <c r="K1409" s="7" t="s">
        <v>7163</v>
      </c>
      <c r="L1409" s="7"/>
      <c r="M1409" s="7"/>
    </row>
    <row r="1410" spans="1:13" x14ac:dyDescent="0.3">
      <c r="A1410" s="7">
        <v>15787</v>
      </c>
      <c r="B1410" s="7" t="s">
        <v>1418</v>
      </c>
      <c r="C1410" s="7" t="s">
        <v>6543</v>
      </c>
      <c r="D1410" s="7" t="s">
        <v>6545</v>
      </c>
      <c r="E1410" s="7" t="s">
        <v>6295</v>
      </c>
      <c r="F1410" s="7" t="s">
        <v>6560</v>
      </c>
      <c r="G1410" s="7" t="s">
        <v>7150</v>
      </c>
      <c r="H1410" s="7" t="s">
        <v>7156</v>
      </c>
      <c r="I1410" s="7"/>
      <c r="J1410" s="10">
        <v>45191</v>
      </c>
      <c r="K1410" s="7" t="s">
        <v>7163</v>
      </c>
      <c r="L1410" s="7"/>
      <c r="M1410" s="7"/>
    </row>
    <row r="1411" spans="1:13" x14ac:dyDescent="0.3">
      <c r="A1411" s="7">
        <v>810008</v>
      </c>
      <c r="B1411" s="7" t="s">
        <v>1419</v>
      </c>
      <c r="C1411" s="7" t="s">
        <v>6543</v>
      </c>
      <c r="D1411" s="7" t="s">
        <v>6545</v>
      </c>
      <c r="E1411" s="7" t="s">
        <v>6295</v>
      </c>
      <c r="F1411" s="7" t="s">
        <v>6560</v>
      </c>
      <c r="G1411" s="7" t="s">
        <v>7150</v>
      </c>
      <c r="H1411" s="7" t="s">
        <v>7156</v>
      </c>
      <c r="I1411" s="7"/>
      <c r="J1411" s="10">
        <v>39440</v>
      </c>
      <c r="K1411" s="7" t="s">
        <v>7163</v>
      </c>
      <c r="L1411" s="7"/>
      <c r="M1411" s="7"/>
    </row>
    <row r="1412" spans="1:13" x14ac:dyDescent="0.3">
      <c r="A1412" s="7">
        <v>16065</v>
      </c>
      <c r="B1412" s="7" t="s">
        <v>1420</v>
      </c>
      <c r="C1412" s="7" t="s">
        <v>6543</v>
      </c>
      <c r="D1412" s="7" t="s">
        <v>6545</v>
      </c>
      <c r="E1412" s="7" t="s">
        <v>6295</v>
      </c>
      <c r="F1412" s="7" t="s">
        <v>6560</v>
      </c>
      <c r="G1412" s="7" t="s">
        <v>7150</v>
      </c>
      <c r="H1412" s="7" t="s">
        <v>7156</v>
      </c>
      <c r="I1412" s="7"/>
      <c r="J1412" s="10">
        <v>45278</v>
      </c>
      <c r="K1412" s="7" t="s">
        <v>7163</v>
      </c>
      <c r="L1412" s="7"/>
      <c r="M1412" s="7"/>
    </row>
    <row r="1413" spans="1:13" x14ac:dyDescent="0.3">
      <c r="A1413" s="7">
        <v>16840</v>
      </c>
      <c r="B1413" s="7" t="s">
        <v>1421</v>
      </c>
      <c r="C1413" s="7" t="s">
        <v>6543</v>
      </c>
      <c r="D1413" s="7" t="s">
        <v>6545</v>
      </c>
      <c r="E1413" s="7" t="s">
        <v>6295</v>
      </c>
      <c r="F1413" s="7" t="s">
        <v>6560</v>
      </c>
      <c r="G1413" s="7" t="s">
        <v>7150</v>
      </c>
      <c r="H1413" s="7" t="s">
        <v>7156</v>
      </c>
      <c r="I1413" s="7"/>
      <c r="J1413" s="10">
        <v>45568</v>
      </c>
      <c r="K1413" s="7" t="s">
        <v>7163</v>
      </c>
      <c r="L1413" s="7"/>
      <c r="M1413" s="7"/>
    </row>
    <row r="1414" spans="1:13" x14ac:dyDescent="0.3">
      <c r="A1414" s="7">
        <v>16843</v>
      </c>
      <c r="B1414" s="7" t="s">
        <v>1422</v>
      </c>
      <c r="C1414" s="7" t="s">
        <v>6543</v>
      </c>
      <c r="D1414" s="7" t="s">
        <v>6546</v>
      </c>
      <c r="E1414" s="7" t="s">
        <v>6295</v>
      </c>
      <c r="F1414" s="7" t="s">
        <v>6560</v>
      </c>
      <c r="G1414" s="7" t="s">
        <v>7150</v>
      </c>
      <c r="H1414" s="7" t="s">
        <v>7156</v>
      </c>
      <c r="I1414" s="7"/>
      <c r="J1414" s="10">
        <v>45568</v>
      </c>
      <c r="K1414" s="7" t="s">
        <v>7163</v>
      </c>
      <c r="L1414" s="7"/>
      <c r="M1414" s="7"/>
    </row>
    <row r="1415" spans="1:13" x14ac:dyDescent="0.3">
      <c r="A1415" s="7">
        <v>16864</v>
      </c>
      <c r="B1415" s="7" t="s">
        <v>1423</v>
      </c>
      <c r="C1415" s="7" t="s">
        <v>6543</v>
      </c>
      <c r="D1415" s="7" t="s">
        <v>6546</v>
      </c>
      <c r="E1415" s="7" t="s">
        <v>6295</v>
      </c>
      <c r="F1415" s="7" t="s">
        <v>6560</v>
      </c>
      <c r="G1415" s="7" t="s">
        <v>7150</v>
      </c>
      <c r="H1415" s="7" t="s">
        <v>7156</v>
      </c>
      <c r="I1415" s="7"/>
      <c r="J1415" s="10">
        <v>45569</v>
      </c>
      <c r="K1415" s="7" t="s">
        <v>7163</v>
      </c>
      <c r="L1415" s="7"/>
      <c r="M1415" s="7"/>
    </row>
    <row r="1416" spans="1:13" x14ac:dyDescent="0.3">
      <c r="A1416" s="7">
        <v>16955</v>
      </c>
      <c r="B1416" s="7" t="s">
        <v>1424</v>
      </c>
      <c r="C1416" s="7" t="s">
        <v>6543</v>
      </c>
      <c r="D1416" s="7" t="s">
        <v>6544</v>
      </c>
      <c r="E1416" s="7" t="s">
        <v>6295</v>
      </c>
      <c r="F1416" s="7" t="s">
        <v>6560</v>
      </c>
      <c r="G1416" s="7" t="s">
        <v>7150</v>
      </c>
      <c r="H1416" s="7" t="s">
        <v>7156</v>
      </c>
      <c r="I1416" s="7"/>
      <c r="J1416" s="10">
        <v>45576</v>
      </c>
      <c r="K1416" s="7" t="s">
        <v>7163</v>
      </c>
      <c r="L1416" s="7"/>
      <c r="M1416" s="7"/>
    </row>
    <row r="1417" spans="1:13" x14ac:dyDescent="0.3">
      <c r="A1417" s="7">
        <v>17715</v>
      </c>
      <c r="B1417" s="7" t="s">
        <v>1425</v>
      </c>
      <c r="C1417" s="7" t="s">
        <v>6543</v>
      </c>
      <c r="D1417" s="7" t="s">
        <v>6546</v>
      </c>
      <c r="E1417" s="7" t="s">
        <v>6295</v>
      </c>
      <c r="F1417" s="7" t="s">
        <v>6560</v>
      </c>
      <c r="G1417" s="7" t="s">
        <v>7150</v>
      </c>
      <c r="H1417" s="7" t="s">
        <v>7156</v>
      </c>
      <c r="I1417" s="7"/>
      <c r="J1417" s="10">
        <v>45854</v>
      </c>
      <c r="K1417" s="7" t="s">
        <v>7163</v>
      </c>
      <c r="L1417" s="7"/>
      <c r="M1417" s="7"/>
    </row>
    <row r="1418" spans="1:13" x14ac:dyDescent="0.3">
      <c r="A1418" s="7">
        <v>17732</v>
      </c>
      <c r="B1418" s="7" t="s">
        <v>1426</v>
      </c>
      <c r="C1418" s="7" t="s">
        <v>6543</v>
      </c>
      <c r="D1418" s="7" t="s">
        <v>6545</v>
      </c>
      <c r="E1418" s="7" t="s">
        <v>6295</v>
      </c>
      <c r="F1418" s="7" t="s">
        <v>6560</v>
      </c>
      <c r="G1418" s="7" t="s">
        <v>7150</v>
      </c>
      <c r="H1418" s="7" t="s">
        <v>7156</v>
      </c>
      <c r="I1418" s="7"/>
      <c r="J1418" s="10">
        <v>45856</v>
      </c>
      <c r="K1418" s="7" t="s">
        <v>7163</v>
      </c>
      <c r="L1418" s="7"/>
      <c r="M1418" s="7"/>
    </row>
    <row r="1419" spans="1:13" x14ac:dyDescent="0.3">
      <c r="A1419" s="7">
        <v>17819</v>
      </c>
      <c r="B1419" s="7" t="s">
        <v>1427</v>
      </c>
      <c r="C1419" s="7" t="s">
        <v>6543</v>
      </c>
      <c r="D1419" s="7" t="s">
        <v>6545</v>
      </c>
      <c r="E1419" s="7" t="s">
        <v>6295</v>
      </c>
      <c r="F1419" s="7" t="s">
        <v>6560</v>
      </c>
      <c r="G1419" s="7" t="s">
        <v>7150</v>
      </c>
      <c r="H1419" s="7" t="s">
        <v>7156</v>
      </c>
      <c r="I1419" s="7"/>
      <c r="J1419" s="10">
        <v>45887</v>
      </c>
      <c r="K1419" s="7" t="s">
        <v>7163</v>
      </c>
      <c r="L1419" s="7"/>
      <c r="M1419" s="7"/>
    </row>
    <row r="1420" spans="1:13" x14ac:dyDescent="0.3">
      <c r="A1420" s="7">
        <v>17977</v>
      </c>
      <c r="B1420" s="7" t="s">
        <v>1428</v>
      </c>
      <c r="C1420" s="7" t="s">
        <v>6543</v>
      </c>
      <c r="D1420" s="7" t="s">
        <v>6545</v>
      </c>
      <c r="E1420" s="7" t="s">
        <v>6295</v>
      </c>
      <c r="F1420" s="7" t="s">
        <v>6560</v>
      </c>
      <c r="G1420" s="7" t="s">
        <v>7150</v>
      </c>
      <c r="H1420" s="7" t="s">
        <v>7156</v>
      </c>
      <c r="I1420" s="7"/>
      <c r="J1420" s="10">
        <v>45944</v>
      </c>
      <c r="K1420" s="7" t="s">
        <v>7163</v>
      </c>
      <c r="L1420" s="7"/>
      <c r="M1420" s="7"/>
    </row>
    <row r="1421" spans="1:13" x14ac:dyDescent="0.3">
      <c r="A1421" s="7">
        <v>18931</v>
      </c>
      <c r="B1421" s="7" t="s">
        <v>1429</v>
      </c>
      <c r="C1421" s="7" t="s">
        <v>6543</v>
      </c>
      <c r="D1421" s="7" t="s">
        <v>6546</v>
      </c>
      <c r="E1421" s="7" t="s">
        <v>6295</v>
      </c>
      <c r="F1421" s="7" t="s">
        <v>6564</v>
      </c>
      <c r="G1421" s="7" t="s">
        <v>7150</v>
      </c>
      <c r="H1421" s="7" t="s">
        <v>7156</v>
      </c>
      <c r="I1421" s="7" t="s">
        <v>7159</v>
      </c>
      <c r="J1421" s="10">
        <v>46239</v>
      </c>
      <c r="K1421" s="7" t="s">
        <v>7163</v>
      </c>
      <c r="L1421" s="7"/>
      <c r="M1421" s="7"/>
    </row>
    <row r="1422" spans="1:13" x14ac:dyDescent="0.3">
      <c r="A1422" s="7">
        <v>18928</v>
      </c>
      <c r="B1422" s="7" t="s">
        <v>1430</v>
      </c>
      <c r="C1422" s="7" t="s">
        <v>6543</v>
      </c>
      <c r="D1422" s="7" t="s">
        <v>6546</v>
      </c>
      <c r="E1422" s="7" t="s">
        <v>6295</v>
      </c>
      <c r="F1422" s="7" t="s">
        <v>6565</v>
      </c>
      <c r="G1422" s="7" t="s">
        <v>7150</v>
      </c>
      <c r="H1422" s="7" t="s">
        <v>7156</v>
      </c>
      <c r="I1422" s="7" t="s">
        <v>7159</v>
      </c>
      <c r="J1422" s="10">
        <v>46239</v>
      </c>
      <c r="K1422" s="7" t="s">
        <v>7163</v>
      </c>
      <c r="L1422" s="7"/>
      <c r="M1422" s="7"/>
    </row>
    <row r="1423" spans="1:13" x14ac:dyDescent="0.3">
      <c r="A1423" s="7">
        <v>18971</v>
      </c>
      <c r="B1423" s="7" t="s">
        <v>1431</v>
      </c>
      <c r="C1423" s="7" t="s">
        <v>6543</v>
      </c>
      <c r="D1423" s="7" t="s">
        <v>6545</v>
      </c>
      <c r="E1423" s="7" t="s">
        <v>6295</v>
      </c>
      <c r="F1423" s="7" t="s">
        <v>6566</v>
      </c>
      <c r="G1423" s="7" t="s">
        <v>7150</v>
      </c>
      <c r="H1423" s="7" t="s">
        <v>7156</v>
      </c>
      <c r="I1423" s="7" t="s">
        <v>7159</v>
      </c>
      <c r="J1423" s="10">
        <v>46248</v>
      </c>
      <c r="K1423" s="7" t="s">
        <v>7163</v>
      </c>
      <c r="L1423" s="7"/>
      <c r="M1423" s="7"/>
    </row>
    <row r="1424" spans="1:13" x14ac:dyDescent="0.3">
      <c r="A1424" s="7">
        <v>18970</v>
      </c>
      <c r="B1424" s="7" t="s">
        <v>1432</v>
      </c>
      <c r="C1424" s="7" t="s">
        <v>6543</v>
      </c>
      <c r="D1424" s="7" t="s">
        <v>6545</v>
      </c>
      <c r="E1424" s="7" t="s">
        <v>6295</v>
      </c>
      <c r="F1424" s="7" t="s">
        <v>6566</v>
      </c>
      <c r="G1424" s="7" t="s">
        <v>7150</v>
      </c>
      <c r="H1424" s="7" t="s">
        <v>7156</v>
      </c>
      <c r="I1424" s="7" t="s">
        <v>7159</v>
      </c>
      <c r="J1424" s="10">
        <v>46248</v>
      </c>
      <c r="K1424" s="7" t="s">
        <v>7163</v>
      </c>
      <c r="L1424" s="7"/>
      <c r="M1424" s="7"/>
    </row>
    <row r="1425" spans="1:13" x14ac:dyDescent="0.3">
      <c r="A1425" s="7">
        <v>18986</v>
      </c>
      <c r="B1425" s="7" t="s">
        <v>1433</v>
      </c>
      <c r="C1425" s="7" t="s">
        <v>6543</v>
      </c>
      <c r="D1425" s="7" t="s">
        <v>6545</v>
      </c>
      <c r="E1425" s="7" t="s">
        <v>6295</v>
      </c>
      <c r="F1425" s="7" t="s">
        <v>6566</v>
      </c>
      <c r="G1425" s="7" t="s">
        <v>7150</v>
      </c>
      <c r="H1425" s="7" t="s">
        <v>7156</v>
      </c>
      <c r="I1425" s="7" t="s">
        <v>7159</v>
      </c>
      <c r="J1425" s="10">
        <v>46252</v>
      </c>
      <c r="K1425" s="7" t="s">
        <v>7163</v>
      </c>
      <c r="L1425" s="7"/>
      <c r="M1425" s="7"/>
    </row>
    <row r="1426" spans="1:13" x14ac:dyDescent="0.3">
      <c r="A1426" s="7">
        <v>18983</v>
      </c>
      <c r="B1426" s="7" t="s">
        <v>1434</v>
      </c>
      <c r="C1426" s="7" t="s">
        <v>6543</v>
      </c>
      <c r="D1426" s="7" t="s">
        <v>6545</v>
      </c>
      <c r="E1426" s="7" t="s">
        <v>6295</v>
      </c>
      <c r="F1426" s="7" t="s">
        <v>6566</v>
      </c>
      <c r="G1426" s="7" t="s">
        <v>7150</v>
      </c>
      <c r="H1426" s="7" t="s">
        <v>7156</v>
      </c>
      <c r="I1426" s="7" t="s">
        <v>7159</v>
      </c>
      <c r="J1426" s="10">
        <v>46252</v>
      </c>
      <c r="K1426" s="7" t="s">
        <v>7163</v>
      </c>
      <c r="L1426" s="7"/>
      <c r="M1426" s="7"/>
    </row>
    <row r="1427" spans="1:13" x14ac:dyDescent="0.3">
      <c r="A1427" s="7">
        <v>18988</v>
      </c>
      <c r="B1427" s="7" t="s">
        <v>1435</v>
      </c>
      <c r="C1427" s="7" t="s">
        <v>6543</v>
      </c>
      <c r="D1427" s="7" t="s">
        <v>6545</v>
      </c>
      <c r="E1427" s="7" t="s">
        <v>6295</v>
      </c>
      <c r="F1427" s="7" t="s">
        <v>6566</v>
      </c>
      <c r="G1427" s="7" t="s">
        <v>7150</v>
      </c>
      <c r="H1427" s="7" t="s">
        <v>7156</v>
      </c>
      <c r="I1427" s="7" t="s">
        <v>7159</v>
      </c>
      <c r="J1427" s="10">
        <v>46252</v>
      </c>
      <c r="K1427" s="7" t="s">
        <v>7163</v>
      </c>
      <c r="L1427" s="7"/>
      <c r="M1427" s="7"/>
    </row>
    <row r="1428" spans="1:13" x14ac:dyDescent="0.3">
      <c r="A1428" s="7">
        <v>18972</v>
      </c>
      <c r="B1428" s="7" t="s">
        <v>1436</v>
      </c>
      <c r="C1428" s="7" t="s">
        <v>6543</v>
      </c>
      <c r="D1428" s="7" t="s">
        <v>6545</v>
      </c>
      <c r="E1428" s="7" t="s">
        <v>6295</v>
      </c>
      <c r="F1428" s="7" t="s">
        <v>6566</v>
      </c>
      <c r="G1428" s="7" t="s">
        <v>7150</v>
      </c>
      <c r="H1428" s="7" t="s">
        <v>7156</v>
      </c>
      <c r="I1428" s="7" t="s">
        <v>7159</v>
      </c>
      <c r="J1428" s="10">
        <v>46252</v>
      </c>
      <c r="K1428" s="7" t="s">
        <v>7163</v>
      </c>
      <c r="L1428" s="7"/>
      <c r="M1428" s="7"/>
    </row>
    <row r="1429" spans="1:13" x14ac:dyDescent="0.3">
      <c r="A1429" s="7">
        <v>18982</v>
      </c>
      <c r="B1429" s="7" t="s">
        <v>1437</v>
      </c>
      <c r="C1429" s="7" t="s">
        <v>6543</v>
      </c>
      <c r="D1429" s="7" t="s">
        <v>6545</v>
      </c>
      <c r="E1429" s="7" t="s">
        <v>6295</v>
      </c>
      <c r="F1429" s="7" t="s">
        <v>6566</v>
      </c>
      <c r="G1429" s="7" t="s">
        <v>7150</v>
      </c>
      <c r="H1429" s="7" t="s">
        <v>7156</v>
      </c>
      <c r="I1429" s="7" t="s">
        <v>7159</v>
      </c>
      <c r="J1429" s="10">
        <v>46252</v>
      </c>
      <c r="K1429" s="7" t="s">
        <v>7163</v>
      </c>
      <c r="L1429" s="7"/>
      <c r="M1429" s="7"/>
    </row>
    <row r="1430" spans="1:13" x14ac:dyDescent="0.3">
      <c r="A1430" s="7">
        <v>18981</v>
      </c>
      <c r="B1430" s="7" t="s">
        <v>1438</v>
      </c>
      <c r="C1430" s="7" t="s">
        <v>6543</v>
      </c>
      <c r="D1430" s="7" t="s">
        <v>6545</v>
      </c>
      <c r="E1430" s="7" t="s">
        <v>6295</v>
      </c>
      <c r="F1430" s="7" t="s">
        <v>6566</v>
      </c>
      <c r="G1430" s="7" t="s">
        <v>7150</v>
      </c>
      <c r="H1430" s="7" t="s">
        <v>7156</v>
      </c>
      <c r="I1430" s="7" t="s">
        <v>7159</v>
      </c>
      <c r="J1430" s="10">
        <v>46252</v>
      </c>
      <c r="K1430" s="7" t="s">
        <v>7163</v>
      </c>
      <c r="L1430" s="7"/>
      <c r="M1430" s="7"/>
    </row>
    <row r="1431" spans="1:13" x14ac:dyDescent="0.3">
      <c r="A1431" s="7">
        <v>18978</v>
      </c>
      <c r="B1431" s="7" t="s">
        <v>1439</v>
      </c>
      <c r="C1431" s="7" t="s">
        <v>6543</v>
      </c>
      <c r="D1431" s="7" t="s">
        <v>6546</v>
      </c>
      <c r="E1431" s="7" t="s">
        <v>6295</v>
      </c>
      <c r="F1431" s="7" t="s">
        <v>6567</v>
      </c>
      <c r="G1431" s="7" t="s">
        <v>7150</v>
      </c>
      <c r="H1431" s="7" t="s">
        <v>7156</v>
      </c>
      <c r="I1431" s="7" t="s">
        <v>7159</v>
      </c>
      <c r="J1431" s="10">
        <v>46252</v>
      </c>
      <c r="K1431" s="7" t="s">
        <v>7163</v>
      </c>
      <c r="L1431" s="7"/>
      <c r="M1431" s="7"/>
    </row>
    <row r="1432" spans="1:13" x14ac:dyDescent="0.3">
      <c r="A1432" s="7">
        <v>18980</v>
      </c>
      <c r="B1432" s="7" t="s">
        <v>1440</v>
      </c>
      <c r="C1432" s="7" t="s">
        <v>6543</v>
      </c>
      <c r="D1432" s="7" t="s">
        <v>6545</v>
      </c>
      <c r="E1432" s="7" t="s">
        <v>6295</v>
      </c>
      <c r="F1432" s="7" t="s">
        <v>6566</v>
      </c>
      <c r="G1432" s="7" t="s">
        <v>7150</v>
      </c>
      <c r="H1432" s="7" t="s">
        <v>7156</v>
      </c>
      <c r="I1432" s="7" t="s">
        <v>7159</v>
      </c>
      <c r="J1432" s="10">
        <v>46252</v>
      </c>
      <c r="K1432" s="7" t="s">
        <v>7163</v>
      </c>
      <c r="L1432" s="7"/>
      <c r="M1432" s="7"/>
    </row>
    <row r="1433" spans="1:13" x14ac:dyDescent="0.3">
      <c r="A1433" s="7">
        <v>18987</v>
      </c>
      <c r="B1433" s="7" t="s">
        <v>1441</v>
      </c>
      <c r="C1433" s="7" t="s">
        <v>6543</v>
      </c>
      <c r="D1433" s="7" t="s">
        <v>6545</v>
      </c>
      <c r="E1433" s="7" t="s">
        <v>6295</v>
      </c>
      <c r="F1433" s="7" t="s">
        <v>6566</v>
      </c>
      <c r="G1433" s="7" t="s">
        <v>7150</v>
      </c>
      <c r="H1433" s="7" t="s">
        <v>7156</v>
      </c>
      <c r="I1433" s="7" t="s">
        <v>7159</v>
      </c>
      <c r="J1433" s="10">
        <v>46252</v>
      </c>
      <c r="K1433" s="7" t="s">
        <v>7163</v>
      </c>
      <c r="L1433" s="7"/>
      <c r="M1433" s="7"/>
    </row>
    <row r="1434" spans="1:13" x14ac:dyDescent="0.3">
      <c r="A1434" s="7">
        <v>18979</v>
      </c>
      <c r="B1434" s="7" t="s">
        <v>1442</v>
      </c>
      <c r="C1434" s="7" t="s">
        <v>6543</v>
      </c>
      <c r="D1434" s="7" t="s">
        <v>6545</v>
      </c>
      <c r="E1434" s="7" t="s">
        <v>6295</v>
      </c>
      <c r="F1434" s="7" t="s">
        <v>6566</v>
      </c>
      <c r="G1434" s="7" t="s">
        <v>7150</v>
      </c>
      <c r="H1434" s="7" t="s">
        <v>7156</v>
      </c>
      <c r="I1434" s="7" t="s">
        <v>7159</v>
      </c>
      <c r="J1434" s="10">
        <v>46251</v>
      </c>
      <c r="K1434" s="7" t="s">
        <v>7163</v>
      </c>
      <c r="L1434" s="7"/>
      <c r="M1434" s="7"/>
    </row>
    <row r="1435" spans="1:13" x14ac:dyDescent="0.3">
      <c r="A1435" s="7">
        <v>19007</v>
      </c>
      <c r="B1435" s="7" t="s">
        <v>1443</v>
      </c>
      <c r="C1435" s="7" t="s">
        <v>6543</v>
      </c>
      <c r="D1435" s="7" t="s">
        <v>6545</v>
      </c>
      <c r="E1435" s="7" t="s">
        <v>6295</v>
      </c>
      <c r="F1435" s="7" t="s">
        <v>6568</v>
      </c>
      <c r="G1435" s="7" t="s">
        <v>7150</v>
      </c>
      <c r="H1435" s="7" t="s">
        <v>7156</v>
      </c>
      <c r="I1435" s="7" t="s">
        <v>7159</v>
      </c>
      <c r="J1435" s="10">
        <v>46254</v>
      </c>
      <c r="K1435" s="7" t="s">
        <v>7163</v>
      </c>
      <c r="L1435" s="7"/>
      <c r="M1435" s="7"/>
    </row>
    <row r="1436" spans="1:13" x14ac:dyDescent="0.3">
      <c r="A1436" s="7">
        <v>19015</v>
      </c>
      <c r="B1436" s="7" t="s">
        <v>1444</v>
      </c>
      <c r="C1436" s="7" t="s">
        <v>6543</v>
      </c>
      <c r="D1436" s="7" t="s">
        <v>6545</v>
      </c>
      <c r="E1436" s="7" t="s">
        <v>6295</v>
      </c>
      <c r="F1436" s="7" t="s">
        <v>6568</v>
      </c>
      <c r="G1436" s="7" t="s">
        <v>7150</v>
      </c>
      <c r="H1436" s="7" t="s">
        <v>7156</v>
      </c>
      <c r="I1436" s="7" t="s">
        <v>7159</v>
      </c>
      <c r="J1436" s="10">
        <v>46254</v>
      </c>
      <c r="K1436" s="7" t="s">
        <v>7163</v>
      </c>
      <c r="L1436" s="7"/>
      <c r="M1436" s="7"/>
    </row>
    <row r="1437" spans="1:13" x14ac:dyDescent="0.3">
      <c r="A1437" s="7">
        <v>19008</v>
      </c>
      <c r="B1437" s="7" t="s">
        <v>1445</v>
      </c>
      <c r="C1437" s="7" t="s">
        <v>6543</v>
      </c>
      <c r="D1437" s="7" t="s">
        <v>6545</v>
      </c>
      <c r="E1437" s="7" t="s">
        <v>6295</v>
      </c>
      <c r="F1437" s="7" t="s">
        <v>6568</v>
      </c>
      <c r="G1437" s="7" t="s">
        <v>7150</v>
      </c>
      <c r="H1437" s="7" t="s">
        <v>7156</v>
      </c>
      <c r="I1437" s="7" t="s">
        <v>7159</v>
      </c>
      <c r="J1437" s="10">
        <v>46254</v>
      </c>
      <c r="K1437" s="7" t="s">
        <v>7163</v>
      </c>
      <c r="L1437" s="7"/>
      <c r="M1437" s="7"/>
    </row>
    <row r="1438" spans="1:13" x14ac:dyDescent="0.3">
      <c r="A1438" s="7">
        <v>19009</v>
      </c>
      <c r="B1438" s="7" t="s">
        <v>1446</v>
      </c>
      <c r="C1438" s="7" t="s">
        <v>6543</v>
      </c>
      <c r="D1438" s="7" t="s">
        <v>6545</v>
      </c>
      <c r="E1438" s="7" t="s">
        <v>6295</v>
      </c>
      <c r="F1438" s="7" t="s">
        <v>6568</v>
      </c>
      <c r="G1438" s="7" t="s">
        <v>7150</v>
      </c>
      <c r="H1438" s="7" t="s">
        <v>7156</v>
      </c>
      <c r="I1438" s="7" t="s">
        <v>7159</v>
      </c>
      <c r="J1438" s="10">
        <v>46254</v>
      </c>
      <c r="K1438" s="7" t="s">
        <v>7163</v>
      </c>
      <c r="L1438" s="7"/>
      <c r="M1438" s="7"/>
    </row>
    <row r="1439" spans="1:13" x14ac:dyDescent="0.3">
      <c r="A1439" s="7">
        <v>19010</v>
      </c>
      <c r="B1439" s="7" t="s">
        <v>1447</v>
      </c>
      <c r="C1439" s="7" t="s">
        <v>6543</v>
      </c>
      <c r="D1439" s="7" t="s">
        <v>6545</v>
      </c>
      <c r="E1439" s="7" t="s">
        <v>6295</v>
      </c>
      <c r="F1439" s="7" t="s">
        <v>6568</v>
      </c>
      <c r="G1439" s="7" t="s">
        <v>7150</v>
      </c>
      <c r="H1439" s="7" t="s">
        <v>7156</v>
      </c>
      <c r="I1439" s="7" t="s">
        <v>7159</v>
      </c>
      <c r="J1439" s="10">
        <v>46254</v>
      </c>
      <c r="K1439" s="7" t="s">
        <v>7163</v>
      </c>
      <c r="L1439" s="7"/>
      <c r="M1439" s="7"/>
    </row>
    <row r="1440" spans="1:13" x14ac:dyDescent="0.3">
      <c r="A1440" s="7">
        <v>19019</v>
      </c>
      <c r="B1440" s="7" t="s">
        <v>1448</v>
      </c>
      <c r="C1440" s="7" t="s">
        <v>6543</v>
      </c>
      <c r="D1440" s="7" t="s">
        <v>6545</v>
      </c>
      <c r="E1440" s="7" t="s">
        <v>6295</v>
      </c>
      <c r="F1440" s="7" t="s">
        <v>6568</v>
      </c>
      <c r="G1440" s="7" t="s">
        <v>7150</v>
      </c>
      <c r="H1440" s="7" t="s">
        <v>7156</v>
      </c>
      <c r="I1440" s="7" t="s">
        <v>7159</v>
      </c>
      <c r="J1440" s="10">
        <v>46255</v>
      </c>
      <c r="K1440" s="7" t="s">
        <v>7163</v>
      </c>
      <c r="L1440" s="7"/>
      <c r="M1440" s="7"/>
    </row>
    <row r="1441" spans="1:13" x14ac:dyDescent="0.3">
      <c r="A1441" s="7">
        <v>19135</v>
      </c>
      <c r="B1441" s="7" t="s">
        <v>1449</v>
      </c>
      <c r="C1441" s="7" t="s">
        <v>6543</v>
      </c>
      <c r="D1441" s="7" t="s">
        <v>6545</v>
      </c>
      <c r="E1441" s="7" t="s">
        <v>6295</v>
      </c>
      <c r="F1441" s="7" t="s">
        <v>6568</v>
      </c>
      <c r="G1441" s="7" t="s">
        <v>7150</v>
      </c>
      <c r="H1441" s="7" t="s">
        <v>7156</v>
      </c>
      <c r="I1441" s="7" t="s">
        <v>7159</v>
      </c>
      <c r="J1441" s="10">
        <v>46268</v>
      </c>
      <c r="K1441" s="7" t="s">
        <v>7163</v>
      </c>
      <c r="L1441" s="7"/>
      <c r="M1441" s="7"/>
    </row>
    <row r="1442" spans="1:13" x14ac:dyDescent="0.3">
      <c r="A1442" s="7">
        <v>19170</v>
      </c>
      <c r="B1442" s="7" t="s">
        <v>1450</v>
      </c>
      <c r="C1442" s="7" t="s">
        <v>6543</v>
      </c>
      <c r="D1442" s="7" t="s">
        <v>6545</v>
      </c>
      <c r="E1442" s="7" t="s">
        <v>6295</v>
      </c>
      <c r="F1442" s="7" t="s">
        <v>6568</v>
      </c>
      <c r="G1442" s="7" t="s">
        <v>7150</v>
      </c>
      <c r="H1442" s="7" t="s">
        <v>7156</v>
      </c>
      <c r="I1442" s="7" t="s">
        <v>7159</v>
      </c>
      <c r="J1442" s="10">
        <v>46272</v>
      </c>
      <c r="K1442" s="7" t="s">
        <v>7163</v>
      </c>
      <c r="L1442" s="7"/>
      <c r="M1442" s="7"/>
    </row>
    <row r="1443" spans="1:13" x14ac:dyDescent="0.3">
      <c r="A1443" s="7">
        <v>19145</v>
      </c>
      <c r="B1443" s="7" t="s">
        <v>1451</v>
      </c>
      <c r="C1443" s="7" t="s">
        <v>6543</v>
      </c>
      <c r="D1443" s="7" t="s">
        <v>6545</v>
      </c>
      <c r="E1443" s="7" t="s">
        <v>6295</v>
      </c>
      <c r="F1443" s="7" t="s">
        <v>6568</v>
      </c>
      <c r="G1443" s="7" t="s">
        <v>7150</v>
      </c>
      <c r="H1443" s="7" t="s">
        <v>7156</v>
      </c>
      <c r="I1443" s="7" t="s">
        <v>7159</v>
      </c>
      <c r="J1443" s="10">
        <v>46272</v>
      </c>
      <c r="K1443" s="7" t="s">
        <v>7163</v>
      </c>
      <c r="L1443" s="7"/>
      <c r="M1443" s="7"/>
    </row>
    <row r="1444" spans="1:13" x14ac:dyDescent="0.3">
      <c r="A1444" s="7">
        <v>19172</v>
      </c>
      <c r="B1444" s="7" t="s">
        <v>1452</v>
      </c>
      <c r="C1444" s="7" t="s">
        <v>6543</v>
      </c>
      <c r="D1444" s="7" t="s">
        <v>6545</v>
      </c>
      <c r="E1444" s="7" t="s">
        <v>6295</v>
      </c>
      <c r="F1444" s="7" t="s">
        <v>6568</v>
      </c>
      <c r="G1444" s="7" t="s">
        <v>7150</v>
      </c>
      <c r="H1444" s="7" t="s">
        <v>7156</v>
      </c>
      <c r="I1444" s="7" t="s">
        <v>7159</v>
      </c>
      <c r="J1444" s="10">
        <v>46273</v>
      </c>
      <c r="K1444" s="7" t="s">
        <v>7163</v>
      </c>
      <c r="L1444" s="7"/>
      <c r="M1444" s="7"/>
    </row>
    <row r="1445" spans="1:13" x14ac:dyDescent="0.3">
      <c r="A1445" s="7">
        <v>19173</v>
      </c>
      <c r="B1445" s="7" t="s">
        <v>1453</v>
      </c>
      <c r="C1445" s="7" t="s">
        <v>6543</v>
      </c>
      <c r="D1445" s="7" t="s">
        <v>6545</v>
      </c>
      <c r="E1445" s="7" t="s">
        <v>6295</v>
      </c>
      <c r="F1445" s="7" t="s">
        <v>6568</v>
      </c>
      <c r="G1445" s="7" t="s">
        <v>7150</v>
      </c>
      <c r="H1445" s="7" t="s">
        <v>7156</v>
      </c>
      <c r="I1445" s="7" t="s">
        <v>7159</v>
      </c>
      <c r="J1445" s="10">
        <v>46273</v>
      </c>
      <c r="K1445" s="7" t="s">
        <v>7163</v>
      </c>
      <c r="L1445" s="7"/>
      <c r="M1445" s="7"/>
    </row>
    <row r="1446" spans="1:13" x14ac:dyDescent="0.3">
      <c r="A1446" s="7">
        <v>19174</v>
      </c>
      <c r="B1446" s="7" t="s">
        <v>1454</v>
      </c>
      <c r="C1446" s="7" t="s">
        <v>6543</v>
      </c>
      <c r="D1446" s="7" t="s">
        <v>6545</v>
      </c>
      <c r="E1446" s="7" t="s">
        <v>6295</v>
      </c>
      <c r="F1446" s="7" t="s">
        <v>6568</v>
      </c>
      <c r="G1446" s="7" t="s">
        <v>7150</v>
      </c>
      <c r="H1446" s="7" t="s">
        <v>7156</v>
      </c>
      <c r="I1446" s="7" t="s">
        <v>7159</v>
      </c>
      <c r="J1446" s="10">
        <v>46273</v>
      </c>
      <c r="K1446" s="7" t="s">
        <v>7163</v>
      </c>
      <c r="L1446" s="7"/>
      <c r="M1446" s="7"/>
    </row>
    <row r="1447" spans="1:13" x14ac:dyDescent="0.3">
      <c r="A1447" s="7">
        <v>19235</v>
      </c>
      <c r="B1447" s="7" t="s">
        <v>1455</v>
      </c>
      <c r="C1447" s="7" t="s">
        <v>6543</v>
      </c>
      <c r="D1447" s="7" t="s">
        <v>6545</v>
      </c>
      <c r="E1447" s="7" t="s">
        <v>6295</v>
      </c>
      <c r="F1447" s="7" t="s">
        <v>6568</v>
      </c>
      <c r="G1447" s="7" t="s">
        <v>7150</v>
      </c>
      <c r="H1447" s="7" t="s">
        <v>7156</v>
      </c>
      <c r="I1447" s="7" t="s">
        <v>7159</v>
      </c>
      <c r="J1447" s="10">
        <v>46280</v>
      </c>
      <c r="K1447" s="7" t="s">
        <v>7163</v>
      </c>
      <c r="L1447" s="7"/>
      <c r="M1447" s="7"/>
    </row>
    <row r="1448" spans="1:13" x14ac:dyDescent="0.3">
      <c r="A1448" s="7">
        <v>19270</v>
      </c>
      <c r="B1448" s="7" t="s">
        <v>1456</v>
      </c>
      <c r="C1448" s="7" t="s">
        <v>6543</v>
      </c>
      <c r="D1448" s="7" t="s">
        <v>6545</v>
      </c>
      <c r="E1448" s="7" t="s">
        <v>6295</v>
      </c>
      <c r="F1448" s="7" t="s">
        <v>6568</v>
      </c>
      <c r="G1448" s="7" t="s">
        <v>7150</v>
      </c>
      <c r="H1448" s="7" t="s">
        <v>7156</v>
      </c>
      <c r="I1448" s="7" t="s">
        <v>7159</v>
      </c>
      <c r="J1448" s="10">
        <v>46287</v>
      </c>
      <c r="K1448" s="7" t="s">
        <v>7163</v>
      </c>
      <c r="L1448" s="7"/>
      <c r="M1448" s="7"/>
    </row>
    <row r="1449" spans="1:13" x14ac:dyDescent="0.3">
      <c r="A1449" s="7">
        <v>18985</v>
      </c>
      <c r="B1449" s="7" t="s">
        <v>1457</v>
      </c>
      <c r="C1449" s="7" t="s">
        <v>6543</v>
      </c>
      <c r="D1449" s="7" t="s">
        <v>6545</v>
      </c>
      <c r="E1449" s="7" t="s">
        <v>6295</v>
      </c>
      <c r="F1449" s="7" t="s">
        <v>6566</v>
      </c>
      <c r="G1449" s="7" t="s">
        <v>7150</v>
      </c>
      <c r="H1449" s="7" t="s">
        <v>7156</v>
      </c>
      <c r="I1449" s="7" t="s">
        <v>7159</v>
      </c>
      <c r="J1449" s="10">
        <v>46258</v>
      </c>
      <c r="K1449" s="7" t="s">
        <v>7163</v>
      </c>
      <c r="L1449" s="7"/>
      <c r="M1449" s="7"/>
    </row>
    <row r="1450" spans="1:13" x14ac:dyDescent="0.3">
      <c r="A1450" s="7">
        <v>19020</v>
      </c>
      <c r="B1450" s="7" t="s">
        <v>1458</v>
      </c>
      <c r="C1450" s="7" t="s">
        <v>6543</v>
      </c>
      <c r="D1450" s="7" t="s">
        <v>6545</v>
      </c>
      <c r="E1450" s="7" t="s">
        <v>6295</v>
      </c>
      <c r="F1450" s="7" t="s">
        <v>6566</v>
      </c>
      <c r="G1450" s="7" t="s">
        <v>7150</v>
      </c>
      <c r="H1450" s="7" t="s">
        <v>7156</v>
      </c>
      <c r="I1450" s="7" t="s">
        <v>7159</v>
      </c>
      <c r="J1450" s="10">
        <v>46255</v>
      </c>
      <c r="K1450" s="7" t="s">
        <v>7163</v>
      </c>
      <c r="L1450" s="7"/>
      <c r="M1450" s="7"/>
    </row>
    <row r="1451" spans="1:13" x14ac:dyDescent="0.3">
      <c r="A1451" s="7">
        <v>19052</v>
      </c>
      <c r="B1451" s="7" t="s">
        <v>1459</v>
      </c>
      <c r="C1451" s="7" t="s">
        <v>6543</v>
      </c>
      <c r="D1451" s="7" t="s">
        <v>6546</v>
      </c>
      <c r="E1451" s="7" t="s">
        <v>6295</v>
      </c>
      <c r="F1451" s="7" t="s">
        <v>6566</v>
      </c>
      <c r="G1451" s="7" t="s">
        <v>7150</v>
      </c>
      <c r="H1451" s="7" t="s">
        <v>7156</v>
      </c>
      <c r="I1451" s="7" t="s">
        <v>7159</v>
      </c>
      <c r="J1451" s="10">
        <v>46259</v>
      </c>
      <c r="K1451" s="7" t="s">
        <v>7163</v>
      </c>
      <c r="L1451" s="7"/>
      <c r="M1451" s="7"/>
    </row>
    <row r="1452" spans="1:13" x14ac:dyDescent="0.3">
      <c r="A1452" s="7">
        <v>19053</v>
      </c>
      <c r="B1452" s="7" t="s">
        <v>1460</v>
      </c>
      <c r="C1452" s="7" t="s">
        <v>6543</v>
      </c>
      <c r="D1452" s="7" t="s">
        <v>6546</v>
      </c>
      <c r="E1452" s="7" t="s">
        <v>6295</v>
      </c>
      <c r="F1452" s="7" t="s">
        <v>6566</v>
      </c>
      <c r="G1452" s="7" t="s">
        <v>7150</v>
      </c>
      <c r="H1452" s="7" t="s">
        <v>7156</v>
      </c>
      <c r="I1452" s="7" t="s">
        <v>7159</v>
      </c>
      <c r="J1452" s="10">
        <v>46259</v>
      </c>
      <c r="K1452" s="7" t="s">
        <v>7163</v>
      </c>
      <c r="L1452" s="7"/>
      <c r="M1452" s="7"/>
    </row>
    <row r="1453" spans="1:13" x14ac:dyDescent="0.3">
      <c r="A1453" s="7">
        <v>19054</v>
      </c>
      <c r="B1453" s="7" t="s">
        <v>1461</v>
      </c>
      <c r="C1453" s="7" t="s">
        <v>6543</v>
      </c>
      <c r="D1453" s="7" t="s">
        <v>6546</v>
      </c>
      <c r="E1453" s="7" t="s">
        <v>6295</v>
      </c>
      <c r="F1453" s="7" t="s">
        <v>6566</v>
      </c>
      <c r="G1453" s="7" t="s">
        <v>7150</v>
      </c>
      <c r="H1453" s="7" t="s">
        <v>7156</v>
      </c>
      <c r="I1453" s="7" t="s">
        <v>7159</v>
      </c>
      <c r="J1453" s="10">
        <v>46259</v>
      </c>
      <c r="K1453" s="7" t="s">
        <v>7163</v>
      </c>
      <c r="L1453" s="7"/>
      <c r="M1453" s="7"/>
    </row>
    <row r="1454" spans="1:13" x14ac:dyDescent="0.3">
      <c r="A1454" s="7">
        <v>19151</v>
      </c>
      <c r="B1454" s="7" t="s">
        <v>1462</v>
      </c>
      <c r="C1454" s="7" t="s">
        <v>6543</v>
      </c>
      <c r="D1454" s="7" t="s">
        <v>6546</v>
      </c>
      <c r="E1454" s="7" t="s">
        <v>6295</v>
      </c>
      <c r="F1454" s="7" t="s">
        <v>6566</v>
      </c>
      <c r="G1454" s="7" t="s">
        <v>7150</v>
      </c>
      <c r="H1454" s="7" t="s">
        <v>7156</v>
      </c>
      <c r="I1454" s="7" t="s">
        <v>7159</v>
      </c>
      <c r="J1454" s="10">
        <v>46269</v>
      </c>
      <c r="K1454" s="7" t="s">
        <v>7163</v>
      </c>
      <c r="L1454" s="7"/>
      <c r="M1454" s="7"/>
    </row>
    <row r="1455" spans="1:13" x14ac:dyDescent="0.3">
      <c r="A1455" s="7">
        <v>19153</v>
      </c>
      <c r="B1455" s="7" t="s">
        <v>1463</v>
      </c>
      <c r="C1455" s="7" t="s">
        <v>6543</v>
      </c>
      <c r="D1455" s="7" t="s">
        <v>6546</v>
      </c>
      <c r="E1455" s="7" t="s">
        <v>6295</v>
      </c>
      <c r="F1455" s="7" t="s">
        <v>6566</v>
      </c>
      <c r="G1455" s="7" t="s">
        <v>7150</v>
      </c>
      <c r="H1455" s="7" t="s">
        <v>7156</v>
      </c>
      <c r="I1455" s="7" t="s">
        <v>7159</v>
      </c>
      <c r="J1455" s="10">
        <v>46269</v>
      </c>
      <c r="K1455" s="7" t="s">
        <v>7163</v>
      </c>
      <c r="L1455" s="7"/>
      <c r="M1455" s="7"/>
    </row>
    <row r="1456" spans="1:13" x14ac:dyDescent="0.3">
      <c r="A1456" s="7">
        <v>19155</v>
      </c>
      <c r="B1456" s="7" t="s">
        <v>1464</v>
      </c>
      <c r="C1456" s="7" t="s">
        <v>6543</v>
      </c>
      <c r="D1456" s="7" t="s">
        <v>6546</v>
      </c>
      <c r="E1456" s="7" t="s">
        <v>6295</v>
      </c>
      <c r="F1456" s="7" t="s">
        <v>6566</v>
      </c>
      <c r="G1456" s="7" t="s">
        <v>7150</v>
      </c>
      <c r="H1456" s="7" t="s">
        <v>7156</v>
      </c>
      <c r="I1456" s="7" t="s">
        <v>7159</v>
      </c>
      <c r="J1456" s="10">
        <v>46269</v>
      </c>
      <c r="K1456" s="7" t="s">
        <v>7163</v>
      </c>
      <c r="L1456" s="7"/>
      <c r="M1456" s="7"/>
    </row>
    <row r="1457" spans="1:13" x14ac:dyDescent="0.3">
      <c r="A1457" s="7">
        <v>19156</v>
      </c>
      <c r="B1457" s="7" t="s">
        <v>1465</v>
      </c>
      <c r="C1457" s="7" t="s">
        <v>6543</v>
      </c>
      <c r="D1457" s="7" t="s">
        <v>6546</v>
      </c>
      <c r="E1457" s="7" t="s">
        <v>6295</v>
      </c>
      <c r="F1457" s="7" t="s">
        <v>6566</v>
      </c>
      <c r="G1457" s="7" t="s">
        <v>7150</v>
      </c>
      <c r="H1457" s="7" t="s">
        <v>7156</v>
      </c>
      <c r="I1457" s="7" t="s">
        <v>7159</v>
      </c>
      <c r="J1457" s="10">
        <v>46269</v>
      </c>
      <c r="K1457" s="7" t="s">
        <v>7163</v>
      </c>
      <c r="L1457" s="7"/>
      <c r="M1457" s="7"/>
    </row>
    <row r="1458" spans="1:13" x14ac:dyDescent="0.3">
      <c r="A1458" s="7">
        <v>19166</v>
      </c>
      <c r="B1458" s="7" t="s">
        <v>1466</v>
      </c>
      <c r="C1458" s="7" t="s">
        <v>6543</v>
      </c>
      <c r="D1458" s="7" t="s">
        <v>6546</v>
      </c>
      <c r="E1458" s="7" t="s">
        <v>6295</v>
      </c>
      <c r="F1458" s="7" t="s">
        <v>6566</v>
      </c>
      <c r="G1458" s="7" t="s">
        <v>7150</v>
      </c>
      <c r="H1458" s="7" t="s">
        <v>7156</v>
      </c>
      <c r="I1458" s="7" t="s">
        <v>7159</v>
      </c>
      <c r="J1458" s="10">
        <v>46272</v>
      </c>
      <c r="K1458" s="7" t="s">
        <v>7163</v>
      </c>
      <c r="L1458" s="7"/>
      <c r="M1458" s="7"/>
    </row>
    <row r="1459" spans="1:13" x14ac:dyDescent="0.3">
      <c r="A1459" s="7">
        <v>19167</v>
      </c>
      <c r="B1459" s="7" t="s">
        <v>1467</v>
      </c>
      <c r="C1459" s="7" t="s">
        <v>6543</v>
      </c>
      <c r="D1459" s="7" t="s">
        <v>6546</v>
      </c>
      <c r="E1459" s="7" t="s">
        <v>6295</v>
      </c>
      <c r="F1459" s="7" t="s">
        <v>6566</v>
      </c>
      <c r="G1459" s="7" t="s">
        <v>7150</v>
      </c>
      <c r="H1459" s="7" t="s">
        <v>7156</v>
      </c>
      <c r="I1459" s="7" t="s">
        <v>7159</v>
      </c>
      <c r="J1459" s="10">
        <v>46272</v>
      </c>
      <c r="K1459" s="7" t="s">
        <v>7163</v>
      </c>
      <c r="L1459" s="7"/>
      <c r="M1459" s="7"/>
    </row>
    <row r="1460" spans="1:13" x14ac:dyDescent="0.3">
      <c r="A1460" s="7">
        <v>19168</v>
      </c>
      <c r="B1460" s="7" t="s">
        <v>1468</v>
      </c>
      <c r="C1460" s="7" t="s">
        <v>6543</v>
      </c>
      <c r="D1460" s="7" t="s">
        <v>6546</v>
      </c>
      <c r="E1460" s="7" t="s">
        <v>6295</v>
      </c>
      <c r="F1460" s="7" t="s">
        <v>6566</v>
      </c>
      <c r="G1460" s="7" t="s">
        <v>7150</v>
      </c>
      <c r="H1460" s="7" t="s">
        <v>7156</v>
      </c>
      <c r="I1460" s="7" t="s">
        <v>7159</v>
      </c>
      <c r="J1460" s="10">
        <v>46272</v>
      </c>
      <c r="K1460" s="7" t="s">
        <v>7163</v>
      </c>
      <c r="L1460" s="7"/>
      <c r="M1460" s="7"/>
    </row>
    <row r="1461" spans="1:13" x14ac:dyDescent="0.3">
      <c r="A1461" s="7">
        <v>19169</v>
      </c>
      <c r="B1461" s="7" t="s">
        <v>1469</v>
      </c>
      <c r="C1461" s="7" t="s">
        <v>6543</v>
      </c>
      <c r="D1461" s="7" t="s">
        <v>6546</v>
      </c>
      <c r="E1461" s="7" t="s">
        <v>6295</v>
      </c>
      <c r="F1461" s="7" t="s">
        <v>6566</v>
      </c>
      <c r="G1461" s="7" t="s">
        <v>7150</v>
      </c>
      <c r="H1461" s="7" t="s">
        <v>7156</v>
      </c>
      <c r="I1461" s="7" t="s">
        <v>7159</v>
      </c>
      <c r="J1461" s="10">
        <v>46272</v>
      </c>
      <c r="K1461" s="7" t="s">
        <v>7163</v>
      </c>
      <c r="L1461" s="7"/>
      <c r="M1461" s="7"/>
    </row>
    <row r="1462" spans="1:13" x14ac:dyDescent="0.3">
      <c r="A1462" s="7">
        <v>19175</v>
      </c>
      <c r="B1462" s="7" t="s">
        <v>1470</v>
      </c>
      <c r="C1462" s="7" t="s">
        <v>6543</v>
      </c>
      <c r="D1462" s="7" t="s">
        <v>6546</v>
      </c>
      <c r="E1462" s="7" t="s">
        <v>6295</v>
      </c>
      <c r="F1462" s="7" t="s">
        <v>6566</v>
      </c>
      <c r="G1462" s="7" t="s">
        <v>7150</v>
      </c>
      <c r="H1462" s="7" t="s">
        <v>7156</v>
      </c>
      <c r="I1462" s="7" t="s">
        <v>7159</v>
      </c>
      <c r="J1462" s="10">
        <v>46273</v>
      </c>
      <c r="K1462" s="7" t="s">
        <v>7163</v>
      </c>
      <c r="L1462" s="7"/>
      <c r="M1462" s="7"/>
    </row>
    <row r="1463" spans="1:13" x14ac:dyDescent="0.3">
      <c r="A1463" s="7">
        <v>19236</v>
      </c>
      <c r="B1463" s="7" t="s">
        <v>1471</v>
      </c>
      <c r="C1463" s="7" t="s">
        <v>6543</v>
      </c>
      <c r="D1463" s="7" t="s">
        <v>6546</v>
      </c>
      <c r="E1463" s="7" t="s">
        <v>6295</v>
      </c>
      <c r="F1463" s="7" t="s">
        <v>6566</v>
      </c>
      <c r="G1463" s="7" t="s">
        <v>7150</v>
      </c>
      <c r="H1463" s="7" t="s">
        <v>7156</v>
      </c>
      <c r="I1463" s="7" t="s">
        <v>7159</v>
      </c>
      <c r="J1463" s="10">
        <v>46280</v>
      </c>
      <c r="K1463" s="7" t="s">
        <v>7163</v>
      </c>
      <c r="L1463" s="7"/>
      <c r="M1463" s="7"/>
    </row>
    <row r="1464" spans="1:13" x14ac:dyDescent="0.3">
      <c r="A1464" s="7">
        <v>19021</v>
      </c>
      <c r="B1464" s="7" t="s">
        <v>1472</v>
      </c>
      <c r="C1464" s="7" t="s">
        <v>6543</v>
      </c>
      <c r="D1464" s="7" t="s">
        <v>6545</v>
      </c>
      <c r="E1464" s="7" t="s">
        <v>6295</v>
      </c>
      <c r="F1464" s="7" t="s">
        <v>6568</v>
      </c>
      <c r="G1464" s="7" t="s">
        <v>7150</v>
      </c>
      <c r="H1464" s="7" t="s">
        <v>7156</v>
      </c>
      <c r="I1464" s="7" t="s">
        <v>7159</v>
      </c>
      <c r="J1464" s="10">
        <v>46255</v>
      </c>
      <c r="K1464" s="7" t="s">
        <v>7163</v>
      </c>
      <c r="L1464" s="7"/>
      <c r="M1464" s="7"/>
    </row>
    <row r="1465" spans="1:13" x14ac:dyDescent="0.3">
      <c r="A1465" s="7">
        <v>19022</v>
      </c>
      <c r="B1465" s="7" t="s">
        <v>1473</v>
      </c>
      <c r="C1465" s="7" t="s">
        <v>6543</v>
      </c>
      <c r="D1465" s="7" t="s">
        <v>6545</v>
      </c>
      <c r="E1465" s="7" t="s">
        <v>6295</v>
      </c>
      <c r="F1465" s="7" t="s">
        <v>6568</v>
      </c>
      <c r="G1465" s="7" t="s">
        <v>7150</v>
      </c>
      <c r="H1465" s="7" t="s">
        <v>7156</v>
      </c>
      <c r="I1465" s="7" t="s">
        <v>7159</v>
      </c>
      <c r="J1465" s="10">
        <v>46255</v>
      </c>
      <c r="K1465" s="7" t="s">
        <v>7163</v>
      </c>
      <c r="L1465" s="7"/>
      <c r="M1465" s="7"/>
    </row>
    <row r="1466" spans="1:13" x14ac:dyDescent="0.3">
      <c r="A1466" s="7">
        <v>19081</v>
      </c>
      <c r="B1466" s="7" t="s">
        <v>1474</v>
      </c>
      <c r="C1466" s="7" t="s">
        <v>6543</v>
      </c>
      <c r="D1466" s="7" t="s">
        <v>6546</v>
      </c>
      <c r="E1466" s="7" t="s">
        <v>6295</v>
      </c>
      <c r="F1466" s="7" t="s">
        <v>6568</v>
      </c>
      <c r="G1466" s="7" t="s">
        <v>7150</v>
      </c>
      <c r="H1466" s="7" t="s">
        <v>7156</v>
      </c>
      <c r="I1466" s="7" t="s">
        <v>7159</v>
      </c>
      <c r="J1466" s="10">
        <v>46261</v>
      </c>
      <c r="K1466" s="7" t="s">
        <v>7163</v>
      </c>
      <c r="L1466" s="7"/>
      <c r="M1466" s="7"/>
    </row>
    <row r="1467" spans="1:13" x14ac:dyDescent="0.3">
      <c r="A1467" s="7">
        <v>17246</v>
      </c>
      <c r="B1467" s="7" t="s">
        <v>1475</v>
      </c>
      <c r="C1467" s="7" t="s">
        <v>6543</v>
      </c>
      <c r="D1467" s="7" t="s">
        <v>6545</v>
      </c>
      <c r="E1467" s="7" t="s">
        <v>6295</v>
      </c>
      <c r="F1467" s="7" t="s">
        <v>6569</v>
      </c>
      <c r="G1467" s="7" t="s">
        <v>7150</v>
      </c>
      <c r="H1467" s="7" t="s">
        <v>7156</v>
      </c>
      <c r="I1467" s="7"/>
      <c r="J1467" s="10">
        <v>45681</v>
      </c>
      <c r="K1467" s="7" t="s">
        <v>7163</v>
      </c>
      <c r="L1467" s="7"/>
      <c r="M1467" s="7"/>
    </row>
    <row r="1468" spans="1:13" x14ac:dyDescent="0.3">
      <c r="A1468" s="7">
        <v>16363</v>
      </c>
      <c r="B1468" s="7" t="s">
        <v>1476</v>
      </c>
      <c r="C1468" s="7" t="s">
        <v>6543</v>
      </c>
      <c r="D1468" s="7" t="s">
        <v>6546</v>
      </c>
      <c r="E1468" s="7" t="s">
        <v>6295</v>
      </c>
      <c r="F1468" s="7" t="s">
        <v>6570</v>
      </c>
      <c r="G1468" s="7" t="s">
        <v>7150</v>
      </c>
      <c r="H1468" s="7" t="s">
        <v>7156</v>
      </c>
      <c r="I1468" s="7"/>
      <c r="J1468" s="10">
        <v>45357</v>
      </c>
      <c r="K1468" s="7" t="s">
        <v>7163</v>
      </c>
      <c r="L1468" s="7"/>
      <c r="M1468" s="7"/>
    </row>
    <row r="1469" spans="1:13" x14ac:dyDescent="0.3">
      <c r="A1469" s="7">
        <v>16375</v>
      </c>
      <c r="B1469" s="7" t="s">
        <v>1477</v>
      </c>
      <c r="C1469" s="7" t="s">
        <v>6543</v>
      </c>
      <c r="D1469" s="7" t="s">
        <v>6546</v>
      </c>
      <c r="E1469" s="7" t="s">
        <v>6295</v>
      </c>
      <c r="F1469" s="7" t="s">
        <v>6570</v>
      </c>
      <c r="G1469" s="7" t="s">
        <v>7150</v>
      </c>
      <c r="H1469" s="7" t="s">
        <v>7156</v>
      </c>
      <c r="I1469" s="7"/>
      <c r="J1469" s="10">
        <v>45357</v>
      </c>
      <c r="K1469" s="7" t="s">
        <v>7163</v>
      </c>
      <c r="L1469" s="7"/>
      <c r="M1469" s="7"/>
    </row>
    <row r="1470" spans="1:13" x14ac:dyDescent="0.3">
      <c r="A1470" s="7">
        <v>18529</v>
      </c>
      <c r="B1470" s="7" t="s">
        <v>1478</v>
      </c>
      <c r="C1470" s="7" t="s">
        <v>6543</v>
      </c>
      <c r="D1470" s="7" t="s">
        <v>6546</v>
      </c>
      <c r="E1470" s="7" t="s">
        <v>6295</v>
      </c>
      <c r="F1470" s="7" t="s">
        <v>6570</v>
      </c>
      <c r="G1470" s="7" t="s">
        <v>7150</v>
      </c>
      <c r="H1470" s="7" t="s">
        <v>7156</v>
      </c>
      <c r="I1470" s="7" t="s">
        <v>7159</v>
      </c>
      <c r="J1470" s="10">
        <v>46146</v>
      </c>
      <c r="K1470" s="7" t="s">
        <v>7163</v>
      </c>
      <c r="L1470" s="7"/>
      <c r="M1470" s="7"/>
    </row>
    <row r="1471" spans="1:13" x14ac:dyDescent="0.3">
      <c r="A1471" s="7">
        <v>18531</v>
      </c>
      <c r="B1471" s="7" t="s">
        <v>1479</v>
      </c>
      <c r="C1471" s="7" t="s">
        <v>6543</v>
      </c>
      <c r="D1471" s="7" t="s">
        <v>6546</v>
      </c>
      <c r="E1471" s="7" t="s">
        <v>6295</v>
      </c>
      <c r="F1471" s="7" t="s">
        <v>6570</v>
      </c>
      <c r="G1471" s="7" t="s">
        <v>7150</v>
      </c>
      <c r="H1471" s="7" t="s">
        <v>7156</v>
      </c>
      <c r="I1471" s="7" t="s">
        <v>7159</v>
      </c>
      <c r="J1471" s="10">
        <v>46146</v>
      </c>
      <c r="K1471" s="7" t="s">
        <v>7163</v>
      </c>
      <c r="L1471" s="7"/>
      <c r="M1471" s="7"/>
    </row>
    <row r="1472" spans="1:13" x14ac:dyDescent="0.3">
      <c r="A1472" s="7">
        <v>18532</v>
      </c>
      <c r="B1472" s="7" t="s">
        <v>1480</v>
      </c>
      <c r="C1472" s="7" t="s">
        <v>6543</v>
      </c>
      <c r="D1472" s="7" t="s">
        <v>6546</v>
      </c>
      <c r="E1472" s="7" t="s">
        <v>6295</v>
      </c>
      <c r="F1472" s="7" t="s">
        <v>6570</v>
      </c>
      <c r="G1472" s="7" t="s">
        <v>7150</v>
      </c>
      <c r="H1472" s="7" t="s">
        <v>7156</v>
      </c>
      <c r="I1472" s="7" t="s">
        <v>7159</v>
      </c>
      <c r="J1472" s="10">
        <v>46146</v>
      </c>
      <c r="K1472" s="7" t="s">
        <v>7163</v>
      </c>
      <c r="L1472" s="7"/>
      <c r="M1472" s="7"/>
    </row>
    <row r="1473" spans="1:13" x14ac:dyDescent="0.3">
      <c r="A1473" s="7">
        <v>18542</v>
      </c>
      <c r="B1473" s="7" t="s">
        <v>1481</v>
      </c>
      <c r="C1473" s="7" t="s">
        <v>6543</v>
      </c>
      <c r="D1473" s="7" t="s">
        <v>6546</v>
      </c>
      <c r="E1473" s="7" t="s">
        <v>6295</v>
      </c>
      <c r="F1473" s="7" t="s">
        <v>6571</v>
      </c>
      <c r="G1473" s="7" t="s">
        <v>7150</v>
      </c>
      <c r="H1473" s="7" t="s">
        <v>7156</v>
      </c>
      <c r="I1473" s="7" t="s">
        <v>7159</v>
      </c>
      <c r="J1473" s="10">
        <v>46146</v>
      </c>
      <c r="K1473" s="7" t="s">
        <v>7163</v>
      </c>
      <c r="L1473" s="7"/>
      <c r="M1473" s="7"/>
    </row>
    <row r="1474" spans="1:13" x14ac:dyDescent="0.3">
      <c r="A1474" s="7">
        <v>18533</v>
      </c>
      <c r="B1474" s="7" t="s">
        <v>1482</v>
      </c>
      <c r="C1474" s="7" t="s">
        <v>6543</v>
      </c>
      <c r="D1474" s="7" t="s">
        <v>6546</v>
      </c>
      <c r="E1474" s="7" t="s">
        <v>6295</v>
      </c>
      <c r="F1474" s="7" t="s">
        <v>6570</v>
      </c>
      <c r="G1474" s="7" t="s">
        <v>7150</v>
      </c>
      <c r="H1474" s="7" t="s">
        <v>7156</v>
      </c>
      <c r="I1474" s="7" t="s">
        <v>7159</v>
      </c>
      <c r="J1474" s="10">
        <v>46146</v>
      </c>
      <c r="K1474" s="7" t="s">
        <v>7163</v>
      </c>
      <c r="L1474" s="7"/>
      <c r="M1474" s="7"/>
    </row>
    <row r="1475" spans="1:13" x14ac:dyDescent="0.3">
      <c r="A1475" s="7">
        <v>18534</v>
      </c>
      <c r="B1475" s="7" t="s">
        <v>1483</v>
      </c>
      <c r="C1475" s="7" t="s">
        <v>6543</v>
      </c>
      <c r="D1475" s="7" t="s">
        <v>6546</v>
      </c>
      <c r="E1475" s="7" t="s">
        <v>6295</v>
      </c>
      <c r="F1475" s="7" t="s">
        <v>6570</v>
      </c>
      <c r="G1475" s="7" t="s">
        <v>7150</v>
      </c>
      <c r="H1475" s="7" t="s">
        <v>7156</v>
      </c>
      <c r="I1475" s="7" t="s">
        <v>7159</v>
      </c>
      <c r="J1475" s="10">
        <v>46146</v>
      </c>
      <c r="K1475" s="7" t="s">
        <v>7163</v>
      </c>
      <c r="L1475" s="7"/>
      <c r="M1475" s="7"/>
    </row>
    <row r="1476" spans="1:13" x14ac:dyDescent="0.3">
      <c r="A1476" s="7">
        <v>18535</v>
      </c>
      <c r="B1476" s="7" t="s">
        <v>1484</v>
      </c>
      <c r="C1476" s="7" t="s">
        <v>6543</v>
      </c>
      <c r="D1476" s="7" t="s">
        <v>6546</v>
      </c>
      <c r="E1476" s="7" t="s">
        <v>6295</v>
      </c>
      <c r="F1476" s="7" t="s">
        <v>6570</v>
      </c>
      <c r="G1476" s="7" t="s">
        <v>7150</v>
      </c>
      <c r="H1476" s="7" t="s">
        <v>7156</v>
      </c>
      <c r="I1476" s="7" t="s">
        <v>7159</v>
      </c>
      <c r="J1476" s="10">
        <v>46146</v>
      </c>
      <c r="K1476" s="7" t="s">
        <v>7163</v>
      </c>
      <c r="L1476" s="7"/>
      <c r="M1476" s="7"/>
    </row>
    <row r="1477" spans="1:13" x14ac:dyDescent="0.3">
      <c r="A1477" s="7">
        <v>18536</v>
      </c>
      <c r="B1477" s="7" t="s">
        <v>1485</v>
      </c>
      <c r="C1477" s="7" t="s">
        <v>6543</v>
      </c>
      <c r="D1477" s="7" t="s">
        <v>6546</v>
      </c>
      <c r="E1477" s="7" t="s">
        <v>6295</v>
      </c>
      <c r="F1477" s="7" t="s">
        <v>6570</v>
      </c>
      <c r="G1477" s="7" t="s">
        <v>7150</v>
      </c>
      <c r="H1477" s="7" t="s">
        <v>7156</v>
      </c>
      <c r="I1477" s="7" t="s">
        <v>7159</v>
      </c>
      <c r="J1477" s="10">
        <v>46146</v>
      </c>
      <c r="K1477" s="7" t="s">
        <v>7163</v>
      </c>
      <c r="L1477" s="7"/>
      <c r="M1477" s="7"/>
    </row>
    <row r="1478" spans="1:13" x14ac:dyDescent="0.3">
      <c r="A1478" s="7">
        <v>18537</v>
      </c>
      <c r="B1478" s="7" t="s">
        <v>1486</v>
      </c>
      <c r="C1478" s="7" t="s">
        <v>6543</v>
      </c>
      <c r="D1478" s="7" t="s">
        <v>6546</v>
      </c>
      <c r="E1478" s="7" t="s">
        <v>6295</v>
      </c>
      <c r="F1478" s="7" t="s">
        <v>6570</v>
      </c>
      <c r="G1478" s="7" t="s">
        <v>7150</v>
      </c>
      <c r="H1478" s="7" t="s">
        <v>7156</v>
      </c>
      <c r="I1478" s="7" t="s">
        <v>7159</v>
      </c>
      <c r="J1478" s="10">
        <v>46146</v>
      </c>
      <c r="K1478" s="7" t="s">
        <v>7163</v>
      </c>
      <c r="L1478" s="7"/>
      <c r="M1478" s="7"/>
    </row>
    <row r="1479" spans="1:13" x14ac:dyDescent="0.3">
      <c r="A1479" s="7">
        <v>18538</v>
      </c>
      <c r="B1479" s="7" t="s">
        <v>1487</v>
      </c>
      <c r="C1479" s="7" t="s">
        <v>6543</v>
      </c>
      <c r="D1479" s="7" t="s">
        <v>6546</v>
      </c>
      <c r="E1479" s="7" t="s">
        <v>6295</v>
      </c>
      <c r="F1479" s="7" t="s">
        <v>6570</v>
      </c>
      <c r="G1479" s="7" t="s">
        <v>7150</v>
      </c>
      <c r="H1479" s="7" t="s">
        <v>7156</v>
      </c>
      <c r="I1479" s="7" t="s">
        <v>7159</v>
      </c>
      <c r="J1479" s="10">
        <v>46146</v>
      </c>
      <c r="K1479" s="7" t="s">
        <v>7163</v>
      </c>
      <c r="L1479" s="7"/>
      <c r="M1479" s="7"/>
    </row>
    <row r="1480" spans="1:13" x14ac:dyDescent="0.3">
      <c r="A1480" s="7">
        <v>18540</v>
      </c>
      <c r="B1480" s="7" t="s">
        <v>1488</v>
      </c>
      <c r="C1480" s="7" t="s">
        <v>6543</v>
      </c>
      <c r="D1480" s="7" t="s">
        <v>6546</v>
      </c>
      <c r="E1480" s="7" t="s">
        <v>6295</v>
      </c>
      <c r="F1480" s="7" t="s">
        <v>6570</v>
      </c>
      <c r="G1480" s="7" t="s">
        <v>7150</v>
      </c>
      <c r="H1480" s="7" t="s">
        <v>7156</v>
      </c>
      <c r="I1480" s="7" t="s">
        <v>7159</v>
      </c>
      <c r="J1480" s="10">
        <v>46146</v>
      </c>
      <c r="K1480" s="7" t="s">
        <v>7163</v>
      </c>
      <c r="L1480" s="7"/>
      <c r="M1480" s="7"/>
    </row>
    <row r="1481" spans="1:13" x14ac:dyDescent="0.3">
      <c r="A1481" s="7">
        <v>18539</v>
      </c>
      <c r="B1481" s="7" t="s">
        <v>1489</v>
      </c>
      <c r="C1481" s="7" t="s">
        <v>6543</v>
      </c>
      <c r="D1481" s="7" t="s">
        <v>6546</v>
      </c>
      <c r="E1481" s="7" t="s">
        <v>6295</v>
      </c>
      <c r="F1481" s="7" t="s">
        <v>6570</v>
      </c>
      <c r="G1481" s="7" t="s">
        <v>7150</v>
      </c>
      <c r="H1481" s="7" t="s">
        <v>7156</v>
      </c>
      <c r="I1481" s="7" t="s">
        <v>7159</v>
      </c>
      <c r="J1481" s="10">
        <v>46146</v>
      </c>
      <c r="K1481" s="7" t="s">
        <v>7163</v>
      </c>
      <c r="L1481" s="7"/>
      <c r="M1481" s="7"/>
    </row>
    <row r="1482" spans="1:13" x14ac:dyDescent="0.3">
      <c r="A1482" s="7">
        <v>18541</v>
      </c>
      <c r="B1482" s="7" t="s">
        <v>1490</v>
      </c>
      <c r="C1482" s="7" t="s">
        <v>6543</v>
      </c>
      <c r="D1482" s="7" t="s">
        <v>6546</v>
      </c>
      <c r="E1482" s="7" t="s">
        <v>6295</v>
      </c>
      <c r="F1482" s="7" t="s">
        <v>6570</v>
      </c>
      <c r="G1482" s="7" t="s">
        <v>7150</v>
      </c>
      <c r="H1482" s="7" t="s">
        <v>7156</v>
      </c>
      <c r="I1482" s="7" t="s">
        <v>7159</v>
      </c>
      <c r="J1482" s="10">
        <v>46147</v>
      </c>
      <c r="K1482" s="7" t="s">
        <v>7163</v>
      </c>
      <c r="L1482" s="7"/>
      <c r="M1482" s="7"/>
    </row>
    <row r="1483" spans="1:13" x14ac:dyDescent="0.3">
      <c r="A1483" s="7">
        <v>730016</v>
      </c>
      <c r="B1483" s="7" t="s">
        <v>1491</v>
      </c>
      <c r="C1483" s="7" t="s">
        <v>6543</v>
      </c>
      <c r="D1483" s="7" t="s">
        <v>6546</v>
      </c>
      <c r="E1483" s="7" t="s">
        <v>6295</v>
      </c>
      <c r="F1483" s="7" t="s">
        <v>6572</v>
      </c>
      <c r="G1483" s="7" t="s">
        <v>7150</v>
      </c>
      <c r="H1483" s="7" t="s">
        <v>7156</v>
      </c>
      <c r="I1483" s="7"/>
      <c r="J1483" s="10">
        <v>40219</v>
      </c>
      <c r="K1483" s="7" t="s">
        <v>7163</v>
      </c>
      <c r="L1483" s="7"/>
      <c r="M1483" s="7"/>
    </row>
    <row r="1484" spans="1:13" x14ac:dyDescent="0.3">
      <c r="A1484" s="7">
        <v>17693</v>
      </c>
      <c r="B1484" s="7" t="s">
        <v>1492</v>
      </c>
      <c r="C1484" s="7" t="s">
        <v>6543</v>
      </c>
      <c r="D1484" s="7" t="s">
        <v>6546</v>
      </c>
      <c r="E1484" s="7" t="s">
        <v>6295</v>
      </c>
      <c r="F1484" s="7" t="s">
        <v>6572</v>
      </c>
      <c r="G1484" s="7" t="s">
        <v>7150</v>
      </c>
      <c r="H1484" s="7" t="s">
        <v>7156</v>
      </c>
      <c r="I1484" s="7"/>
      <c r="J1484" s="10">
        <v>45845</v>
      </c>
      <c r="K1484" s="7" t="s">
        <v>7163</v>
      </c>
      <c r="L1484" s="7"/>
      <c r="M1484" s="7"/>
    </row>
    <row r="1485" spans="1:13" x14ac:dyDescent="0.3">
      <c r="A1485" s="7">
        <v>17716</v>
      </c>
      <c r="B1485" s="7" t="s">
        <v>1493</v>
      </c>
      <c r="C1485" s="7" t="s">
        <v>6543</v>
      </c>
      <c r="D1485" s="7" t="s">
        <v>6546</v>
      </c>
      <c r="E1485" s="7" t="s">
        <v>6295</v>
      </c>
      <c r="F1485" s="7" t="s">
        <v>6572</v>
      </c>
      <c r="G1485" s="7" t="s">
        <v>7150</v>
      </c>
      <c r="H1485" s="7" t="s">
        <v>7156</v>
      </c>
      <c r="I1485" s="7"/>
      <c r="J1485" s="10">
        <v>45854</v>
      </c>
      <c r="K1485" s="7" t="s">
        <v>7163</v>
      </c>
      <c r="L1485" s="7"/>
      <c r="M1485" s="7"/>
    </row>
    <row r="1486" spans="1:13" x14ac:dyDescent="0.3">
      <c r="A1486" s="7">
        <v>13389</v>
      </c>
      <c r="B1486" s="7" t="s">
        <v>1494</v>
      </c>
      <c r="C1486" s="7" t="s">
        <v>6543</v>
      </c>
      <c r="D1486" s="7" t="s">
        <v>6546</v>
      </c>
      <c r="E1486" s="7" t="s">
        <v>6295</v>
      </c>
      <c r="F1486" s="7" t="s">
        <v>6572</v>
      </c>
      <c r="G1486" s="7" t="s">
        <v>7150</v>
      </c>
      <c r="H1486" s="7" t="s">
        <v>7156</v>
      </c>
      <c r="I1486" s="7"/>
      <c r="J1486" s="10">
        <v>44420</v>
      </c>
      <c r="K1486" s="7" t="s">
        <v>7163</v>
      </c>
      <c r="L1486" s="7"/>
      <c r="M1486" s="7"/>
    </row>
    <row r="1487" spans="1:13" x14ac:dyDescent="0.3">
      <c r="A1487" s="7">
        <v>118014</v>
      </c>
      <c r="B1487" s="7" t="s">
        <v>1495</v>
      </c>
      <c r="C1487" s="7" t="s">
        <v>6543</v>
      </c>
      <c r="D1487" s="7" t="s">
        <v>6546</v>
      </c>
      <c r="E1487" s="7" t="s">
        <v>6295</v>
      </c>
      <c r="F1487" s="7" t="s">
        <v>6572</v>
      </c>
      <c r="G1487" s="7" t="s">
        <v>7150</v>
      </c>
      <c r="H1487" s="7" t="s">
        <v>7156</v>
      </c>
      <c r="I1487" s="7"/>
      <c r="J1487" s="10">
        <v>40913</v>
      </c>
      <c r="K1487" s="7" t="s">
        <v>7163</v>
      </c>
      <c r="L1487" s="7"/>
      <c r="M1487" s="7"/>
    </row>
    <row r="1488" spans="1:13" x14ac:dyDescent="0.3">
      <c r="A1488" s="7">
        <v>730007</v>
      </c>
      <c r="B1488" s="7" t="s">
        <v>1496</v>
      </c>
      <c r="C1488" s="7" t="s">
        <v>6543</v>
      </c>
      <c r="D1488" s="7" t="s">
        <v>6546</v>
      </c>
      <c r="E1488" s="7" t="s">
        <v>6295</v>
      </c>
      <c r="F1488" s="7" t="s">
        <v>6572</v>
      </c>
      <c r="G1488" s="7" t="s">
        <v>7150</v>
      </c>
      <c r="H1488" s="7" t="s">
        <v>7156</v>
      </c>
      <c r="I1488" s="7"/>
      <c r="J1488" s="10">
        <v>38740</v>
      </c>
      <c r="K1488" s="7" t="s">
        <v>7163</v>
      </c>
      <c r="L1488" s="7"/>
      <c r="M1488" s="7"/>
    </row>
    <row r="1489" spans="1:13" x14ac:dyDescent="0.3">
      <c r="A1489" s="7">
        <v>570010</v>
      </c>
      <c r="B1489" s="7" t="s">
        <v>1497</v>
      </c>
      <c r="C1489" s="7" t="s">
        <v>6543</v>
      </c>
      <c r="D1489" s="7" t="s">
        <v>6546</v>
      </c>
      <c r="E1489" s="7" t="s">
        <v>6295</v>
      </c>
      <c r="F1489" s="7" t="s">
        <v>6572</v>
      </c>
      <c r="G1489" s="7" t="s">
        <v>7150</v>
      </c>
      <c r="H1489" s="7" t="s">
        <v>7156</v>
      </c>
      <c r="I1489" s="7"/>
      <c r="J1489" s="10">
        <v>41324</v>
      </c>
      <c r="K1489" s="7" t="s">
        <v>7163</v>
      </c>
      <c r="L1489" s="7"/>
      <c r="M1489" s="7"/>
    </row>
    <row r="1490" spans="1:13" x14ac:dyDescent="0.3">
      <c r="A1490" s="7">
        <v>119006</v>
      </c>
      <c r="B1490" s="7" t="s">
        <v>1498</v>
      </c>
      <c r="C1490" s="7" t="s">
        <v>6543</v>
      </c>
      <c r="D1490" s="7" t="s">
        <v>6546</v>
      </c>
      <c r="E1490" s="7" t="s">
        <v>6295</v>
      </c>
      <c r="F1490" s="7" t="s">
        <v>6572</v>
      </c>
      <c r="G1490" s="7" t="s">
        <v>7150</v>
      </c>
      <c r="H1490" s="7" t="s">
        <v>7156</v>
      </c>
      <c r="I1490" s="7"/>
      <c r="J1490" s="10">
        <v>40444</v>
      </c>
      <c r="K1490" s="7" t="s">
        <v>7163</v>
      </c>
      <c r="L1490" s="7"/>
      <c r="M1490" s="7"/>
    </row>
    <row r="1491" spans="1:13" x14ac:dyDescent="0.3">
      <c r="A1491" s="7">
        <v>18477</v>
      </c>
      <c r="B1491" s="7" t="s">
        <v>1499</v>
      </c>
      <c r="C1491" s="7" t="s">
        <v>6543</v>
      </c>
      <c r="D1491" s="7" t="s">
        <v>6546</v>
      </c>
      <c r="E1491" s="7" t="s">
        <v>6295</v>
      </c>
      <c r="F1491" s="7" t="s">
        <v>6572</v>
      </c>
      <c r="G1491" s="7" t="s">
        <v>7150</v>
      </c>
      <c r="H1491" s="7" t="s">
        <v>7156</v>
      </c>
      <c r="I1491" s="7" t="s">
        <v>7159</v>
      </c>
      <c r="J1491" s="10">
        <v>46132</v>
      </c>
      <c r="K1491" s="7" t="s">
        <v>7163</v>
      </c>
      <c r="L1491" s="7"/>
      <c r="M1491" s="7"/>
    </row>
    <row r="1492" spans="1:13" x14ac:dyDescent="0.3">
      <c r="A1492" s="7">
        <v>18481</v>
      </c>
      <c r="B1492" s="7" t="s">
        <v>1500</v>
      </c>
      <c r="C1492" s="7" t="s">
        <v>6543</v>
      </c>
      <c r="D1492" s="7" t="s">
        <v>6546</v>
      </c>
      <c r="E1492" s="7" t="s">
        <v>6295</v>
      </c>
      <c r="F1492" s="7" t="s">
        <v>6572</v>
      </c>
      <c r="G1492" s="7" t="s">
        <v>7150</v>
      </c>
      <c r="H1492" s="7" t="s">
        <v>7156</v>
      </c>
      <c r="I1492" s="7" t="s">
        <v>7159</v>
      </c>
      <c r="J1492" s="10">
        <v>46132</v>
      </c>
      <c r="K1492" s="7" t="s">
        <v>7163</v>
      </c>
      <c r="L1492" s="7"/>
      <c r="M1492" s="7"/>
    </row>
    <row r="1493" spans="1:13" x14ac:dyDescent="0.3">
      <c r="A1493" s="7">
        <v>14119</v>
      </c>
      <c r="B1493" s="7" t="s">
        <v>1501</v>
      </c>
      <c r="C1493" s="7" t="s">
        <v>6543</v>
      </c>
      <c r="D1493" s="7" t="s">
        <v>6546</v>
      </c>
      <c r="E1493" s="7" t="s">
        <v>6295</v>
      </c>
      <c r="F1493" s="7" t="s">
        <v>6572</v>
      </c>
      <c r="G1493" s="7" t="s">
        <v>7150</v>
      </c>
      <c r="H1493" s="7" t="s">
        <v>7156</v>
      </c>
      <c r="I1493" s="7"/>
      <c r="J1493" s="10">
        <v>44664</v>
      </c>
      <c r="K1493" s="7" t="s">
        <v>7163</v>
      </c>
      <c r="L1493" s="7"/>
      <c r="M1493" s="7"/>
    </row>
    <row r="1494" spans="1:13" x14ac:dyDescent="0.3">
      <c r="A1494" s="7">
        <v>15875</v>
      </c>
      <c r="B1494" s="7" t="s">
        <v>1502</v>
      </c>
      <c r="C1494" s="7" t="s">
        <v>6543</v>
      </c>
      <c r="D1494" s="7" t="s">
        <v>6546</v>
      </c>
      <c r="E1494" s="7" t="s">
        <v>6295</v>
      </c>
      <c r="F1494" s="7" t="s">
        <v>6572</v>
      </c>
      <c r="G1494" s="7" t="s">
        <v>7150</v>
      </c>
      <c r="H1494" s="7" t="s">
        <v>7156</v>
      </c>
      <c r="I1494" s="7"/>
      <c r="J1494" s="10">
        <v>45226</v>
      </c>
      <c r="K1494" s="7" t="s">
        <v>7163</v>
      </c>
      <c r="L1494" s="7"/>
      <c r="M1494" s="7"/>
    </row>
    <row r="1495" spans="1:13" x14ac:dyDescent="0.3">
      <c r="A1495" s="7">
        <v>18047</v>
      </c>
      <c r="B1495" s="7" t="s">
        <v>1503</v>
      </c>
      <c r="C1495" s="7" t="s">
        <v>6543</v>
      </c>
      <c r="D1495" s="7" t="s">
        <v>6546</v>
      </c>
      <c r="E1495" s="7" t="s">
        <v>6295</v>
      </c>
      <c r="F1495" s="7" t="s">
        <v>6572</v>
      </c>
      <c r="G1495" s="7" t="s">
        <v>7150</v>
      </c>
      <c r="H1495" s="7" t="s">
        <v>7156</v>
      </c>
      <c r="I1495" s="7"/>
      <c r="J1495" s="10">
        <v>45975</v>
      </c>
      <c r="K1495" s="7" t="s">
        <v>7163</v>
      </c>
      <c r="L1495" s="7"/>
      <c r="M1495" s="7"/>
    </row>
    <row r="1496" spans="1:13" x14ac:dyDescent="0.3">
      <c r="A1496" s="7">
        <v>19208</v>
      </c>
      <c r="B1496" s="7" t="s">
        <v>1504</v>
      </c>
      <c r="C1496" s="7" t="s">
        <v>6543</v>
      </c>
      <c r="D1496" s="7" t="s">
        <v>6546</v>
      </c>
      <c r="E1496" s="7" t="s">
        <v>6295</v>
      </c>
      <c r="F1496" s="7" t="s">
        <v>6551</v>
      </c>
      <c r="G1496" s="7" t="s">
        <v>7150</v>
      </c>
      <c r="H1496" s="7" t="s">
        <v>7156</v>
      </c>
      <c r="I1496" s="7" t="s">
        <v>7159</v>
      </c>
      <c r="J1496" s="10">
        <v>46276</v>
      </c>
      <c r="K1496" s="7" t="s">
        <v>7163</v>
      </c>
      <c r="L1496" s="7"/>
      <c r="M1496" s="7"/>
    </row>
    <row r="1497" spans="1:13" x14ac:dyDescent="0.3">
      <c r="A1497" s="7">
        <v>460022</v>
      </c>
      <c r="B1497" s="7" t="s">
        <v>1505</v>
      </c>
      <c r="C1497" s="7" t="s">
        <v>6543</v>
      </c>
      <c r="D1497" s="7" t="s">
        <v>6546</v>
      </c>
      <c r="E1497" s="7" t="s">
        <v>6295</v>
      </c>
      <c r="F1497" s="7" t="s">
        <v>6573</v>
      </c>
      <c r="G1497" s="7" t="s">
        <v>7150</v>
      </c>
      <c r="H1497" s="7" t="s">
        <v>7156</v>
      </c>
      <c r="I1497" s="7"/>
      <c r="J1497" s="10">
        <v>41957</v>
      </c>
      <c r="K1497" s="7" t="s">
        <v>7163</v>
      </c>
      <c r="L1497" s="7"/>
      <c r="M1497" s="7"/>
    </row>
    <row r="1498" spans="1:13" x14ac:dyDescent="0.3">
      <c r="A1498" s="7">
        <v>690013</v>
      </c>
      <c r="B1498" s="7" t="s">
        <v>1506</v>
      </c>
      <c r="C1498" s="7" t="s">
        <v>6543</v>
      </c>
      <c r="D1498" s="7" t="s">
        <v>6546</v>
      </c>
      <c r="E1498" s="7" t="s">
        <v>6295</v>
      </c>
      <c r="F1498" s="7" t="s">
        <v>6573</v>
      </c>
      <c r="G1498" s="7" t="s">
        <v>7150</v>
      </c>
      <c r="H1498" s="7" t="s">
        <v>7156</v>
      </c>
      <c r="I1498" s="7"/>
      <c r="J1498" s="10">
        <v>41752</v>
      </c>
      <c r="K1498" s="7" t="s">
        <v>7163</v>
      </c>
      <c r="L1498" s="7"/>
      <c r="M1498" s="7"/>
    </row>
    <row r="1499" spans="1:13" x14ac:dyDescent="0.3">
      <c r="A1499" s="7">
        <v>19040</v>
      </c>
      <c r="B1499" s="7" t="s">
        <v>1507</v>
      </c>
      <c r="C1499" s="7" t="s">
        <v>6543</v>
      </c>
      <c r="D1499" s="7" t="s">
        <v>6546</v>
      </c>
      <c r="E1499" s="7" t="s">
        <v>6295</v>
      </c>
      <c r="F1499" s="7" t="s">
        <v>6559</v>
      </c>
      <c r="G1499" s="7" t="s">
        <v>7150</v>
      </c>
      <c r="H1499" s="7" t="s">
        <v>7156</v>
      </c>
      <c r="I1499" s="7" t="s">
        <v>7159</v>
      </c>
      <c r="J1499" s="10">
        <v>46260</v>
      </c>
      <c r="K1499" s="7" t="s">
        <v>7163</v>
      </c>
      <c r="L1499" s="7"/>
      <c r="M1499" s="7"/>
    </row>
    <row r="1500" spans="1:13" x14ac:dyDescent="0.3">
      <c r="A1500" s="7">
        <v>19200</v>
      </c>
      <c r="B1500" s="7" t="s">
        <v>1508</v>
      </c>
      <c r="C1500" s="7" t="s">
        <v>6543</v>
      </c>
      <c r="D1500" s="7" t="s">
        <v>6546</v>
      </c>
      <c r="E1500" s="7" t="s">
        <v>6295</v>
      </c>
      <c r="F1500" s="7" t="s">
        <v>6559</v>
      </c>
      <c r="G1500" s="7" t="s">
        <v>7150</v>
      </c>
      <c r="H1500" s="7" t="s">
        <v>7156</v>
      </c>
      <c r="I1500" s="7" t="s">
        <v>7159</v>
      </c>
      <c r="J1500" s="10">
        <v>46275</v>
      </c>
      <c r="K1500" s="7" t="s">
        <v>7163</v>
      </c>
      <c r="L1500" s="7"/>
      <c r="M1500" s="7"/>
    </row>
    <row r="1501" spans="1:13" x14ac:dyDescent="0.3">
      <c r="A1501" s="7">
        <v>19199</v>
      </c>
      <c r="B1501" s="7" t="s">
        <v>1509</v>
      </c>
      <c r="C1501" s="7" t="s">
        <v>6543</v>
      </c>
      <c r="D1501" s="7" t="s">
        <v>6546</v>
      </c>
      <c r="E1501" s="7" t="s">
        <v>6295</v>
      </c>
      <c r="F1501" s="7" t="s">
        <v>6559</v>
      </c>
      <c r="G1501" s="7" t="s">
        <v>7150</v>
      </c>
      <c r="H1501" s="7" t="s">
        <v>7156</v>
      </c>
      <c r="I1501" s="7" t="s">
        <v>7159</v>
      </c>
      <c r="J1501" s="10">
        <v>46275</v>
      </c>
      <c r="K1501" s="7" t="s">
        <v>7163</v>
      </c>
      <c r="L1501" s="7"/>
      <c r="M1501" s="7"/>
    </row>
    <row r="1502" spans="1:13" x14ac:dyDescent="0.3">
      <c r="A1502" s="7">
        <v>550008</v>
      </c>
      <c r="B1502" s="7" t="s">
        <v>1510</v>
      </c>
      <c r="C1502" s="7" t="s">
        <v>6543</v>
      </c>
      <c r="D1502" s="7" t="s">
        <v>6546</v>
      </c>
      <c r="E1502" s="7" t="s">
        <v>6295</v>
      </c>
      <c r="F1502" s="7" t="s">
        <v>6573</v>
      </c>
      <c r="G1502" s="7" t="s">
        <v>7150</v>
      </c>
      <c r="H1502" s="7" t="s">
        <v>7156</v>
      </c>
      <c r="I1502" s="7"/>
      <c r="J1502" s="10">
        <v>40206</v>
      </c>
      <c r="K1502" s="7" t="s">
        <v>7163</v>
      </c>
      <c r="L1502" s="7"/>
      <c r="M1502" s="7"/>
    </row>
    <row r="1503" spans="1:13" x14ac:dyDescent="0.3">
      <c r="A1503" s="7">
        <v>460023</v>
      </c>
      <c r="B1503" s="7" t="s">
        <v>1511</v>
      </c>
      <c r="C1503" s="7" t="s">
        <v>6543</v>
      </c>
      <c r="D1503" s="7" t="s">
        <v>6546</v>
      </c>
      <c r="E1503" s="7" t="s">
        <v>6295</v>
      </c>
      <c r="F1503" s="7" t="s">
        <v>6573</v>
      </c>
      <c r="G1503" s="7" t="s">
        <v>7150</v>
      </c>
      <c r="H1503" s="7" t="s">
        <v>7156</v>
      </c>
      <c r="I1503" s="7"/>
      <c r="J1503" s="10">
        <v>41957</v>
      </c>
      <c r="K1503" s="7" t="s">
        <v>7163</v>
      </c>
      <c r="L1503" s="7"/>
      <c r="M1503" s="7"/>
    </row>
    <row r="1504" spans="1:13" x14ac:dyDescent="0.3">
      <c r="A1504" s="7">
        <v>690001</v>
      </c>
      <c r="B1504" s="7" t="s">
        <v>1512</v>
      </c>
      <c r="C1504" s="7" t="s">
        <v>6543</v>
      </c>
      <c r="D1504" s="7" t="s">
        <v>6546</v>
      </c>
      <c r="E1504" s="7" t="s">
        <v>6295</v>
      </c>
      <c r="F1504" s="7" t="s">
        <v>6573</v>
      </c>
      <c r="G1504" s="7" t="s">
        <v>7150</v>
      </c>
      <c r="H1504" s="7" t="s">
        <v>7156</v>
      </c>
      <c r="I1504" s="7"/>
      <c r="J1504" s="10">
        <v>40756</v>
      </c>
      <c r="K1504" s="7" t="s">
        <v>7163</v>
      </c>
      <c r="L1504" s="7"/>
      <c r="M1504" s="7"/>
    </row>
    <row r="1505" spans="1:13" x14ac:dyDescent="0.3">
      <c r="A1505" s="7">
        <v>12188</v>
      </c>
      <c r="B1505" s="7" t="s">
        <v>1513</v>
      </c>
      <c r="C1505" s="7" t="s">
        <v>6543</v>
      </c>
      <c r="D1505" s="7" t="s">
        <v>6546</v>
      </c>
      <c r="E1505" s="7" t="s">
        <v>6295</v>
      </c>
      <c r="F1505" s="7" t="s">
        <v>6573</v>
      </c>
      <c r="G1505" s="7" t="s">
        <v>7150</v>
      </c>
      <c r="H1505" s="7" t="s">
        <v>7156</v>
      </c>
      <c r="I1505" s="7"/>
      <c r="J1505" s="10">
        <v>43567</v>
      </c>
      <c r="K1505" s="7" t="s">
        <v>7163</v>
      </c>
      <c r="L1505" s="7"/>
      <c r="M1505" s="7"/>
    </row>
    <row r="1506" spans="1:13" x14ac:dyDescent="0.3">
      <c r="A1506" s="7">
        <v>13330</v>
      </c>
      <c r="B1506" s="7" t="s">
        <v>1514</v>
      </c>
      <c r="C1506" s="7" t="s">
        <v>6543</v>
      </c>
      <c r="D1506" s="7" t="s">
        <v>6546</v>
      </c>
      <c r="E1506" s="7" t="s">
        <v>6295</v>
      </c>
      <c r="F1506" s="7" t="s">
        <v>6573</v>
      </c>
      <c r="G1506" s="7" t="s">
        <v>7150</v>
      </c>
      <c r="H1506" s="7" t="s">
        <v>7156</v>
      </c>
      <c r="I1506" s="7"/>
      <c r="J1506" s="10">
        <v>44391</v>
      </c>
      <c r="K1506" s="7" t="s">
        <v>7163</v>
      </c>
      <c r="L1506" s="7"/>
      <c r="M1506" s="7"/>
    </row>
    <row r="1507" spans="1:13" x14ac:dyDescent="0.3">
      <c r="A1507" s="7">
        <v>15962</v>
      </c>
      <c r="B1507" s="7" t="s">
        <v>1515</v>
      </c>
      <c r="C1507" s="7" t="s">
        <v>6543</v>
      </c>
      <c r="D1507" s="7" t="s">
        <v>6546</v>
      </c>
      <c r="E1507" s="7" t="s">
        <v>6295</v>
      </c>
      <c r="F1507" s="7" t="s">
        <v>6573</v>
      </c>
      <c r="G1507" s="7" t="s">
        <v>7150</v>
      </c>
      <c r="H1507" s="7" t="s">
        <v>7156</v>
      </c>
      <c r="I1507" s="7"/>
      <c r="J1507" s="10">
        <v>45250</v>
      </c>
      <c r="K1507" s="7" t="s">
        <v>7163</v>
      </c>
      <c r="L1507" s="7"/>
      <c r="M1507" s="7"/>
    </row>
    <row r="1508" spans="1:13" x14ac:dyDescent="0.3">
      <c r="A1508" s="7">
        <v>610020</v>
      </c>
      <c r="B1508" s="7" t="s">
        <v>1516</v>
      </c>
      <c r="C1508" s="7" t="s">
        <v>6543</v>
      </c>
      <c r="D1508" s="7" t="s">
        <v>6546</v>
      </c>
      <c r="E1508" s="7" t="s">
        <v>6295</v>
      </c>
      <c r="F1508" s="7" t="s">
        <v>6574</v>
      </c>
      <c r="G1508" s="7" t="s">
        <v>7150</v>
      </c>
      <c r="H1508" s="7" t="s">
        <v>7156</v>
      </c>
      <c r="I1508" s="7"/>
      <c r="J1508" s="10">
        <v>42031</v>
      </c>
      <c r="K1508" s="7" t="s">
        <v>7163</v>
      </c>
      <c r="L1508" s="7"/>
      <c r="M1508" s="7"/>
    </row>
    <row r="1509" spans="1:13" x14ac:dyDescent="0.3">
      <c r="A1509" s="7">
        <v>540006</v>
      </c>
      <c r="B1509" s="7" t="s">
        <v>1517</v>
      </c>
      <c r="C1509" s="7" t="s">
        <v>6543</v>
      </c>
      <c r="D1509" s="7" t="s">
        <v>6546</v>
      </c>
      <c r="E1509" s="7" t="s">
        <v>6295</v>
      </c>
      <c r="F1509" s="7" t="s">
        <v>6574</v>
      </c>
      <c r="G1509" s="7" t="s">
        <v>7150</v>
      </c>
      <c r="H1509" s="7" t="s">
        <v>7156</v>
      </c>
      <c r="I1509" s="7"/>
      <c r="J1509" s="10">
        <v>36721</v>
      </c>
      <c r="K1509" s="7" t="s">
        <v>7163</v>
      </c>
      <c r="L1509" s="7"/>
      <c r="M1509" s="7"/>
    </row>
    <row r="1510" spans="1:13" x14ac:dyDescent="0.3">
      <c r="A1510" s="7">
        <v>290058</v>
      </c>
      <c r="B1510" s="7" t="s">
        <v>1518</v>
      </c>
      <c r="C1510" s="7" t="s">
        <v>6543</v>
      </c>
      <c r="D1510" s="7" t="s">
        <v>6546</v>
      </c>
      <c r="E1510" s="7" t="s">
        <v>6295</v>
      </c>
      <c r="F1510" s="7" t="s">
        <v>6574</v>
      </c>
      <c r="G1510" s="7" t="s">
        <v>7150</v>
      </c>
      <c r="H1510" s="7" t="s">
        <v>7156</v>
      </c>
      <c r="I1510" s="7"/>
      <c r="J1510" s="10">
        <v>44083</v>
      </c>
      <c r="K1510" s="7" t="s">
        <v>7163</v>
      </c>
      <c r="L1510" s="7"/>
      <c r="M1510" s="7"/>
    </row>
    <row r="1511" spans="1:13" x14ac:dyDescent="0.3">
      <c r="A1511" s="7">
        <v>540007</v>
      </c>
      <c r="B1511" s="7" t="s">
        <v>1519</v>
      </c>
      <c r="C1511" s="7" t="s">
        <v>6543</v>
      </c>
      <c r="D1511" s="7" t="s">
        <v>6546</v>
      </c>
      <c r="E1511" s="7" t="s">
        <v>6295</v>
      </c>
      <c r="F1511" s="7" t="s">
        <v>6574</v>
      </c>
      <c r="G1511" s="7" t="s">
        <v>7150</v>
      </c>
      <c r="H1511" s="7" t="s">
        <v>7156</v>
      </c>
      <c r="I1511" s="7"/>
      <c r="J1511" s="10">
        <v>36721</v>
      </c>
      <c r="K1511" s="7" t="s">
        <v>7163</v>
      </c>
      <c r="L1511" s="7"/>
      <c r="M1511" s="7"/>
    </row>
    <row r="1512" spans="1:13" x14ac:dyDescent="0.3">
      <c r="A1512" s="7">
        <v>18354</v>
      </c>
      <c r="B1512" s="7" t="s">
        <v>1520</v>
      </c>
      <c r="C1512" s="7" t="s">
        <v>6543</v>
      </c>
      <c r="D1512" s="7" t="s">
        <v>6546</v>
      </c>
      <c r="E1512" s="7" t="s">
        <v>6295</v>
      </c>
      <c r="F1512" s="7" t="s">
        <v>6574</v>
      </c>
      <c r="G1512" s="7" t="s">
        <v>7150</v>
      </c>
      <c r="H1512" s="7" t="s">
        <v>7156</v>
      </c>
      <c r="I1512" s="7" t="s">
        <v>7159</v>
      </c>
      <c r="J1512" s="10">
        <v>46097</v>
      </c>
      <c r="K1512" s="7" t="s">
        <v>7163</v>
      </c>
      <c r="L1512" s="7"/>
      <c r="M1512" s="7"/>
    </row>
    <row r="1513" spans="1:13" x14ac:dyDescent="0.3">
      <c r="A1513" s="7">
        <v>18356</v>
      </c>
      <c r="B1513" s="7" t="s">
        <v>1521</v>
      </c>
      <c r="C1513" s="7" t="s">
        <v>6543</v>
      </c>
      <c r="D1513" s="7" t="s">
        <v>6546</v>
      </c>
      <c r="E1513" s="7" t="s">
        <v>6295</v>
      </c>
      <c r="F1513" s="7" t="s">
        <v>6574</v>
      </c>
      <c r="G1513" s="7" t="s">
        <v>7150</v>
      </c>
      <c r="H1513" s="7" t="s">
        <v>7156</v>
      </c>
      <c r="I1513" s="7" t="s">
        <v>7159</v>
      </c>
      <c r="J1513" s="10">
        <v>46097</v>
      </c>
      <c r="K1513" s="7" t="s">
        <v>7163</v>
      </c>
      <c r="L1513" s="7"/>
      <c r="M1513" s="7"/>
    </row>
    <row r="1514" spans="1:13" x14ac:dyDescent="0.3">
      <c r="A1514" s="7">
        <v>18357</v>
      </c>
      <c r="B1514" s="7" t="s">
        <v>1522</v>
      </c>
      <c r="C1514" s="7" t="s">
        <v>6543</v>
      </c>
      <c r="D1514" s="7" t="s">
        <v>6546</v>
      </c>
      <c r="E1514" s="7" t="s">
        <v>6295</v>
      </c>
      <c r="F1514" s="7" t="s">
        <v>6574</v>
      </c>
      <c r="G1514" s="7" t="s">
        <v>7150</v>
      </c>
      <c r="H1514" s="7" t="s">
        <v>7156</v>
      </c>
      <c r="I1514" s="7" t="s">
        <v>7159</v>
      </c>
      <c r="J1514" s="10">
        <v>46097</v>
      </c>
      <c r="K1514" s="7" t="s">
        <v>7163</v>
      </c>
      <c r="L1514" s="7"/>
      <c r="M1514" s="7"/>
    </row>
    <row r="1515" spans="1:13" x14ac:dyDescent="0.3">
      <c r="A1515" s="7">
        <v>18358</v>
      </c>
      <c r="B1515" s="7" t="s">
        <v>1523</v>
      </c>
      <c r="C1515" s="7" t="s">
        <v>6543</v>
      </c>
      <c r="D1515" s="7" t="s">
        <v>6546</v>
      </c>
      <c r="E1515" s="7" t="s">
        <v>6295</v>
      </c>
      <c r="F1515" s="7" t="s">
        <v>6575</v>
      </c>
      <c r="G1515" s="7" t="s">
        <v>7150</v>
      </c>
      <c r="H1515" s="7" t="s">
        <v>7156</v>
      </c>
      <c r="I1515" s="7" t="s">
        <v>7159</v>
      </c>
      <c r="J1515" s="10">
        <v>46097</v>
      </c>
      <c r="K1515" s="7" t="s">
        <v>7163</v>
      </c>
      <c r="L1515" s="7"/>
      <c r="M1515" s="7"/>
    </row>
    <row r="1516" spans="1:13" x14ac:dyDescent="0.3">
      <c r="A1516" s="7">
        <v>18359</v>
      </c>
      <c r="B1516" s="7" t="s">
        <v>1524</v>
      </c>
      <c r="C1516" s="7" t="s">
        <v>6543</v>
      </c>
      <c r="D1516" s="7" t="s">
        <v>6546</v>
      </c>
      <c r="E1516" s="7" t="s">
        <v>6295</v>
      </c>
      <c r="F1516" s="7" t="s">
        <v>6574</v>
      </c>
      <c r="G1516" s="7" t="s">
        <v>7150</v>
      </c>
      <c r="H1516" s="7" t="s">
        <v>7156</v>
      </c>
      <c r="I1516" s="7" t="s">
        <v>7159</v>
      </c>
      <c r="J1516" s="10">
        <v>46097</v>
      </c>
      <c r="K1516" s="7" t="s">
        <v>7163</v>
      </c>
      <c r="L1516" s="7"/>
      <c r="M1516" s="7"/>
    </row>
    <row r="1517" spans="1:13" x14ac:dyDescent="0.3">
      <c r="A1517" s="7">
        <v>116015</v>
      </c>
      <c r="B1517" s="7" t="s">
        <v>1525</v>
      </c>
      <c r="C1517" s="7" t="s">
        <v>6543</v>
      </c>
      <c r="D1517" s="7" t="s">
        <v>6546</v>
      </c>
      <c r="E1517" s="7" t="s">
        <v>6295</v>
      </c>
      <c r="F1517" s="7" t="s">
        <v>6574</v>
      </c>
      <c r="G1517" s="7" t="s">
        <v>7150</v>
      </c>
      <c r="H1517" s="7" t="s">
        <v>7156</v>
      </c>
      <c r="I1517" s="7"/>
      <c r="J1517" s="10">
        <v>42031</v>
      </c>
      <c r="K1517" s="7" t="s">
        <v>7163</v>
      </c>
      <c r="L1517" s="7"/>
      <c r="M1517" s="7"/>
    </row>
    <row r="1518" spans="1:13" x14ac:dyDescent="0.3">
      <c r="A1518" s="7">
        <v>510015</v>
      </c>
      <c r="B1518" s="7" t="s">
        <v>1526</v>
      </c>
      <c r="C1518" s="7" t="s">
        <v>6543</v>
      </c>
      <c r="D1518" s="7" t="s">
        <v>6546</v>
      </c>
      <c r="E1518" s="7" t="s">
        <v>6295</v>
      </c>
      <c r="F1518" s="7" t="s">
        <v>6574</v>
      </c>
      <c r="G1518" s="7" t="s">
        <v>7150</v>
      </c>
      <c r="H1518" s="7" t="s">
        <v>7156</v>
      </c>
      <c r="I1518" s="7"/>
      <c r="J1518" s="10">
        <v>41564</v>
      </c>
      <c r="K1518" s="7" t="s">
        <v>7163</v>
      </c>
      <c r="L1518" s="7"/>
      <c r="M1518" s="7"/>
    </row>
    <row r="1519" spans="1:13" x14ac:dyDescent="0.3">
      <c r="A1519" s="7">
        <v>11564</v>
      </c>
      <c r="B1519" s="7" t="s">
        <v>1527</v>
      </c>
      <c r="C1519" s="7" t="s">
        <v>6543</v>
      </c>
      <c r="D1519" s="7" t="s">
        <v>6546</v>
      </c>
      <c r="E1519" s="7" t="s">
        <v>6295</v>
      </c>
      <c r="F1519" s="7" t="s">
        <v>6574</v>
      </c>
      <c r="G1519" s="7" t="s">
        <v>7150</v>
      </c>
      <c r="H1519" s="7" t="s">
        <v>7156</v>
      </c>
      <c r="I1519" s="7"/>
      <c r="J1519" s="10">
        <v>42850</v>
      </c>
      <c r="K1519" s="7" t="s">
        <v>7163</v>
      </c>
      <c r="L1519" s="7"/>
      <c r="M1519" s="7"/>
    </row>
    <row r="1520" spans="1:13" x14ac:dyDescent="0.3">
      <c r="A1520" s="7">
        <v>290010</v>
      </c>
      <c r="B1520" s="7" t="s">
        <v>1528</v>
      </c>
      <c r="C1520" s="7" t="s">
        <v>6543</v>
      </c>
      <c r="D1520" s="7" t="s">
        <v>6546</v>
      </c>
      <c r="E1520" s="7" t="s">
        <v>6295</v>
      </c>
      <c r="F1520" s="7" t="s">
        <v>6574</v>
      </c>
      <c r="G1520" s="7" t="s">
        <v>7150</v>
      </c>
      <c r="H1520" s="7" t="s">
        <v>7156</v>
      </c>
      <c r="I1520" s="7"/>
      <c r="J1520" s="10">
        <v>40051</v>
      </c>
      <c r="K1520" s="7" t="s">
        <v>7163</v>
      </c>
      <c r="L1520" s="7"/>
      <c r="M1520" s="7"/>
    </row>
    <row r="1521" spans="1:13" x14ac:dyDescent="0.3">
      <c r="A1521" s="7">
        <v>290014</v>
      </c>
      <c r="B1521" s="7" t="s">
        <v>1529</v>
      </c>
      <c r="C1521" s="7" t="s">
        <v>6543</v>
      </c>
      <c r="D1521" s="7" t="s">
        <v>6546</v>
      </c>
      <c r="E1521" s="7" t="s">
        <v>6295</v>
      </c>
      <c r="F1521" s="7" t="s">
        <v>6574</v>
      </c>
      <c r="G1521" s="7" t="s">
        <v>7150</v>
      </c>
      <c r="H1521" s="7" t="s">
        <v>7156</v>
      </c>
      <c r="I1521" s="7"/>
      <c r="J1521" s="10">
        <v>40695</v>
      </c>
      <c r="K1521" s="7" t="s">
        <v>7163</v>
      </c>
      <c r="L1521" s="7"/>
      <c r="M1521" s="7"/>
    </row>
    <row r="1522" spans="1:13" x14ac:dyDescent="0.3">
      <c r="A1522" s="7">
        <v>19058</v>
      </c>
      <c r="B1522" s="7" t="s">
        <v>1530</v>
      </c>
      <c r="C1522" s="7" t="s">
        <v>6543</v>
      </c>
      <c r="D1522" s="7" t="s">
        <v>6546</v>
      </c>
      <c r="E1522" s="7" t="s">
        <v>6295</v>
      </c>
      <c r="F1522" s="7" t="s">
        <v>6576</v>
      </c>
      <c r="G1522" s="7" t="s">
        <v>7150</v>
      </c>
      <c r="H1522" s="7" t="s">
        <v>7156</v>
      </c>
      <c r="I1522" s="7" t="s">
        <v>7159</v>
      </c>
      <c r="J1522" s="10">
        <v>46260</v>
      </c>
      <c r="K1522" s="7" t="s">
        <v>7163</v>
      </c>
      <c r="L1522" s="7"/>
      <c r="M1522" s="7"/>
    </row>
    <row r="1523" spans="1:13" x14ac:dyDescent="0.3">
      <c r="A1523" s="7">
        <v>19059</v>
      </c>
      <c r="B1523" s="7" t="s">
        <v>1531</v>
      </c>
      <c r="C1523" s="7" t="s">
        <v>6543</v>
      </c>
      <c r="D1523" s="7" t="s">
        <v>6546</v>
      </c>
      <c r="E1523" s="7" t="s">
        <v>6295</v>
      </c>
      <c r="F1523" s="7" t="s">
        <v>6576</v>
      </c>
      <c r="G1523" s="7" t="s">
        <v>7150</v>
      </c>
      <c r="H1523" s="7" t="s">
        <v>7156</v>
      </c>
      <c r="I1523" s="7" t="s">
        <v>7159</v>
      </c>
      <c r="J1523" s="10">
        <v>46260</v>
      </c>
      <c r="K1523" s="7" t="s">
        <v>7163</v>
      </c>
      <c r="L1523" s="7"/>
      <c r="M1523" s="7"/>
    </row>
    <row r="1524" spans="1:13" x14ac:dyDescent="0.3">
      <c r="A1524" s="7">
        <v>19060</v>
      </c>
      <c r="B1524" s="7" t="s">
        <v>1532</v>
      </c>
      <c r="C1524" s="7" t="s">
        <v>6543</v>
      </c>
      <c r="D1524" s="7" t="s">
        <v>6546</v>
      </c>
      <c r="E1524" s="7" t="s">
        <v>6295</v>
      </c>
      <c r="F1524" s="7" t="s">
        <v>6576</v>
      </c>
      <c r="G1524" s="7" t="s">
        <v>7150</v>
      </c>
      <c r="H1524" s="7" t="s">
        <v>7156</v>
      </c>
      <c r="I1524" s="7" t="s">
        <v>7159</v>
      </c>
      <c r="J1524" s="10">
        <v>46260</v>
      </c>
      <c r="K1524" s="7" t="s">
        <v>7163</v>
      </c>
      <c r="L1524" s="7"/>
      <c r="M1524" s="7"/>
    </row>
    <row r="1525" spans="1:13" x14ac:dyDescent="0.3">
      <c r="A1525" s="7">
        <v>19061</v>
      </c>
      <c r="B1525" s="7" t="s">
        <v>1533</v>
      </c>
      <c r="C1525" s="7" t="s">
        <v>6543</v>
      </c>
      <c r="D1525" s="7" t="s">
        <v>6546</v>
      </c>
      <c r="E1525" s="7" t="s">
        <v>6295</v>
      </c>
      <c r="F1525" s="7" t="s">
        <v>6576</v>
      </c>
      <c r="G1525" s="7" t="s">
        <v>7150</v>
      </c>
      <c r="H1525" s="7" t="s">
        <v>7156</v>
      </c>
      <c r="I1525" s="7" t="s">
        <v>7159</v>
      </c>
      <c r="J1525" s="10">
        <v>46260</v>
      </c>
      <c r="K1525" s="7" t="s">
        <v>7163</v>
      </c>
      <c r="L1525" s="7"/>
      <c r="M1525" s="7"/>
    </row>
    <row r="1526" spans="1:13" x14ac:dyDescent="0.3">
      <c r="A1526" s="7">
        <v>19062</v>
      </c>
      <c r="B1526" s="7" t="s">
        <v>1534</v>
      </c>
      <c r="C1526" s="7" t="s">
        <v>6543</v>
      </c>
      <c r="D1526" s="7" t="s">
        <v>6546</v>
      </c>
      <c r="E1526" s="7" t="s">
        <v>6295</v>
      </c>
      <c r="F1526" s="7" t="s">
        <v>6576</v>
      </c>
      <c r="G1526" s="7" t="s">
        <v>7150</v>
      </c>
      <c r="H1526" s="7" t="s">
        <v>7156</v>
      </c>
      <c r="I1526" s="7" t="s">
        <v>7159</v>
      </c>
      <c r="J1526" s="10">
        <v>46260</v>
      </c>
      <c r="K1526" s="7" t="s">
        <v>7163</v>
      </c>
      <c r="L1526" s="7"/>
      <c r="M1526" s="7"/>
    </row>
    <row r="1527" spans="1:13" x14ac:dyDescent="0.3">
      <c r="A1527" s="7">
        <v>19068</v>
      </c>
      <c r="B1527" s="7" t="s">
        <v>1535</v>
      </c>
      <c r="C1527" s="7" t="s">
        <v>6543</v>
      </c>
      <c r="D1527" s="7" t="s">
        <v>6546</v>
      </c>
      <c r="E1527" s="7" t="s">
        <v>6295</v>
      </c>
      <c r="F1527" s="7" t="s">
        <v>6576</v>
      </c>
      <c r="G1527" s="7" t="s">
        <v>7150</v>
      </c>
      <c r="H1527" s="7" t="s">
        <v>7156</v>
      </c>
      <c r="I1527" s="7" t="s">
        <v>7159</v>
      </c>
      <c r="J1527" s="10">
        <v>46260</v>
      </c>
      <c r="K1527" s="7" t="s">
        <v>7163</v>
      </c>
      <c r="L1527" s="7"/>
      <c r="M1527" s="7"/>
    </row>
    <row r="1528" spans="1:13" x14ac:dyDescent="0.3">
      <c r="A1528" s="7">
        <v>19104</v>
      </c>
      <c r="B1528" s="7" t="s">
        <v>1536</v>
      </c>
      <c r="C1528" s="7" t="s">
        <v>6543</v>
      </c>
      <c r="D1528" s="7" t="s">
        <v>6546</v>
      </c>
      <c r="E1528" s="7" t="s">
        <v>6295</v>
      </c>
      <c r="F1528" s="7" t="s">
        <v>6576</v>
      </c>
      <c r="G1528" s="7" t="s">
        <v>7150</v>
      </c>
      <c r="H1528" s="7" t="s">
        <v>7156</v>
      </c>
      <c r="I1528" s="7" t="s">
        <v>7159</v>
      </c>
      <c r="J1528" s="10">
        <v>46266</v>
      </c>
      <c r="K1528" s="7" t="s">
        <v>7163</v>
      </c>
      <c r="L1528" s="7"/>
      <c r="M1528" s="7"/>
    </row>
    <row r="1529" spans="1:13" x14ac:dyDescent="0.3">
      <c r="A1529" s="7">
        <v>19099</v>
      </c>
      <c r="B1529" s="7" t="s">
        <v>1537</v>
      </c>
      <c r="C1529" s="7" t="s">
        <v>6543</v>
      </c>
      <c r="D1529" s="7" t="s">
        <v>6546</v>
      </c>
      <c r="E1529" s="7" t="s">
        <v>6295</v>
      </c>
      <c r="F1529" s="7" t="s">
        <v>6576</v>
      </c>
      <c r="G1529" s="7" t="s">
        <v>7150</v>
      </c>
      <c r="H1529" s="7" t="s">
        <v>7156</v>
      </c>
      <c r="I1529" s="7" t="s">
        <v>7159</v>
      </c>
      <c r="J1529" s="10">
        <v>46266</v>
      </c>
      <c r="K1529" s="7" t="s">
        <v>7163</v>
      </c>
      <c r="L1529" s="7"/>
      <c r="M1529" s="7"/>
    </row>
    <row r="1530" spans="1:13" x14ac:dyDescent="0.3">
      <c r="A1530" s="7">
        <v>19100</v>
      </c>
      <c r="B1530" s="7" t="s">
        <v>1538</v>
      </c>
      <c r="C1530" s="7" t="s">
        <v>6543</v>
      </c>
      <c r="D1530" s="7" t="s">
        <v>6546</v>
      </c>
      <c r="E1530" s="7" t="s">
        <v>6295</v>
      </c>
      <c r="F1530" s="7" t="s">
        <v>6576</v>
      </c>
      <c r="G1530" s="7" t="s">
        <v>7150</v>
      </c>
      <c r="H1530" s="7" t="s">
        <v>7156</v>
      </c>
      <c r="I1530" s="7" t="s">
        <v>7159</v>
      </c>
      <c r="J1530" s="10">
        <v>46266</v>
      </c>
      <c r="K1530" s="7" t="s">
        <v>7163</v>
      </c>
      <c r="L1530" s="7"/>
      <c r="M1530" s="7"/>
    </row>
    <row r="1531" spans="1:13" x14ac:dyDescent="0.3">
      <c r="A1531" s="7">
        <v>19101</v>
      </c>
      <c r="B1531" s="7" t="s">
        <v>1539</v>
      </c>
      <c r="C1531" s="7" t="s">
        <v>6543</v>
      </c>
      <c r="D1531" s="7" t="s">
        <v>6546</v>
      </c>
      <c r="E1531" s="7" t="s">
        <v>6295</v>
      </c>
      <c r="F1531" s="7" t="s">
        <v>6576</v>
      </c>
      <c r="G1531" s="7" t="s">
        <v>7150</v>
      </c>
      <c r="H1531" s="7" t="s">
        <v>7156</v>
      </c>
      <c r="I1531" s="7" t="s">
        <v>7159</v>
      </c>
      <c r="J1531" s="10">
        <v>46266</v>
      </c>
      <c r="K1531" s="7" t="s">
        <v>7163</v>
      </c>
      <c r="L1531" s="7"/>
      <c r="M1531" s="7"/>
    </row>
    <row r="1532" spans="1:13" x14ac:dyDescent="0.3">
      <c r="A1532" s="7">
        <v>19102</v>
      </c>
      <c r="B1532" s="7" t="s">
        <v>1540</v>
      </c>
      <c r="C1532" s="7" t="s">
        <v>6543</v>
      </c>
      <c r="D1532" s="7" t="s">
        <v>6546</v>
      </c>
      <c r="E1532" s="7" t="s">
        <v>6295</v>
      </c>
      <c r="F1532" s="7" t="s">
        <v>6576</v>
      </c>
      <c r="G1532" s="7" t="s">
        <v>7150</v>
      </c>
      <c r="H1532" s="7" t="s">
        <v>7156</v>
      </c>
      <c r="I1532" s="7" t="s">
        <v>7159</v>
      </c>
      <c r="J1532" s="10">
        <v>46266</v>
      </c>
      <c r="K1532" s="7" t="s">
        <v>7163</v>
      </c>
      <c r="L1532" s="7"/>
      <c r="M1532" s="7"/>
    </row>
    <row r="1533" spans="1:13" x14ac:dyDescent="0.3">
      <c r="A1533" s="7">
        <v>19103</v>
      </c>
      <c r="B1533" s="7" t="s">
        <v>1541</v>
      </c>
      <c r="C1533" s="7" t="s">
        <v>6543</v>
      </c>
      <c r="D1533" s="7" t="s">
        <v>6546</v>
      </c>
      <c r="E1533" s="7" t="s">
        <v>6295</v>
      </c>
      <c r="F1533" s="7" t="s">
        <v>6576</v>
      </c>
      <c r="G1533" s="7" t="s">
        <v>7150</v>
      </c>
      <c r="H1533" s="7" t="s">
        <v>7156</v>
      </c>
      <c r="I1533" s="7" t="s">
        <v>7159</v>
      </c>
      <c r="J1533" s="10">
        <v>46266</v>
      </c>
      <c r="K1533" s="7" t="s">
        <v>7163</v>
      </c>
      <c r="L1533" s="7"/>
      <c r="M1533" s="7"/>
    </row>
    <row r="1534" spans="1:13" x14ac:dyDescent="0.3">
      <c r="A1534" s="7">
        <v>19207</v>
      </c>
      <c r="B1534" s="7" t="s">
        <v>1542</v>
      </c>
      <c r="C1534" s="7" t="s">
        <v>6543</v>
      </c>
      <c r="D1534" s="7" t="s">
        <v>6546</v>
      </c>
      <c r="E1534" s="7" t="s">
        <v>6295</v>
      </c>
      <c r="F1534" s="7" t="s">
        <v>6576</v>
      </c>
      <c r="G1534" s="7" t="s">
        <v>7150</v>
      </c>
      <c r="H1534" s="7" t="s">
        <v>7156</v>
      </c>
      <c r="I1534" s="7" t="s">
        <v>7159</v>
      </c>
      <c r="J1534" s="10">
        <v>46276</v>
      </c>
      <c r="K1534" s="7" t="s">
        <v>7163</v>
      </c>
      <c r="L1534" s="7"/>
      <c r="M1534" s="7"/>
    </row>
    <row r="1535" spans="1:13" x14ac:dyDescent="0.3">
      <c r="A1535" s="7">
        <v>290018</v>
      </c>
      <c r="B1535" s="7" t="s">
        <v>1543</v>
      </c>
      <c r="C1535" s="7" t="s">
        <v>6543</v>
      </c>
      <c r="D1535" s="7" t="s">
        <v>6546</v>
      </c>
      <c r="E1535" s="7" t="s">
        <v>6295</v>
      </c>
      <c r="F1535" s="7" t="s">
        <v>6574</v>
      </c>
      <c r="G1535" s="7" t="s">
        <v>7150</v>
      </c>
      <c r="H1535" s="7" t="s">
        <v>7156</v>
      </c>
      <c r="I1535" s="7"/>
      <c r="J1535" s="10">
        <v>40599</v>
      </c>
      <c r="K1535" s="7" t="s">
        <v>7163</v>
      </c>
      <c r="L1535" s="7"/>
      <c r="M1535" s="7"/>
    </row>
    <row r="1536" spans="1:13" x14ac:dyDescent="0.3">
      <c r="A1536" s="7">
        <v>16196</v>
      </c>
      <c r="B1536" s="7" t="s">
        <v>1544</v>
      </c>
      <c r="C1536" s="7" t="s">
        <v>6543</v>
      </c>
      <c r="D1536" s="7" t="s">
        <v>6546</v>
      </c>
      <c r="E1536" s="7" t="s">
        <v>6295</v>
      </c>
      <c r="F1536" s="7" t="s">
        <v>6574</v>
      </c>
      <c r="G1536" s="7" t="s">
        <v>7150</v>
      </c>
      <c r="H1536" s="7" t="s">
        <v>7156</v>
      </c>
      <c r="I1536" s="7"/>
      <c r="J1536" s="10">
        <v>45315</v>
      </c>
      <c r="K1536" s="7" t="s">
        <v>7163</v>
      </c>
      <c r="L1536" s="7"/>
      <c r="M1536" s="7"/>
    </row>
    <row r="1537" spans="1:13" x14ac:dyDescent="0.3">
      <c r="A1537" s="7">
        <v>16993</v>
      </c>
      <c r="B1537" s="7" t="s">
        <v>1545</v>
      </c>
      <c r="C1537" s="7" t="s">
        <v>6543</v>
      </c>
      <c r="D1537" s="7" t="s">
        <v>6546</v>
      </c>
      <c r="E1537" s="7" t="s">
        <v>6295</v>
      </c>
      <c r="F1537" s="7" t="s">
        <v>6574</v>
      </c>
      <c r="G1537" s="7" t="s">
        <v>7150</v>
      </c>
      <c r="H1537" s="7" t="s">
        <v>7156</v>
      </c>
      <c r="I1537" s="7"/>
      <c r="J1537" s="10">
        <v>45589</v>
      </c>
      <c r="K1537" s="7" t="s">
        <v>7163</v>
      </c>
      <c r="L1537" s="7"/>
      <c r="M1537" s="7"/>
    </row>
    <row r="1538" spans="1:13" x14ac:dyDescent="0.3">
      <c r="A1538" s="7">
        <v>17077</v>
      </c>
      <c r="B1538" s="7" t="s">
        <v>1546</v>
      </c>
      <c r="C1538" s="7" t="s">
        <v>6543</v>
      </c>
      <c r="D1538" s="7" t="s">
        <v>6546</v>
      </c>
      <c r="E1538" s="7" t="s">
        <v>6295</v>
      </c>
      <c r="F1538" s="7" t="s">
        <v>6574</v>
      </c>
      <c r="G1538" s="7" t="s">
        <v>7150</v>
      </c>
      <c r="H1538" s="7" t="s">
        <v>7156</v>
      </c>
      <c r="I1538" s="7"/>
      <c r="J1538" s="10">
        <v>45623</v>
      </c>
      <c r="K1538" s="7" t="s">
        <v>7163</v>
      </c>
      <c r="L1538" s="7"/>
      <c r="M1538" s="7"/>
    </row>
    <row r="1539" spans="1:13" x14ac:dyDescent="0.3">
      <c r="A1539" s="7">
        <v>17188</v>
      </c>
      <c r="B1539" s="7" t="s">
        <v>1547</v>
      </c>
      <c r="C1539" s="7" t="s">
        <v>6543</v>
      </c>
      <c r="D1539" s="7" t="s">
        <v>6546</v>
      </c>
      <c r="E1539" s="7" t="s">
        <v>6295</v>
      </c>
      <c r="F1539" s="7" t="s">
        <v>6574</v>
      </c>
      <c r="G1539" s="7" t="s">
        <v>7150</v>
      </c>
      <c r="H1539" s="7" t="s">
        <v>7156</v>
      </c>
      <c r="I1539" s="7"/>
      <c r="J1539" s="10">
        <v>45663</v>
      </c>
      <c r="K1539" s="7" t="s">
        <v>7163</v>
      </c>
      <c r="L1539" s="7"/>
      <c r="M1539" s="7"/>
    </row>
    <row r="1540" spans="1:13" x14ac:dyDescent="0.3">
      <c r="A1540" s="7">
        <v>17187</v>
      </c>
      <c r="B1540" s="7" t="s">
        <v>1548</v>
      </c>
      <c r="C1540" s="7" t="s">
        <v>6543</v>
      </c>
      <c r="D1540" s="7" t="s">
        <v>6546</v>
      </c>
      <c r="E1540" s="7" t="s">
        <v>6295</v>
      </c>
      <c r="F1540" s="7" t="s">
        <v>6574</v>
      </c>
      <c r="G1540" s="7" t="s">
        <v>7150</v>
      </c>
      <c r="H1540" s="7" t="s">
        <v>7156</v>
      </c>
      <c r="I1540" s="7"/>
      <c r="J1540" s="10">
        <v>45663</v>
      </c>
      <c r="K1540" s="7" t="s">
        <v>7163</v>
      </c>
      <c r="L1540" s="7"/>
      <c r="M1540" s="7"/>
    </row>
    <row r="1541" spans="1:13" x14ac:dyDescent="0.3">
      <c r="A1541" s="7">
        <v>17186</v>
      </c>
      <c r="B1541" s="7" t="s">
        <v>1549</v>
      </c>
      <c r="C1541" s="7" t="s">
        <v>6543</v>
      </c>
      <c r="D1541" s="7" t="s">
        <v>6546</v>
      </c>
      <c r="E1541" s="7" t="s">
        <v>6295</v>
      </c>
      <c r="F1541" s="7" t="s">
        <v>6574</v>
      </c>
      <c r="G1541" s="7" t="s">
        <v>7150</v>
      </c>
      <c r="H1541" s="7" t="s">
        <v>7156</v>
      </c>
      <c r="I1541" s="7"/>
      <c r="J1541" s="10">
        <v>45663</v>
      </c>
      <c r="K1541" s="7" t="s">
        <v>7163</v>
      </c>
      <c r="L1541" s="7"/>
      <c r="M1541" s="7"/>
    </row>
    <row r="1542" spans="1:13" x14ac:dyDescent="0.3">
      <c r="A1542" s="7">
        <v>17185</v>
      </c>
      <c r="B1542" s="7" t="s">
        <v>1550</v>
      </c>
      <c r="C1542" s="7" t="s">
        <v>6543</v>
      </c>
      <c r="D1542" s="7" t="s">
        <v>6546</v>
      </c>
      <c r="E1542" s="7" t="s">
        <v>6295</v>
      </c>
      <c r="F1542" s="7" t="s">
        <v>6574</v>
      </c>
      <c r="G1542" s="7" t="s">
        <v>7150</v>
      </c>
      <c r="H1542" s="7" t="s">
        <v>7156</v>
      </c>
      <c r="I1542" s="7"/>
      <c r="J1542" s="10">
        <v>45663</v>
      </c>
      <c r="K1542" s="7" t="s">
        <v>7163</v>
      </c>
      <c r="L1542" s="7"/>
      <c r="M1542" s="7"/>
    </row>
    <row r="1543" spans="1:13" x14ac:dyDescent="0.3">
      <c r="A1543" s="7">
        <v>720019</v>
      </c>
      <c r="B1543" s="7" t="s">
        <v>1551</v>
      </c>
      <c r="C1543" s="7" t="s">
        <v>6543</v>
      </c>
      <c r="D1543" s="7" t="s">
        <v>6546</v>
      </c>
      <c r="E1543" s="7" t="s">
        <v>6295</v>
      </c>
      <c r="F1543" s="7" t="s">
        <v>6571</v>
      </c>
      <c r="G1543" s="7" t="s">
        <v>7150</v>
      </c>
      <c r="H1543" s="7" t="s">
        <v>7156</v>
      </c>
      <c r="I1543" s="7"/>
      <c r="J1543" s="10">
        <v>37999</v>
      </c>
      <c r="K1543" s="7" t="s">
        <v>7163</v>
      </c>
      <c r="L1543" s="7"/>
      <c r="M1543" s="7"/>
    </row>
    <row r="1544" spans="1:13" x14ac:dyDescent="0.3">
      <c r="A1544" s="7">
        <v>520016</v>
      </c>
      <c r="B1544" s="7" t="s">
        <v>1552</v>
      </c>
      <c r="C1544" s="7" t="s">
        <v>6543</v>
      </c>
      <c r="D1544" s="7" t="s">
        <v>6546</v>
      </c>
      <c r="E1544" s="7" t="s">
        <v>6295</v>
      </c>
      <c r="F1544" s="7" t="s">
        <v>6571</v>
      </c>
      <c r="G1544" s="7" t="s">
        <v>7150</v>
      </c>
      <c r="H1544" s="7" t="s">
        <v>7156</v>
      </c>
      <c r="I1544" s="7"/>
      <c r="J1544" s="10">
        <v>41792</v>
      </c>
      <c r="K1544" s="7" t="s">
        <v>7163</v>
      </c>
      <c r="L1544" s="7"/>
      <c r="M1544" s="7"/>
    </row>
    <row r="1545" spans="1:13" x14ac:dyDescent="0.3">
      <c r="A1545" s="7">
        <v>12379</v>
      </c>
      <c r="B1545" s="7" t="s">
        <v>1553</v>
      </c>
      <c r="C1545" s="7" t="s">
        <v>6543</v>
      </c>
      <c r="D1545" s="7" t="s">
        <v>6546</v>
      </c>
      <c r="E1545" s="7" t="s">
        <v>6295</v>
      </c>
      <c r="F1545" s="7" t="s">
        <v>6571</v>
      </c>
      <c r="G1545" s="7" t="s">
        <v>7150</v>
      </c>
      <c r="H1545" s="7" t="s">
        <v>7156</v>
      </c>
      <c r="I1545" s="7"/>
      <c r="J1545" s="10">
        <v>43721</v>
      </c>
      <c r="K1545" s="7" t="s">
        <v>7163</v>
      </c>
      <c r="L1545" s="7"/>
      <c r="M1545" s="7"/>
    </row>
    <row r="1546" spans="1:13" x14ac:dyDescent="0.3">
      <c r="A1546" s="7">
        <v>520006</v>
      </c>
      <c r="B1546" s="7" t="s">
        <v>1554</v>
      </c>
      <c r="C1546" s="7" t="s">
        <v>6543</v>
      </c>
      <c r="D1546" s="7" t="s">
        <v>6546</v>
      </c>
      <c r="E1546" s="7" t="s">
        <v>6295</v>
      </c>
      <c r="F1546" s="7" t="s">
        <v>6571</v>
      </c>
      <c r="G1546" s="7" t="s">
        <v>7150</v>
      </c>
      <c r="H1546" s="7" t="s">
        <v>7156</v>
      </c>
      <c r="I1546" s="7"/>
      <c r="J1546" s="10">
        <v>37412</v>
      </c>
      <c r="K1546" s="7" t="s">
        <v>7163</v>
      </c>
      <c r="L1546" s="7"/>
      <c r="M1546" s="7"/>
    </row>
    <row r="1547" spans="1:13" x14ac:dyDescent="0.3">
      <c r="A1547" s="7">
        <v>11548</v>
      </c>
      <c r="B1547" s="7" t="s">
        <v>1555</v>
      </c>
      <c r="C1547" s="7" t="s">
        <v>6543</v>
      </c>
      <c r="D1547" s="7" t="s">
        <v>6546</v>
      </c>
      <c r="E1547" s="7" t="s">
        <v>6295</v>
      </c>
      <c r="F1547" s="7" t="s">
        <v>6571</v>
      </c>
      <c r="G1547" s="7" t="s">
        <v>7150</v>
      </c>
      <c r="H1547" s="7" t="s">
        <v>7156</v>
      </c>
      <c r="I1547" s="7"/>
      <c r="J1547" s="10">
        <v>42828</v>
      </c>
      <c r="K1547" s="7" t="s">
        <v>7163</v>
      </c>
      <c r="L1547" s="7"/>
      <c r="M1547" s="7"/>
    </row>
    <row r="1548" spans="1:13" x14ac:dyDescent="0.3">
      <c r="A1548" s="7">
        <v>12027</v>
      </c>
      <c r="B1548" s="7" t="s">
        <v>1556</v>
      </c>
      <c r="C1548" s="7" t="s">
        <v>6543</v>
      </c>
      <c r="D1548" s="7" t="s">
        <v>6546</v>
      </c>
      <c r="E1548" s="7" t="s">
        <v>6295</v>
      </c>
      <c r="F1548" s="7" t="s">
        <v>6571</v>
      </c>
      <c r="G1548" s="7" t="s">
        <v>7150</v>
      </c>
      <c r="H1548" s="7" t="s">
        <v>7156</v>
      </c>
      <c r="I1548" s="7"/>
      <c r="J1548" s="10">
        <v>43391</v>
      </c>
      <c r="K1548" s="7" t="s">
        <v>7163</v>
      </c>
      <c r="L1548" s="7"/>
      <c r="M1548" s="7"/>
    </row>
    <row r="1549" spans="1:13" x14ac:dyDescent="0.3">
      <c r="A1549" s="7">
        <v>13661</v>
      </c>
      <c r="B1549" s="7" t="s">
        <v>1557</v>
      </c>
      <c r="C1549" s="7" t="s">
        <v>6543</v>
      </c>
      <c r="D1549" s="7" t="s">
        <v>6546</v>
      </c>
      <c r="E1549" s="7" t="s">
        <v>6295</v>
      </c>
      <c r="F1549" s="7" t="s">
        <v>6571</v>
      </c>
      <c r="G1549" s="7" t="s">
        <v>7150</v>
      </c>
      <c r="H1549" s="7" t="s">
        <v>7156</v>
      </c>
      <c r="I1549" s="7"/>
      <c r="J1549" s="10">
        <v>44531</v>
      </c>
      <c r="K1549" s="7" t="s">
        <v>7163</v>
      </c>
      <c r="L1549" s="7"/>
      <c r="M1549" s="7"/>
    </row>
    <row r="1550" spans="1:13" x14ac:dyDescent="0.3">
      <c r="A1550" s="7">
        <v>12613</v>
      </c>
      <c r="B1550" s="7" t="s">
        <v>1558</v>
      </c>
      <c r="C1550" s="7" t="s">
        <v>6543</v>
      </c>
      <c r="D1550" s="7" t="s">
        <v>6546</v>
      </c>
      <c r="E1550" s="7" t="s">
        <v>6295</v>
      </c>
      <c r="F1550" s="7" t="s">
        <v>6571</v>
      </c>
      <c r="G1550" s="7" t="s">
        <v>7150</v>
      </c>
      <c r="H1550" s="7" t="s">
        <v>7156</v>
      </c>
      <c r="I1550" s="7"/>
      <c r="J1550" s="10">
        <v>43839</v>
      </c>
      <c r="K1550" s="7" t="s">
        <v>7163</v>
      </c>
      <c r="L1550" s="7"/>
      <c r="M1550" s="7"/>
    </row>
    <row r="1551" spans="1:13" x14ac:dyDescent="0.3">
      <c r="A1551" s="7">
        <v>15674</v>
      </c>
      <c r="B1551" s="7" t="s">
        <v>1559</v>
      </c>
      <c r="C1551" s="7" t="s">
        <v>6543</v>
      </c>
      <c r="D1551" s="7" t="s">
        <v>6546</v>
      </c>
      <c r="E1551" s="7" t="s">
        <v>6295</v>
      </c>
      <c r="F1551" s="7" t="s">
        <v>6571</v>
      </c>
      <c r="G1551" s="7" t="s">
        <v>7150</v>
      </c>
      <c r="H1551" s="7" t="s">
        <v>7156</v>
      </c>
      <c r="I1551" s="7"/>
      <c r="J1551" s="10">
        <v>45163</v>
      </c>
      <c r="K1551" s="7" t="s">
        <v>7163</v>
      </c>
      <c r="L1551" s="7"/>
      <c r="M1551" s="7"/>
    </row>
    <row r="1552" spans="1:13" x14ac:dyDescent="0.3">
      <c r="A1552" s="7">
        <v>17192</v>
      </c>
      <c r="B1552" s="7" t="s">
        <v>1560</v>
      </c>
      <c r="C1552" s="7" t="s">
        <v>6543</v>
      </c>
      <c r="D1552" s="7" t="s">
        <v>6546</v>
      </c>
      <c r="E1552" s="7" t="s">
        <v>6295</v>
      </c>
      <c r="F1552" s="7" t="s">
        <v>6571</v>
      </c>
      <c r="G1552" s="7" t="s">
        <v>7150</v>
      </c>
      <c r="H1552" s="7" t="s">
        <v>7156</v>
      </c>
      <c r="I1552" s="7"/>
      <c r="J1552" s="10">
        <v>45663</v>
      </c>
      <c r="K1552" s="7" t="s">
        <v>7163</v>
      </c>
      <c r="L1552" s="7"/>
      <c r="M1552" s="7"/>
    </row>
    <row r="1553" spans="1:13" x14ac:dyDescent="0.3">
      <c r="A1553" s="7">
        <v>19234</v>
      </c>
      <c r="B1553" s="7" t="s">
        <v>1561</v>
      </c>
      <c r="C1553" s="7" t="s">
        <v>6543</v>
      </c>
      <c r="D1553" s="7" t="s">
        <v>6546</v>
      </c>
      <c r="E1553" s="7" t="s">
        <v>6295</v>
      </c>
      <c r="F1553" s="7" t="s">
        <v>6577</v>
      </c>
      <c r="G1553" s="7" t="s">
        <v>7150</v>
      </c>
      <c r="H1553" s="7" t="s">
        <v>7156</v>
      </c>
      <c r="I1553" s="7" t="s">
        <v>7159</v>
      </c>
      <c r="J1553" s="10">
        <v>46279</v>
      </c>
      <c r="K1553" s="7" t="s">
        <v>7163</v>
      </c>
      <c r="L1553" s="7"/>
      <c r="M1553" s="7"/>
    </row>
    <row r="1554" spans="1:13" x14ac:dyDescent="0.3">
      <c r="A1554" s="7">
        <v>19246</v>
      </c>
      <c r="B1554" s="7" t="s">
        <v>1562</v>
      </c>
      <c r="C1554" s="7" t="s">
        <v>6543</v>
      </c>
      <c r="D1554" s="7" t="s">
        <v>6546</v>
      </c>
      <c r="E1554" s="7" t="s">
        <v>6295</v>
      </c>
      <c r="F1554" s="7" t="s">
        <v>6577</v>
      </c>
      <c r="G1554" s="7" t="s">
        <v>7150</v>
      </c>
      <c r="H1554" s="7" t="s">
        <v>7156</v>
      </c>
      <c r="I1554" s="7" t="s">
        <v>7159</v>
      </c>
      <c r="J1554" s="10">
        <v>46281</v>
      </c>
      <c r="K1554" s="7" t="s">
        <v>7163</v>
      </c>
      <c r="L1554" s="7"/>
      <c r="M1554" s="7"/>
    </row>
    <row r="1555" spans="1:13" x14ac:dyDescent="0.3">
      <c r="A1555" s="7">
        <v>19262</v>
      </c>
      <c r="B1555" s="7" t="s">
        <v>1563</v>
      </c>
      <c r="C1555" s="7" t="s">
        <v>6543</v>
      </c>
      <c r="D1555" s="7" t="s">
        <v>6546</v>
      </c>
      <c r="E1555" s="7" t="s">
        <v>6295</v>
      </c>
      <c r="F1555" s="7" t="s">
        <v>6577</v>
      </c>
      <c r="G1555" s="7" t="s">
        <v>7150</v>
      </c>
      <c r="H1555" s="7" t="s">
        <v>7156</v>
      </c>
      <c r="I1555" s="7" t="s">
        <v>7159</v>
      </c>
      <c r="J1555" s="10">
        <v>46282</v>
      </c>
      <c r="K1555" s="7" t="s">
        <v>7163</v>
      </c>
      <c r="L1555" s="7"/>
      <c r="M1555" s="7"/>
    </row>
    <row r="1556" spans="1:13" x14ac:dyDescent="0.3">
      <c r="A1556" s="7">
        <v>19284</v>
      </c>
      <c r="B1556" s="7" t="s">
        <v>1564</v>
      </c>
      <c r="C1556" s="7" t="s">
        <v>6543</v>
      </c>
      <c r="D1556" s="7" t="s">
        <v>6546</v>
      </c>
      <c r="E1556" s="7" t="s">
        <v>6295</v>
      </c>
      <c r="F1556" s="7" t="s">
        <v>6577</v>
      </c>
      <c r="G1556" s="7" t="s">
        <v>7150</v>
      </c>
      <c r="H1556" s="7" t="s">
        <v>7156</v>
      </c>
      <c r="I1556" s="7" t="s">
        <v>7159</v>
      </c>
      <c r="J1556" s="10">
        <v>46293</v>
      </c>
      <c r="K1556" s="7" t="s">
        <v>7163</v>
      </c>
      <c r="L1556" s="7"/>
      <c r="M1556" s="7"/>
    </row>
    <row r="1557" spans="1:13" x14ac:dyDescent="0.3">
      <c r="A1557" s="7">
        <v>19293</v>
      </c>
      <c r="B1557" s="7" t="s">
        <v>1565</v>
      </c>
      <c r="C1557" s="7" t="s">
        <v>6543</v>
      </c>
      <c r="D1557" s="7" t="s">
        <v>6546</v>
      </c>
      <c r="E1557" s="7" t="s">
        <v>6295</v>
      </c>
      <c r="F1557" s="7" t="s">
        <v>6577</v>
      </c>
      <c r="G1557" s="7" t="s">
        <v>7150</v>
      </c>
      <c r="H1557" s="7" t="s">
        <v>7156</v>
      </c>
      <c r="I1557" s="7" t="s">
        <v>7159</v>
      </c>
      <c r="J1557" s="10">
        <v>46296</v>
      </c>
      <c r="K1557" s="7" t="s">
        <v>7163</v>
      </c>
      <c r="L1557" s="7"/>
      <c r="M1557" s="7"/>
    </row>
    <row r="1558" spans="1:13" x14ac:dyDescent="0.3">
      <c r="A1558" s="7">
        <v>19303</v>
      </c>
      <c r="B1558" s="7" t="s">
        <v>1566</v>
      </c>
      <c r="C1558" s="7" t="s">
        <v>6543</v>
      </c>
      <c r="D1558" s="7" t="s">
        <v>6546</v>
      </c>
      <c r="E1558" s="7" t="s">
        <v>6295</v>
      </c>
      <c r="F1558" s="7" t="s">
        <v>6577</v>
      </c>
      <c r="G1558" s="7" t="s">
        <v>7150</v>
      </c>
      <c r="H1558" s="7" t="s">
        <v>7156</v>
      </c>
      <c r="I1558" s="7" t="s">
        <v>7159</v>
      </c>
      <c r="J1558" s="10">
        <v>46297</v>
      </c>
      <c r="K1558" s="7" t="s">
        <v>7163</v>
      </c>
      <c r="L1558" s="7"/>
      <c r="M1558" s="7"/>
    </row>
    <row r="1559" spans="1:13" x14ac:dyDescent="0.3">
      <c r="A1559" s="7">
        <v>790006</v>
      </c>
      <c r="B1559" s="7" t="s">
        <v>1567</v>
      </c>
      <c r="C1559" s="7" t="s">
        <v>6543</v>
      </c>
      <c r="D1559" s="7" t="s">
        <v>6546</v>
      </c>
      <c r="E1559" s="7" t="s">
        <v>6295</v>
      </c>
      <c r="F1559" s="7" t="s">
        <v>6578</v>
      </c>
      <c r="G1559" s="7" t="s">
        <v>7150</v>
      </c>
      <c r="H1559" s="7" t="s">
        <v>7156</v>
      </c>
      <c r="I1559" s="7"/>
      <c r="J1559" s="10">
        <v>41036</v>
      </c>
      <c r="K1559" s="7" t="s">
        <v>7163</v>
      </c>
      <c r="L1559" s="7"/>
      <c r="M1559" s="7"/>
    </row>
    <row r="1560" spans="1:13" x14ac:dyDescent="0.3">
      <c r="A1560" s="7">
        <v>18476</v>
      </c>
      <c r="B1560" s="7" t="s">
        <v>1568</v>
      </c>
      <c r="C1560" s="7" t="s">
        <v>6543</v>
      </c>
      <c r="D1560" s="7" t="s">
        <v>6546</v>
      </c>
      <c r="E1560" s="7" t="s">
        <v>6295</v>
      </c>
      <c r="F1560" s="7" t="s">
        <v>6578</v>
      </c>
      <c r="G1560" s="7" t="s">
        <v>7150</v>
      </c>
      <c r="H1560" s="7" t="s">
        <v>7156</v>
      </c>
      <c r="I1560" s="7" t="s">
        <v>7159</v>
      </c>
      <c r="J1560" s="10">
        <v>46132</v>
      </c>
      <c r="K1560" s="7" t="s">
        <v>7163</v>
      </c>
      <c r="L1560" s="7"/>
      <c r="M1560" s="7"/>
    </row>
    <row r="1561" spans="1:13" x14ac:dyDescent="0.3">
      <c r="A1561" s="7">
        <v>18478</v>
      </c>
      <c r="B1561" s="7" t="s">
        <v>1569</v>
      </c>
      <c r="C1561" s="7" t="s">
        <v>6543</v>
      </c>
      <c r="D1561" s="7" t="s">
        <v>6546</v>
      </c>
      <c r="E1561" s="7" t="s">
        <v>6295</v>
      </c>
      <c r="F1561" s="7" t="s">
        <v>6578</v>
      </c>
      <c r="G1561" s="7" t="s">
        <v>7150</v>
      </c>
      <c r="H1561" s="7" t="s">
        <v>7156</v>
      </c>
      <c r="I1561" s="7" t="s">
        <v>7159</v>
      </c>
      <c r="J1561" s="10">
        <v>46132</v>
      </c>
      <c r="K1561" s="7" t="s">
        <v>7163</v>
      </c>
      <c r="L1561" s="7"/>
      <c r="M1561" s="7"/>
    </row>
    <row r="1562" spans="1:13" x14ac:dyDescent="0.3">
      <c r="A1562" s="7">
        <v>12468</v>
      </c>
      <c r="B1562" s="7" t="s">
        <v>1570</v>
      </c>
      <c r="C1562" s="7" t="s">
        <v>6543</v>
      </c>
      <c r="D1562" s="7" t="s">
        <v>6546</v>
      </c>
      <c r="E1562" s="7" t="s">
        <v>6295</v>
      </c>
      <c r="F1562" s="7" t="s">
        <v>6578</v>
      </c>
      <c r="G1562" s="7" t="s">
        <v>7150</v>
      </c>
      <c r="H1562" s="7" t="s">
        <v>7156</v>
      </c>
      <c r="I1562" s="7"/>
      <c r="J1562" s="10">
        <v>43761</v>
      </c>
      <c r="K1562" s="7" t="s">
        <v>7163</v>
      </c>
      <c r="L1562" s="7"/>
      <c r="M1562" s="7"/>
    </row>
    <row r="1563" spans="1:13" x14ac:dyDescent="0.3">
      <c r="A1563" s="7">
        <v>870006</v>
      </c>
      <c r="B1563" s="7" t="s">
        <v>1571</v>
      </c>
      <c r="C1563" s="7" t="s">
        <v>6543</v>
      </c>
      <c r="D1563" s="7" t="s">
        <v>6546</v>
      </c>
      <c r="E1563" s="7" t="s">
        <v>6295</v>
      </c>
      <c r="F1563" s="7" t="s">
        <v>6578</v>
      </c>
      <c r="G1563" s="7" t="s">
        <v>7150</v>
      </c>
      <c r="H1563" s="7" t="s">
        <v>7156</v>
      </c>
      <c r="I1563" s="7"/>
      <c r="J1563" s="10">
        <v>38687</v>
      </c>
      <c r="K1563" s="7" t="s">
        <v>7163</v>
      </c>
      <c r="L1563" s="7"/>
      <c r="M1563" s="7"/>
    </row>
    <row r="1564" spans="1:13" x14ac:dyDescent="0.3">
      <c r="A1564" s="7">
        <v>19037</v>
      </c>
      <c r="B1564" s="7" t="s">
        <v>1572</v>
      </c>
      <c r="C1564" s="7" t="s">
        <v>6543</v>
      </c>
      <c r="D1564" s="7" t="s">
        <v>6546</v>
      </c>
      <c r="E1564" s="7" t="s">
        <v>6295</v>
      </c>
      <c r="F1564" s="7" t="s">
        <v>6558</v>
      </c>
      <c r="G1564" s="7" t="s">
        <v>7150</v>
      </c>
      <c r="H1564" s="7" t="s">
        <v>7156</v>
      </c>
      <c r="I1564" s="7" t="s">
        <v>7159</v>
      </c>
      <c r="J1564" s="10">
        <v>46259</v>
      </c>
      <c r="K1564" s="7" t="s">
        <v>7163</v>
      </c>
      <c r="L1564" s="7"/>
      <c r="M1564" s="7"/>
    </row>
    <row r="1565" spans="1:13" x14ac:dyDescent="0.3">
      <c r="A1565" s="7">
        <v>19038</v>
      </c>
      <c r="B1565" s="7" t="s">
        <v>1573</v>
      </c>
      <c r="C1565" s="7" t="s">
        <v>6543</v>
      </c>
      <c r="D1565" s="7" t="s">
        <v>6546</v>
      </c>
      <c r="E1565" s="7" t="s">
        <v>6295</v>
      </c>
      <c r="F1565" s="7" t="s">
        <v>6558</v>
      </c>
      <c r="G1565" s="7" t="s">
        <v>7150</v>
      </c>
      <c r="H1565" s="7" t="s">
        <v>7156</v>
      </c>
      <c r="I1565" s="7" t="s">
        <v>7159</v>
      </c>
      <c r="J1565" s="10">
        <v>46259</v>
      </c>
      <c r="K1565" s="7" t="s">
        <v>7163</v>
      </c>
      <c r="L1565" s="7"/>
      <c r="M1565" s="7"/>
    </row>
    <row r="1566" spans="1:13" x14ac:dyDescent="0.3">
      <c r="A1566" s="7">
        <v>19042</v>
      </c>
      <c r="B1566" s="7" t="s">
        <v>1574</v>
      </c>
      <c r="C1566" s="7" t="s">
        <v>6543</v>
      </c>
      <c r="D1566" s="7" t="s">
        <v>6546</v>
      </c>
      <c r="E1566" s="7" t="s">
        <v>6295</v>
      </c>
      <c r="F1566" s="7" t="s">
        <v>6558</v>
      </c>
      <c r="G1566" s="7" t="s">
        <v>7150</v>
      </c>
      <c r="H1566" s="7" t="s">
        <v>7156</v>
      </c>
      <c r="I1566" s="7" t="s">
        <v>7159</v>
      </c>
      <c r="J1566" s="10">
        <v>46259</v>
      </c>
      <c r="K1566" s="7" t="s">
        <v>7163</v>
      </c>
      <c r="L1566" s="7"/>
      <c r="M1566" s="7"/>
    </row>
    <row r="1567" spans="1:13" x14ac:dyDescent="0.3">
      <c r="A1567" s="7">
        <v>19044</v>
      </c>
      <c r="B1567" s="7" t="s">
        <v>1575</v>
      </c>
      <c r="C1567" s="7" t="s">
        <v>6543</v>
      </c>
      <c r="D1567" s="7" t="s">
        <v>6546</v>
      </c>
      <c r="E1567" s="7" t="s">
        <v>6295</v>
      </c>
      <c r="F1567" s="7" t="s">
        <v>6558</v>
      </c>
      <c r="G1567" s="7" t="s">
        <v>7150</v>
      </c>
      <c r="H1567" s="7" t="s">
        <v>7156</v>
      </c>
      <c r="I1567" s="7" t="s">
        <v>7159</v>
      </c>
      <c r="J1567" s="10">
        <v>46259</v>
      </c>
      <c r="K1567" s="7" t="s">
        <v>7163</v>
      </c>
      <c r="L1567" s="7"/>
      <c r="M1567" s="7"/>
    </row>
    <row r="1568" spans="1:13" x14ac:dyDescent="0.3">
      <c r="A1568" s="7">
        <v>19045</v>
      </c>
      <c r="B1568" s="7" t="s">
        <v>1576</v>
      </c>
      <c r="C1568" s="7" t="s">
        <v>6543</v>
      </c>
      <c r="D1568" s="7" t="s">
        <v>6546</v>
      </c>
      <c r="E1568" s="7" t="s">
        <v>6295</v>
      </c>
      <c r="F1568" s="7" t="s">
        <v>6558</v>
      </c>
      <c r="G1568" s="7" t="s">
        <v>7150</v>
      </c>
      <c r="H1568" s="7" t="s">
        <v>7156</v>
      </c>
      <c r="I1568" s="7" t="s">
        <v>7159</v>
      </c>
      <c r="J1568" s="10">
        <v>46259</v>
      </c>
      <c r="K1568" s="7" t="s">
        <v>7163</v>
      </c>
      <c r="L1568" s="7"/>
      <c r="M1568" s="7"/>
    </row>
    <row r="1569" spans="1:13" x14ac:dyDescent="0.3">
      <c r="A1569" s="7">
        <v>870020</v>
      </c>
      <c r="B1569" s="7" t="s">
        <v>1577</v>
      </c>
      <c r="C1569" s="7" t="s">
        <v>6543</v>
      </c>
      <c r="D1569" s="7" t="s">
        <v>6546</v>
      </c>
      <c r="E1569" s="7" t="s">
        <v>6295</v>
      </c>
      <c r="F1569" s="7" t="s">
        <v>6578</v>
      </c>
      <c r="G1569" s="7" t="s">
        <v>7150</v>
      </c>
      <c r="H1569" s="7" t="s">
        <v>7156</v>
      </c>
      <c r="I1569" s="7"/>
      <c r="J1569" s="10">
        <v>40301</v>
      </c>
      <c r="K1569" s="7" t="s">
        <v>7163</v>
      </c>
      <c r="L1569" s="7"/>
      <c r="M1569" s="7"/>
    </row>
    <row r="1570" spans="1:13" x14ac:dyDescent="0.3">
      <c r="A1570" s="7">
        <v>780012</v>
      </c>
      <c r="B1570" s="7" t="s">
        <v>1578</v>
      </c>
      <c r="C1570" s="7" t="s">
        <v>6543</v>
      </c>
      <c r="D1570" s="7" t="s">
        <v>6546</v>
      </c>
      <c r="E1570" s="7" t="s">
        <v>6295</v>
      </c>
      <c r="F1570" s="7" t="s">
        <v>6578</v>
      </c>
      <c r="G1570" s="7" t="s">
        <v>7150</v>
      </c>
      <c r="H1570" s="7" t="s">
        <v>7156</v>
      </c>
      <c r="I1570" s="7"/>
      <c r="J1570" s="10">
        <v>42060</v>
      </c>
      <c r="K1570" s="7" t="s">
        <v>7163</v>
      </c>
      <c r="L1570" s="7"/>
      <c r="M1570" s="7"/>
    </row>
    <row r="1571" spans="1:13" x14ac:dyDescent="0.3">
      <c r="A1571" s="7">
        <v>15328</v>
      </c>
      <c r="B1571" s="7" t="s">
        <v>1579</v>
      </c>
      <c r="C1571" s="7" t="s">
        <v>6543</v>
      </c>
      <c r="D1571" s="7" t="s">
        <v>6546</v>
      </c>
      <c r="E1571" s="7" t="s">
        <v>6295</v>
      </c>
      <c r="F1571" s="7" t="s">
        <v>6578</v>
      </c>
      <c r="G1571" s="7" t="s">
        <v>7150</v>
      </c>
      <c r="H1571" s="7" t="s">
        <v>7156</v>
      </c>
      <c r="I1571" s="7"/>
      <c r="J1571" s="10">
        <v>45029</v>
      </c>
      <c r="K1571" s="7" t="s">
        <v>7163</v>
      </c>
      <c r="L1571" s="7"/>
      <c r="M1571" s="7"/>
    </row>
    <row r="1572" spans="1:13" x14ac:dyDescent="0.3">
      <c r="A1572" s="7">
        <v>15485</v>
      </c>
      <c r="B1572" s="7" t="s">
        <v>1580</v>
      </c>
      <c r="C1572" s="7" t="s">
        <v>6543</v>
      </c>
      <c r="D1572" s="7" t="s">
        <v>6546</v>
      </c>
      <c r="E1572" s="7" t="s">
        <v>6295</v>
      </c>
      <c r="F1572" s="7" t="s">
        <v>6578</v>
      </c>
      <c r="G1572" s="7" t="s">
        <v>7150</v>
      </c>
      <c r="H1572" s="7" t="s">
        <v>7156</v>
      </c>
      <c r="I1572" s="7"/>
      <c r="J1572" s="10">
        <v>45090</v>
      </c>
      <c r="K1572" s="7" t="s">
        <v>7163</v>
      </c>
      <c r="L1572" s="7"/>
      <c r="M1572" s="7"/>
    </row>
    <row r="1573" spans="1:13" x14ac:dyDescent="0.3">
      <c r="A1573" s="7">
        <v>17976</v>
      </c>
      <c r="B1573" s="7" t="s">
        <v>1581</v>
      </c>
      <c r="C1573" s="7" t="s">
        <v>6543</v>
      </c>
      <c r="D1573" s="7" t="s">
        <v>6546</v>
      </c>
      <c r="E1573" s="7" t="s">
        <v>6295</v>
      </c>
      <c r="F1573" s="7" t="s">
        <v>6578</v>
      </c>
      <c r="G1573" s="7" t="s">
        <v>7150</v>
      </c>
      <c r="H1573" s="7" t="s">
        <v>7156</v>
      </c>
      <c r="I1573" s="7"/>
      <c r="J1573" s="10">
        <v>45944</v>
      </c>
      <c r="K1573" s="7" t="s">
        <v>7163</v>
      </c>
      <c r="L1573" s="7"/>
      <c r="M1573" s="7"/>
    </row>
    <row r="1574" spans="1:13" x14ac:dyDescent="0.3">
      <c r="A1574" s="7">
        <v>18098</v>
      </c>
      <c r="B1574" s="7" t="s">
        <v>1582</v>
      </c>
      <c r="C1574" s="7" t="s">
        <v>6543</v>
      </c>
      <c r="D1574" s="7" t="s">
        <v>6546</v>
      </c>
      <c r="E1574" s="7" t="s">
        <v>6295</v>
      </c>
      <c r="F1574" s="7" t="s">
        <v>6578</v>
      </c>
      <c r="G1574" s="7" t="s">
        <v>7150</v>
      </c>
      <c r="H1574" s="7" t="s">
        <v>7156</v>
      </c>
      <c r="I1574" s="7"/>
      <c r="J1574" s="10">
        <v>45994</v>
      </c>
      <c r="K1574" s="7" t="s">
        <v>7163</v>
      </c>
      <c r="L1574" s="7"/>
      <c r="M1574" s="7"/>
    </row>
    <row r="1575" spans="1:13" x14ac:dyDescent="0.3">
      <c r="A1575" s="7">
        <v>420024</v>
      </c>
      <c r="B1575" s="7" t="s">
        <v>1583</v>
      </c>
      <c r="C1575" s="7" t="s">
        <v>6543</v>
      </c>
      <c r="D1575" s="7" t="s">
        <v>6546</v>
      </c>
      <c r="E1575" s="7" t="s">
        <v>6295</v>
      </c>
      <c r="F1575" s="7" t="s">
        <v>6579</v>
      </c>
      <c r="G1575" s="7" t="s">
        <v>7150</v>
      </c>
      <c r="H1575" s="7" t="s">
        <v>7156</v>
      </c>
      <c r="I1575" s="7"/>
      <c r="J1575" s="10">
        <v>42032</v>
      </c>
      <c r="K1575" s="7" t="s">
        <v>7163</v>
      </c>
      <c r="L1575" s="7"/>
      <c r="M1575" s="7"/>
    </row>
    <row r="1576" spans="1:13" x14ac:dyDescent="0.3">
      <c r="A1576" s="7">
        <v>18353</v>
      </c>
      <c r="B1576" s="7" t="s">
        <v>1584</v>
      </c>
      <c r="C1576" s="7" t="s">
        <v>6543</v>
      </c>
      <c r="D1576" s="7" t="s">
        <v>6546</v>
      </c>
      <c r="E1576" s="7" t="s">
        <v>6295</v>
      </c>
      <c r="F1576" s="7" t="s">
        <v>6579</v>
      </c>
      <c r="G1576" s="7" t="s">
        <v>7150</v>
      </c>
      <c r="H1576" s="7" t="s">
        <v>7156</v>
      </c>
      <c r="I1576" s="7" t="s">
        <v>7159</v>
      </c>
      <c r="J1576" s="10">
        <v>46097</v>
      </c>
      <c r="K1576" s="7" t="s">
        <v>7163</v>
      </c>
      <c r="L1576" s="7"/>
      <c r="M1576" s="7"/>
    </row>
    <row r="1577" spans="1:13" x14ac:dyDescent="0.3">
      <c r="A1577" s="7">
        <v>18355</v>
      </c>
      <c r="B1577" s="7" t="s">
        <v>1585</v>
      </c>
      <c r="C1577" s="7" t="s">
        <v>6543</v>
      </c>
      <c r="D1577" s="7" t="s">
        <v>6546</v>
      </c>
      <c r="E1577" s="7" t="s">
        <v>6295</v>
      </c>
      <c r="F1577" s="7" t="s">
        <v>6579</v>
      </c>
      <c r="G1577" s="7" t="s">
        <v>7150</v>
      </c>
      <c r="H1577" s="7" t="s">
        <v>7156</v>
      </c>
      <c r="I1577" s="7" t="s">
        <v>7159</v>
      </c>
      <c r="J1577" s="10">
        <v>46097</v>
      </c>
      <c r="K1577" s="7" t="s">
        <v>7163</v>
      </c>
      <c r="L1577" s="7"/>
      <c r="M1577" s="7"/>
    </row>
    <row r="1578" spans="1:13" x14ac:dyDescent="0.3">
      <c r="A1578" s="7">
        <v>660022</v>
      </c>
      <c r="B1578" s="7" t="s">
        <v>1586</v>
      </c>
      <c r="C1578" s="7" t="s">
        <v>6543</v>
      </c>
      <c r="D1578" s="7" t="s">
        <v>6546</v>
      </c>
      <c r="E1578" s="7" t="s">
        <v>6295</v>
      </c>
      <c r="F1578" s="7" t="s">
        <v>6579</v>
      </c>
      <c r="G1578" s="7" t="s">
        <v>7150</v>
      </c>
      <c r="H1578" s="7" t="s">
        <v>7156</v>
      </c>
      <c r="I1578" s="7"/>
      <c r="J1578" s="10">
        <v>41999</v>
      </c>
      <c r="K1578" s="7" t="s">
        <v>7163</v>
      </c>
      <c r="L1578" s="7"/>
      <c r="M1578" s="7"/>
    </row>
    <row r="1579" spans="1:13" x14ac:dyDescent="0.3">
      <c r="A1579" s="7">
        <v>11752</v>
      </c>
      <c r="B1579" s="7" t="s">
        <v>1587</v>
      </c>
      <c r="C1579" s="7" t="s">
        <v>6543</v>
      </c>
      <c r="D1579" s="7" t="s">
        <v>6546</v>
      </c>
      <c r="E1579" s="7" t="s">
        <v>6295</v>
      </c>
      <c r="F1579" s="7" t="s">
        <v>6579</v>
      </c>
      <c r="G1579" s="7" t="s">
        <v>7150</v>
      </c>
      <c r="H1579" s="7" t="s">
        <v>7156</v>
      </c>
      <c r="I1579" s="7"/>
      <c r="J1579" s="10">
        <v>43080</v>
      </c>
      <c r="K1579" s="7" t="s">
        <v>7163</v>
      </c>
      <c r="L1579" s="7"/>
      <c r="M1579" s="7"/>
    </row>
    <row r="1580" spans="1:13" x14ac:dyDescent="0.3">
      <c r="A1580" s="7">
        <v>11871</v>
      </c>
      <c r="B1580" s="7" t="s">
        <v>1588</v>
      </c>
      <c r="C1580" s="7" t="s">
        <v>6543</v>
      </c>
      <c r="D1580" s="7" t="s">
        <v>6546</v>
      </c>
      <c r="E1580" s="7" t="s">
        <v>6295</v>
      </c>
      <c r="F1580" s="7" t="s">
        <v>6579</v>
      </c>
      <c r="G1580" s="7" t="s">
        <v>7150</v>
      </c>
      <c r="H1580" s="7" t="s">
        <v>7156</v>
      </c>
      <c r="I1580" s="7"/>
      <c r="J1580" s="10">
        <v>43227</v>
      </c>
      <c r="K1580" s="7" t="s">
        <v>7163</v>
      </c>
      <c r="L1580" s="7"/>
      <c r="M1580" s="7"/>
    </row>
    <row r="1581" spans="1:13" x14ac:dyDescent="0.3">
      <c r="A1581" s="7">
        <v>420025</v>
      </c>
      <c r="B1581" s="7" t="s">
        <v>1589</v>
      </c>
      <c r="C1581" s="7" t="s">
        <v>6543</v>
      </c>
      <c r="D1581" s="7" t="s">
        <v>6546</v>
      </c>
      <c r="E1581" s="7" t="s">
        <v>6295</v>
      </c>
      <c r="F1581" s="7" t="s">
        <v>6579</v>
      </c>
      <c r="G1581" s="7" t="s">
        <v>7150</v>
      </c>
      <c r="H1581" s="7" t="s">
        <v>7156</v>
      </c>
      <c r="I1581" s="7"/>
      <c r="J1581" s="10">
        <v>42114</v>
      </c>
      <c r="K1581" s="7" t="s">
        <v>7163</v>
      </c>
      <c r="L1581" s="7"/>
      <c r="M1581" s="7"/>
    </row>
    <row r="1582" spans="1:13" x14ac:dyDescent="0.3">
      <c r="A1582" s="7">
        <v>830002</v>
      </c>
      <c r="B1582" s="7" t="s">
        <v>1590</v>
      </c>
      <c r="C1582" s="7" t="s">
        <v>6543</v>
      </c>
      <c r="D1582" s="7" t="s">
        <v>6546</v>
      </c>
      <c r="E1582" s="7" t="s">
        <v>6295</v>
      </c>
      <c r="F1582" s="7" t="s">
        <v>6579</v>
      </c>
      <c r="G1582" s="7" t="s">
        <v>7150</v>
      </c>
      <c r="H1582" s="7" t="s">
        <v>7156</v>
      </c>
      <c r="I1582" s="7"/>
      <c r="J1582" s="10">
        <v>39572</v>
      </c>
      <c r="K1582" s="7" t="s">
        <v>7163</v>
      </c>
      <c r="L1582" s="7"/>
      <c r="M1582" s="7"/>
    </row>
    <row r="1583" spans="1:13" x14ac:dyDescent="0.3">
      <c r="A1583" s="7">
        <v>660012</v>
      </c>
      <c r="B1583" s="7" t="s">
        <v>1591</v>
      </c>
      <c r="C1583" s="7" t="s">
        <v>6543</v>
      </c>
      <c r="D1583" s="7" t="s">
        <v>6546</v>
      </c>
      <c r="E1583" s="7" t="s">
        <v>6295</v>
      </c>
      <c r="F1583" s="7" t="s">
        <v>6579</v>
      </c>
      <c r="G1583" s="7" t="s">
        <v>7150</v>
      </c>
      <c r="H1583" s="7" t="s">
        <v>7156</v>
      </c>
      <c r="I1583" s="7"/>
      <c r="J1583" s="10">
        <v>41229</v>
      </c>
      <c r="K1583" s="7" t="s">
        <v>7163</v>
      </c>
      <c r="L1583" s="7"/>
      <c r="M1583" s="7"/>
    </row>
    <row r="1584" spans="1:13" x14ac:dyDescent="0.3">
      <c r="A1584" s="7">
        <v>11751</v>
      </c>
      <c r="B1584" s="7" t="s">
        <v>1592</v>
      </c>
      <c r="C1584" s="7" t="s">
        <v>6543</v>
      </c>
      <c r="D1584" s="7" t="s">
        <v>6546</v>
      </c>
      <c r="E1584" s="7" t="s">
        <v>6295</v>
      </c>
      <c r="F1584" s="7" t="s">
        <v>6579</v>
      </c>
      <c r="G1584" s="7" t="s">
        <v>7150</v>
      </c>
      <c r="H1584" s="7" t="s">
        <v>7156</v>
      </c>
      <c r="I1584" s="7"/>
      <c r="J1584" s="10">
        <v>43080</v>
      </c>
      <c r="K1584" s="7" t="s">
        <v>7163</v>
      </c>
      <c r="L1584" s="7"/>
      <c r="M1584" s="7"/>
    </row>
    <row r="1585" spans="1:13" x14ac:dyDescent="0.3">
      <c r="A1585" s="7">
        <v>15869</v>
      </c>
      <c r="B1585" s="7" t="s">
        <v>1593</v>
      </c>
      <c r="C1585" s="7" t="s">
        <v>6543</v>
      </c>
      <c r="D1585" s="7" t="s">
        <v>6546</v>
      </c>
      <c r="E1585" s="7" t="s">
        <v>6295</v>
      </c>
      <c r="F1585" s="7" t="s">
        <v>6579</v>
      </c>
      <c r="G1585" s="7" t="s">
        <v>7150</v>
      </c>
      <c r="H1585" s="7" t="s">
        <v>7156</v>
      </c>
      <c r="I1585" s="7"/>
      <c r="J1585" s="10">
        <v>45223</v>
      </c>
      <c r="K1585" s="7" t="s">
        <v>7163</v>
      </c>
      <c r="L1585" s="7"/>
      <c r="M1585" s="7"/>
    </row>
    <row r="1586" spans="1:13" x14ac:dyDescent="0.3">
      <c r="A1586" s="7">
        <v>17626</v>
      </c>
      <c r="B1586" s="7" t="s">
        <v>1594</v>
      </c>
      <c r="C1586" s="7" t="s">
        <v>6543</v>
      </c>
      <c r="D1586" s="7" t="s">
        <v>6546</v>
      </c>
      <c r="E1586" s="7" t="s">
        <v>6295</v>
      </c>
      <c r="F1586" s="7" t="s">
        <v>6579</v>
      </c>
      <c r="G1586" s="7" t="s">
        <v>7150</v>
      </c>
      <c r="H1586" s="7" t="s">
        <v>7156</v>
      </c>
      <c r="I1586" s="7"/>
      <c r="J1586" s="10">
        <v>45818</v>
      </c>
      <c r="K1586" s="7" t="s">
        <v>7163</v>
      </c>
      <c r="L1586" s="7"/>
      <c r="M1586" s="7"/>
    </row>
    <row r="1587" spans="1:13" x14ac:dyDescent="0.3">
      <c r="A1587" s="7">
        <v>18009</v>
      </c>
      <c r="B1587" s="7" t="s">
        <v>1595</v>
      </c>
      <c r="C1587" s="7" t="s">
        <v>6543</v>
      </c>
      <c r="D1587" s="7" t="s">
        <v>6546</v>
      </c>
      <c r="E1587" s="7" t="s">
        <v>6295</v>
      </c>
      <c r="F1587" s="7" t="s">
        <v>6579</v>
      </c>
      <c r="G1587" s="7" t="s">
        <v>7150</v>
      </c>
      <c r="H1587" s="7" t="s">
        <v>7156</v>
      </c>
      <c r="I1587" s="7"/>
      <c r="J1587" s="10">
        <v>45958</v>
      </c>
      <c r="K1587" s="7" t="s">
        <v>7163</v>
      </c>
      <c r="L1587" s="7"/>
      <c r="M1587" s="7"/>
    </row>
    <row r="1588" spans="1:13" x14ac:dyDescent="0.3">
      <c r="A1588" s="7">
        <v>19131</v>
      </c>
      <c r="B1588" s="7" t="s">
        <v>1596</v>
      </c>
      <c r="C1588" s="7" t="s">
        <v>6543</v>
      </c>
      <c r="D1588" s="7" t="s">
        <v>6546</v>
      </c>
      <c r="E1588" s="7" t="s">
        <v>6295</v>
      </c>
      <c r="F1588" s="7" t="s">
        <v>6580</v>
      </c>
      <c r="G1588" s="7" t="s">
        <v>7150</v>
      </c>
      <c r="H1588" s="7" t="s">
        <v>7156</v>
      </c>
      <c r="I1588" s="7" t="s">
        <v>7159</v>
      </c>
      <c r="J1588" s="10">
        <v>46273</v>
      </c>
      <c r="K1588" s="7" t="s">
        <v>7163</v>
      </c>
      <c r="L1588" s="7"/>
      <c r="M1588" s="7"/>
    </row>
    <row r="1589" spans="1:13" x14ac:dyDescent="0.3">
      <c r="A1589" s="7">
        <v>12443</v>
      </c>
      <c r="B1589" s="7" t="s">
        <v>1597</v>
      </c>
      <c r="C1589" s="7" t="s">
        <v>6543</v>
      </c>
      <c r="D1589" s="7" t="s">
        <v>6546</v>
      </c>
      <c r="E1589" s="7" t="s">
        <v>6295</v>
      </c>
      <c r="F1589" s="7" t="s">
        <v>6581</v>
      </c>
      <c r="G1589" s="7" t="s">
        <v>7150</v>
      </c>
      <c r="H1589" s="7" t="s">
        <v>7156</v>
      </c>
      <c r="I1589" s="7"/>
      <c r="J1589" s="10">
        <v>43755</v>
      </c>
      <c r="K1589" s="7" t="s">
        <v>7163</v>
      </c>
      <c r="L1589" s="7"/>
      <c r="M1589" s="7"/>
    </row>
    <row r="1590" spans="1:13" x14ac:dyDescent="0.3">
      <c r="A1590" s="7">
        <v>19035</v>
      </c>
      <c r="B1590" s="7" t="s">
        <v>1598</v>
      </c>
      <c r="C1590" s="7" t="s">
        <v>6543</v>
      </c>
      <c r="D1590" s="7" t="s">
        <v>6546</v>
      </c>
      <c r="E1590" s="7" t="s">
        <v>6295</v>
      </c>
      <c r="F1590" s="7" t="s">
        <v>6582</v>
      </c>
      <c r="G1590" s="7" t="s">
        <v>7150</v>
      </c>
      <c r="H1590" s="7" t="s">
        <v>7156</v>
      </c>
      <c r="I1590" s="7" t="s">
        <v>7159</v>
      </c>
      <c r="J1590" s="10">
        <v>46259</v>
      </c>
      <c r="K1590" s="7" t="s">
        <v>7163</v>
      </c>
      <c r="L1590" s="7"/>
      <c r="M1590" s="7"/>
    </row>
    <row r="1591" spans="1:13" x14ac:dyDescent="0.3">
      <c r="A1591" s="7">
        <v>19036</v>
      </c>
      <c r="B1591" s="7" t="s">
        <v>1599</v>
      </c>
      <c r="C1591" s="7" t="s">
        <v>6543</v>
      </c>
      <c r="D1591" s="7" t="s">
        <v>6546</v>
      </c>
      <c r="E1591" s="7" t="s">
        <v>6295</v>
      </c>
      <c r="F1591" s="7" t="s">
        <v>6582</v>
      </c>
      <c r="G1591" s="7" t="s">
        <v>7150</v>
      </c>
      <c r="H1591" s="7" t="s">
        <v>7156</v>
      </c>
      <c r="I1591" s="7" t="s">
        <v>7159</v>
      </c>
      <c r="J1591" s="10">
        <v>46259</v>
      </c>
      <c r="K1591" s="7" t="s">
        <v>7163</v>
      </c>
      <c r="L1591" s="7"/>
      <c r="M1591" s="7"/>
    </row>
    <row r="1592" spans="1:13" x14ac:dyDescent="0.3">
      <c r="A1592" s="7">
        <v>19041</v>
      </c>
      <c r="B1592" s="7" t="s">
        <v>1600</v>
      </c>
      <c r="C1592" s="7" t="s">
        <v>6543</v>
      </c>
      <c r="D1592" s="7" t="s">
        <v>6546</v>
      </c>
      <c r="E1592" s="7" t="s">
        <v>6295</v>
      </c>
      <c r="F1592" s="7" t="s">
        <v>6582</v>
      </c>
      <c r="G1592" s="7" t="s">
        <v>7150</v>
      </c>
      <c r="H1592" s="7" t="s">
        <v>7156</v>
      </c>
      <c r="I1592" s="7" t="s">
        <v>7159</v>
      </c>
      <c r="J1592" s="10">
        <v>46259</v>
      </c>
      <c r="K1592" s="7" t="s">
        <v>7163</v>
      </c>
      <c r="L1592" s="7"/>
      <c r="M1592" s="7"/>
    </row>
    <row r="1593" spans="1:13" x14ac:dyDescent="0.3">
      <c r="A1593" s="7">
        <v>19043</v>
      </c>
      <c r="B1593" s="7" t="s">
        <v>1601</v>
      </c>
      <c r="C1593" s="7" t="s">
        <v>6543</v>
      </c>
      <c r="D1593" s="7" t="s">
        <v>6546</v>
      </c>
      <c r="E1593" s="7" t="s">
        <v>6295</v>
      </c>
      <c r="F1593" s="7" t="s">
        <v>6582</v>
      </c>
      <c r="G1593" s="7" t="s">
        <v>7150</v>
      </c>
      <c r="H1593" s="7" t="s">
        <v>7156</v>
      </c>
      <c r="I1593" s="7" t="s">
        <v>7159</v>
      </c>
      <c r="J1593" s="10">
        <v>46259</v>
      </c>
      <c r="K1593" s="7" t="s">
        <v>7163</v>
      </c>
      <c r="L1593" s="7"/>
      <c r="M1593" s="7"/>
    </row>
    <row r="1594" spans="1:13" x14ac:dyDescent="0.3">
      <c r="A1594" s="7">
        <v>19046</v>
      </c>
      <c r="B1594" s="7" t="s">
        <v>1602</v>
      </c>
      <c r="C1594" s="7" t="s">
        <v>6543</v>
      </c>
      <c r="D1594" s="7" t="s">
        <v>6546</v>
      </c>
      <c r="E1594" s="7" t="s">
        <v>6295</v>
      </c>
      <c r="F1594" s="7" t="s">
        <v>6582</v>
      </c>
      <c r="G1594" s="7" t="s">
        <v>7150</v>
      </c>
      <c r="H1594" s="7" t="s">
        <v>7156</v>
      </c>
      <c r="I1594" s="7" t="s">
        <v>7159</v>
      </c>
      <c r="J1594" s="10">
        <v>46259</v>
      </c>
      <c r="K1594" s="7" t="s">
        <v>7163</v>
      </c>
      <c r="L1594" s="7"/>
      <c r="M1594" s="7"/>
    </row>
    <row r="1595" spans="1:13" x14ac:dyDescent="0.3">
      <c r="A1595" s="7">
        <v>19047</v>
      </c>
      <c r="B1595" s="7" t="s">
        <v>1603</v>
      </c>
      <c r="C1595" s="7" t="s">
        <v>6543</v>
      </c>
      <c r="D1595" s="7" t="s">
        <v>6546</v>
      </c>
      <c r="E1595" s="7" t="s">
        <v>6295</v>
      </c>
      <c r="F1595" s="7" t="s">
        <v>6582</v>
      </c>
      <c r="G1595" s="7" t="s">
        <v>7150</v>
      </c>
      <c r="H1595" s="7" t="s">
        <v>7156</v>
      </c>
      <c r="I1595" s="7" t="s">
        <v>7159</v>
      </c>
      <c r="J1595" s="10">
        <v>46259</v>
      </c>
      <c r="K1595" s="7" t="s">
        <v>7163</v>
      </c>
      <c r="L1595" s="7"/>
      <c r="M1595" s="7"/>
    </row>
    <row r="1596" spans="1:13" x14ac:dyDescent="0.3">
      <c r="A1596" s="7">
        <v>19078</v>
      </c>
      <c r="B1596" s="7" t="s">
        <v>1604</v>
      </c>
      <c r="C1596" s="7" t="s">
        <v>6543</v>
      </c>
      <c r="D1596" s="7" t="s">
        <v>6546</v>
      </c>
      <c r="E1596" s="7" t="s">
        <v>6295</v>
      </c>
      <c r="F1596" s="7" t="s">
        <v>6582</v>
      </c>
      <c r="G1596" s="7" t="s">
        <v>7150</v>
      </c>
      <c r="H1596" s="7" t="s">
        <v>7156</v>
      </c>
      <c r="I1596" s="7" t="s">
        <v>7159</v>
      </c>
      <c r="J1596" s="10">
        <v>46261</v>
      </c>
      <c r="K1596" s="7" t="s">
        <v>7163</v>
      </c>
      <c r="L1596" s="7"/>
      <c r="M1596" s="7"/>
    </row>
    <row r="1597" spans="1:13" x14ac:dyDescent="0.3">
      <c r="A1597" s="7">
        <v>19136</v>
      </c>
      <c r="B1597" s="7" t="s">
        <v>1605</v>
      </c>
      <c r="C1597" s="7" t="s">
        <v>6543</v>
      </c>
      <c r="D1597" s="7" t="s">
        <v>6546</v>
      </c>
      <c r="E1597" s="7" t="s">
        <v>6295</v>
      </c>
      <c r="F1597" s="7" t="s">
        <v>6582</v>
      </c>
      <c r="G1597" s="7" t="s">
        <v>7150</v>
      </c>
      <c r="H1597" s="7" t="s">
        <v>7156</v>
      </c>
      <c r="I1597" s="7" t="s">
        <v>7159</v>
      </c>
      <c r="J1597" s="10">
        <v>46268</v>
      </c>
      <c r="K1597" s="7" t="s">
        <v>7163</v>
      </c>
      <c r="L1597" s="7"/>
      <c r="M1597" s="7"/>
    </row>
    <row r="1598" spans="1:13" x14ac:dyDescent="0.3">
      <c r="A1598" s="7">
        <v>12444</v>
      </c>
      <c r="B1598" s="7" t="s">
        <v>1606</v>
      </c>
      <c r="C1598" s="7" t="s">
        <v>6543</v>
      </c>
      <c r="D1598" s="7" t="s">
        <v>6546</v>
      </c>
      <c r="E1598" s="7" t="s">
        <v>6295</v>
      </c>
      <c r="F1598" s="7" t="s">
        <v>6581</v>
      </c>
      <c r="G1598" s="7" t="s">
        <v>7150</v>
      </c>
      <c r="H1598" s="7" t="s">
        <v>7156</v>
      </c>
      <c r="I1598" s="7"/>
      <c r="J1598" s="10">
        <v>43755</v>
      </c>
      <c r="K1598" s="7" t="s">
        <v>7163</v>
      </c>
      <c r="L1598" s="7"/>
      <c r="M1598" s="7"/>
    </row>
    <row r="1599" spans="1:13" x14ac:dyDescent="0.3">
      <c r="A1599" s="7">
        <v>12445</v>
      </c>
      <c r="B1599" s="7" t="s">
        <v>1607</v>
      </c>
      <c r="C1599" s="7" t="s">
        <v>6543</v>
      </c>
      <c r="D1599" s="7" t="s">
        <v>6546</v>
      </c>
      <c r="E1599" s="7" t="s">
        <v>6295</v>
      </c>
      <c r="F1599" s="7" t="s">
        <v>6581</v>
      </c>
      <c r="G1599" s="7" t="s">
        <v>7150</v>
      </c>
      <c r="H1599" s="7" t="s">
        <v>7156</v>
      </c>
      <c r="I1599" s="7"/>
      <c r="J1599" s="10">
        <v>43755</v>
      </c>
      <c r="K1599" s="7" t="s">
        <v>7163</v>
      </c>
      <c r="L1599" s="7"/>
      <c r="M1599" s="7"/>
    </row>
    <row r="1600" spans="1:13" x14ac:dyDescent="0.3">
      <c r="A1600" s="7">
        <v>12447</v>
      </c>
      <c r="B1600" s="7" t="s">
        <v>1608</v>
      </c>
      <c r="C1600" s="7" t="s">
        <v>6543</v>
      </c>
      <c r="D1600" s="7" t="s">
        <v>6546</v>
      </c>
      <c r="E1600" s="7" t="s">
        <v>6295</v>
      </c>
      <c r="F1600" s="7" t="s">
        <v>6581</v>
      </c>
      <c r="G1600" s="7" t="s">
        <v>7150</v>
      </c>
      <c r="H1600" s="7" t="s">
        <v>7156</v>
      </c>
      <c r="I1600" s="7"/>
      <c r="J1600" s="10">
        <v>43755</v>
      </c>
      <c r="K1600" s="7" t="s">
        <v>7163</v>
      </c>
      <c r="L1600" s="7"/>
      <c r="M1600" s="7"/>
    </row>
    <row r="1601" spans="1:13" x14ac:dyDescent="0.3">
      <c r="A1601" s="7">
        <v>12449</v>
      </c>
      <c r="B1601" s="7" t="s">
        <v>1609</v>
      </c>
      <c r="C1601" s="7" t="s">
        <v>6543</v>
      </c>
      <c r="D1601" s="7" t="s">
        <v>6546</v>
      </c>
      <c r="E1601" s="7" t="s">
        <v>6295</v>
      </c>
      <c r="F1601" s="7" t="s">
        <v>6581</v>
      </c>
      <c r="G1601" s="7" t="s">
        <v>7150</v>
      </c>
      <c r="H1601" s="7" t="s">
        <v>7156</v>
      </c>
      <c r="I1601" s="7"/>
      <c r="J1601" s="10">
        <v>43755</v>
      </c>
      <c r="K1601" s="7" t="s">
        <v>7163</v>
      </c>
      <c r="L1601" s="7"/>
      <c r="M1601" s="7"/>
    </row>
    <row r="1602" spans="1:13" x14ac:dyDescent="0.3">
      <c r="A1602" s="7">
        <v>12450</v>
      </c>
      <c r="B1602" s="7" t="s">
        <v>1610</v>
      </c>
      <c r="C1602" s="7" t="s">
        <v>6543</v>
      </c>
      <c r="D1602" s="7" t="s">
        <v>6546</v>
      </c>
      <c r="E1602" s="7" t="s">
        <v>6295</v>
      </c>
      <c r="F1602" s="7" t="s">
        <v>6581</v>
      </c>
      <c r="G1602" s="7" t="s">
        <v>7150</v>
      </c>
      <c r="H1602" s="7" t="s">
        <v>7156</v>
      </c>
      <c r="I1602" s="7"/>
      <c r="J1602" s="10">
        <v>43755</v>
      </c>
      <c r="K1602" s="7" t="s">
        <v>7163</v>
      </c>
      <c r="L1602" s="7"/>
      <c r="M1602" s="7"/>
    </row>
    <row r="1603" spans="1:13" x14ac:dyDescent="0.3">
      <c r="A1603" s="7">
        <v>16111</v>
      </c>
      <c r="B1603" s="7" t="s">
        <v>1611</v>
      </c>
      <c r="C1603" s="7" t="s">
        <v>6543</v>
      </c>
      <c r="D1603" s="7" t="s">
        <v>6546</v>
      </c>
      <c r="E1603" s="7" t="s">
        <v>6295</v>
      </c>
      <c r="F1603" s="7" t="s">
        <v>6581</v>
      </c>
      <c r="G1603" s="7" t="s">
        <v>7150</v>
      </c>
      <c r="H1603" s="7" t="s">
        <v>7156</v>
      </c>
      <c r="I1603" s="7"/>
      <c r="J1603" s="10">
        <v>45282</v>
      </c>
      <c r="K1603" s="7" t="s">
        <v>7163</v>
      </c>
      <c r="L1603" s="7"/>
      <c r="M1603" s="7"/>
    </row>
    <row r="1604" spans="1:13" x14ac:dyDescent="0.3">
      <c r="A1604" s="7">
        <v>16863</v>
      </c>
      <c r="B1604" s="7" t="s">
        <v>1612</v>
      </c>
      <c r="C1604" s="7" t="s">
        <v>6543</v>
      </c>
      <c r="D1604" s="7" t="s">
        <v>6546</v>
      </c>
      <c r="E1604" s="7" t="s">
        <v>6295</v>
      </c>
      <c r="F1604" s="7" t="s">
        <v>6581</v>
      </c>
      <c r="G1604" s="7" t="s">
        <v>7150</v>
      </c>
      <c r="H1604" s="7" t="s">
        <v>7156</v>
      </c>
      <c r="I1604" s="7"/>
      <c r="J1604" s="10">
        <v>45569</v>
      </c>
      <c r="K1604" s="7" t="s">
        <v>7163</v>
      </c>
      <c r="L1604" s="7"/>
      <c r="M1604" s="7"/>
    </row>
    <row r="1605" spans="1:13" x14ac:dyDescent="0.3">
      <c r="A1605" s="7">
        <v>17822</v>
      </c>
      <c r="B1605" s="7" t="s">
        <v>1613</v>
      </c>
      <c r="C1605" s="7" t="s">
        <v>6543</v>
      </c>
      <c r="D1605" s="7" t="s">
        <v>6546</v>
      </c>
      <c r="E1605" s="7" t="s">
        <v>6295</v>
      </c>
      <c r="F1605" s="7" t="s">
        <v>6581</v>
      </c>
      <c r="G1605" s="7" t="s">
        <v>7150</v>
      </c>
      <c r="H1605" s="7" t="s">
        <v>7156</v>
      </c>
      <c r="I1605" s="7"/>
      <c r="J1605" s="10">
        <v>45887</v>
      </c>
      <c r="K1605" s="7" t="s">
        <v>7163</v>
      </c>
      <c r="L1605" s="7"/>
      <c r="M1605" s="7"/>
    </row>
    <row r="1606" spans="1:13" x14ac:dyDescent="0.3">
      <c r="A1606" s="7">
        <v>18744</v>
      </c>
      <c r="B1606" s="7" t="s">
        <v>1614</v>
      </c>
      <c r="C1606" s="7" t="s">
        <v>6543</v>
      </c>
      <c r="D1606" s="7" t="s">
        <v>6546</v>
      </c>
      <c r="E1606" s="7" t="s">
        <v>6295</v>
      </c>
      <c r="F1606" s="7" t="s">
        <v>6583</v>
      </c>
      <c r="G1606" s="7" t="s">
        <v>7150</v>
      </c>
      <c r="H1606" s="7" t="s">
        <v>7156</v>
      </c>
      <c r="I1606" s="7" t="s">
        <v>7159</v>
      </c>
      <c r="J1606" s="10">
        <v>46198</v>
      </c>
      <c r="K1606" s="7" t="s">
        <v>7163</v>
      </c>
      <c r="L1606" s="7"/>
      <c r="M1606" s="7"/>
    </row>
    <row r="1607" spans="1:13" x14ac:dyDescent="0.3">
      <c r="A1607" s="7">
        <v>18742</v>
      </c>
      <c r="B1607" s="7" t="s">
        <v>1615</v>
      </c>
      <c r="C1607" s="7" t="s">
        <v>6543</v>
      </c>
      <c r="D1607" s="7" t="s">
        <v>6546</v>
      </c>
      <c r="E1607" s="7" t="s">
        <v>6295</v>
      </c>
      <c r="F1607" s="7" t="s">
        <v>6583</v>
      </c>
      <c r="G1607" s="7" t="s">
        <v>7150</v>
      </c>
      <c r="H1607" s="7" t="s">
        <v>7156</v>
      </c>
      <c r="I1607" s="7" t="s">
        <v>7159</v>
      </c>
      <c r="J1607" s="10">
        <v>46198</v>
      </c>
      <c r="K1607" s="7" t="s">
        <v>7163</v>
      </c>
      <c r="L1607" s="7"/>
      <c r="M1607" s="7"/>
    </row>
    <row r="1608" spans="1:13" x14ac:dyDescent="0.3">
      <c r="A1608" s="7">
        <v>18743</v>
      </c>
      <c r="B1608" s="7" t="s">
        <v>1616</v>
      </c>
      <c r="C1608" s="7" t="s">
        <v>6543</v>
      </c>
      <c r="D1608" s="7" t="s">
        <v>6546</v>
      </c>
      <c r="E1608" s="7" t="s">
        <v>6295</v>
      </c>
      <c r="F1608" s="7" t="s">
        <v>6583</v>
      </c>
      <c r="G1608" s="7" t="s">
        <v>7150</v>
      </c>
      <c r="H1608" s="7" t="s">
        <v>7156</v>
      </c>
      <c r="I1608" s="7" t="s">
        <v>7159</v>
      </c>
      <c r="J1608" s="10">
        <v>46198</v>
      </c>
      <c r="K1608" s="7" t="s">
        <v>7163</v>
      </c>
      <c r="L1608" s="7"/>
      <c r="M1608" s="7"/>
    </row>
    <row r="1609" spans="1:13" x14ac:dyDescent="0.3">
      <c r="A1609" s="7">
        <v>760002</v>
      </c>
      <c r="B1609" s="7" t="s">
        <v>1617</v>
      </c>
      <c r="C1609" s="7" t="s">
        <v>6543</v>
      </c>
      <c r="D1609" s="7" t="s">
        <v>6546</v>
      </c>
      <c r="E1609" s="7" t="s">
        <v>6295</v>
      </c>
      <c r="F1609" s="7" t="s">
        <v>6584</v>
      </c>
      <c r="G1609" s="7" t="s">
        <v>7150</v>
      </c>
      <c r="H1609" s="7" t="s">
        <v>7156</v>
      </c>
      <c r="I1609" s="7"/>
      <c r="J1609" s="10">
        <v>36713</v>
      </c>
      <c r="K1609" s="7" t="s">
        <v>7163</v>
      </c>
      <c r="L1609" s="7"/>
      <c r="M1609" s="7"/>
    </row>
    <row r="1610" spans="1:13" x14ac:dyDescent="0.3">
      <c r="A1610" s="7">
        <v>770024</v>
      </c>
      <c r="B1610" s="7" t="s">
        <v>1618</v>
      </c>
      <c r="C1610" s="7" t="s">
        <v>6543</v>
      </c>
      <c r="D1610" s="7" t="s">
        <v>6546</v>
      </c>
      <c r="E1610" s="7" t="s">
        <v>6295</v>
      </c>
      <c r="F1610" s="7" t="s">
        <v>6584</v>
      </c>
      <c r="G1610" s="7" t="s">
        <v>7150</v>
      </c>
      <c r="H1610" s="7" t="s">
        <v>7156</v>
      </c>
      <c r="I1610" s="7"/>
      <c r="J1610" s="10">
        <v>43661</v>
      </c>
      <c r="K1610" s="7" t="s">
        <v>7163</v>
      </c>
      <c r="L1610" s="7"/>
      <c r="M1610" s="7"/>
    </row>
    <row r="1611" spans="1:13" x14ac:dyDescent="0.3">
      <c r="A1611" s="7">
        <v>740015</v>
      </c>
      <c r="B1611" s="7" t="s">
        <v>1619</v>
      </c>
      <c r="C1611" s="7" t="s">
        <v>6543</v>
      </c>
      <c r="D1611" s="7" t="s">
        <v>6546</v>
      </c>
      <c r="E1611" s="7" t="s">
        <v>6295</v>
      </c>
      <c r="F1611" s="7" t="s">
        <v>6584</v>
      </c>
      <c r="G1611" s="7" t="s">
        <v>7150</v>
      </c>
      <c r="H1611" s="7" t="s">
        <v>7156</v>
      </c>
      <c r="I1611" s="7"/>
      <c r="J1611" s="10">
        <v>41995</v>
      </c>
      <c r="K1611" s="7" t="s">
        <v>7163</v>
      </c>
      <c r="L1611" s="7"/>
      <c r="M1611" s="7"/>
    </row>
    <row r="1612" spans="1:13" x14ac:dyDescent="0.3">
      <c r="A1612" s="7">
        <v>18719</v>
      </c>
      <c r="B1612" s="7" t="s">
        <v>1620</v>
      </c>
      <c r="C1612" s="7" t="s">
        <v>6543</v>
      </c>
      <c r="D1612" s="7" t="s">
        <v>6546</v>
      </c>
      <c r="E1612" s="7" t="s">
        <v>6295</v>
      </c>
      <c r="F1612" s="7" t="s">
        <v>6584</v>
      </c>
      <c r="G1612" s="7" t="s">
        <v>7150</v>
      </c>
      <c r="H1612" s="7" t="s">
        <v>7156</v>
      </c>
      <c r="I1612" s="7"/>
      <c r="J1612" s="10">
        <v>46197</v>
      </c>
      <c r="K1612" s="7" t="s">
        <v>7163</v>
      </c>
      <c r="L1612" s="7"/>
      <c r="M1612" s="7"/>
    </row>
    <row r="1613" spans="1:13" x14ac:dyDescent="0.3">
      <c r="A1613" s="7">
        <v>19302</v>
      </c>
      <c r="B1613" s="7" t="s">
        <v>1621</v>
      </c>
      <c r="C1613" s="7" t="s">
        <v>6543</v>
      </c>
      <c r="D1613" s="7" t="s">
        <v>6546</v>
      </c>
      <c r="E1613" s="7" t="s">
        <v>6295</v>
      </c>
      <c r="F1613" s="7" t="s">
        <v>6585</v>
      </c>
      <c r="G1613" s="7" t="s">
        <v>7150</v>
      </c>
      <c r="H1613" s="7" t="s">
        <v>7156</v>
      </c>
      <c r="I1613" s="7" t="s">
        <v>7159</v>
      </c>
      <c r="J1613" s="10">
        <v>46297</v>
      </c>
      <c r="K1613" s="7" t="s">
        <v>7163</v>
      </c>
      <c r="L1613" s="7"/>
      <c r="M1613" s="7"/>
    </row>
    <row r="1614" spans="1:13" x14ac:dyDescent="0.3">
      <c r="A1614" s="7">
        <v>750007</v>
      </c>
      <c r="B1614" s="7" t="s">
        <v>1622</v>
      </c>
      <c r="C1614" s="7" t="s">
        <v>6543</v>
      </c>
      <c r="D1614" s="7" t="s">
        <v>6546</v>
      </c>
      <c r="E1614" s="7" t="s">
        <v>6295</v>
      </c>
      <c r="F1614" s="7" t="s">
        <v>6584</v>
      </c>
      <c r="G1614" s="7" t="s">
        <v>7150</v>
      </c>
      <c r="H1614" s="7" t="s">
        <v>7156</v>
      </c>
      <c r="I1614" s="7"/>
      <c r="J1614" s="10">
        <v>41030</v>
      </c>
      <c r="K1614" s="7" t="s">
        <v>7163</v>
      </c>
      <c r="L1614" s="7"/>
      <c r="M1614" s="7"/>
    </row>
    <row r="1615" spans="1:13" x14ac:dyDescent="0.3">
      <c r="A1615" s="7">
        <v>13134</v>
      </c>
      <c r="B1615" s="7" t="s">
        <v>1623</v>
      </c>
      <c r="C1615" s="7" t="s">
        <v>6543</v>
      </c>
      <c r="D1615" s="7" t="s">
        <v>6546</v>
      </c>
      <c r="E1615" s="7" t="s">
        <v>6295</v>
      </c>
      <c r="F1615" s="7" t="s">
        <v>6584</v>
      </c>
      <c r="G1615" s="7" t="s">
        <v>7150</v>
      </c>
      <c r="H1615" s="7" t="s">
        <v>7156</v>
      </c>
      <c r="I1615" s="7"/>
      <c r="J1615" s="10">
        <v>44284</v>
      </c>
      <c r="K1615" s="7" t="s">
        <v>7163</v>
      </c>
      <c r="L1615" s="7"/>
      <c r="M1615" s="7"/>
    </row>
    <row r="1616" spans="1:13" x14ac:dyDescent="0.3">
      <c r="A1616" s="7">
        <v>15968</v>
      </c>
      <c r="B1616" s="7" t="s">
        <v>1624</v>
      </c>
      <c r="C1616" s="7" t="s">
        <v>6543</v>
      </c>
      <c r="D1616" s="7" t="s">
        <v>6546</v>
      </c>
      <c r="E1616" s="7" t="s">
        <v>6295</v>
      </c>
      <c r="F1616" s="7" t="s">
        <v>6584</v>
      </c>
      <c r="G1616" s="7" t="s">
        <v>7150</v>
      </c>
      <c r="H1616" s="7" t="s">
        <v>7156</v>
      </c>
      <c r="I1616" s="7"/>
      <c r="J1616" s="10">
        <v>45253</v>
      </c>
      <c r="K1616" s="7" t="s">
        <v>7163</v>
      </c>
      <c r="L1616" s="7"/>
      <c r="M1616" s="7"/>
    </row>
    <row r="1617" spans="1:13" x14ac:dyDescent="0.3">
      <c r="A1617" s="7">
        <v>19034</v>
      </c>
      <c r="B1617" s="7" t="s">
        <v>1625</v>
      </c>
      <c r="C1617" s="7" t="s">
        <v>6543</v>
      </c>
      <c r="D1617" s="7" t="s">
        <v>6546</v>
      </c>
      <c r="E1617" s="7" t="s">
        <v>6295</v>
      </c>
      <c r="F1617" s="7" t="s">
        <v>6585</v>
      </c>
      <c r="G1617" s="7" t="s">
        <v>7150</v>
      </c>
      <c r="H1617" s="7" t="s">
        <v>7156</v>
      </c>
      <c r="I1617" s="7" t="s">
        <v>7159</v>
      </c>
      <c r="J1617" s="10">
        <v>46259</v>
      </c>
      <c r="K1617" s="7" t="s">
        <v>7163</v>
      </c>
      <c r="L1617" s="7"/>
      <c r="M1617" s="7"/>
    </row>
    <row r="1618" spans="1:13" x14ac:dyDescent="0.3">
      <c r="A1618" s="7">
        <v>19063</v>
      </c>
      <c r="B1618" s="7" t="s">
        <v>1626</v>
      </c>
      <c r="C1618" s="7" t="s">
        <v>6543</v>
      </c>
      <c r="D1618" s="7" t="s">
        <v>6546</v>
      </c>
      <c r="E1618" s="7" t="s">
        <v>6295</v>
      </c>
      <c r="F1618" s="7" t="s">
        <v>6585</v>
      </c>
      <c r="G1618" s="7" t="s">
        <v>7150</v>
      </c>
      <c r="H1618" s="7" t="s">
        <v>7156</v>
      </c>
      <c r="I1618" s="7" t="s">
        <v>7159</v>
      </c>
      <c r="J1618" s="10">
        <v>46260</v>
      </c>
      <c r="K1618" s="7" t="s">
        <v>7163</v>
      </c>
      <c r="L1618" s="7"/>
      <c r="M1618" s="7"/>
    </row>
    <row r="1619" spans="1:13" x14ac:dyDescent="0.3">
      <c r="A1619" s="7">
        <v>19130</v>
      </c>
      <c r="B1619" s="7" t="s">
        <v>1627</v>
      </c>
      <c r="C1619" s="7" t="s">
        <v>6543</v>
      </c>
      <c r="D1619" s="7" t="s">
        <v>6546</v>
      </c>
      <c r="E1619" s="7" t="s">
        <v>6295</v>
      </c>
      <c r="F1619" s="7" t="s">
        <v>6585</v>
      </c>
      <c r="G1619" s="7" t="s">
        <v>7150</v>
      </c>
      <c r="H1619" s="7" t="s">
        <v>7156</v>
      </c>
      <c r="I1619" s="7" t="s">
        <v>7159</v>
      </c>
      <c r="J1619" s="10">
        <v>46268</v>
      </c>
      <c r="K1619" s="7" t="s">
        <v>7163</v>
      </c>
      <c r="L1619" s="7"/>
      <c r="M1619" s="7"/>
    </row>
    <row r="1620" spans="1:13" x14ac:dyDescent="0.3">
      <c r="A1620" s="7">
        <v>19152</v>
      </c>
      <c r="B1620" s="7" t="s">
        <v>1628</v>
      </c>
      <c r="C1620" s="7" t="s">
        <v>6543</v>
      </c>
      <c r="D1620" s="7" t="s">
        <v>6546</v>
      </c>
      <c r="E1620" s="7" t="s">
        <v>6295</v>
      </c>
      <c r="F1620" s="7" t="s">
        <v>6585</v>
      </c>
      <c r="G1620" s="7" t="s">
        <v>7150</v>
      </c>
      <c r="H1620" s="7" t="s">
        <v>7156</v>
      </c>
      <c r="I1620" s="7" t="s">
        <v>7159</v>
      </c>
      <c r="J1620" s="10">
        <v>46269</v>
      </c>
      <c r="K1620" s="7" t="s">
        <v>7163</v>
      </c>
      <c r="L1620" s="7"/>
      <c r="M1620" s="7"/>
    </row>
    <row r="1621" spans="1:13" x14ac:dyDescent="0.3">
      <c r="A1621" s="7">
        <v>19228</v>
      </c>
      <c r="B1621" s="7" t="s">
        <v>1629</v>
      </c>
      <c r="C1621" s="7" t="s">
        <v>6543</v>
      </c>
      <c r="D1621" s="7" t="s">
        <v>6546</v>
      </c>
      <c r="E1621" s="7" t="s">
        <v>6295</v>
      </c>
      <c r="F1621" s="7" t="s">
        <v>6585</v>
      </c>
      <c r="G1621" s="7" t="s">
        <v>7150</v>
      </c>
      <c r="H1621" s="7" t="s">
        <v>7156</v>
      </c>
      <c r="I1621" s="7" t="s">
        <v>7159</v>
      </c>
      <c r="J1621" s="10">
        <v>46279</v>
      </c>
      <c r="K1621" s="7" t="s">
        <v>7163</v>
      </c>
      <c r="L1621" s="7"/>
      <c r="M1621" s="7"/>
    </row>
    <row r="1622" spans="1:13" x14ac:dyDescent="0.3">
      <c r="A1622" s="7">
        <v>16070</v>
      </c>
      <c r="B1622" s="7" t="s">
        <v>1630</v>
      </c>
      <c r="C1622" s="7" t="s">
        <v>6543</v>
      </c>
      <c r="D1622" s="7" t="s">
        <v>6546</v>
      </c>
      <c r="E1622" s="7" t="s">
        <v>6295</v>
      </c>
      <c r="F1622" s="7" t="s">
        <v>6584</v>
      </c>
      <c r="G1622" s="7" t="s">
        <v>7150</v>
      </c>
      <c r="H1622" s="7" t="s">
        <v>7156</v>
      </c>
      <c r="I1622" s="7"/>
      <c r="J1622" s="10">
        <v>45279</v>
      </c>
      <c r="K1622" s="7" t="s">
        <v>7163</v>
      </c>
      <c r="L1622" s="7"/>
      <c r="M1622" s="7"/>
    </row>
    <row r="1623" spans="1:13" x14ac:dyDescent="0.3">
      <c r="A1623" s="7">
        <v>13131</v>
      </c>
      <c r="B1623" s="7" t="s">
        <v>1631</v>
      </c>
      <c r="C1623" s="7" t="s">
        <v>6543</v>
      </c>
      <c r="D1623" s="7" t="s">
        <v>6546</v>
      </c>
      <c r="E1623" s="7" t="s">
        <v>6295</v>
      </c>
      <c r="F1623" s="7" t="s">
        <v>6586</v>
      </c>
      <c r="G1623" s="7" t="s">
        <v>7150</v>
      </c>
      <c r="H1623" s="7" t="s">
        <v>7156</v>
      </c>
      <c r="I1623" s="7"/>
      <c r="J1623" s="10">
        <v>44271</v>
      </c>
      <c r="K1623" s="7" t="s">
        <v>7163</v>
      </c>
      <c r="L1623" s="7"/>
      <c r="M1623" s="7"/>
    </row>
    <row r="1624" spans="1:13" x14ac:dyDescent="0.3">
      <c r="A1624" s="7">
        <v>19051</v>
      </c>
      <c r="B1624" s="7" t="s">
        <v>1632</v>
      </c>
      <c r="C1624" s="7" t="s">
        <v>6543</v>
      </c>
      <c r="D1624" s="7" t="s">
        <v>6546</v>
      </c>
      <c r="E1624" s="7" t="s">
        <v>6295</v>
      </c>
      <c r="F1624" s="7" t="s">
        <v>6587</v>
      </c>
      <c r="G1624" s="7" t="s">
        <v>7150</v>
      </c>
      <c r="H1624" s="7" t="s">
        <v>7156</v>
      </c>
      <c r="I1624" s="7" t="s">
        <v>7159</v>
      </c>
      <c r="J1624" s="10">
        <v>46259</v>
      </c>
      <c r="K1624" s="7" t="s">
        <v>7163</v>
      </c>
      <c r="L1624" s="7"/>
      <c r="M1624" s="7"/>
    </row>
    <row r="1625" spans="1:13" x14ac:dyDescent="0.3">
      <c r="A1625" s="7">
        <v>19049</v>
      </c>
      <c r="B1625" s="7" t="s">
        <v>1633</v>
      </c>
      <c r="C1625" s="7" t="s">
        <v>6543</v>
      </c>
      <c r="D1625" s="7" t="s">
        <v>6546</v>
      </c>
      <c r="E1625" s="7" t="s">
        <v>6295</v>
      </c>
      <c r="F1625" s="7" t="s">
        <v>6587</v>
      </c>
      <c r="G1625" s="7" t="s">
        <v>7150</v>
      </c>
      <c r="H1625" s="7" t="s">
        <v>7156</v>
      </c>
      <c r="I1625" s="7" t="s">
        <v>7159</v>
      </c>
      <c r="J1625" s="10">
        <v>46259</v>
      </c>
      <c r="K1625" s="7" t="s">
        <v>7163</v>
      </c>
      <c r="L1625" s="7"/>
      <c r="M1625" s="7"/>
    </row>
    <row r="1626" spans="1:13" x14ac:dyDescent="0.3">
      <c r="A1626" s="7">
        <v>19064</v>
      </c>
      <c r="B1626" s="7" t="s">
        <v>1634</v>
      </c>
      <c r="C1626" s="7" t="s">
        <v>6543</v>
      </c>
      <c r="D1626" s="7" t="s">
        <v>6546</v>
      </c>
      <c r="E1626" s="7" t="s">
        <v>6295</v>
      </c>
      <c r="F1626" s="7" t="s">
        <v>6587</v>
      </c>
      <c r="G1626" s="7" t="s">
        <v>7150</v>
      </c>
      <c r="H1626" s="7" t="s">
        <v>7156</v>
      </c>
      <c r="I1626" s="7" t="s">
        <v>7159</v>
      </c>
      <c r="J1626" s="10">
        <v>46260</v>
      </c>
      <c r="K1626" s="7" t="s">
        <v>7163</v>
      </c>
      <c r="L1626" s="7"/>
      <c r="M1626" s="7"/>
    </row>
    <row r="1627" spans="1:13" x14ac:dyDescent="0.3">
      <c r="A1627" s="7">
        <v>19196</v>
      </c>
      <c r="B1627" s="7" t="s">
        <v>1635</v>
      </c>
      <c r="C1627" s="7" t="s">
        <v>6543</v>
      </c>
      <c r="D1627" s="7" t="s">
        <v>6546</v>
      </c>
      <c r="E1627" s="7" t="s">
        <v>6295</v>
      </c>
      <c r="F1627" s="7" t="s">
        <v>6587</v>
      </c>
      <c r="G1627" s="7" t="s">
        <v>7150</v>
      </c>
      <c r="H1627" s="7" t="s">
        <v>7156</v>
      </c>
      <c r="I1627" s="7" t="s">
        <v>7159</v>
      </c>
      <c r="J1627" s="10">
        <v>46275</v>
      </c>
      <c r="K1627" s="7" t="s">
        <v>7163</v>
      </c>
      <c r="L1627" s="7"/>
      <c r="M1627" s="7"/>
    </row>
    <row r="1628" spans="1:13" x14ac:dyDescent="0.3">
      <c r="A1628" s="7">
        <v>19197</v>
      </c>
      <c r="B1628" s="7" t="s">
        <v>1636</v>
      </c>
      <c r="C1628" s="7" t="s">
        <v>6543</v>
      </c>
      <c r="D1628" s="7" t="s">
        <v>6546</v>
      </c>
      <c r="E1628" s="7" t="s">
        <v>6295</v>
      </c>
      <c r="F1628" s="7" t="s">
        <v>6587</v>
      </c>
      <c r="G1628" s="7" t="s">
        <v>7150</v>
      </c>
      <c r="H1628" s="7" t="s">
        <v>7156</v>
      </c>
      <c r="I1628" s="7" t="s">
        <v>7159</v>
      </c>
      <c r="J1628" s="10">
        <v>46275</v>
      </c>
      <c r="K1628" s="7" t="s">
        <v>7163</v>
      </c>
      <c r="L1628" s="7"/>
      <c r="M1628" s="7"/>
    </row>
    <row r="1629" spans="1:13" x14ac:dyDescent="0.3">
      <c r="A1629" s="7">
        <v>19198</v>
      </c>
      <c r="B1629" s="7" t="s">
        <v>1637</v>
      </c>
      <c r="C1629" s="7" t="s">
        <v>6543</v>
      </c>
      <c r="D1629" s="7" t="s">
        <v>6546</v>
      </c>
      <c r="E1629" s="7" t="s">
        <v>6295</v>
      </c>
      <c r="F1629" s="7" t="s">
        <v>6587</v>
      </c>
      <c r="G1629" s="7" t="s">
        <v>7150</v>
      </c>
      <c r="H1629" s="7" t="s">
        <v>7156</v>
      </c>
      <c r="I1629" s="7" t="s">
        <v>7159</v>
      </c>
      <c r="J1629" s="10">
        <v>46275</v>
      </c>
      <c r="K1629" s="7" t="s">
        <v>7163</v>
      </c>
      <c r="L1629" s="7"/>
      <c r="M1629" s="7"/>
    </row>
    <row r="1630" spans="1:13" x14ac:dyDescent="0.3">
      <c r="A1630" s="7">
        <v>19201</v>
      </c>
      <c r="B1630" s="7" t="s">
        <v>1638</v>
      </c>
      <c r="C1630" s="7" t="s">
        <v>6543</v>
      </c>
      <c r="D1630" s="7" t="s">
        <v>6546</v>
      </c>
      <c r="E1630" s="7" t="s">
        <v>6295</v>
      </c>
      <c r="F1630" s="7" t="s">
        <v>6587</v>
      </c>
      <c r="G1630" s="7" t="s">
        <v>7150</v>
      </c>
      <c r="H1630" s="7" t="s">
        <v>7156</v>
      </c>
      <c r="I1630" s="7" t="s">
        <v>7159</v>
      </c>
      <c r="J1630" s="10">
        <v>46275</v>
      </c>
      <c r="K1630" s="7" t="s">
        <v>7163</v>
      </c>
      <c r="L1630" s="7"/>
      <c r="M1630" s="7"/>
    </row>
    <row r="1631" spans="1:13" x14ac:dyDescent="0.3">
      <c r="A1631" s="7">
        <v>19080</v>
      </c>
      <c r="B1631" s="7" t="s">
        <v>1639</v>
      </c>
      <c r="C1631" s="7" t="s">
        <v>6543</v>
      </c>
      <c r="D1631" s="7" t="s">
        <v>6546</v>
      </c>
      <c r="E1631" s="7" t="s">
        <v>6295</v>
      </c>
      <c r="F1631" s="7" t="s">
        <v>6587</v>
      </c>
      <c r="G1631" s="7" t="s">
        <v>7150</v>
      </c>
      <c r="H1631" s="7" t="s">
        <v>7156</v>
      </c>
      <c r="I1631" s="7" t="s">
        <v>7159</v>
      </c>
      <c r="J1631" s="10">
        <v>46261</v>
      </c>
      <c r="K1631" s="7" t="s">
        <v>7163</v>
      </c>
      <c r="L1631" s="7"/>
      <c r="M1631" s="7"/>
    </row>
    <row r="1632" spans="1:13" x14ac:dyDescent="0.3">
      <c r="A1632" s="7">
        <v>17820</v>
      </c>
      <c r="B1632" s="7" t="s">
        <v>1640</v>
      </c>
      <c r="C1632" s="7" t="s">
        <v>6543</v>
      </c>
      <c r="D1632" s="7" t="s">
        <v>6546</v>
      </c>
      <c r="E1632" s="7" t="s">
        <v>6295</v>
      </c>
      <c r="F1632" s="7" t="s">
        <v>6586</v>
      </c>
      <c r="G1632" s="7" t="s">
        <v>7150</v>
      </c>
      <c r="H1632" s="7" t="s">
        <v>7156</v>
      </c>
      <c r="I1632" s="7"/>
      <c r="J1632" s="10">
        <v>45884</v>
      </c>
      <c r="K1632" s="7" t="s">
        <v>7163</v>
      </c>
      <c r="L1632" s="7"/>
      <c r="M1632" s="7"/>
    </row>
    <row r="1633" spans="1:13" x14ac:dyDescent="0.3">
      <c r="A1633" s="7">
        <v>450013</v>
      </c>
      <c r="B1633" s="7" t="s">
        <v>1641</v>
      </c>
      <c r="C1633" s="7" t="s">
        <v>6543</v>
      </c>
      <c r="D1633" s="7" t="s">
        <v>6546</v>
      </c>
      <c r="E1633" s="7" t="s">
        <v>6295</v>
      </c>
      <c r="F1633" s="7" t="s">
        <v>6586</v>
      </c>
      <c r="G1633" s="7" t="s">
        <v>7150</v>
      </c>
      <c r="H1633" s="7" t="s">
        <v>7156</v>
      </c>
      <c r="I1633" s="7"/>
      <c r="J1633" s="10">
        <v>37795</v>
      </c>
      <c r="K1633" s="7" t="s">
        <v>7163</v>
      </c>
      <c r="L1633" s="7"/>
      <c r="M1633" s="7"/>
    </row>
    <row r="1634" spans="1:13" x14ac:dyDescent="0.3">
      <c r="A1634" s="7">
        <v>640008</v>
      </c>
      <c r="B1634" s="7" t="s">
        <v>1642</v>
      </c>
      <c r="C1634" s="7" t="s">
        <v>6543</v>
      </c>
      <c r="D1634" s="7" t="s">
        <v>6546</v>
      </c>
      <c r="E1634" s="7" t="s">
        <v>6295</v>
      </c>
      <c r="F1634" s="7" t="s">
        <v>6586</v>
      </c>
      <c r="G1634" s="7" t="s">
        <v>7150</v>
      </c>
      <c r="H1634" s="7" t="s">
        <v>7156</v>
      </c>
      <c r="I1634" s="7"/>
      <c r="J1634" s="10">
        <v>41009</v>
      </c>
      <c r="K1634" s="7" t="s">
        <v>7163</v>
      </c>
      <c r="L1634" s="7"/>
      <c r="M1634" s="7"/>
    </row>
    <row r="1635" spans="1:13" x14ac:dyDescent="0.3">
      <c r="A1635" s="7">
        <v>11823</v>
      </c>
      <c r="B1635" s="7" t="s">
        <v>1643</v>
      </c>
      <c r="C1635" s="7" t="s">
        <v>6543</v>
      </c>
      <c r="D1635" s="7" t="s">
        <v>6546</v>
      </c>
      <c r="E1635" s="7" t="s">
        <v>6295</v>
      </c>
      <c r="F1635" s="7" t="s">
        <v>6586</v>
      </c>
      <c r="G1635" s="7" t="s">
        <v>7150</v>
      </c>
      <c r="H1635" s="7" t="s">
        <v>7156</v>
      </c>
      <c r="I1635" s="7"/>
      <c r="J1635" s="10">
        <v>43164</v>
      </c>
      <c r="K1635" s="7" t="s">
        <v>7163</v>
      </c>
      <c r="L1635" s="7"/>
      <c r="M1635" s="7"/>
    </row>
    <row r="1636" spans="1:13" x14ac:dyDescent="0.3">
      <c r="A1636" s="7">
        <v>12142</v>
      </c>
      <c r="B1636" s="7" t="s">
        <v>1644</v>
      </c>
      <c r="C1636" s="7" t="s">
        <v>6543</v>
      </c>
      <c r="D1636" s="7" t="s">
        <v>6546</v>
      </c>
      <c r="E1636" s="7" t="s">
        <v>6295</v>
      </c>
      <c r="F1636" s="7" t="s">
        <v>6586</v>
      </c>
      <c r="G1636" s="7" t="s">
        <v>7150</v>
      </c>
      <c r="H1636" s="7" t="s">
        <v>7156</v>
      </c>
      <c r="I1636" s="7"/>
      <c r="J1636" s="10">
        <v>43514</v>
      </c>
      <c r="K1636" s="7" t="s">
        <v>7163</v>
      </c>
      <c r="L1636" s="7"/>
      <c r="M1636" s="7"/>
    </row>
    <row r="1637" spans="1:13" x14ac:dyDescent="0.3">
      <c r="A1637" s="7">
        <v>12632</v>
      </c>
      <c r="B1637" s="7" t="s">
        <v>1645</v>
      </c>
      <c r="C1637" s="7" t="s">
        <v>6543</v>
      </c>
      <c r="D1637" s="7" t="s">
        <v>6546</v>
      </c>
      <c r="E1637" s="7" t="s">
        <v>6295</v>
      </c>
      <c r="F1637" s="7" t="s">
        <v>6586</v>
      </c>
      <c r="G1637" s="7" t="s">
        <v>7150</v>
      </c>
      <c r="H1637" s="7" t="s">
        <v>7156</v>
      </c>
      <c r="I1637" s="7"/>
      <c r="J1637" s="10">
        <v>43844</v>
      </c>
      <c r="K1637" s="7" t="s">
        <v>7163</v>
      </c>
      <c r="L1637" s="7"/>
      <c r="M1637" s="7"/>
    </row>
    <row r="1638" spans="1:13" x14ac:dyDescent="0.3">
      <c r="A1638" s="7">
        <v>13369</v>
      </c>
      <c r="B1638" s="7" t="s">
        <v>1646</v>
      </c>
      <c r="C1638" s="7" t="s">
        <v>6543</v>
      </c>
      <c r="D1638" s="7" t="s">
        <v>6546</v>
      </c>
      <c r="E1638" s="7" t="s">
        <v>6295</v>
      </c>
      <c r="F1638" s="7" t="s">
        <v>6586</v>
      </c>
      <c r="G1638" s="7" t="s">
        <v>7150</v>
      </c>
      <c r="H1638" s="7" t="s">
        <v>7156</v>
      </c>
      <c r="I1638" s="7"/>
      <c r="J1638" s="10">
        <v>44411</v>
      </c>
      <c r="K1638" s="7" t="s">
        <v>7163</v>
      </c>
      <c r="L1638" s="7"/>
      <c r="M1638" s="7"/>
    </row>
    <row r="1639" spans="1:13" x14ac:dyDescent="0.3">
      <c r="A1639" s="7">
        <v>17114</v>
      </c>
      <c r="B1639" s="7" t="s">
        <v>1647</v>
      </c>
      <c r="C1639" s="7" t="s">
        <v>6543</v>
      </c>
      <c r="D1639" s="7" t="s">
        <v>6546</v>
      </c>
      <c r="E1639" s="7" t="s">
        <v>6295</v>
      </c>
      <c r="F1639" s="7" t="s">
        <v>6586</v>
      </c>
      <c r="G1639" s="7" t="s">
        <v>7150</v>
      </c>
      <c r="H1639" s="7" t="s">
        <v>7156</v>
      </c>
      <c r="I1639" s="7"/>
      <c r="J1639" s="10">
        <v>45635</v>
      </c>
      <c r="K1639" s="7" t="s">
        <v>7163</v>
      </c>
      <c r="L1639" s="7"/>
      <c r="M1639" s="7"/>
    </row>
    <row r="1640" spans="1:13" x14ac:dyDescent="0.3">
      <c r="A1640" s="7">
        <v>18288</v>
      </c>
      <c r="B1640" s="7" t="s">
        <v>1648</v>
      </c>
      <c r="C1640" s="7" t="s">
        <v>6543</v>
      </c>
      <c r="D1640" s="7" t="s">
        <v>6546</v>
      </c>
      <c r="E1640" s="7" t="s">
        <v>6295</v>
      </c>
      <c r="F1640" s="7" t="s">
        <v>6588</v>
      </c>
      <c r="G1640" s="7" t="s">
        <v>7150</v>
      </c>
      <c r="H1640" s="7" t="s">
        <v>7156</v>
      </c>
      <c r="I1640" s="7" t="s">
        <v>7159</v>
      </c>
      <c r="J1640" s="10">
        <v>46071</v>
      </c>
      <c r="K1640" s="7" t="s">
        <v>7163</v>
      </c>
      <c r="L1640" s="7"/>
      <c r="M1640" s="7"/>
    </row>
    <row r="1641" spans="1:13" x14ac:dyDescent="0.3">
      <c r="A1641" s="7">
        <v>18263</v>
      </c>
      <c r="B1641" s="7" t="s">
        <v>1649</v>
      </c>
      <c r="C1641" s="7" t="s">
        <v>6543</v>
      </c>
      <c r="D1641" s="7" t="s">
        <v>6546</v>
      </c>
      <c r="E1641" s="7" t="s">
        <v>6295</v>
      </c>
      <c r="F1641" s="7" t="s">
        <v>6586</v>
      </c>
      <c r="G1641" s="7" t="s">
        <v>7150</v>
      </c>
      <c r="H1641" s="7" t="s">
        <v>7156</v>
      </c>
      <c r="I1641" s="7" t="s">
        <v>7159</v>
      </c>
      <c r="J1641" s="10">
        <v>46069</v>
      </c>
      <c r="K1641" s="7" t="s">
        <v>7163</v>
      </c>
      <c r="L1641" s="7"/>
      <c r="M1641" s="7"/>
    </row>
    <row r="1642" spans="1:13" x14ac:dyDescent="0.3">
      <c r="A1642" s="7">
        <v>18262</v>
      </c>
      <c r="B1642" s="7" t="s">
        <v>1650</v>
      </c>
      <c r="C1642" s="7" t="s">
        <v>6543</v>
      </c>
      <c r="D1642" s="7" t="s">
        <v>6546</v>
      </c>
      <c r="E1642" s="7" t="s">
        <v>6295</v>
      </c>
      <c r="F1642" s="7" t="s">
        <v>6586</v>
      </c>
      <c r="G1642" s="7" t="s">
        <v>7150</v>
      </c>
      <c r="H1642" s="7" t="s">
        <v>7156</v>
      </c>
      <c r="I1642" s="7" t="s">
        <v>7159</v>
      </c>
      <c r="J1642" s="10">
        <v>46069</v>
      </c>
      <c r="K1642" s="7" t="s">
        <v>7163</v>
      </c>
      <c r="L1642" s="7"/>
      <c r="M1642" s="7"/>
    </row>
    <row r="1643" spans="1:13" x14ac:dyDescent="0.3">
      <c r="A1643" s="7">
        <v>18266</v>
      </c>
      <c r="B1643" s="7" t="s">
        <v>1651</v>
      </c>
      <c r="C1643" s="7" t="s">
        <v>6543</v>
      </c>
      <c r="D1643" s="7" t="s">
        <v>6546</v>
      </c>
      <c r="E1643" s="7" t="s">
        <v>6295</v>
      </c>
      <c r="F1643" s="7" t="s">
        <v>6586</v>
      </c>
      <c r="G1643" s="7" t="s">
        <v>7150</v>
      </c>
      <c r="H1643" s="7" t="s">
        <v>7156</v>
      </c>
      <c r="I1643" s="7" t="s">
        <v>7159</v>
      </c>
      <c r="J1643" s="10">
        <v>46069</v>
      </c>
      <c r="K1643" s="7" t="s">
        <v>7163</v>
      </c>
      <c r="L1643" s="7"/>
      <c r="M1643" s="7"/>
    </row>
    <row r="1644" spans="1:13" x14ac:dyDescent="0.3">
      <c r="A1644" s="7">
        <v>18002</v>
      </c>
      <c r="B1644" s="7" t="s">
        <v>1652</v>
      </c>
      <c r="C1644" s="7" t="s">
        <v>6543</v>
      </c>
      <c r="D1644" s="7" t="s">
        <v>6546</v>
      </c>
      <c r="E1644" s="7" t="s">
        <v>6295</v>
      </c>
      <c r="F1644" s="7" t="s">
        <v>6586</v>
      </c>
      <c r="G1644" s="7" t="s">
        <v>7150</v>
      </c>
      <c r="H1644" s="7" t="s">
        <v>7156</v>
      </c>
      <c r="I1644" s="7"/>
      <c r="J1644" s="10">
        <v>45953</v>
      </c>
      <c r="K1644" s="7" t="s">
        <v>7163</v>
      </c>
      <c r="L1644" s="7"/>
      <c r="M1644" s="7"/>
    </row>
    <row r="1645" spans="1:13" x14ac:dyDescent="0.3">
      <c r="A1645" s="7">
        <v>113003</v>
      </c>
      <c r="B1645" s="7" t="s">
        <v>1653</v>
      </c>
      <c r="C1645" s="7" t="s">
        <v>6543</v>
      </c>
      <c r="D1645" s="7" t="s">
        <v>6546</v>
      </c>
      <c r="E1645" s="7" t="s">
        <v>6295</v>
      </c>
      <c r="F1645" s="7" t="s">
        <v>6575</v>
      </c>
      <c r="G1645" s="7" t="s">
        <v>7150</v>
      </c>
      <c r="H1645" s="7" t="s">
        <v>7156</v>
      </c>
      <c r="I1645" s="7"/>
      <c r="J1645" s="10">
        <v>38385</v>
      </c>
      <c r="K1645" s="7" t="s">
        <v>7163</v>
      </c>
      <c r="L1645" s="7"/>
      <c r="M1645" s="7"/>
    </row>
    <row r="1646" spans="1:13" x14ac:dyDescent="0.3">
      <c r="A1646" s="7">
        <v>14217</v>
      </c>
      <c r="B1646" s="7" t="s">
        <v>1654</v>
      </c>
      <c r="C1646" s="7" t="s">
        <v>6543</v>
      </c>
      <c r="D1646" s="7" t="s">
        <v>6546</v>
      </c>
      <c r="E1646" s="7" t="s">
        <v>6295</v>
      </c>
      <c r="F1646" s="7" t="s">
        <v>6575</v>
      </c>
      <c r="G1646" s="7" t="s">
        <v>7150</v>
      </c>
      <c r="H1646" s="7" t="s">
        <v>7156</v>
      </c>
      <c r="I1646" s="7"/>
      <c r="J1646" s="10">
        <v>44701</v>
      </c>
      <c r="K1646" s="7" t="s">
        <v>7163</v>
      </c>
      <c r="L1646" s="7"/>
      <c r="M1646" s="7"/>
    </row>
    <row r="1647" spans="1:13" x14ac:dyDescent="0.3">
      <c r="A1647" s="7">
        <v>11317</v>
      </c>
      <c r="B1647" s="7" t="s">
        <v>1655</v>
      </c>
      <c r="C1647" s="7" t="s">
        <v>6543</v>
      </c>
      <c r="D1647" s="7" t="s">
        <v>6546</v>
      </c>
      <c r="E1647" s="7" t="s">
        <v>6295</v>
      </c>
      <c r="F1647" s="7" t="s">
        <v>6575</v>
      </c>
      <c r="G1647" s="7" t="s">
        <v>7150</v>
      </c>
      <c r="H1647" s="7" t="s">
        <v>7156</v>
      </c>
      <c r="I1647" s="7"/>
      <c r="J1647" s="10">
        <v>42534</v>
      </c>
      <c r="K1647" s="7" t="s">
        <v>7163</v>
      </c>
      <c r="L1647" s="7"/>
      <c r="M1647" s="7"/>
    </row>
    <row r="1648" spans="1:13" x14ac:dyDescent="0.3">
      <c r="A1648" s="7">
        <v>113010</v>
      </c>
      <c r="B1648" s="7" t="s">
        <v>1656</v>
      </c>
      <c r="C1648" s="7" t="s">
        <v>6543</v>
      </c>
      <c r="D1648" s="7" t="s">
        <v>6546</v>
      </c>
      <c r="E1648" s="7" t="s">
        <v>6295</v>
      </c>
      <c r="F1648" s="7" t="s">
        <v>6575</v>
      </c>
      <c r="G1648" s="7" t="s">
        <v>7150</v>
      </c>
      <c r="H1648" s="7" t="s">
        <v>7156</v>
      </c>
      <c r="I1648" s="7"/>
      <c r="J1648" s="10">
        <v>39304</v>
      </c>
      <c r="K1648" s="7" t="s">
        <v>7163</v>
      </c>
      <c r="L1648" s="7"/>
      <c r="M1648" s="7"/>
    </row>
    <row r="1649" spans="1:13" x14ac:dyDescent="0.3">
      <c r="A1649" s="7">
        <v>113021</v>
      </c>
      <c r="B1649" s="7" t="s">
        <v>1657</v>
      </c>
      <c r="C1649" s="7" t="s">
        <v>6543</v>
      </c>
      <c r="D1649" s="7" t="s">
        <v>6546</v>
      </c>
      <c r="E1649" s="7" t="s">
        <v>6295</v>
      </c>
      <c r="F1649" s="7" t="s">
        <v>6575</v>
      </c>
      <c r="G1649" s="7" t="s">
        <v>7150</v>
      </c>
      <c r="H1649" s="7" t="s">
        <v>7156</v>
      </c>
      <c r="I1649" s="7"/>
      <c r="J1649" s="10">
        <v>38777</v>
      </c>
      <c r="K1649" s="7" t="s">
        <v>7163</v>
      </c>
      <c r="L1649" s="7"/>
      <c r="M1649" s="7"/>
    </row>
    <row r="1650" spans="1:13" x14ac:dyDescent="0.3">
      <c r="A1650" s="7">
        <v>890002</v>
      </c>
      <c r="B1650" s="7" t="s">
        <v>1658</v>
      </c>
      <c r="C1650" s="7" t="s">
        <v>6543</v>
      </c>
      <c r="D1650" s="7" t="s">
        <v>6546</v>
      </c>
      <c r="E1650" s="7" t="s">
        <v>6295</v>
      </c>
      <c r="F1650" s="7" t="s">
        <v>6575</v>
      </c>
      <c r="G1650" s="7" t="s">
        <v>7150</v>
      </c>
      <c r="H1650" s="7" t="s">
        <v>7156</v>
      </c>
      <c r="I1650" s="7"/>
      <c r="J1650" s="10">
        <v>40611</v>
      </c>
      <c r="K1650" s="7" t="s">
        <v>7163</v>
      </c>
      <c r="L1650" s="7"/>
      <c r="M1650" s="7"/>
    </row>
    <row r="1651" spans="1:13" x14ac:dyDescent="0.3">
      <c r="A1651" s="7">
        <v>560006</v>
      </c>
      <c r="B1651" s="7" t="s">
        <v>1659</v>
      </c>
      <c r="C1651" s="7" t="s">
        <v>6543</v>
      </c>
      <c r="D1651" s="7" t="s">
        <v>6546</v>
      </c>
      <c r="E1651" s="7" t="s">
        <v>6295</v>
      </c>
      <c r="F1651" s="7" t="s">
        <v>6575</v>
      </c>
      <c r="G1651" s="7" t="s">
        <v>7150</v>
      </c>
      <c r="H1651" s="7" t="s">
        <v>7156</v>
      </c>
      <c r="I1651" s="7"/>
      <c r="J1651" s="10">
        <v>40969</v>
      </c>
      <c r="K1651" s="7" t="s">
        <v>7163</v>
      </c>
      <c r="L1651" s="7"/>
      <c r="M1651" s="7"/>
    </row>
    <row r="1652" spans="1:13" x14ac:dyDescent="0.3">
      <c r="A1652" s="7">
        <v>11339</v>
      </c>
      <c r="B1652" s="7" t="s">
        <v>1660</v>
      </c>
      <c r="C1652" s="7" t="s">
        <v>6543</v>
      </c>
      <c r="D1652" s="7" t="s">
        <v>6546</v>
      </c>
      <c r="E1652" s="7" t="s">
        <v>6295</v>
      </c>
      <c r="F1652" s="7" t="s">
        <v>6575</v>
      </c>
      <c r="G1652" s="7" t="s">
        <v>7150</v>
      </c>
      <c r="H1652" s="7" t="s">
        <v>7156</v>
      </c>
      <c r="I1652" s="7"/>
      <c r="J1652" s="10">
        <v>42549</v>
      </c>
      <c r="K1652" s="7" t="s">
        <v>7163</v>
      </c>
      <c r="L1652" s="7"/>
      <c r="M1652" s="7"/>
    </row>
    <row r="1653" spans="1:13" x14ac:dyDescent="0.3">
      <c r="A1653" s="7">
        <v>12120</v>
      </c>
      <c r="B1653" s="7" t="s">
        <v>1661</v>
      </c>
      <c r="C1653" s="7" t="s">
        <v>6543</v>
      </c>
      <c r="D1653" s="7" t="s">
        <v>6546</v>
      </c>
      <c r="E1653" s="7" t="s">
        <v>6295</v>
      </c>
      <c r="F1653" s="7" t="s">
        <v>6575</v>
      </c>
      <c r="G1653" s="7" t="s">
        <v>7150</v>
      </c>
      <c r="H1653" s="7" t="s">
        <v>7156</v>
      </c>
      <c r="I1653" s="7"/>
      <c r="J1653" s="10">
        <v>43497</v>
      </c>
      <c r="K1653" s="7" t="s">
        <v>7163</v>
      </c>
      <c r="L1653" s="7"/>
      <c r="M1653" s="7"/>
    </row>
    <row r="1654" spans="1:13" x14ac:dyDescent="0.3">
      <c r="A1654" s="7">
        <v>19132</v>
      </c>
      <c r="B1654" s="7" t="s">
        <v>1662</v>
      </c>
      <c r="C1654" s="7" t="s">
        <v>6543</v>
      </c>
      <c r="D1654" s="7" t="s">
        <v>6546</v>
      </c>
      <c r="E1654" s="7" t="s">
        <v>6295</v>
      </c>
      <c r="F1654" s="7" t="s">
        <v>6589</v>
      </c>
      <c r="G1654" s="7" t="s">
        <v>7150</v>
      </c>
      <c r="H1654" s="7" t="s">
        <v>7156</v>
      </c>
      <c r="I1654" s="7" t="s">
        <v>7159</v>
      </c>
      <c r="J1654" s="10">
        <v>46268</v>
      </c>
      <c r="K1654" s="7" t="s">
        <v>7163</v>
      </c>
      <c r="L1654" s="7"/>
      <c r="M1654" s="7"/>
    </row>
    <row r="1655" spans="1:13" x14ac:dyDescent="0.3">
      <c r="A1655" s="7">
        <v>19133</v>
      </c>
      <c r="B1655" s="7" t="s">
        <v>1663</v>
      </c>
      <c r="C1655" s="7" t="s">
        <v>6543</v>
      </c>
      <c r="D1655" s="7" t="s">
        <v>6546</v>
      </c>
      <c r="E1655" s="7" t="s">
        <v>6295</v>
      </c>
      <c r="F1655" s="7" t="s">
        <v>6589</v>
      </c>
      <c r="G1655" s="7" t="s">
        <v>7150</v>
      </c>
      <c r="H1655" s="7" t="s">
        <v>7156</v>
      </c>
      <c r="I1655" s="7" t="s">
        <v>7159</v>
      </c>
      <c r="J1655" s="10">
        <v>46268</v>
      </c>
      <c r="K1655" s="7" t="s">
        <v>7163</v>
      </c>
      <c r="L1655" s="7"/>
      <c r="M1655" s="7"/>
    </row>
    <row r="1656" spans="1:13" x14ac:dyDescent="0.3">
      <c r="A1656" s="7">
        <v>19186</v>
      </c>
      <c r="B1656" s="7" t="s">
        <v>1664</v>
      </c>
      <c r="C1656" s="7" t="s">
        <v>6543</v>
      </c>
      <c r="D1656" s="7" t="s">
        <v>6546</v>
      </c>
      <c r="E1656" s="7" t="s">
        <v>6295</v>
      </c>
      <c r="F1656" s="7" t="s">
        <v>6589</v>
      </c>
      <c r="G1656" s="7" t="s">
        <v>7150</v>
      </c>
      <c r="H1656" s="7" t="s">
        <v>7156</v>
      </c>
      <c r="I1656" s="7" t="s">
        <v>7159</v>
      </c>
      <c r="J1656" s="10">
        <v>46274</v>
      </c>
      <c r="K1656" s="7" t="s">
        <v>7163</v>
      </c>
      <c r="L1656" s="7"/>
      <c r="M1656" s="7"/>
    </row>
    <row r="1657" spans="1:13" x14ac:dyDescent="0.3">
      <c r="A1657" s="7">
        <v>19185</v>
      </c>
      <c r="B1657" s="7" t="s">
        <v>1665</v>
      </c>
      <c r="C1657" s="7" t="s">
        <v>6543</v>
      </c>
      <c r="D1657" s="7" t="s">
        <v>6546</v>
      </c>
      <c r="E1657" s="7" t="s">
        <v>6295</v>
      </c>
      <c r="F1657" s="7" t="s">
        <v>6589</v>
      </c>
      <c r="G1657" s="7" t="s">
        <v>7150</v>
      </c>
      <c r="H1657" s="7" t="s">
        <v>7156</v>
      </c>
      <c r="I1657" s="7" t="s">
        <v>7159</v>
      </c>
      <c r="J1657" s="10">
        <v>46274</v>
      </c>
      <c r="K1657" s="7" t="s">
        <v>7163</v>
      </c>
      <c r="L1657" s="7"/>
      <c r="M1657" s="7"/>
    </row>
    <row r="1658" spans="1:13" x14ac:dyDescent="0.3">
      <c r="A1658" s="7">
        <v>19184</v>
      </c>
      <c r="B1658" s="7" t="s">
        <v>1666</v>
      </c>
      <c r="C1658" s="7" t="s">
        <v>6543</v>
      </c>
      <c r="D1658" s="7" t="s">
        <v>6546</v>
      </c>
      <c r="E1658" s="7" t="s">
        <v>6295</v>
      </c>
      <c r="F1658" s="7" t="s">
        <v>6589</v>
      </c>
      <c r="G1658" s="7" t="s">
        <v>7150</v>
      </c>
      <c r="H1658" s="7" t="s">
        <v>7156</v>
      </c>
      <c r="I1658" s="7" t="s">
        <v>7159</v>
      </c>
      <c r="J1658" s="10">
        <v>46274</v>
      </c>
      <c r="K1658" s="7" t="s">
        <v>7163</v>
      </c>
      <c r="L1658" s="7"/>
      <c r="M1658" s="7"/>
    </row>
    <row r="1659" spans="1:13" x14ac:dyDescent="0.3">
      <c r="A1659" s="7">
        <v>19195</v>
      </c>
      <c r="B1659" s="7" t="s">
        <v>1667</v>
      </c>
      <c r="C1659" s="7" t="s">
        <v>6543</v>
      </c>
      <c r="D1659" s="7" t="s">
        <v>6546</v>
      </c>
      <c r="E1659" s="7" t="s">
        <v>6295</v>
      </c>
      <c r="F1659" s="7" t="s">
        <v>6589</v>
      </c>
      <c r="G1659" s="7" t="s">
        <v>7150</v>
      </c>
      <c r="H1659" s="7" t="s">
        <v>7156</v>
      </c>
      <c r="I1659" s="7" t="s">
        <v>7159</v>
      </c>
      <c r="J1659" s="10">
        <v>46283</v>
      </c>
      <c r="K1659" s="7" t="s">
        <v>7163</v>
      </c>
      <c r="L1659" s="7"/>
      <c r="M1659" s="7"/>
    </row>
    <row r="1660" spans="1:13" x14ac:dyDescent="0.3">
      <c r="A1660" s="7">
        <v>19273</v>
      </c>
      <c r="B1660" s="7" t="s">
        <v>1668</v>
      </c>
      <c r="C1660" s="7" t="s">
        <v>6543</v>
      </c>
      <c r="D1660" s="7" t="s">
        <v>6546</v>
      </c>
      <c r="E1660" s="7" t="s">
        <v>6295</v>
      </c>
      <c r="F1660" s="7" t="s">
        <v>6589</v>
      </c>
      <c r="G1660" s="7" t="s">
        <v>7150</v>
      </c>
      <c r="H1660" s="7" t="s">
        <v>7156</v>
      </c>
      <c r="I1660" s="7" t="s">
        <v>7159</v>
      </c>
      <c r="J1660" s="10">
        <v>46289</v>
      </c>
      <c r="K1660" s="7" t="s">
        <v>7163</v>
      </c>
      <c r="L1660" s="7"/>
      <c r="M1660" s="7"/>
    </row>
    <row r="1661" spans="1:13" x14ac:dyDescent="0.3">
      <c r="A1661" s="7">
        <v>650008</v>
      </c>
      <c r="B1661" s="7" t="s">
        <v>1669</v>
      </c>
      <c r="C1661" s="7" t="s">
        <v>6543</v>
      </c>
      <c r="D1661" s="7" t="s">
        <v>6546</v>
      </c>
      <c r="E1661" s="7" t="s">
        <v>6295</v>
      </c>
      <c r="F1661" s="7" t="s">
        <v>6590</v>
      </c>
      <c r="G1661" s="7" t="s">
        <v>7150</v>
      </c>
      <c r="H1661" s="7" t="s">
        <v>7156</v>
      </c>
      <c r="I1661" s="7"/>
      <c r="J1661" s="10">
        <v>39114</v>
      </c>
      <c r="K1661" s="7" t="s">
        <v>7163</v>
      </c>
      <c r="L1661" s="7"/>
      <c r="M1661" s="7"/>
    </row>
    <row r="1662" spans="1:13" x14ac:dyDescent="0.3">
      <c r="A1662" s="7">
        <v>12470</v>
      </c>
      <c r="B1662" s="7" t="s">
        <v>1670</v>
      </c>
      <c r="C1662" s="7" t="s">
        <v>6543</v>
      </c>
      <c r="D1662" s="7" t="s">
        <v>6546</v>
      </c>
      <c r="E1662" s="7" t="s">
        <v>6295</v>
      </c>
      <c r="F1662" s="7" t="s">
        <v>6590</v>
      </c>
      <c r="G1662" s="7" t="s">
        <v>7150</v>
      </c>
      <c r="H1662" s="7" t="s">
        <v>7156</v>
      </c>
      <c r="I1662" s="7"/>
      <c r="J1662" s="10">
        <v>43761</v>
      </c>
      <c r="K1662" s="7" t="s">
        <v>7163</v>
      </c>
      <c r="L1662" s="7"/>
      <c r="M1662" s="7"/>
    </row>
    <row r="1663" spans="1:13" x14ac:dyDescent="0.3">
      <c r="A1663" s="7">
        <v>300099</v>
      </c>
      <c r="B1663" s="7" t="s">
        <v>1671</v>
      </c>
      <c r="C1663" s="7" t="s">
        <v>6543</v>
      </c>
      <c r="D1663" s="7" t="s">
        <v>6546</v>
      </c>
      <c r="E1663" s="7" t="s">
        <v>6295</v>
      </c>
      <c r="F1663" s="7" t="s">
        <v>6590</v>
      </c>
      <c r="G1663" s="7" t="s">
        <v>7150</v>
      </c>
      <c r="H1663" s="7" t="s">
        <v>7156</v>
      </c>
      <c r="I1663" s="7"/>
      <c r="J1663" s="10">
        <v>43011</v>
      </c>
      <c r="K1663" s="7" t="s">
        <v>7163</v>
      </c>
      <c r="L1663" s="7"/>
      <c r="M1663" s="7"/>
    </row>
    <row r="1664" spans="1:13" x14ac:dyDescent="0.3">
      <c r="A1664" s="7">
        <v>11471</v>
      </c>
      <c r="B1664" s="7" t="s">
        <v>1672</v>
      </c>
      <c r="C1664" s="7" t="s">
        <v>6543</v>
      </c>
      <c r="D1664" s="7" t="s">
        <v>6546</v>
      </c>
      <c r="E1664" s="7" t="s">
        <v>6295</v>
      </c>
      <c r="F1664" s="7" t="s">
        <v>6590</v>
      </c>
      <c r="G1664" s="7" t="s">
        <v>7150</v>
      </c>
      <c r="H1664" s="7" t="s">
        <v>7156</v>
      </c>
      <c r="I1664" s="7"/>
      <c r="J1664" s="10">
        <v>42730</v>
      </c>
      <c r="K1664" s="7" t="s">
        <v>7163</v>
      </c>
      <c r="L1664" s="7"/>
      <c r="M1664" s="7"/>
    </row>
    <row r="1665" spans="1:13" x14ac:dyDescent="0.3">
      <c r="A1665" s="7">
        <v>11512</v>
      </c>
      <c r="B1665" s="7" t="s">
        <v>1673</v>
      </c>
      <c r="C1665" s="7" t="s">
        <v>6543</v>
      </c>
      <c r="D1665" s="7" t="s">
        <v>6546</v>
      </c>
      <c r="E1665" s="7" t="s">
        <v>6295</v>
      </c>
      <c r="F1665" s="7" t="s">
        <v>6590</v>
      </c>
      <c r="G1665" s="7" t="s">
        <v>7150</v>
      </c>
      <c r="H1665" s="7" t="s">
        <v>7156</v>
      </c>
      <c r="I1665" s="7"/>
      <c r="J1665" s="10">
        <v>42781</v>
      </c>
      <c r="K1665" s="7" t="s">
        <v>7163</v>
      </c>
      <c r="L1665" s="7"/>
      <c r="M1665" s="7"/>
    </row>
    <row r="1666" spans="1:13" x14ac:dyDescent="0.3">
      <c r="A1666" s="7">
        <v>15719</v>
      </c>
      <c r="B1666" s="7" t="s">
        <v>1674</v>
      </c>
      <c r="C1666" s="7" t="s">
        <v>6543</v>
      </c>
      <c r="D1666" s="7" t="s">
        <v>6546</v>
      </c>
      <c r="E1666" s="7" t="s">
        <v>6295</v>
      </c>
      <c r="F1666" s="7" t="s">
        <v>6590</v>
      </c>
      <c r="G1666" s="7" t="s">
        <v>7150</v>
      </c>
      <c r="H1666" s="7" t="s">
        <v>7156</v>
      </c>
      <c r="I1666" s="7"/>
      <c r="J1666" s="10">
        <v>45175</v>
      </c>
      <c r="K1666" s="7" t="s">
        <v>7163</v>
      </c>
      <c r="L1666" s="7"/>
      <c r="M1666" s="7"/>
    </row>
    <row r="1667" spans="1:13" x14ac:dyDescent="0.3">
      <c r="A1667" s="7">
        <v>12988</v>
      </c>
      <c r="B1667" s="7" t="s">
        <v>1675</v>
      </c>
      <c r="C1667" s="7" t="s">
        <v>6543</v>
      </c>
      <c r="D1667" s="7" t="s">
        <v>6546</v>
      </c>
      <c r="E1667" s="7" t="s">
        <v>6295</v>
      </c>
      <c r="F1667" s="7" t="s">
        <v>6590</v>
      </c>
      <c r="G1667" s="7" t="s">
        <v>7150</v>
      </c>
      <c r="H1667" s="7" t="s">
        <v>7156</v>
      </c>
      <c r="I1667" s="7"/>
      <c r="J1667" s="10">
        <v>44168</v>
      </c>
      <c r="K1667" s="7" t="s">
        <v>7163</v>
      </c>
      <c r="L1667" s="7"/>
      <c r="M1667" s="7"/>
    </row>
    <row r="1668" spans="1:13" x14ac:dyDescent="0.3">
      <c r="A1668" s="7">
        <v>19048</v>
      </c>
      <c r="B1668" s="7" t="s">
        <v>1676</v>
      </c>
      <c r="C1668" s="7" t="s">
        <v>6543</v>
      </c>
      <c r="D1668" s="7" t="s">
        <v>6546</v>
      </c>
      <c r="E1668" s="7" t="s">
        <v>6295</v>
      </c>
      <c r="F1668" s="7" t="s">
        <v>6557</v>
      </c>
      <c r="G1668" s="7" t="s">
        <v>7150</v>
      </c>
      <c r="H1668" s="7" t="s">
        <v>7156</v>
      </c>
      <c r="I1668" s="7" t="s">
        <v>7159</v>
      </c>
      <c r="J1668" s="10">
        <v>46259</v>
      </c>
      <c r="K1668" s="7" t="s">
        <v>7163</v>
      </c>
      <c r="L1668" s="7"/>
      <c r="M1668" s="7"/>
    </row>
    <row r="1669" spans="1:13" x14ac:dyDescent="0.3">
      <c r="A1669" s="7">
        <v>19065</v>
      </c>
      <c r="B1669" s="7" t="s">
        <v>1677</v>
      </c>
      <c r="C1669" s="7" t="s">
        <v>6543</v>
      </c>
      <c r="D1669" s="7" t="s">
        <v>6546</v>
      </c>
      <c r="E1669" s="7" t="s">
        <v>6295</v>
      </c>
      <c r="F1669" s="7" t="s">
        <v>6557</v>
      </c>
      <c r="G1669" s="7" t="s">
        <v>7150</v>
      </c>
      <c r="H1669" s="7" t="s">
        <v>7156</v>
      </c>
      <c r="I1669" s="7" t="s">
        <v>7159</v>
      </c>
      <c r="J1669" s="10">
        <v>46260</v>
      </c>
      <c r="K1669" s="7" t="s">
        <v>7163</v>
      </c>
      <c r="L1669" s="7"/>
      <c r="M1669" s="7"/>
    </row>
    <row r="1670" spans="1:13" x14ac:dyDescent="0.3">
      <c r="A1670" s="7">
        <v>19066</v>
      </c>
      <c r="B1670" s="7" t="s">
        <v>1678</v>
      </c>
      <c r="C1670" s="7" t="s">
        <v>6543</v>
      </c>
      <c r="D1670" s="7" t="s">
        <v>6546</v>
      </c>
      <c r="E1670" s="7" t="s">
        <v>6295</v>
      </c>
      <c r="F1670" s="7" t="s">
        <v>6557</v>
      </c>
      <c r="G1670" s="7" t="s">
        <v>7150</v>
      </c>
      <c r="H1670" s="7" t="s">
        <v>7156</v>
      </c>
      <c r="I1670" s="7" t="s">
        <v>7159</v>
      </c>
      <c r="J1670" s="10">
        <v>46260</v>
      </c>
      <c r="K1670" s="7" t="s">
        <v>7163</v>
      </c>
      <c r="L1670" s="7"/>
      <c r="M1670" s="7"/>
    </row>
    <row r="1671" spans="1:13" x14ac:dyDescent="0.3">
      <c r="A1671" s="7">
        <v>19067</v>
      </c>
      <c r="B1671" s="7" t="s">
        <v>1679</v>
      </c>
      <c r="C1671" s="7" t="s">
        <v>6543</v>
      </c>
      <c r="D1671" s="7" t="s">
        <v>6546</v>
      </c>
      <c r="E1671" s="7" t="s">
        <v>6295</v>
      </c>
      <c r="F1671" s="7" t="s">
        <v>6557</v>
      </c>
      <c r="G1671" s="7" t="s">
        <v>7150</v>
      </c>
      <c r="H1671" s="7" t="s">
        <v>7156</v>
      </c>
      <c r="I1671" s="7" t="s">
        <v>7159</v>
      </c>
      <c r="J1671" s="10">
        <v>46260</v>
      </c>
      <c r="K1671" s="7" t="s">
        <v>7163</v>
      </c>
      <c r="L1671" s="7"/>
      <c r="M1671" s="7"/>
    </row>
    <row r="1672" spans="1:13" x14ac:dyDescent="0.3">
      <c r="A1672" s="7">
        <v>19079</v>
      </c>
      <c r="B1672" s="7" t="s">
        <v>1680</v>
      </c>
      <c r="C1672" s="7" t="s">
        <v>6543</v>
      </c>
      <c r="D1672" s="7" t="s">
        <v>6546</v>
      </c>
      <c r="E1672" s="7" t="s">
        <v>6295</v>
      </c>
      <c r="F1672" s="7" t="s">
        <v>6557</v>
      </c>
      <c r="G1672" s="7" t="s">
        <v>7150</v>
      </c>
      <c r="H1672" s="7" t="s">
        <v>7156</v>
      </c>
      <c r="I1672" s="7" t="s">
        <v>7159</v>
      </c>
      <c r="J1672" s="10">
        <v>46261</v>
      </c>
      <c r="K1672" s="7" t="s">
        <v>7163</v>
      </c>
      <c r="L1672" s="7"/>
      <c r="M1672" s="7"/>
    </row>
    <row r="1673" spans="1:13" x14ac:dyDescent="0.3">
      <c r="A1673" s="7">
        <v>19140</v>
      </c>
      <c r="B1673" s="7" t="s">
        <v>1681</v>
      </c>
      <c r="C1673" s="7" t="s">
        <v>6543</v>
      </c>
      <c r="D1673" s="7" t="s">
        <v>6546</v>
      </c>
      <c r="E1673" s="7" t="s">
        <v>6295</v>
      </c>
      <c r="F1673" s="7" t="s">
        <v>6557</v>
      </c>
      <c r="G1673" s="7" t="s">
        <v>7150</v>
      </c>
      <c r="H1673" s="7" t="s">
        <v>7156</v>
      </c>
      <c r="I1673" s="7" t="s">
        <v>7159</v>
      </c>
      <c r="J1673" s="10">
        <v>46268</v>
      </c>
      <c r="K1673" s="7" t="s">
        <v>7163</v>
      </c>
      <c r="L1673" s="7"/>
      <c r="M1673" s="7"/>
    </row>
    <row r="1674" spans="1:13" x14ac:dyDescent="0.3">
      <c r="A1674" s="7">
        <v>16282</v>
      </c>
      <c r="B1674" s="7" t="s">
        <v>1682</v>
      </c>
      <c r="C1674" s="7" t="s">
        <v>6543</v>
      </c>
      <c r="D1674" s="7" t="s">
        <v>6546</v>
      </c>
      <c r="E1674" s="7" t="s">
        <v>6295</v>
      </c>
      <c r="F1674" s="7" t="s">
        <v>6590</v>
      </c>
      <c r="G1674" s="7" t="s">
        <v>7150</v>
      </c>
      <c r="H1674" s="7" t="s">
        <v>7156</v>
      </c>
      <c r="I1674" s="7"/>
      <c r="J1674" s="10">
        <v>45338</v>
      </c>
      <c r="K1674" s="7" t="s">
        <v>7163</v>
      </c>
      <c r="L1674" s="7"/>
      <c r="M1674" s="7"/>
    </row>
    <row r="1675" spans="1:13" x14ac:dyDescent="0.3">
      <c r="A1675" s="7">
        <v>16303</v>
      </c>
      <c r="B1675" s="7" t="s">
        <v>1683</v>
      </c>
      <c r="C1675" s="7" t="s">
        <v>6543</v>
      </c>
      <c r="D1675" s="7" t="s">
        <v>6546</v>
      </c>
      <c r="E1675" s="7" t="s">
        <v>6295</v>
      </c>
      <c r="F1675" s="7" t="s">
        <v>6590</v>
      </c>
      <c r="G1675" s="7" t="s">
        <v>7150</v>
      </c>
      <c r="H1675" s="7" t="s">
        <v>7156</v>
      </c>
      <c r="I1675" s="7"/>
      <c r="J1675" s="10">
        <v>45343</v>
      </c>
      <c r="K1675" s="7" t="s">
        <v>7163</v>
      </c>
      <c r="L1675" s="7"/>
      <c r="M1675" s="7"/>
    </row>
    <row r="1676" spans="1:13" x14ac:dyDescent="0.3">
      <c r="A1676" s="7">
        <v>16342</v>
      </c>
      <c r="B1676" s="7" t="s">
        <v>1684</v>
      </c>
      <c r="C1676" s="7" t="s">
        <v>6543</v>
      </c>
      <c r="D1676" s="7" t="s">
        <v>6546</v>
      </c>
      <c r="E1676" s="7" t="s">
        <v>6295</v>
      </c>
      <c r="F1676" s="7" t="s">
        <v>6590</v>
      </c>
      <c r="G1676" s="7" t="s">
        <v>7150</v>
      </c>
      <c r="H1676" s="7" t="s">
        <v>7156</v>
      </c>
      <c r="I1676" s="7"/>
      <c r="J1676" s="10">
        <v>45357</v>
      </c>
      <c r="K1676" s="7" t="s">
        <v>7163</v>
      </c>
      <c r="L1676" s="7"/>
      <c r="M1676" s="7"/>
    </row>
    <row r="1677" spans="1:13" x14ac:dyDescent="0.3">
      <c r="A1677" s="7">
        <v>16346</v>
      </c>
      <c r="B1677" s="7" t="s">
        <v>1685</v>
      </c>
      <c r="C1677" s="7" t="s">
        <v>6543</v>
      </c>
      <c r="D1677" s="7" t="s">
        <v>6546</v>
      </c>
      <c r="E1677" s="7" t="s">
        <v>6295</v>
      </c>
      <c r="F1677" s="7" t="s">
        <v>6590</v>
      </c>
      <c r="G1677" s="7" t="s">
        <v>7150</v>
      </c>
      <c r="H1677" s="7" t="s">
        <v>7156</v>
      </c>
      <c r="I1677" s="7"/>
      <c r="J1677" s="10">
        <v>45366</v>
      </c>
      <c r="K1677" s="7" t="s">
        <v>7163</v>
      </c>
      <c r="L1677" s="7"/>
      <c r="M1677" s="7"/>
    </row>
    <row r="1678" spans="1:13" x14ac:dyDescent="0.3">
      <c r="A1678" s="7">
        <v>16844</v>
      </c>
      <c r="B1678" s="7" t="s">
        <v>1686</v>
      </c>
      <c r="C1678" s="7" t="s">
        <v>6543</v>
      </c>
      <c r="D1678" s="7" t="s">
        <v>6546</v>
      </c>
      <c r="E1678" s="7" t="s">
        <v>6295</v>
      </c>
      <c r="F1678" s="7" t="s">
        <v>6590</v>
      </c>
      <c r="G1678" s="7" t="s">
        <v>7150</v>
      </c>
      <c r="H1678" s="7" t="s">
        <v>7156</v>
      </c>
      <c r="I1678" s="7"/>
      <c r="J1678" s="10">
        <v>45568</v>
      </c>
      <c r="K1678" s="7" t="s">
        <v>7163</v>
      </c>
      <c r="L1678" s="7"/>
      <c r="M1678" s="7"/>
    </row>
    <row r="1679" spans="1:13" x14ac:dyDescent="0.3">
      <c r="A1679" s="7">
        <v>14139</v>
      </c>
      <c r="B1679" s="7" t="s">
        <v>1687</v>
      </c>
      <c r="C1679" s="7" t="s">
        <v>6543</v>
      </c>
      <c r="D1679" s="7" t="s">
        <v>6546</v>
      </c>
      <c r="E1679" s="7" t="s">
        <v>6295</v>
      </c>
      <c r="F1679" s="7" t="s">
        <v>6590</v>
      </c>
      <c r="G1679" s="7" t="s">
        <v>7150</v>
      </c>
      <c r="H1679" s="7" t="s">
        <v>7156</v>
      </c>
      <c r="I1679" s="7"/>
      <c r="J1679" s="10">
        <v>44676</v>
      </c>
      <c r="K1679" s="7" t="s">
        <v>7163</v>
      </c>
      <c r="L1679" s="7"/>
      <c r="M1679" s="7"/>
    </row>
    <row r="1680" spans="1:13" x14ac:dyDescent="0.3">
      <c r="A1680" s="7">
        <v>11327</v>
      </c>
      <c r="B1680" s="7" t="s">
        <v>1688</v>
      </c>
      <c r="C1680" s="7" t="s">
        <v>6523</v>
      </c>
      <c r="D1680" s="7" t="s">
        <v>6591</v>
      </c>
      <c r="E1680" s="7" t="s">
        <v>6295</v>
      </c>
      <c r="F1680" s="7" t="s">
        <v>6335</v>
      </c>
      <c r="G1680" s="7" t="s">
        <v>7150</v>
      </c>
      <c r="H1680" s="7" t="s">
        <v>7156</v>
      </c>
      <c r="I1680" s="7"/>
      <c r="J1680" s="10">
        <v>42530</v>
      </c>
      <c r="K1680" s="7" t="s">
        <v>7163</v>
      </c>
      <c r="L1680" s="7"/>
      <c r="M1680" s="7"/>
    </row>
    <row r="1681" spans="1:13" x14ac:dyDescent="0.3">
      <c r="A1681" s="7">
        <v>12062</v>
      </c>
      <c r="B1681" s="7" t="s">
        <v>1689</v>
      </c>
      <c r="C1681" s="7" t="s">
        <v>6523</v>
      </c>
      <c r="D1681" s="7" t="s">
        <v>6591</v>
      </c>
      <c r="E1681" s="7" t="s">
        <v>6295</v>
      </c>
      <c r="F1681" s="7" t="s">
        <v>6335</v>
      </c>
      <c r="G1681" s="7" t="s">
        <v>7150</v>
      </c>
      <c r="H1681" s="7" t="s">
        <v>7156</v>
      </c>
      <c r="I1681" s="7"/>
      <c r="J1681" s="10">
        <v>43438</v>
      </c>
      <c r="K1681" s="7" t="s">
        <v>7163</v>
      </c>
      <c r="L1681" s="7"/>
      <c r="M1681" s="7"/>
    </row>
    <row r="1682" spans="1:13" x14ac:dyDescent="0.3">
      <c r="A1682" s="7">
        <v>10287</v>
      </c>
      <c r="B1682" s="7" t="s">
        <v>1690</v>
      </c>
      <c r="C1682" s="7" t="s">
        <v>6523</v>
      </c>
      <c r="D1682" s="7" t="s">
        <v>6591</v>
      </c>
      <c r="E1682" s="7" t="s">
        <v>6295</v>
      </c>
      <c r="F1682" s="7" t="s">
        <v>6353</v>
      </c>
      <c r="G1682" s="7" t="s">
        <v>7150</v>
      </c>
      <c r="H1682" s="7" t="s">
        <v>7156</v>
      </c>
      <c r="I1682" s="7"/>
      <c r="J1682" s="10">
        <v>39475</v>
      </c>
      <c r="K1682" s="7" t="s">
        <v>7163</v>
      </c>
      <c r="L1682" s="7"/>
      <c r="M1682" s="7"/>
    </row>
    <row r="1683" spans="1:13" x14ac:dyDescent="0.3">
      <c r="A1683" s="7">
        <v>10934</v>
      </c>
      <c r="B1683" s="7" t="s">
        <v>1691</v>
      </c>
      <c r="C1683" s="7" t="s">
        <v>6523</v>
      </c>
      <c r="D1683" s="7" t="s">
        <v>6524</v>
      </c>
      <c r="E1683" s="7" t="s">
        <v>6295</v>
      </c>
      <c r="F1683" s="7" t="s">
        <v>6353</v>
      </c>
      <c r="G1683" s="7" t="s">
        <v>7150</v>
      </c>
      <c r="H1683" s="7" t="s">
        <v>7156</v>
      </c>
      <c r="I1683" s="7"/>
      <c r="J1683" s="10">
        <v>42149</v>
      </c>
      <c r="K1683" s="7" t="s">
        <v>7163</v>
      </c>
      <c r="L1683" s="7"/>
      <c r="M1683" s="7"/>
    </row>
    <row r="1684" spans="1:13" x14ac:dyDescent="0.3">
      <c r="A1684" s="7">
        <v>10502</v>
      </c>
      <c r="B1684" s="7" t="s">
        <v>1692</v>
      </c>
      <c r="C1684" s="7" t="s">
        <v>6523</v>
      </c>
      <c r="D1684" s="7" t="s">
        <v>6591</v>
      </c>
      <c r="E1684" s="7" t="s">
        <v>6295</v>
      </c>
      <c r="F1684" s="7" t="s">
        <v>6353</v>
      </c>
      <c r="G1684" s="7" t="s">
        <v>7150</v>
      </c>
      <c r="H1684" s="7" t="s">
        <v>7156</v>
      </c>
      <c r="I1684" s="7"/>
      <c r="J1684" s="10">
        <v>40918</v>
      </c>
      <c r="K1684" s="7" t="s">
        <v>7163</v>
      </c>
      <c r="L1684" s="7"/>
      <c r="M1684" s="7"/>
    </row>
    <row r="1685" spans="1:13" x14ac:dyDescent="0.3">
      <c r="A1685" s="7">
        <v>120010</v>
      </c>
      <c r="B1685" s="7" t="s">
        <v>1693</v>
      </c>
      <c r="C1685" s="7" t="s">
        <v>6523</v>
      </c>
      <c r="D1685" s="7" t="s">
        <v>6591</v>
      </c>
      <c r="E1685" s="7" t="s">
        <v>6295</v>
      </c>
      <c r="F1685" s="7" t="s">
        <v>6353</v>
      </c>
      <c r="G1685" s="7" t="s">
        <v>7150</v>
      </c>
      <c r="H1685" s="7" t="s">
        <v>7156</v>
      </c>
      <c r="I1685" s="7"/>
      <c r="J1685" s="10">
        <v>36693</v>
      </c>
      <c r="K1685" s="7" t="s">
        <v>7163</v>
      </c>
      <c r="L1685" s="7"/>
      <c r="M1685" s="7"/>
    </row>
    <row r="1686" spans="1:13" x14ac:dyDescent="0.3">
      <c r="A1686" s="7">
        <v>11241</v>
      </c>
      <c r="B1686" s="7" t="s">
        <v>1694</v>
      </c>
      <c r="C1686" s="7" t="s">
        <v>6523</v>
      </c>
      <c r="D1686" s="7" t="s">
        <v>6524</v>
      </c>
      <c r="E1686" s="7" t="s">
        <v>6295</v>
      </c>
      <c r="F1686" s="7" t="s">
        <v>6340</v>
      </c>
      <c r="G1686" s="7" t="s">
        <v>7150</v>
      </c>
      <c r="H1686" s="7" t="s">
        <v>7156</v>
      </c>
      <c r="I1686" s="7"/>
      <c r="J1686" s="10">
        <v>42461</v>
      </c>
      <c r="K1686" s="7" t="s">
        <v>7163</v>
      </c>
      <c r="L1686" s="7"/>
      <c r="M1686" s="7"/>
    </row>
    <row r="1687" spans="1:13" x14ac:dyDescent="0.3">
      <c r="A1687" s="7">
        <v>11247</v>
      </c>
      <c r="B1687" s="7" t="s">
        <v>1695</v>
      </c>
      <c r="C1687" s="7" t="s">
        <v>6523</v>
      </c>
      <c r="D1687" s="7" t="s">
        <v>6524</v>
      </c>
      <c r="E1687" s="7" t="s">
        <v>6295</v>
      </c>
      <c r="F1687" s="7" t="s">
        <v>6340</v>
      </c>
      <c r="G1687" s="7" t="s">
        <v>7150</v>
      </c>
      <c r="H1687" s="7" t="s">
        <v>7156</v>
      </c>
      <c r="I1687" s="7"/>
      <c r="J1687" s="10">
        <v>42468</v>
      </c>
      <c r="K1687" s="7" t="s">
        <v>7163</v>
      </c>
      <c r="L1687" s="7"/>
      <c r="M1687" s="7"/>
    </row>
    <row r="1688" spans="1:13" x14ac:dyDescent="0.3">
      <c r="A1688" s="7">
        <v>180046</v>
      </c>
      <c r="B1688" s="7" t="s">
        <v>1696</v>
      </c>
      <c r="C1688" s="7" t="s">
        <v>6523</v>
      </c>
      <c r="D1688" s="7" t="s">
        <v>6591</v>
      </c>
      <c r="E1688" s="7" t="s">
        <v>6295</v>
      </c>
      <c r="F1688" s="7" t="s">
        <v>6340</v>
      </c>
      <c r="G1688" s="7" t="s">
        <v>7150</v>
      </c>
      <c r="H1688" s="7" t="s">
        <v>7156</v>
      </c>
      <c r="I1688" s="7"/>
      <c r="J1688" s="10">
        <v>43395</v>
      </c>
      <c r="K1688" s="7" t="s">
        <v>7163</v>
      </c>
      <c r="L1688" s="7"/>
      <c r="M1688" s="7"/>
    </row>
    <row r="1689" spans="1:13" x14ac:dyDescent="0.3">
      <c r="A1689" s="7">
        <v>13467</v>
      </c>
      <c r="B1689" s="7" t="s">
        <v>1697</v>
      </c>
      <c r="C1689" s="7" t="s">
        <v>6523</v>
      </c>
      <c r="D1689" s="7" t="s">
        <v>6591</v>
      </c>
      <c r="E1689" s="7" t="s">
        <v>6295</v>
      </c>
      <c r="F1689" s="7" t="s">
        <v>6340</v>
      </c>
      <c r="G1689" s="7" t="s">
        <v>7150</v>
      </c>
      <c r="H1689" s="7" t="s">
        <v>7156</v>
      </c>
      <c r="I1689" s="7"/>
      <c r="J1689" s="10">
        <v>44463</v>
      </c>
      <c r="K1689" s="7" t="s">
        <v>7163</v>
      </c>
      <c r="L1689" s="7"/>
      <c r="M1689" s="7"/>
    </row>
    <row r="1690" spans="1:13" x14ac:dyDescent="0.3">
      <c r="A1690" s="7">
        <v>12592</v>
      </c>
      <c r="B1690" s="7" t="s">
        <v>1698</v>
      </c>
      <c r="C1690" s="7" t="s">
        <v>6523</v>
      </c>
      <c r="D1690" s="7" t="s">
        <v>6591</v>
      </c>
      <c r="E1690" s="7" t="s">
        <v>6295</v>
      </c>
      <c r="F1690" s="7" t="s">
        <v>6340</v>
      </c>
      <c r="G1690" s="7" t="s">
        <v>7150</v>
      </c>
      <c r="H1690" s="7" t="s">
        <v>7156</v>
      </c>
      <c r="I1690" s="7"/>
      <c r="J1690" s="10">
        <v>43824</v>
      </c>
      <c r="K1690" s="7" t="s">
        <v>7163</v>
      </c>
      <c r="L1690" s="7"/>
      <c r="M1690" s="7"/>
    </row>
    <row r="1691" spans="1:13" x14ac:dyDescent="0.3">
      <c r="A1691" s="7">
        <v>15551</v>
      </c>
      <c r="B1691" s="7" t="s">
        <v>1699</v>
      </c>
      <c r="C1691" s="7" t="s">
        <v>6523</v>
      </c>
      <c r="D1691" s="7" t="s">
        <v>6524</v>
      </c>
      <c r="E1691" s="7" t="s">
        <v>6295</v>
      </c>
      <c r="F1691" s="7" t="s">
        <v>6341</v>
      </c>
      <c r="G1691" s="7" t="s">
        <v>7150</v>
      </c>
      <c r="H1691" s="7" t="s">
        <v>7156</v>
      </c>
      <c r="I1691" s="7"/>
      <c r="J1691" s="10">
        <v>45125</v>
      </c>
      <c r="K1691" s="7" t="s">
        <v>7163</v>
      </c>
      <c r="L1691" s="7"/>
      <c r="M1691" s="7"/>
    </row>
    <row r="1692" spans="1:13" x14ac:dyDescent="0.3">
      <c r="A1692" s="7">
        <v>15409</v>
      </c>
      <c r="B1692" s="7" t="s">
        <v>1700</v>
      </c>
      <c r="C1692" s="7" t="s">
        <v>6523</v>
      </c>
      <c r="D1692" s="7" t="s">
        <v>6591</v>
      </c>
      <c r="E1692" s="7" t="s">
        <v>6295</v>
      </c>
      <c r="F1692" s="7" t="s">
        <v>6341</v>
      </c>
      <c r="G1692" s="7" t="s">
        <v>7150</v>
      </c>
      <c r="H1692" s="7" t="s">
        <v>7156</v>
      </c>
      <c r="I1692" s="7"/>
      <c r="J1692" s="10">
        <v>45062</v>
      </c>
      <c r="K1692" s="7" t="s">
        <v>7163</v>
      </c>
      <c r="L1692" s="7"/>
      <c r="M1692" s="7"/>
    </row>
    <row r="1693" spans="1:13" x14ac:dyDescent="0.3">
      <c r="A1693" s="7">
        <v>17392</v>
      </c>
      <c r="B1693" s="7" t="s">
        <v>1701</v>
      </c>
      <c r="C1693" s="7" t="s">
        <v>6523</v>
      </c>
      <c r="D1693" s="7" t="s">
        <v>6591</v>
      </c>
      <c r="E1693" s="7" t="s">
        <v>6295</v>
      </c>
      <c r="F1693" s="7" t="s">
        <v>6341</v>
      </c>
      <c r="G1693" s="7" t="s">
        <v>7150</v>
      </c>
      <c r="H1693" s="7" t="s">
        <v>7156</v>
      </c>
      <c r="I1693" s="7"/>
      <c r="J1693" s="10">
        <v>45730</v>
      </c>
      <c r="K1693" s="7" t="s">
        <v>7163</v>
      </c>
      <c r="L1693" s="7"/>
      <c r="M1693" s="7"/>
    </row>
    <row r="1694" spans="1:13" x14ac:dyDescent="0.3">
      <c r="A1694" s="7">
        <v>17386</v>
      </c>
      <c r="B1694" s="7" t="s">
        <v>1702</v>
      </c>
      <c r="C1694" s="7" t="s">
        <v>6523</v>
      </c>
      <c r="D1694" s="7" t="s">
        <v>6591</v>
      </c>
      <c r="E1694" s="7" t="s">
        <v>6295</v>
      </c>
      <c r="F1694" s="7" t="s">
        <v>6341</v>
      </c>
      <c r="G1694" s="7" t="s">
        <v>7150</v>
      </c>
      <c r="H1694" s="7" t="s">
        <v>7156</v>
      </c>
      <c r="I1694" s="7"/>
      <c r="J1694" s="10">
        <v>45730</v>
      </c>
      <c r="K1694" s="7" t="s">
        <v>7163</v>
      </c>
      <c r="L1694" s="7"/>
      <c r="M1694" s="7"/>
    </row>
    <row r="1695" spans="1:13" x14ac:dyDescent="0.3">
      <c r="A1695" s="7">
        <v>10937</v>
      </c>
      <c r="B1695" s="7" t="s">
        <v>1703</v>
      </c>
      <c r="C1695" s="7" t="s">
        <v>6489</v>
      </c>
      <c r="D1695" s="7" t="s">
        <v>6295</v>
      </c>
      <c r="E1695" s="7" t="s">
        <v>6295</v>
      </c>
      <c r="F1695" s="7" t="s">
        <v>6336</v>
      </c>
      <c r="G1695" s="7" t="s">
        <v>7150</v>
      </c>
      <c r="H1695" s="7" t="s">
        <v>7156</v>
      </c>
      <c r="I1695" s="7"/>
      <c r="J1695" s="10">
        <v>42159</v>
      </c>
      <c r="K1695" s="7" t="s">
        <v>7163</v>
      </c>
      <c r="L1695" s="7"/>
      <c r="M1695" s="7"/>
    </row>
    <row r="1696" spans="1:13" x14ac:dyDescent="0.3">
      <c r="A1696" s="7">
        <v>540023</v>
      </c>
      <c r="B1696" s="7" t="s">
        <v>1704</v>
      </c>
      <c r="C1696" s="7" t="s">
        <v>6489</v>
      </c>
      <c r="D1696" s="7" t="s">
        <v>6592</v>
      </c>
      <c r="E1696" s="7" t="s">
        <v>6295</v>
      </c>
      <c r="F1696" s="7" t="s">
        <v>6338</v>
      </c>
      <c r="G1696" s="7" t="s">
        <v>7150</v>
      </c>
      <c r="H1696" s="7" t="s">
        <v>7156</v>
      </c>
      <c r="I1696" s="7"/>
      <c r="J1696" s="10">
        <v>42144</v>
      </c>
      <c r="K1696" s="7" t="s">
        <v>7163</v>
      </c>
      <c r="L1696" s="7"/>
      <c r="M1696" s="7"/>
    </row>
    <row r="1697" spans="1:13" x14ac:dyDescent="0.3">
      <c r="A1697" s="7">
        <v>11545</v>
      </c>
      <c r="B1697" s="7" t="s">
        <v>1705</v>
      </c>
      <c r="C1697" s="7" t="s">
        <v>6489</v>
      </c>
      <c r="D1697" s="7" t="s">
        <v>6593</v>
      </c>
      <c r="E1697" s="7" t="s">
        <v>6295</v>
      </c>
      <c r="F1697" s="7" t="s">
        <v>6338</v>
      </c>
      <c r="G1697" s="7" t="s">
        <v>7150</v>
      </c>
      <c r="H1697" s="7" t="s">
        <v>7156</v>
      </c>
      <c r="I1697" s="7"/>
      <c r="J1697" s="10">
        <v>42821</v>
      </c>
      <c r="K1697" s="7" t="s">
        <v>7163</v>
      </c>
      <c r="L1697" s="7"/>
      <c r="M1697" s="7"/>
    </row>
    <row r="1698" spans="1:13" x14ac:dyDescent="0.3">
      <c r="A1698" s="7">
        <v>11622</v>
      </c>
      <c r="B1698" s="7" t="s">
        <v>1706</v>
      </c>
      <c r="C1698" s="7" t="s">
        <v>6489</v>
      </c>
      <c r="D1698" s="7" t="s">
        <v>6592</v>
      </c>
      <c r="E1698" s="7" t="s">
        <v>6594</v>
      </c>
      <c r="F1698" s="7" t="s">
        <v>6498</v>
      </c>
      <c r="G1698" s="7" t="s">
        <v>7150</v>
      </c>
      <c r="H1698" s="7" t="s">
        <v>7156</v>
      </c>
      <c r="I1698" s="7"/>
      <c r="J1698" s="10">
        <v>42940</v>
      </c>
      <c r="K1698" s="7" t="s">
        <v>7163</v>
      </c>
      <c r="L1698" s="7"/>
      <c r="M1698" s="7"/>
    </row>
    <row r="1699" spans="1:13" x14ac:dyDescent="0.3">
      <c r="A1699" s="7">
        <v>11597</v>
      </c>
      <c r="B1699" s="7" t="s">
        <v>1707</v>
      </c>
      <c r="C1699" s="7" t="s">
        <v>6489</v>
      </c>
      <c r="D1699" s="7" t="s">
        <v>6592</v>
      </c>
      <c r="E1699" s="7" t="s">
        <v>6594</v>
      </c>
      <c r="F1699" s="7" t="s">
        <v>6542</v>
      </c>
      <c r="G1699" s="7" t="s">
        <v>7150</v>
      </c>
      <c r="H1699" s="7" t="s">
        <v>7156</v>
      </c>
      <c r="I1699" s="7"/>
      <c r="J1699" s="10">
        <v>42894</v>
      </c>
      <c r="K1699" s="7" t="s">
        <v>7163</v>
      </c>
      <c r="L1699" s="7"/>
      <c r="M1699" s="7"/>
    </row>
    <row r="1700" spans="1:13" x14ac:dyDescent="0.3">
      <c r="A1700" s="7">
        <v>11869</v>
      </c>
      <c r="B1700" s="7" t="s">
        <v>1708</v>
      </c>
      <c r="C1700" s="7" t="s">
        <v>6489</v>
      </c>
      <c r="D1700" s="7" t="s">
        <v>6592</v>
      </c>
      <c r="E1700" s="7" t="s">
        <v>6594</v>
      </c>
      <c r="F1700" s="7" t="s">
        <v>6542</v>
      </c>
      <c r="G1700" s="7" t="s">
        <v>7150</v>
      </c>
      <c r="H1700" s="7" t="s">
        <v>7156</v>
      </c>
      <c r="I1700" s="7"/>
      <c r="J1700" s="10">
        <v>43221</v>
      </c>
      <c r="K1700" s="7" t="s">
        <v>7163</v>
      </c>
      <c r="L1700" s="7"/>
      <c r="M1700" s="7"/>
    </row>
    <row r="1701" spans="1:13" x14ac:dyDescent="0.3">
      <c r="A1701" s="7">
        <v>11233</v>
      </c>
      <c r="B1701" s="7" t="s">
        <v>1709</v>
      </c>
      <c r="C1701" s="7" t="s">
        <v>6489</v>
      </c>
      <c r="D1701" s="7" t="s">
        <v>6592</v>
      </c>
      <c r="E1701" s="7" t="s">
        <v>6594</v>
      </c>
      <c r="F1701" s="7" t="s">
        <v>6542</v>
      </c>
      <c r="G1701" s="7" t="s">
        <v>7150</v>
      </c>
      <c r="H1701" s="7" t="s">
        <v>7156</v>
      </c>
      <c r="I1701" s="7"/>
      <c r="J1701" s="10">
        <v>42443</v>
      </c>
      <c r="K1701" s="7" t="s">
        <v>7163</v>
      </c>
      <c r="L1701" s="7"/>
      <c r="M1701" s="7"/>
    </row>
    <row r="1702" spans="1:13" x14ac:dyDescent="0.3">
      <c r="A1702" s="7">
        <v>620031</v>
      </c>
      <c r="B1702" s="7" t="s">
        <v>1710</v>
      </c>
      <c r="C1702" s="7" t="s">
        <v>6489</v>
      </c>
      <c r="D1702" s="7" t="s">
        <v>6592</v>
      </c>
      <c r="E1702" s="7" t="s">
        <v>6594</v>
      </c>
      <c r="F1702" s="7" t="s">
        <v>6595</v>
      </c>
      <c r="G1702" s="7" t="s">
        <v>7150</v>
      </c>
      <c r="H1702" s="7" t="s">
        <v>7156</v>
      </c>
      <c r="I1702" s="7"/>
      <c r="J1702" s="10">
        <v>43825</v>
      </c>
      <c r="K1702" s="7" t="s">
        <v>7163</v>
      </c>
      <c r="L1702" s="7"/>
      <c r="M1702" s="7"/>
    </row>
    <row r="1703" spans="1:13" x14ac:dyDescent="0.3">
      <c r="A1703" s="7">
        <v>12582</v>
      </c>
      <c r="B1703" s="7" t="s">
        <v>1711</v>
      </c>
      <c r="C1703" s="7" t="s">
        <v>6489</v>
      </c>
      <c r="D1703" s="7" t="s">
        <v>6592</v>
      </c>
      <c r="E1703" s="7" t="s">
        <v>6594</v>
      </c>
      <c r="F1703" s="7" t="s">
        <v>6340</v>
      </c>
      <c r="G1703" s="7" t="s">
        <v>7150</v>
      </c>
      <c r="H1703" s="7" t="s">
        <v>7156</v>
      </c>
      <c r="I1703" s="7"/>
      <c r="J1703" s="10">
        <v>43818</v>
      </c>
      <c r="K1703" s="7" t="s">
        <v>7163</v>
      </c>
      <c r="L1703" s="7"/>
      <c r="M1703" s="7"/>
    </row>
    <row r="1704" spans="1:13" x14ac:dyDescent="0.3">
      <c r="A1704" s="7">
        <v>14261</v>
      </c>
      <c r="B1704" s="7" t="s">
        <v>1712</v>
      </c>
      <c r="C1704" s="7" t="s">
        <v>6489</v>
      </c>
      <c r="D1704" s="7" t="s">
        <v>6592</v>
      </c>
      <c r="E1704" s="7" t="s">
        <v>6594</v>
      </c>
      <c r="F1704" s="7" t="s">
        <v>6596</v>
      </c>
      <c r="G1704" s="7" t="s">
        <v>7150</v>
      </c>
      <c r="H1704" s="7" t="s">
        <v>7156</v>
      </c>
      <c r="I1704" s="7"/>
      <c r="J1704" s="10">
        <v>44714</v>
      </c>
      <c r="K1704" s="7" t="s">
        <v>7163</v>
      </c>
      <c r="L1704" s="7"/>
      <c r="M1704" s="7"/>
    </row>
    <row r="1705" spans="1:13" x14ac:dyDescent="0.3">
      <c r="A1705" s="7">
        <v>12976</v>
      </c>
      <c r="B1705" s="7" t="s">
        <v>1713</v>
      </c>
      <c r="C1705" s="7" t="s">
        <v>6489</v>
      </c>
      <c r="D1705" s="7" t="s">
        <v>6592</v>
      </c>
      <c r="E1705" s="7" t="s">
        <v>6594</v>
      </c>
      <c r="F1705" s="7" t="s">
        <v>6340</v>
      </c>
      <c r="G1705" s="7" t="s">
        <v>7150</v>
      </c>
      <c r="H1705" s="7" t="s">
        <v>7156</v>
      </c>
      <c r="I1705" s="7"/>
      <c r="J1705" s="10">
        <v>44159</v>
      </c>
      <c r="K1705" s="7" t="s">
        <v>7163</v>
      </c>
      <c r="L1705" s="7"/>
      <c r="M1705" s="7"/>
    </row>
    <row r="1706" spans="1:13" x14ac:dyDescent="0.3">
      <c r="A1706" s="7">
        <v>13584</v>
      </c>
      <c r="B1706" s="7" t="s">
        <v>1714</v>
      </c>
      <c r="C1706" s="7" t="s">
        <v>6489</v>
      </c>
      <c r="D1706" s="7" t="s">
        <v>6592</v>
      </c>
      <c r="E1706" s="7" t="s">
        <v>6594</v>
      </c>
      <c r="F1706" s="7" t="s">
        <v>6340</v>
      </c>
      <c r="G1706" s="7" t="s">
        <v>7150</v>
      </c>
      <c r="H1706" s="7" t="s">
        <v>7156</v>
      </c>
      <c r="I1706" s="7"/>
      <c r="J1706" s="10">
        <v>44503</v>
      </c>
      <c r="K1706" s="7" t="s">
        <v>7163</v>
      </c>
      <c r="L1706" s="7"/>
      <c r="M1706" s="7"/>
    </row>
    <row r="1707" spans="1:13" x14ac:dyDescent="0.3">
      <c r="A1707" s="7">
        <v>13617</v>
      </c>
      <c r="B1707" s="7" t="s">
        <v>1715</v>
      </c>
      <c r="C1707" s="7" t="s">
        <v>6489</v>
      </c>
      <c r="D1707" s="7" t="s">
        <v>6592</v>
      </c>
      <c r="E1707" s="7" t="s">
        <v>6594</v>
      </c>
      <c r="F1707" s="7" t="s">
        <v>6340</v>
      </c>
      <c r="G1707" s="7" t="s">
        <v>7150</v>
      </c>
      <c r="H1707" s="7" t="s">
        <v>7156</v>
      </c>
      <c r="I1707" s="7"/>
      <c r="J1707" s="10">
        <v>44518</v>
      </c>
      <c r="K1707" s="7" t="s">
        <v>7163</v>
      </c>
      <c r="L1707" s="7"/>
      <c r="M1707" s="7"/>
    </row>
    <row r="1708" spans="1:13" x14ac:dyDescent="0.3">
      <c r="A1708" s="7">
        <v>14307</v>
      </c>
      <c r="B1708" s="7" t="s">
        <v>1716</v>
      </c>
      <c r="C1708" s="7" t="s">
        <v>6489</v>
      </c>
      <c r="D1708" s="7" t="s">
        <v>6592</v>
      </c>
      <c r="E1708" s="7" t="s">
        <v>6594</v>
      </c>
      <c r="F1708" s="7" t="s">
        <v>6340</v>
      </c>
      <c r="G1708" s="7" t="s">
        <v>7150</v>
      </c>
      <c r="H1708" s="7" t="s">
        <v>7156</v>
      </c>
      <c r="I1708" s="7"/>
      <c r="J1708" s="10">
        <v>44728</v>
      </c>
      <c r="K1708" s="7" t="s">
        <v>7163</v>
      </c>
      <c r="L1708" s="7"/>
      <c r="M1708" s="7"/>
    </row>
    <row r="1709" spans="1:13" x14ac:dyDescent="0.3">
      <c r="A1709" s="7">
        <v>14457</v>
      </c>
      <c r="B1709" s="7" t="s">
        <v>1717</v>
      </c>
      <c r="C1709" s="7" t="s">
        <v>6489</v>
      </c>
      <c r="D1709" s="7" t="s">
        <v>6592</v>
      </c>
      <c r="E1709" s="7" t="s">
        <v>6594</v>
      </c>
      <c r="F1709" s="7" t="s">
        <v>6340</v>
      </c>
      <c r="G1709" s="7" t="s">
        <v>7150</v>
      </c>
      <c r="H1709" s="7" t="s">
        <v>7156</v>
      </c>
      <c r="I1709" s="7"/>
      <c r="J1709" s="10">
        <v>44763</v>
      </c>
      <c r="K1709" s="7" t="s">
        <v>7163</v>
      </c>
      <c r="L1709" s="7"/>
      <c r="M1709" s="7"/>
    </row>
    <row r="1710" spans="1:13" x14ac:dyDescent="0.3">
      <c r="A1710" s="7">
        <v>14740</v>
      </c>
      <c r="B1710" s="7" t="s">
        <v>1718</v>
      </c>
      <c r="C1710" s="7" t="s">
        <v>6489</v>
      </c>
      <c r="D1710" s="7" t="s">
        <v>6592</v>
      </c>
      <c r="E1710" s="7" t="s">
        <v>6594</v>
      </c>
      <c r="F1710" s="7" t="s">
        <v>6340</v>
      </c>
      <c r="G1710" s="7" t="s">
        <v>7150</v>
      </c>
      <c r="H1710" s="7" t="s">
        <v>7156</v>
      </c>
      <c r="I1710" s="7"/>
      <c r="J1710" s="10">
        <v>44844</v>
      </c>
      <c r="K1710" s="7" t="s">
        <v>7163</v>
      </c>
      <c r="L1710" s="7"/>
      <c r="M1710" s="7"/>
    </row>
    <row r="1711" spans="1:13" x14ac:dyDescent="0.3">
      <c r="A1711" s="7">
        <v>15008</v>
      </c>
      <c r="B1711" s="7" t="s">
        <v>1719</v>
      </c>
      <c r="C1711" s="7" t="s">
        <v>6489</v>
      </c>
      <c r="D1711" s="7" t="s">
        <v>6592</v>
      </c>
      <c r="E1711" s="7" t="s">
        <v>6594</v>
      </c>
      <c r="F1711" s="7" t="s">
        <v>6340</v>
      </c>
      <c r="G1711" s="7" t="s">
        <v>7150</v>
      </c>
      <c r="H1711" s="7" t="s">
        <v>7156</v>
      </c>
      <c r="I1711" s="7"/>
      <c r="J1711" s="10">
        <v>44916</v>
      </c>
      <c r="K1711" s="7" t="s">
        <v>7163</v>
      </c>
      <c r="L1711" s="7"/>
      <c r="M1711" s="7"/>
    </row>
    <row r="1712" spans="1:13" x14ac:dyDescent="0.3">
      <c r="A1712" s="7">
        <v>15126</v>
      </c>
      <c r="B1712" s="7" t="s">
        <v>1720</v>
      </c>
      <c r="C1712" s="7" t="s">
        <v>6489</v>
      </c>
      <c r="D1712" s="7" t="s">
        <v>6592</v>
      </c>
      <c r="E1712" s="7" t="s">
        <v>6594</v>
      </c>
      <c r="F1712" s="7" t="s">
        <v>6341</v>
      </c>
      <c r="G1712" s="7" t="s">
        <v>7150</v>
      </c>
      <c r="H1712" s="7" t="s">
        <v>7156</v>
      </c>
      <c r="I1712" s="7"/>
      <c r="J1712" s="10">
        <v>44959</v>
      </c>
      <c r="K1712" s="7" t="s">
        <v>7163</v>
      </c>
      <c r="L1712" s="7"/>
      <c r="M1712" s="7"/>
    </row>
    <row r="1713" spans="1:13" x14ac:dyDescent="0.3">
      <c r="A1713" s="7">
        <v>16368</v>
      </c>
      <c r="B1713" s="7" t="s">
        <v>1721</v>
      </c>
      <c r="C1713" s="7" t="s">
        <v>6489</v>
      </c>
      <c r="D1713" s="7" t="s">
        <v>6592</v>
      </c>
      <c r="E1713" s="7" t="s">
        <v>6594</v>
      </c>
      <c r="F1713" s="7" t="s">
        <v>6341</v>
      </c>
      <c r="G1713" s="7" t="s">
        <v>7150</v>
      </c>
      <c r="H1713" s="7" t="s">
        <v>7156</v>
      </c>
      <c r="I1713" s="7"/>
      <c r="J1713" s="10">
        <v>45363</v>
      </c>
      <c r="K1713" s="7" t="s">
        <v>7163</v>
      </c>
      <c r="L1713" s="7"/>
      <c r="M1713" s="7"/>
    </row>
    <row r="1714" spans="1:13" x14ac:dyDescent="0.3">
      <c r="A1714" s="7">
        <v>16060</v>
      </c>
      <c r="B1714" s="7" t="s">
        <v>1722</v>
      </c>
      <c r="C1714" s="7" t="s">
        <v>6489</v>
      </c>
      <c r="D1714" s="7" t="s">
        <v>6592</v>
      </c>
      <c r="E1714" s="7" t="s">
        <v>6594</v>
      </c>
      <c r="F1714" s="7" t="s">
        <v>6341</v>
      </c>
      <c r="G1714" s="7" t="s">
        <v>7150</v>
      </c>
      <c r="H1714" s="7" t="s">
        <v>7156</v>
      </c>
      <c r="I1714" s="7"/>
      <c r="J1714" s="10">
        <v>45275</v>
      </c>
      <c r="K1714" s="7" t="s">
        <v>7163</v>
      </c>
      <c r="L1714" s="7"/>
      <c r="M1714" s="7"/>
    </row>
    <row r="1715" spans="1:13" x14ac:dyDescent="0.3">
      <c r="A1715" s="7">
        <v>16066</v>
      </c>
      <c r="B1715" s="7" t="s">
        <v>1723</v>
      </c>
      <c r="C1715" s="7" t="s">
        <v>6489</v>
      </c>
      <c r="D1715" s="7" t="s">
        <v>6592</v>
      </c>
      <c r="E1715" s="7" t="s">
        <v>6594</v>
      </c>
      <c r="F1715" s="7" t="s">
        <v>6341</v>
      </c>
      <c r="G1715" s="7" t="s">
        <v>7150</v>
      </c>
      <c r="H1715" s="7" t="s">
        <v>7156</v>
      </c>
      <c r="I1715" s="7"/>
      <c r="J1715" s="10">
        <v>45275</v>
      </c>
      <c r="K1715" s="7" t="s">
        <v>7163</v>
      </c>
      <c r="L1715" s="7"/>
      <c r="M1715" s="7"/>
    </row>
    <row r="1716" spans="1:13" x14ac:dyDescent="0.3">
      <c r="A1716" s="7">
        <v>16188</v>
      </c>
      <c r="B1716" s="7" t="s">
        <v>1724</v>
      </c>
      <c r="C1716" s="7" t="s">
        <v>6489</v>
      </c>
      <c r="D1716" s="7" t="s">
        <v>6592</v>
      </c>
      <c r="E1716" s="7" t="s">
        <v>6594</v>
      </c>
      <c r="F1716" s="7" t="s">
        <v>6341</v>
      </c>
      <c r="G1716" s="7" t="s">
        <v>7150</v>
      </c>
      <c r="H1716" s="7" t="s">
        <v>7156</v>
      </c>
      <c r="I1716" s="7"/>
      <c r="J1716" s="10">
        <v>45310</v>
      </c>
      <c r="K1716" s="7" t="s">
        <v>7163</v>
      </c>
      <c r="L1716" s="7"/>
      <c r="M1716" s="7"/>
    </row>
    <row r="1717" spans="1:13" x14ac:dyDescent="0.3">
      <c r="A1717" s="7">
        <v>16189</v>
      </c>
      <c r="B1717" s="7" t="s">
        <v>1725</v>
      </c>
      <c r="C1717" s="7" t="s">
        <v>6489</v>
      </c>
      <c r="D1717" s="7" t="s">
        <v>6592</v>
      </c>
      <c r="E1717" s="7" t="s">
        <v>6594</v>
      </c>
      <c r="F1717" s="7" t="s">
        <v>6341</v>
      </c>
      <c r="G1717" s="7" t="s">
        <v>7150</v>
      </c>
      <c r="H1717" s="7" t="s">
        <v>7156</v>
      </c>
      <c r="I1717" s="7"/>
      <c r="J1717" s="10">
        <v>45313</v>
      </c>
      <c r="K1717" s="7" t="s">
        <v>7163</v>
      </c>
      <c r="L1717" s="7"/>
      <c r="M1717" s="7"/>
    </row>
    <row r="1718" spans="1:13" x14ac:dyDescent="0.3">
      <c r="A1718" s="7">
        <v>16822</v>
      </c>
      <c r="B1718" s="7" t="s">
        <v>1726</v>
      </c>
      <c r="C1718" s="7" t="s">
        <v>6489</v>
      </c>
      <c r="D1718" s="7" t="s">
        <v>6592</v>
      </c>
      <c r="E1718" s="7" t="s">
        <v>6594</v>
      </c>
      <c r="F1718" s="7" t="s">
        <v>6341</v>
      </c>
      <c r="G1718" s="7" t="s">
        <v>7150</v>
      </c>
      <c r="H1718" s="7" t="s">
        <v>7156</v>
      </c>
      <c r="I1718" s="7"/>
      <c r="J1718" s="10">
        <v>45560</v>
      </c>
      <c r="K1718" s="7" t="s">
        <v>7163</v>
      </c>
      <c r="L1718" s="7"/>
      <c r="M1718" s="7"/>
    </row>
    <row r="1719" spans="1:13" x14ac:dyDescent="0.3">
      <c r="A1719" s="7">
        <v>16177</v>
      </c>
      <c r="B1719" s="7" t="s">
        <v>1727</v>
      </c>
      <c r="C1719" s="7" t="s">
        <v>6489</v>
      </c>
      <c r="D1719" s="7" t="s">
        <v>6592</v>
      </c>
      <c r="E1719" s="7" t="s">
        <v>6594</v>
      </c>
      <c r="F1719" s="7" t="s">
        <v>6341</v>
      </c>
      <c r="G1719" s="7" t="s">
        <v>7150</v>
      </c>
      <c r="H1719" s="7" t="s">
        <v>7156</v>
      </c>
      <c r="I1719" s="7"/>
      <c r="J1719" s="10">
        <v>45309</v>
      </c>
      <c r="K1719" s="7" t="s">
        <v>7163</v>
      </c>
      <c r="L1719" s="7"/>
      <c r="M1719" s="7"/>
    </row>
    <row r="1720" spans="1:13" x14ac:dyDescent="0.3">
      <c r="A1720" s="7">
        <v>18908</v>
      </c>
      <c r="B1720" s="7" t="s">
        <v>1728</v>
      </c>
      <c r="C1720" s="7" t="s">
        <v>6489</v>
      </c>
      <c r="D1720" s="7" t="s">
        <v>6592</v>
      </c>
      <c r="E1720" s="7" t="s">
        <v>6594</v>
      </c>
      <c r="F1720" s="7" t="s">
        <v>6341</v>
      </c>
      <c r="G1720" s="7" t="s">
        <v>7150</v>
      </c>
      <c r="H1720" s="7" t="s">
        <v>7156</v>
      </c>
      <c r="I1720" s="7"/>
      <c r="J1720" s="10">
        <v>46240</v>
      </c>
      <c r="K1720" s="7" t="s">
        <v>7163</v>
      </c>
      <c r="L1720" s="7"/>
      <c r="M1720" s="7"/>
    </row>
    <row r="1721" spans="1:13" x14ac:dyDescent="0.3">
      <c r="A1721" s="7">
        <v>17652</v>
      </c>
      <c r="B1721" s="7" t="s">
        <v>1729</v>
      </c>
      <c r="C1721" s="7" t="s">
        <v>6489</v>
      </c>
      <c r="D1721" s="7" t="s">
        <v>6592</v>
      </c>
      <c r="E1721" s="7" t="s">
        <v>6594</v>
      </c>
      <c r="F1721" s="7" t="s">
        <v>6341</v>
      </c>
      <c r="G1721" s="7" t="s">
        <v>7150</v>
      </c>
      <c r="H1721" s="7" t="s">
        <v>7156</v>
      </c>
      <c r="I1721" s="7"/>
      <c r="J1721" s="10">
        <v>45828</v>
      </c>
      <c r="K1721" s="7" t="s">
        <v>7163</v>
      </c>
      <c r="L1721" s="7"/>
      <c r="M1721" s="7"/>
    </row>
    <row r="1722" spans="1:13" x14ac:dyDescent="0.3">
      <c r="A1722" s="7">
        <v>18297</v>
      </c>
      <c r="B1722" s="7" t="s">
        <v>1730</v>
      </c>
      <c r="C1722" s="7" t="s">
        <v>6489</v>
      </c>
      <c r="D1722" s="7" t="s">
        <v>6592</v>
      </c>
      <c r="E1722" s="7" t="s">
        <v>6594</v>
      </c>
      <c r="F1722" s="7" t="s">
        <v>6348</v>
      </c>
      <c r="G1722" s="7" t="s">
        <v>7150</v>
      </c>
      <c r="H1722" s="7" t="s">
        <v>7156</v>
      </c>
      <c r="I1722" s="7"/>
      <c r="J1722" s="10">
        <v>46084</v>
      </c>
      <c r="K1722" s="7" t="s">
        <v>7163</v>
      </c>
      <c r="L1722" s="7"/>
      <c r="M1722" s="7"/>
    </row>
    <row r="1723" spans="1:13" x14ac:dyDescent="0.3">
      <c r="A1723" s="7">
        <v>18626</v>
      </c>
      <c r="B1723" s="7" t="s">
        <v>1731</v>
      </c>
      <c r="C1723" s="7" t="s">
        <v>6489</v>
      </c>
      <c r="D1723" s="7" t="s">
        <v>6592</v>
      </c>
      <c r="E1723" s="7" t="s">
        <v>6594</v>
      </c>
      <c r="F1723" s="7" t="s">
        <v>6348</v>
      </c>
      <c r="G1723" s="7" t="s">
        <v>7150</v>
      </c>
      <c r="H1723" s="7" t="s">
        <v>7156</v>
      </c>
      <c r="I1723" s="7"/>
      <c r="J1723" s="10">
        <v>46176</v>
      </c>
      <c r="K1723" s="7" t="s">
        <v>7163</v>
      </c>
      <c r="L1723" s="7"/>
      <c r="M1723" s="7"/>
    </row>
    <row r="1724" spans="1:13" x14ac:dyDescent="0.3">
      <c r="A1724" s="7">
        <v>18670</v>
      </c>
      <c r="B1724" s="7" t="s">
        <v>1732</v>
      </c>
      <c r="C1724" s="7" t="s">
        <v>6489</v>
      </c>
      <c r="D1724" s="7" t="s">
        <v>6592</v>
      </c>
      <c r="E1724" s="7" t="s">
        <v>6594</v>
      </c>
      <c r="F1724" s="7" t="s">
        <v>6348</v>
      </c>
      <c r="G1724" s="7" t="s">
        <v>7150</v>
      </c>
      <c r="H1724" s="7" t="s">
        <v>7156</v>
      </c>
      <c r="I1724" s="7"/>
      <c r="J1724" s="10">
        <v>46190</v>
      </c>
      <c r="K1724" s="7" t="s">
        <v>7163</v>
      </c>
      <c r="L1724" s="7"/>
      <c r="M1724" s="7"/>
    </row>
    <row r="1725" spans="1:13" x14ac:dyDescent="0.3">
      <c r="A1725" s="7">
        <v>16989</v>
      </c>
      <c r="B1725" s="7" t="s">
        <v>1733</v>
      </c>
      <c r="C1725" s="7" t="s">
        <v>6489</v>
      </c>
      <c r="D1725" s="7" t="s">
        <v>6592</v>
      </c>
      <c r="E1725" s="7" t="s">
        <v>6594</v>
      </c>
      <c r="F1725" s="7" t="s">
        <v>6341</v>
      </c>
      <c r="G1725" s="7" t="s">
        <v>7150</v>
      </c>
      <c r="H1725" s="7" t="s">
        <v>7156</v>
      </c>
      <c r="I1725" s="7"/>
      <c r="J1725" s="10">
        <v>45587</v>
      </c>
      <c r="K1725" s="7" t="s">
        <v>7163</v>
      </c>
      <c r="L1725" s="7"/>
      <c r="M1725" s="7"/>
    </row>
    <row r="1726" spans="1:13" x14ac:dyDescent="0.3">
      <c r="A1726" s="7">
        <v>740034</v>
      </c>
      <c r="B1726" s="7" t="s">
        <v>1734</v>
      </c>
      <c r="C1726" s="7" t="s">
        <v>6489</v>
      </c>
      <c r="D1726" s="7" t="s">
        <v>6592</v>
      </c>
      <c r="E1726" s="7" t="s">
        <v>6594</v>
      </c>
      <c r="F1726" s="7" t="s">
        <v>6597</v>
      </c>
      <c r="G1726" s="7" t="s">
        <v>7150</v>
      </c>
      <c r="H1726" s="7" t="s">
        <v>7156</v>
      </c>
      <c r="I1726" s="7"/>
      <c r="J1726" s="10">
        <v>44211</v>
      </c>
      <c r="K1726" s="7" t="s">
        <v>7163</v>
      </c>
      <c r="L1726" s="7"/>
      <c r="M1726" s="7"/>
    </row>
    <row r="1727" spans="1:13" x14ac:dyDescent="0.3">
      <c r="A1727" s="7">
        <v>18666</v>
      </c>
      <c r="B1727" s="7" t="s">
        <v>1735</v>
      </c>
      <c r="C1727" s="7" t="s">
        <v>6489</v>
      </c>
      <c r="D1727" s="7" t="s">
        <v>6592</v>
      </c>
      <c r="E1727" s="7" t="s">
        <v>6594</v>
      </c>
      <c r="F1727" s="7" t="s">
        <v>6598</v>
      </c>
      <c r="G1727" s="7" t="s">
        <v>7150</v>
      </c>
      <c r="H1727" s="7" t="s">
        <v>7156</v>
      </c>
      <c r="I1727" s="7"/>
      <c r="J1727" s="10">
        <v>46190</v>
      </c>
      <c r="K1727" s="7" t="s">
        <v>7163</v>
      </c>
      <c r="L1727" s="7"/>
      <c r="M1727" s="7"/>
    </row>
    <row r="1728" spans="1:13" x14ac:dyDescent="0.3">
      <c r="A1728" s="7">
        <v>18669</v>
      </c>
      <c r="B1728" s="7" t="s">
        <v>1736</v>
      </c>
      <c r="C1728" s="7" t="s">
        <v>6489</v>
      </c>
      <c r="D1728" s="7" t="s">
        <v>6592</v>
      </c>
      <c r="E1728" s="7" t="s">
        <v>6594</v>
      </c>
      <c r="F1728" s="7" t="s">
        <v>6599</v>
      </c>
      <c r="G1728" s="7" t="s">
        <v>7150</v>
      </c>
      <c r="H1728" s="7" t="s">
        <v>7156</v>
      </c>
      <c r="I1728" s="7"/>
      <c r="J1728" s="10">
        <v>46190</v>
      </c>
      <c r="K1728" s="7" t="s">
        <v>7163</v>
      </c>
      <c r="L1728" s="7"/>
      <c r="M1728" s="7"/>
    </row>
    <row r="1729" spans="1:13" x14ac:dyDescent="0.3">
      <c r="A1729" s="7">
        <v>18830</v>
      </c>
      <c r="B1729" s="7" t="s">
        <v>1737</v>
      </c>
      <c r="C1729" s="7" t="s">
        <v>6489</v>
      </c>
      <c r="D1729" s="7" t="s">
        <v>6592</v>
      </c>
      <c r="E1729" s="7" t="s">
        <v>6594</v>
      </c>
      <c r="F1729" s="7" t="s">
        <v>6600</v>
      </c>
      <c r="G1729" s="7" t="s">
        <v>7150</v>
      </c>
      <c r="H1729" s="7" t="s">
        <v>7156</v>
      </c>
      <c r="I1729" s="7"/>
      <c r="J1729" s="10">
        <v>46220</v>
      </c>
      <c r="K1729" s="7" t="s">
        <v>7163</v>
      </c>
      <c r="L1729" s="7"/>
      <c r="M1729" s="7"/>
    </row>
    <row r="1730" spans="1:13" x14ac:dyDescent="0.3">
      <c r="A1730" s="7">
        <v>18879</v>
      </c>
      <c r="B1730" s="7" t="s">
        <v>1738</v>
      </c>
      <c r="C1730" s="7" t="s">
        <v>6489</v>
      </c>
      <c r="D1730" s="7" t="s">
        <v>6592</v>
      </c>
      <c r="E1730" s="7" t="s">
        <v>6594</v>
      </c>
      <c r="F1730" s="7" t="s">
        <v>6601</v>
      </c>
      <c r="G1730" s="7" t="s">
        <v>7150</v>
      </c>
      <c r="H1730" s="7" t="s">
        <v>7156</v>
      </c>
      <c r="I1730" s="7"/>
      <c r="J1730" s="10">
        <v>46230</v>
      </c>
      <c r="K1730" s="7" t="s">
        <v>7163</v>
      </c>
      <c r="L1730" s="7"/>
      <c r="M1730" s="7"/>
    </row>
    <row r="1731" spans="1:13" x14ac:dyDescent="0.3">
      <c r="A1731" s="7">
        <v>18902</v>
      </c>
      <c r="B1731" s="7" t="s">
        <v>1739</v>
      </c>
      <c r="C1731" s="7" t="s">
        <v>6489</v>
      </c>
      <c r="D1731" s="7" t="s">
        <v>6592</v>
      </c>
      <c r="E1731" s="7" t="s">
        <v>6594</v>
      </c>
      <c r="F1731" s="7" t="s">
        <v>6602</v>
      </c>
      <c r="G1731" s="7" t="s">
        <v>7150</v>
      </c>
      <c r="H1731" s="7" t="s">
        <v>7156</v>
      </c>
      <c r="I1731" s="7"/>
      <c r="J1731" s="10">
        <v>46238</v>
      </c>
      <c r="K1731" s="7" t="s">
        <v>7163</v>
      </c>
      <c r="L1731" s="7"/>
      <c r="M1731" s="7"/>
    </row>
    <row r="1732" spans="1:13" x14ac:dyDescent="0.3">
      <c r="A1732" s="7">
        <v>19191</v>
      </c>
      <c r="B1732" s="7" t="s">
        <v>1740</v>
      </c>
      <c r="C1732" s="7" t="s">
        <v>6489</v>
      </c>
      <c r="D1732" s="7" t="s">
        <v>6592</v>
      </c>
      <c r="E1732" s="7" t="s">
        <v>6594</v>
      </c>
      <c r="F1732" s="7" t="s">
        <v>6603</v>
      </c>
      <c r="G1732" s="7" t="s">
        <v>7150</v>
      </c>
      <c r="H1732" s="7" t="s">
        <v>7156</v>
      </c>
      <c r="I1732" s="7"/>
      <c r="J1732" s="10">
        <v>46280</v>
      </c>
      <c r="K1732" s="7" t="s">
        <v>7163</v>
      </c>
      <c r="L1732" s="7"/>
      <c r="M1732" s="7"/>
    </row>
    <row r="1733" spans="1:13" x14ac:dyDescent="0.3">
      <c r="A1733" s="7">
        <v>19283</v>
      </c>
      <c r="B1733" s="7" t="s">
        <v>1741</v>
      </c>
      <c r="C1733" s="7" t="s">
        <v>6489</v>
      </c>
      <c r="D1733" s="7" t="s">
        <v>6592</v>
      </c>
      <c r="E1733" s="7" t="s">
        <v>6594</v>
      </c>
      <c r="F1733" s="7" t="s">
        <v>6604</v>
      </c>
      <c r="G1733" s="7" t="s">
        <v>7150</v>
      </c>
      <c r="H1733" s="7" t="s">
        <v>7156</v>
      </c>
      <c r="I1733" s="7"/>
      <c r="J1733" s="10">
        <v>46297</v>
      </c>
      <c r="K1733" s="7" t="s">
        <v>7163</v>
      </c>
      <c r="L1733" s="7"/>
      <c r="M1733" s="7"/>
    </row>
    <row r="1734" spans="1:13" x14ac:dyDescent="0.3">
      <c r="A1734" s="7">
        <v>17789</v>
      </c>
      <c r="B1734" s="7" t="s">
        <v>1742</v>
      </c>
      <c r="C1734" s="7" t="s">
        <v>6489</v>
      </c>
      <c r="D1734" s="7" t="s">
        <v>6592</v>
      </c>
      <c r="E1734" s="7" t="s">
        <v>6594</v>
      </c>
      <c r="F1734" s="7" t="s">
        <v>6341</v>
      </c>
      <c r="G1734" s="7" t="s">
        <v>7150</v>
      </c>
      <c r="H1734" s="7" t="s">
        <v>7156</v>
      </c>
      <c r="I1734" s="7"/>
      <c r="J1734" s="10">
        <v>45876</v>
      </c>
      <c r="K1734" s="7" t="s">
        <v>7163</v>
      </c>
      <c r="L1734" s="7"/>
      <c r="M1734" s="7"/>
    </row>
    <row r="1735" spans="1:13" x14ac:dyDescent="0.3">
      <c r="A1735" s="7">
        <v>17828</v>
      </c>
      <c r="B1735" s="7" t="s">
        <v>1743</v>
      </c>
      <c r="C1735" s="7" t="s">
        <v>6489</v>
      </c>
      <c r="D1735" s="7" t="s">
        <v>6592</v>
      </c>
      <c r="E1735" s="7" t="s">
        <v>6594</v>
      </c>
      <c r="F1735" s="7" t="s">
        <v>6341</v>
      </c>
      <c r="G1735" s="7" t="s">
        <v>7150</v>
      </c>
      <c r="H1735" s="7" t="s">
        <v>7156</v>
      </c>
      <c r="I1735" s="7"/>
      <c r="J1735" s="10">
        <v>45887</v>
      </c>
      <c r="K1735" s="7" t="s">
        <v>7163</v>
      </c>
      <c r="L1735" s="7"/>
      <c r="M1735" s="7"/>
    </row>
    <row r="1736" spans="1:13" x14ac:dyDescent="0.3">
      <c r="A1736" s="7">
        <v>17829</v>
      </c>
      <c r="B1736" s="7" t="s">
        <v>1744</v>
      </c>
      <c r="C1736" s="7" t="s">
        <v>6489</v>
      </c>
      <c r="D1736" s="7" t="s">
        <v>6592</v>
      </c>
      <c r="E1736" s="7" t="s">
        <v>6594</v>
      </c>
      <c r="F1736" s="7" t="s">
        <v>6348</v>
      </c>
      <c r="G1736" s="7" t="s">
        <v>7150</v>
      </c>
      <c r="H1736" s="7" t="s">
        <v>7156</v>
      </c>
      <c r="I1736" s="7"/>
      <c r="J1736" s="10">
        <v>45887</v>
      </c>
      <c r="K1736" s="7" t="s">
        <v>7163</v>
      </c>
      <c r="L1736" s="7"/>
      <c r="M1736" s="7"/>
    </row>
    <row r="1737" spans="1:13" x14ac:dyDescent="0.3">
      <c r="A1737" s="7">
        <v>17830</v>
      </c>
      <c r="B1737" s="7" t="s">
        <v>1745</v>
      </c>
      <c r="C1737" s="7" t="s">
        <v>6489</v>
      </c>
      <c r="D1737" s="7" t="s">
        <v>6592</v>
      </c>
      <c r="E1737" s="7" t="s">
        <v>6594</v>
      </c>
      <c r="F1737" s="7" t="s">
        <v>6341</v>
      </c>
      <c r="G1737" s="7" t="s">
        <v>7150</v>
      </c>
      <c r="H1737" s="7" t="s">
        <v>7156</v>
      </c>
      <c r="I1737" s="7"/>
      <c r="J1737" s="10">
        <v>45887</v>
      </c>
      <c r="K1737" s="7" t="s">
        <v>7163</v>
      </c>
      <c r="L1737" s="7"/>
      <c r="M1737" s="7"/>
    </row>
    <row r="1738" spans="1:13" x14ac:dyDescent="0.3">
      <c r="A1738" s="7">
        <v>18878</v>
      </c>
      <c r="B1738" s="7" t="s">
        <v>1746</v>
      </c>
      <c r="C1738" s="7" t="s">
        <v>6489</v>
      </c>
      <c r="D1738" s="7" t="s">
        <v>6592</v>
      </c>
      <c r="E1738" s="7" t="s">
        <v>6594</v>
      </c>
      <c r="F1738" s="7" t="s">
        <v>6341</v>
      </c>
      <c r="G1738" s="7" t="s">
        <v>7150</v>
      </c>
      <c r="H1738" s="7" t="s">
        <v>7156</v>
      </c>
      <c r="I1738" s="7"/>
      <c r="J1738" s="10">
        <v>46230</v>
      </c>
      <c r="K1738" s="7" t="s">
        <v>7163</v>
      </c>
      <c r="L1738" s="7"/>
      <c r="M1738" s="7"/>
    </row>
    <row r="1739" spans="1:13" x14ac:dyDescent="0.3">
      <c r="A1739" s="7">
        <v>18247</v>
      </c>
      <c r="B1739" s="7" t="s">
        <v>1747</v>
      </c>
      <c r="C1739" s="7" t="s">
        <v>6489</v>
      </c>
      <c r="D1739" s="7" t="s">
        <v>6592</v>
      </c>
      <c r="E1739" s="7" t="s">
        <v>6594</v>
      </c>
      <c r="F1739" s="7" t="s">
        <v>6348</v>
      </c>
      <c r="G1739" s="7" t="s">
        <v>7150</v>
      </c>
      <c r="H1739" s="7" t="s">
        <v>7156</v>
      </c>
      <c r="I1739" s="7"/>
      <c r="J1739" s="10">
        <v>46072</v>
      </c>
      <c r="K1739" s="7" t="s">
        <v>7163</v>
      </c>
      <c r="L1739" s="7"/>
      <c r="M1739" s="7"/>
    </row>
    <row r="1740" spans="1:13" x14ac:dyDescent="0.3">
      <c r="A1740" s="7">
        <v>18248</v>
      </c>
      <c r="B1740" s="7" t="s">
        <v>1748</v>
      </c>
      <c r="C1740" s="7" t="s">
        <v>6489</v>
      </c>
      <c r="D1740" s="7" t="s">
        <v>6592</v>
      </c>
      <c r="E1740" s="7" t="s">
        <v>6594</v>
      </c>
      <c r="F1740" s="7" t="s">
        <v>6348</v>
      </c>
      <c r="G1740" s="7" t="s">
        <v>7150</v>
      </c>
      <c r="H1740" s="7" t="s">
        <v>7156</v>
      </c>
      <c r="I1740" s="7"/>
      <c r="J1740" s="10">
        <v>46072</v>
      </c>
      <c r="K1740" s="7" t="s">
        <v>7163</v>
      </c>
      <c r="L1740" s="7"/>
      <c r="M1740" s="7"/>
    </row>
    <row r="1741" spans="1:13" x14ac:dyDescent="0.3">
      <c r="A1741" s="7">
        <v>18581</v>
      </c>
      <c r="B1741" s="7" t="s">
        <v>1749</v>
      </c>
      <c r="C1741" s="7" t="s">
        <v>6489</v>
      </c>
      <c r="D1741" s="7" t="s">
        <v>6592</v>
      </c>
      <c r="E1741" s="7" t="s">
        <v>6594</v>
      </c>
      <c r="F1741" s="7" t="s">
        <v>6348</v>
      </c>
      <c r="G1741" s="7" t="s">
        <v>7150</v>
      </c>
      <c r="H1741" s="7" t="s">
        <v>7156</v>
      </c>
      <c r="I1741" s="7"/>
      <c r="J1741" s="10">
        <v>46160</v>
      </c>
      <c r="K1741" s="7" t="s">
        <v>7163</v>
      </c>
      <c r="L1741" s="7"/>
      <c r="M1741" s="7"/>
    </row>
    <row r="1742" spans="1:13" x14ac:dyDescent="0.3">
      <c r="A1742" s="7">
        <v>17991</v>
      </c>
      <c r="B1742" s="7" t="s">
        <v>1750</v>
      </c>
      <c r="C1742" s="7" t="s">
        <v>6489</v>
      </c>
      <c r="D1742" s="7" t="s">
        <v>6592</v>
      </c>
      <c r="E1742" s="7" t="s">
        <v>6594</v>
      </c>
      <c r="F1742" s="7" t="s">
        <v>6348</v>
      </c>
      <c r="G1742" s="7" t="s">
        <v>7150</v>
      </c>
      <c r="H1742" s="7" t="s">
        <v>7156</v>
      </c>
      <c r="I1742" s="7"/>
      <c r="J1742" s="10">
        <v>45951</v>
      </c>
      <c r="K1742" s="7" t="s">
        <v>7163</v>
      </c>
      <c r="L1742" s="7"/>
      <c r="M1742" s="7"/>
    </row>
    <row r="1743" spans="1:13" x14ac:dyDescent="0.3">
      <c r="A1743" s="7">
        <v>18505</v>
      </c>
      <c r="B1743" s="7" t="s">
        <v>1751</v>
      </c>
      <c r="C1743" s="7" t="s">
        <v>6489</v>
      </c>
      <c r="D1743" s="7" t="s">
        <v>6592</v>
      </c>
      <c r="E1743" s="7" t="s">
        <v>6594</v>
      </c>
      <c r="F1743" s="7" t="s">
        <v>6348</v>
      </c>
      <c r="G1743" s="7" t="s">
        <v>7150</v>
      </c>
      <c r="H1743" s="7" t="s">
        <v>7156</v>
      </c>
      <c r="I1743" s="7"/>
      <c r="J1743" s="10">
        <v>46143</v>
      </c>
      <c r="K1743" s="7" t="s">
        <v>7163</v>
      </c>
      <c r="L1743" s="7"/>
      <c r="M1743" s="7"/>
    </row>
    <row r="1744" spans="1:13" x14ac:dyDescent="0.3">
      <c r="A1744" s="7">
        <v>290051</v>
      </c>
      <c r="B1744" s="7" t="s">
        <v>1752</v>
      </c>
      <c r="C1744" s="7" t="s">
        <v>6489</v>
      </c>
      <c r="D1744" s="7" t="s">
        <v>6592</v>
      </c>
      <c r="E1744" s="7" t="s">
        <v>6605</v>
      </c>
      <c r="F1744" s="7" t="s">
        <v>6498</v>
      </c>
      <c r="G1744" s="7" t="s">
        <v>7150</v>
      </c>
      <c r="H1744" s="7" t="s">
        <v>7156</v>
      </c>
      <c r="I1744" s="7"/>
      <c r="J1744" s="10">
        <v>43355</v>
      </c>
      <c r="K1744" s="7" t="s">
        <v>7163</v>
      </c>
      <c r="L1744" s="7"/>
      <c r="M1744" s="7"/>
    </row>
    <row r="1745" spans="1:13" x14ac:dyDescent="0.3">
      <c r="A1745" s="7">
        <v>11678</v>
      </c>
      <c r="B1745" s="7" t="s">
        <v>1753</v>
      </c>
      <c r="C1745" s="7" t="s">
        <v>6489</v>
      </c>
      <c r="D1745" s="7" t="s">
        <v>6592</v>
      </c>
      <c r="E1745" s="7" t="s">
        <v>6605</v>
      </c>
      <c r="F1745" s="7" t="s">
        <v>6542</v>
      </c>
      <c r="G1745" s="7" t="s">
        <v>7150</v>
      </c>
      <c r="H1745" s="7" t="s">
        <v>7156</v>
      </c>
      <c r="I1745" s="7"/>
      <c r="J1745" s="10">
        <v>43011</v>
      </c>
      <c r="K1745" s="7" t="s">
        <v>7163</v>
      </c>
      <c r="L1745" s="7"/>
      <c r="M1745" s="7"/>
    </row>
    <row r="1746" spans="1:13" x14ac:dyDescent="0.3">
      <c r="A1746" s="7">
        <v>800031</v>
      </c>
      <c r="B1746" s="7" t="s">
        <v>1754</v>
      </c>
      <c r="C1746" s="7" t="s">
        <v>6489</v>
      </c>
      <c r="D1746" s="7" t="s">
        <v>6592</v>
      </c>
      <c r="E1746" s="7" t="s">
        <v>6605</v>
      </c>
      <c r="F1746" s="7" t="s">
        <v>6353</v>
      </c>
      <c r="G1746" s="7" t="s">
        <v>7150</v>
      </c>
      <c r="H1746" s="7" t="s">
        <v>7156</v>
      </c>
      <c r="I1746" s="7"/>
      <c r="J1746" s="10">
        <v>42342</v>
      </c>
      <c r="K1746" s="7" t="s">
        <v>7163</v>
      </c>
      <c r="L1746" s="7"/>
      <c r="M1746" s="7"/>
    </row>
    <row r="1747" spans="1:13" x14ac:dyDescent="0.3">
      <c r="A1747" s="7">
        <v>14059</v>
      </c>
      <c r="B1747" s="7" t="s">
        <v>1755</v>
      </c>
      <c r="C1747" s="7" t="s">
        <v>6489</v>
      </c>
      <c r="D1747" s="7" t="s">
        <v>6592</v>
      </c>
      <c r="E1747" s="7" t="s">
        <v>6605</v>
      </c>
      <c r="F1747" s="7" t="s">
        <v>6340</v>
      </c>
      <c r="G1747" s="7" t="s">
        <v>7150</v>
      </c>
      <c r="H1747" s="7" t="s">
        <v>7156</v>
      </c>
      <c r="I1747" s="7"/>
      <c r="J1747" s="10">
        <v>44638</v>
      </c>
      <c r="K1747" s="7" t="s">
        <v>7163</v>
      </c>
      <c r="L1747" s="7"/>
      <c r="M1747" s="7"/>
    </row>
    <row r="1748" spans="1:13" x14ac:dyDescent="0.3">
      <c r="A1748" s="7">
        <v>12676</v>
      </c>
      <c r="B1748" s="7" t="s">
        <v>1756</v>
      </c>
      <c r="C1748" s="7" t="s">
        <v>6489</v>
      </c>
      <c r="D1748" s="7" t="s">
        <v>6592</v>
      </c>
      <c r="E1748" s="7" t="s">
        <v>6605</v>
      </c>
      <c r="F1748" s="7" t="s">
        <v>6340</v>
      </c>
      <c r="G1748" s="7" t="s">
        <v>7150</v>
      </c>
      <c r="H1748" s="7" t="s">
        <v>7156</v>
      </c>
      <c r="I1748" s="7"/>
      <c r="J1748" s="10">
        <v>43864</v>
      </c>
      <c r="K1748" s="7" t="s">
        <v>7163</v>
      </c>
      <c r="L1748" s="7"/>
      <c r="M1748" s="7"/>
    </row>
    <row r="1749" spans="1:13" x14ac:dyDescent="0.3">
      <c r="A1749" s="7">
        <v>14310</v>
      </c>
      <c r="B1749" s="7" t="s">
        <v>1757</v>
      </c>
      <c r="C1749" s="7" t="s">
        <v>6489</v>
      </c>
      <c r="D1749" s="7" t="s">
        <v>6592</v>
      </c>
      <c r="E1749" s="7" t="s">
        <v>6605</v>
      </c>
      <c r="F1749" s="7" t="s">
        <v>6340</v>
      </c>
      <c r="G1749" s="7" t="s">
        <v>7150</v>
      </c>
      <c r="H1749" s="7" t="s">
        <v>7156</v>
      </c>
      <c r="I1749" s="7"/>
      <c r="J1749" s="10">
        <v>44728</v>
      </c>
      <c r="K1749" s="7" t="s">
        <v>7163</v>
      </c>
      <c r="L1749" s="7"/>
      <c r="M1749" s="7"/>
    </row>
    <row r="1750" spans="1:13" x14ac:dyDescent="0.3">
      <c r="A1750" s="7">
        <v>14880</v>
      </c>
      <c r="B1750" s="7" t="s">
        <v>1758</v>
      </c>
      <c r="C1750" s="7" t="s">
        <v>6489</v>
      </c>
      <c r="D1750" s="7" t="s">
        <v>6592</v>
      </c>
      <c r="E1750" s="7" t="s">
        <v>6605</v>
      </c>
      <c r="F1750" s="7" t="s">
        <v>6340</v>
      </c>
      <c r="G1750" s="7" t="s">
        <v>7150</v>
      </c>
      <c r="H1750" s="7" t="s">
        <v>7156</v>
      </c>
      <c r="I1750" s="7"/>
      <c r="J1750" s="10">
        <v>44886</v>
      </c>
      <c r="K1750" s="7" t="s">
        <v>7163</v>
      </c>
      <c r="L1750" s="7"/>
      <c r="M1750" s="7"/>
    </row>
    <row r="1751" spans="1:13" x14ac:dyDescent="0.3">
      <c r="A1751" s="7">
        <v>14327</v>
      </c>
      <c r="B1751" s="7" t="s">
        <v>1759</v>
      </c>
      <c r="C1751" s="7" t="s">
        <v>6489</v>
      </c>
      <c r="D1751" s="7" t="s">
        <v>6592</v>
      </c>
      <c r="E1751" s="7" t="s">
        <v>6605</v>
      </c>
      <c r="F1751" s="7" t="s">
        <v>6340</v>
      </c>
      <c r="G1751" s="7" t="s">
        <v>7150</v>
      </c>
      <c r="H1751" s="7" t="s">
        <v>7156</v>
      </c>
      <c r="I1751" s="7"/>
      <c r="J1751" s="10">
        <v>44734</v>
      </c>
      <c r="K1751" s="7" t="s">
        <v>7163</v>
      </c>
      <c r="L1751" s="7"/>
      <c r="M1751" s="7"/>
    </row>
    <row r="1752" spans="1:13" x14ac:dyDescent="0.3">
      <c r="A1752" s="7">
        <v>16317</v>
      </c>
      <c r="B1752" s="7" t="s">
        <v>1760</v>
      </c>
      <c r="C1752" s="7" t="s">
        <v>6489</v>
      </c>
      <c r="D1752" s="7" t="s">
        <v>6592</v>
      </c>
      <c r="E1752" s="7" t="s">
        <v>6605</v>
      </c>
      <c r="F1752" s="7" t="s">
        <v>6341</v>
      </c>
      <c r="G1752" s="7" t="s">
        <v>7150</v>
      </c>
      <c r="H1752" s="7" t="s">
        <v>7156</v>
      </c>
      <c r="I1752" s="7"/>
      <c r="J1752" s="10">
        <v>45344</v>
      </c>
      <c r="K1752" s="7" t="s">
        <v>7163</v>
      </c>
      <c r="L1752" s="7"/>
      <c r="M1752" s="7"/>
    </row>
    <row r="1753" spans="1:13" x14ac:dyDescent="0.3">
      <c r="A1753" s="7">
        <v>16562</v>
      </c>
      <c r="B1753" s="7" t="s">
        <v>1761</v>
      </c>
      <c r="C1753" s="7" t="s">
        <v>6489</v>
      </c>
      <c r="D1753" s="7" t="s">
        <v>6592</v>
      </c>
      <c r="E1753" s="7" t="s">
        <v>6605</v>
      </c>
      <c r="F1753" s="7" t="s">
        <v>6341</v>
      </c>
      <c r="G1753" s="7" t="s">
        <v>7150</v>
      </c>
      <c r="H1753" s="7" t="s">
        <v>7156</v>
      </c>
      <c r="I1753" s="7"/>
      <c r="J1753" s="10">
        <v>45489</v>
      </c>
      <c r="K1753" s="7" t="s">
        <v>7163</v>
      </c>
      <c r="L1753" s="7"/>
      <c r="M1753" s="7"/>
    </row>
    <row r="1754" spans="1:13" x14ac:dyDescent="0.3">
      <c r="A1754" s="7">
        <v>16693</v>
      </c>
      <c r="B1754" s="7" t="s">
        <v>1762</v>
      </c>
      <c r="C1754" s="7" t="s">
        <v>6489</v>
      </c>
      <c r="D1754" s="7" t="s">
        <v>6592</v>
      </c>
      <c r="E1754" s="7" t="s">
        <v>6605</v>
      </c>
      <c r="F1754" s="7" t="s">
        <v>6341</v>
      </c>
      <c r="G1754" s="7" t="s">
        <v>7150</v>
      </c>
      <c r="H1754" s="7" t="s">
        <v>7156</v>
      </c>
      <c r="I1754" s="7"/>
      <c r="J1754" s="10">
        <v>45526</v>
      </c>
      <c r="K1754" s="7" t="s">
        <v>7163</v>
      </c>
      <c r="L1754" s="7"/>
      <c r="M1754" s="7"/>
    </row>
    <row r="1755" spans="1:13" x14ac:dyDescent="0.3">
      <c r="A1755" s="7">
        <v>17286</v>
      </c>
      <c r="B1755" s="7" t="s">
        <v>1763</v>
      </c>
      <c r="C1755" s="7" t="s">
        <v>6489</v>
      </c>
      <c r="D1755" s="7" t="s">
        <v>6592</v>
      </c>
      <c r="E1755" s="7" t="s">
        <v>6605</v>
      </c>
      <c r="F1755" s="7" t="s">
        <v>6341</v>
      </c>
      <c r="G1755" s="7" t="s">
        <v>7150</v>
      </c>
      <c r="H1755" s="7" t="s">
        <v>7156</v>
      </c>
      <c r="I1755" s="7"/>
      <c r="J1755" s="10">
        <v>45694</v>
      </c>
      <c r="K1755" s="7" t="s">
        <v>7163</v>
      </c>
      <c r="L1755" s="7"/>
      <c r="M1755" s="7"/>
    </row>
    <row r="1756" spans="1:13" x14ac:dyDescent="0.3">
      <c r="A1756" s="7">
        <v>17302</v>
      </c>
      <c r="B1756" s="7" t="s">
        <v>1764</v>
      </c>
      <c r="C1756" s="7" t="s">
        <v>6489</v>
      </c>
      <c r="D1756" s="7" t="s">
        <v>6592</v>
      </c>
      <c r="E1756" s="7" t="s">
        <v>6605</v>
      </c>
      <c r="F1756" s="7" t="s">
        <v>6341</v>
      </c>
      <c r="G1756" s="7" t="s">
        <v>7150</v>
      </c>
      <c r="H1756" s="7" t="s">
        <v>7156</v>
      </c>
      <c r="I1756" s="7"/>
      <c r="J1756" s="10">
        <v>45699</v>
      </c>
      <c r="K1756" s="7" t="s">
        <v>7163</v>
      </c>
      <c r="L1756" s="7"/>
      <c r="M1756" s="7"/>
    </row>
    <row r="1757" spans="1:13" x14ac:dyDescent="0.3">
      <c r="A1757" s="7">
        <v>17336</v>
      </c>
      <c r="B1757" s="7" t="s">
        <v>1765</v>
      </c>
      <c r="C1757" s="7" t="s">
        <v>6489</v>
      </c>
      <c r="D1757" s="7" t="s">
        <v>6592</v>
      </c>
      <c r="E1757" s="7" t="s">
        <v>6605</v>
      </c>
      <c r="F1757" s="7" t="s">
        <v>6606</v>
      </c>
      <c r="G1757" s="7" t="s">
        <v>7150</v>
      </c>
      <c r="H1757" s="7" t="s">
        <v>7156</v>
      </c>
      <c r="I1757" s="7"/>
      <c r="J1757" s="10">
        <v>45709</v>
      </c>
      <c r="K1757" s="7" t="s">
        <v>7163</v>
      </c>
      <c r="L1757" s="7"/>
      <c r="M1757" s="7"/>
    </row>
    <row r="1758" spans="1:13" x14ac:dyDescent="0.3">
      <c r="A1758" s="7">
        <v>17396</v>
      </c>
      <c r="B1758" s="7" t="s">
        <v>1766</v>
      </c>
      <c r="C1758" s="7" t="s">
        <v>6489</v>
      </c>
      <c r="D1758" s="7" t="s">
        <v>6592</v>
      </c>
      <c r="E1758" s="7" t="s">
        <v>6605</v>
      </c>
      <c r="F1758" s="7" t="s">
        <v>6341</v>
      </c>
      <c r="G1758" s="7" t="s">
        <v>7150</v>
      </c>
      <c r="H1758" s="7" t="s">
        <v>7156</v>
      </c>
      <c r="I1758" s="7"/>
      <c r="J1758" s="10">
        <v>45730</v>
      </c>
      <c r="K1758" s="7" t="s">
        <v>7163</v>
      </c>
      <c r="L1758" s="7"/>
      <c r="M1758" s="7"/>
    </row>
    <row r="1759" spans="1:13" x14ac:dyDescent="0.3">
      <c r="A1759" s="7">
        <v>17488</v>
      </c>
      <c r="B1759" s="7" t="s">
        <v>1767</v>
      </c>
      <c r="C1759" s="7" t="s">
        <v>6489</v>
      </c>
      <c r="D1759" s="7" t="s">
        <v>6592</v>
      </c>
      <c r="E1759" s="7" t="s">
        <v>6605</v>
      </c>
      <c r="F1759" s="7" t="s">
        <v>6341</v>
      </c>
      <c r="G1759" s="7" t="s">
        <v>7150</v>
      </c>
      <c r="H1759" s="7" t="s">
        <v>7156</v>
      </c>
      <c r="I1759" s="7"/>
      <c r="J1759" s="10">
        <v>45769</v>
      </c>
      <c r="K1759" s="7" t="s">
        <v>7163</v>
      </c>
      <c r="L1759" s="7"/>
      <c r="M1759" s="7"/>
    </row>
    <row r="1760" spans="1:13" x14ac:dyDescent="0.3">
      <c r="A1760" s="7">
        <v>17491</v>
      </c>
      <c r="B1760" s="7" t="s">
        <v>1768</v>
      </c>
      <c r="C1760" s="7" t="s">
        <v>6489</v>
      </c>
      <c r="D1760" s="7" t="s">
        <v>6592</v>
      </c>
      <c r="E1760" s="7" t="s">
        <v>6605</v>
      </c>
      <c r="F1760" s="7" t="s">
        <v>6341</v>
      </c>
      <c r="G1760" s="7" t="s">
        <v>7150</v>
      </c>
      <c r="H1760" s="7" t="s">
        <v>7156</v>
      </c>
      <c r="I1760" s="7"/>
      <c r="J1760" s="10">
        <v>45769</v>
      </c>
      <c r="K1760" s="7" t="s">
        <v>7163</v>
      </c>
      <c r="L1760" s="7"/>
      <c r="M1760" s="7"/>
    </row>
    <row r="1761" spans="1:13" x14ac:dyDescent="0.3">
      <c r="A1761" s="7">
        <v>17498</v>
      </c>
      <c r="B1761" s="7" t="s">
        <v>1769</v>
      </c>
      <c r="C1761" s="7" t="s">
        <v>6489</v>
      </c>
      <c r="D1761" s="7" t="s">
        <v>6592</v>
      </c>
      <c r="E1761" s="7" t="s">
        <v>6605</v>
      </c>
      <c r="F1761" s="7" t="s">
        <v>6341</v>
      </c>
      <c r="G1761" s="7" t="s">
        <v>7150</v>
      </c>
      <c r="H1761" s="7" t="s">
        <v>7156</v>
      </c>
      <c r="I1761" s="7"/>
      <c r="J1761" s="10">
        <v>45770</v>
      </c>
      <c r="K1761" s="7" t="s">
        <v>7163</v>
      </c>
      <c r="L1761" s="7"/>
      <c r="M1761" s="7"/>
    </row>
    <row r="1762" spans="1:13" x14ac:dyDescent="0.3">
      <c r="A1762" s="7">
        <v>17520</v>
      </c>
      <c r="B1762" s="7" t="s">
        <v>1770</v>
      </c>
      <c r="C1762" s="7" t="s">
        <v>6489</v>
      </c>
      <c r="D1762" s="7" t="s">
        <v>6592</v>
      </c>
      <c r="E1762" s="7" t="s">
        <v>6605</v>
      </c>
      <c r="F1762" s="7" t="s">
        <v>6341</v>
      </c>
      <c r="G1762" s="7" t="s">
        <v>7150</v>
      </c>
      <c r="H1762" s="7" t="s">
        <v>7156</v>
      </c>
      <c r="I1762" s="7"/>
      <c r="J1762" s="10">
        <v>45783</v>
      </c>
      <c r="K1762" s="7" t="s">
        <v>7163</v>
      </c>
      <c r="L1762" s="7"/>
      <c r="M1762" s="7"/>
    </row>
    <row r="1763" spans="1:13" x14ac:dyDescent="0.3">
      <c r="A1763" s="7">
        <v>17556</v>
      </c>
      <c r="B1763" s="7" t="s">
        <v>1771</v>
      </c>
      <c r="C1763" s="7" t="s">
        <v>6489</v>
      </c>
      <c r="D1763" s="7" t="s">
        <v>6592</v>
      </c>
      <c r="E1763" s="7" t="s">
        <v>6605</v>
      </c>
      <c r="F1763" s="7" t="s">
        <v>6341</v>
      </c>
      <c r="G1763" s="7" t="s">
        <v>7150</v>
      </c>
      <c r="H1763" s="7" t="s">
        <v>7156</v>
      </c>
      <c r="I1763" s="7"/>
      <c r="J1763" s="10">
        <v>45791</v>
      </c>
      <c r="K1763" s="7" t="s">
        <v>7163</v>
      </c>
      <c r="L1763" s="7"/>
      <c r="M1763" s="7"/>
    </row>
    <row r="1764" spans="1:13" x14ac:dyDescent="0.3">
      <c r="A1764" s="7">
        <v>17564</v>
      </c>
      <c r="B1764" s="7" t="s">
        <v>1772</v>
      </c>
      <c r="C1764" s="7" t="s">
        <v>6489</v>
      </c>
      <c r="D1764" s="7" t="s">
        <v>6592</v>
      </c>
      <c r="E1764" s="7" t="s">
        <v>6605</v>
      </c>
      <c r="F1764" s="7" t="s">
        <v>6341</v>
      </c>
      <c r="G1764" s="7" t="s">
        <v>7150</v>
      </c>
      <c r="H1764" s="7" t="s">
        <v>7156</v>
      </c>
      <c r="I1764" s="7"/>
      <c r="J1764" s="10">
        <v>45791</v>
      </c>
      <c r="K1764" s="7" t="s">
        <v>7163</v>
      </c>
      <c r="L1764" s="7"/>
      <c r="M1764" s="7"/>
    </row>
    <row r="1765" spans="1:13" x14ac:dyDescent="0.3">
      <c r="A1765" s="7">
        <v>17570</v>
      </c>
      <c r="B1765" s="7" t="s">
        <v>1773</v>
      </c>
      <c r="C1765" s="7" t="s">
        <v>6489</v>
      </c>
      <c r="D1765" s="7" t="s">
        <v>6592</v>
      </c>
      <c r="E1765" s="7" t="s">
        <v>6605</v>
      </c>
      <c r="F1765" s="7" t="s">
        <v>6341</v>
      </c>
      <c r="G1765" s="7" t="s">
        <v>7150</v>
      </c>
      <c r="H1765" s="7" t="s">
        <v>7156</v>
      </c>
      <c r="I1765" s="7"/>
      <c r="J1765" s="10">
        <v>45796</v>
      </c>
      <c r="K1765" s="7" t="s">
        <v>7163</v>
      </c>
      <c r="L1765" s="7"/>
      <c r="M1765" s="7"/>
    </row>
    <row r="1766" spans="1:13" x14ac:dyDescent="0.3">
      <c r="A1766" s="7">
        <v>17585</v>
      </c>
      <c r="B1766" s="7" t="s">
        <v>1774</v>
      </c>
      <c r="C1766" s="7" t="s">
        <v>6489</v>
      </c>
      <c r="D1766" s="7" t="s">
        <v>6592</v>
      </c>
      <c r="E1766" s="7" t="s">
        <v>6605</v>
      </c>
      <c r="F1766" s="7" t="s">
        <v>6341</v>
      </c>
      <c r="G1766" s="7" t="s">
        <v>7150</v>
      </c>
      <c r="H1766" s="7" t="s">
        <v>7156</v>
      </c>
      <c r="I1766" s="7"/>
      <c r="J1766" s="10">
        <v>45800</v>
      </c>
      <c r="K1766" s="7" t="s">
        <v>7163</v>
      </c>
      <c r="L1766" s="7"/>
      <c r="M1766" s="7"/>
    </row>
    <row r="1767" spans="1:13" x14ac:dyDescent="0.3">
      <c r="A1767" s="7">
        <v>17657</v>
      </c>
      <c r="B1767" s="7" t="s">
        <v>1775</v>
      </c>
      <c r="C1767" s="7" t="s">
        <v>6489</v>
      </c>
      <c r="D1767" s="7" t="s">
        <v>6592</v>
      </c>
      <c r="E1767" s="7" t="s">
        <v>6605</v>
      </c>
      <c r="F1767" s="7" t="s">
        <v>6341</v>
      </c>
      <c r="G1767" s="7" t="s">
        <v>7150</v>
      </c>
      <c r="H1767" s="7" t="s">
        <v>7156</v>
      </c>
      <c r="I1767" s="7"/>
      <c r="J1767" s="10">
        <v>45828</v>
      </c>
      <c r="K1767" s="7" t="s">
        <v>7163</v>
      </c>
      <c r="L1767" s="7"/>
      <c r="M1767" s="7"/>
    </row>
    <row r="1768" spans="1:13" x14ac:dyDescent="0.3">
      <c r="A1768" s="7">
        <v>17884</v>
      </c>
      <c r="B1768" s="7" t="s">
        <v>1776</v>
      </c>
      <c r="C1768" s="7" t="s">
        <v>6489</v>
      </c>
      <c r="D1768" s="7" t="s">
        <v>6592</v>
      </c>
      <c r="E1768" s="7" t="s">
        <v>6605</v>
      </c>
      <c r="F1768" s="7" t="s">
        <v>6348</v>
      </c>
      <c r="G1768" s="7" t="s">
        <v>7150</v>
      </c>
      <c r="H1768" s="7" t="s">
        <v>7156</v>
      </c>
      <c r="I1768" s="7"/>
      <c r="J1768" s="10">
        <v>45904</v>
      </c>
      <c r="K1768" s="7" t="s">
        <v>7163</v>
      </c>
      <c r="L1768" s="7"/>
      <c r="M1768" s="7"/>
    </row>
    <row r="1769" spans="1:13" x14ac:dyDescent="0.3">
      <c r="A1769" s="7">
        <v>19030</v>
      </c>
      <c r="B1769" s="7" t="s">
        <v>1777</v>
      </c>
      <c r="C1769" s="7" t="s">
        <v>6489</v>
      </c>
      <c r="D1769" s="7" t="s">
        <v>6592</v>
      </c>
      <c r="E1769" s="7" t="s">
        <v>6605</v>
      </c>
      <c r="F1769" s="7" t="s">
        <v>6348</v>
      </c>
      <c r="G1769" s="7" t="s">
        <v>7150</v>
      </c>
      <c r="H1769" s="7" t="s">
        <v>7156</v>
      </c>
      <c r="I1769" s="7"/>
      <c r="J1769" s="10">
        <v>46266</v>
      </c>
      <c r="K1769" s="7" t="s">
        <v>7163</v>
      </c>
      <c r="L1769" s="7"/>
      <c r="M1769" s="7"/>
    </row>
    <row r="1770" spans="1:13" x14ac:dyDescent="0.3">
      <c r="A1770" s="7">
        <v>19071</v>
      </c>
      <c r="B1770" s="7" t="s">
        <v>1778</v>
      </c>
      <c r="C1770" s="7" t="s">
        <v>6489</v>
      </c>
      <c r="D1770" s="7" t="s">
        <v>6592</v>
      </c>
      <c r="E1770" s="7" t="s">
        <v>6605</v>
      </c>
      <c r="F1770" s="7" t="s">
        <v>6348</v>
      </c>
      <c r="G1770" s="7" t="s">
        <v>7150</v>
      </c>
      <c r="H1770" s="7" t="s">
        <v>7156</v>
      </c>
      <c r="I1770" s="7"/>
      <c r="J1770" s="10">
        <v>46266</v>
      </c>
      <c r="K1770" s="7" t="s">
        <v>7163</v>
      </c>
      <c r="L1770" s="7"/>
      <c r="M1770" s="7"/>
    </row>
    <row r="1771" spans="1:13" x14ac:dyDescent="0.3">
      <c r="A1771" s="7">
        <v>19072</v>
      </c>
      <c r="B1771" s="7" t="s">
        <v>1779</v>
      </c>
      <c r="C1771" s="7" t="s">
        <v>6489</v>
      </c>
      <c r="D1771" s="7" t="s">
        <v>6592</v>
      </c>
      <c r="E1771" s="7" t="s">
        <v>6605</v>
      </c>
      <c r="F1771" s="7" t="s">
        <v>6348</v>
      </c>
      <c r="G1771" s="7" t="s">
        <v>7150</v>
      </c>
      <c r="H1771" s="7" t="s">
        <v>7156</v>
      </c>
      <c r="I1771" s="7"/>
      <c r="J1771" s="10">
        <v>46266</v>
      </c>
      <c r="K1771" s="7" t="s">
        <v>7163</v>
      </c>
      <c r="L1771" s="7"/>
      <c r="M1771" s="7"/>
    </row>
    <row r="1772" spans="1:13" x14ac:dyDescent="0.3">
      <c r="A1772" s="7">
        <v>19073</v>
      </c>
      <c r="B1772" s="7" t="s">
        <v>1780</v>
      </c>
      <c r="C1772" s="7" t="s">
        <v>6489</v>
      </c>
      <c r="D1772" s="7" t="s">
        <v>6592</v>
      </c>
      <c r="E1772" s="7" t="s">
        <v>6605</v>
      </c>
      <c r="F1772" s="7" t="s">
        <v>6348</v>
      </c>
      <c r="G1772" s="7" t="s">
        <v>7150</v>
      </c>
      <c r="H1772" s="7" t="s">
        <v>7156</v>
      </c>
      <c r="I1772" s="7"/>
      <c r="J1772" s="10">
        <v>46266</v>
      </c>
      <c r="K1772" s="7" t="s">
        <v>7163</v>
      </c>
      <c r="L1772" s="7"/>
      <c r="M1772" s="7"/>
    </row>
    <row r="1773" spans="1:13" x14ac:dyDescent="0.3">
      <c r="A1773" s="7">
        <v>19075</v>
      </c>
      <c r="B1773" s="7" t="s">
        <v>1781</v>
      </c>
      <c r="C1773" s="7" t="s">
        <v>6489</v>
      </c>
      <c r="D1773" s="7" t="s">
        <v>6592</v>
      </c>
      <c r="E1773" s="7" t="s">
        <v>6605</v>
      </c>
      <c r="F1773" s="7" t="s">
        <v>6348</v>
      </c>
      <c r="G1773" s="7" t="s">
        <v>7150</v>
      </c>
      <c r="H1773" s="7" t="s">
        <v>7156</v>
      </c>
      <c r="I1773" s="7"/>
      <c r="J1773" s="10">
        <v>46266</v>
      </c>
      <c r="K1773" s="7" t="s">
        <v>7163</v>
      </c>
      <c r="L1773" s="7"/>
      <c r="M1773" s="7"/>
    </row>
    <row r="1774" spans="1:13" x14ac:dyDescent="0.3">
      <c r="A1774" s="7">
        <v>19209</v>
      </c>
      <c r="B1774" s="7" t="s">
        <v>1782</v>
      </c>
      <c r="C1774" s="7" t="s">
        <v>6489</v>
      </c>
      <c r="D1774" s="7" t="s">
        <v>6592</v>
      </c>
      <c r="E1774" s="7" t="s">
        <v>6605</v>
      </c>
      <c r="F1774" s="7" t="s">
        <v>6607</v>
      </c>
      <c r="G1774" s="7" t="s">
        <v>7150</v>
      </c>
      <c r="H1774" s="7" t="s">
        <v>7156</v>
      </c>
      <c r="I1774" s="7"/>
      <c r="J1774" s="10">
        <v>46279</v>
      </c>
      <c r="K1774" s="7" t="s">
        <v>7163</v>
      </c>
      <c r="L1774" s="7"/>
      <c r="M1774" s="7"/>
    </row>
    <row r="1775" spans="1:13" x14ac:dyDescent="0.3">
      <c r="A1775" s="7">
        <v>19210</v>
      </c>
      <c r="B1775" s="7" t="s">
        <v>1783</v>
      </c>
      <c r="C1775" s="7" t="s">
        <v>6489</v>
      </c>
      <c r="D1775" s="7" t="s">
        <v>6592</v>
      </c>
      <c r="E1775" s="7" t="s">
        <v>6605</v>
      </c>
      <c r="F1775" s="7" t="s">
        <v>6607</v>
      </c>
      <c r="G1775" s="7" t="s">
        <v>7150</v>
      </c>
      <c r="H1775" s="7" t="s">
        <v>7156</v>
      </c>
      <c r="I1775" s="7"/>
      <c r="J1775" s="10">
        <v>46279</v>
      </c>
      <c r="K1775" s="7" t="s">
        <v>7163</v>
      </c>
      <c r="L1775" s="7"/>
      <c r="M1775" s="7"/>
    </row>
    <row r="1776" spans="1:13" x14ac:dyDescent="0.3">
      <c r="A1776" s="7">
        <v>19211</v>
      </c>
      <c r="B1776" s="7" t="s">
        <v>1784</v>
      </c>
      <c r="C1776" s="7" t="s">
        <v>6489</v>
      </c>
      <c r="D1776" s="7" t="s">
        <v>6592</v>
      </c>
      <c r="E1776" s="7" t="s">
        <v>6605</v>
      </c>
      <c r="F1776" s="7" t="s">
        <v>6607</v>
      </c>
      <c r="G1776" s="7" t="s">
        <v>7150</v>
      </c>
      <c r="H1776" s="7" t="s">
        <v>7156</v>
      </c>
      <c r="I1776" s="7"/>
      <c r="J1776" s="10">
        <v>46279</v>
      </c>
      <c r="K1776" s="7" t="s">
        <v>7163</v>
      </c>
      <c r="L1776" s="7"/>
      <c r="M1776" s="7"/>
    </row>
    <row r="1777" spans="1:13" x14ac:dyDescent="0.3">
      <c r="A1777" s="7">
        <v>19212</v>
      </c>
      <c r="B1777" s="7" t="s">
        <v>1785</v>
      </c>
      <c r="C1777" s="7" t="s">
        <v>6489</v>
      </c>
      <c r="D1777" s="7" t="s">
        <v>6592</v>
      </c>
      <c r="E1777" s="7" t="s">
        <v>6605</v>
      </c>
      <c r="F1777" s="7" t="s">
        <v>6607</v>
      </c>
      <c r="G1777" s="7" t="s">
        <v>7150</v>
      </c>
      <c r="H1777" s="7" t="s">
        <v>7156</v>
      </c>
      <c r="I1777" s="7"/>
      <c r="J1777" s="10">
        <v>46279</v>
      </c>
      <c r="K1777" s="7" t="s">
        <v>7163</v>
      </c>
      <c r="L1777" s="7"/>
      <c r="M1777" s="7"/>
    </row>
    <row r="1778" spans="1:13" x14ac:dyDescent="0.3">
      <c r="A1778" s="7">
        <v>19225</v>
      </c>
      <c r="B1778" s="7" t="s">
        <v>1786</v>
      </c>
      <c r="C1778" s="7" t="s">
        <v>6489</v>
      </c>
      <c r="D1778" s="7" t="s">
        <v>6592</v>
      </c>
      <c r="E1778" s="7" t="s">
        <v>6605</v>
      </c>
      <c r="F1778" s="7" t="s">
        <v>6348</v>
      </c>
      <c r="G1778" s="7" t="s">
        <v>7150</v>
      </c>
      <c r="H1778" s="7" t="s">
        <v>7156</v>
      </c>
      <c r="I1778" s="7"/>
      <c r="J1778" s="10">
        <v>46279</v>
      </c>
      <c r="K1778" s="7" t="s">
        <v>7163</v>
      </c>
      <c r="L1778" s="7"/>
      <c r="M1778" s="7"/>
    </row>
    <row r="1779" spans="1:13" x14ac:dyDescent="0.3">
      <c r="A1779" s="7">
        <v>19217</v>
      </c>
      <c r="B1779" s="7" t="s">
        <v>1787</v>
      </c>
      <c r="C1779" s="7" t="s">
        <v>6489</v>
      </c>
      <c r="D1779" s="7" t="s">
        <v>6592</v>
      </c>
      <c r="E1779" s="7" t="s">
        <v>6605</v>
      </c>
      <c r="F1779" s="7" t="s">
        <v>6607</v>
      </c>
      <c r="G1779" s="7" t="s">
        <v>7150</v>
      </c>
      <c r="H1779" s="7" t="s">
        <v>7156</v>
      </c>
      <c r="I1779" s="7"/>
      <c r="J1779" s="10">
        <v>46279</v>
      </c>
      <c r="K1779" s="7" t="s">
        <v>7163</v>
      </c>
      <c r="L1779" s="7"/>
      <c r="M1779" s="7"/>
    </row>
    <row r="1780" spans="1:13" x14ac:dyDescent="0.3">
      <c r="A1780" s="7">
        <v>19221</v>
      </c>
      <c r="B1780" s="7" t="s">
        <v>1788</v>
      </c>
      <c r="C1780" s="7" t="s">
        <v>6489</v>
      </c>
      <c r="D1780" s="7" t="s">
        <v>6592</v>
      </c>
      <c r="E1780" s="7" t="s">
        <v>6605</v>
      </c>
      <c r="F1780" s="7" t="s">
        <v>6607</v>
      </c>
      <c r="G1780" s="7" t="s">
        <v>7150</v>
      </c>
      <c r="H1780" s="7" t="s">
        <v>7156</v>
      </c>
      <c r="I1780" s="7"/>
      <c r="J1780" s="10">
        <v>46279</v>
      </c>
      <c r="K1780" s="7" t="s">
        <v>7163</v>
      </c>
      <c r="L1780" s="7"/>
      <c r="M1780" s="7"/>
    </row>
    <row r="1781" spans="1:13" x14ac:dyDescent="0.3">
      <c r="A1781" s="7">
        <v>19218</v>
      </c>
      <c r="B1781" s="7" t="s">
        <v>1789</v>
      </c>
      <c r="C1781" s="7" t="s">
        <v>6489</v>
      </c>
      <c r="D1781" s="7" t="s">
        <v>6592</v>
      </c>
      <c r="E1781" s="7" t="s">
        <v>6605</v>
      </c>
      <c r="F1781" s="7" t="s">
        <v>6607</v>
      </c>
      <c r="G1781" s="7" t="s">
        <v>7150</v>
      </c>
      <c r="H1781" s="7" t="s">
        <v>7156</v>
      </c>
      <c r="I1781" s="7"/>
      <c r="J1781" s="10">
        <v>46279</v>
      </c>
      <c r="K1781" s="7" t="s">
        <v>7163</v>
      </c>
      <c r="L1781" s="7"/>
      <c r="M1781" s="7"/>
    </row>
    <row r="1782" spans="1:13" x14ac:dyDescent="0.3">
      <c r="A1782" s="7">
        <v>19213</v>
      </c>
      <c r="B1782" s="7" t="s">
        <v>1790</v>
      </c>
      <c r="C1782" s="7" t="s">
        <v>6489</v>
      </c>
      <c r="D1782" s="7" t="s">
        <v>6592</v>
      </c>
      <c r="E1782" s="7" t="s">
        <v>6605</v>
      </c>
      <c r="F1782" s="7" t="s">
        <v>6607</v>
      </c>
      <c r="G1782" s="7" t="s">
        <v>7150</v>
      </c>
      <c r="H1782" s="7" t="s">
        <v>7156</v>
      </c>
      <c r="I1782" s="7"/>
      <c r="J1782" s="10">
        <v>46279</v>
      </c>
      <c r="K1782" s="7" t="s">
        <v>7163</v>
      </c>
      <c r="L1782" s="7"/>
      <c r="M1782" s="7"/>
    </row>
    <row r="1783" spans="1:13" x14ac:dyDescent="0.3">
      <c r="A1783" s="7">
        <v>19214</v>
      </c>
      <c r="B1783" s="7" t="s">
        <v>1791</v>
      </c>
      <c r="C1783" s="7" t="s">
        <v>6489</v>
      </c>
      <c r="D1783" s="7" t="s">
        <v>6592</v>
      </c>
      <c r="E1783" s="7" t="s">
        <v>6605</v>
      </c>
      <c r="F1783" s="7" t="s">
        <v>6607</v>
      </c>
      <c r="G1783" s="7" t="s">
        <v>7150</v>
      </c>
      <c r="H1783" s="7" t="s">
        <v>7156</v>
      </c>
      <c r="I1783" s="7"/>
      <c r="J1783" s="10">
        <v>46279</v>
      </c>
      <c r="K1783" s="7" t="s">
        <v>7163</v>
      </c>
      <c r="L1783" s="7"/>
      <c r="M1783" s="7"/>
    </row>
    <row r="1784" spans="1:13" x14ac:dyDescent="0.3">
      <c r="A1784" s="7">
        <v>19215</v>
      </c>
      <c r="B1784" s="7" t="s">
        <v>1792</v>
      </c>
      <c r="C1784" s="7" t="s">
        <v>6489</v>
      </c>
      <c r="D1784" s="7" t="s">
        <v>6592</v>
      </c>
      <c r="E1784" s="7" t="s">
        <v>6605</v>
      </c>
      <c r="F1784" s="7" t="s">
        <v>6607</v>
      </c>
      <c r="G1784" s="7" t="s">
        <v>7150</v>
      </c>
      <c r="H1784" s="7" t="s">
        <v>7156</v>
      </c>
      <c r="I1784" s="7"/>
      <c r="J1784" s="10">
        <v>46279</v>
      </c>
      <c r="K1784" s="7" t="s">
        <v>7163</v>
      </c>
      <c r="L1784" s="7"/>
      <c r="M1784" s="7"/>
    </row>
    <row r="1785" spans="1:13" x14ac:dyDescent="0.3">
      <c r="A1785" s="7">
        <v>19226</v>
      </c>
      <c r="B1785" s="7" t="s">
        <v>1793</v>
      </c>
      <c r="C1785" s="7" t="s">
        <v>6489</v>
      </c>
      <c r="D1785" s="7" t="s">
        <v>6592</v>
      </c>
      <c r="E1785" s="7" t="s">
        <v>6605</v>
      </c>
      <c r="F1785" s="7" t="s">
        <v>6607</v>
      </c>
      <c r="G1785" s="7" t="s">
        <v>7150</v>
      </c>
      <c r="H1785" s="7" t="s">
        <v>7156</v>
      </c>
      <c r="I1785" s="7"/>
      <c r="J1785" s="10">
        <v>46279</v>
      </c>
      <c r="K1785" s="7" t="s">
        <v>7163</v>
      </c>
      <c r="L1785" s="7"/>
      <c r="M1785" s="7"/>
    </row>
    <row r="1786" spans="1:13" x14ac:dyDescent="0.3">
      <c r="A1786" s="7">
        <v>19219</v>
      </c>
      <c r="B1786" s="7" t="s">
        <v>1794</v>
      </c>
      <c r="C1786" s="7" t="s">
        <v>6489</v>
      </c>
      <c r="D1786" s="7" t="s">
        <v>6592</v>
      </c>
      <c r="E1786" s="7" t="s">
        <v>6605</v>
      </c>
      <c r="F1786" s="7" t="s">
        <v>6607</v>
      </c>
      <c r="G1786" s="7" t="s">
        <v>7150</v>
      </c>
      <c r="H1786" s="7" t="s">
        <v>7156</v>
      </c>
      <c r="I1786" s="7"/>
      <c r="J1786" s="10">
        <v>46279</v>
      </c>
      <c r="K1786" s="7" t="s">
        <v>7163</v>
      </c>
      <c r="L1786" s="7"/>
      <c r="M1786" s="7"/>
    </row>
    <row r="1787" spans="1:13" x14ac:dyDescent="0.3">
      <c r="A1787" s="7">
        <v>19222</v>
      </c>
      <c r="B1787" s="7" t="s">
        <v>1795</v>
      </c>
      <c r="C1787" s="7" t="s">
        <v>6489</v>
      </c>
      <c r="D1787" s="7" t="s">
        <v>6592</v>
      </c>
      <c r="E1787" s="7" t="s">
        <v>6605</v>
      </c>
      <c r="F1787" s="7" t="s">
        <v>6607</v>
      </c>
      <c r="G1787" s="7" t="s">
        <v>7150</v>
      </c>
      <c r="H1787" s="7" t="s">
        <v>7156</v>
      </c>
      <c r="I1787" s="7"/>
      <c r="J1787" s="10">
        <v>46279</v>
      </c>
      <c r="K1787" s="7" t="s">
        <v>7163</v>
      </c>
      <c r="L1787" s="7"/>
      <c r="M1787" s="7"/>
    </row>
    <row r="1788" spans="1:13" x14ac:dyDescent="0.3">
      <c r="A1788" s="7">
        <v>19220</v>
      </c>
      <c r="B1788" s="7" t="s">
        <v>1796</v>
      </c>
      <c r="C1788" s="7" t="s">
        <v>6489</v>
      </c>
      <c r="D1788" s="7" t="s">
        <v>6592</v>
      </c>
      <c r="E1788" s="7" t="s">
        <v>6605</v>
      </c>
      <c r="F1788" s="7" t="s">
        <v>6607</v>
      </c>
      <c r="G1788" s="7" t="s">
        <v>7150</v>
      </c>
      <c r="H1788" s="7" t="s">
        <v>7156</v>
      </c>
      <c r="I1788" s="7"/>
      <c r="J1788" s="10">
        <v>46279</v>
      </c>
      <c r="K1788" s="7" t="s">
        <v>7163</v>
      </c>
      <c r="L1788" s="7"/>
      <c r="M1788" s="7"/>
    </row>
    <row r="1789" spans="1:13" x14ac:dyDescent="0.3">
      <c r="A1789" s="7">
        <v>19223</v>
      </c>
      <c r="B1789" s="7" t="s">
        <v>1797</v>
      </c>
      <c r="C1789" s="7" t="s">
        <v>6489</v>
      </c>
      <c r="D1789" s="7" t="s">
        <v>6592</v>
      </c>
      <c r="E1789" s="7" t="s">
        <v>6605</v>
      </c>
      <c r="F1789" s="7" t="s">
        <v>6607</v>
      </c>
      <c r="G1789" s="7" t="s">
        <v>7150</v>
      </c>
      <c r="H1789" s="7" t="s">
        <v>7156</v>
      </c>
      <c r="I1789" s="7"/>
      <c r="J1789" s="10">
        <v>46279</v>
      </c>
      <c r="K1789" s="7" t="s">
        <v>7163</v>
      </c>
      <c r="L1789" s="7"/>
      <c r="M1789" s="7"/>
    </row>
    <row r="1790" spans="1:13" x14ac:dyDescent="0.3">
      <c r="A1790" s="7">
        <v>19216</v>
      </c>
      <c r="B1790" s="7" t="s">
        <v>1798</v>
      </c>
      <c r="C1790" s="7" t="s">
        <v>6489</v>
      </c>
      <c r="D1790" s="7" t="s">
        <v>6592</v>
      </c>
      <c r="E1790" s="7" t="s">
        <v>6605</v>
      </c>
      <c r="F1790" s="7" t="s">
        <v>6607</v>
      </c>
      <c r="G1790" s="7" t="s">
        <v>7150</v>
      </c>
      <c r="H1790" s="7" t="s">
        <v>7156</v>
      </c>
      <c r="I1790" s="7"/>
      <c r="J1790" s="10">
        <v>46279</v>
      </c>
      <c r="K1790" s="7" t="s">
        <v>7163</v>
      </c>
      <c r="L1790" s="7"/>
      <c r="M1790" s="7"/>
    </row>
    <row r="1791" spans="1:13" x14ac:dyDescent="0.3">
      <c r="A1791" s="7">
        <v>19224</v>
      </c>
      <c r="B1791" s="7" t="s">
        <v>1799</v>
      </c>
      <c r="C1791" s="7" t="s">
        <v>6489</v>
      </c>
      <c r="D1791" s="7" t="s">
        <v>6592</v>
      </c>
      <c r="E1791" s="7" t="s">
        <v>6605</v>
      </c>
      <c r="F1791" s="7" t="s">
        <v>6607</v>
      </c>
      <c r="G1791" s="7" t="s">
        <v>7150</v>
      </c>
      <c r="H1791" s="7" t="s">
        <v>7156</v>
      </c>
      <c r="I1791" s="7"/>
      <c r="J1791" s="10">
        <v>46279</v>
      </c>
      <c r="K1791" s="7" t="s">
        <v>7163</v>
      </c>
      <c r="L1791" s="7"/>
      <c r="M1791" s="7"/>
    </row>
    <row r="1792" spans="1:13" x14ac:dyDescent="0.3">
      <c r="A1792" s="7">
        <v>19227</v>
      </c>
      <c r="B1792" s="7" t="s">
        <v>1800</v>
      </c>
      <c r="C1792" s="7" t="s">
        <v>6489</v>
      </c>
      <c r="D1792" s="7" t="s">
        <v>6592</v>
      </c>
      <c r="E1792" s="7" t="s">
        <v>6605</v>
      </c>
      <c r="F1792" s="7" t="s">
        <v>6607</v>
      </c>
      <c r="G1792" s="7" t="s">
        <v>7150</v>
      </c>
      <c r="H1792" s="7" t="s">
        <v>7156</v>
      </c>
      <c r="I1792" s="7"/>
      <c r="J1792" s="10">
        <v>46279</v>
      </c>
      <c r="K1792" s="7" t="s">
        <v>7163</v>
      </c>
      <c r="L1792" s="7"/>
      <c r="M1792" s="7"/>
    </row>
    <row r="1793" spans="1:13" x14ac:dyDescent="0.3">
      <c r="A1793" s="7">
        <v>18006</v>
      </c>
      <c r="B1793" s="7" t="s">
        <v>1801</v>
      </c>
      <c r="C1793" s="7" t="s">
        <v>6489</v>
      </c>
      <c r="D1793" s="7" t="s">
        <v>6592</v>
      </c>
      <c r="E1793" s="7" t="s">
        <v>6605</v>
      </c>
      <c r="F1793" s="7" t="s">
        <v>6348</v>
      </c>
      <c r="G1793" s="7" t="s">
        <v>7150</v>
      </c>
      <c r="H1793" s="7" t="s">
        <v>7156</v>
      </c>
      <c r="I1793" s="7"/>
      <c r="J1793" s="10">
        <v>45954</v>
      </c>
      <c r="K1793" s="7" t="s">
        <v>7163</v>
      </c>
      <c r="L1793" s="7"/>
      <c r="M1793" s="7"/>
    </row>
    <row r="1794" spans="1:13" x14ac:dyDescent="0.3">
      <c r="A1794" s="7">
        <v>18015</v>
      </c>
      <c r="B1794" s="7" t="s">
        <v>1802</v>
      </c>
      <c r="C1794" s="7" t="s">
        <v>6489</v>
      </c>
      <c r="D1794" s="7" t="s">
        <v>6592</v>
      </c>
      <c r="E1794" s="7" t="s">
        <v>6605</v>
      </c>
      <c r="F1794" s="7" t="s">
        <v>6348</v>
      </c>
      <c r="G1794" s="7" t="s">
        <v>7150</v>
      </c>
      <c r="H1794" s="7" t="s">
        <v>7156</v>
      </c>
      <c r="I1794" s="7"/>
      <c r="J1794" s="10">
        <v>45964</v>
      </c>
      <c r="K1794" s="7" t="s">
        <v>7163</v>
      </c>
      <c r="L1794" s="7"/>
      <c r="M1794" s="7"/>
    </row>
    <row r="1795" spans="1:13" x14ac:dyDescent="0.3">
      <c r="A1795" s="7">
        <v>18105</v>
      </c>
      <c r="B1795" s="7" t="s">
        <v>1803</v>
      </c>
      <c r="C1795" s="7" t="s">
        <v>6489</v>
      </c>
      <c r="D1795" s="7" t="s">
        <v>6592</v>
      </c>
      <c r="E1795" s="7" t="s">
        <v>6605</v>
      </c>
      <c r="F1795" s="7" t="s">
        <v>6348</v>
      </c>
      <c r="G1795" s="7" t="s">
        <v>7150</v>
      </c>
      <c r="H1795" s="7" t="s">
        <v>7156</v>
      </c>
      <c r="I1795" s="7"/>
      <c r="J1795" s="10">
        <v>45996</v>
      </c>
      <c r="K1795" s="7" t="s">
        <v>7163</v>
      </c>
      <c r="L1795" s="7"/>
      <c r="M1795" s="7"/>
    </row>
    <row r="1796" spans="1:13" x14ac:dyDescent="0.3">
      <c r="A1796" s="7">
        <v>18192</v>
      </c>
      <c r="B1796" s="7" t="s">
        <v>1804</v>
      </c>
      <c r="C1796" s="7" t="s">
        <v>6489</v>
      </c>
      <c r="D1796" s="7" t="s">
        <v>6592</v>
      </c>
      <c r="E1796" s="7" t="s">
        <v>6605</v>
      </c>
      <c r="F1796" s="7" t="s">
        <v>6348</v>
      </c>
      <c r="G1796" s="7" t="s">
        <v>7150</v>
      </c>
      <c r="H1796" s="7" t="s">
        <v>7156</v>
      </c>
      <c r="I1796" s="7"/>
      <c r="J1796" s="10">
        <v>46043</v>
      </c>
      <c r="K1796" s="7" t="s">
        <v>7163</v>
      </c>
      <c r="L1796" s="7"/>
      <c r="M1796" s="7"/>
    </row>
    <row r="1797" spans="1:13" x14ac:dyDescent="0.3">
      <c r="A1797" s="7">
        <v>17790</v>
      </c>
      <c r="B1797" s="7" t="s">
        <v>1805</v>
      </c>
      <c r="C1797" s="7" t="s">
        <v>6489</v>
      </c>
      <c r="D1797" s="7" t="s">
        <v>6592</v>
      </c>
      <c r="E1797" s="7" t="s">
        <v>6605</v>
      </c>
      <c r="F1797" s="7" t="s">
        <v>6341</v>
      </c>
      <c r="G1797" s="7" t="s">
        <v>7150</v>
      </c>
      <c r="H1797" s="7" t="s">
        <v>7156</v>
      </c>
      <c r="I1797" s="7"/>
      <c r="J1797" s="10">
        <v>45876</v>
      </c>
      <c r="K1797" s="7" t="s">
        <v>7163</v>
      </c>
      <c r="L1797" s="7"/>
      <c r="M1797" s="7"/>
    </row>
    <row r="1798" spans="1:13" x14ac:dyDescent="0.3">
      <c r="A1798" s="7">
        <v>17818</v>
      </c>
      <c r="B1798" s="7" t="s">
        <v>1806</v>
      </c>
      <c r="C1798" s="7" t="s">
        <v>6489</v>
      </c>
      <c r="D1798" s="7" t="s">
        <v>6592</v>
      </c>
      <c r="E1798" s="7" t="s">
        <v>6605</v>
      </c>
      <c r="F1798" s="7" t="s">
        <v>6341</v>
      </c>
      <c r="G1798" s="7" t="s">
        <v>7150</v>
      </c>
      <c r="H1798" s="7" t="s">
        <v>7156</v>
      </c>
      <c r="I1798" s="7"/>
      <c r="J1798" s="10">
        <v>45882</v>
      </c>
      <c r="K1798" s="7" t="s">
        <v>7163</v>
      </c>
      <c r="L1798" s="7"/>
      <c r="M1798" s="7"/>
    </row>
    <row r="1799" spans="1:13" x14ac:dyDescent="0.3">
      <c r="A1799" s="7">
        <v>18989</v>
      </c>
      <c r="B1799" s="7" t="s">
        <v>1807</v>
      </c>
      <c r="C1799" s="7" t="s">
        <v>6489</v>
      </c>
      <c r="D1799" s="7" t="s">
        <v>6592</v>
      </c>
      <c r="E1799" s="7" t="s">
        <v>6605</v>
      </c>
      <c r="F1799" s="7" t="s">
        <v>6348</v>
      </c>
      <c r="G1799" s="7" t="s">
        <v>7150</v>
      </c>
      <c r="H1799" s="7" t="s">
        <v>7156</v>
      </c>
      <c r="I1799" s="7"/>
      <c r="J1799" s="10">
        <v>46255</v>
      </c>
      <c r="K1799" s="7" t="s">
        <v>7163</v>
      </c>
      <c r="L1799" s="7"/>
      <c r="M1799" s="7"/>
    </row>
    <row r="1800" spans="1:13" x14ac:dyDescent="0.3">
      <c r="A1800" s="7">
        <v>18773</v>
      </c>
      <c r="B1800" s="7" t="s">
        <v>1808</v>
      </c>
      <c r="C1800" s="7" t="s">
        <v>6489</v>
      </c>
      <c r="D1800" s="7" t="s">
        <v>6592</v>
      </c>
      <c r="E1800" s="7" t="s">
        <v>6605</v>
      </c>
      <c r="F1800" s="7" t="s">
        <v>6348</v>
      </c>
      <c r="G1800" s="7" t="s">
        <v>7150</v>
      </c>
      <c r="H1800" s="7" t="s">
        <v>7156</v>
      </c>
      <c r="I1800" s="7"/>
      <c r="J1800" s="10">
        <v>46210</v>
      </c>
      <c r="K1800" s="7" t="s">
        <v>7163</v>
      </c>
      <c r="L1800" s="7"/>
      <c r="M1800" s="7"/>
    </row>
    <row r="1801" spans="1:13" x14ac:dyDescent="0.3">
      <c r="A1801" s="7">
        <v>18859</v>
      </c>
      <c r="B1801" s="7" t="s">
        <v>1809</v>
      </c>
      <c r="C1801" s="7" t="s">
        <v>6489</v>
      </c>
      <c r="D1801" s="7" t="s">
        <v>6592</v>
      </c>
      <c r="E1801" s="7" t="s">
        <v>6605</v>
      </c>
      <c r="F1801" s="7" t="s">
        <v>6348</v>
      </c>
      <c r="G1801" s="7" t="s">
        <v>7150</v>
      </c>
      <c r="H1801" s="7" t="s">
        <v>7156</v>
      </c>
      <c r="I1801" s="7"/>
      <c r="J1801" s="10">
        <v>46225</v>
      </c>
      <c r="K1801" s="7" t="s">
        <v>7163</v>
      </c>
      <c r="L1801" s="7"/>
      <c r="M1801" s="7"/>
    </row>
    <row r="1802" spans="1:13" x14ac:dyDescent="0.3">
      <c r="A1802" s="7">
        <v>18860</v>
      </c>
      <c r="B1802" s="7" t="s">
        <v>1810</v>
      </c>
      <c r="C1802" s="7" t="s">
        <v>6489</v>
      </c>
      <c r="D1802" s="7" t="s">
        <v>6592</v>
      </c>
      <c r="E1802" s="7" t="s">
        <v>6605</v>
      </c>
      <c r="F1802" s="7" t="s">
        <v>6348</v>
      </c>
      <c r="G1802" s="7" t="s">
        <v>7150</v>
      </c>
      <c r="H1802" s="7" t="s">
        <v>7156</v>
      </c>
      <c r="I1802" s="7"/>
      <c r="J1802" s="10">
        <v>46225</v>
      </c>
      <c r="K1802" s="7" t="s">
        <v>7163</v>
      </c>
      <c r="L1802" s="7"/>
      <c r="M1802" s="7"/>
    </row>
    <row r="1803" spans="1:13" x14ac:dyDescent="0.3">
      <c r="A1803" s="7">
        <v>18868</v>
      </c>
      <c r="B1803" s="7" t="s">
        <v>1811</v>
      </c>
      <c r="C1803" s="7" t="s">
        <v>6489</v>
      </c>
      <c r="D1803" s="7" t="s">
        <v>6592</v>
      </c>
      <c r="E1803" s="7" t="s">
        <v>6605</v>
      </c>
      <c r="F1803" s="7" t="s">
        <v>6348</v>
      </c>
      <c r="G1803" s="7" t="s">
        <v>7150</v>
      </c>
      <c r="H1803" s="7" t="s">
        <v>7156</v>
      </c>
      <c r="I1803" s="7"/>
      <c r="J1803" s="10">
        <v>46226</v>
      </c>
      <c r="K1803" s="7" t="s">
        <v>7163</v>
      </c>
      <c r="L1803" s="7"/>
      <c r="M1803" s="7"/>
    </row>
    <row r="1804" spans="1:13" x14ac:dyDescent="0.3">
      <c r="A1804" s="7">
        <v>18867</v>
      </c>
      <c r="B1804" s="7" t="s">
        <v>1812</v>
      </c>
      <c r="C1804" s="7" t="s">
        <v>6489</v>
      </c>
      <c r="D1804" s="7" t="s">
        <v>6592</v>
      </c>
      <c r="E1804" s="7" t="s">
        <v>6605</v>
      </c>
      <c r="F1804" s="7" t="s">
        <v>6348</v>
      </c>
      <c r="G1804" s="7" t="s">
        <v>7150</v>
      </c>
      <c r="H1804" s="7" t="s">
        <v>7156</v>
      </c>
      <c r="I1804" s="7"/>
      <c r="J1804" s="10">
        <v>46226</v>
      </c>
      <c r="K1804" s="7" t="s">
        <v>7163</v>
      </c>
      <c r="L1804" s="7"/>
      <c r="M1804" s="7"/>
    </row>
    <row r="1805" spans="1:13" x14ac:dyDescent="0.3">
      <c r="A1805" s="7">
        <v>18591</v>
      </c>
      <c r="B1805" s="7" t="s">
        <v>1813</v>
      </c>
      <c r="C1805" s="7" t="s">
        <v>6489</v>
      </c>
      <c r="D1805" s="7" t="s">
        <v>6592</v>
      </c>
      <c r="E1805" s="7" t="s">
        <v>6605</v>
      </c>
      <c r="F1805" s="7" t="s">
        <v>6348</v>
      </c>
      <c r="G1805" s="7" t="s">
        <v>7150</v>
      </c>
      <c r="H1805" s="7" t="s">
        <v>7156</v>
      </c>
      <c r="I1805" s="7"/>
      <c r="J1805" s="10">
        <v>46163</v>
      </c>
      <c r="K1805" s="7" t="s">
        <v>7163</v>
      </c>
      <c r="L1805" s="7"/>
      <c r="M1805" s="7"/>
    </row>
    <row r="1806" spans="1:13" x14ac:dyDescent="0.3">
      <c r="A1806" s="7">
        <v>18592</v>
      </c>
      <c r="B1806" s="7" t="s">
        <v>1814</v>
      </c>
      <c r="C1806" s="7" t="s">
        <v>6489</v>
      </c>
      <c r="D1806" s="7" t="s">
        <v>6592</v>
      </c>
      <c r="E1806" s="7" t="s">
        <v>6605</v>
      </c>
      <c r="F1806" s="7" t="s">
        <v>6348</v>
      </c>
      <c r="G1806" s="7" t="s">
        <v>7150</v>
      </c>
      <c r="H1806" s="7" t="s">
        <v>7156</v>
      </c>
      <c r="I1806" s="7"/>
      <c r="J1806" s="10">
        <v>46163</v>
      </c>
      <c r="K1806" s="7" t="s">
        <v>7163</v>
      </c>
      <c r="L1806" s="7"/>
      <c r="M1806" s="7"/>
    </row>
    <row r="1807" spans="1:13" x14ac:dyDescent="0.3">
      <c r="A1807" s="7">
        <v>18596</v>
      </c>
      <c r="B1807" s="7" t="s">
        <v>1815</v>
      </c>
      <c r="C1807" s="7" t="s">
        <v>6489</v>
      </c>
      <c r="D1807" s="7" t="s">
        <v>6592</v>
      </c>
      <c r="E1807" s="7" t="s">
        <v>6605</v>
      </c>
      <c r="F1807" s="7" t="s">
        <v>6348</v>
      </c>
      <c r="G1807" s="7" t="s">
        <v>7150</v>
      </c>
      <c r="H1807" s="7" t="s">
        <v>7156</v>
      </c>
      <c r="I1807" s="7"/>
      <c r="J1807" s="10">
        <v>46163</v>
      </c>
      <c r="K1807" s="7" t="s">
        <v>7163</v>
      </c>
      <c r="L1807" s="7"/>
      <c r="M1807" s="7"/>
    </row>
    <row r="1808" spans="1:13" x14ac:dyDescent="0.3">
      <c r="A1808" s="7">
        <v>18193</v>
      </c>
      <c r="B1808" s="7" t="s">
        <v>1816</v>
      </c>
      <c r="C1808" s="7" t="s">
        <v>6489</v>
      </c>
      <c r="D1808" s="7" t="s">
        <v>6592</v>
      </c>
      <c r="E1808" s="7" t="s">
        <v>6605</v>
      </c>
      <c r="F1808" s="7" t="s">
        <v>6348</v>
      </c>
      <c r="G1808" s="7" t="s">
        <v>7150</v>
      </c>
      <c r="H1808" s="7" t="s">
        <v>7156</v>
      </c>
      <c r="I1808" s="7"/>
      <c r="J1808" s="10">
        <v>46043</v>
      </c>
      <c r="K1808" s="7" t="s">
        <v>7163</v>
      </c>
      <c r="L1808" s="7"/>
      <c r="M1808" s="7"/>
    </row>
    <row r="1809" spans="1:13" x14ac:dyDescent="0.3">
      <c r="A1809" s="7">
        <v>17368</v>
      </c>
      <c r="B1809" s="7" t="s">
        <v>1817</v>
      </c>
      <c r="C1809" s="7" t="s">
        <v>6489</v>
      </c>
      <c r="D1809" s="7" t="s">
        <v>6592</v>
      </c>
      <c r="E1809" s="7" t="s">
        <v>6605</v>
      </c>
      <c r="F1809" s="7" t="s">
        <v>6606</v>
      </c>
      <c r="G1809" s="7" t="s">
        <v>7150</v>
      </c>
      <c r="H1809" s="7" t="s">
        <v>7156</v>
      </c>
      <c r="I1809" s="7"/>
      <c r="J1809" s="10">
        <v>45722</v>
      </c>
      <c r="K1809" s="7" t="s">
        <v>7163</v>
      </c>
      <c r="L1809" s="7"/>
      <c r="M1809" s="7"/>
    </row>
    <row r="1810" spans="1:13" x14ac:dyDescent="0.3">
      <c r="A1810" s="7">
        <v>18632</v>
      </c>
      <c r="B1810" s="7" t="s">
        <v>1818</v>
      </c>
      <c r="C1810" s="7" t="s">
        <v>6489</v>
      </c>
      <c r="D1810" s="7" t="s">
        <v>6592</v>
      </c>
      <c r="E1810" s="7" t="s">
        <v>6605</v>
      </c>
      <c r="F1810" s="7" t="s">
        <v>6608</v>
      </c>
      <c r="G1810" s="7" t="s">
        <v>7150</v>
      </c>
      <c r="H1810" s="7" t="s">
        <v>7156</v>
      </c>
      <c r="I1810" s="7"/>
      <c r="J1810" s="10">
        <v>46175</v>
      </c>
      <c r="K1810" s="7" t="s">
        <v>7163</v>
      </c>
      <c r="L1810" s="7"/>
      <c r="M1810" s="7"/>
    </row>
    <row r="1811" spans="1:13" x14ac:dyDescent="0.3">
      <c r="A1811" s="7">
        <v>18687</v>
      </c>
      <c r="B1811" s="7" t="s">
        <v>1819</v>
      </c>
      <c r="C1811" s="7" t="s">
        <v>6489</v>
      </c>
      <c r="D1811" s="7" t="s">
        <v>6592</v>
      </c>
      <c r="E1811" s="7" t="s">
        <v>6605</v>
      </c>
      <c r="F1811" s="7" t="s">
        <v>6348</v>
      </c>
      <c r="G1811" s="7" t="s">
        <v>7150</v>
      </c>
      <c r="H1811" s="7" t="s">
        <v>7156</v>
      </c>
      <c r="I1811" s="7"/>
      <c r="J1811" s="10">
        <v>46191</v>
      </c>
      <c r="K1811" s="7" t="s">
        <v>7163</v>
      </c>
      <c r="L1811" s="7"/>
      <c r="M1811" s="7"/>
    </row>
    <row r="1812" spans="1:13" x14ac:dyDescent="0.3">
      <c r="A1812" s="7">
        <v>16875</v>
      </c>
      <c r="B1812" s="7" t="s">
        <v>1820</v>
      </c>
      <c r="C1812" s="7" t="s">
        <v>6489</v>
      </c>
      <c r="D1812" s="7" t="s">
        <v>6592</v>
      </c>
      <c r="E1812" s="7" t="s">
        <v>6609</v>
      </c>
      <c r="F1812" s="7" t="s">
        <v>6353</v>
      </c>
      <c r="G1812" s="7" t="s">
        <v>7150</v>
      </c>
      <c r="H1812" s="7" t="s">
        <v>7156</v>
      </c>
      <c r="I1812" s="7"/>
      <c r="J1812" s="10">
        <v>45566</v>
      </c>
      <c r="K1812" s="7" t="s">
        <v>7163</v>
      </c>
      <c r="L1812" s="7"/>
      <c r="M1812" s="7"/>
    </row>
    <row r="1813" spans="1:13" x14ac:dyDescent="0.3">
      <c r="A1813" s="7">
        <v>16374</v>
      </c>
      <c r="B1813" s="7" t="s">
        <v>1821</v>
      </c>
      <c r="C1813" s="7" t="s">
        <v>6489</v>
      </c>
      <c r="D1813" s="7" t="s">
        <v>6592</v>
      </c>
      <c r="E1813" s="7" t="s">
        <v>6609</v>
      </c>
      <c r="F1813" s="7" t="s">
        <v>6341</v>
      </c>
      <c r="G1813" s="7" t="s">
        <v>7150</v>
      </c>
      <c r="H1813" s="7" t="s">
        <v>7156</v>
      </c>
      <c r="I1813" s="7"/>
      <c r="J1813" s="10">
        <v>45363</v>
      </c>
      <c r="K1813" s="7" t="s">
        <v>7163</v>
      </c>
      <c r="L1813" s="7"/>
      <c r="M1813" s="7"/>
    </row>
    <row r="1814" spans="1:13" x14ac:dyDescent="0.3">
      <c r="A1814" s="7">
        <v>13366</v>
      </c>
      <c r="B1814" s="7" t="s">
        <v>1822</v>
      </c>
      <c r="C1814" s="7" t="s">
        <v>6489</v>
      </c>
      <c r="D1814" s="7" t="s">
        <v>6610</v>
      </c>
      <c r="E1814" s="7" t="s">
        <v>6295</v>
      </c>
      <c r="F1814" s="7" t="s">
        <v>6338</v>
      </c>
      <c r="G1814" s="7" t="s">
        <v>7150</v>
      </c>
      <c r="H1814" s="7" t="s">
        <v>7156</v>
      </c>
      <c r="I1814" s="7"/>
      <c r="J1814" s="10">
        <v>44410</v>
      </c>
      <c r="K1814" s="7" t="s">
        <v>7163</v>
      </c>
      <c r="L1814" s="7"/>
      <c r="M1814" s="7"/>
    </row>
    <row r="1815" spans="1:13" x14ac:dyDescent="0.3">
      <c r="A1815" s="7">
        <v>13694</v>
      </c>
      <c r="B1815" s="7" t="s">
        <v>1823</v>
      </c>
      <c r="C1815" s="7" t="s">
        <v>6489</v>
      </c>
      <c r="D1815" s="7" t="s">
        <v>6610</v>
      </c>
      <c r="E1815" s="7" t="s">
        <v>6295</v>
      </c>
      <c r="F1815" s="7" t="s">
        <v>6340</v>
      </c>
      <c r="G1815" s="7" t="s">
        <v>7150</v>
      </c>
      <c r="H1815" s="7" t="s">
        <v>7156</v>
      </c>
      <c r="I1815" s="7"/>
      <c r="J1815" s="10">
        <v>44538</v>
      </c>
      <c r="K1815" s="7" t="s">
        <v>7163</v>
      </c>
      <c r="L1815" s="7"/>
      <c r="M1815" s="7"/>
    </row>
    <row r="1816" spans="1:13" x14ac:dyDescent="0.3">
      <c r="A1816" s="7">
        <v>14137</v>
      </c>
      <c r="B1816" s="7" t="s">
        <v>1824</v>
      </c>
      <c r="C1816" s="7" t="s">
        <v>6489</v>
      </c>
      <c r="D1816" s="7" t="s">
        <v>6610</v>
      </c>
      <c r="E1816" s="7" t="s">
        <v>6295</v>
      </c>
      <c r="F1816" s="7" t="s">
        <v>6340</v>
      </c>
      <c r="G1816" s="7" t="s">
        <v>7150</v>
      </c>
      <c r="H1816" s="7" t="s">
        <v>7156</v>
      </c>
      <c r="I1816" s="7"/>
      <c r="J1816" s="10">
        <v>44671</v>
      </c>
      <c r="K1816" s="7" t="s">
        <v>7163</v>
      </c>
      <c r="L1816" s="7"/>
      <c r="M1816" s="7"/>
    </row>
    <row r="1817" spans="1:13" x14ac:dyDescent="0.3">
      <c r="A1817" s="7">
        <v>14281</v>
      </c>
      <c r="B1817" s="7" t="s">
        <v>1825</v>
      </c>
      <c r="C1817" s="7" t="s">
        <v>6489</v>
      </c>
      <c r="D1817" s="7" t="s">
        <v>6610</v>
      </c>
      <c r="E1817" s="7" t="s">
        <v>6295</v>
      </c>
      <c r="F1817" s="7" t="s">
        <v>6340</v>
      </c>
      <c r="G1817" s="7" t="s">
        <v>7150</v>
      </c>
      <c r="H1817" s="7" t="s">
        <v>7156</v>
      </c>
      <c r="I1817" s="7"/>
      <c r="J1817" s="10">
        <v>44713</v>
      </c>
      <c r="K1817" s="7" t="s">
        <v>7163</v>
      </c>
      <c r="L1817" s="7"/>
      <c r="M1817" s="7"/>
    </row>
    <row r="1818" spans="1:13" x14ac:dyDescent="0.3">
      <c r="A1818" s="7">
        <v>15537</v>
      </c>
      <c r="B1818" s="7" t="s">
        <v>1826</v>
      </c>
      <c r="C1818" s="7" t="s">
        <v>6489</v>
      </c>
      <c r="D1818" s="7" t="s">
        <v>6610</v>
      </c>
      <c r="E1818" s="7" t="s">
        <v>6295</v>
      </c>
      <c r="F1818" s="7" t="s">
        <v>6340</v>
      </c>
      <c r="G1818" s="7" t="s">
        <v>7150</v>
      </c>
      <c r="H1818" s="7" t="s">
        <v>7156</v>
      </c>
      <c r="I1818" s="7"/>
      <c r="J1818" s="10">
        <v>45119</v>
      </c>
      <c r="K1818" s="7" t="s">
        <v>7163</v>
      </c>
      <c r="L1818" s="7"/>
      <c r="M1818" s="7"/>
    </row>
    <row r="1819" spans="1:13" x14ac:dyDescent="0.3">
      <c r="A1819" s="7">
        <v>16329</v>
      </c>
      <c r="B1819" s="7" t="s">
        <v>1827</v>
      </c>
      <c r="C1819" s="7" t="s">
        <v>6489</v>
      </c>
      <c r="D1819" s="7" t="s">
        <v>6610</v>
      </c>
      <c r="E1819" s="7" t="s">
        <v>6295</v>
      </c>
      <c r="F1819" s="7" t="s">
        <v>6340</v>
      </c>
      <c r="G1819" s="7" t="s">
        <v>7150</v>
      </c>
      <c r="H1819" s="7" t="s">
        <v>7156</v>
      </c>
      <c r="I1819" s="7"/>
      <c r="J1819" s="10">
        <v>45355</v>
      </c>
      <c r="K1819" s="7" t="s">
        <v>7163</v>
      </c>
      <c r="L1819" s="7"/>
      <c r="M1819" s="7"/>
    </row>
    <row r="1820" spans="1:13" x14ac:dyDescent="0.3">
      <c r="A1820" s="7">
        <v>13850</v>
      </c>
      <c r="B1820" s="7" t="s">
        <v>1828</v>
      </c>
      <c r="C1820" s="7" t="s">
        <v>6489</v>
      </c>
      <c r="D1820" s="7" t="s">
        <v>6610</v>
      </c>
      <c r="E1820" s="7" t="s">
        <v>6295</v>
      </c>
      <c r="F1820" s="7" t="s">
        <v>6340</v>
      </c>
      <c r="G1820" s="7" t="s">
        <v>7150</v>
      </c>
      <c r="H1820" s="7" t="s">
        <v>7156</v>
      </c>
      <c r="I1820" s="7"/>
      <c r="J1820" s="10">
        <v>44603</v>
      </c>
      <c r="K1820" s="7" t="s">
        <v>7163</v>
      </c>
      <c r="L1820" s="7"/>
      <c r="M1820" s="7"/>
    </row>
    <row r="1821" spans="1:13" x14ac:dyDescent="0.3">
      <c r="A1821" s="7">
        <v>14195</v>
      </c>
      <c r="B1821" s="7" t="s">
        <v>1829</v>
      </c>
      <c r="C1821" s="7" t="s">
        <v>6489</v>
      </c>
      <c r="D1821" s="7" t="s">
        <v>6610</v>
      </c>
      <c r="E1821" s="7" t="s">
        <v>6611</v>
      </c>
      <c r="F1821" s="7" t="s">
        <v>6542</v>
      </c>
      <c r="G1821" s="7" t="s">
        <v>7150</v>
      </c>
      <c r="H1821" s="7" t="s">
        <v>7156</v>
      </c>
      <c r="I1821" s="7"/>
      <c r="J1821" s="10">
        <v>44694</v>
      </c>
      <c r="K1821" s="7" t="s">
        <v>7163</v>
      </c>
      <c r="L1821" s="7"/>
      <c r="M1821" s="7"/>
    </row>
    <row r="1822" spans="1:13" x14ac:dyDescent="0.3">
      <c r="A1822" s="7">
        <v>14441</v>
      </c>
      <c r="B1822" s="7" t="s">
        <v>1830</v>
      </c>
      <c r="C1822" s="7" t="s">
        <v>6489</v>
      </c>
      <c r="D1822" s="7" t="s">
        <v>6610</v>
      </c>
      <c r="E1822" s="7" t="s">
        <v>6611</v>
      </c>
      <c r="F1822" s="7" t="s">
        <v>6340</v>
      </c>
      <c r="G1822" s="7" t="s">
        <v>7150</v>
      </c>
      <c r="H1822" s="7" t="s">
        <v>7156</v>
      </c>
      <c r="I1822" s="7"/>
      <c r="J1822" s="10">
        <v>44760</v>
      </c>
      <c r="K1822" s="7" t="s">
        <v>7163</v>
      </c>
      <c r="L1822" s="7"/>
      <c r="M1822" s="7"/>
    </row>
    <row r="1823" spans="1:13" x14ac:dyDescent="0.3">
      <c r="A1823" s="7">
        <v>13828</v>
      </c>
      <c r="B1823" s="7" t="s">
        <v>1831</v>
      </c>
      <c r="C1823" s="7" t="s">
        <v>6489</v>
      </c>
      <c r="D1823" s="7" t="s">
        <v>6610</v>
      </c>
      <c r="E1823" s="7" t="s">
        <v>6611</v>
      </c>
      <c r="F1823" s="7" t="s">
        <v>6542</v>
      </c>
      <c r="G1823" s="7" t="s">
        <v>7150</v>
      </c>
      <c r="H1823" s="7" t="s">
        <v>7156</v>
      </c>
      <c r="I1823" s="7"/>
      <c r="J1823" s="10">
        <v>44596</v>
      </c>
      <c r="K1823" s="7" t="s">
        <v>7163</v>
      </c>
      <c r="L1823" s="7"/>
      <c r="M1823" s="7"/>
    </row>
    <row r="1824" spans="1:13" x14ac:dyDescent="0.3">
      <c r="A1824" s="7">
        <v>13851</v>
      </c>
      <c r="B1824" s="7" t="s">
        <v>1832</v>
      </c>
      <c r="C1824" s="7" t="s">
        <v>6489</v>
      </c>
      <c r="D1824" s="7" t="s">
        <v>6610</v>
      </c>
      <c r="E1824" s="7" t="s">
        <v>6611</v>
      </c>
      <c r="F1824" s="7" t="s">
        <v>6542</v>
      </c>
      <c r="G1824" s="7" t="s">
        <v>7150</v>
      </c>
      <c r="H1824" s="7" t="s">
        <v>7156</v>
      </c>
      <c r="I1824" s="7"/>
      <c r="J1824" s="10">
        <v>44603</v>
      </c>
      <c r="K1824" s="7" t="s">
        <v>7163</v>
      </c>
      <c r="L1824" s="7"/>
      <c r="M1824" s="7"/>
    </row>
    <row r="1825" spans="1:13" x14ac:dyDescent="0.3">
      <c r="A1825" s="7">
        <v>13585</v>
      </c>
      <c r="B1825" s="7" t="s">
        <v>1833</v>
      </c>
      <c r="C1825" s="7" t="s">
        <v>6489</v>
      </c>
      <c r="D1825" s="7" t="s">
        <v>6610</v>
      </c>
      <c r="E1825" s="7" t="s">
        <v>6611</v>
      </c>
      <c r="F1825" s="7" t="s">
        <v>6340</v>
      </c>
      <c r="G1825" s="7" t="s">
        <v>7150</v>
      </c>
      <c r="H1825" s="7" t="s">
        <v>7156</v>
      </c>
      <c r="I1825" s="7"/>
      <c r="J1825" s="10">
        <v>44503</v>
      </c>
      <c r="K1825" s="7" t="s">
        <v>7163</v>
      </c>
      <c r="L1825" s="7"/>
      <c r="M1825" s="7"/>
    </row>
    <row r="1826" spans="1:13" x14ac:dyDescent="0.3">
      <c r="A1826" s="7">
        <v>12864</v>
      </c>
      <c r="B1826" s="7" t="s">
        <v>1834</v>
      </c>
      <c r="C1826" s="7" t="s">
        <v>6489</v>
      </c>
      <c r="D1826" s="7" t="s">
        <v>6610</v>
      </c>
      <c r="E1826" s="7" t="s">
        <v>6611</v>
      </c>
      <c r="F1826" s="7" t="s">
        <v>6340</v>
      </c>
      <c r="G1826" s="7" t="s">
        <v>7150</v>
      </c>
      <c r="H1826" s="7" t="s">
        <v>7156</v>
      </c>
      <c r="I1826" s="7"/>
      <c r="J1826" s="10">
        <v>44056</v>
      </c>
      <c r="K1826" s="7" t="s">
        <v>7163</v>
      </c>
      <c r="L1826" s="7"/>
      <c r="M1826" s="7"/>
    </row>
    <row r="1827" spans="1:13" x14ac:dyDescent="0.3">
      <c r="A1827" s="7">
        <v>13301</v>
      </c>
      <c r="B1827" s="7" t="s">
        <v>1835</v>
      </c>
      <c r="C1827" s="7" t="s">
        <v>6489</v>
      </c>
      <c r="D1827" s="7" t="s">
        <v>6610</v>
      </c>
      <c r="E1827" s="7" t="s">
        <v>6611</v>
      </c>
      <c r="F1827" s="7" t="s">
        <v>6340</v>
      </c>
      <c r="G1827" s="7" t="s">
        <v>7150</v>
      </c>
      <c r="H1827" s="7" t="s">
        <v>7156</v>
      </c>
      <c r="I1827" s="7"/>
      <c r="J1827" s="10">
        <v>44378</v>
      </c>
      <c r="K1827" s="7" t="s">
        <v>7163</v>
      </c>
      <c r="L1827" s="7"/>
      <c r="M1827" s="7"/>
    </row>
    <row r="1828" spans="1:13" x14ac:dyDescent="0.3">
      <c r="A1828" s="7">
        <v>13344</v>
      </c>
      <c r="B1828" s="7" t="s">
        <v>1836</v>
      </c>
      <c r="C1828" s="7" t="s">
        <v>6489</v>
      </c>
      <c r="D1828" s="7" t="s">
        <v>6610</v>
      </c>
      <c r="E1828" s="7" t="s">
        <v>6611</v>
      </c>
      <c r="F1828" s="7" t="s">
        <v>6340</v>
      </c>
      <c r="G1828" s="7" t="s">
        <v>7150</v>
      </c>
      <c r="H1828" s="7" t="s">
        <v>7156</v>
      </c>
      <c r="I1828" s="7"/>
      <c r="J1828" s="10">
        <v>44394</v>
      </c>
      <c r="K1828" s="7" t="s">
        <v>7163</v>
      </c>
      <c r="L1828" s="7"/>
      <c r="M1828" s="7"/>
    </row>
    <row r="1829" spans="1:13" x14ac:dyDescent="0.3">
      <c r="A1829" s="7">
        <v>14014</v>
      </c>
      <c r="B1829" s="7" t="s">
        <v>1837</v>
      </c>
      <c r="C1829" s="7" t="s">
        <v>6489</v>
      </c>
      <c r="D1829" s="7" t="s">
        <v>6610</v>
      </c>
      <c r="E1829" s="7" t="s">
        <v>6611</v>
      </c>
      <c r="F1829" s="7" t="s">
        <v>6340</v>
      </c>
      <c r="G1829" s="7" t="s">
        <v>7150</v>
      </c>
      <c r="H1829" s="7" t="s">
        <v>7156</v>
      </c>
      <c r="I1829" s="7"/>
      <c r="J1829" s="10">
        <v>44624</v>
      </c>
      <c r="K1829" s="7" t="s">
        <v>7163</v>
      </c>
      <c r="L1829" s="7"/>
      <c r="M1829" s="7"/>
    </row>
    <row r="1830" spans="1:13" x14ac:dyDescent="0.3">
      <c r="A1830" s="7">
        <v>12789</v>
      </c>
      <c r="B1830" s="7" t="s">
        <v>1838</v>
      </c>
      <c r="C1830" s="7" t="s">
        <v>6489</v>
      </c>
      <c r="D1830" s="7" t="s">
        <v>6610</v>
      </c>
      <c r="E1830" s="7" t="s">
        <v>6611</v>
      </c>
      <c r="F1830" s="7" t="s">
        <v>6341</v>
      </c>
      <c r="G1830" s="7" t="s">
        <v>7151</v>
      </c>
      <c r="H1830" s="7" t="s">
        <v>7156</v>
      </c>
      <c r="I1830" s="7"/>
      <c r="J1830" s="10">
        <v>43931</v>
      </c>
      <c r="K1830" s="7" t="s">
        <v>7163</v>
      </c>
      <c r="L1830" s="7"/>
      <c r="M1830" s="7"/>
    </row>
    <row r="1831" spans="1:13" x14ac:dyDescent="0.3">
      <c r="A1831" s="7">
        <v>17651</v>
      </c>
      <c r="B1831" s="7" t="s">
        <v>1839</v>
      </c>
      <c r="C1831" s="7" t="s">
        <v>6489</v>
      </c>
      <c r="D1831" s="7" t="s">
        <v>6610</v>
      </c>
      <c r="E1831" s="7" t="s">
        <v>6611</v>
      </c>
      <c r="F1831" s="7" t="s">
        <v>6389</v>
      </c>
      <c r="G1831" s="7" t="s">
        <v>7150</v>
      </c>
      <c r="H1831" s="7" t="s">
        <v>7157</v>
      </c>
      <c r="I1831" s="7"/>
      <c r="J1831" s="10">
        <v>45828</v>
      </c>
      <c r="K1831" s="7" t="s">
        <v>7163</v>
      </c>
      <c r="L1831" s="7"/>
      <c r="M1831" s="7"/>
    </row>
    <row r="1832" spans="1:13" x14ac:dyDescent="0.3">
      <c r="A1832" s="7">
        <v>12492</v>
      </c>
      <c r="B1832" s="7" t="s">
        <v>1840</v>
      </c>
      <c r="C1832" s="7" t="s">
        <v>6489</v>
      </c>
      <c r="D1832" s="7" t="s">
        <v>6610</v>
      </c>
      <c r="E1832" s="7" t="s">
        <v>6611</v>
      </c>
      <c r="F1832" s="7" t="s">
        <v>6341</v>
      </c>
      <c r="G1832" s="7" t="s">
        <v>7150</v>
      </c>
      <c r="H1832" s="7" t="s">
        <v>7156</v>
      </c>
      <c r="I1832" s="7"/>
      <c r="J1832" s="10">
        <v>43775</v>
      </c>
      <c r="K1832" s="7" t="s">
        <v>7163</v>
      </c>
      <c r="L1832" s="7"/>
      <c r="M1832" s="7"/>
    </row>
    <row r="1833" spans="1:13" x14ac:dyDescent="0.3">
      <c r="A1833" s="7">
        <v>12651</v>
      </c>
      <c r="B1833" s="7" t="s">
        <v>1841</v>
      </c>
      <c r="C1833" s="7" t="s">
        <v>6489</v>
      </c>
      <c r="D1833" s="7" t="s">
        <v>6610</v>
      </c>
      <c r="E1833" s="7" t="s">
        <v>6611</v>
      </c>
      <c r="F1833" s="7" t="s">
        <v>6341</v>
      </c>
      <c r="G1833" s="7" t="s">
        <v>7150</v>
      </c>
      <c r="H1833" s="7" t="s">
        <v>7156</v>
      </c>
      <c r="I1833" s="7"/>
      <c r="J1833" s="10">
        <v>43853</v>
      </c>
      <c r="K1833" s="7" t="s">
        <v>7163</v>
      </c>
      <c r="L1833" s="7"/>
      <c r="M1833" s="7"/>
    </row>
    <row r="1834" spans="1:13" x14ac:dyDescent="0.3">
      <c r="A1834" s="7">
        <v>12094</v>
      </c>
      <c r="B1834" s="7" t="s">
        <v>1842</v>
      </c>
      <c r="C1834" s="7" t="s">
        <v>6489</v>
      </c>
      <c r="D1834" s="7" t="s">
        <v>6610</v>
      </c>
      <c r="E1834" s="7" t="s">
        <v>6611</v>
      </c>
      <c r="F1834" s="7" t="s">
        <v>6341</v>
      </c>
      <c r="G1834" s="7" t="s">
        <v>7150</v>
      </c>
      <c r="H1834" s="7" t="s">
        <v>7156</v>
      </c>
      <c r="I1834" s="7"/>
      <c r="J1834" s="10">
        <v>43458</v>
      </c>
      <c r="K1834" s="7" t="s">
        <v>7163</v>
      </c>
      <c r="L1834" s="7"/>
      <c r="M1834" s="7"/>
    </row>
    <row r="1835" spans="1:13" x14ac:dyDescent="0.3">
      <c r="A1835" s="7">
        <v>12565</v>
      </c>
      <c r="B1835" s="7" t="s">
        <v>1843</v>
      </c>
      <c r="C1835" s="7" t="s">
        <v>6489</v>
      </c>
      <c r="D1835" s="7" t="s">
        <v>6610</v>
      </c>
      <c r="E1835" s="7" t="s">
        <v>6611</v>
      </c>
      <c r="F1835" s="7" t="s">
        <v>6341</v>
      </c>
      <c r="G1835" s="7" t="s">
        <v>7150</v>
      </c>
      <c r="H1835" s="7" t="s">
        <v>7156</v>
      </c>
      <c r="I1835" s="7"/>
      <c r="J1835" s="10">
        <v>43810</v>
      </c>
      <c r="K1835" s="7" t="s">
        <v>7163</v>
      </c>
      <c r="L1835" s="7"/>
      <c r="M1835" s="7"/>
    </row>
    <row r="1836" spans="1:13" x14ac:dyDescent="0.3">
      <c r="A1836" s="7">
        <v>12733</v>
      </c>
      <c r="B1836" s="7" t="s">
        <v>1844</v>
      </c>
      <c r="C1836" s="7" t="s">
        <v>6489</v>
      </c>
      <c r="D1836" s="7" t="s">
        <v>6610</v>
      </c>
      <c r="E1836" s="7" t="s">
        <v>6611</v>
      </c>
      <c r="F1836" s="7" t="s">
        <v>6341</v>
      </c>
      <c r="G1836" s="7" t="s">
        <v>7151</v>
      </c>
      <c r="H1836" s="7" t="s">
        <v>7156</v>
      </c>
      <c r="I1836" s="7"/>
      <c r="J1836" s="10">
        <v>43885</v>
      </c>
      <c r="K1836" s="7" t="s">
        <v>7163</v>
      </c>
      <c r="L1836" s="7"/>
      <c r="M1836" s="7"/>
    </row>
    <row r="1837" spans="1:13" x14ac:dyDescent="0.3">
      <c r="A1837" s="7">
        <v>15544</v>
      </c>
      <c r="B1837" s="7" t="s">
        <v>1845</v>
      </c>
      <c r="C1837" s="7" t="s">
        <v>6489</v>
      </c>
      <c r="D1837" s="7" t="s">
        <v>6610</v>
      </c>
      <c r="E1837" s="7" t="s">
        <v>6611</v>
      </c>
      <c r="F1837" s="7" t="s">
        <v>6467</v>
      </c>
      <c r="G1837" s="7" t="s">
        <v>7150</v>
      </c>
      <c r="H1837" s="7" t="s">
        <v>7157</v>
      </c>
      <c r="I1837" s="7"/>
      <c r="J1837" s="10">
        <v>45120</v>
      </c>
      <c r="K1837" s="7" t="s">
        <v>7163</v>
      </c>
      <c r="L1837" s="7"/>
      <c r="M1837" s="7"/>
    </row>
    <row r="1838" spans="1:13" x14ac:dyDescent="0.3">
      <c r="A1838" s="7">
        <v>12797</v>
      </c>
      <c r="B1838" s="7" t="s">
        <v>1846</v>
      </c>
      <c r="C1838" s="7" t="s">
        <v>6489</v>
      </c>
      <c r="D1838" s="7" t="s">
        <v>6610</v>
      </c>
      <c r="E1838" s="7" t="s">
        <v>6611</v>
      </c>
      <c r="F1838" s="7" t="s">
        <v>6341</v>
      </c>
      <c r="G1838" s="7" t="s">
        <v>7150</v>
      </c>
      <c r="H1838" s="7" t="s">
        <v>7156</v>
      </c>
      <c r="I1838" s="7"/>
      <c r="J1838" s="10">
        <v>43936</v>
      </c>
      <c r="K1838" s="7" t="s">
        <v>7163</v>
      </c>
      <c r="L1838" s="7"/>
      <c r="M1838" s="7"/>
    </row>
    <row r="1839" spans="1:13" x14ac:dyDescent="0.3">
      <c r="A1839" s="7">
        <v>13431</v>
      </c>
      <c r="B1839" s="7" t="s">
        <v>1847</v>
      </c>
      <c r="C1839" s="7" t="s">
        <v>6489</v>
      </c>
      <c r="D1839" s="7" t="s">
        <v>6610</v>
      </c>
      <c r="E1839" s="7" t="s">
        <v>6611</v>
      </c>
      <c r="F1839" s="7" t="s">
        <v>6341</v>
      </c>
      <c r="G1839" s="7" t="s">
        <v>7150</v>
      </c>
      <c r="H1839" s="7" t="s">
        <v>7156</v>
      </c>
      <c r="I1839" s="7"/>
      <c r="J1839" s="10">
        <v>44452</v>
      </c>
      <c r="K1839" s="7" t="s">
        <v>7163</v>
      </c>
      <c r="L1839" s="7"/>
      <c r="M1839" s="7"/>
    </row>
    <row r="1840" spans="1:13" x14ac:dyDescent="0.3">
      <c r="A1840" s="7">
        <v>13494</v>
      </c>
      <c r="B1840" s="7" t="s">
        <v>1848</v>
      </c>
      <c r="C1840" s="7" t="s">
        <v>6489</v>
      </c>
      <c r="D1840" s="7" t="s">
        <v>6610</v>
      </c>
      <c r="E1840" s="7" t="s">
        <v>6611</v>
      </c>
      <c r="F1840" s="7" t="s">
        <v>6340</v>
      </c>
      <c r="G1840" s="7" t="s">
        <v>7152</v>
      </c>
      <c r="H1840" s="7" t="s">
        <v>7156</v>
      </c>
      <c r="I1840" s="7"/>
      <c r="J1840" s="10">
        <v>44475</v>
      </c>
      <c r="K1840" s="7" t="s">
        <v>7163</v>
      </c>
      <c r="L1840" s="7"/>
      <c r="M1840" s="7"/>
    </row>
    <row r="1841" spans="1:13" x14ac:dyDescent="0.3">
      <c r="A1841" s="7">
        <v>16544</v>
      </c>
      <c r="B1841" s="7" t="s">
        <v>1849</v>
      </c>
      <c r="C1841" s="7" t="s">
        <v>6489</v>
      </c>
      <c r="D1841" s="7" t="s">
        <v>6610</v>
      </c>
      <c r="E1841" s="7" t="s">
        <v>6611</v>
      </c>
      <c r="F1841" s="7" t="s">
        <v>6467</v>
      </c>
      <c r="G1841" s="7" t="s">
        <v>7150</v>
      </c>
      <c r="H1841" s="7" t="s">
        <v>7157</v>
      </c>
      <c r="I1841" s="7"/>
      <c r="J1841" s="10">
        <v>45478</v>
      </c>
      <c r="K1841" s="7" t="s">
        <v>7163</v>
      </c>
      <c r="L1841" s="7"/>
      <c r="M1841" s="7"/>
    </row>
    <row r="1842" spans="1:13" x14ac:dyDescent="0.3">
      <c r="A1842" s="7">
        <v>13802</v>
      </c>
      <c r="B1842" s="7" t="s">
        <v>1850</v>
      </c>
      <c r="C1842" s="7" t="s">
        <v>6489</v>
      </c>
      <c r="D1842" s="7" t="s">
        <v>6610</v>
      </c>
      <c r="E1842" s="7" t="s">
        <v>6611</v>
      </c>
      <c r="F1842" s="7" t="s">
        <v>6341</v>
      </c>
      <c r="G1842" s="7" t="s">
        <v>7152</v>
      </c>
      <c r="H1842" s="7" t="s">
        <v>7156</v>
      </c>
      <c r="I1842" s="7"/>
      <c r="J1842" s="10">
        <v>44582</v>
      </c>
      <c r="K1842" s="7" t="s">
        <v>7163</v>
      </c>
      <c r="L1842" s="7"/>
      <c r="M1842" s="7"/>
    </row>
    <row r="1843" spans="1:13" x14ac:dyDescent="0.3">
      <c r="A1843" s="7">
        <v>13480</v>
      </c>
      <c r="B1843" s="7" t="s">
        <v>1851</v>
      </c>
      <c r="C1843" s="7" t="s">
        <v>6489</v>
      </c>
      <c r="D1843" s="7" t="s">
        <v>6610</v>
      </c>
      <c r="E1843" s="7" t="s">
        <v>6611</v>
      </c>
      <c r="F1843" s="7" t="s">
        <v>6341</v>
      </c>
      <c r="G1843" s="7" t="s">
        <v>7150</v>
      </c>
      <c r="H1843" s="7" t="s">
        <v>7156</v>
      </c>
      <c r="I1843" s="7"/>
      <c r="J1843" s="10">
        <v>44474</v>
      </c>
      <c r="K1843" s="7" t="s">
        <v>7163</v>
      </c>
      <c r="L1843" s="7"/>
      <c r="M1843" s="7"/>
    </row>
    <row r="1844" spans="1:13" x14ac:dyDescent="0.3">
      <c r="A1844" s="7">
        <v>13481</v>
      </c>
      <c r="B1844" s="7" t="s">
        <v>1852</v>
      </c>
      <c r="C1844" s="7" t="s">
        <v>6489</v>
      </c>
      <c r="D1844" s="7" t="s">
        <v>6610</v>
      </c>
      <c r="E1844" s="7" t="s">
        <v>6611</v>
      </c>
      <c r="F1844" s="7" t="s">
        <v>6341</v>
      </c>
      <c r="G1844" s="7" t="s">
        <v>7150</v>
      </c>
      <c r="H1844" s="7" t="s">
        <v>7156</v>
      </c>
      <c r="I1844" s="7"/>
      <c r="J1844" s="10">
        <v>44474</v>
      </c>
      <c r="K1844" s="7" t="s">
        <v>7163</v>
      </c>
      <c r="L1844" s="7"/>
      <c r="M1844" s="7"/>
    </row>
    <row r="1845" spans="1:13" x14ac:dyDescent="0.3">
      <c r="A1845" s="7">
        <v>13564</v>
      </c>
      <c r="B1845" s="7" t="s">
        <v>1853</v>
      </c>
      <c r="C1845" s="7" t="s">
        <v>6489</v>
      </c>
      <c r="D1845" s="7" t="s">
        <v>6610</v>
      </c>
      <c r="E1845" s="7" t="s">
        <v>6611</v>
      </c>
      <c r="F1845" s="7" t="s">
        <v>6341</v>
      </c>
      <c r="G1845" s="7" t="s">
        <v>7150</v>
      </c>
      <c r="H1845" s="7" t="s">
        <v>7156</v>
      </c>
      <c r="I1845" s="7"/>
      <c r="J1845" s="10">
        <v>44501</v>
      </c>
      <c r="K1845" s="7" t="s">
        <v>7163</v>
      </c>
      <c r="L1845" s="7"/>
      <c r="M1845" s="7"/>
    </row>
    <row r="1846" spans="1:13" x14ac:dyDescent="0.3">
      <c r="A1846" s="7">
        <v>13800</v>
      </c>
      <c r="B1846" s="7" t="s">
        <v>1854</v>
      </c>
      <c r="C1846" s="7" t="s">
        <v>6489</v>
      </c>
      <c r="D1846" s="7" t="s">
        <v>6610</v>
      </c>
      <c r="E1846" s="7" t="s">
        <v>6611</v>
      </c>
      <c r="F1846" s="7" t="s">
        <v>6341</v>
      </c>
      <c r="G1846" s="7" t="s">
        <v>7150</v>
      </c>
      <c r="H1846" s="7" t="s">
        <v>7156</v>
      </c>
      <c r="I1846" s="7"/>
      <c r="J1846" s="10">
        <v>44582</v>
      </c>
      <c r="K1846" s="7" t="s">
        <v>7163</v>
      </c>
      <c r="L1846" s="7"/>
      <c r="M1846" s="7"/>
    </row>
    <row r="1847" spans="1:13" x14ac:dyDescent="0.3">
      <c r="A1847" s="7">
        <v>12720</v>
      </c>
      <c r="B1847" s="7" t="s">
        <v>1855</v>
      </c>
      <c r="C1847" s="7" t="s">
        <v>6489</v>
      </c>
      <c r="D1847" s="7" t="s">
        <v>6610</v>
      </c>
      <c r="E1847" s="7" t="s">
        <v>6611</v>
      </c>
      <c r="F1847" s="7" t="s">
        <v>6341</v>
      </c>
      <c r="G1847" s="7" t="s">
        <v>7150</v>
      </c>
      <c r="H1847" s="7" t="s">
        <v>7156</v>
      </c>
      <c r="I1847" s="7"/>
      <c r="J1847" s="10">
        <v>43878</v>
      </c>
      <c r="K1847" s="7" t="s">
        <v>7163</v>
      </c>
      <c r="L1847" s="7"/>
      <c r="M1847" s="7"/>
    </row>
    <row r="1848" spans="1:13" x14ac:dyDescent="0.3">
      <c r="A1848" s="7">
        <v>13227</v>
      </c>
      <c r="B1848" s="7" t="s">
        <v>1856</v>
      </c>
      <c r="C1848" s="7" t="s">
        <v>6489</v>
      </c>
      <c r="D1848" s="7" t="s">
        <v>6610</v>
      </c>
      <c r="E1848" s="7" t="s">
        <v>6611</v>
      </c>
      <c r="F1848" s="7" t="s">
        <v>6341</v>
      </c>
      <c r="G1848" s="7" t="s">
        <v>7151</v>
      </c>
      <c r="H1848" s="7" t="s">
        <v>7156</v>
      </c>
      <c r="I1848" s="7"/>
      <c r="J1848" s="10">
        <v>44324</v>
      </c>
      <c r="K1848" s="7" t="s">
        <v>7163</v>
      </c>
      <c r="L1848" s="7"/>
      <c r="M1848" s="7"/>
    </row>
    <row r="1849" spans="1:13" x14ac:dyDescent="0.3">
      <c r="A1849" s="7">
        <v>16543</v>
      </c>
      <c r="B1849" s="7" t="s">
        <v>1857</v>
      </c>
      <c r="C1849" s="7" t="s">
        <v>6489</v>
      </c>
      <c r="D1849" s="7" t="s">
        <v>6610</v>
      </c>
      <c r="E1849" s="7" t="s">
        <v>6611</v>
      </c>
      <c r="F1849" s="7" t="s">
        <v>6389</v>
      </c>
      <c r="G1849" s="7" t="s">
        <v>7150</v>
      </c>
      <c r="H1849" s="7" t="s">
        <v>7157</v>
      </c>
      <c r="I1849" s="7"/>
      <c r="J1849" s="10">
        <v>45478</v>
      </c>
      <c r="K1849" s="7" t="s">
        <v>7163</v>
      </c>
      <c r="L1849" s="7"/>
      <c r="M1849" s="7"/>
    </row>
    <row r="1850" spans="1:13" x14ac:dyDescent="0.3">
      <c r="A1850" s="7">
        <v>13861</v>
      </c>
      <c r="B1850" s="7" t="s">
        <v>1858</v>
      </c>
      <c r="C1850" s="7" t="s">
        <v>6489</v>
      </c>
      <c r="D1850" s="7" t="s">
        <v>6610</v>
      </c>
      <c r="E1850" s="7" t="s">
        <v>6611</v>
      </c>
      <c r="F1850" s="7" t="s">
        <v>6341</v>
      </c>
      <c r="G1850" s="7" t="s">
        <v>7150</v>
      </c>
      <c r="H1850" s="7" t="s">
        <v>7156</v>
      </c>
      <c r="I1850" s="7"/>
      <c r="J1850" s="10">
        <v>44608</v>
      </c>
      <c r="K1850" s="7" t="s">
        <v>7163</v>
      </c>
      <c r="L1850" s="7"/>
      <c r="M1850" s="7"/>
    </row>
    <row r="1851" spans="1:13" x14ac:dyDescent="0.3">
      <c r="A1851" s="7">
        <v>13477</v>
      </c>
      <c r="B1851" s="7" t="s">
        <v>1859</v>
      </c>
      <c r="C1851" s="7" t="s">
        <v>6489</v>
      </c>
      <c r="D1851" s="7" t="s">
        <v>6610</v>
      </c>
      <c r="E1851" s="7" t="s">
        <v>6611</v>
      </c>
      <c r="F1851" s="7" t="s">
        <v>6341</v>
      </c>
      <c r="G1851" s="7" t="s">
        <v>7150</v>
      </c>
      <c r="H1851" s="7" t="s">
        <v>7156</v>
      </c>
      <c r="I1851" s="7"/>
      <c r="J1851" s="10">
        <v>44474</v>
      </c>
      <c r="K1851" s="7" t="s">
        <v>7163</v>
      </c>
      <c r="L1851" s="7"/>
      <c r="M1851" s="7"/>
    </row>
    <row r="1852" spans="1:13" x14ac:dyDescent="0.3">
      <c r="A1852" s="7">
        <v>13838</v>
      </c>
      <c r="B1852" s="7" t="s">
        <v>1860</v>
      </c>
      <c r="C1852" s="7" t="s">
        <v>6489</v>
      </c>
      <c r="D1852" s="7" t="s">
        <v>6610</v>
      </c>
      <c r="E1852" s="7" t="s">
        <v>6611</v>
      </c>
      <c r="F1852" s="7" t="s">
        <v>6340</v>
      </c>
      <c r="G1852" s="7" t="s">
        <v>7150</v>
      </c>
      <c r="H1852" s="7" t="s">
        <v>7156</v>
      </c>
      <c r="I1852" s="7"/>
      <c r="J1852" s="10">
        <v>44600</v>
      </c>
      <c r="K1852" s="7" t="s">
        <v>7163</v>
      </c>
      <c r="L1852" s="7"/>
      <c r="M1852" s="7"/>
    </row>
    <row r="1853" spans="1:13" x14ac:dyDescent="0.3">
      <c r="A1853" s="7">
        <v>15556</v>
      </c>
      <c r="B1853" s="7" t="s">
        <v>1861</v>
      </c>
      <c r="C1853" s="7" t="s">
        <v>6489</v>
      </c>
      <c r="D1853" s="7" t="s">
        <v>6610</v>
      </c>
      <c r="E1853" s="7" t="s">
        <v>6611</v>
      </c>
      <c r="F1853" s="7" t="s">
        <v>6341</v>
      </c>
      <c r="G1853" s="7" t="s">
        <v>7150</v>
      </c>
      <c r="H1853" s="7" t="s">
        <v>7156</v>
      </c>
      <c r="I1853" s="7"/>
      <c r="J1853" s="10">
        <v>45126</v>
      </c>
      <c r="K1853" s="7" t="s">
        <v>7163</v>
      </c>
      <c r="L1853" s="7"/>
      <c r="M1853" s="7"/>
    </row>
    <row r="1854" spans="1:13" x14ac:dyDescent="0.3">
      <c r="A1854" s="7">
        <v>14125</v>
      </c>
      <c r="B1854" s="7" t="s">
        <v>1862</v>
      </c>
      <c r="C1854" s="7" t="s">
        <v>6489</v>
      </c>
      <c r="D1854" s="7" t="s">
        <v>6610</v>
      </c>
      <c r="E1854" s="7" t="s">
        <v>6611</v>
      </c>
      <c r="F1854" s="7" t="s">
        <v>6341</v>
      </c>
      <c r="G1854" s="7" t="s">
        <v>7150</v>
      </c>
      <c r="H1854" s="7" t="s">
        <v>7156</v>
      </c>
      <c r="I1854" s="7"/>
      <c r="J1854" s="10">
        <v>44666</v>
      </c>
      <c r="K1854" s="7" t="s">
        <v>7163</v>
      </c>
      <c r="L1854" s="7"/>
      <c r="M1854" s="7"/>
    </row>
    <row r="1855" spans="1:13" x14ac:dyDescent="0.3">
      <c r="A1855" s="7">
        <v>12708</v>
      </c>
      <c r="B1855" s="7" t="s">
        <v>1863</v>
      </c>
      <c r="C1855" s="7" t="s">
        <v>6489</v>
      </c>
      <c r="D1855" s="7" t="s">
        <v>6610</v>
      </c>
      <c r="E1855" s="7" t="s">
        <v>6611</v>
      </c>
      <c r="F1855" s="7" t="s">
        <v>6341</v>
      </c>
      <c r="G1855" s="7" t="s">
        <v>7150</v>
      </c>
      <c r="H1855" s="7" t="s">
        <v>7156</v>
      </c>
      <c r="I1855" s="7"/>
      <c r="J1855" s="10">
        <v>43873</v>
      </c>
      <c r="K1855" s="7" t="s">
        <v>7163</v>
      </c>
      <c r="L1855" s="7"/>
      <c r="M1855" s="7"/>
    </row>
    <row r="1856" spans="1:13" x14ac:dyDescent="0.3">
      <c r="A1856" s="7">
        <v>14469</v>
      </c>
      <c r="B1856" s="7" t="s">
        <v>1864</v>
      </c>
      <c r="C1856" s="7" t="s">
        <v>6489</v>
      </c>
      <c r="D1856" s="7" t="s">
        <v>6610</v>
      </c>
      <c r="E1856" s="7" t="s">
        <v>6611</v>
      </c>
      <c r="F1856" s="7" t="s">
        <v>6340</v>
      </c>
      <c r="G1856" s="7" t="s">
        <v>7150</v>
      </c>
      <c r="H1856" s="7" t="s">
        <v>7156</v>
      </c>
      <c r="I1856" s="7"/>
      <c r="J1856" s="10">
        <v>44764</v>
      </c>
      <c r="K1856" s="7" t="s">
        <v>7163</v>
      </c>
      <c r="L1856" s="7"/>
      <c r="M1856" s="7"/>
    </row>
    <row r="1857" spans="1:13" x14ac:dyDescent="0.3">
      <c r="A1857" s="7">
        <v>14161</v>
      </c>
      <c r="B1857" s="7" t="s">
        <v>1865</v>
      </c>
      <c r="C1857" s="7" t="s">
        <v>6489</v>
      </c>
      <c r="D1857" s="7" t="s">
        <v>6610</v>
      </c>
      <c r="E1857" s="7" t="s">
        <v>6611</v>
      </c>
      <c r="F1857" s="7" t="s">
        <v>6341</v>
      </c>
      <c r="G1857" s="7" t="s">
        <v>7150</v>
      </c>
      <c r="H1857" s="7" t="s">
        <v>7156</v>
      </c>
      <c r="I1857" s="7"/>
      <c r="J1857" s="10">
        <v>44679</v>
      </c>
      <c r="K1857" s="7" t="s">
        <v>7163</v>
      </c>
      <c r="L1857" s="7"/>
      <c r="M1857" s="7"/>
    </row>
    <row r="1858" spans="1:13" x14ac:dyDescent="0.3">
      <c r="A1858" s="7">
        <v>16235</v>
      </c>
      <c r="B1858" s="7" t="s">
        <v>1866</v>
      </c>
      <c r="C1858" s="7" t="s">
        <v>6489</v>
      </c>
      <c r="D1858" s="7" t="s">
        <v>6610</v>
      </c>
      <c r="E1858" s="7" t="s">
        <v>6611</v>
      </c>
      <c r="F1858" s="7" t="s">
        <v>6341</v>
      </c>
      <c r="G1858" s="7" t="s">
        <v>7150</v>
      </c>
      <c r="H1858" s="7" t="s">
        <v>7156</v>
      </c>
      <c r="I1858" s="7"/>
      <c r="J1858" s="10">
        <v>45327</v>
      </c>
      <c r="K1858" s="7" t="s">
        <v>7163</v>
      </c>
      <c r="L1858" s="7"/>
      <c r="M1858" s="7"/>
    </row>
    <row r="1859" spans="1:13" x14ac:dyDescent="0.3">
      <c r="A1859" s="7">
        <v>13839</v>
      </c>
      <c r="B1859" s="7" t="s">
        <v>1867</v>
      </c>
      <c r="C1859" s="7" t="s">
        <v>6489</v>
      </c>
      <c r="D1859" s="7" t="s">
        <v>6610</v>
      </c>
      <c r="E1859" s="7" t="s">
        <v>6611</v>
      </c>
      <c r="F1859" s="7" t="s">
        <v>6341</v>
      </c>
      <c r="G1859" s="7" t="s">
        <v>7150</v>
      </c>
      <c r="H1859" s="7" t="s">
        <v>7156</v>
      </c>
      <c r="I1859" s="7"/>
      <c r="J1859" s="10">
        <v>44600</v>
      </c>
      <c r="K1859" s="7" t="s">
        <v>7163</v>
      </c>
      <c r="L1859" s="7"/>
      <c r="M1859" s="7"/>
    </row>
    <row r="1860" spans="1:13" x14ac:dyDescent="0.3">
      <c r="A1860" s="7">
        <v>13476</v>
      </c>
      <c r="B1860" s="7" t="s">
        <v>1868</v>
      </c>
      <c r="C1860" s="7" t="s">
        <v>6489</v>
      </c>
      <c r="D1860" s="7" t="s">
        <v>6610</v>
      </c>
      <c r="E1860" s="7" t="s">
        <v>6611</v>
      </c>
      <c r="F1860" s="7" t="s">
        <v>6341</v>
      </c>
      <c r="G1860" s="7" t="s">
        <v>7150</v>
      </c>
      <c r="H1860" s="7" t="s">
        <v>7156</v>
      </c>
      <c r="I1860" s="7"/>
      <c r="J1860" s="10">
        <v>44474</v>
      </c>
      <c r="K1860" s="7" t="s">
        <v>7163</v>
      </c>
      <c r="L1860" s="7"/>
      <c r="M1860" s="7"/>
    </row>
    <row r="1861" spans="1:13" x14ac:dyDescent="0.3">
      <c r="A1861" s="7">
        <v>14423</v>
      </c>
      <c r="B1861" s="7" t="s">
        <v>1869</v>
      </c>
      <c r="C1861" s="7" t="s">
        <v>6489</v>
      </c>
      <c r="D1861" s="7" t="s">
        <v>6610</v>
      </c>
      <c r="E1861" s="7" t="s">
        <v>6611</v>
      </c>
      <c r="F1861" s="7" t="s">
        <v>6341</v>
      </c>
      <c r="G1861" s="7" t="s">
        <v>7150</v>
      </c>
      <c r="H1861" s="7" t="s">
        <v>7156</v>
      </c>
      <c r="I1861" s="7"/>
      <c r="J1861" s="10">
        <v>44756</v>
      </c>
      <c r="K1861" s="7" t="s">
        <v>7163</v>
      </c>
      <c r="L1861" s="7"/>
      <c r="M1861" s="7"/>
    </row>
    <row r="1862" spans="1:13" x14ac:dyDescent="0.3">
      <c r="A1862" s="7">
        <v>14475</v>
      </c>
      <c r="B1862" s="7" t="s">
        <v>1870</v>
      </c>
      <c r="C1862" s="7" t="s">
        <v>6489</v>
      </c>
      <c r="D1862" s="7" t="s">
        <v>6610</v>
      </c>
      <c r="E1862" s="7" t="s">
        <v>6611</v>
      </c>
      <c r="F1862" s="7" t="s">
        <v>6341</v>
      </c>
      <c r="G1862" s="7" t="s">
        <v>7150</v>
      </c>
      <c r="H1862" s="7" t="s">
        <v>7156</v>
      </c>
      <c r="I1862" s="7"/>
      <c r="J1862" s="10">
        <v>44768</v>
      </c>
      <c r="K1862" s="7" t="s">
        <v>7163</v>
      </c>
      <c r="L1862" s="7"/>
      <c r="M1862" s="7"/>
    </row>
    <row r="1863" spans="1:13" x14ac:dyDescent="0.3">
      <c r="A1863" s="7">
        <v>13732</v>
      </c>
      <c r="B1863" s="7" t="s">
        <v>1871</v>
      </c>
      <c r="C1863" s="7" t="s">
        <v>6489</v>
      </c>
      <c r="D1863" s="7" t="s">
        <v>6610</v>
      </c>
      <c r="E1863" s="7" t="s">
        <v>6611</v>
      </c>
      <c r="F1863" s="7" t="s">
        <v>6341</v>
      </c>
      <c r="G1863" s="7" t="s">
        <v>7150</v>
      </c>
      <c r="H1863" s="7" t="s">
        <v>7156</v>
      </c>
      <c r="I1863" s="7"/>
      <c r="J1863" s="10">
        <v>44551</v>
      </c>
      <c r="K1863" s="7" t="s">
        <v>7163</v>
      </c>
      <c r="L1863" s="7"/>
      <c r="M1863" s="7"/>
    </row>
    <row r="1864" spans="1:13" x14ac:dyDescent="0.3">
      <c r="A1864" s="7">
        <v>14707</v>
      </c>
      <c r="B1864" s="7" t="s">
        <v>1872</v>
      </c>
      <c r="C1864" s="7" t="s">
        <v>6489</v>
      </c>
      <c r="D1864" s="7" t="s">
        <v>6610</v>
      </c>
      <c r="E1864" s="7" t="s">
        <v>6611</v>
      </c>
      <c r="F1864" s="7" t="s">
        <v>6341</v>
      </c>
      <c r="G1864" s="7" t="s">
        <v>7150</v>
      </c>
      <c r="H1864" s="7" t="s">
        <v>7156</v>
      </c>
      <c r="I1864" s="7"/>
      <c r="J1864" s="10">
        <v>44837</v>
      </c>
      <c r="K1864" s="7" t="s">
        <v>7163</v>
      </c>
      <c r="L1864" s="7"/>
      <c r="M1864" s="7"/>
    </row>
    <row r="1865" spans="1:13" x14ac:dyDescent="0.3">
      <c r="A1865" s="7">
        <v>14893</v>
      </c>
      <c r="B1865" s="7" t="s">
        <v>1873</v>
      </c>
      <c r="C1865" s="7" t="s">
        <v>6489</v>
      </c>
      <c r="D1865" s="7" t="s">
        <v>6610</v>
      </c>
      <c r="E1865" s="7" t="s">
        <v>6611</v>
      </c>
      <c r="F1865" s="7" t="s">
        <v>6341</v>
      </c>
      <c r="G1865" s="7" t="s">
        <v>7151</v>
      </c>
      <c r="H1865" s="7" t="s">
        <v>7156</v>
      </c>
      <c r="I1865" s="7"/>
      <c r="J1865" s="10">
        <v>44889</v>
      </c>
      <c r="K1865" s="7" t="s">
        <v>7163</v>
      </c>
      <c r="L1865" s="7"/>
      <c r="M1865" s="7"/>
    </row>
    <row r="1866" spans="1:13" x14ac:dyDescent="0.3">
      <c r="A1866" s="7">
        <v>16332</v>
      </c>
      <c r="B1866" s="7" t="s">
        <v>1874</v>
      </c>
      <c r="C1866" s="7" t="s">
        <v>6489</v>
      </c>
      <c r="D1866" s="7" t="s">
        <v>6610</v>
      </c>
      <c r="E1866" s="7" t="s">
        <v>6611</v>
      </c>
      <c r="F1866" s="7" t="s">
        <v>6612</v>
      </c>
      <c r="G1866" s="7" t="s">
        <v>7150</v>
      </c>
      <c r="H1866" s="7" t="s">
        <v>7157</v>
      </c>
      <c r="I1866" s="7"/>
      <c r="J1866" s="10">
        <v>45356</v>
      </c>
      <c r="K1866" s="7" t="s">
        <v>7163</v>
      </c>
      <c r="L1866" s="7"/>
      <c r="M1866" s="7"/>
    </row>
    <row r="1867" spans="1:13" x14ac:dyDescent="0.3">
      <c r="A1867" s="7">
        <v>14750</v>
      </c>
      <c r="B1867" s="7" t="s">
        <v>1875</v>
      </c>
      <c r="C1867" s="7" t="s">
        <v>6489</v>
      </c>
      <c r="D1867" s="7" t="s">
        <v>6610</v>
      </c>
      <c r="E1867" s="7" t="s">
        <v>6611</v>
      </c>
      <c r="F1867" s="7" t="s">
        <v>6341</v>
      </c>
      <c r="G1867" s="7" t="s">
        <v>7150</v>
      </c>
      <c r="H1867" s="7" t="s">
        <v>7156</v>
      </c>
      <c r="I1867" s="7"/>
      <c r="J1867" s="10">
        <v>44847</v>
      </c>
      <c r="K1867" s="7" t="s">
        <v>7163</v>
      </c>
      <c r="L1867" s="7"/>
      <c r="M1867" s="7"/>
    </row>
    <row r="1868" spans="1:13" x14ac:dyDescent="0.3">
      <c r="A1868" s="7">
        <v>13818</v>
      </c>
      <c r="B1868" s="7" t="s">
        <v>1876</v>
      </c>
      <c r="C1868" s="7" t="s">
        <v>6489</v>
      </c>
      <c r="D1868" s="7" t="s">
        <v>6610</v>
      </c>
      <c r="E1868" s="7" t="s">
        <v>6611</v>
      </c>
      <c r="F1868" s="7" t="s">
        <v>6341</v>
      </c>
      <c r="G1868" s="7" t="s">
        <v>7150</v>
      </c>
      <c r="H1868" s="7" t="s">
        <v>7156</v>
      </c>
      <c r="I1868" s="7"/>
      <c r="J1868" s="10">
        <v>44593</v>
      </c>
      <c r="K1868" s="7" t="s">
        <v>7163</v>
      </c>
      <c r="L1868" s="7"/>
      <c r="M1868" s="7"/>
    </row>
    <row r="1869" spans="1:13" x14ac:dyDescent="0.3">
      <c r="A1869" s="7">
        <v>14817</v>
      </c>
      <c r="B1869" s="7" t="s">
        <v>1877</v>
      </c>
      <c r="C1869" s="7" t="s">
        <v>6489</v>
      </c>
      <c r="D1869" s="7" t="s">
        <v>6610</v>
      </c>
      <c r="E1869" s="7" t="s">
        <v>6611</v>
      </c>
      <c r="F1869" s="7" t="s">
        <v>6341</v>
      </c>
      <c r="G1869" s="7" t="s">
        <v>7150</v>
      </c>
      <c r="H1869" s="7" t="s">
        <v>7156</v>
      </c>
      <c r="I1869" s="7"/>
      <c r="J1869" s="10">
        <v>44867</v>
      </c>
      <c r="K1869" s="7" t="s">
        <v>7163</v>
      </c>
      <c r="L1869" s="7"/>
      <c r="M1869" s="7"/>
    </row>
    <row r="1870" spans="1:13" x14ac:dyDescent="0.3">
      <c r="A1870" s="7">
        <v>14408</v>
      </c>
      <c r="B1870" s="7" t="s">
        <v>1878</v>
      </c>
      <c r="C1870" s="7" t="s">
        <v>6489</v>
      </c>
      <c r="D1870" s="7" t="s">
        <v>6610</v>
      </c>
      <c r="E1870" s="7" t="s">
        <v>6611</v>
      </c>
      <c r="F1870" s="7" t="s">
        <v>6341</v>
      </c>
      <c r="G1870" s="7" t="s">
        <v>7150</v>
      </c>
      <c r="H1870" s="7" t="s">
        <v>7156</v>
      </c>
      <c r="I1870" s="7"/>
      <c r="J1870" s="10">
        <v>44749</v>
      </c>
      <c r="K1870" s="7" t="s">
        <v>7163</v>
      </c>
      <c r="L1870" s="7"/>
      <c r="M1870" s="7"/>
    </row>
    <row r="1871" spans="1:13" x14ac:dyDescent="0.3">
      <c r="A1871" s="7">
        <v>15496</v>
      </c>
      <c r="B1871" s="7" t="s">
        <v>1879</v>
      </c>
      <c r="C1871" s="7" t="s">
        <v>6489</v>
      </c>
      <c r="D1871" s="7" t="s">
        <v>6610</v>
      </c>
      <c r="E1871" s="7" t="s">
        <v>6611</v>
      </c>
      <c r="F1871" s="7" t="s">
        <v>6341</v>
      </c>
      <c r="G1871" s="7" t="s">
        <v>7150</v>
      </c>
      <c r="H1871" s="7" t="s">
        <v>7156</v>
      </c>
      <c r="I1871" s="7"/>
      <c r="J1871" s="10">
        <v>45096</v>
      </c>
      <c r="K1871" s="7" t="s">
        <v>7163</v>
      </c>
      <c r="L1871" s="7"/>
      <c r="M1871" s="7"/>
    </row>
    <row r="1872" spans="1:13" x14ac:dyDescent="0.3">
      <c r="A1872" s="7">
        <v>14849</v>
      </c>
      <c r="B1872" s="7" t="s">
        <v>1880</v>
      </c>
      <c r="C1872" s="7" t="s">
        <v>6489</v>
      </c>
      <c r="D1872" s="7" t="s">
        <v>6610</v>
      </c>
      <c r="E1872" s="7" t="s">
        <v>6611</v>
      </c>
      <c r="F1872" s="7" t="s">
        <v>6341</v>
      </c>
      <c r="G1872" s="7" t="s">
        <v>7150</v>
      </c>
      <c r="H1872" s="7" t="s">
        <v>7156</v>
      </c>
      <c r="I1872" s="7"/>
      <c r="J1872" s="10">
        <v>44876</v>
      </c>
      <c r="K1872" s="7" t="s">
        <v>7163</v>
      </c>
      <c r="L1872" s="7"/>
      <c r="M1872" s="7"/>
    </row>
    <row r="1873" spans="1:13" x14ac:dyDescent="0.3">
      <c r="A1873" s="7">
        <v>13492</v>
      </c>
      <c r="B1873" s="7" t="s">
        <v>1881</v>
      </c>
      <c r="C1873" s="7" t="s">
        <v>6489</v>
      </c>
      <c r="D1873" s="7" t="s">
        <v>6610</v>
      </c>
      <c r="E1873" s="7" t="s">
        <v>6611</v>
      </c>
      <c r="F1873" s="7" t="s">
        <v>6341</v>
      </c>
      <c r="G1873" s="7" t="s">
        <v>7151</v>
      </c>
      <c r="H1873" s="7" t="s">
        <v>7156</v>
      </c>
      <c r="I1873" s="7"/>
      <c r="J1873" s="10">
        <v>44475</v>
      </c>
      <c r="K1873" s="7" t="s">
        <v>7163</v>
      </c>
      <c r="L1873" s="7"/>
      <c r="M1873" s="7"/>
    </row>
    <row r="1874" spans="1:13" x14ac:dyDescent="0.3">
      <c r="A1874" s="7">
        <v>17272</v>
      </c>
      <c r="B1874" s="7" t="s">
        <v>1882</v>
      </c>
      <c r="C1874" s="7" t="s">
        <v>6489</v>
      </c>
      <c r="D1874" s="7" t="s">
        <v>6610</v>
      </c>
      <c r="E1874" s="7" t="s">
        <v>6611</v>
      </c>
      <c r="F1874" s="7" t="s">
        <v>6467</v>
      </c>
      <c r="G1874" s="7" t="s">
        <v>7150</v>
      </c>
      <c r="H1874" s="7" t="s">
        <v>7157</v>
      </c>
      <c r="I1874" s="7"/>
      <c r="J1874" s="10">
        <v>45687</v>
      </c>
      <c r="K1874" s="7" t="s">
        <v>7163</v>
      </c>
      <c r="L1874" s="7"/>
      <c r="M1874" s="7"/>
    </row>
    <row r="1875" spans="1:13" x14ac:dyDescent="0.3">
      <c r="A1875" s="7">
        <v>15495</v>
      </c>
      <c r="B1875" s="7" t="s">
        <v>1883</v>
      </c>
      <c r="C1875" s="7" t="s">
        <v>6489</v>
      </c>
      <c r="D1875" s="7" t="s">
        <v>6610</v>
      </c>
      <c r="E1875" s="7" t="s">
        <v>6611</v>
      </c>
      <c r="F1875" s="7" t="s">
        <v>6341</v>
      </c>
      <c r="G1875" s="7" t="s">
        <v>7150</v>
      </c>
      <c r="H1875" s="7" t="s">
        <v>7156</v>
      </c>
      <c r="I1875" s="7"/>
      <c r="J1875" s="10">
        <v>45096</v>
      </c>
      <c r="K1875" s="7" t="s">
        <v>7163</v>
      </c>
      <c r="L1875" s="7"/>
      <c r="M1875" s="7"/>
    </row>
    <row r="1876" spans="1:13" x14ac:dyDescent="0.3">
      <c r="A1876" s="7">
        <v>15498</v>
      </c>
      <c r="B1876" s="7" t="s">
        <v>1884</v>
      </c>
      <c r="C1876" s="7" t="s">
        <v>6489</v>
      </c>
      <c r="D1876" s="7" t="s">
        <v>6610</v>
      </c>
      <c r="E1876" s="7" t="s">
        <v>6611</v>
      </c>
      <c r="F1876" s="7" t="s">
        <v>6341</v>
      </c>
      <c r="G1876" s="7" t="s">
        <v>7150</v>
      </c>
      <c r="H1876" s="7" t="s">
        <v>7156</v>
      </c>
      <c r="I1876" s="7"/>
      <c r="J1876" s="10">
        <v>45096</v>
      </c>
      <c r="K1876" s="7" t="s">
        <v>7163</v>
      </c>
      <c r="L1876" s="7"/>
      <c r="M1876" s="7"/>
    </row>
    <row r="1877" spans="1:13" x14ac:dyDescent="0.3">
      <c r="A1877" s="7">
        <v>16265</v>
      </c>
      <c r="B1877" s="7" t="s">
        <v>1885</v>
      </c>
      <c r="C1877" s="7" t="s">
        <v>6489</v>
      </c>
      <c r="D1877" s="7" t="s">
        <v>6610</v>
      </c>
      <c r="E1877" s="7" t="s">
        <v>6611</v>
      </c>
      <c r="F1877" s="7" t="s">
        <v>6341</v>
      </c>
      <c r="G1877" s="7" t="s">
        <v>7150</v>
      </c>
      <c r="H1877" s="7" t="s">
        <v>7156</v>
      </c>
      <c r="I1877" s="7"/>
      <c r="J1877" s="10">
        <v>45334</v>
      </c>
      <c r="K1877" s="7" t="s">
        <v>7163</v>
      </c>
      <c r="L1877" s="7"/>
      <c r="M1877" s="7"/>
    </row>
    <row r="1878" spans="1:13" x14ac:dyDescent="0.3">
      <c r="A1878" s="7">
        <v>15005</v>
      </c>
      <c r="B1878" s="7" t="s">
        <v>1886</v>
      </c>
      <c r="C1878" s="7" t="s">
        <v>6489</v>
      </c>
      <c r="D1878" s="7" t="s">
        <v>6610</v>
      </c>
      <c r="E1878" s="7" t="s">
        <v>6611</v>
      </c>
      <c r="F1878" s="7" t="s">
        <v>6341</v>
      </c>
      <c r="G1878" s="7" t="s">
        <v>7150</v>
      </c>
      <c r="H1878" s="7" t="s">
        <v>7156</v>
      </c>
      <c r="I1878" s="7"/>
      <c r="J1878" s="10">
        <v>44916</v>
      </c>
      <c r="K1878" s="7" t="s">
        <v>7163</v>
      </c>
      <c r="L1878" s="7"/>
      <c r="M1878" s="7"/>
    </row>
    <row r="1879" spans="1:13" x14ac:dyDescent="0.3">
      <c r="A1879" s="7">
        <v>14930</v>
      </c>
      <c r="B1879" s="7" t="s">
        <v>1887</v>
      </c>
      <c r="C1879" s="7" t="s">
        <v>6489</v>
      </c>
      <c r="D1879" s="7" t="s">
        <v>6610</v>
      </c>
      <c r="E1879" s="7" t="s">
        <v>6611</v>
      </c>
      <c r="F1879" s="7" t="s">
        <v>6341</v>
      </c>
      <c r="G1879" s="7" t="s">
        <v>7150</v>
      </c>
      <c r="H1879" s="7" t="s">
        <v>7156</v>
      </c>
      <c r="I1879" s="7"/>
      <c r="J1879" s="10">
        <v>44897</v>
      </c>
      <c r="K1879" s="7" t="s">
        <v>7163</v>
      </c>
      <c r="L1879" s="7"/>
      <c r="M1879" s="7"/>
    </row>
    <row r="1880" spans="1:13" x14ac:dyDescent="0.3">
      <c r="A1880" s="7">
        <v>16765</v>
      </c>
      <c r="B1880" s="7" t="s">
        <v>1888</v>
      </c>
      <c r="C1880" s="7" t="s">
        <v>6489</v>
      </c>
      <c r="D1880" s="7" t="s">
        <v>6610</v>
      </c>
      <c r="E1880" s="7" t="s">
        <v>6611</v>
      </c>
      <c r="F1880" s="7" t="s">
        <v>6341</v>
      </c>
      <c r="G1880" s="7" t="s">
        <v>7150</v>
      </c>
      <c r="H1880" s="7" t="s">
        <v>7156</v>
      </c>
      <c r="I1880" s="7"/>
      <c r="J1880" s="10">
        <v>45541</v>
      </c>
      <c r="K1880" s="7" t="s">
        <v>7163</v>
      </c>
      <c r="L1880" s="7"/>
      <c r="M1880" s="7"/>
    </row>
    <row r="1881" spans="1:13" x14ac:dyDescent="0.3">
      <c r="A1881" s="7">
        <v>15354</v>
      </c>
      <c r="B1881" s="7" t="s">
        <v>1889</v>
      </c>
      <c r="C1881" s="7" t="s">
        <v>6489</v>
      </c>
      <c r="D1881" s="7" t="s">
        <v>6610</v>
      </c>
      <c r="E1881" s="7" t="s">
        <v>6611</v>
      </c>
      <c r="F1881" s="7" t="s">
        <v>6341</v>
      </c>
      <c r="G1881" s="7" t="s">
        <v>7150</v>
      </c>
      <c r="H1881" s="7" t="s">
        <v>7156</v>
      </c>
      <c r="I1881" s="7"/>
      <c r="J1881" s="10">
        <v>45042</v>
      </c>
      <c r="K1881" s="7" t="s">
        <v>7163</v>
      </c>
      <c r="L1881" s="7"/>
      <c r="M1881" s="7"/>
    </row>
    <row r="1882" spans="1:13" x14ac:dyDescent="0.3">
      <c r="A1882" s="7">
        <v>14278</v>
      </c>
      <c r="B1882" s="7" t="s">
        <v>1890</v>
      </c>
      <c r="C1882" s="7" t="s">
        <v>6489</v>
      </c>
      <c r="D1882" s="7" t="s">
        <v>6610</v>
      </c>
      <c r="E1882" s="7" t="s">
        <v>6611</v>
      </c>
      <c r="F1882" s="7" t="s">
        <v>6340</v>
      </c>
      <c r="G1882" s="7" t="s">
        <v>7150</v>
      </c>
      <c r="H1882" s="7" t="s">
        <v>7156</v>
      </c>
      <c r="I1882" s="7"/>
      <c r="J1882" s="10">
        <v>44713</v>
      </c>
      <c r="K1882" s="7" t="s">
        <v>7163</v>
      </c>
      <c r="L1882" s="7"/>
      <c r="M1882" s="7"/>
    </row>
    <row r="1883" spans="1:13" x14ac:dyDescent="0.3">
      <c r="A1883" s="7">
        <v>14444</v>
      </c>
      <c r="B1883" s="7" t="s">
        <v>1891</v>
      </c>
      <c r="C1883" s="7" t="s">
        <v>6489</v>
      </c>
      <c r="D1883" s="7" t="s">
        <v>6610</v>
      </c>
      <c r="E1883" s="7" t="s">
        <v>6611</v>
      </c>
      <c r="F1883" s="7" t="s">
        <v>6341</v>
      </c>
      <c r="G1883" s="7" t="s">
        <v>7150</v>
      </c>
      <c r="H1883" s="7" t="s">
        <v>7156</v>
      </c>
      <c r="I1883" s="7"/>
      <c r="J1883" s="10">
        <v>44760</v>
      </c>
      <c r="K1883" s="7" t="s">
        <v>7163</v>
      </c>
      <c r="L1883" s="7"/>
      <c r="M1883" s="7"/>
    </row>
    <row r="1884" spans="1:13" x14ac:dyDescent="0.3">
      <c r="A1884" s="7">
        <v>16625</v>
      </c>
      <c r="B1884" s="7" t="s">
        <v>1892</v>
      </c>
      <c r="C1884" s="7" t="s">
        <v>6489</v>
      </c>
      <c r="D1884" s="7" t="s">
        <v>6610</v>
      </c>
      <c r="E1884" s="7" t="s">
        <v>6611</v>
      </c>
      <c r="F1884" s="7" t="s">
        <v>6341</v>
      </c>
      <c r="G1884" s="7" t="s">
        <v>7150</v>
      </c>
      <c r="H1884" s="7" t="s">
        <v>7156</v>
      </c>
      <c r="I1884" s="7"/>
      <c r="J1884" s="10">
        <v>45499</v>
      </c>
      <c r="K1884" s="7" t="s">
        <v>7163</v>
      </c>
      <c r="L1884" s="7"/>
      <c r="M1884" s="7"/>
    </row>
    <row r="1885" spans="1:13" x14ac:dyDescent="0.3">
      <c r="A1885" s="7">
        <v>18172</v>
      </c>
      <c r="B1885" s="7" t="s">
        <v>1893</v>
      </c>
      <c r="C1885" s="7" t="s">
        <v>6489</v>
      </c>
      <c r="D1885" s="7" t="s">
        <v>6610</v>
      </c>
      <c r="E1885" s="7" t="s">
        <v>6611</v>
      </c>
      <c r="F1885" s="7" t="s">
        <v>6348</v>
      </c>
      <c r="G1885" s="7" t="s">
        <v>7150</v>
      </c>
      <c r="H1885" s="7" t="s">
        <v>7156</v>
      </c>
      <c r="I1885" s="7"/>
      <c r="J1885" s="10">
        <v>46031</v>
      </c>
      <c r="K1885" s="7" t="s">
        <v>7163</v>
      </c>
      <c r="L1885" s="7"/>
      <c r="M1885" s="7"/>
    </row>
    <row r="1886" spans="1:13" x14ac:dyDescent="0.3">
      <c r="A1886" s="7">
        <v>18183</v>
      </c>
      <c r="B1886" s="7" t="s">
        <v>1894</v>
      </c>
      <c r="C1886" s="7" t="s">
        <v>6489</v>
      </c>
      <c r="D1886" s="7" t="s">
        <v>6610</v>
      </c>
      <c r="E1886" s="7" t="s">
        <v>6611</v>
      </c>
      <c r="F1886" s="7" t="s">
        <v>6348</v>
      </c>
      <c r="G1886" s="7" t="s">
        <v>7150</v>
      </c>
      <c r="H1886" s="7" t="s">
        <v>7156</v>
      </c>
      <c r="I1886" s="7"/>
      <c r="J1886" s="10">
        <v>46035</v>
      </c>
      <c r="K1886" s="7" t="s">
        <v>7163</v>
      </c>
      <c r="L1886" s="7"/>
      <c r="M1886" s="7"/>
    </row>
    <row r="1887" spans="1:13" x14ac:dyDescent="0.3">
      <c r="A1887" s="7">
        <v>12586</v>
      </c>
      <c r="B1887" s="7" t="s">
        <v>1895</v>
      </c>
      <c r="C1887" s="7" t="s">
        <v>6489</v>
      </c>
      <c r="D1887" s="7" t="s">
        <v>6610</v>
      </c>
      <c r="E1887" s="7" t="s">
        <v>6611</v>
      </c>
      <c r="F1887" s="7" t="s">
        <v>6341</v>
      </c>
      <c r="G1887" s="7" t="s">
        <v>7151</v>
      </c>
      <c r="H1887" s="7" t="s">
        <v>7156</v>
      </c>
      <c r="I1887" s="7"/>
      <c r="J1887" s="10">
        <v>43818</v>
      </c>
      <c r="K1887" s="7" t="s">
        <v>7163</v>
      </c>
      <c r="L1887" s="7"/>
      <c r="M1887" s="7"/>
    </row>
    <row r="1888" spans="1:13" x14ac:dyDescent="0.3">
      <c r="A1888" s="7">
        <v>17320</v>
      </c>
      <c r="B1888" s="7" t="s">
        <v>1896</v>
      </c>
      <c r="C1888" s="7" t="s">
        <v>6489</v>
      </c>
      <c r="D1888" s="7" t="s">
        <v>6610</v>
      </c>
      <c r="E1888" s="7" t="s">
        <v>6611</v>
      </c>
      <c r="F1888" s="7" t="s">
        <v>6389</v>
      </c>
      <c r="G1888" s="7" t="s">
        <v>7150</v>
      </c>
      <c r="H1888" s="7" t="s">
        <v>7157</v>
      </c>
      <c r="I1888" s="7"/>
      <c r="J1888" s="10">
        <v>45707</v>
      </c>
      <c r="K1888" s="7" t="s">
        <v>7163</v>
      </c>
      <c r="L1888" s="7"/>
      <c r="M1888" s="7"/>
    </row>
    <row r="1889" spans="1:13" x14ac:dyDescent="0.3">
      <c r="A1889" s="7">
        <v>12784</v>
      </c>
      <c r="B1889" s="7" t="s">
        <v>1897</v>
      </c>
      <c r="C1889" s="7" t="s">
        <v>6489</v>
      </c>
      <c r="D1889" s="7" t="s">
        <v>6610</v>
      </c>
      <c r="E1889" s="7" t="s">
        <v>6611</v>
      </c>
      <c r="F1889" s="7" t="s">
        <v>6341</v>
      </c>
      <c r="G1889" s="7" t="s">
        <v>7151</v>
      </c>
      <c r="H1889" s="7" t="s">
        <v>7156</v>
      </c>
      <c r="I1889" s="7"/>
      <c r="J1889" s="10">
        <v>43931</v>
      </c>
      <c r="K1889" s="7" t="s">
        <v>7163</v>
      </c>
      <c r="L1889" s="7"/>
      <c r="M1889" s="7"/>
    </row>
    <row r="1890" spans="1:13" x14ac:dyDescent="0.3">
      <c r="A1890" s="7">
        <v>18964</v>
      </c>
      <c r="B1890" s="7" t="s">
        <v>1898</v>
      </c>
      <c r="C1890" s="7" t="s">
        <v>6489</v>
      </c>
      <c r="D1890" s="7" t="s">
        <v>6610</v>
      </c>
      <c r="E1890" s="7" t="s">
        <v>6611</v>
      </c>
      <c r="F1890" s="7" t="s">
        <v>6613</v>
      </c>
      <c r="G1890" s="7" t="s">
        <v>7150</v>
      </c>
      <c r="H1890" s="7" t="s">
        <v>7157</v>
      </c>
      <c r="I1890" s="7"/>
      <c r="J1890" s="10">
        <v>46251</v>
      </c>
      <c r="K1890" s="7" t="s">
        <v>7163</v>
      </c>
      <c r="L1890" s="7"/>
      <c r="M1890" s="7"/>
    </row>
    <row r="1891" spans="1:13" x14ac:dyDescent="0.3">
      <c r="A1891" s="7">
        <v>14279</v>
      </c>
      <c r="B1891" s="7" t="s">
        <v>1899</v>
      </c>
      <c r="C1891" s="7" t="s">
        <v>6489</v>
      </c>
      <c r="D1891" s="7" t="s">
        <v>6610</v>
      </c>
      <c r="E1891" s="7" t="s">
        <v>6611</v>
      </c>
      <c r="F1891" s="7" t="s">
        <v>6389</v>
      </c>
      <c r="G1891" s="7" t="s">
        <v>7151</v>
      </c>
      <c r="H1891" s="7" t="s">
        <v>7157</v>
      </c>
      <c r="I1891" s="7"/>
      <c r="J1891" s="10">
        <v>44713</v>
      </c>
      <c r="K1891" s="7" t="s">
        <v>7163</v>
      </c>
      <c r="L1891" s="7"/>
      <c r="M1891" s="7"/>
    </row>
    <row r="1892" spans="1:13" x14ac:dyDescent="0.3">
      <c r="A1892" s="7">
        <v>17713</v>
      </c>
      <c r="B1892" s="7" t="s">
        <v>1900</v>
      </c>
      <c r="C1892" s="7" t="s">
        <v>6489</v>
      </c>
      <c r="D1892" s="7" t="s">
        <v>6610</v>
      </c>
      <c r="E1892" s="7" t="s">
        <v>6611</v>
      </c>
      <c r="F1892" s="7" t="s">
        <v>6389</v>
      </c>
      <c r="G1892" s="7" t="s">
        <v>7150</v>
      </c>
      <c r="H1892" s="7" t="s">
        <v>7157</v>
      </c>
      <c r="I1892" s="7"/>
      <c r="J1892" s="10">
        <v>45853</v>
      </c>
      <c r="K1892" s="7" t="s">
        <v>7163</v>
      </c>
      <c r="L1892" s="7"/>
      <c r="M1892" s="7"/>
    </row>
    <row r="1893" spans="1:13" x14ac:dyDescent="0.3">
      <c r="A1893" s="7">
        <v>12500</v>
      </c>
      <c r="B1893" s="7" t="s">
        <v>1901</v>
      </c>
      <c r="C1893" s="7" t="s">
        <v>6489</v>
      </c>
      <c r="D1893" s="7" t="s">
        <v>6610</v>
      </c>
      <c r="E1893" s="7" t="s">
        <v>6611</v>
      </c>
      <c r="F1893" s="7" t="s">
        <v>6341</v>
      </c>
      <c r="G1893" s="7" t="s">
        <v>7151</v>
      </c>
      <c r="H1893" s="7" t="s">
        <v>7156</v>
      </c>
      <c r="I1893" s="7"/>
      <c r="J1893" s="10">
        <v>43777</v>
      </c>
      <c r="K1893" s="7" t="s">
        <v>7163</v>
      </c>
      <c r="L1893" s="7"/>
      <c r="M1893" s="7"/>
    </row>
    <row r="1894" spans="1:13" x14ac:dyDescent="0.3">
      <c r="A1894" s="7">
        <v>16054</v>
      </c>
      <c r="B1894" s="7" t="s">
        <v>1902</v>
      </c>
      <c r="C1894" s="7" t="s">
        <v>6489</v>
      </c>
      <c r="D1894" s="7" t="s">
        <v>6610</v>
      </c>
      <c r="E1894" s="7" t="s">
        <v>6611</v>
      </c>
      <c r="F1894" s="7" t="s">
        <v>6389</v>
      </c>
      <c r="G1894" s="7" t="s">
        <v>7150</v>
      </c>
      <c r="H1894" s="7" t="s">
        <v>7157</v>
      </c>
      <c r="I1894" s="7"/>
      <c r="J1894" s="10">
        <v>45275</v>
      </c>
      <c r="K1894" s="7" t="s">
        <v>7163</v>
      </c>
      <c r="L1894" s="7"/>
      <c r="M1894" s="7"/>
    </row>
    <row r="1895" spans="1:13" x14ac:dyDescent="0.3">
      <c r="A1895" s="7">
        <v>13703</v>
      </c>
      <c r="B1895" s="7" t="s">
        <v>1903</v>
      </c>
      <c r="C1895" s="7" t="s">
        <v>6489</v>
      </c>
      <c r="D1895" s="7" t="s">
        <v>6610</v>
      </c>
      <c r="E1895" s="7" t="s">
        <v>6611</v>
      </c>
      <c r="F1895" s="7" t="s">
        <v>6341</v>
      </c>
      <c r="G1895" s="7" t="s">
        <v>7151</v>
      </c>
      <c r="H1895" s="7" t="s">
        <v>7156</v>
      </c>
      <c r="I1895" s="7"/>
      <c r="J1895" s="10">
        <v>44539</v>
      </c>
      <c r="K1895" s="7" t="s">
        <v>7163</v>
      </c>
      <c r="L1895" s="7"/>
      <c r="M1895" s="7"/>
    </row>
    <row r="1896" spans="1:13" x14ac:dyDescent="0.3">
      <c r="A1896" s="7">
        <v>13729</v>
      </c>
      <c r="B1896" s="7" t="s">
        <v>1904</v>
      </c>
      <c r="C1896" s="7" t="s">
        <v>6489</v>
      </c>
      <c r="D1896" s="7" t="s">
        <v>6610</v>
      </c>
      <c r="E1896" s="7" t="s">
        <v>6611</v>
      </c>
      <c r="F1896" s="7" t="s">
        <v>6341</v>
      </c>
      <c r="G1896" s="7" t="s">
        <v>7151</v>
      </c>
      <c r="H1896" s="7" t="s">
        <v>7156</v>
      </c>
      <c r="I1896" s="7"/>
      <c r="J1896" s="10">
        <v>44551</v>
      </c>
      <c r="K1896" s="7" t="s">
        <v>7163</v>
      </c>
      <c r="L1896" s="7"/>
      <c r="M1896" s="7"/>
    </row>
    <row r="1897" spans="1:13" x14ac:dyDescent="0.3">
      <c r="A1897" s="7">
        <v>17650</v>
      </c>
      <c r="B1897" s="7" t="s">
        <v>1905</v>
      </c>
      <c r="C1897" s="7" t="s">
        <v>6489</v>
      </c>
      <c r="D1897" s="7" t="s">
        <v>6610</v>
      </c>
      <c r="E1897" s="7" t="s">
        <v>6611</v>
      </c>
      <c r="F1897" s="7" t="s">
        <v>6406</v>
      </c>
      <c r="G1897" s="7" t="s">
        <v>7150</v>
      </c>
      <c r="H1897" s="7" t="s">
        <v>7157</v>
      </c>
      <c r="I1897" s="7"/>
      <c r="J1897" s="10">
        <v>45828</v>
      </c>
      <c r="K1897" s="7" t="s">
        <v>7163</v>
      </c>
      <c r="L1897" s="7"/>
      <c r="M1897" s="7"/>
    </row>
    <row r="1898" spans="1:13" x14ac:dyDescent="0.3">
      <c r="A1898" s="7">
        <v>13731</v>
      </c>
      <c r="B1898" s="7" t="s">
        <v>1906</v>
      </c>
      <c r="C1898" s="7" t="s">
        <v>6489</v>
      </c>
      <c r="D1898" s="7" t="s">
        <v>6610</v>
      </c>
      <c r="E1898" s="7" t="s">
        <v>6611</v>
      </c>
      <c r="F1898" s="7" t="s">
        <v>6341</v>
      </c>
      <c r="G1898" s="7" t="s">
        <v>7150</v>
      </c>
      <c r="H1898" s="7" t="s">
        <v>7156</v>
      </c>
      <c r="I1898" s="7"/>
      <c r="J1898" s="10">
        <v>44551</v>
      </c>
      <c r="K1898" s="7" t="s">
        <v>7163</v>
      </c>
      <c r="L1898" s="7"/>
      <c r="M1898" s="7"/>
    </row>
    <row r="1899" spans="1:13" x14ac:dyDescent="0.3">
      <c r="A1899" s="7">
        <v>13268</v>
      </c>
      <c r="B1899" s="7" t="s">
        <v>1907</v>
      </c>
      <c r="C1899" s="7" t="s">
        <v>6489</v>
      </c>
      <c r="D1899" s="7" t="s">
        <v>6610</v>
      </c>
      <c r="E1899" s="7" t="s">
        <v>6611</v>
      </c>
      <c r="F1899" s="7" t="s">
        <v>6614</v>
      </c>
      <c r="G1899" s="7" t="s">
        <v>7150</v>
      </c>
      <c r="H1899" s="7" t="s">
        <v>7156</v>
      </c>
      <c r="I1899" s="7"/>
      <c r="J1899" s="10">
        <v>44356</v>
      </c>
      <c r="K1899" s="7" t="s">
        <v>7163</v>
      </c>
      <c r="L1899" s="7"/>
      <c r="M1899" s="7"/>
    </row>
    <row r="1900" spans="1:13" x14ac:dyDescent="0.3">
      <c r="A1900" s="7">
        <v>16694</v>
      </c>
      <c r="B1900" s="7" t="s">
        <v>1908</v>
      </c>
      <c r="C1900" s="7" t="s">
        <v>6489</v>
      </c>
      <c r="D1900" s="7" t="s">
        <v>6610</v>
      </c>
      <c r="E1900" s="7" t="s">
        <v>6611</v>
      </c>
      <c r="F1900" s="7" t="s">
        <v>6341</v>
      </c>
      <c r="G1900" s="7" t="s">
        <v>7150</v>
      </c>
      <c r="H1900" s="7" t="s">
        <v>7156</v>
      </c>
      <c r="I1900" s="7"/>
      <c r="J1900" s="10">
        <v>45527</v>
      </c>
      <c r="K1900" s="7" t="s">
        <v>7163</v>
      </c>
      <c r="L1900" s="7"/>
      <c r="M1900" s="7"/>
    </row>
    <row r="1901" spans="1:13" x14ac:dyDescent="0.3">
      <c r="A1901" s="7">
        <v>17168</v>
      </c>
      <c r="B1901" s="7" t="s">
        <v>1909</v>
      </c>
      <c r="C1901" s="7" t="s">
        <v>6489</v>
      </c>
      <c r="D1901" s="7" t="s">
        <v>6610</v>
      </c>
      <c r="E1901" s="7" t="s">
        <v>6611</v>
      </c>
      <c r="F1901" s="7" t="s">
        <v>6615</v>
      </c>
      <c r="G1901" s="7" t="s">
        <v>7150</v>
      </c>
      <c r="H1901" s="7" t="s">
        <v>7156</v>
      </c>
      <c r="I1901" s="7"/>
      <c r="J1901" s="10">
        <v>45652</v>
      </c>
      <c r="K1901" s="7" t="s">
        <v>7163</v>
      </c>
      <c r="L1901" s="7"/>
      <c r="M1901" s="7"/>
    </row>
    <row r="1902" spans="1:13" x14ac:dyDescent="0.3">
      <c r="A1902" s="7">
        <v>17429</v>
      </c>
      <c r="B1902" s="7" t="s">
        <v>1910</v>
      </c>
      <c r="C1902" s="7" t="s">
        <v>6489</v>
      </c>
      <c r="D1902" s="7" t="s">
        <v>6610</v>
      </c>
      <c r="E1902" s="7" t="s">
        <v>6611</v>
      </c>
      <c r="F1902" s="7" t="s">
        <v>6615</v>
      </c>
      <c r="G1902" s="7" t="s">
        <v>7150</v>
      </c>
      <c r="H1902" s="7" t="s">
        <v>7156</v>
      </c>
      <c r="I1902" s="7"/>
      <c r="J1902" s="10">
        <v>45749</v>
      </c>
      <c r="K1902" s="7" t="s">
        <v>7163</v>
      </c>
      <c r="L1902" s="7"/>
      <c r="M1902" s="7"/>
    </row>
    <row r="1903" spans="1:13" x14ac:dyDescent="0.3">
      <c r="A1903" s="7">
        <v>15744</v>
      </c>
      <c r="B1903" s="7" t="s">
        <v>1911</v>
      </c>
      <c r="C1903" s="7" t="s">
        <v>6489</v>
      </c>
      <c r="D1903" s="7" t="s">
        <v>6610</v>
      </c>
      <c r="E1903" s="7" t="s">
        <v>6616</v>
      </c>
      <c r="F1903" s="7" t="s">
        <v>6498</v>
      </c>
      <c r="G1903" s="7" t="s">
        <v>7150</v>
      </c>
      <c r="H1903" s="7" t="s">
        <v>7156</v>
      </c>
      <c r="I1903" s="7"/>
      <c r="J1903" s="10">
        <v>45184</v>
      </c>
      <c r="K1903" s="7" t="s">
        <v>7163</v>
      </c>
      <c r="L1903" s="7"/>
      <c r="M1903" s="7"/>
    </row>
    <row r="1904" spans="1:13" x14ac:dyDescent="0.3">
      <c r="A1904" s="7">
        <v>12781</v>
      </c>
      <c r="B1904" s="7" t="s">
        <v>1912</v>
      </c>
      <c r="C1904" s="7" t="s">
        <v>6489</v>
      </c>
      <c r="D1904" s="7" t="s">
        <v>6610</v>
      </c>
      <c r="E1904" s="7" t="s">
        <v>6616</v>
      </c>
      <c r="F1904" s="7" t="s">
        <v>6542</v>
      </c>
      <c r="G1904" s="7" t="s">
        <v>7150</v>
      </c>
      <c r="H1904" s="7" t="s">
        <v>7156</v>
      </c>
      <c r="I1904" s="7"/>
      <c r="J1904" s="10">
        <v>43929</v>
      </c>
      <c r="K1904" s="7" t="s">
        <v>7163</v>
      </c>
      <c r="L1904" s="7"/>
      <c r="M1904" s="7"/>
    </row>
    <row r="1905" spans="1:13" x14ac:dyDescent="0.3">
      <c r="A1905" s="7">
        <v>12785</v>
      </c>
      <c r="B1905" s="7" t="s">
        <v>1913</v>
      </c>
      <c r="C1905" s="7" t="s">
        <v>6489</v>
      </c>
      <c r="D1905" s="7" t="s">
        <v>6610</v>
      </c>
      <c r="E1905" s="7" t="s">
        <v>6616</v>
      </c>
      <c r="F1905" s="7" t="s">
        <v>6542</v>
      </c>
      <c r="G1905" s="7" t="s">
        <v>7150</v>
      </c>
      <c r="H1905" s="7" t="s">
        <v>7156</v>
      </c>
      <c r="I1905" s="7"/>
      <c r="J1905" s="10">
        <v>43931</v>
      </c>
      <c r="K1905" s="7" t="s">
        <v>7163</v>
      </c>
      <c r="L1905" s="7"/>
      <c r="M1905" s="7"/>
    </row>
    <row r="1906" spans="1:13" x14ac:dyDescent="0.3">
      <c r="A1906" s="7">
        <v>11526</v>
      </c>
      <c r="B1906" s="7" t="s">
        <v>1914</v>
      </c>
      <c r="C1906" s="7" t="s">
        <v>6489</v>
      </c>
      <c r="D1906" s="7" t="s">
        <v>6610</v>
      </c>
      <c r="E1906" s="7" t="s">
        <v>6616</v>
      </c>
      <c r="F1906" s="7" t="s">
        <v>6542</v>
      </c>
      <c r="G1906" s="7" t="s">
        <v>7150</v>
      </c>
      <c r="H1906" s="7" t="s">
        <v>7156</v>
      </c>
      <c r="I1906" s="7"/>
      <c r="J1906" s="10">
        <v>42797</v>
      </c>
      <c r="K1906" s="7" t="s">
        <v>7163</v>
      </c>
      <c r="L1906" s="7"/>
      <c r="M1906" s="7"/>
    </row>
    <row r="1907" spans="1:13" x14ac:dyDescent="0.3">
      <c r="A1907" s="7">
        <v>13736</v>
      </c>
      <c r="B1907" s="7" t="s">
        <v>1915</v>
      </c>
      <c r="C1907" s="7" t="s">
        <v>6489</v>
      </c>
      <c r="D1907" s="7" t="s">
        <v>6610</v>
      </c>
      <c r="E1907" s="7" t="s">
        <v>6616</v>
      </c>
      <c r="F1907" s="7" t="s">
        <v>6542</v>
      </c>
      <c r="G1907" s="7" t="s">
        <v>7150</v>
      </c>
      <c r="H1907" s="7" t="s">
        <v>7156</v>
      </c>
      <c r="I1907" s="7"/>
      <c r="J1907" s="10">
        <v>44551</v>
      </c>
      <c r="K1907" s="7" t="s">
        <v>7163</v>
      </c>
      <c r="L1907" s="7"/>
      <c r="M1907" s="7"/>
    </row>
    <row r="1908" spans="1:13" x14ac:dyDescent="0.3">
      <c r="A1908" s="7">
        <v>13695</v>
      </c>
      <c r="B1908" s="7" t="s">
        <v>1916</v>
      </c>
      <c r="C1908" s="7" t="s">
        <v>6489</v>
      </c>
      <c r="D1908" s="7" t="s">
        <v>6610</v>
      </c>
      <c r="E1908" s="7" t="s">
        <v>6616</v>
      </c>
      <c r="F1908" s="7" t="s">
        <v>6542</v>
      </c>
      <c r="G1908" s="7" t="s">
        <v>7150</v>
      </c>
      <c r="H1908" s="7" t="s">
        <v>7156</v>
      </c>
      <c r="I1908" s="7"/>
      <c r="J1908" s="10">
        <v>44538</v>
      </c>
      <c r="K1908" s="7" t="s">
        <v>7163</v>
      </c>
      <c r="L1908" s="7"/>
      <c r="M1908" s="7"/>
    </row>
    <row r="1909" spans="1:13" x14ac:dyDescent="0.3">
      <c r="A1909" s="7">
        <v>14851</v>
      </c>
      <c r="B1909" s="7" t="s">
        <v>1917</v>
      </c>
      <c r="C1909" s="7" t="s">
        <v>6489</v>
      </c>
      <c r="D1909" s="7" t="s">
        <v>6610</v>
      </c>
      <c r="E1909" s="7" t="s">
        <v>6616</v>
      </c>
      <c r="F1909" s="7" t="s">
        <v>6542</v>
      </c>
      <c r="G1909" s="7" t="s">
        <v>7150</v>
      </c>
      <c r="H1909" s="7" t="s">
        <v>7156</v>
      </c>
      <c r="I1909" s="7"/>
      <c r="J1909" s="10">
        <v>44876</v>
      </c>
      <c r="K1909" s="7" t="s">
        <v>7163</v>
      </c>
      <c r="L1909" s="7"/>
      <c r="M1909" s="7"/>
    </row>
    <row r="1910" spans="1:13" x14ac:dyDescent="0.3">
      <c r="A1910" s="7">
        <v>13730</v>
      </c>
      <c r="B1910" s="7" t="s">
        <v>1918</v>
      </c>
      <c r="C1910" s="7" t="s">
        <v>6489</v>
      </c>
      <c r="D1910" s="7" t="s">
        <v>6610</v>
      </c>
      <c r="E1910" s="7" t="s">
        <v>6616</v>
      </c>
      <c r="F1910" s="7" t="s">
        <v>6340</v>
      </c>
      <c r="G1910" s="7" t="s">
        <v>7150</v>
      </c>
      <c r="H1910" s="7" t="s">
        <v>7156</v>
      </c>
      <c r="I1910" s="7"/>
      <c r="J1910" s="10">
        <v>44551</v>
      </c>
      <c r="K1910" s="7" t="s">
        <v>7163</v>
      </c>
      <c r="L1910" s="7"/>
      <c r="M1910" s="7"/>
    </row>
    <row r="1911" spans="1:13" x14ac:dyDescent="0.3">
      <c r="A1911" s="7">
        <v>15033</v>
      </c>
      <c r="B1911" s="7" t="s">
        <v>1919</v>
      </c>
      <c r="C1911" s="7" t="s">
        <v>6489</v>
      </c>
      <c r="D1911" s="7" t="s">
        <v>6610</v>
      </c>
      <c r="E1911" s="7" t="s">
        <v>6616</v>
      </c>
      <c r="F1911" s="7" t="s">
        <v>6542</v>
      </c>
      <c r="G1911" s="7" t="s">
        <v>7150</v>
      </c>
      <c r="H1911" s="7" t="s">
        <v>7156</v>
      </c>
      <c r="I1911" s="7"/>
      <c r="J1911" s="10">
        <v>44932</v>
      </c>
      <c r="K1911" s="7" t="s">
        <v>7163</v>
      </c>
      <c r="L1911" s="7"/>
      <c r="M1911" s="7"/>
    </row>
    <row r="1912" spans="1:13" x14ac:dyDescent="0.3">
      <c r="A1912" s="7">
        <v>14933</v>
      </c>
      <c r="B1912" s="7" t="s">
        <v>1920</v>
      </c>
      <c r="C1912" s="7" t="s">
        <v>6489</v>
      </c>
      <c r="D1912" s="7" t="s">
        <v>6610</v>
      </c>
      <c r="E1912" s="7" t="s">
        <v>6616</v>
      </c>
      <c r="F1912" s="7" t="s">
        <v>6340</v>
      </c>
      <c r="G1912" s="7" t="s">
        <v>7150</v>
      </c>
      <c r="H1912" s="7" t="s">
        <v>7156</v>
      </c>
      <c r="I1912" s="7"/>
      <c r="J1912" s="10">
        <v>44903</v>
      </c>
      <c r="K1912" s="7" t="s">
        <v>7163</v>
      </c>
      <c r="L1912" s="7"/>
      <c r="M1912" s="7"/>
    </row>
    <row r="1913" spans="1:13" x14ac:dyDescent="0.3">
      <c r="A1913" s="7">
        <v>12678</v>
      </c>
      <c r="B1913" s="7" t="s">
        <v>1921</v>
      </c>
      <c r="C1913" s="7" t="s">
        <v>6489</v>
      </c>
      <c r="D1913" s="7" t="s">
        <v>6610</v>
      </c>
      <c r="E1913" s="7" t="s">
        <v>6616</v>
      </c>
      <c r="F1913" s="7" t="s">
        <v>6340</v>
      </c>
      <c r="G1913" s="7" t="s">
        <v>7150</v>
      </c>
      <c r="H1913" s="7" t="s">
        <v>7156</v>
      </c>
      <c r="I1913" s="7"/>
      <c r="J1913" s="10">
        <v>43866</v>
      </c>
      <c r="K1913" s="7" t="s">
        <v>7163</v>
      </c>
      <c r="L1913" s="7"/>
      <c r="M1913" s="7"/>
    </row>
    <row r="1914" spans="1:13" x14ac:dyDescent="0.3">
      <c r="A1914" s="7">
        <v>12794</v>
      </c>
      <c r="B1914" s="7" t="s">
        <v>1922</v>
      </c>
      <c r="C1914" s="7" t="s">
        <v>6489</v>
      </c>
      <c r="D1914" s="7" t="s">
        <v>6610</v>
      </c>
      <c r="E1914" s="7" t="s">
        <v>6616</v>
      </c>
      <c r="F1914" s="7" t="s">
        <v>6341</v>
      </c>
      <c r="G1914" s="7" t="s">
        <v>7150</v>
      </c>
      <c r="H1914" s="7" t="s">
        <v>7156</v>
      </c>
      <c r="I1914" s="7"/>
      <c r="J1914" s="10">
        <v>43931</v>
      </c>
      <c r="K1914" s="7" t="s">
        <v>7163</v>
      </c>
      <c r="L1914" s="7"/>
      <c r="M1914" s="7"/>
    </row>
    <row r="1915" spans="1:13" x14ac:dyDescent="0.3">
      <c r="A1915" s="7">
        <v>13706</v>
      </c>
      <c r="B1915" s="7" t="s">
        <v>1923</v>
      </c>
      <c r="C1915" s="7" t="s">
        <v>6489</v>
      </c>
      <c r="D1915" s="7" t="s">
        <v>6610</v>
      </c>
      <c r="E1915" s="7" t="s">
        <v>6616</v>
      </c>
      <c r="F1915" s="7" t="s">
        <v>6341</v>
      </c>
      <c r="G1915" s="7" t="s">
        <v>7150</v>
      </c>
      <c r="H1915" s="7" t="s">
        <v>7156</v>
      </c>
      <c r="I1915" s="7"/>
      <c r="J1915" s="10">
        <v>44539</v>
      </c>
      <c r="K1915" s="7" t="s">
        <v>7163</v>
      </c>
      <c r="L1915" s="7"/>
      <c r="M1915" s="7"/>
    </row>
    <row r="1916" spans="1:13" x14ac:dyDescent="0.3">
      <c r="A1916" s="7">
        <v>13705</v>
      </c>
      <c r="B1916" s="7" t="s">
        <v>1924</v>
      </c>
      <c r="C1916" s="7" t="s">
        <v>6489</v>
      </c>
      <c r="D1916" s="7" t="s">
        <v>6610</v>
      </c>
      <c r="E1916" s="7" t="s">
        <v>6616</v>
      </c>
      <c r="F1916" s="7" t="s">
        <v>6341</v>
      </c>
      <c r="G1916" s="7" t="s">
        <v>7152</v>
      </c>
      <c r="H1916" s="7" t="s">
        <v>7156</v>
      </c>
      <c r="I1916" s="7"/>
      <c r="J1916" s="10">
        <v>44539</v>
      </c>
      <c r="K1916" s="7" t="s">
        <v>7163</v>
      </c>
      <c r="L1916" s="7"/>
      <c r="M1916" s="7"/>
    </row>
    <row r="1917" spans="1:13" x14ac:dyDescent="0.3">
      <c r="A1917" s="7">
        <v>19163</v>
      </c>
      <c r="B1917" s="7" t="s">
        <v>1925</v>
      </c>
      <c r="C1917" s="7" t="s">
        <v>6489</v>
      </c>
      <c r="D1917" s="7" t="s">
        <v>6610</v>
      </c>
      <c r="E1917" s="7" t="s">
        <v>6616</v>
      </c>
      <c r="F1917" s="7" t="s">
        <v>6389</v>
      </c>
      <c r="G1917" s="7" t="s">
        <v>7150</v>
      </c>
      <c r="H1917" s="7" t="s">
        <v>7157</v>
      </c>
      <c r="I1917" s="7"/>
      <c r="J1917" s="10">
        <v>46275</v>
      </c>
      <c r="K1917" s="7" t="s">
        <v>7163</v>
      </c>
      <c r="L1917" s="7"/>
      <c r="M1917" s="7"/>
    </row>
    <row r="1918" spans="1:13" x14ac:dyDescent="0.3">
      <c r="A1918" s="7">
        <v>13830</v>
      </c>
      <c r="B1918" s="7" t="s">
        <v>1926</v>
      </c>
      <c r="C1918" s="7" t="s">
        <v>6489</v>
      </c>
      <c r="D1918" s="7" t="s">
        <v>6610</v>
      </c>
      <c r="E1918" s="7" t="s">
        <v>6616</v>
      </c>
      <c r="F1918" s="7" t="s">
        <v>6341</v>
      </c>
      <c r="G1918" s="7" t="s">
        <v>7150</v>
      </c>
      <c r="H1918" s="7" t="s">
        <v>7156</v>
      </c>
      <c r="I1918" s="7"/>
      <c r="J1918" s="10">
        <v>44596</v>
      </c>
      <c r="K1918" s="7" t="s">
        <v>7163</v>
      </c>
      <c r="L1918" s="7"/>
      <c r="M1918" s="7"/>
    </row>
    <row r="1919" spans="1:13" x14ac:dyDescent="0.3">
      <c r="A1919" s="7">
        <v>13849</v>
      </c>
      <c r="B1919" s="7" t="s">
        <v>1927</v>
      </c>
      <c r="C1919" s="7" t="s">
        <v>6489</v>
      </c>
      <c r="D1919" s="7" t="s">
        <v>6610</v>
      </c>
      <c r="E1919" s="7" t="s">
        <v>6616</v>
      </c>
      <c r="F1919" s="7" t="s">
        <v>6341</v>
      </c>
      <c r="G1919" s="7" t="s">
        <v>7150</v>
      </c>
      <c r="H1919" s="7" t="s">
        <v>7156</v>
      </c>
      <c r="I1919" s="7"/>
      <c r="J1919" s="10">
        <v>44603</v>
      </c>
      <c r="K1919" s="7" t="s">
        <v>7163</v>
      </c>
      <c r="L1919" s="7"/>
      <c r="M1919" s="7"/>
    </row>
    <row r="1920" spans="1:13" x14ac:dyDescent="0.3">
      <c r="A1920" s="7">
        <v>14069</v>
      </c>
      <c r="B1920" s="7" t="s">
        <v>1928</v>
      </c>
      <c r="C1920" s="7" t="s">
        <v>6489</v>
      </c>
      <c r="D1920" s="7" t="s">
        <v>6610</v>
      </c>
      <c r="E1920" s="7" t="s">
        <v>6616</v>
      </c>
      <c r="F1920" s="7" t="s">
        <v>6340</v>
      </c>
      <c r="G1920" s="7" t="s">
        <v>7150</v>
      </c>
      <c r="H1920" s="7" t="s">
        <v>7156</v>
      </c>
      <c r="I1920" s="7"/>
      <c r="J1920" s="10">
        <v>44638</v>
      </c>
      <c r="K1920" s="7" t="s">
        <v>7163</v>
      </c>
      <c r="L1920" s="7"/>
      <c r="M1920" s="7"/>
    </row>
    <row r="1921" spans="1:13" x14ac:dyDescent="0.3">
      <c r="A1921" s="7">
        <v>14274</v>
      </c>
      <c r="B1921" s="7" t="s">
        <v>1929</v>
      </c>
      <c r="C1921" s="7" t="s">
        <v>6489</v>
      </c>
      <c r="D1921" s="7" t="s">
        <v>6610</v>
      </c>
      <c r="E1921" s="7" t="s">
        <v>6616</v>
      </c>
      <c r="F1921" s="7" t="s">
        <v>6341</v>
      </c>
      <c r="G1921" s="7" t="s">
        <v>7150</v>
      </c>
      <c r="H1921" s="7" t="s">
        <v>7156</v>
      </c>
      <c r="I1921" s="7"/>
      <c r="J1921" s="10">
        <v>44713</v>
      </c>
      <c r="K1921" s="7" t="s">
        <v>7163</v>
      </c>
      <c r="L1921" s="7"/>
      <c r="M1921" s="7"/>
    </row>
    <row r="1922" spans="1:13" x14ac:dyDescent="0.3">
      <c r="A1922" s="7">
        <v>14471</v>
      </c>
      <c r="B1922" s="7" t="s">
        <v>1930</v>
      </c>
      <c r="C1922" s="7" t="s">
        <v>6489</v>
      </c>
      <c r="D1922" s="7" t="s">
        <v>6610</v>
      </c>
      <c r="E1922" s="7" t="s">
        <v>6616</v>
      </c>
      <c r="F1922" s="7" t="s">
        <v>6341</v>
      </c>
      <c r="G1922" s="7" t="s">
        <v>7151</v>
      </c>
      <c r="H1922" s="7" t="s">
        <v>7156</v>
      </c>
      <c r="I1922" s="7"/>
      <c r="J1922" s="10">
        <v>44764</v>
      </c>
      <c r="K1922" s="7" t="s">
        <v>7163</v>
      </c>
      <c r="L1922" s="7"/>
      <c r="M1922" s="7"/>
    </row>
    <row r="1923" spans="1:13" x14ac:dyDescent="0.3">
      <c r="A1923" s="7">
        <v>18886</v>
      </c>
      <c r="B1923" s="7" t="s">
        <v>1931</v>
      </c>
      <c r="C1923" s="7" t="s">
        <v>6489</v>
      </c>
      <c r="D1923" s="7" t="s">
        <v>6610</v>
      </c>
      <c r="E1923" s="7" t="s">
        <v>6616</v>
      </c>
      <c r="F1923" s="7" t="s">
        <v>6406</v>
      </c>
      <c r="G1923" s="7" t="s">
        <v>7150</v>
      </c>
      <c r="H1923" s="7" t="s">
        <v>7157</v>
      </c>
      <c r="I1923" s="7"/>
      <c r="J1923" s="10">
        <v>46232</v>
      </c>
      <c r="K1923" s="7" t="s">
        <v>7163</v>
      </c>
      <c r="L1923" s="7"/>
      <c r="M1923" s="7"/>
    </row>
    <row r="1924" spans="1:13" x14ac:dyDescent="0.3">
      <c r="A1924" s="7">
        <v>14510</v>
      </c>
      <c r="B1924" s="7" t="s">
        <v>1932</v>
      </c>
      <c r="C1924" s="7" t="s">
        <v>6489</v>
      </c>
      <c r="D1924" s="7" t="s">
        <v>6610</v>
      </c>
      <c r="E1924" s="7" t="s">
        <v>6616</v>
      </c>
      <c r="F1924" s="7" t="s">
        <v>6341</v>
      </c>
      <c r="G1924" s="7" t="s">
        <v>7150</v>
      </c>
      <c r="H1924" s="7" t="s">
        <v>7156</v>
      </c>
      <c r="I1924" s="7"/>
      <c r="J1924" s="10">
        <v>44777</v>
      </c>
      <c r="K1924" s="7" t="s">
        <v>7163</v>
      </c>
      <c r="L1924" s="7"/>
      <c r="M1924" s="7"/>
    </row>
    <row r="1925" spans="1:13" x14ac:dyDescent="0.3">
      <c r="A1925" s="7">
        <v>14002</v>
      </c>
      <c r="B1925" s="7" t="s">
        <v>1933</v>
      </c>
      <c r="C1925" s="7" t="s">
        <v>6489</v>
      </c>
      <c r="D1925" s="7" t="s">
        <v>6610</v>
      </c>
      <c r="E1925" s="7" t="s">
        <v>6616</v>
      </c>
      <c r="F1925" s="7" t="s">
        <v>6341</v>
      </c>
      <c r="G1925" s="7" t="s">
        <v>7150</v>
      </c>
      <c r="H1925" s="7" t="s">
        <v>7156</v>
      </c>
      <c r="I1925" s="7"/>
      <c r="J1925" s="10">
        <v>44623</v>
      </c>
      <c r="K1925" s="7" t="s">
        <v>7163</v>
      </c>
      <c r="L1925" s="7"/>
      <c r="M1925" s="7"/>
    </row>
    <row r="1926" spans="1:13" x14ac:dyDescent="0.3">
      <c r="A1926" s="7">
        <v>14422</v>
      </c>
      <c r="B1926" s="7" t="s">
        <v>1934</v>
      </c>
      <c r="C1926" s="7" t="s">
        <v>6489</v>
      </c>
      <c r="D1926" s="7" t="s">
        <v>6610</v>
      </c>
      <c r="E1926" s="7" t="s">
        <v>6616</v>
      </c>
      <c r="F1926" s="7" t="s">
        <v>6341</v>
      </c>
      <c r="G1926" s="7" t="s">
        <v>7151</v>
      </c>
      <c r="H1926" s="7" t="s">
        <v>7156</v>
      </c>
      <c r="I1926" s="7"/>
      <c r="J1926" s="10">
        <v>44756</v>
      </c>
      <c r="K1926" s="7" t="s">
        <v>7163</v>
      </c>
      <c r="L1926" s="7"/>
      <c r="M1926" s="7"/>
    </row>
    <row r="1927" spans="1:13" x14ac:dyDescent="0.3">
      <c r="A1927" s="7">
        <v>18124</v>
      </c>
      <c r="B1927" s="7" t="s">
        <v>1935</v>
      </c>
      <c r="C1927" s="7" t="s">
        <v>6489</v>
      </c>
      <c r="D1927" s="7" t="s">
        <v>6610</v>
      </c>
      <c r="E1927" s="7" t="s">
        <v>6616</v>
      </c>
      <c r="F1927" s="7" t="s">
        <v>6406</v>
      </c>
      <c r="G1927" s="7" t="s">
        <v>7150</v>
      </c>
      <c r="H1927" s="7" t="s">
        <v>7157</v>
      </c>
      <c r="I1927" s="7"/>
      <c r="J1927" s="10">
        <v>46006</v>
      </c>
      <c r="K1927" s="7" t="s">
        <v>7163</v>
      </c>
      <c r="L1927" s="7"/>
      <c r="M1927" s="7"/>
    </row>
    <row r="1928" spans="1:13" x14ac:dyDescent="0.3">
      <c r="A1928" s="7">
        <v>14778</v>
      </c>
      <c r="B1928" s="7" t="s">
        <v>1936</v>
      </c>
      <c r="C1928" s="7" t="s">
        <v>6489</v>
      </c>
      <c r="D1928" s="7" t="s">
        <v>6610</v>
      </c>
      <c r="E1928" s="7" t="s">
        <v>6616</v>
      </c>
      <c r="F1928" s="7" t="s">
        <v>6341</v>
      </c>
      <c r="G1928" s="7" t="s">
        <v>7150</v>
      </c>
      <c r="H1928" s="7" t="s">
        <v>7156</v>
      </c>
      <c r="I1928" s="7"/>
      <c r="J1928" s="10">
        <v>44854</v>
      </c>
      <c r="K1928" s="7" t="s">
        <v>7163</v>
      </c>
      <c r="L1928" s="7"/>
      <c r="M1928" s="7"/>
    </row>
    <row r="1929" spans="1:13" x14ac:dyDescent="0.3">
      <c r="A1929" s="7">
        <v>14834</v>
      </c>
      <c r="B1929" s="7" t="s">
        <v>1937</v>
      </c>
      <c r="C1929" s="7" t="s">
        <v>6489</v>
      </c>
      <c r="D1929" s="7" t="s">
        <v>6610</v>
      </c>
      <c r="E1929" s="7" t="s">
        <v>6616</v>
      </c>
      <c r="F1929" s="7" t="s">
        <v>6341</v>
      </c>
      <c r="G1929" s="7" t="s">
        <v>7150</v>
      </c>
      <c r="H1929" s="7" t="s">
        <v>7156</v>
      </c>
      <c r="I1929" s="7"/>
      <c r="J1929" s="10">
        <v>44870</v>
      </c>
      <c r="K1929" s="7" t="s">
        <v>7163</v>
      </c>
      <c r="L1929" s="7"/>
      <c r="M1929" s="7"/>
    </row>
    <row r="1930" spans="1:13" x14ac:dyDescent="0.3">
      <c r="A1930" s="7">
        <v>14845</v>
      </c>
      <c r="B1930" s="7" t="s">
        <v>1938</v>
      </c>
      <c r="C1930" s="7" t="s">
        <v>6489</v>
      </c>
      <c r="D1930" s="7" t="s">
        <v>6610</v>
      </c>
      <c r="E1930" s="7" t="s">
        <v>6616</v>
      </c>
      <c r="F1930" s="7" t="s">
        <v>6341</v>
      </c>
      <c r="G1930" s="7" t="s">
        <v>7150</v>
      </c>
      <c r="H1930" s="7" t="s">
        <v>7156</v>
      </c>
      <c r="I1930" s="7"/>
      <c r="J1930" s="10">
        <v>44875</v>
      </c>
      <c r="K1930" s="7" t="s">
        <v>7163</v>
      </c>
      <c r="L1930" s="7"/>
      <c r="M1930" s="7"/>
    </row>
    <row r="1931" spans="1:13" x14ac:dyDescent="0.3">
      <c r="A1931" s="7">
        <v>14850</v>
      </c>
      <c r="B1931" s="7" t="s">
        <v>1939</v>
      </c>
      <c r="C1931" s="7" t="s">
        <v>6489</v>
      </c>
      <c r="D1931" s="7" t="s">
        <v>6610</v>
      </c>
      <c r="E1931" s="7" t="s">
        <v>6616</v>
      </c>
      <c r="F1931" s="7" t="s">
        <v>6341</v>
      </c>
      <c r="G1931" s="7" t="s">
        <v>7150</v>
      </c>
      <c r="H1931" s="7" t="s">
        <v>7156</v>
      </c>
      <c r="I1931" s="7"/>
      <c r="J1931" s="10">
        <v>44876</v>
      </c>
      <c r="K1931" s="7" t="s">
        <v>7163</v>
      </c>
      <c r="L1931" s="7"/>
      <c r="M1931" s="7"/>
    </row>
    <row r="1932" spans="1:13" x14ac:dyDescent="0.3">
      <c r="A1932" s="7">
        <v>14943</v>
      </c>
      <c r="B1932" s="7" t="s">
        <v>1940</v>
      </c>
      <c r="C1932" s="7" t="s">
        <v>6489</v>
      </c>
      <c r="D1932" s="7" t="s">
        <v>6610</v>
      </c>
      <c r="E1932" s="7" t="s">
        <v>6616</v>
      </c>
      <c r="F1932" s="7" t="s">
        <v>6341</v>
      </c>
      <c r="G1932" s="7" t="s">
        <v>7150</v>
      </c>
      <c r="H1932" s="7" t="s">
        <v>7156</v>
      </c>
      <c r="I1932" s="7"/>
      <c r="J1932" s="10">
        <v>44893</v>
      </c>
      <c r="K1932" s="7" t="s">
        <v>7163</v>
      </c>
      <c r="L1932" s="7"/>
      <c r="M1932" s="7"/>
    </row>
    <row r="1933" spans="1:13" x14ac:dyDescent="0.3">
      <c r="A1933" s="7">
        <v>14878</v>
      </c>
      <c r="B1933" s="7" t="s">
        <v>1941</v>
      </c>
      <c r="C1933" s="7" t="s">
        <v>6489</v>
      </c>
      <c r="D1933" s="7" t="s">
        <v>6610</v>
      </c>
      <c r="E1933" s="7" t="s">
        <v>6616</v>
      </c>
      <c r="F1933" s="7" t="s">
        <v>6341</v>
      </c>
      <c r="G1933" s="7" t="s">
        <v>7150</v>
      </c>
      <c r="H1933" s="7" t="s">
        <v>7156</v>
      </c>
      <c r="I1933" s="7"/>
      <c r="J1933" s="10">
        <v>44887</v>
      </c>
      <c r="K1933" s="7" t="s">
        <v>7163</v>
      </c>
      <c r="L1933" s="7"/>
      <c r="M1933" s="7"/>
    </row>
    <row r="1934" spans="1:13" x14ac:dyDescent="0.3">
      <c r="A1934" s="7">
        <v>14832</v>
      </c>
      <c r="B1934" s="7" t="s">
        <v>1942</v>
      </c>
      <c r="C1934" s="7" t="s">
        <v>6489</v>
      </c>
      <c r="D1934" s="7" t="s">
        <v>6610</v>
      </c>
      <c r="E1934" s="7" t="s">
        <v>6616</v>
      </c>
      <c r="F1934" s="7" t="s">
        <v>6341</v>
      </c>
      <c r="G1934" s="7" t="s">
        <v>7150</v>
      </c>
      <c r="H1934" s="7" t="s">
        <v>7156</v>
      </c>
      <c r="I1934" s="7"/>
      <c r="J1934" s="10">
        <v>44870</v>
      </c>
      <c r="K1934" s="7" t="s">
        <v>7163</v>
      </c>
      <c r="L1934" s="7"/>
      <c r="M1934" s="7"/>
    </row>
    <row r="1935" spans="1:13" x14ac:dyDescent="0.3">
      <c r="A1935" s="7">
        <v>15254</v>
      </c>
      <c r="B1935" s="7" t="s">
        <v>1943</v>
      </c>
      <c r="C1935" s="7" t="s">
        <v>6489</v>
      </c>
      <c r="D1935" s="7" t="s">
        <v>6610</v>
      </c>
      <c r="E1935" s="7" t="s">
        <v>6616</v>
      </c>
      <c r="F1935" s="7" t="s">
        <v>6341</v>
      </c>
      <c r="G1935" s="7" t="s">
        <v>7150</v>
      </c>
      <c r="H1935" s="7" t="s">
        <v>7156</v>
      </c>
      <c r="I1935" s="7"/>
      <c r="J1935" s="10">
        <v>45000</v>
      </c>
      <c r="K1935" s="7" t="s">
        <v>7163</v>
      </c>
      <c r="L1935" s="7"/>
      <c r="M1935" s="7"/>
    </row>
    <row r="1936" spans="1:13" x14ac:dyDescent="0.3">
      <c r="A1936" s="7">
        <v>14782</v>
      </c>
      <c r="B1936" s="7" t="s">
        <v>1944</v>
      </c>
      <c r="C1936" s="7" t="s">
        <v>6489</v>
      </c>
      <c r="D1936" s="7" t="s">
        <v>6610</v>
      </c>
      <c r="E1936" s="7" t="s">
        <v>6616</v>
      </c>
      <c r="F1936" s="7" t="s">
        <v>6341</v>
      </c>
      <c r="G1936" s="7" t="s">
        <v>7151</v>
      </c>
      <c r="H1936" s="7" t="s">
        <v>7156</v>
      </c>
      <c r="I1936" s="7"/>
      <c r="J1936" s="10">
        <v>44858</v>
      </c>
      <c r="K1936" s="7" t="s">
        <v>7163</v>
      </c>
      <c r="L1936" s="7"/>
      <c r="M1936" s="7"/>
    </row>
    <row r="1937" spans="1:13" x14ac:dyDescent="0.3">
      <c r="A1937" s="7">
        <v>18883</v>
      </c>
      <c r="B1937" s="7" t="s">
        <v>1945</v>
      </c>
      <c r="C1937" s="7" t="s">
        <v>6489</v>
      </c>
      <c r="D1937" s="7" t="s">
        <v>6610</v>
      </c>
      <c r="E1937" s="7" t="s">
        <v>6616</v>
      </c>
      <c r="F1937" s="7" t="s">
        <v>6406</v>
      </c>
      <c r="G1937" s="7" t="s">
        <v>7150</v>
      </c>
      <c r="H1937" s="7" t="s">
        <v>7157</v>
      </c>
      <c r="I1937" s="7"/>
      <c r="J1937" s="10">
        <v>46231</v>
      </c>
      <c r="K1937" s="7" t="s">
        <v>7163</v>
      </c>
      <c r="L1937" s="7"/>
      <c r="M1937" s="7"/>
    </row>
    <row r="1938" spans="1:13" x14ac:dyDescent="0.3">
      <c r="A1938" s="7">
        <v>14842</v>
      </c>
      <c r="B1938" s="7" t="s">
        <v>1946</v>
      </c>
      <c r="C1938" s="7" t="s">
        <v>6489</v>
      </c>
      <c r="D1938" s="7" t="s">
        <v>6610</v>
      </c>
      <c r="E1938" s="7" t="s">
        <v>6616</v>
      </c>
      <c r="F1938" s="7" t="s">
        <v>6341</v>
      </c>
      <c r="G1938" s="7" t="s">
        <v>7150</v>
      </c>
      <c r="H1938" s="7" t="s">
        <v>7156</v>
      </c>
      <c r="I1938" s="7"/>
      <c r="J1938" s="10">
        <v>44875</v>
      </c>
      <c r="K1938" s="7" t="s">
        <v>7163</v>
      </c>
      <c r="L1938" s="7"/>
      <c r="M1938" s="7"/>
    </row>
    <row r="1939" spans="1:13" x14ac:dyDescent="0.3">
      <c r="A1939" s="7">
        <v>15047</v>
      </c>
      <c r="B1939" s="7" t="s">
        <v>1947</v>
      </c>
      <c r="C1939" s="7" t="s">
        <v>6489</v>
      </c>
      <c r="D1939" s="7" t="s">
        <v>6610</v>
      </c>
      <c r="E1939" s="7" t="s">
        <v>6616</v>
      </c>
      <c r="F1939" s="7" t="s">
        <v>6341</v>
      </c>
      <c r="G1939" s="7" t="s">
        <v>7150</v>
      </c>
      <c r="H1939" s="7" t="s">
        <v>7156</v>
      </c>
      <c r="I1939" s="7"/>
      <c r="J1939" s="10">
        <v>44936</v>
      </c>
      <c r="K1939" s="7" t="s">
        <v>7163</v>
      </c>
      <c r="L1939" s="7"/>
      <c r="M1939" s="7"/>
    </row>
    <row r="1940" spans="1:13" x14ac:dyDescent="0.3">
      <c r="A1940" s="7">
        <v>15048</v>
      </c>
      <c r="B1940" s="7" t="s">
        <v>1948</v>
      </c>
      <c r="C1940" s="7" t="s">
        <v>6489</v>
      </c>
      <c r="D1940" s="7" t="s">
        <v>6610</v>
      </c>
      <c r="E1940" s="7" t="s">
        <v>6616</v>
      </c>
      <c r="F1940" s="7" t="s">
        <v>6341</v>
      </c>
      <c r="G1940" s="7" t="s">
        <v>7150</v>
      </c>
      <c r="H1940" s="7" t="s">
        <v>7156</v>
      </c>
      <c r="I1940" s="7"/>
      <c r="J1940" s="10">
        <v>44936</v>
      </c>
      <c r="K1940" s="7" t="s">
        <v>7163</v>
      </c>
      <c r="L1940" s="7"/>
      <c r="M1940" s="7"/>
    </row>
    <row r="1941" spans="1:13" x14ac:dyDescent="0.3">
      <c r="A1941" s="7">
        <v>15050</v>
      </c>
      <c r="B1941" s="7" t="s">
        <v>1949</v>
      </c>
      <c r="C1941" s="7" t="s">
        <v>6489</v>
      </c>
      <c r="D1941" s="7" t="s">
        <v>6610</v>
      </c>
      <c r="E1941" s="7" t="s">
        <v>6616</v>
      </c>
      <c r="F1941" s="7" t="s">
        <v>6341</v>
      </c>
      <c r="G1941" s="7" t="s">
        <v>7150</v>
      </c>
      <c r="H1941" s="7" t="s">
        <v>7156</v>
      </c>
      <c r="I1941" s="7"/>
      <c r="J1941" s="10">
        <v>44936</v>
      </c>
      <c r="K1941" s="7" t="s">
        <v>7163</v>
      </c>
      <c r="L1941" s="7"/>
      <c r="M1941" s="7"/>
    </row>
    <row r="1942" spans="1:13" x14ac:dyDescent="0.3">
      <c r="A1942" s="7">
        <v>15285</v>
      </c>
      <c r="B1942" s="7" t="s">
        <v>1950</v>
      </c>
      <c r="C1942" s="7" t="s">
        <v>6489</v>
      </c>
      <c r="D1942" s="7" t="s">
        <v>6610</v>
      </c>
      <c r="E1942" s="7" t="s">
        <v>6616</v>
      </c>
      <c r="F1942" s="7" t="s">
        <v>6341</v>
      </c>
      <c r="G1942" s="7" t="s">
        <v>7150</v>
      </c>
      <c r="H1942" s="7" t="s">
        <v>7156</v>
      </c>
      <c r="I1942" s="7"/>
      <c r="J1942" s="10">
        <v>45019</v>
      </c>
      <c r="K1942" s="7" t="s">
        <v>7163</v>
      </c>
      <c r="L1942" s="7"/>
      <c r="M1942" s="7"/>
    </row>
    <row r="1943" spans="1:13" x14ac:dyDescent="0.3">
      <c r="A1943" s="7">
        <v>15318</v>
      </c>
      <c r="B1943" s="7" t="s">
        <v>1951</v>
      </c>
      <c r="C1943" s="7" t="s">
        <v>6489</v>
      </c>
      <c r="D1943" s="7" t="s">
        <v>6610</v>
      </c>
      <c r="E1943" s="7" t="s">
        <v>6616</v>
      </c>
      <c r="F1943" s="7" t="s">
        <v>6341</v>
      </c>
      <c r="G1943" s="7" t="s">
        <v>7150</v>
      </c>
      <c r="H1943" s="7" t="s">
        <v>7156</v>
      </c>
      <c r="I1943" s="7"/>
      <c r="J1943" s="10">
        <v>45027</v>
      </c>
      <c r="K1943" s="7" t="s">
        <v>7163</v>
      </c>
      <c r="L1943" s="7"/>
      <c r="M1943" s="7"/>
    </row>
    <row r="1944" spans="1:13" x14ac:dyDescent="0.3">
      <c r="A1944" s="7">
        <v>15356</v>
      </c>
      <c r="B1944" s="7" t="s">
        <v>1952</v>
      </c>
      <c r="C1944" s="7" t="s">
        <v>6489</v>
      </c>
      <c r="D1944" s="7" t="s">
        <v>6610</v>
      </c>
      <c r="E1944" s="7" t="s">
        <v>6616</v>
      </c>
      <c r="F1944" s="7" t="s">
        <v>6341</v>
      </c>
      <c r="G1944" s="7" t="s">
        <v>7150</v>
      </c>
      <c r="H1944" s="7" t="s">
        <v>7156</v>
      </c>
      <c r="I1944" s="7"/>
      <c r="J1944" s="10">
        <v>45042</v>
      </c>
      <c r="K1944" s="7" t="s">
        <v>7163</v>
      </c>
      <c r="L1944" s="7"/>
      <c r="M1944" s="7"/>
    </row>
    <row r="1945" spans="1:13" x14ac:dyDescent="0.3">
      <c r="A1945" s="7">
        <v>15561</v>
      </c>
      <c r="B1945" s="7" t="s">
        <v>1953</v>
      </c>
      <c r="C1945" s="7" t="s">
        <v>6489</v>
      </c>
      <c r="D1945" s="7" t="s">
        <v>6610</v>
      </c>
      <c r="E1945" s="7" t="s">
        <v>6616</v>
      </c>
      <c r="F1945" s="7" t="s">
        <v>6341</v>
      </c>
      <c r="G1945" s="7" t="s">
        <v>7150</v>
      </c>
      <c r="H1945" s="7" t="s">
        <v>7156</v>
      </c>
      <c r="I1945" s="7"/>
      <c r="J1945" s="10">
        <v>45126</v>
      </c>
      <c r="K1945" s="7" t="s">
        <v>7163</v>
      </c>
      <c r="L1945" s="7"/>
      <c r="M1945" s="7"/>
    </row>
    <row r="1946" spans="1:13" x14ac:dyDescent="0.3">
      <c r="A1946" s="7">
        <v>15581</v>
      </c>
      <c r="B1946" s="7" t="s">
        <v>1954</v>
      </c>
      <c r="C1946" s="7" t="s">
        <v>6489</v>
      </c>
      <c r="D1946" s="7" t="s">
        <v>6610</v>
      </c>
      <c r="E1946" s="7" t="s">
        <v>6616</v>
      </c>
      <c r="F1946" s="7" t="s">
        <v>6340</v>
      </c>
      <c r="G1946" s="7" t="s">
        <v>7150</v>
      </c>
      <c r="H1946" s="7" t="s">
        <v>7156</v>
      </c>
      <c r="I1946" s="7"/>
      <c r="J1946" s="10">
        <v>45128</v>
      </c>
      <c r="K1946" s="7" t="s">
        <v>7163</v>
      </c>
      <c r="L1946" s="7"/>
      <c r="M1946" s="7"/>
    </row>
    <row r="1947" spans="1:13" x14ac:dyDescent="0.3">
      <c r="A1947" s="7">
        <v>15611</v>
      </c>
      <c r="B1947" s="7" t="s">
        <v>1955</v>
      </c>
      <c r="C1947" s="7" t="s">
        <v>6489</v>
      </c>
      <c r="D1947" s="7" t="s">
        <v>6610</v>
      </c>
      <c r="E1947" s="7" t="s">
        <v>6616</v>
      </c>
      <c r="F1947" s="7" t="s">
        <v>6341</v>
      </c>
      <c r="G1947" s="7" t="s">
        <v>7150</v>
      </c>
      <c r="H1947" s="7" t="s">
        <v>7156</v>
      </c>
      <c r="I1947" s="7"/>
      <c r="J1947" s="10">
        <v>45140</v>
      </c>
      <c r="K1947" s="7" t="s">
        <v>7163</v>
      </c>
      <c r="L1947" s="7"/>
      <c r="M1947" s="7"/>
    </row>
    <row r="1948" spans="1:13" x14ac:dyDescent="0.3">
      <c r="A1948" s="7">
        <v>12756</v>
      </c>
      <c r="B1948" s="7" t="s">
        <v>1956</v>
      </c>
      <c r="C1948" s="7" t="s">
        <v>6489</v>
      </c>
      <c r="D1948" s="7" t="s">
        <v>6610</v>
      </c>
      <c r="E1948" s="7" t="s">
        <v>6616</v>
      </c>
      <c r="F1948" s="7" t="s">
        <v>6341</v>
      </c>
      <c r="G1948" s="7" t="s">
        <v>7150</v>
      </c>
      <c r="H1948" s="7" t="s">
        <v>7156</v>
      </c>
      <c r="I1948" s="7"/>
      <c r="J1948" s="10">
        <v>43896</v>
      </c>
      <c r="K1948" s="7" t="s">
        <v>7163</v>
      </c>
      <c r="L1948" s="7"/>
      <c r="M1948" s="7"/>
    </row>
    <row r="1949" spans="1:13" x14ac:dyDescent="0.3">
      <c r="A1949" s="7">
        <v>15613</v>
      </c>
      <c r="B1949" s="7" t="s">
        <v>1957</v>
      </c>
      <c r="C1949" s="7" t="s">
        <v>6489</v>
      </c>
      <c r="D1949" s="7" t="s">
        <v>6610</v>
      </c>
      <c r="E1949" s="7" t="s">
        <v>6616</v>
      </c>
      <c r="F1949" s="7" t="s">
        <v>6341</v>
      </c>
      <c r="G1949" s="7" t="s">
        <v>7150</v>
      </c>
      <c r="H1949" s="7" t="s">
        <v>7156</v>
      </c>
      <c r="I1949" s="7"/>
      <c r="J1949" s="10">
        <v>45140</v>
      </c>
      <c r="K1949" s="7" t="s">
        <v>7163</v>
      </c>
      <c r="L1949" s="7"/>
      <c r="M1949" s="7"/>
    </row>
    <row r="1950" spans="1:13" x14ac:dyDescent="0.3">
      <c r="A1950" s="7">
        <v>15487</v>
      </c>
      <c r="B1950" s="7" t="s">
        <v>1958</v>
      </c>
      <c r="C1950" s="7" t="s">
        <v>6489</v>
      </c>
      <c r="D1950" s="7" t="s">
        <v>6610</v>
      </c>
      <c r="E1950" s="7" t="s">
        <v>6616</v>
      </c>
      <c r="F1950" s="7" t="s">
        <v>6341</v>
      </c>
      <c r="G1950" s="7" t="s">
        <v>7150</v>
      </c>
      <c r="H1950" s="7" t="s">
        <v>7156</v>
      </c>
      <c r="I1950" s="7"/>
      <c r="J1950" s="10">
        <v>45086</v>
      </c>
      <c r="K1950" s="7" t="s">
        <v>7163</v>
      </c>
      <c r="L1950" s="7"/>
      <c r="M1950" s="7"/>
    </row>
    <row r="1951" spans="1:13" x14ac:dyDescent="0.3">
      <c r="A1951" s="7">
        <v>15880</v>
      </c>
      <c r="B1951" s="7" t="s">
        <v>1959</v>
      </c>
      <c r="C1951" s="7" t="s">
        <v>6489</v>
      </c>
      <c r="D1951" s="7" t="s">
        <v>6610</v>
      </c>
      <c r="E1951" s="7" t="s">
        <v>6616</v>
      </c>
      <c r="F1951" s="7" t="s">
        <v>6341</v>
      </c>
      <c r="G1951" s="7" t="s">
        <v>7150</v>
      </c>
      <c r="H1951" s="7" t="s">
        <v>7156</v>
      </c>
      <c r="I1951" s="7"/>
      <c r="J1951" s="10">
        <v>45226</v>
      </c>
      <c r="K1951" s="7" t="s">
        <v>7163</v>
      </c>
      <c r="L1951" s="7"/>
      <c r="M1951" s="7"/>
    </row>
    <row r="1952" spans="1:13" x14ac:dyDescent="0.3">
      <c r="A1952" s="7">
        <v>15959</v>
      </c>
      <c r="B1952" s="7" t="s">
        <v>1960</v>
      </c>
      <c r="C1952" s="7" t="s">
        <v>6489</v>
      </c>
      <c r="D1952" s="7" t="s">
        <v>6610</v>
      </c>
      <c r="E1952" s="7" t="s">
        <v>6616</v>
      </c>
      <c r="F1952" s="7" t="s">
        <v>6341</v>
      </c>
      <c r="G1952" s="7" t="s">
        <v>7150</v>
      </c>
      <c r="H1952" s="7" t="s">
        <v>7156</v>
      </c>
      <c r="I1952" s="7"/>
      <c r="J1952" s="10">
        <v>45250</v>
      </c>
      <c r="K1952" s="7" t="s">
        <v>7163</v>
      </c>
      <c r="L1952" s="7"/>
      <c r="M1952" s="7"/>
    </row>
    <row r="1953" spans="1:13" x14ac:dyDescent="0.3">
      <c r="A1953" s="7">
        <v>15908</v>
      </c>
      <c r="B1953" s="7" t="s">
        <v>1961</v>
      </c>
      <c r="C1953" s="7" t="s">
        <v>6489</v>
      </c>
      <c r="D1953" s="7" t="s">
        <v>6610</v>
      </c>
      <c r="E1953" s="7" t="s">
        <v>6616</v>
      </c>
      <c r="F1953" s="7" t="s">
        <v>6341</v>
      </c>
      <c r="G1953" s="7" t="s">
        <v>7150</v>
      </c>
      <c r="H1953" s="7" t="s">
        <v>7156</v>
      </c>
      <c r="I1953" s="7"/>
      <c r="J1953" s="10">
        <v>45236</v>
      </c>
      <c r="K1953" s="7" t="s">
        <v>7163</v>
      </c>
      <c r="L1953" s="7"/>
      <c r="M1953" s="7"/>
    </row>
    <row r="1954" spans="1:13" x14ac:dyDescent="0.3">
      <c r="A1954" s="7">
        <v>15770</v>
      </c>
      <c r="B1954" s="7" t="s">
        <v>1962</v>
      </c>
      <c r="C1954" s="7" t="s">
        <v>6489</v>
      </c>
      <c r="D1954" s="7" t="s">
        <v>6610</v>
      </c>
      <c r="E1954" s="7" t="s">
        <v>6616</v>
      </c>
      <c r="F1954" s="7" t="s">
        <v>6341</v>
      </c>
      <c r="G1954" s="7" t="s">
        <v>7150</v>
      </c>
      <c r="H1954" s="7" t="s">
        <v>7156</v>
      </c>
      <c r="I1954" s="7"/>
      <c r="J1954" s="10">
        <v>45191</v>
      </c>
      <c r="K1954" s="7" t="s">
        <v>7163</v>
      </c>
      <c r="L1954" s="7"/>
      <c r="M1954" s="7"/>
    </row>
    <row r="1955" spans="1:13" x14ac:dyDescent="0.3">
      <c r="A1955" s="7">
        <v>14590</v>
      </c>
      <c r="B1955" s="7" t="s">
        <v>1963</v>
      </c>
      <c r="C1955" s="7" t="s">
        <v>6489</v>
      </c>
      <c r="D1955" s="7" t="s">
        <v>6610</v>
      </c>
      <c r="E1955" s="7" t="s">
        <v>6616</v>
      </c>
      <c r="F1955" s="7" t="s">
        <v>6340</v>
      </c>
      <c r="G1955" s="7" t="s">
        <v>7150</v>
      </c>
      <c r="H1955" s="7" t="s">
        <v>7156</v>
      </c>
      <c r="I1955" s="7"/>
      <c r="J1955" s="10">
        <v>44795</v>
      </c>
      <c r="K1955" s="7" t="s">
        <v>7163</v>
      </c>
      <c r="L1955" s="7"/>
      <c r="M1955" s="7"/>
    </row>
    <row r="1956" spans="1:13" x14ac:dyDescent="0.3">
      <c r="A1956" s="7">
        <v>15725</v>
      </c>
      <c r="B1956" s="7" t="s">
        <v>1964</v>
      </c>
      <c r="C1956" s="7" t="s">
        <v>6489</v>
      </c>
      <c r="D1956" s="7" t="s">
        <v>6610</v>
      </c>
      <c r="E1956" s="7" t="s">
        <v>6616</v>
      </c>
      <c r="F1956" s="7" t="s">
        <v>6341</v>
      </c>
      <c r="G1956" s="7" t="s">
        <v>7150</v>
      </c>
      <c r="H1956" s="7" t="s">
        <v>7156</v>
      </c>
      <c r="I1956" s="7"/>
      <c r="J1956" s="10">
        <v>45177</v>
      </c>
      <c r="K1956" s="7" t="s">
        <v>7163</v>
      </c>
      <c r="L1956" s="7"/>
      <c r="M1956" s="7"/>
    </row>
    <row r="1957" spans="1:13" x14ac:dyDescent="0.3">
      <c r="A1957" s="7">
        <v>14301</v>
      </c>
      <c r="B1957" s="7" t="s">
        <v>1965</v>
      </c>
      <c r="C1957" s="7" t="s">
        <v>6489</v>
      </c>
      <c r="D1957" s="7" t="s">
        <v>6610</v>
      </c>
      <c r="E1957" s="7" t="s">
        <v>6616</v>
      </c>
      <c r="F1957" s="7" t="s">
        <v>6341</v>
      </c>
      <c r="G1957" s="7" t="s">
        <v>7150</v>
      </c>
      <c r="H1957" s="7" t="s">
        <v>7156</v>
      </c>
      <c r="I1957" s="7"/>
      <c r="J1957" s="10">
        <v>44720</v>
      </c>
      <c r="K1957" s="7" t="s">
        <v>7163</v>
      </c>
      <c r="L1957" s="7"/>
      <c r="M1957" s="7"/>
    </row>
    <row r="1958" spans="1:13" x14ac:dyDescent="0.3">
      <c r="A1958" s="7">
        <v>14418</v>
      </c>
      <c r="B1958" s="7" t="s">
        <v>1966</v>
      </c>
      <c r="C1958" s="7" t="s">
        <v>6489</v>
      </c>
      <c r="D1958" s="7" t="s">
        <v>6610</v>
      </c>
      <c r="E1958" s="7" t="s">
        <v>6616</v>
      </c>
      <c r="F1958" s="7" t="s">
        <v>6341</v>
      </c>
      <c r="G1958" s="7" t="s">
        <v>7150</v>
      </c>
      <c r="H1958" s="7" t="s">
        <v>7156</v>
      </c>
      <c r="I1958" s="7"/>
      <c r="J1958" s="10">
        <v>44755</v>
      </c>
      <c r="K1958" s="7" t="s">
        <v>7163</v>
      </c>
      <c r="L1958" s="7"/>
      <c r="M1958" s="7"/>
    </row>
    <row r="1959" spans="1:13" x14ac:dyDescent="0.3">
      <c r="A1959" s="7">
        <v>16412</v>
      </c>
      <c r="B1959" s="7" t="s">
        <v>1967</v>
      </c>
      <c r="C1959" s="7" t="s">
        <v>6489</v>
      </c>
      <c r="D1959" s="7" t="s">
        <v>6610</v>
      </c>
      <c r="E1959" s="7" t="s">
        <v>6616</v>
      </c>
      <c r="F1959" s="7" t="s">
        <v>6341</v>
      </c>
      <c r="G1959" s="7" t="s">
        <v>7150</v>
      </c>
      <c r="H1959" s="7" t="s">
        <v>7156</v>
      </c>
      <c r="I1959" s="7"/>
      <c r="J1959" s="10">
        <v>45384</v>
      </c>
      <c r="K1959" s="7" t="s">
        <v>7163</v>
      </c>
      <c r="L1959" s="7"/>
      <c r="M1959" s="7"/>
    </row>
    <row r="1960" spans="1:13" x14ac:dyDescent="0.3">
      <c r="A1960" s="7">
        <v>16436</v>
      </c>
      <c r="B1960" s="7" t="s">
        <v>1968</v>
      </c>
      <c r="C1960" s="7" t="s">
        <v>6489</v>
      </c>
      <c r="D1960" s="7" t="s">
        <v>6610</v>
      </c>
      <c r="E1960" s="7" t="s">
        <v>6616</v>
      </c>
      <c r="F1960" s="7" t="s">
        <v>6341</v>
      </c>
      <c r="G1960" s="7" t="s">
        <v>7152</v>
      </c>
      <c r="H1960" s="7" t="s">
        <v>7156</v>
      </c>
      <c r="I1960" s="7"/>
      <c r="J1960" s="10">
        <v>45399</v>
      </c>
      <c r="K1960" s="7" t="s">
        <v>7163</v>
      </c>
      <c r="L1960" s="7"/>
      <c r="M1960" s="7"/>
    </row>
    <row r="1961" spans="1:13" x14ac:dyDescent="0.3">
      <c r="A1961" s="7">
        <v>19164</v>
      </c>
      <c r="B1961" s="7" t="s">
        <v>1969</v>
      </c>
      <c r="C1961" s="7" t="s">
        <v>6489</v>
      </c>
      <c r="D1961" s="7" t="s">
        <v>6610</v>
      </c>
      <c r="E1961" s="7" t="s">
        <v>6616</v>
      </c>
      <c r="F1961" s="7" t="s">
        <v>6389</v>
      </c>
      <c r="G1961" s="7" t="s">
        <v>7150</v>
      </c>
      <c r="H1961" s="7" t="s">
        <v>7157</v>
      </c>
      <c r="I1961" s="7"/>
      <c r="J1961" s="10">
        <v>46275</v>
      </c>
      <c r="K1961" s="7" t="s">
        <v>7163</v>
      </c>
      <c r="L1961" s="7"/>
      <c r="M1961" s="7"/>
    </row>
    <row r="1962" spans="1:13" x14ac:dyDescent="0.3">
      <c r="A1962" s="7">
        <v>16331</v>
      </c>
      <c r="B1962" s="7" t="s">
        <v>1970</v>
      </c>
      <c r="C1962" s="7" t="s">
        <v>6489</v>
      </c>
      <c r="D1962" s="7" t="s">
        <v>6610</v>
      </c>
      <c r="E1962" s="7" t="s">
        <v>6616</v>
      </c>
      <c r="F1962" s="7" t="s">
        <v>6341</v>
      </c>
      <c r="G1962" s="7" t="s">
        <v>7150</v>
      </c>
      <c r="H1962" s="7" t="s">
        <v>7156</v>
      </c>
      <c r="I1962" s="7"/>
      <c r="J1962" s="10">
        <v>45355</v>
      </c>
      <c r="K1962" s="7" t="s">
        <v>7163</v>
      </c>
      <c r="L1962" s="7"/>
      <c r="M1962" s="7"/>
    </row>
    <row r="1963" spans="1:13" x14ac:dyDescent="0.3">
      <c r="A1963" s="7">
        <v>16334</v>
      </c>
      <c r="B1963" s="7" t="s">
        <v>1971</v>
      </c>
      <c r="C1963" s="7" t="s">
        <v>6489</v>
      </c>
      <c r="D1963" s="7" t="s">
        <v>6610</v>
      </c>
      <c r="E1963" s="7" t="s">
        <v>6616</v>
      </c>
      <c r="F1963" s="7" t="s">
        <v>6341</v>
      </c>
      <c r="G1963" s="7" t="s">
        <v>7150</v>
      </c>
      <c r="H1963" s="7" t="s">
        <v>7156</v>
      </c>
      <c r="I1963" s="7"/>
      <c r="J1963" s="10">
        <v>45356</v>
      </c>
      <c r="K1963" s="7" t="s">
        <v>7163</v>
      </c>
      <c r="L1963" s="7"/>
      <c r="M1963" s="7"/>
    </row>
    <row r="1964" spans="1:13" x14ac:dyDescent="0.3">
      <c r="A1964" s="7">
        <v>15543</v>
      </c>
      <c r="B1964" s="7" t="s">
        <v>1972</v>
      </c>
      <c r="C1964" s="7" t="s">
        <v>6489</v>
      </c>
      <c r="D1964" s="7" t="s">
        <v>6610</v>
      </c>
      <c r="E1964" s="7" t="s">
        <v>6616</v>
      </c>
      <c r="F1964" s="7" t="s">
        <v>6341</v>
      </c>
      <c r="G1964" s="7" t="s">
        <v>7150</v>
      </c>
      <c r="H1964" s="7" t="s">
        <v>7156</v>
      </c>
      <c r="I1964" s="7"/>
      <c r="J1964" s="10">
        <v>45120</v>
      </c>
      <c r="K1964" s="7" t="s">
        <v>7163</v>
      </c>
      <c r="L1964" s="7"/>
      <c r="M1964" s="7"/>
    </row>
    <row r="1965" spans="1:13" x14ac:dyDescent="0.3">
      <c r="A1965" s="7">
        <v>15881</v>
      </c>
      <c r="B1965" s="7" t="s">
        <v>1973</v>
      </c>
      <c r="C1965" s="7" t="s">
        <v>6489</v>
      </c>
      <c r="D1965" s="7" t="s">
        <v>6610</v>
      </c>
      <c r="E1965" s="7" t="s">
        <v>6616</v>
      </c>
      <c r="F1965" s="7" t="s">
        <v>6341</v>
      </c>
      <c r="G1965" s="7" t="s">
        <v>7150</v>
      </c>
      <c r="H1965" s="7" t="s">
        <v>7156</v>
      </c>
      <c r="I1965" s="7"/>
      <c r="J1965" s="10">
        <v>45226</v>
      </c>
      <c r="K1965" s="7" t="s">
        <v>7163</v>
      </c>
      <c r="L1965" s="7"/>
      <c r="M1965" s="7"/>
    </row>
    <row r="1966" spans="1:13" x14ac:dyDescent="0.3">
      <c r="A1966" s="7">
        <v>15882</v>
      </c>
      <c r="B1966" s="7" t="s">
        <v>1974</v>
      </c>
      <c r="C1966" s="7" t="s">
        <v>6489</v>
      </c>
      <c r="D1966" s="7" t="s">
        <v>6610</v>
      </c>
      <c r="E1966" s="7" t="s">
        <v>6616</v>
      </c>
      <c r="F1966" s="7" t="s">
        <v>6341</v>
      </c>
      <c r="G1966" s="7" t="s">
        <v>7150</v>
      </c>
      <c r="H1966" s="7" t="s">
        <v>7156</v>
      </c>
      <c r="I1966" s="7"/>
      <c r="J1966" s="10">
        <v>45226</v>
      </c>
      <c r="K1966" s="7" t="s">
        <v>7163</v>
      </c>
      <c r="L1966" s="7"/>
      <c r="M1966" s="7"/>
    </row>
    <row r="1967" spans="1:13" x14ac:dyDescent="0.3">
      <c r="A1967" s="7">
        <v>15922</v>
      </c>
      <c r="B1967" s="7" t="s">
        <v>1975</v>
      </c>
      <c r="C1967" s="7" t="s">
        <v>6489</v>
      </c>
      <c r="D1967" s="7" t="s">
        <v>6610</v>
      </c>
      <c r="E1967" s="7" t="s">
        <v>6616</v>
      </c>
      <c r="F1967" s="7" t="s">
        <v>6341</v>
      </c>
      <c r="G1967" s="7" t="s">
        <v>7150</v>
      </c>
      <c r="H1967" s="7" t="s">
        <v>7156</v>
      </c>
      <c r="I1967" s="7"/>
      <c r="J1967" s="10">
        <v>45237</v>
      </c>
      <c r="K1967" s="7" t="s">
        <v>7163</v>
      </c>
      <c r="L1967" s="7"/>
      <c r="M1967" s="7"/>
    </row>
    <row r="1968" spans="1:13" x14ac:dyDescent="0.3">
      <c r="A1968" s="7">
        <v>13827</v>
      </c>
      <c r="B1968" s="7" t="s">
        <v>1976</v>
      </c>
      <c r="C1968" s="7" t="s">
        <v>6489</v>
      </c>
      <c r="D1968" s="7" t="s">
        <v>6610</v>
      </c>
      <c r="E1968" s="7" t="s">
        <v>6616</v>
      </c>
      <c r="F1968" s="7" t="s">
        <v>6341</v>
      </c>
      <c r="G1968" s="7" t="s">
        <v>7150</v>
      </c>
      <c r="H1968" s="7" t="s">
        <v>7156</v>
      </c>
      <c r="I1968" s="7"/>
      <c r="J1968" s="10">
        <v>44596</v>
      </c>
      <c r="K1968" s="7" t="s">
        <v>7163</v>
      </c>
      <c r="L1968" s="7"/>
      <c r="M1968" s="7"/>
    </row>
    <row r="1969" spans="1:13" x14ac:dyDescent="0.3">
      <c r="A1969" s="7">
        <v>16147</v>
      </c>
      <c r="B1969" s="7" t="s">
        <v>1977</v>
      </c>
      <c r="C1969" s="7" t="s">
        <v>6489</v>
      </c>
      <c r="D1969" s="7" t="s">
        <v>6610</v>
      </c>
      <c r="E1969" s="7" t="s">
        <v>6616</v>
      </c>
      <c r="F1969" s="7" t="s">
        <v>6341</v>
      </c>
      <c r="G1969" s="7" t="s">
        <v>7150</v>
      </c>
      <c r="H1969" s="7" t="s">
        <v>7156</v>
      </c>
      <c r="I1969" s="7"/>
      <c r="J1969" s="10">
        <v>45302</v>
      </c>
      <c r="K1969" s="7" t="s">
        <v>7163</v>
      </c>
      <c r="L1969" s="7"/>
      <c r="M1969" s="7"/>
    </row>
    <row r="1970" spans="1:13" x14ac:dyDescent="0.3">
      <c r="A1970" s="7">
        <v>16261</v>
      </c>
      <c r="B1970" s="7" t="s">
        <v>1978</v>
      </c>
      <c r="C1970" s="7" t="s">
        <v>6489</v>
      </c>
      <c r="D1970" s="7" t="s">
        <v>6610</v>
      </c>
      <c r="E1970" s="7" t="s">
        <v>6616</v>
      </c>
      <c r="F1970" s="7" t="s">
        <v>6341</v>
      </c>
      <c r="G1970" s="7" t="s">
        <v>7150</v>
      </c>
      <c r="H1970" s="7" t="s">
        <v>7156</v>
      </c>
      <c r="I1970" s="7"/>
      <c r="J1970" s="10">
        <v>45334</v>
      </c>
      <c r="K1970" s="7" t="s">
        <v>7163</v>
      </c>
      <c r="L1970" s="7"/>
      <c r="M1970" s="7"/>
    </row>
    <row r="1971" spans="1:13" x14ac:dyDescent="0.3">
      <c r="A1971" s="7">
        <v>16263</v>
      </c>
      <c r="B1971" s="7" t="s">
        <v>1979</v>
      </c>
      <c r="C1971" s="7" t="s">
        <v>6489</v>
      </c>
      <c r="D1971" s="7" t="s">
        <v>6610</v>
      </c>
      <c r="E1971" s="7" t="s">
        <v>6616</v>
      </c>
      <c r="F1971" s="7" t="s">
        <v>6341</v>
      </c>
      <c r="G1971" s="7" t="s">
        <v>7150</v>
      </c>
      <c r="H1971" s="7" t="s">
        <v>7156</v>
      </c>
      <c r="I1971" s="7"/>
      <c r="J1971" s="10">
        <v>45334</v>
      </c>
      <c r="K1971" s="7" t="s">
        <v>7163</v>
      </c>
      <c r="L1971" s="7"/>
      <c r="M1971" s="7"/>
    </row>
    <row r="1972" spans="1:13" x14ac:dyDescent="0.3">
      <c r="A1972" s="7">
        <v>16264</v>
      </c>
      <c r="B1972" s="7" t="s">
        <v>1980</v>
      </c>
      <c r="C1972" s="7" t="s">
        <v>6489</v>
      </c>
      <c r="D1972" s="7" t="s">
        <v>6610</v>
      </c>
      <c r="E1972" s="7" t="s">
        <v>6616</v>
      </c>
      <c r="F1972" s="7" t="s">
        <v>6341</v>
      </c>
      <c r="G1972" s="7" t="s">
        <v>7150</v>
      </c>
      <c r="H1972" s="7" t="s">
        <v>7156</v>
      </c>
      <c r="I1972" s="7"/>
      <c r="J1972" s="10">
        <v>45334</v>
      </c>
      <c r="K1972" s="7" t="s">
        <v>7163</v>
      </c>
      <c r="L1972" s="7"/>
      <c r="M1972" s="7"/>
    </row>
    <row r="1973" spans="1:13" x14ac:dyDescent="0.3">
      <c r="A1973" s="7">
        <v>16399</v>
      </c>
      <c r="B1973" s="7" t="s">
        <v>1981</v>
      </c>
      <c r="C1973" s="7" t="s">
        <v>6489</v>
      </c>
      <c r="D1973" s="7" t="s">
        <v>6610</v>
      </c>
      <c r="E1973" s="7" t="s">
        <v>6616</v>
      </c>
      <c r="F1973" s="7" t="s">
        <v>6341</v>
      </c>
      <c r="G1973" s="7" t="s">
        <v>7150</v>
      </c>
      <c r="H1973" s="7" t="s">
        <v>7156</v>
      </c>
      <c r="I1973" s="7"/>
      <c r="J1973" s="10">
        <v>45370</v>
      </c>
      <c r="K1973" s="7" t="s">
        <v>7163</v>
      </c>
      <c r="L1973" s="7"/>
      <c r="M1973" s="7"/>
    </row>
    <row r="1974" spans="1:13" x14ac:dyDescent="0.3">
      <c r="A1974" s="7">
        <v>17054</v>
      </c>
      <c r="B1974" s="7" t="s">
        <v>1982</v>
      </c>
      <c r="C1974" s="7" t="s">
        <v>6489</v>
      </c>
      <c r="D1974" s="7" t="s">
        <v>6610</v>
      </c>
      <c r="E1974" s="7" t="s">
        <v>6616</v>
      </c>
      <c r="F1974" s="7" t="s">
        <v>6341</v>
      </c>
      <c r="G1974" s="7" t="s">
        <v>7150</v>
      </c>
      <c r="H1974" s="7" t="s">
        <v>7156</v>
      </c>
      <c r="I1974" s="7"/>
      <c r="J1974" s="10">
        <v>45603</v>
      </c>
      <c r="K1974" s="7" t="s">
        <v>7163</v>
      </c>
      <c r="L1974" s="7"/>
      <c r="M1974" s="7"/>
    </row>
    <row r="1975" spans="1:13" x14ac:dyDescent="0.3">
      <c r="A1975" s="7">
        <v>16506</v>
      </c>
      <c r="B1975" s="7" t="s">
        <v>1983</v>
      </c>
      <c r="C1975" s="7" t="s">
        <v>6489</v>
      </c>
      <c r="D1975" s="7" t="s">
        <v>6610</v>
      </c>
      <c r="E1975" s="7" t="s">
        <v>6616</v>
      </c>
      <c r="F1975" s="7" t="s">
        <v>6341</v>
      </c>
      <c r="G1975" s="7" t="s">
        <v>7150</v>
      </c>
      <c r="H1975" s="7" t="s">
        <v>7156</v>
      </c>
      <c r="I1975" s="7"/>
      <c r="J1975" s="10">
        <v>45446</v>
      </c>
      <c r="K1975" s="7" t="s">
        <v>7163</v>
      </c>
      <c r="L1975" s="7"/>
      <c r="M1975" s="7"/>
    </row>
    <row r="1976" spans="1:13" x14ac:dyDescent="0.3">
      <c r="A1976" s="7">
        <v>16502</v>
      </c>
      <c r="B1976" s="7" t="s">
        <v>1984</v>
      </c>
      <c r="C1976" s="7" t="s">
        <v>6489</v>
      </c>
      <c r="D1976" s="7" t="s">
        <v>6610</v>
      </c>
      <c r="E1976" s="7" t="s">
        <v>6616</v>
      </c>
      <c r="F1976" s="7" t="s">
        <v>6341</v>
      </c>
      <c r="G1976" s="7" t="s">
        <v>7150</v>
      </c>
      <c r="H1976" s="7" t="s">
        <v>7156</v>
      </c>
      <c r="I1976" s="7"/>
      <c r="J1976" s="10">
        <v>45446</v>
      </c>
      <c r="K1976" s="7" t="s">
        <v>7163</v>
      </c>
      <c r="L1976" s="7"/>
      <c r="M1976" s="7"/>
    </row>
    <row r="1977" spans="1:13" x14ac:dyDescent="0.3">
      <c r="A1977" s="7">
        <v>16517</v>
      </c>
      <c r="B1977" s="7" t="s">
        <v>1985</v>
      </c>
      <c r="C1977" s="7" t="s">
        <v>6489</v>
      </c>
      <c r="D1977" s="7" t="s">
        <v>6610</v>
      </c>
      <c r="E1977" s="7" t="s">
        <v>6616</v>
      </c>
      <c r="F1977" s="7" t="s">
        <v>6341</v>
      </c>
      <c r="G1977" s="7" t="s">
        <v>7150</v>
      </c>
      <c r="H1977" s="7" t="s">
        <v>7156</v>
      </c>
      <c r="I1977" s="7"/>
      <c r="J1977" s="10">
        <v>45454</v>
      </c>
      <c r="K1977" s="7" t="s">
        <v>7163</v>
      </c>
      <c r="L1977" s="7"/>
      <c r="M1977" s="7"/>
    </row>
    <row r="1978" spans="1:13" x14ac:dyDescent="0.3">
      <c r="A1978" s="7">
        <v>16458</v>
      </c>
      <c r="B1978" s="7" t="s">
        <v>1986</v>
      </c>
      <c r="C1978" s="7" t="s">
        <v>6489</v>
      </c>
      <c r="D1978" s="7" t="s">
        <v>6610</v>
      </c>
      <c r="E1978" s="7" t="s">
        <v>6616</v>
      </c>
      <c r="F1978" s="7" t="s">
        <v>6341</v>
      </c>
      <c r="G1978" s="7" t="s">
        <v>7150</v>
      </c>
      <c r="H1978" s="7" t="s">
        <v>7156</v>
      </c>
      <c r="I1978" s="7"/>
      <c r="J1978" s="10">
        <v>45413</v>
      </c>
      <c r="K1978" s="7" t="s">
        <v>7163</v>
      </c>
      <c r="L1978" s="7"/>
      <c r="M1978" s="7"/>
    </row>
    <row r="1979" spans="1:13" x14ac:dyDescent="0.3">
      <c r="A1979" s="7">
        <v>16485</v>
      </c>
      <c r="B1979" s="7" t="s">
        <v>1987</v>
      </c>
      <c r="C1979" s="7" t="s">
        <v>6489</v>
      </c>
      <c r="D1979" s="7" t="s">
        <v>6610</v>
      </c>
      <c r="E1979" s="7" t="s">
        <v>6616</v>
      </c>
      <c r="F1979" s="7" t="s">
        <v>6341</v>
      </c>
      <c r="G1979" s="7" t="s">
        <v>7150</v>
      </c>
      <c r="H1979" s="7" t="s">
        <v>7156</v>
      </c>
      <c r="I1979" s="7"/>
      <c r="J1979" s="10">
        <v>45433</v>
      </c>
      <c r="K1979" s="7" t="s">
        <v>7163</v>
      </c>
      <c r="L1979" s="7"/>
      <c r="M1979" s="7"/>
    </row>
    <row r="1980" spans="1:13" x14ac:dyDescent="0.3">
      <c r="A1980" s="7">
        <v>16577</v>
      </c>
      <c r="B1980" s="7" t="s">
        <v>1988</v>
      </c>
      <c r="C1980" s="7" t="s">
        <v>6489</v>
      </c>
      <c r="D1980" s="7" t="s">
        <v>6610</v>
      </c>
      <c r="E1980" s="7" t="s">
        <v>6616</v>
      </c>
      <c r="F1980" s="7" t="s">
        <v>6341</v>
      </c>
      <c r="G1980" s="7" t="s">
        <v>7150</v>
      </c>
      <c r="H1980" s="7" t="s">
        <v>7156</v>
      </c>
      <c r="I1980" s="7"/>
      <c r="J1980" s="10">
        <v>45475</v>
      </c>
      <c r="K1980" s="7" t="s">
        <v>7163</v>
      </c>
      <c r="L1980" s="7"/>
      <c r="M1980" s="7"/>
    </row>
    <row r="1981" spans="1:13" x14ac:dyDescent="0.3">
      <c r="A1981" s="7">
        <v>16583</v>
      </c>
      <c r="B1981" s="7" t="s">
        <v>1989</v>
      </c>
      <c r="C1981" s="7" t="s">
        <v>6489</v>
      </c>
      <c r="D1981" s="7" t="s">
        <v>6610</v>
      </c>
      <c r="E1981" s="7" t="s">
        <v>6616</v>
      </c>
      <c r="F1981" s="7" t="s">
        <v>6341</v>
      </c>
      <c r="G1981" s="7" t="s">
        <v>7150</v>
      </c>
      <c r="H1981" s="7" t="s">
        <v>7156</v>
      </c>
      <c r="I1981" s="7"/>
      <c r="J1981" s="10">
        <v>45476</v>
      </c>
      <c r="K1981" s="7" t="s">
        <v>7163</v>
      </c>
      <c r="L1981" s="7"/>
      <c r="M1981" s="7"/>
    </row>
    <row r="1982" spans="1:13" x14ac:dyDescent="0.3">
      <c r="A1982" s="7">
        <v>16683</v>
      </c>
      <c r="B1982" s="7" t="s">
        <v>1990</v>
      </c>
      <c r="C1982" s="7" t="s">
        <v>6489</v>
      </c>
      <c r="D1982" s="7" t="s">
        <v>6610</v>
      </c>
      <c r="E1982" s="7" t="s">
        <v>6616</v>
      </c>
      <c r="F1982" s="7" t="s">
        <v>6341</v>
      </c>
      <c r="G1982" s="7" t="s">
        <v>7150</v>
      </c>
      <c r="H1982" s="7" t="s">
        <v>7156</v>
      </c>
      <c r="I1982" s="7"/>
      <c r="J1982" s="10">
        <v>45519</v>
      </c>
      <c r="K1982" s="7" t="s">
        <v>7163</v>
      </c>
      <c r="L1982" s="7"/>
      <c r="M1982" s="7"/>
    </row>
    <row r="1983" spans="1:13" x14ac:dyDescent="0.3">
      <c r="A1983" s="7">
        <v>16708</v>
      </c>
      <c r="B1983" s="7" t="s">
        <v>1991</v>
      </c>
      <c r="C1983" s="7" t="s">
        <v>6489</v>
      </c>
      <c r="D1983" s="7" t="s">
        <v>6610</v>
      </c>
      <c r="E1983" s="7" t="s">
        <v>6616</v>
      </c>
      <c r="F1983" s="7" t="s">
        <v>6341</v>
      </c>
      <c r="G1983" s="7" t="s">
        <v>7150</v>
      </c>
      <c r="H1983" s="7" t="s">
        <v>7156</v>
      </c>
      <c r="I1983" s="7"/>
      <c r="J1983" s="10">
        <v>45531</v>
      </c>
      <c r="K1983" s="7" t="s">
        <v>7163</v>
      </c>
      <c r="L1983" s="7"/>
      <c r="M1983" s="7"/>
    </row>
    <row r="1984" spans="1:13" x14ac:dyDescent="0.3">
      <c r="A1984" s="7">
        <v>17278</v>
      </c>
      <c r="B1984" s="7" t="s">
        <v>1992</v>
      </c>
      <c r="C1984" s="7" t="s">
        <v>6489</v>
      </c>
      <c r="D1984" s="7" t="s">
        <v>6610</v>
      </c>
      <c r="E1984" s="7" t="s">
        <v>6616</v>
      </c>
      <c r="F1984" s="7" t="s">
        <v>6341</v>
      </c>
      <c r="G1984" s="7" t="s">
        <v>7150</v>
      </c>
      <c r="H1984" s="7" t="s">
        <v>7156</v>
      </c>
      <c r="I1984" s="7"/>
      <c r="J1984" s="10">
        <v>45692</v>
      </c>
      <c r="K1984" s="7" t="s">
        <v>7163</v>
      </c>
      <c r="L1984" s="7"/>
      <c r="M1984" s="7"/>
    </row>
    <row r="1985" spans="1:13" x14ac:dyDescent="0.3">
      <c r="A1985" s="7">
        <v>17279</v>
      </c>
      <c r="B1985" s="7" t="s">
        <v>1993</v>
      </c>
      <c r="C1985" s="7" t="s">
        <v>6489</v>
      </c>
      <c r="D1985" s="7" t="s">
        <v>6610</v>
      </c>
      <c r="E1985" s="7" t="s">
        <v>6616</v>
      </c>
      <c r="F1985" s="7" t="s">
        <v>6341</v>
      </c>
      <c r="G1985" s="7" t="s">
        <v>7150</v>
      </c>
      <c r="H1985" s="7" t="s">
        <v>7156</v>
      </c>
      <c r="I1985" s="7"/>
      <c r="J1985" s="10">
        <v>45692</v>
      </c>
      <c r="K1985" s="7" t="s">
        <v>7163</v>
      </c>
      <c r="L1985" s="7"/>
      <c r="M1985" s="7"/>
    </row>
    <row r="1986" spans="1:13" x14ac:dyDescent="0.3">
      <c r="A1986" s="7">
        <v>17276</v>
      </c>
      <c r="B1986" s="7" t="s">
        <v>1994</v>
      </c>
      <c r="C1986" s="7" t="s">
        <v>6489</v>
      </c>
      <c r="D1986" s="7" t="s">
        <v>6610</v>
      </c>
      <c r="E1986" s="7" t="s">
        <v>6616</v>
      </c>
      <c r="F1986" s="7" t="s">
        <v>6341</v>
      </c>
      <c r="G1986" s="7" t="s">
        <v>7150</v>
      </c>
      <c r="H1986" s="7" t="s">
        <v>7156</v>
      </c>
      <c r="I1986" s="7"/>
      <c r="J1986" s="10">
        <v>45693</v>
      </c>
      <c r="K1986" s="7" t="s">
        <v>7163</v>
      </c>
      <c r="L1986" s="7"/>
      <c r="M1986" s="7"/>
    </row>
    <row r="1987" spans="1:13" x14ac:dyDescent="0.3">
      <c r="A1987" s="7">
        <v>17281</v>
      </c>
      <c r="B1987" s="7" t="s">
        <v>1995</v>
      </c>
      <c r="C1987" s="7" t="s">
        <v>6489</v>
      </c>
      <c r="D1987" s="7" t="s">
        <v>6610</v>
      </c>
      <c r="E1987" s="7" t="s">
        <v>6616</v>
      </c>
      <c r="F1987" s="7" t="s">
        <v>6341</v>
      </c>
      <c r="G1987" s="7" t="s">
        <v>7151</v>
      </c>
      <c r="H1987" s="7" t="s">
        <v>7156</v>
      </c>
      <c r="I1987" s="7"/>
      <c r="J1987" s="10">
        <v>45693</v>
      </c>
      <c r="K1987" s="7" t="s">
        <v>7163</v>
      </c>
      <c r="L1987" s="7"/>
      <c r="M1987" s="7"/>
    </row>
    <row r="1988" spans="1:13" x14ac:dyDescent="0.3">
      <c r="A1988" s="7">
        <v>18881</v>
      </c>
      <c r="B1988" s="7" t="s">
        <v>1996</v>
      </c>
      <c r="C1988" s="7" t="s">
        <v>6489</v>
      </c>
      <c r="D1988" s="7" t="s">
        <v>6610</v>
      </c>
      <c r="E1988" s="7" t="s">
        <v>6616</v>
      </c>
      <c r="F1988" s="7" t="s">
        <v>6406</v>
      </c>
      <c r="G1988" s="7" t="s">
        <v>7150</v>
      </c>
      <c r="H1988" s="7" t="s">
        <v>7157</v>
      </c>
      <c r="I1988" s="7"/>
      <c r="J1988" s="10">
        <v>46231</v>
      </c>
      <c r="K1988" s="7" t="s">
        <v>7163</v>
      </c>
      <c r="L1988" s="7"/>
      <c r="M1988" s="7"/>
    </row>
    <row r="1989" spans="1:13" x14ac:dyDescent="0.3">
      <c r="A1989" s="7">
        <v>16856</v>
      </c>
      <c r="B1989" s="7" t="s">
        <v>1997</v>
      </c>
      <c r="C1989" s="7" t="s">
        <v>6489</v>
      </c>
      <c r="D1989" s="7" t="s">
        <v>6610</v>
      </c>
      <c r="E1989" s="7" t="s">
        <v>6616</v>
      </c>
      <c r="F1989" s="7" t="s">
        <v>6341</v>
      </c>
      <c r="G1989" s="7" t="s">
        <v>7150</v>
      </c>
      <c r="H1989" s="7" t="s">
        <v>7156</v>
      </c>
      <c r="I1989" s="7"/>
      <c r="J1989" s="10">
        <v>45568</v>
      </c>
      <c r="K1989" s="7" t="s">
        <v>7163</v>
      </c>
      <c r="L1989" s="7"/>
      <c r="M1989" s="7"/>
    </row>
    <row r="1990" spans="1:13" x14ac:dyDescent="0.3">
      <c r="A1990" s="7">
        <v>16974</v>
      </c>
      <c r="B1990" s="7" t="s">
        <v>1998</v>
      </c>
      <c r="C1990" s="7" t="s">
        <v>6489</v>
      </c>
      <c r="D1990" s="7" t="s">
        <v>6610</v>
      </c>
      <c r="E1990" s="7" t="s">
        <v>6616</v>
      </c>
      <c r="F1990" s="7" t="s">
        <v>6341</v>
      </c>
      <c r="G1990" s="7" t="s">
        <v>7150</v>
      </c>
      <c r="H1990" s="7" t="s">
        <v>7156</v>
      </c>
      <c r="I1990" s="7"/>
      <c r="J1990" s="10">
        <v>45581</v>
      </c>
      <c r="K1990" s="7" t="s">
        <v>7163</v>
      </c>
      <c r="L1990" s="7"/>
      <c r="M1990" s="7"/>
    </row>
    <row r="1991" spans="1:13" x14ac:dyDescent="0.3">
      <c r="A1991" s="7">
        <v>17061</v>
      </c>
      <c r="B1991" s="7" t="s">
        <v>1999</v>
      </c>
      <c r="C1991" s="7" t="s">
        <v>6489</v>
      </c>
      <c r="D1991" s="7" t="s">
        <v>6610</v>
      </c>
      <c r="E1991" s="7" t="s">
        <v>6616</v>
      </c>
      <c r="F1991" s="7" t="s">
        <v>6341</v>
      </c>
      <c r="G1991" s="7" t="s">
        <v>7151</v>
      </c>
      <c r="H1991" s="7" t="s">
        <v>7156</v>
      </c>
      <c r="I1991" s="7"/>
      <c r="J1991" s="10">
        <v>45612</v>
      </c>
      <c r="K1991" s="7" t="s">
        <v>7163</v>
      </c>
      <c r="L1991" s="7"/>
      <c r="M1991" s="7"/>
    </row>
    <row r="1992" spans="1:13" x14ac:dyDescent="0.3">
      <c r="A1992" s="7">
        <v>17088</v>
      </c>
      <c r="B1992" s="7" t="s">
        <v>2000</v>
      </c>
      <c r="C1992" s="7" t="s">
        <v>6489</v>
      </c>
      <c r="D1992" s="7" t="s">
        <v>6610</v>
      </c>
      <c r="E1992" s="7" t="s">
        <v>6616</v>
      </c>
      <c r="F1992" s="7" t="s">
        <v>6341</v>
      </c>
      <c r="G1992" s="7" t="s">
        <v>7151</v>
      </c>
      <c r="H1992" s="7" t="s">
        <v>7156</v>
      </c>
      <c r="I1992" s="7"/>
      <c r="J1992" s="10">
        <v>45623</v>
      </c>
      <c r="K1992" s="7" t="s">
        <v>7163</v>
      </c>
      <c r="L1992" s="7"/>
      <c r="M1992" s="7"/>
    </row>
    <row r="1993" spans="1:13" x14ac:dyDescent="0.3">
      <c r="A1993" s="7">
        <v>18938</v>
      </c>
      <c r="B1993" s="7" t="s">
        <v>2001</v>
      </c>
      <c r="C1993" s="7" t="s">
        <v>6489</v>
      </c>
      <c r="D1993" s="7" t="s">
        <v>6610</v>
      </c>
      <c r="E1993" s="7" t="s">
        <v>6616</v>
      </c>
      <c r="F1993" s="7" t="s">
        <v>6406</v>
      </c>
      <c r="G1993" s="7" t="s">
        <v>7150</v>
      </c>
      <c r="H1993" s="7" t="s">
        <v>7157</v>
      </c>
      <c r="I1993" s="7"/>
      <c r="J1993" s="10">
        <v>46246</v>
      </c>
      <c r="K1993" s="7" t="s">
        <v>7163</v>
      </c>
      <c r="L1993" s="7"/>
      <c r="M1993" s="7"/>
    </row>
    <row r="1994" spans="1:13" x14ac:dyDescent="0.3">
      <c r="A1994" s="7">
        <v>16801</v>
      </c>
      <c r="B1994" s="7" t="s">
        <v>2002</v>
      </c>
      <c r="C1994" s="7" t="s">
        <v>6489</v>
      </c>
      <c r="D1994" s="7" t="s">
        <v>6610</v>
      </c>
      <c r="E1994" s="7" t="s">
        <v>6616</v>
      </c>
      <c r="F1994" s="7" t="s">
        <v>6341</v>
      </c>
      <c r="G1994" s="7" t="s">
        <v>7150</v>
      </c>
      <c r="H1994" s="7" t="s">
        <v>7156</v>
      </c>
      <c r="I1994" s="7"/>
      <c r="J1994" s="10">
        <v>45553</v>
      </c>
      <c r="K1994" s="7" t="s">
        <v>7163</v>
      </c>
      <c r="L1994" s="7"/>
      <c r="M1994" s="7"/>
    </row>
    <row r="1995" spans="1:13" x14ac:dyDescent="0.3">
      <c r="A1995" s="7">
        <v>16492</v>
      </c>
      <c r="B1995" s="7" t="s">
        <v>2003</v>
      </c>
      <c r="C1995" s="7" t="s">
        <v>6489</v>
      </c>
      <c r="D1995" s="7" t="s">
        <v>6610</v>
      </c>
      <c r="E1995" s="7" t="s">
        <v>6616</v>
      </c>
      <c r="F1995" s="7" t="s">
        <v>6341</v>
      </c>
      <c r="G1995" s="7" t="s">
        <v>7150</v>
      </c>
      <c r="H1995" s="7" t="s">
        <v>7156</v>
      </c>
      <c r="I1995" s="7"/>
      <c r="J1995" s="10">
        <v>45439</v>
      </c>
      <c r="K1995" s="7" t="s">
        <v>7163</v>
      </c>
      <c r="L1995" s="7"/>
      <c r="M1995" s="7"/>
    </row>
    <row r="1996" spans="1:13" x14ac:dyDescent="0.3">
      <c r="A1996" s="7">
        <v>16778</v>
      </c>
      <c r="B1996" s="7" t="s">
        <v>2004</v>
      </c>
      <c r="C1996" s="7" t="s">
        <v>6489</v>
      </c>
      <c r="D1996" s="7" t="s">
        <v>6610</v>
      </c>
      <c r="E1996" s="7" t="s">
        <v>6616</v>
      </c>
      <c r="F1996" s="7" t="s">
        <v>6341</v>
      </c>
      <c r="G1996" s="7" t="s">
        <v>7150</v>
      </c>
      <c r="H1996" s="7" t="s">
        <v>7156</v>
      </c>
      <c r="I1996" s="7"/>
      <c r="J1996" s="10">
        <v>45547</v>
      </c>
      <c r="K1996" s="7" t="s">
        <v>7163</v>
      </c>
      <c r="L1996" s="7"/>
      <c r="M1996" s="7"/>
    </row>
    <row r="1997" spans="1:13" x14ac:dyDescent="0.3">
      <c r="A1997" s="7">
        <v>16782</v>
      </c>
      <c r="B1997" s="7" t="s">
        <v>2005</v>
      </c>
      <c r="C1997" s="7" t="s">
        <v>6489</v>
      </c>
      <c r="D1997" s="7" t="s">
        <v>6610</v>
      </c>
      <c r="E1997" s="7" t="s">
        <v>6616</v>
      </c>
      <c r="F1997" s="7" t="s">
        <v>6341</v>
      </c>
      <c r="G1997" s="7" t="s">
        <v>7150</v>
      </c>
      <c r="H1997" s="7" t="s">
        <v>7156</v>
      </c>
      <c r="I1997" s="7"/>
      <c r="J1997" s="10">
        <v>45547</v>
      </c>
      <c r="K1997" s="7" t="s">
        <v>7163</v>
      </c>
      <c r="L1997" s="7"/>
      <c r="M1997" s="7"/>
    </row>
    <row r="1998" spans="1:13" x14ac:dyDescent="0.3">
      <c r="A1998" s="7">
        <v>15555</v>
      </c>
      <c r="B1998" s="7" t="s">
        <v>2006</v>
      </c>
      <c r="C1998" s="7" t="s">
        <v>6489</v>
      </c>
      <c r="D1998" s="7" t="s">
        <v>6610</v>
      </c>
      <c r="E1998" s="7" t="s">
        <v>6616</v>
      </c>
      <c r="F1998" s="7" t="s">
        <v>6341</v>
      </c>
      <c r="G1998" s="7" t="s">
        <v>7150</v>
      </c>
      <c r="H1998" s="7" t="s">
        <v>7156</v>
      </c>
      <c r="I1998" s="7"/>
      <c r="J1998" s="10">
        <v>45126</v>
      </c>
      <c r="K1998" s="7" t="s">
        <v>7163</v>
      </c>
      <c r="L1998" s="7"/>
      <c r="M1998" s="7"/>
    </row>
    <row r="1999" spans="1:13" x14ac:dyDescent="0.3">
      <c r="A1999" s="7">
        <v>16783</v>
      </c>
      <c r="B1999" s="7" t="s">
        <v>2007</v>
      </c>
      <c r="C1999" s="7" t="s">
        <v>6489</v>
      </c>
      <c r="D1999" s="7" t="s">
        <v>6610</v>
      </c>
      <c r="E1999" s="7" t="s">
        <v>6616</v>
      </c>
      <c r="F1999" s="7" t="s">
        <v>6341</v>
      </c>
      <c r="G1999" s="7" t="s">
        <v>7150</v>
      </c>
      <c r="H1999" s="7" t="s">
        <v>7156</v>
      </c>
      <c r="I1999" s="7"/>
      <c r="J1999" s="10">
        <v>45547</v>
      </c>
      <c r="K1999" s="7" t="s">
        <v>7163</v>
      </c>
      <c r="L1999" s="7"/>
      <c r="M1999" s="7"/>
    </row>
    <row r="2000" spans="1:13" x14ac:dyDescent="0.3">
      <c r="A2000" s="7">
        <v>17055</v>
      </c>
      <c r="B2000" s="7" t="s">
        <v>2008</v>
      </c>
      <c r="C2000" s="7" t="s">
        <v>6489</v>
      </c>
      <c r="D2000" s="7" t="s">
        <v>6610</v>
      </c>
      <c r="E2000" s="7" t="s">
        <v>6616</v>
      </c>
      <c r="F2000" s="7" t="s">
        <v>6341</v>
      </c>
      <c r="G2000" s="7" t="s">
        <v>7150</v>
      </c>
      <c r="H2000" s="7" t="s">
        <v>7156</v>
      </c>
      <c r="I2000" s="7"/>
      <c r="J2000" s="10">
        <v>45603</v>
      </c>
      <c r="K2000" s="7" t="s">
        <v>7163</v>
      </c>
      <c r="L2000" s="7"/>
      <c r="M2000" s="7"/>
    </row>
    <row r="2001" spans="1:13" x14ac:dyDescent="0.3">
      <c r="A2001" s="7">
        <v>17853</v>
      </c>
      <c r="B2001" s="7" t="s">
        <v>2009</v>
      </c>
      <c r="C2001" s="7" t="s">
        <v>6489</v>
      </c>
      <c r="D2001" s="7" t="s">
        <v>6610</v>
      </c>
      <c r="E2001" s="7" t="s">
        <v>6616</v>
      </c>
      <c r="F2001" s="7" t="s">
        <v>6341</v>
      </c>
      <c r="G2001" s="7" t="s">
        <v>7150</v>
      </c>
      <c r="H2001" s="7" t="s">
        <v>7156</v>
      </c>
      <c r="I2001" s="7"/>
      <c r="J2001" s="10">
        <v>45891</v>
      </c>
      <c r="K2001" s="7" t="s">
        <v>7163</v>
      </c>
      <c r="L2001" s="7"/>
      <c r="M2001" s="7"/>
    </row>
    <row r="2002" spans="1:13" x14ac:dyDescent="0.3">
      <c r="A2002" s="7">
        <v>14775</v>
      </c>
      <c r="B2002" s="7" t="s">
        <v>2010</v>
      </c>
      <c r="C2002" s="7" t="s">
        <v>6489</v>
      </c>
      <c r="D2002" s="7" t="s">
        <v>6610</v>
      </c>
      <c r="E2002" s="7" t="s">
        <v>6616</v>
      </c>
      <c r="F2002" s="7" t="s">
        <v>6341</v>
      </c>
      <c r="G2002" s="7" t="s">
        <v>7151</v>
      </c>
      <c r="H2002" s="7" t="s">
        <v>7156</v>
      </c>
      <c r="I2002" s="7"/>
      <c r="J2002" s="10">
        <v>44854</v>
      </c>
      <c r="K2002" s="7" t="s">
        <v>7163</v>
      </c>
      <c r="L2002" s="7"/>
      <c r="M2002" s="7"/>
    </row>
    <row r="2003" spans="1:13" x14ac:dyDescent="0.3">
      <c r="A2003" s="7">
        <v>14848</v>
      </c>
      <c r="B2003" s="7" t="s">
        <v>2011</v>
      </c>
      <c r="C2003" s="7" t="s">
        <v>6489</v>
      </c>
      <c r="D2003" s="7" t="s">
        <v>6610</v>
      </c>
      <c r="E2003" s="7" t="s">
        <v>6616</v>
      </c>
      <c r="F2003" s="7" t="s">
        <v>6341</v>
      </c>
      <c r="G2003" s="7" t="s">
        <v>7151</v>
      </c>
      <c r="H2003" s="7" t="s">
        <v>7156</v>
      </c>
      <c r="I2003" s="7"/>
      <c r="J2003" s="10">
        <v>44876</v>
      </c>
      <c r="K2003" s="7" t="s">
        <v>7163</v>
      </c>
      <c r="L2003" s="7"/>
      <c r="M2003" s="7"/>
    </row>
    <row r="2004" spans="1:13" x14ac:dyDescent="0.3">
      <c r="A2004" s="7">
        <v>18130</v>
      </c>
      <c r="B2004" s="7" t="s">
        <v>2012</v>
      </c>
      <c r="C2004" s="7" t="s">
        <v>6489</v>
      </c>
      <c r="D2004" s="7" t="s">
        <v>6610</v>
      </c>
      <c r="E2004" s="7" t="s">
        <v>6616</v>
      </c>
      <c r="F2004" s="7" t="s">
        <v>6406</v>
      </c>
      <c r="G2004" s="7" t="s">
        <v>7150</v>
      </c>
      <c r="H2004" s="7" t="s">
        <v>7157</v>
      </c>
      <c r="I2004" s="7"/>
      <c r="J2004" s="10">
        <v>46007</v>
      </c>
      <c r="K2004" s="7" t="s">
        <v>7163</v>
      </c>
      <c r="L2004" s="7"/>
      <c r="M2004" s="7"/>
    </row>
    <row r="2005" spans="1:13" x14ac:dyDescent="0.3">
      <c r="A2005" s="7">
        <v>14037</v>
      </c>
      <c r="B2005" s="7" t="s">
        <v>2013</v>
      </c>
      <c r="C2005" s="7" t="s">
        <v>6489</v>
      </c>
      <c r="D2005" s="7" t="s">
        <v>6610</v>
      </c>
      <c r="E2005" s="7" t="s">
        <v>6616</v>
      </c>
      <c r="F2005" s="7" t="s">
        <v>6341</v>
      </c>
      <c r="G2005" s="7" t="s">
        <v>7151</v>
      </c>
      <c r="H2005" s="7" t="s">
        <v>7156</v>
      </c>
      <c r="I2005" s="7"/>
      <c r="J2005" s="10">
        <v>44631</v>
      </c>
      <c r="K2005" s="7" t="s">
        <v>7163</v>
      </c>
      <c r="L2005" s="7"/>
      <c r="M2005" s="7"/>
    </row>
    <row r="2006" spans="1:13" x14ac:dyDescent="0.3">
      <c r="A2006" s="7">
        <v>14415</v>
      </c>
      <c r="B2006" s="7" t="s">
        <v>2014</v>
      </c>
      <c r="C2006" s="7" t="s">
        <v>6489</v>
      </c>
      <c r="D2006" s="7" t="s">
        <v>6610</v>
      </c>
      <c r="E2006" s="7" t="s">
        <v>6616</v>
      </c>
      <c r="F2006" s="7" t="s">
        <v>6467</v>
      </c>
      <c r="G2006" s="7" t="s">
        <v>7150</v>
      </c>
      <c r="H2006" s="7" t="s">
        <v>7157</v>
      </c>
      <c r="I2006" s="7"/>
      <c r="J2006" s="10">
        <v>44755</v>
      </c>
      <c r="K2006" s="7" t="s">
        <v>7163</v>
      </c>
      <c r="L2006" s="7"/>
      <c r="M2006" s="7"/>
    </row>
    <row r="2007" spans="1:13" x14ac:dyDescent="0.3">
      <c r="A2007" s="7">
        <v>14042</v>
      </c>
      <c r="B2007" s="7" t="s">
        <v>2015</v>
      </c>
      <c r="C2007" s="7" t="s">
        <v>6489</v>
      </c>
      <c r="D2007" s="7" t="s">
        <v>6610</v>
      </c>
      <c r="E2007" s="7" t="s">
        <v>6616</v>
      </c>
      <c r="F2007" s="7" t="s">
        <v>6341</v>
      </c>
      <c r="G2007" s="7" t="s">
        <v>7151</v>
      </c>
      <c r="H2007" s="7" t="s">
        <v>7156</v>
      </c>
      <c r="I2007" s="7"/>
      <c r="J2007" s="10">
        <v>44631</v>
      </c>
      <c r="K2007" s="7" t="s">
        <v>7163</v>
      </c>
      <c r="L2007" s="7"/>
      <c r="M2007" s="7"/>
    </row>
    <row r="2008" spans="1:13" x14ac:dyDescent="0.3">
      <c r="A2008" s="7">
        <v>17436</v>
      </c>
      <c r="B2008" s="7" t="s">
        <v>2016</v>
      </c>
      <c r="C2008" s="7" t="s">
        <v>6489</v>
      </c>
      <c r="D2008" s="7" t="s">
        <v>6610</v>
      </c>
      <c r="E2008" s="7" t="s">
        <v>6616</v>
      </c>
      <c r="F2008" s="7" t="s">
        <v>6389</v>
      </c>
      <c r="G2008" s="7" t="s">
        <v>7151</v>
      </c>
      <c r="H2008" s="7" t="s">
        <v>7157</v>
      </c>
      <c r="I2008" s="7"/>
      <c r="J2008" s="10">
        <v>45754</v>
      </c>
      <c r="K2008" s="7" t="s">
        <v>7163</v>
      </c>
      <c r="L2008" s="7"/>
      <c r="M2008" s="7"/>
    </row>
    <row r="2009" spans="1:13" x14ac:dyDescent="0.3">
      <c r="A2009" s="7">
        <v>18940</v>
      </c>
      <c r="B2009" s="7" t="s">
        <v>2017</v>
      </c>
      <c r="C2009" s="7" t="s">
        <v>6489</v>
      </c>
      <c r="D2009" s="7" t="s">
        <v>6610</v>
      </c>
      <c r="E2009" s="7" t="s">
        <v>6616</v>
      </c>
      <c r="F2009" s="7" t="s">
        <v>6406</v>
      </c>
      <c r="G2009" s="7" t="s">
        <v>7150</v>
      </c>
      <c r="H2009" s="7" t="s">
        <v>7157</v>
      </c>
      <c r="I2009" s="7"/>
      <c r="J2009" s="10">
        <v>46246</v>
      </c>
      <c r="K2009" s="7" t="s">
        <v>7163</v>
      </c>
      <c r="L2009" s="7"/>
      <c r="M2009" s="7"/>
    </row>
    <row r="2010" spans="1:13" x14ac:dyDescent="0.3">
      <c r="A2010" s="7">
        <v>14033</v>
      </c>
      <c r="B2010" s="7" t="s">
        <v>2018</v>
      </c>
      <c r="C2010" s="7" t="s">
        <v>6489</v>
      </c>
      <c r="D2010" s="7" t="s">
        <v>6610</v>
      </c>
      <c r="E2010" s="7" t="s">
        <v>6616</v>
      </c>
      <c r="F2010" s="7" t="s">
        <v>6341</v>
      </c>
      <c r="G2010" s="7" t="s">
        <v>7150</v>
      </c>
      <c r="H2010" s="7" t="s">
        <v>7156</v>
      </c>
      <c r="I2010" s="7"/>
      <c r="J2010" s="10">
        <v>44631</v>
      </c>
      <c r="K2010" s="7" t="s">
        <v>7163</v>
      </c>
      <c r="L2010" s="7"/>
      <c r="M2010" s="7"/>
    </row>
    <row r="2011" spans="1:13" x14ac:dyDescent="0.3">
      <c r="A2011" s="7">
        <v>17155</v>
      </c>
      <c r="B2011" s="7" t="s">
        <v>2019</v>
      </c>
      <c r="C2011" s="7" t="s">
        <v>6489</v>
      </c>
      <c r="D2011" s="7" t="s">
        <v>6610</v>
      </c>
      <c r="E2011" s="7" t="s">
        <v>6616</v>
      </c>
      <c r="F2011" s="7" t="s">
        <v>6348</v>
      </c>
      <c r="G2011" s="7" t="s">
        <v>7150</v>
      </c>
      <c r="H2011" s="7" t="s">
        <v>7156</v>
      </c>
      <c r="I2011" s="7"/>
      <c r="J2011" s="10">
        <v>45650</v>
      </c>
      <c r="K2011" s="7" t="s">
        <v>7163</v>
      </c>
      <c r="L2011" s="7"/>
      <c r="M2011" s="7"/>
    </row>
    <row r="2012" spans="1:13" x14ac:dyDescent="0.3">
      <c r="A2012" s="7">
        <v>16400</v>
      </c>
      <c r="B2012" s="7" t="s">
        <v>2020</v>
      </c>
      <c r="C2012" s="7" t="s">
        <v>6489</v>
      </c>
      <c r="D2012" s="7" t="s">
        <v>6610</v>
      </c>
      <c r="E2012" s="7" t="s">
        <v>6616</v>
      </c>
      <c r="F2012" s="7" t="s">
        <v>6341</v>
      </c>
      <c r="G2012" s="7" t="s">
        <v>7150</v>
      </c>
      <c r="H2012" s="7" t="s">
        <v>7156</v>
      </c>
      <c r="I2012" s="7"/>
      <c r="J2012" s="10">
        <v>45370</v>
      </c>
      <c r="K2012" s="7" t="s">
        <v>7163</v>
      </c>
      <c r="L2012" s="7"/>
      <c r="M2012" s="7"/>
    </row>
    <row r="2013" spans="1:13" x14ac:dyDescent="0.3">
      <c r="A2013" s="7">
        <v>17056</v>
      </c>
      <c r="B2013" s="7" t="s">
        <v>2021</v>
      </c>
      <c r="C2013" s="7" t="s">
        <v>6489</v>
      </c>
      <c r="D2013" s="7" t="s">
        <v>6610</v>
      </c>
      <c r="E2013" s="7" t="s">
        <v>6616</v>
      </c>
      <c r="F2013" s="7" t="s">
        <v>6348</v>
      </c>
      <c r="G2013" s="7" t="s">
        <v>7150</v>
      </c>
      <c r="H2013" s="7" t="s">
        <v>7156</v>
      </c>
      <c r="I2013" s="7"/>
      <c r="J2013" s="10">
        <v>45603</v>
      </c>
      <c r="K2013" s="7" t="s">
        <v>7163</v>
      </c>
      <c r="L2013" s="7"/>
      <c r="M2013" s="7"/>
    </row>
    <row r="2014" spans="1:13" x14ac:dyDescent="0.3">
      <c r="A2014" s="7">
        <v>18298</v>
      </c>
      <c r="B2014" s="7" t="s">
        <v>2022</v>
      </c>
      <c r="C2014" s="7" t="s">
        <v>6489</v>
      </c>
      <c r="D2014" s="7" t="s">
        <v>6610</v>
      </c>
      <c r="E2014" s="7" t="s">
        <v>6616</v>
      </c>
      <c r="F2014" s="7" t="s">
        <v>6348</v>
      </c>
      <c r="G2014" s="7" t="s">
        <v>7150</v>
      </c>
      <c r="H2014" s="7" t="s">
        <v>7156</v>
      </c>
      <c r="I2014" s="7"/>
      <c r="J2014" s="10">
        <v>46083</v>
      </c>
      <c r="K2014" s="7" t="s">
        <v>7163</v>
      </c>
      <c r="L2014" s="7"/>
      <c r="M2014" s="7"/>
    </row>
    <row r="2015" spans="1:13" x14ac:dyDescent="0.3">
      <c r="A2015" s="7">
        <v>18300</v>
      </c>
      <c r="B2015" s="7" t="s">
        <v>2023</v>
      </c>
      <c r="C2015" s="7" t="s">
        <v>6489</v>
      </c>
      <c r="D2015" s="7" t="s">
        <v>6610</v>
      </c>
      <c r="E2015" s="7" t="s">
        <v>6616</v>
      </c>
      <c r="F2015" s="7" t="s">
        <v>6348</v>
      </c>
      <c r="G2015" s="7" t="s">
        <v>7150</v>
      </c>
      <c r="H2015" s="7" t="s">
        <v>7156</v>
      </c>
      <c r="I2015" s="7"/>
      <c r="J2015" s="10">
        <v>46083</v>
      </c>
      <c r="K2015" s="7" t="s">
        <v>7163</v>
      </c>
      <c r="L2015" s="7"/>
      <c r="M2015" s="7"/>
    </row>
    <row r="2016" spans="1:13" x14ac:dyDescent="0.3">
      <c r="A2016" s="7">
        <v>18292</v>
      </c>
      <c r="B2016" s="7" t="s">
        <v>2024</v>
      </c>
      <c r="C2016" s="7" t="s">
        <v>6489</v>
      </c>
      <c r="D2016" s="7" t="s">
        <v>6610</v>
      </c>
      <c r="E2016" s="7" t="s">
        <v>6616</v>
      </c>
      <c r="F2016" s="7" t="s">
        <v>6348</v>
      </c>
      <c r="G2016" s="7" t="s">
        <v>7150</v>
      </c>
      <c r="H2016" s="7" t="s">
        <v>7156</v>
      </c>
      <c r="I2016" s="7"/>
      <c r="J2016" s="10">
        <v>46083</v>
      </c>
      <c r="K2016" s="7" t="s">
        <v>7163</v>
      </c>
      <c r="L2016" s="7"/>
      <c r="M2016" s="7"/>
    </row>
    <row r="2017" spans="1:13" x14ac:dyDescent="0.3">
      <c r="A2017" s="7">
        <v>18365</v>
      </c>
      <c r="B2017" s="7" t="s">
        <v>2025</v>
      </c>
      <c r="C2017" s="7" t="s">
        <v>6489</v>
      </c>
      <c r="D2017" s="7" t="s">
        <v>6610</v>
      </c>
      <c r="E2017" s="7" t="s">
        <v>6616</v>
      </c>
      <c r="F2017" s="7" t="s">
        <v>6348</v>
      </c>
      <c r="G2017" s="7" t="s">
        <v>7150</v>
      </c>
      <c r="H2017" s="7" t="s">
        <v>7156</v>
      </c>
      <c r="I2017" s="7"/>
      <c r="J2017" s="10">
        <v>46113</v>
      </c>
      <c r="K2017" s="7" t="s">
        <v>7163</v>
      </c>
      <c r="L2017" s="7"/>
      <c r="M2017" s="7"/>
    </row>
    <row r="2018" spans="1:13" x14ac:dyDescent="0.3">
      <c r="A2018" s="7">
        <v>18293</v>
      </c>
      <c r="B2018" s="7" t="s">
        <v>2026</v>
      </c>
      <c r="C2018" s="7" t="s">
        <v>6489</v>
      </c>
      <c r="D2018" s="7" t="s">
        <v>6610</v>
      </c>
      <c r="E2018" s="7" t="s">
        <v>6616</v>
      </c>
      <c r="F2018" s="7" t="s">
        <v>6348</v>
      </c>
      <c r="G2018" s="7" t="s">
        <v>7150</v>
      </c>
      <c r="H2018" s="7" t="s">
        <v>7156</v>
      </c>
      <c r="I2018" s="7"/>
      <c r="J2018" s="10">
        <v>46083</v>
      </c>
      <c r="K2018" s="7" t="s">
        <v>7163</v>
      </c>
      <c r="L2018" s="7"/>
      <c r="M2018" s="7"/>
    </row>
    <row r="2019" spans="1:13" x14ac:dyDescent="0.3">
      <c r="A2019" s="7">
        <v>18635</v>
      </c>
      <c r="B2019" s="7" t="s">
        <v>2027</v>
      </c>
      <c r="C2019" s="7" t="s">
        <v>6489</v>
      </c>
      <c r="D2019" s="7" t="s">
        <v>6610</v>
      </c>
      <c r="E2019" s="7" t="s">
        <v>6616</v>
      </c>
      <c r="F2019" s="7" t="s">
        <v>6348</v>
      </c>
      <c r="G2019" s="7" t="s">
        <v>7150</v>
      </c>
      <c r="H2019" s="7" t="s">
        <v>7156</v>
      </c>
      <c r="I2019" s="7"/>
      <c r="J2019" s="10">
        <v>46178</v>
      </c>
      <c r="K2019" s="7" t="s">
        <v>7163</v>
      </c>
      <c r="L2019" s="7"/>
      <c r="M2019" s="7"/>
    </row>
    <row r="2020" spans="1:13" x14ac:dyDescent="0.3">
      <c r="A2020" s="7">
        <v>17004</v>
      </c>
      <c r="B2020" s="7" t="s">
        <v>2028</v>
      </c>
      <c r="C2020" s="7" t="s">
        <v>6489</v>
      </c>
      <c r="D2020" s="7" t="s">
        <v>6610</v>
      </c>
      <c r="E2020" s="7" t="s">
        <v>6616</v>
      </c>
      <c r="F2020" s="7" t="s">
        <v>6348</v>
      </c>
      <c r="G2020" s="7" t="s">
        <v>7150</v>
      </c>
      <c r="H2020" s="7" t="s">
        <v>7156</v>
      </c>
      <c r="I2020" s="7"/>
      <c r="J2020" s="10">
        <v>45614</v>
      </c>
      <c r="K2020" s="7" t="s">
        <v>7163</v>
      </c>
      <c r="L2020" s="7"/>
      <c r="M2020" s="7"/>
    </row>
    <row r="2021" spans="1:13" x14ac:dyDescent="0.3">
      <c r="A2021" s="7">
        <v>17154</v>
      </c>
      <c r="B2021" s="7" t="s">
        <v>2029</v>
      </c>
      <c r="C2021" s="7" t="s">
        <v>6489</v>
      </c>
      <c r="D2021" s="7" t="s">
        <v>6610</v>
      </c>
      <c r="E2021" s="7" t="s">
        <v>6616</v>
      </c>
      <c r="F2021" s="7" t="s">
        <v>6348</v>
      </c>
      <c r="G2021" s="7" t="s">
        <v>7151</v>
      </c>
      <c r="H2021" s="7" t="s">
        <v>7156</v>
      </c>
      <c r="I2021" s="7"/>
      <c r="J2021" s="10">
        <v>45650</v>
      </c>
      <c r="K2021" s="7" t="s">
        <v>7163</v>
      </c>
      <c r="L2021" s="7"/>
      <c r="M2021" s="7"/>
    </row>
    <row r="2022" spans="1:13" x14ac:dyDescent="0.3">
      <c r="A2022" s="7">
        <v>17740</v>
      </c>
      <c r="B2022" s="7" t="s">
        <v>2030</v>
      </c>
      <c r="C2022" s="7" t="s">
        <v>6489</v>
      </c>
      <c r="D2022" s="7" t="s">
        <v>6610</v>
      </c>
      <c r="E2022" s="7" t="s">
        <v>6616</v>
      </c>
      <c r="F2022" s="7" t="s">
        <v>6389</v>
      </c>
      <c r="G2022" s="7" t="s">
        <v>7150</v>
      </c>
      <c r="H2022" s="7" t="s">
        <v>7157</v>
      </c>
      <c r="I2022" s="7"/>
      <c r="J2022" s="10">
        <v>45860</v>
      </c>
      <c r="K2022" s="7" t="s">
        <v>7163</v>
      </c>
      <c r="L2022" s="7"/>
      <c r="M2022" s="7"/>
    </row>
    <row r="2023" spans="1:13" x14ac:dyDescent="0.3">
      <c r="A2023" s="7">
        <v>16510</v>
      </c>
      <c r="B2023" s="7" t="s">
        <v>2031</v>
      </c>
      <c r="C2023" s="7" t="s">
        <v>6489</v>
      </c>
      <c r="D2023" s="7" t="s">
        <v>6610</v>
      </c>
      <c r="E2023" s="7" t="s">
        <v>6616</v>
      </c>
      <c r="F2023" s="7" t="s">
        <v>6341</v>
      </c>
      <c r="G2023" s="7" t="s">
        <v>7150</v>
      </c>
      <c r="H2023" s="7" t="s">
        <v>7156</v>
      </c>
      <c r="I2023" s="7"/>
      <c r="J2023" s="10">
        <v>45449</v>
      </c>
      <c r="K2023" s="7" t="s">
        <v>7163</v>
      </c>
      <c r="L2023" s="7"/>
      <c r="M2023" s="7"/>
    </row>
    <row r="2024" spans="1:13" x14ac:dyDescent="0.3">
      <c r="A2024" s="7">
        <v>16711</v>
      </c>
      <c r="B2024" s="7" t="s">
        <v>2032</v>
      </c>
      <c r="C2024" s="7" t="s">
        <v>6489</v>
      </c>
      <c r="D2024" s="7" t="s">
        <v>6610</v>
      </c>
      <c r="E2024" s="7" t="s">
        <v>6616</v>
      </c>
      <c r="F2024" s="7" t="s">
        <v>6348</v>
      </c>
      <c r="G2024" s="7" t="s">
        <v>7150</v>
      </c>
      <c r="H2024" s="7" t="s">
        <v>7156</v>
      </c>
      <c r="I2024" s="7"/>
      <c r="J2024" s="10">
        <v>45541</v>
      </c>
      <c r="K2024" s="7" t="s">
        <v>7163</v>
      </c>
      <c r="L2024" s="7"/>
      <c r="M2024" s="7"/>
    </row>
    <row r="2025" spans="1:13" x14ac:dyDescent="0.3">
      <c r="A2025" s="7">
        <v>16811</v>
      </c>
      <c r="B2025" s="7" t="s">
        <v>2033</v>
      </c>
      <c r="C2025" s="7" t="s">
        <v>6489</v>
      </c>
      <c r="D2025" s="7" t="s">
        <v>6610</v>
      </c>
      <c r="E2025" s="7" t="s">
        <v>6616</v>
      </c>
      <c r="F2025" s="7" t="s">
        <v>6348</v>
      </c>
      <c r="G2025" s="7" t="s">
        <v>7150</v>
      </c>
      <c r="H2025" s="7" t="s">
        <v>7156</v>
      </c>
      <c r="I2025" s="7"/>
      <c r="J2025" s="10">
        <v>45555</v>
      </c>
      <c r="K2025" s="7" t="s">
        <v>7163</v>
      </c>
      <c r="L2025" s="7"/>
      <c r="M2025" s="7"/>
    </row>
    <row r="2026" spans="1:13" x14ac:dyDescent="0.3">
      <c r="A2026" s="7">
        <v>16860</v>
      </c>
      <c r="B2026" s="7" t="s">
        <v>2034</v>
      </c>
      <c r="C2026" s="7" t="s">
        <v>6489</v>
      </c>
      <c r="D2026" s="7" t="s">
        <v>6610</v>
      </c>
      <c r="E2026" s="7" t="s">
        <v>6616</v>
      </c>
      <c r="F2026" s="7" t="s">
        <v>6341</v>
      </c>
      <c r="G2026" s="7" t="s">
        <v>7150</v>
      </c>
      <c r="H2026" s="7" t="s">
        <v>7156</v>
      </c>
      <c r="I2026" s="7"/>
      <c r="J2026" s="10">
        <v>45569</v>
      </c>
      <c r="K2026" s="7" t="s">
        <v>7163</v>
      </c>
      <c r="L2026" s="7"/>
      <c r="M2026" s="7"/>
    </row>
    <row r="2027" spans="1:13" x14ac:dyDescent="0.3">
      <c r="A2027" s="7">
        <v>17062</v>
      </c>
      <c r="B2027" s="7" t="s">
        <v>2035</v>
      </c>
      <c r="C2027" s="7" t="s">
        <v>6489</v>
      </c>
      <c r="D2027" s="7" t="s">
        <v>6610</v>
      </c>
      <c r="E2027" s="7" t="s">
        <v>6616</v>
      </c>
      <c r="F2027" s="7" t="s">
        <v>6348</v>
      </c>
      <c r="G2027" s="7" t="s">
        <v>7151</v>
      </c>
      <c r="H2027" s="7" t="s">
        <v>7156</v>
      </c>
      <c r="I2027" s="7"/>
      <c r="J2027" s="10">
        <v>45612</v>
      </c>
      <c r="K2027" s="7" t="s">
        <v>7163</v>
      </c>
      <c r="L2027" s="7"/>
      <c r="M2027" s="7"/>
    </row>
    <row r="2028" spans="1:13" x14ac:dyDescent="0.3">
      <c r="A2028" s="7">
        <v>18129</v>
      </c>
      <c r="B2028" s="7" t="s">
        <v>2036</v>
      </c>
      <c r="C2028" s="7" t="s">
        <v>6489</v>
      </c>
      <c r="D2028" s="7" t="s">
        <v>6610</v>
      </c>
      <c r="E2028" s="7" t="s">
        <v>6616</v>
      </c>
      <c r="F2028" s="7" t="s">
        <v>6406</v>
      </c>
      <c r="G2028" s="7" t="s">
        <v>7150</v>
      </c>
      <c r="H2028" s="7" t="s">
        <v>7157</v>
      </c>
      <c r="I2028" s="7"/>
      <c r="J2028" s="10">
        <v>46007</v>
      </c>
      <c r="K2028" s="7" t="s">
        <v>7163</v>
      </c>
      <c r="L2028" s="7"/>
      <c r="M2028" s="7"/>
    </row>
    <row r="2029" spans="1:13" x14ac:dyDescent="0.3">
      <c r="A2029" s="7">
        <v>17063</v>
      </c>
      <c r="B2029" s="7" t="s">
        <v>2037</v>
      </c>
      <c r="C2029" s="7" t="s">
        <v>6489</v>
      </c>
      <c r="D2029" s="7" t="s">
        <v>6610</v>
      </c>
      <c r="E2029" s="7" t="s">
        <v>6616</v>
      </c>
      <c r="F2029" s="7" t="s">
        <v>6348</v>
      </c>
      <c r="G2029" s="7" t="s">
        <v>7150</v>
      </c>
      <c r="H2029" s="7" t="s">
        <v>7156</v>
      </c>
      <c r="I2029" s="7"/>
      <c r="J2029" s="10">
        <v>45612</v>
      </c>
      <c r="K2029" s="7" t="s">
        <v>7163</v>
      </c>
      <c r="L2029" s="7"/>
      <c r="M2029" s="7"/>
    </row>
    <row r="2030" spans="1:13" x14ac:dyDescent="0.3">
      <c r="A2030" s="7">
        <v>17148</v>
      </c>
      <c r="B2030" s="7" t="s">
        <v>2038</v>
      </c>
      <c r="C2030" s="7" t="s">
        <v>6489</v>
      </c>
      <c r="D2030" s="7" t="s">
        <v>6610</v>
      </c>
      <c r="E2030" s="7" t="s">
        <v>6616</v>
      </c>
      <c r="F2030" s="7" t="s">
        <v>6341</v>
      </c>
      <c r="G2030" s="7" t="s">
        <v>7150</v>
      </c>
      <c r="H2030" s="7" t="s">
        <v>7156</v>
      </c>
      <c r="I2030" s="7"/>
      <c r="J2030" s="10">
        <v>45649</v>
      </c>
      <c r="K2030" s="7" t="s">
        <v>7163</v>
      </c>
      <c r="L2030" s="7"/>
      <c r="M2030" s="7"/>
    </row>
    <row r="2031" spans="1:13" x14ac:dyDescent="0.3">
      <c r="A2031" s="7">
        <v>17147</v>
      </c>
      <c r="B2031" s="7" t="s">
        <v>2039</v>
      </c>
      <c r="C2031" s="7" t="s">
        <v>6489</v>
      </c>
      <c r="D2031" s="7" t="s">
        <v>6610</v>
      </c>
      <c r="E2031" s="7" t="s">
        <v>6616</v>
      </c>
      <c r="F2031" s="7" t="s">
        <v>6341</v>
      </c>
      <c r="G2031" s="7" t="s">
        <v>7150</v>
      </c>
      <c r="H2031" s="7" t="s">
        <v>7156</v>
      </c>
      <c r="I2031" s="7"/>
      <c r="J2031" s="10">
        <v>45652</v>
      </c>
      <c r="K2031" s="7" t="s">
        <v>7163</v>
      </c>
      <c r="L2031" s="7"/>
      <c r="M2031" s="7"/>
    </row>
    <row r="2032" spans="1:13" x14ac:dyDescent="0.3">
      <c r="A2032" s="7">
        <v>17332</v>
      </c>
      <c r="B2032" s="7" t="s">
        <v>2040</v>
      </c>
      <c r="C2032" s="7" t="s">
        <v>6489</v>
      </c>
      <c r="D2032" s="7" t="s">
        <v>6610</v>
      </c>
      <c r="E2032" s="7" t="s">
        <v>6616</v>
      </c>
      <c r="F2032" s="7" t="s">
        <v>6341</v>
      </c>
      <c r="G2032" s="7" t="s">
        <v>7150</v>
      </c>
      <c r="H2032" s="7" t="s">
        <v>7156</v>
      </c>
      <c r="I2032" s="7"/>
      <c r="J2032" s="10">
        <v>45709</v>
      </c>
      <c r="K2032" s="7" t="s">
        <v>7163</v>
      </c>
      <c r="L2032" s="7"/>
      <c r="M2032" s="7"/>
    </row>
    <row r="2033" spans="1:13" x14ac:dyDescent="0.3">
      <c r="A2033" s="7">
        <v>17333</v>
      </c>
      <c r="B2033" s="7" t="s">
        <v>2041</v>
      </c>
      <c r="C2033" s="7" t="s">
        <v>6489</v>
      </c>
      <c r="D2033" s="7" t="s">
        <v>6610</v>
      </c>
      <c r="E2033" s="7" t="s">
        <v>6616</v>
      </c>
      <c r="F2033" s="7" t="s">
        <v>6341</v>
      </c>
      <c r="G2033" s="7" t="s">
        <v>7150</v>
      </c>
      <c r="H2033" s="7" t="s">
        <v>7156</v>
      </c>
      <c r="I2033" s="7"/>
      <c r="J2033" s="10">
        <v>45709</v>
      </c>
      <c r="K2033" s="7" t="s">
        <v>7163</v>
      </c>
      <c r="L2033" s="7"/>
      <c r="M2033" s="7"/>
    </row>
    <row r="2034" spans="1:13" x14ac:dyDescent="0.3">
      <c r="A2034" s="7">
        <v>17303</v>
      </c>
      <c r="B2034" s="7" t="s">
        <v>2042</v>
      </c>
      <c r="C2034" s="7" t="s">
        <v>6489</v>
      </c>
      <c r="D2034" s="7" t="s">
        <v>6610</v>
      </c>
      <c r="E2034" s="7" t="s">
        <v>6616</v>
      </c>
      <c r="F2034" s="7" t="s">
        <v>6341</v>
      </c>
      <c r="G2034" s="7" t="s">
        <v>7150</v>
      </c>
      <c r="H2034" s="7" t="s">
        <v>7156</v>
      </c>
      <c r="I2034" s="7"/>
      <c r="J2034" s="10">
        <v>45700</v>
      </c>
      <c r="K2034" s="7" t="s">
        <v>7163</v>
      </c>
      <c r="L2034" s="7"/>
      <c r="M2034" s="7"/>
    </row>
    <row r="2035" spans="1:13" x14ac:dyDescent="0.3">
      <c r="A2035" s="7">
        <v>17304</v>
      </c>
      <c r="B2035" s="7" t="s">
        <v>2043</v>
      </c>
      <c r="C2035" s="7" t="s">
        <v>6489</v>
      </c>
      <c r="D2035" s="7" t="s">
        <v>6610</v>
      </c>
      <c r="E2035" s="7" t="s">
        <v>6616</v>
      </c>
      <c r="F2035" s="7" t="s">
        <v>6341</v>
      </c>
      <c r="G2035" s="7" t="s">
        <v>7150</v>
      </c>
      <c r="H2035" s="7" t="s">
        <v>7156</v>
      </c>
      <c r="I2035" s="7"/>
      <c r="J2035" s="10">
        <v>45700</v>
      </c>
      <c r="K2035" s="7" t="s">
        <v>7163</v>
      </c>
      <c r="L2035" s="7"/>
      <c r="M2035" s="7"/>
    </row>
    <row r="2036" spans="1:13" x14ac:dyDescent="0.3">
      <c r="A2036" s="7">
        <v>17369</v>
      </c>
      <c r="B2036" s="7" t="s">
        <v>2044</v>
      </c>
      <c r="C2036" s="7" t="s">
        <v>6489</v>
      </c>
      <c r="D2036" s="7" t="s">
        <v>6610</v>
      </c>
      <c r="E2036" s="7" t="s">
        <v>6616</v>
      </c>
      <c r="F2036" s="7" t="s">
        <v>6341</v>
      </c>
      <c r="G2036" s="7" t="s">
        <v>7150</v>
      </c>
      <c r="H2036" s="7" t="s">
        <v>7156</v>
      </c>
      <c r="I2036" s="7"/>
      <c r="J2036" s="10">
        <v>45722</v>
      </c>
      <c r="K2036" s="7" t="s">
        <v>7163</v>
      </c>
      <c r="L2036" s="7"/>
      <c r="M2036" s="7"/>
    </row>
    <row r="2037" spans="1:13" x14ac:dyDescent="0.3">
      <c r="A2037" s="7">
        <v>17427</v>
      </c>
      <c r="B2037" s="7" t="s">
        <v>2045</v>
      </c>
      <c r="C2037" s="7" t="s">
        <v>6489</v>
      </c>
      <c r="D2037" s="7" t="s">
        <v>6610</v>
      </c>
      <c r="E2037" s="7" t="s">
        <v>6616</v>
      </c>
      <c r="F2037" s="7" t="s">
        <v>6341</v>
      </c>
      <c r="G2037" s="7" t="s">
        <v>7150</v>
      </c>
      <c r="H2037" s="7" t="s">
        <v>7156</v>
      </c>
      <c r="I2037" s="7"/>
      <c r="J2037" s="10">
        <v>45749</v>
      </c>
      <c r="K2037" s="7" t="s">
        <v>7163</v>
      </c>
      <c r="L2037" s="7"/>
      <c r="M2037" s="7"/>
    </row>
    <row r="2038" spans="1:13" x14ac:dyDescent="0.3">
      <c r="A2038" s="7">
        <v>17435</v>
      </c>
      <c r="B2038" s="7" t="s">
        <v>2046</v>
      </c>
      <c r="C2038" s="7" t="s">
        <v>6489</v>
      </c>
      <c r="D2038" s="7" t="s">
        <v>6610</v>
      </c>
      <c r="E2038" s="7" t="s">
        <v>6616</v>
      </c>
      <c r="F2038" s="7" t="s">
        <v>6341</v>
      </c>
      <c r="G2038" s="7" t="s">
        <v>7150</v>
      </c>
      <c r="H2038" s="7" t="s">
        <v>7156</v>
      </c>
      <c r="I2038" s="7"/>
      <c r="J2038" s="10">
        <v>45754</v>
      </c>
      <c r="K2038" s="7" t="s">
        <v>7163</v>
      </c>
      <c r="L2038" s="7"/>
      <c r="M2038" s="7"/>
    </row>
    <row r="2039" spans="1:13" x14ac:dyDescent="0.3">
      <c r="A2039" s="7">
        <v>17634</v>
      </c>
      <c r="B2039" s="7" t="s">
        <v>2047</v>
      </c>
      <c r="C2039" s="7" t="s">
        <v>6489</v>
      </c>
      <c r="D2039" s="7" t="s">
        <v>6610</v>
      </c>
      <c r="E2039" s="7" t="s">
        <v>6616</v>
      </c>
      <c r="F2039" s="7" t="s">
        <v>6341</v>
      </c>
      <c r="G2039" s="7" t="s">
        <v>7150</v>
      </c>
      <c r="H2039" s="7" t="s">
        <v>7156</v>
      </c>
      <c r="I2039" s="7"/>
      <c r="J2039" s="10">
        <v>45826</v>
      </c>
      <c r="K2039" s="7" t="s">
        <v>7163</v>
      </c>
      <c r="L2039" s="7"/>
      <c r="M2039" s="7"/>
    </row>
    <row r="2040" spans="1:13" x14ac:dyDescent="0.3">
      <c r="A2040" s="7">
        <v>17640</v>
      </c>
      <c r="B2040" s="7" t="s">
        <v>2048</v>
      </c>
      <c r="C2040" s="7" t="s">
        <v>6489</v>
      </c>
      <c r="D2040" s="7" t="s">
        <v>6610</v>
      </c>
      <c r="E2040" s="7" t="s">
        <v>6616</v>
      </c>
      <c r="F2040" s="7" t="s">
        <v>6348</v>
      </c>
      <c r="G2040" s="7" t="s">
        <v>7150</v>
      </c>
      <c r="H2040" s="7" t="s">
        <v>7156</v>
      </c>
      <c r="I2040" s="7"/>
      <c r="J2040" s="10">
        <v>45826</v>
      </c>
      <c r="K2040" s="7" t="s">
        <v>7163</v>
      </c>
      <c r="L2040" s="7"/>
      <c r="M2040" s="7"/>
    </row>
    <row r="2041" spans="1:13" x14ac:dyDescent="0.3">
      <c r="A2041" s="7">
        <v>18065</v>
      </c>
      <c r="B2041" s="7" t="s">
        <v>2049</v>
      </c>
      <c r="C2041" s="7" t="s">
        <v>6489</v>
      </c>
      <c r="D2041" s="7" t="s">
        <v>6610</v>
      </c>
      <c r="E2041" s="7" t="s">
        <v>6616</v>
      </c>
      <c r="F2041" s="7" t="s">
        <v>6348</v>
      </c>
      <c r="G2041" s="7" t="s">
        <v>7150</v>
      </c>
      <c r="H2041" s="7" t="s">
        <v>7156</v>
      </c>
      <c r="I2041" s="7"/>
      <c r="J2041" s="10">
        <v>45981</v>
      </c>
      <c r="K2041" s="7" t="s">
        <v>7163</v>
      </c>
      <c r="L2041" s="7"/>
      <c r="M2041" s="7"/>
    </row>
    <row r="2042" spans="1:13" x14ac:dyDescent="0.3">
      <c r="A2042" s="7">
        <v>18386</v>
      </c>
      <c r="B2042" s="7" t="s">
        <v>2050</v>
      </c>
      <c r="C2042" s="7" t="s">
        <v>6489</v>
      </c>
      <c r="D2042" s="7" t="s">
        <v>6610</v>
      </c>
      <c r="E2042" s="7" t="s">
        <v>6616</v>
      </c>
      <c r="F2042" s="7" t="s">
        <v>6348</v>
      </c>
      <c r="G2042" s="7" t="s">
        <v>7150</v>
      </c>
      <c r="H2042" s="7" t="s">
        <v>7156</v>
      </c>
      <c r="I2042" s="7"/>
      <c r="J2042" s="10">
        <v>46114</v>
      </c>
      <c r="K2042" s="7" t="s">
        <v>7163</v>
      </c>
      <c r="L2042" s="7"/>
      <c r="M2042" s="7"/>
    </row>
    <row r="2043" spans="1:13" x14ac:dyDescent="0.3">
      <c r="A2043" s="7">
        <v>17656</v>
      </c>
      <c r="B2043" s="7" t="s">
        <v>2051</v>
      </c>
      <c r="C2043" s="7" t="s">
        <v>6489</v>
      </c>
      <c r="D2043" s="7" t="s">
        <v>6610</v>
      </c>
      <c r="E2043" s="7" t="s">
        <v>6616</v>
      </c>
      <c r="F2043" s="7" t="s">
        <v>6341</v>
      </c>
      <c r="G2043" s="7" t="s">
        <v>7150</v>
      </c>
      <c r="H2043" s="7" t="s">
        <v>7156</v>
      </c>
      <c r="I2043" s="7"/>
      <c r="J2043" s="10">
        <v>45828</v>
      </c>
      <c r="K2043" s="7" t="s">
        <v>7163</v>
      </c>
      <c r="L2043" s="7"/>
      <c r="M2043" s="7"/>
    </row>
    <row r="2044" spans="1:13" x14ac:dyDescent="0.3">
      <c r="A2044" s="7">
        <v>17446</v>
      </c>
      <c r="B2044" s="7" t="s">
        <v>2052</v>
      </c>
      <c r="C2044" s="7" t="s">
        <v>6489</v>
      </c>
      <c r="D2044" s="7" t="s">
        <v>6610</v>
      </c>
      <c r="E2044" s="7" t="s">
        <v>6616</v>
      </c>
      <c r="F2044" s="7" t="s">
        <v>6341</v>
      </c>
      <c r="G2044" s="7" t="s">
        <v>7150</v>
      </c>
      <c r="H2044" s="7" t="s">
        <v>7156</v>
      </c>
      <c r="I2044" s="7"/>
      <c r="J2044" s="10">
        <v>45755</v>
      </c>
      <c r="K2044" s="7" t="s">
        <v>7163</v>
      </c>
      <c r="L2044" s="7"/>
      <c r="M2044" s="7"/>
    </row>
    <row r="2045" spans="1:13" x14ac:dyDescent="0.3">
      <c r="A2045" s="7">
        <v>17474</v>
      </c>
      <c r="B2045" s="7" t="s">
        <v>2053</v>
      </c>
      <c r="C2045" s="7" t="s">
        <v>6489</v>
      </c>
      <c r="D2045" s="7" t="s">
        <v>6610</v>
      </c>
      <c r="E2045" s="7" t="s">
        <v>6616</v>
      </c>
      <c r="F2045" s="7" t="s">
        <v>6341</v>
      </c>
      <c r="G2045" s="7" t="s">
        <v>7150</v>
      </c>
      <c r="H2045" s="7" t="s">
        <v>7156</v>
      </c>
      <c r="I2045" s="7"/>
      <c r="J2045" s="10">
        <v>45762</v>
      </c>
      <c r="K2045" s="7" t="s">
        <v>7163</v>
      </c>
      <c r="L2045" s="7"/>
      <c r="M2045" s="7"/>
    </row>
    <row r="2046" spans="1:13" x14ac:dyDescent="0.3">
      <c r="A2046" s="7">
        <v>17522</v>
      </c>
      <c r="B2046" s="7" t="s">
        <v>2054</v>
      </c>
      <c r="C2046" s="7" t="s">
        <v>6489</v>
      </c>
      <c r="D2046" s="7" t="s">
        <v>6610</v>
      </c>
      <c r="E2046" s="7" t="s">
        <v>6616</v>
      </c>
      <c r="F2046" s="7" t="s">
        <v>6341</v>
      </c>
      <c r="G2046" s="7" t="s">
        <v>7150</v>
      </c>
      <c r="H2046" s="7" t="s">
        <v>7156</v>
      </c>
      <c r="I2046" s="7"/>
      <c r="J2046" s="10">
        <v>45784</v>
      </c>
      <c r="K2046" s="7" t="s">
        <v>7163</v>
      </c>
      <c r="L2046" s="7"/>
      <c r="M2046" s="7"/>
    </row>
    <row r="2047" spans="1:13" x14ac:dyDescent="0.3">
      <c r="A2047" s="7">
        <v>17523</v>
      </c>
      <c r="B2047" s="7" t="s">
        <v>2055</v>
      </c>
      <c r="C2047" s="7" t="s">
        <v>6489</v>
      </c>
      <c r="D2047" s="7" t="s">
        <v>6610</v>
      </c>
      <c r="E2047" s="7" t="s">
        <v>6616</v>
      </c>
      <c r="F2047" s="7" t="s">
        <v>6341</v>
      </c>
      <c r="G2047" s="7" t="s">
        <v>7150</v>
      </c>
      <c r="H2047" s="7" t="s">
        <v>7156</v>
      </c>
      <c r="I2047" s="7"/>
      <c r="J2047" s="10">
        <v>45784</v>
      </c>
      <c r="K2047" s="7" t="s">
        <v>7163</v>
      </c>
      <c r="L2047" s="7"/>
      <c r="M2047" s="7"/>
    </row>
    <row r="2048" spans="1:13" x14ac:dyDescent="0.3">
      <c r="A2048" s="7">
        <v>17524</v>
      </c>
      <c r="B2048" s="7" t="s">
        <v>2056</v>
      </c>
      <c r="C2048" s="7" t="s">
        <v>6489</v>
      </c>
      <c r="D2048" s="7" t="s">
        <v>6610</v>
      </c>
      <c r="E2048" s="7" t="s">
        <v>6616</v>
      </c>
      <c r="F2048" s="7" t="s">
        <v>6341</v>
      </c>
      <c r="G2048" s="7" t="s">
        <v>7150</v>
      </c>
      <c r="H2048" s="7" t="s">
        <v>7156</v>
      </c>
      <c r="I2048" s="7"/>
      <c r="J2048" s="10">
        <v>45784</v>
      </c>
      <c r="K2048" s="7" t="s">
        <v>7163</v>
      </c>
      <c r="L2048" s="7"/>
      <c r="M2048" s="7"/>
    </row>
    <row r="2049" spans="1:13" x14ac:dyDescent="0.3">
      <c r="A2049" s="7">
        <v>17723</v>
      </c>
      <c r="B2049" s="7" t="s">
        <v>2057</v>
      </c>
      <c r="C2049" s="7" t="s">
        <v>6489</v>
      </c>
      <c r="D2049" s="7" t="s">
        <v>6610</v>
      </c>
      <c r="E2049" s="7" t="s">
        <v>6616</v>
      </c>
      <c r="F2049" s="7" t="s">
        <v>6341</v>
      </c>
      <c r="G2049" s="7" t="s">
        <v>7150</v>
      </c>
      <c r="H2049" s="7" t="s">
        <v>7156</v>
      </c>
      <c r="I2049" s="7"/>
      <c r="J2049" s="10">
        <v>45856</v>
      </c>
      <c r="K2049" s="7" t="s">
        <v>7163</v>
      </c>
      <c r="L2049" s="7"/>
      <c r="M2049" s="7"/>
    </row>
    <row r="2050" spans="1:13" x14ac:dyDescent="0.3">
      <c r="A2050" s="7">
        <v>17774</v>
      </c>
      <c r="B2050" s="7" t="s">
        <v>2058</v>
      </c>
      <c r="C2050" s="7" t="s">
        <v>6489</v>
      </c>
      <c r="D2050" s="7" t="s">
        <v>6610</v>
      </c>
      <c r="E2050" s="7" t="s">
        <v>6616</v>
      </c>
      <c r="F2050" s="7" t="s">
        <v>6348</v>
      </c>
      <c r="G2050" s="7" t="s">
        <v>7152</v>
      </c>
      <c r="H2050" s="7" t="s">
        <v>7156</v>
      </c>
      <c r="I2050" s="7"/>
      <c r="J2050" s="10">
        <v>45875</v>
      </c>
      <c r="K2050" s="7" t="s">
        <v>7163</v>
      </c>
      <c r="L2050" s="7"/>
      <c r="M2050" s="7"/>
    </row>
    <row r="2051" spans="1:13" x14ac:dyDescent="0.3">
      <c r="A2051" s="7">
        <v>17277</v>
      </c>
      <c r="B2051" s="7" t="s">
        <v>2059</v>
      </c>
      <c r="C2051" s="7" t="s">
        <v>6489</v>
      </c>
      <c r="D2051" s="7" t="s">
        <v>6610</v>
      </c>
      <c r="E2051" s="7" t="s">
        <v>6616</v>
      </c>
      <c r="F2051" s="7" t="s">
        <v>6389</v>
      </c>
      <c r="G2051" s="7" t="s">
        <v>7150</v>
      </c>
      <c r="H2051" s="7" t="s">
        <v>7157</v>
      </c>
      <c r="I2051" s="7"/>
      <c r="J2051" s="10">
        <v>45692</v>
      </c>
      <c r="K2051" s="7" t="s">
        <v>7163</v>
      </c>
      <c r="L2051" s="7"/>
      <c r="M2051" s="7"/>
    </row>
    <row r="2052" spans="1:13" x14ac:dyDescent="0.3">
      <c r="A2052" s="7">
        <v>18553</v>
      </c>
      <c r="B2052" s="7" t="s">
        <v>2060</v>
      </c>
      <c r="C2052" s="7" t="s">
        <v>6489</v>
      </c>
      <c r="D2052" s="7" t="s">
        <v>6610</v>
      </c>
      <c r="E2052" s="7" t="s">
        <v>6616</v>
      </c>
      <c r="F2052" s="7" t="s">
        <v>6348</v>
      </c>
      <c r="G2052" s="7" t="s">
        <v>7150</v>
      </c>
      <c r="H2052" s="7" t="s">
        <v>7156</v>
      </c>
      <c r="I2052" s="7"/>
      <c r="J2052" s="10">
        <v>46155</v>
      </c>
      <c r="K2052" s="7" t="s">
        <v>7163</v>
      </c>
      <c r="L2052" s="7"/>
      <c r="M2052" s="7"/>
    </row>
    <row r="2053" spans="1:13" x14ac:dyDescent="0.3">
      <c r="A2053" s="7">
        <v>18554</v>
      </c>
      <c r="B2053" s="7" t="s">
        <v>2061</v>
      </c>
      <c r="C2053" s="7" t="s">
        <v>6489</v>
      </c>
      <c r="D2053" s="7" t="s">
        <v>6610</v>
      </c>
      <c r="E2053" s="7" t="s">
        <v>6616</v>
      </c>
      <c r="F2053" s="7" t="s">
        <v>6348</v>
      </c>
      <c r="G2053" s="7" t="s">
        <v>7150</v>
      </c>
      <c r="H2053" s="7" t="s">
        <v>7156</v>
      </c>
      <c r="I2053" s="7"/>
      <c r="J2053" s="10">
        <v>46155</v>
      </c>
      <c r="K2053" s="7" t="s">
        <v>7163</v>
      </c>
      <c r="L2053" s="7"/>
      <c r="M2053" s="7"/>
    </row>
    <row r="2054" spans="1:13" x14ac:dyDescent="0.3">
      <c r="A2054" s="7">
        <v>18557</v>
      </c>
      <c r="B2054" s="7" t="s">
        <v>2062</v>
      </c>
      <c r="C2054" s="7" t="s">
        <v>6489</v>
      </c>
      <c r="D2054" s="7" t="s">
        <v>6610</v>
      </c>
      <c r="E2054" s="7" t="s">
        <v>6616</v>
      </c>
      <c r="F2054" s="7" t="s">
        <v>6348</v>
      </c>
      <c r="G2054" s="7" t="s">
        <v>7150</v>
      </c>
      <c r="H2054" s="7" t="s">
        <v>7156</v>
      </c>
      <c r="I2054" s="7"/>
      <c r="J2054" s="10">
        <v>46155</v>
      </c>
      <c r="K2054" s="7" t="s">
        <v>7163</v>
      </c>
      <c r="L2054" s="7"/>
      <c r="M2054" s="7"/>
    </row>
    <row r="2055" spans="1:13" x14ac:dyDescent="0.3">
      <c r="A2055" s="7">
        <v>18587</v>
      </c>
      <c r="B2055" s="7" t="s">
        <v>2063</v>
      </c>
      <c r="C2055" s="7" t="s">
        <v>6489</v>
      </c>
      <c r="D2055" s="7" t="s">
        <v>6610</v>
      </c>
      <c r="E2055" s="7" t="s">
        <v>6616</v>
      </c>
      <c r="F2055" s="7" t="s">
        <v>6348</v>
      </c>
      <c r="G2055" s="7" t="s">
        <v>7150</v>
      </c>
      <c r="H2055" s="7" t="s">
        <v>7156</v>
      </c>
      <c r="I2055" s="7"/>
      <c r="J2055" s="10">
        <v>46161</v>
      </c>
      <c r="K2055" s="7" t="s">
        <v>7163</v>
      </c>
      <c r="L2055" s="7"/>
      <c r="M2055" s="7"/>
    </row>
    <row r="2056" spans="1:13" x14ac:dyDescent="0.3">
      <c r="A2056" s="7">
        <v>17854</v>
      </c>
      <c r="B2056" s="7" t="s">
        <v>2064</v>
      </c>
      <c r="C2056" s="7" t="s">
        <v>6489</v>
      </c>
      <c r="D2056" s="7" t="s">
        <v>6610</v>
      </c>
      <c r="E2056" s="7" t="s">
        <v>6616</v>
      </c>
      <c r="F2056" s="7" t="s">
        <v>6348</v>
      </c>
      <c r="G2056" s="7" t="s">
        <v>7150</v>
      </c>
      <c r="H2056" s="7" t="s">
        <v>7156</v>
      </c>
      <c r="I2056" s="7"/>
      <c r="J2056" s="10">
        <v>45891</v>
      </c>
      <c r="K2056" s="7" t="s">
        <v>7163</v>
      </c>
      <c r="L2056" s="7"/>
      <c r="M2056" s="7"/>
    </row>
    <row r="2057" spans="1:13" x14ac:dyDescent="0.3">
      <c r="A2057" s="7">
        <v>17731</v>
      </c>
      <c r="B2057" s="7" t="s">
        <v>2065</v>
      </c>
      <c r="C2057" s="7" t="s">
        <v>6489</v>
      </c>
      <c r="D2057" s="7" t="s">
        <v>6610</v>
      </c>
      <c r="E2057" s="7" t="s">
        <v>6616</v>
      </c>
      <c r="F2057" s="7" t="s">
        <v>6341</v>
      </c>
      <c r="G2057" s="7" t="s">
        <v>7150</v>
      </c>
      <c r="H2057" s="7" t="s">
        <v>7156</v>
      </c>
      <c r="I2057" s="7"/>
      <c r="J2057" s="10">
        <v>45856</v>
      </c>
      <c r="K2057" s="7" t="s">
        <v>7163</v>
      </c>
      <c r="L2057" s="7"/>
      <c r="M2057" s="7"/>
    </row>
    <row r="2058" spans="1:13" x14ac:dyDescent="0.3">
      <c r="A2058" s="7">
        <v>17525</v>
      </c>
      <c r="B2058" s="7" t="s">
        <v>2066</v>
      </c>
      <c r="C2058" s="7" t="s">
        <v>6489</v>
      </c>
      <c r="D2058" s="7" t="s">
        <v>6610</v>
      </c>
      <c r="E2058" s="7" t="s">
        <v>6616</v>
      </c>
      <c r="F2058" s="7" t="s">
        <v>6341</v>
      </c>
      <c r="G2058" s="7" t="s">
        <v>7150</v>
      </c>
      <c r="H2058" s="7" t="s">
        <v>7156</v>
      </c>
      <c r="I2058" s="7"/>
      <c r="J2058" s="10">
        <v>45784</v>
      </c>
      <c r="K2058" s="7" t="s">
        <v>7163</v>
      </c>
      <c r="L2058" s="7"/>
      <c r="M2058" s="7"/>
    </row>
    <row r="2059" spans="1:13" x14ac:dyDescent="0.3">
      <c r="A2059" s="7">
        <v>17526</v>
      </c>
      <c r="B2059" s="7" t="s">
        <v>2067</v>
      </c>
      <c r="C2059" s="7" t="s">
        <v>6489</v>
      </c>
      <c r="D2059" s="7" t="s">
        <v>6610</v>
      </c>
      <c r="E2059" s="7" t="s">
        <v>6616</v>
      </c>
      <c r="F2059" s="7" t="s">
        <v>6341</v>
      </c>
      <c r="G2059" s="7" t="s">
        <v>7150</v>
      </c>
      <c r="H2059" s="7" t="s">
        <v>7156</v>
      </c>
      <c r="I2059" s="7"/>
      <c r="J2059" s="10">
        <v>45784</v>
      </c>
      <c r="K2059" s="7" t="s">
        <v>7163</v>
      </c>
      <c r="L2059" s="7"/>
      <c r="M2059" s="7"/>
    </row>
    <row r="2060" spans="1:13" x14ac:dyDescent="0.3">
      <c r="A2060" s="7">
        <v>14751</v>
      </c>
      <c r="B2060" s="7" t="s">
        <v>2068</v>
      </c>
      <c r="C2060" s="7" t="s">
        <v>6489</v>
      </c>
      <c r="D2060" s="7" t="s">
        <v>6610</v>
      </c>
      <c r="E2060" s="7" t="s">
        <v>6616</v>
      </c>
      <c r="F2060" s="7" t="s">
        <v>6341</v>
      </c>
      <c r="G2060" s="7" t="s">
        <v>7150</v>
      </c>
      <c r="H2060" s="7" t="s">
        <v>7156</v>
      </c>
      <c r="I2060" s="7"/>
      <c r="J2060" s="10">
        <v>44847</v>
      </c>
      <c r="K2060" s="7" t="s">
        <v>7163</v>
      </c>
      <c r="L2060" s="7"/>
      <c r="M2060" s="7"/>
    </row>
    <row r="2061" spans="1:13" x14ac:dyDescent="0.3">
      <c r="A2061" s="7">
        <v>17879</v>
      </c>
      <c r="B2061" s="7" t="s">
        <v>2069</v>
      </c>
      <c r="C2061" s="7" t="s">
        <v>6489</v>
      </c>
      <c r="D2061" s="7" t="s">
        <v>6610</v>
      </c>
      <c r="E2061" s="7" t="s">
        <v>6616</v>
      </c>
      <c r="F2061" s="7" t="s">
        <v>6341</v>
      </c>
      <c r="G2061" s="7" t="s">
        <v>7150</v>
      </c>
      <c r="H2061" s="7" t="s">
        <v>7156</v>
      </c>
      <c r="I2061" s="7"/>
      <c r="J2061" s="10">
        <v>45903</v>
      </c>
      <c r="K2061" s="7" t="s">
        <v>7163</v>
      </c>
      <c r="L2061" s="7"/>
      <c r="M2061" s="7"/>
    </row>
    <row r="2062" spans="1:13" x14ac:dyDescent="0.3">
      <c r="A2062" s="7">
        <v>17880</v>
      </c>
      <c r="B2062" s="7" t="s">
        <v>2070</v>
      </c>
      <c r="C2062" s="7" t="s">
        <v>6489</v>
      </c>
      <c r="D2062" s="7" t="s">
        <v>6610</v>
      </c>
      <c r="E2062" s="7" t="s">
        <v>6616</v>
      </c>
      <c r="F2062" s="7" t="s">
        <v>6341</v>
      </c>
      <c r="G2062" s="7" t="s">
        <v>7150</v>
      </c>
      <c r="H2062" s="7" t="s">
        <v>7156</v>
      </c>
      <c r="I2062" s="7"/>
      <c r="J2062" s="10">
        <v>45903</v>
      </c>
      <c r="K2062" s="7" t="s">
        <v>7163</v>
      </c>
      <c r="L2062" s="7"/>
      <c r="M2062" s="7"/>
    </row>
    <row r="2063" spans="1:13" x14ac:dyDescent="0.3">
      <c r="A2063" s="7">
        <v>17885</v>
      </c>
      <c r="B2063" s="7" t="s">
        <v>2071</v>
      </c>
      <c r="C2063" s="7" t="s">
        <v>6489</v>
      </c>
      <c r="D2063" s="7" t="s">
        <v>6610</v>
      </c>
      <c r="E2063" s="7" t="s">
        <v>6616</v>
      </c>
      <c r="F2063" s="7" t="s">
        <v>6341</v>
      </c>
      <c r="G2063" s="7" t="s">
        <v>7150</v>
      </c>
      <c r="H2063" s="7" t="s">
        <v>7156</v>
      </c>
      <c r="I2063" s="7"/>
      <c r="J2063" s="10">
        <v>45904</v>
      </c>
      <c r="K2063" s="7" t="s">
        <v>7163</v>
      </c>
      <c r="L2063" s="7"/>
      <c r="M2063" s="7"/>
    </row>
    <row r="2064" spans="1:13" x14ac:dyDescent="0.3">
      <c r="A2064" s="7">
        <v>17886</v>
      </c>
      <c r="B2064" s="7" t="s">
        <v>2072</v>
      </c>
      <c r="C2064" s="7" t="s">
        <v>6489</v>
      </c>
      <c r="D2064" s="7" t="s">
        <v>6610</v>
      </c>
      <c r="E2064" s="7" t="s">
        <v>6616</v>
      </c>
      <c r="F2064" s="7" t="s">
        <v>6348</v>
      </c>
      <c r="G2064" s="7" t="s">
        <v>7150</v>
      </c>
      <c r="H2064" s="7" t="s">
        <v>7156</v>
      </c>
      <c r="I2064" s="7"/>
      <c r="J2064" s="10">
        <v>45904</v>
      </c>
      <c r="K2064" s="7" t="s">
        <v>7163</v>
      </c>
      <c r="L2064" s="7"/>
      <c r="M2064" s="7"/>
    </row>
    <row r="2065" spans="1:13" x14ac:dyDescent="0.3">
      <c r="A2065" s="7">
        <v>17284</v>
      </c>
      <c r="B2065" s="7" t="s">
        <v>2073</v>
      </c>
      <c r="C2065" s="7" t="s">
        <v>6489</v>
      </c>
      <c r="D2065" s="7" t="s">
        <v>6610</v>
      </c>
      <c r="E2065" s="7" t="s">
        <v>6616</v>
      </c>
      <c r="F2065" s="7" t="s">
        <v>6348</v>
      </c>
      <c r="G2065" s="7" t="s">
        <v>7150</v>
      </c>
      <c r="H2065" s="7" t="s">
        <v>7156</v>
      </c>
      <c r="I2065" s="7"/>
      <c r="J2065" s="10">
        <v>45692</v>
      </c>
      <c r="K2065" s="7" t="s">
        <v>7163</v>
      </c>
      <c r="L2065" s="7"/>
      <c r="M2065" s="7"/>
    </row>
    <row r="2066" spans="1:13" x14ac:dyDescent="0.3">
      <c r="A2066" s="7">
        <v>17964</v>
      </c>
      <c r="B2066" s="7" t="s">
        <v>2074</v>
      </c>
      <c r="C2066" s="7" t="s">
        <v>6489</v>
      </c>
      <c r="D2066" s="7" t="s">
        <v>6610</v>
      </c>
      <c r="E2066" s="7" t="s">
        <v>6616</v>
      </c>
      <c r="F2066" s="7" t="s">
        <v>6348</v>
      </c>
      <c r="G2066" s="7" t="s">
        <v>7150</v>
      </c>
      <c r="H2066" s="7" t="s">
        <v>7156</v>
      </c>
      <c r="I2066" s="7"/>
      <c r="J2066" s="10">
        <v>45939</v>
      </c>
      <c r="K2066" s="7" t="s">
        <v>7163</v>
      </c>
      <c r="L2066" s="7"/>
      <c r="M2066" s="7"/>
    </row>
    <row r="2067" spans="1:13" x14ac:dyDescent="0.3">
      <c r="A2067" s="7">
        <v>18029</v>
      </c>
      <c r="B2067" s="7" t="s">
        <v>2075</v>
      </c>
      <c r="C2067" s="7" t="s">
        <v>6489</v>
      </c>
      <c r="D2067" s="7" t="s">
        <v>6610</v>
      </c>
      <c r="E2067" s="7" t="s">
        <v>6616</v>
      </c>
      <c r="F2067" s="7" t="s">
        <v>6348</v>
      </c>
      <c r="G2067" s="7" t="s">
        <v>7150</v>
      </c>
      <c r="H2067" s="7" t="s">
        <v>7156</v>
      </c>
      <c r="I2067" s="7"/>
      <c r="J2067" s="10">
        <v>45967</v>
      </c>
      <c r="K2067" s="7" t="s">
        <v>7163</v>
      </c>
      <c r="L2067" s="7"/>
      <c r="M2067" s="7"/>
    </row>
    <row r="2068" spans="1:13" x14ac:dyDescent="0.3">
      <c r="A2068" s="7">
        <v>18038</v>
      </c>
      <c r="B2068" s="7" t="s">
        <v>2076</v>
      </c>
      <c r="C2068" s="7" t="s">
        <v>6489</v>
      </c>
      <c r="D2068" s="7" t="s">
        <v>6610</v>
      </c>
      <c r="E2068" s="7" t="s">
        <v>6616</v>
      </c>
      <c r="F2068" s="7" t="s">
        <v>6348</v>
      </c>
      <c r="G2068" s="7" t="s">
        <v>7150</v>
      </c>
      <c r="H2068" s="7" t="s">
        <v>7156</v>
      </c>
      <c r="I2068" s="7"/>
      <c r="J2068" s="10">
        <v>45973</v>
      </c>
      <c r="K2068" s="7" t="s">
        <v>7163</v>
      </c>
      <c r="L2068" s="7"/>
      <c r="M2068" s="7"/>
    </row>
    <row r="2069" spans="1:13" x14ac:dyDescent="0.3">
      <c r="A2069" s="7">
        <v>18033</v>
      </c>
      <c r="B2069" s="7" t="s">
        <v>2077</v>
      </c>
      <c r="C2069" s="7" t="s">
        <v>6489</v>
      </c>
      <c r="D2069" s="7" t="s">
        <v>6610</v>
      </c>
      <c r="E2069" s="7" t="s">
        <v>6616</v>
      </c>
      <c r="F2069" s="7" t="s">
        <v>6348</v>
      </c>
      <c r="G2069" s="7" t="s">
        <v>7150</v>
      </c>
      <c r="H2069" s="7" t="s">
        <v>7156</v>
      </c>
      <c r="I2069" s="7"/>
      <c r="J2069" s="10">
        <v>45978</v>
      </c>
      <c r="K2069" s="7" t="s">
        <v>7163</v>
      </c>
      <c r="L2069" s="7"/>
      <c r="M2069" s="7"/>
    </row>
    <row r="2070" spans="1:13" x14ac:dyDescent="0.3">
      <c r="A2070" s="7">
        <v>18050</v>
      </c>
      <c r="B2070" s="7" t="s">
        <v>2078</v>
      </c>
      <c r="C2070" s="7" t="s">
        <v>6489</v>
      </c>
      <c r="D2070" s="7" t="s">
        <v>6610</v>
      </c>
      <c r="E2070" s="7" t="s">
        <v>6616</v>
      </c>
      <c r="F2070" s="7" t="s">
        <v>6348</v>
      </c>
      <c r="G2070" s="7" t="s">
        <v>7150</v>
      </c>
      <c r="H2070" s="7" t="s">
        <v>7156</v>
      </c>
      <c r="I2070" s="7"/>
      <c r="J2070" s="10">
        <v>45978</v>
      </c>
      <c r="K2070" s="7" t="s">
        <v>7163</v>
      </c>
      <c r="L2070" s="7"/>
      <c r="M2070" s="7"/>
    </row>
    <row r="2071" spans="1:13" x14ac:dyDescent="0.3">
      <c r="A2071" s="7">
        <v>18058</v>
      </c>
      <c r="B2071" s="7" t="s">
        <v>2079</v>
      </c>
      <c r="C2071" s="7" t="s">
        <v>6489</v>
      </c>
      <c r="D2071" s="7" t="s">
        <v>6610</v>
      </c>
      <c r="E2071" s="7" t="s">
        <v>6616</v>
      </c>
      <c r="F2071" s="7" t="s">
        <v>6348</v>
      </c>
      <c r="G2071" s="7" t="s">
        <v>7150</v>
      </c>
      <c r="H2071" s="7" t="s">
        <v>7156</v>
      </c>
      <c r="I2071" s="7"/>
      <c r="J2071" s="10">
        <v>45980</v>
      </c>
      <c r="K2071" s="7" t="s">
        <v>7163</v>
      </c>
      <c r="L2071" s="7"/>
      <c r="M2071" s="7"/>
    </row>
    <row r="2072" spans="1:13" x14ac:dyDescent="0.3">
      <c r="A2072" s="7">
        <v>18059</v>
      </c>
      <c r="B2072" s="7" t="s">
        <v>2080</v>
      </c>
      <c r="C2072" s="7" t="s">
        <v>6489</v>
      </c>
      <c r="D2072" s="7" t="s">
        <v>6610</v>
      </c>
      <c r="E2072" s="7" t="s">
        <v>6616</v>
      </c>
      <c r="F2072" s="7" t="s">
        <v>6348</v>
      </c>
      <c r="G2072" s="7" t="s">
        <v>7150</v>
      </c>
      <c r="H2072" s="7" t="s">
        <v>7156</v>
      </c>
      <c r="I2072" s="7"/>
      <c r="J2072" s="10">
        <v>45980</v>
      </c>
      <c r="K2072" s="7" t="s">
        <v>7163</v>
      </c>
      <c r="L2072" s="7"/>
      <c r="M2072" s="7"/>
    </row>
    <row r="2073" spans="1:13" x14ac:dyDescent="0.3">
      <c r="A2073" s="7">
        <v>18111</v>
      </c>
      <c r="B2073" s="7" t="s">
        <v>2081</v>
      </c>
      <c r="C2073" s="7" t="s">
        <v>6489</v>
      </c>
      <c r="D2073" s="7" t="s">
        <v>6610</v>
      </c>
      <c r="E2073" s="7" t="s">
        <v>6616</v>
      </c>
      <c r="F2073" s="7" t="s">
        <v>6348</v>
      </c>
      <c r="G2073" s="7" t="s">
        <v>7150</v>
      </c>
      <c r="H2073" s="7" t="s">
        <v>7156</v>
      </c>
      <c r="I2073" s="7"/>
      <c r="J2073" s="10">
        <v>45999</v>
      </c>
      <c r="K2073" s="7" t="s">
        <v>7163</v>
      </c>
      <c r="L2073" s="7"/>
      <c r="M2073" s="7"/>
    </row>
    <row r="2074" spans="1:13" x14ac:dyDescent="0.3">
      <c r="A2074" s="7">
        <v>18114</v>
      </c>
      <c r="B2074" s="7" t="s">
        <v>2082</v>
      </c>
      <c r="C2074" s="7" t="s">
        <v>6489</v>
      </c>
      <c r="D2074" s="7" t="s">
        <v>6610</v>
      </c>
      <c r="E2074" s="7" t="s">
        <v>6616</v>
      </c>
      <c r="F2074" s="7" t="s">
        <v>6348</v>
      </c>
      <c r="G2074" s="7" t="s">
        <v>7150</v>
      </c>
      <c r="H2074" s="7" t="s">
        <v>7156</v>
      </c>
      <c r="I2074" s="7"/>
      <c r="J2074" s="10">
        <v>46000</v>
      </c>
      <c r="K2074" s="7" t="s">
        <v>7163</v>
      </c>
      <c r="L2074" s="7"/>
      <c r="M2074" s="7"/>
    </row>
    <row r="2075" spans="1:13" x14ac:dyDescent="0.3">
      <c r="A2075" s="7">
        <v>18115</v>
      </c>
      <c r="B2075" s="7" t="s">
        <v>2083</v>
      </c>
      <c r="C2075" s="7" t="s">
        <v>6489</v>
      </c>
      <c r="D2075" s="7" t="s">
        <v>6610</v>
      </c>
      <c r="E2075" s="7" t="s">
        <v>6616</v>
      </c>
      <c r="F2075" s="7" t="s">
        <v>6348</v>
      </c>
      <c r="G2075" s="7" t="s">
        <v>7150</v>
      </c>
      <c r="H2075" s="7" t="s">
        <v>7156</v>
      </c>
      <c r="I2075" s="7"/>
      <c r="J2075" s="10">
        <v>46000</v>
      </c>
      <c r="K2075" s="7" t="s">
        <v>7163</v>
      </c>
      <c r="L2075" s="7"/>
      <c r="M2075" s="7"/>
    </row>
    <row r="2076" spans="1:13" x14ac:dyDescent="0.3">
      <c r="A2076" s="7">
        <v>18122</v>
      </c>
      <c r="B2076" s="7" t="s">
        <v>2084</v>
      </c>
      <c r="C2076" s="7" t="s">
        <v>6489</v>
      </c>
      <c r="D2076" s="7" t="s">
        <v>6610</v>
      </c>
      <c r="E2076" s="7" t="s">
        <v>6616</v>
      </c>
      <c r="F2076" s="7" t="s">
        <v>6348</v>
      </c>
      <c r="G2076" s="7" t="s">
        <v>7150</v>
      </c>
      <c r="H2076" s="7" t="s">
        <v>7156</v>
      </c>
      <c r="I2076" s="7"/>
      <c r="J2076" s="10">
        <v>46006</v>
      </c>
      <c r="K2076" s="7" t="s">
        <v>7163</v>
      </c>
      <c r="L2076" s="7"/>
      <c r="M2076" s="7"/>
    </row>
    <row r="2077" spans="1:13" x14ac:dyDescent="0.3">
      <c r="A2077" s="7">
        <v>18492</v>
      </c>
      <c r="B2077" s="7" t="s">
        <v>2085</v>
      </c>
      <c r="C2077" s="7" t="s">
        <v>6489</v>
      </c>
      <c r="D2077" s="7" t="s">
        <v>6610</v>
      </c>
      <c r="E2077" s="7" t="s">
        <v>6616</v>
      </c>
      <c r="F2077" s="7" t="s">
        <v>6348</v>
      </c>
      <c r="G2077" s="7" t="s">
        <v>7150</v>
      </c>
      <c r="H2077" s="7" t="s">
        <v>7156</v>
      </c>
      <c r="I2077" s="7"/>
      <c r="J2077" s="10">
        <v>46143</v>
      </c>
      <c r="K2077" s="7" t="s">
        <v>7163</v>
      </c>
      <c r="L2077" s="7"/>
      <c r="M2077" s="7"/>
    </row>
    <row r="2078" spans="1:13" x14ac:dyDescent="0.3">
      <c r="A2078" s="7">
        <v>18510</v>
      </c>
      <c r="B2078" s="7" t="s">
        <v>2086</v>
      </c>
      <c r="C2078" s="7" t="s">
        <v>6489</v>
      </c>
      <c r="D2078" s="7" t="s">
        <v>6610</v>
      </c>
      <c r="E2078" s="7" t="s">
        <v>6616</v>
      </c>
      <c r="F2078" s="7" t="s">
        <v>6348</v>
      </c>
      <c r="G2078" s="7" t="s">
        <v>7150</v>
      </c>
      <c r="H2078" s="7" t="s">
        <v>7156</v>
      </c>
      <c r="I2078" s="7"/>
      <c r="J2078" s="10">
        <v>46147</v>
      </c>
      <c r="K2078" s="7" t="s">
        <v>7163</v>
      </c>
      <c r="L2078" s="7"/>
      <c r="M2078" s="7"/>
    </row>
    <row r="2079" spans="1:13" x14ac:dyDescent="0.3">
      <c r="A2079" s="7">
        <v>18629</v>
      </c>
      <c r="B2079" s="7" t="s">
        <v>2087</v>
      </c>
      <c r="C2079" s="7" t="s">
        <v>6489</v>
      </c>
      <c r="D2079" s="7" t="s">
        <v>6610</v>
      </c>
      <c r="E2079" s="7" t="s">
        <v>6616</v>
      </c>
      <c r="F2079" s="7" t="s">
        <v>6348</v>
      </c>
      <c r="G2079" s="7" t="s">
        <v>7150</v>
      </c>
      <c r="H2079" s="7" t="s">
        <v>7156</v>
      </c>
      <c r="I2079" s="7"/>
      <c r="J2079" s="10">
        <v>46176</v>
      </c>
      <c r="K2079" s="7" t="s">
        <v>7163</v>
      </c>
      <c r="L2079" s="7"/>
      <c r="M2079" s="7"/>
    </row>
    <row r="2080" spans="1:13" x14ac:dyDescent="0.3">
      <c r="A2080" s="7">
        <v>13859</v>
      </c>
      <c r="B2080" s="7" t="s">
        <v>2088</v>
      </c>
      <c r="C2080" s="7" t="s">
        <v>6489</v>
      </c>
      <c r="D2080" s="7" t="s">
        <v>6610</v>
      </c>
      <c r="E2080" s="7" t="s">
        <v>6616</v>
      </c>
      <c r="F2080" s="7" t="s">
        <v>6341</v>
      </c>
      <c r="G2080" s="7" t="s">
        <v>7150</v>
      </c>
      <c r="H2080" s="7" t="s">
        <v>7156</v>
      </c>
      <c r="I2080" s="7"/>
      <c r="J2080" s="10">
        <v>44608</v>
      </c>
      <c r="K2080" s="7" t="s">
        <v>7163</v>
      </c>
      <c r="L2080" s="7"/>
      <c r="M2080" s="7"/>
    </row>
    <row r="2081" spans="1:13" x14ac:dyDescent="0.3">
      <c r="A2081" s="7">
        <v>18504</v>
      </c>
      <c r="B2081" s="7" t="s">
        <v>2089</v>
      </c>
      <c r="C2081" s="7" t="s">
        <v>6489</v>
      </c>
      <c r="D2081" s="7" t="s">
        <v>6610</v>
      </c>
      <c r="E2081" s="7" t="s">
        <v>6616</v>
      </c>
      <c r="F2081" s="7" t="s">
        <v>6348</v>
      </c>
      <c r="G2081" s="7" t="s">
        <v>7150</v>
      </c>
      <c r="H2081" s="7" t="s">
        <v>7156</v>
      </c>
      <c r="I2081" s="7"/>
      <c r="J2081" s="10">
        <v>46146</v>
      </c>
      <c r="K2081" s="7" t="s">
        <v>7163</v>
      </c>
      <c r="L2081" s="7"/>
      <c r="M2081" s="7"/>
    </row>
    <row r="2082" spans="1:13" x14ac:dyDescent="0.3">
      <c r="A2082" s="7">
        <v>16461</v>
      </c>
      <c r="B2082" s="7" t="s">
        <v>2090</v>
      </c>
      <c r="C2082" s="7" t="s">
        <v>6489</v>
      </c>
      <c r="D2082" s="7" t="s">
        <v>6610</v>
      </c>
      <c r="E2082" s="7" t="s">
        <v>6616</v>
      </c>
      <c r="F2082" s="7" t="s">
        <v>6348</v>
      </c>
      <c r="G2082" s="7" t="s">
        <v>7151</v>
      </c>
      <c r="H2082" s="7" t="s">
        <v>7156</v>
      </c>
      <c r="I2082" s="7"/>
      <c r="J2082" s="10">
        <v>45414</v>
      </c>
      <c r="K2082" s="7" t="s">
        <v>7163</v>
      </c>
      <c r="L2082" s="7"/>
      <c r="M2082" s="7"/>
    </row>
    <row r="2083" spans="1:13" x14ac:dyDescent="0.3">
      <c r="A2083" s="7">
        <v>17170</v>
      </c>
      <c r="B2083" s="7" t="s">
        <v>2091</v>
      </c>
      <c r="C2083" s="7" t="s">
        <v>6489</v>
      </c>
      <c r="D2083" s="7" t="s">
        <v>6610</v>
      </c>
      <c r="E2083" s="7" t="s">
        <v>6616</v>
      </c>
      <c r="F2083" s="7" t="s">
        <v>6389</v>
      </c>
      <c r="G2083" s="7" t="s">
        <v>7150</v>
      </c>
      <c r="H2083" s="7" t="s">
        <v>7157</v>
      </c>
      <c r="I2083" s="7"/>
      <c r="J2083" s="10">
        <v>45652</v>
      </c>
      <c r="K2083" s="7" t="s">
        <v>7163</v>
      </c>
      <c r="L2083" s="7"/>
      <c r="M2083" s="7"/>
    </row>
    <row r="2084" spans="1:13" x14ac:dyDescent="0.3">
      <c r="A2084" s="7">
        <v>14449</v>
      </c>
      <c r="B2084" s="7" t="s">
        <v>2092</v>
      </c>
      <c r="C2084" s="7" t="s">
        <v>6489</v>
      </c>
      <c r="D2084" s="7" t="s">
        <v>6610</v>
      </c>
      <c r="E2084" s="7" t="s">
        <v>6616</v>
      </c>
      <c r="F2084" s="7" t="s">
        <v>6348</v>
      </c>
      <c r="G2084" s="7" t="s">
        <v>7151</v>
      </c>
      <c r="H2084" s="7" t="s">
        <v>7156</v>
      </c>
      <c r="I2084" s="7"/>
      <c r="J2084" s="10">
        <v>44763</v>
      </c>
      <c r="K2084" s="7" t="s">
        <v>7163</v>
      </c>
      <c r="L2084" s="7"/>
      <c r="M2084" s="7"/>
    </row>
    <row r="2085" spans="1:13" x14ac:dyDescent="0.3">
      <c r="A2085" s="7">
        <v>18882</v>
      </c>
      <c r="B2085" s="7" t="s">
        <v>2093</v>
      </c>
      <c r="C2085" s="7" t="s">
        <v>6489</v>
      </c>
      <c r="D2085" s="7" t="s">
        <v>6610</v>
      </c>
      <c r="E2085" s="7" t="s">
        <v>6616</v>
      </c>
      <c r="F2085" s="7" t="s">
        <v>6406</v>
      </c>
      <c r="G2085" s="7" t="s">
        <v>7150</v>
      </c>
      <c r="H2085" s="7" t="s">
        <v>7157</v>
      </c>
      <c r="I2085" s="7"/>
      <c r="J2085" s="10">
        <v>46231</v>
      </c>
      <c r="K2085" s="7" t="s">
        <v>7163</v>
      </c>
      <c r="L2085" s="7"/>
      <c r="M2085" s="7"/>
    </row>
    <row r="2086" spans="1:13" x14ac:dyDescent="0.3">
      <c r="A2086" s="7">
        <v>17598</v>
      </c>
      <c r="B2086" s="7" t="s">
        <v>2094</v>
      </c>
      <c r="C2086" s="7" t="s">
        <v>6489</v>
      </c>
      <c r="D2086" s="7" t="s">
        <v>6610</v>
      </c>
      <c r="E2086" s="7" t="s">
        <v>6616</v>
      </c>
      <c r="F2086" s="7" t="s">
        <v>6615</v>
      </c>
      <c r="G2086" s="7" t="s">
        <v>7150</v>
      </c>
      <c r="H2086" s="7" t="s">
        <v>7156</v>
      </c>
      <c r="I2086" s="7"/>
      <c r="J2086" s="10">
        <v>45810</v>
      </c>
      <c r="K2086" s="7" t="s">
        <v>7163</v>
      </c>
      <c r="L2086" s="7"/>
      <c r="M2086" s="7"/>
    </row>
    <row r="2087" spans="1:13" x14ac:dyDescent="0.3">
      <c r="A2087" s="7">
        <v>11446</v>
      </c>
      <c r="B2087" s="7" t="s">
        <v>2095</v>
      </c>
      <c r="C2087" s="7" t="s">
        <v>6489</v>
      </c>
      <c r="D2087" s="7" t="s">
        <v>6295</v>
      </c>
      <c r="E2087" s="7" t="s">
        <v>6295</v>
      </c>
      <c r="F2087" s="7" t="s">
        <v>6336</v>
      </c>
      <c r="G2087" s="7" t="s">
        <v>7150</v>
      </c>
      <c r="H2087" s="7" t="s">
        <v>7156</v>
      </c>
      <c r="I2087" s="7"/>
      <c r="J2087" s="10">
        <v>42705</v>
      </c>
      <c r="K2087" s="7" t="s">
        <v>7163</v>
      </c>
      <c r="L2087" s="7"/>
      <c r="M2087" s="7"/>
    </row>
    <row r="2088" spans="1:13" x14ac:dyDescent="0.3">
      <c r="A2088" s="7">
        <v>11725</v>
      </c>
      <c r="B2088" s="7" t="s">
        <v>2096</v>
      </c>
      <c r="C2088" s="7" t="s">
        <v>6489</v>
      </c>
      <c r="D2088" s="7" t="s">
        <v>6617</v>
      </c>
      <c r="E2088" s="7" t="s">
        <v>6618</v>
      </c>
      <c r="F2088" s="7" t="s">
        <v>6498</v>
      </c>
      <c r="G2088" s="7" t="s">
        <v>7150</v>
      </c>
      <c r="H2088" s="7" t="s">
        <v>7156</v>
      </c>
      <c r="I2088" s="7"/>
      <c r="J2088" s="10">
        <v>43063</v>
      </c>
      <c r="K2088" s="7" t="s">
        <v>7163</v>
      </c>
      <c r="L2088" s="7"/>
      <c r="M2088" s="7"/>
    </row>
    <row r="2089" spans="1:13" x14ac:dyDescent="0.3">
      <c r="A2089" s="7">
        <v>11737</v>
      </c>
      <c r="B2089" s="7" t="s">
        <v>2097</v>
      </c>
      <c r="C2089" s="7" t="s">
        <v>6489</v>
      </c>
      <c r="D2089" s="7" t="s">
        <v>6617</v>
      </c>
      <c r="E2089" s="7" t="s">
        <v>6618</v>
      </c>
      <c r="F2089" s="7" t="s">
        <v>6353</v>
      </c>
      <c r="G2089" s="7" t="s">
        <v>7150</v>
      </c>
      <c r="H2089" s="7" t="s">
        <v>7156</v>
      </c>
      <c r="I2089" s="7"/>
      <c r="J2089" s="10">
        <v>43074</v>
      </c>
      <c r="K2089" s="7" t="s">
        <v>7163</v>
      </c>
      <c r="L2089" s="7"/>
      <c r="M2089" s="7"/>
    </row>
    <row r="2090" spans="1:13" x14ac:dyDescent="0.3">
      <c r="A2090" s="7">
        <v>11900</v>
      </c>
      <c r="B2090" s="7" t="s">
        <v>2098</v>
      </c>
      <c r="C2090" s="7" t="s">
        <v>6489</v>
      </c>
      <c r="D2090" s="7" t="s">
        <v>6617</v>
      </c>
      <c r="E2090" s="7" t="s">
        <v>6618</v>
      </c>
      <c r="F2090" s="7" t="s">
        <v>6353</v>
      </c>
      <c r="G2090" s="7" t="s">
        <v>7150</v>
      </c>
      <c r="H2090" s="7" t="s">
        <v>7156</v>
      </c>
      <c r="I2090" s="7"/>
      <c r="J2090" s="10">
        <v>43245</v>
      </c>
      <c r="K2090" s="7" t="s">
        <v>7163</v>
      </c>
      <c r="L2090" s="7"/>
      <c r="M2090" s="7"/>
    </row>
    <row r="2091" spans="1:13" x14ac:dyDescent="0.3">
      <c r="A2091" s="7">
        <v>11683</v>
      </c>
      <c r="B2091" s="7" t="s">
        <v>2099</v>
      </c>
      <c r="C2091" s="7" t="s">
        <v>6489</v>
      </c>
      <c r="D2091" s="7" t="s">
        <v>6617</v>
      </c>
      <c r="E2091" s="7" t="s">
        <v>6618</v>
      </c>
      <c r="F2091" s="7" t="s">
        <v>6340</v>
      </c>
      <c r="G2091" s="7" t="s">
        <v>7150</v>
      </c>
      <c r="H2091" s="7" t="s">
        <v>7156</v>
      </c>
      <c r="I2091" s="7"/>
      <c r="J2091" s="10">
        <v>43017</v>
      </c>
      <c r="K2091" s="7" t="s">
        <v>7163</v>
      </c>
      <c r="L2091" s="7"/>
      <c r="M2091" s="7"/>
    </row>
    <row r="2092" spans="1:13" x14ac:dyDescent="0.3">
      <c r="A2092" s="7">
        <v>11550</v>
      </c>
      <c r="B2092" s="7" t="s">
        <v>2100</v>
      </c>
      <c r="C2092" s="7" t="s">
        <v>6461</v>
      </c>
      <c r="D2092" s="7" t="s">
        <v>6295</v>
      </c>
      <c r="E2092" s="7" t="s">
        <v>6619</v>
      </c>
      <c r="F2092" s="7" t="s">
        <v>6340</v>
      </c>
      <c r="G2092" s="7" t="s">
        <v>7150</v>
      </c>
      <c r="H2092" s="7" t="s">
        <v>7156</v>
      </c>
      <c r="I2092" s="7"/>
      <c r="J2092" s="10">
        <v>42829</v>
      </c>
      <c r="K2092" s="7" t="s">
        <v>7163</v>
      </c>
      <c r="L2092" s="7"/>
      <c r="M2092" s="7"/>
    </row>
    <row r="2093" spans="1:13" x14ac:dyDescent="0.3">
      <c r="A2093" s="7">
        <v>300017</v>
      </c>
      <c r="B2093" s="7" t="s">
        <v>2101</v>
      </c>
      <c r="C2093" s="7" t="s">
        <v>6461</v>
      </c>
      <c r="D2093" s="7" t="s">
        <v>6295</v>
      </c>
      <c r="E2093" s="7" t="s">
        <v>6619</v>
      </c>
      <c r="F2093" s="7" t="s">
        <v>6353</v>
      </c>
      <c r="G2093" s="7" t="s">
        <v>7150</v>
      </c>
      <c r="H2093" s="7" t="s">
        <v>7156</v>
      </c>
      <c r="I2093" s="7"/>
      <c r="J2093" s="10">
        <v>36697</v>
      </c>
      <c r="K2093" s="7" t="s">
        <v>7163</v>
      </c>
      <c r="L2093" s="7"/>
      <c r="M2093" s="7"/>
    </row>
    <row r="2094" spans="1:13" x14ac:dyDescent="0.3">
      <c r="A2094" s="7">
        <v>12288</v>
      </c>
      <c r="B2094" s="7" t="s">
        <v>2102</v>
      </c>
      <c r="C2094" s="7" t="s">
        <v>6489</v>
      </c>
      <c r="D2094" s="7" t="s">
        <v>6617</v>
      </c>
      <c r="E2094" s="7" t="s">
        <v>6618</v>
      </c>
      <c r="F2094" s="7" t="s">
        <v>6340</v>
      </c>
      <c r="G2094" s="7" t="s">
        <v>7150</v>
      </c>
      <c r="H2094" s="7" t="s">
        <v>7156</v>
      </c>
      <c r="I2094" s="7"/>
      <c r="J2094" s="10">
        <v>43668</v>
      </c>
      <c r="K2094" s="7" t="s">
        <v>7163</v>
      </c>
      <c r="L2094" s="7"/>
      <c r="M2094" s="7"/>
    </row>
    <row r="2095" spans="1:13" x14ac:dyDescent="0.3">
      <c r="A2095" s="7">
        <v>12294</v>
      </c>
      <c r="B2095" s="7" t="s">
        <v>2103</v>
      </c>
      <c r="C2095" s="7" t="s">
        <v>6489</v>
      </c>
      <c r="D2095" s="7" t="s">
        <v>6617</v>
      </c>
      <c r="E2095" s="7" t="s">
        <v>6618</v>
      </c>
      <c r="F2095" s="7" t="s">
        <v>6340</v>
      </c>
      <c r="G2095" s="7" t="s">
        <v>7150</v>
      </c>
      <c r="H2095" s="7" t="s">
        <v>7156</v>
      </c>
      <c r="I2095" s="7"/>
      <c r="J2095" s="10">
        <v>43671</v>
      </c>
      <c r="K2095" s="7" t="s">
        <v>7163</v>
      </c>
      <c r="L2095" s="7"/>
      <c r="M2095" s="7"/>
    </row>
    <row r="2096" spans="1:13" x14ac:dyDescent="0.3">
      <c r="A2096" s="7">
        <v>270034</v>
      </c>
      <c r="B2096" s="7" t="s">
        <v>2104</v>
      </c>
      <c r="C2096" s="7" t="s">
        <v>6461</v>
      </c>
      <c r="D2096" s="7" t="s">
        <v>6295</v>
      </c>
      <c r="E2096" s="7" t="s">
        <v>6619</v>
      </c>
      <c r="F2096" s="7" t="s">
        <v>6340</v>
      </c>
      <c r="G2096" s="7" t="s">
        <v>7150</v>
      </c>
      <c r="H2096" s="7" t="s">
        <v>7156</v>
      </c>
      <c r="I2096" s="7"/>
      <c r="J2096" s="10">
        <v>42346</v>
      </c>
      <c r="K2096" s="7" t="s">
        <v>7163</v>
      </c>
      <c r="L2096" s="7"/>
      <c r="M2096" s="7"/>
    </row>
    <row r="2097" spans="1:13" x14ac:dyDescent="0.3">
      <c r="A2097" s="7">
        <v>12925</v>
      </c>
      <c r="B2097" s="7" t="s">
        <v>2105</v>
      </c>
      <c r="C2097" s="7" t="s">
        <v>6489</v>
      </c>
      <c r="D2097" s="7" t="s">
        <v>6617</v>
      </c>
      <c r="E2097" s="7" t="s">
        <v>6618</v>
      </c>
      <c r="F2097" s="7" t="s">
        <v>6340</v>
      </c>
      <c r="G2097" s="7" t="s">
        <v>7150</v>
      </c>
      <c r="H2097" s="7" t="s">
        <v>7156</v>
      </c>
      <c r="I2097" s="7"/>
      <c r="J2097" s="10">
        <v>44112</v>
      </c>
      <c r="K2097" s="7" t="s">
        <v>7163</v>
      </c>
      <c r="L2097" s="7"/>
      <c r="M2097" s="7"/>
    </row>
    <row r="2098" spans="1:13" x14ac:dyDescent="0.3">
      <c r="A2098" s="7">
        <v>14881</v>
      </c>
      <c r="B2098" s="7" t="s">
        <v>2106</v>
      </c>
      <c r="C2098" s="7" t="s">
        <v>6489</v>
      </c>
      <c r="D2098" s="7" t="s">
        <v>6617</v>
      </c>
      <c r="E2098" s="7" t="s">
        <v>6618</v>
      </c>
      <c r="F2098" s="7" t="s">
        <v>6341</v>
      </c>
      <c r="G2098" s="7" t="s">
        <v>7150</v>
      </c>
      <c r="H2098" s="7" t="s">
        <v>7156</v>
      </c>
      <c r="I2098" s="7"/>
      <c r="J2098" s="10">
        <v>44886</v>
      </c>
      <c r="K2098" s="7" t="s">
        <v>7163</v>
      </c>
      <c r="L2098" s="7"/>
      <c r="M2098" s="7"/>
    </row>
    <row r="2099" spans="1:13" x14ac:dyDescent="0.3">
      <c r="A2099" s="7">
        <v>13443</v>
      </c>
      <c r="B2099" s="7" t="s">
        <v>2107</v>
      </c>
      <c r="C2099" s="7" t="s">
        <v>6489</v>
      </c>
      <c r="D2099" s="7" t="s">
        <v>6617</v>
      </c>
      <c r="E2099" s="7" t="s">
        <v>6618</v>
      </c>
      <c r="F2099" s="7" t="s">
        <v>6341</v>
      </c>
      <c r="G2099" s="7" t="s">
        <v>7150</v>
      </c>
      <c r="H2099" s="7" t="s">
        <v>7156</v>
      </c>
      <c r="I2099" s="7"/>
      <c r="J2099" s="10">
        <v>44456</v>
      </c>
      <c r="K2099" s="7" t="s">
        <v>7163</v>
      </c>
      <c r="L2099" s="7"/>
      <c r="M2099" s="7"/>
    </row>
    <row r="2100" spans="1:13" x14ac:dyDescent="0.3">
      <c r="A2100" s="7">
        <v>13214</v>
      </c>
      <c r="B2100" s="7" t="s">
        <v>2108</v>
      </c>
      <c r="C2100" s="7" t="s">
        <v>6489</v>
      </c>
      <c r="D2100" s="7" t="s">
        <v>6617</v>
      </c>
      <c r="E2100" s="7" t="s">
        <v>6618</v>
      </c>
      <c r="F2100" s="7" t="s">
        <v>6341</v>
      </c>
      <c r="G2100" s="7" t="s">
        <v>7150</v>
      </c>
      <c r="H2100" s="7" t="s">
        <v>7156</v>
      </c>
      <c r="I2100" s="7"/>
      <c r="J2100" s="10">
        <v>44323</v>
      </c>
      <c r="K2100" s="7" t="s">
        <v>7163</v>
      </c>
      <c r="L2100" s="7"/>
      <c r="M2100" s="7"/>
    </row>
    <row r="2101" spans="1:13" x14ac:dyDescent="0.3">
      <c r="A2101" s="7">
        <v>11758</v>
      </c>
      <c r="B2101" s="7" t="s">
        <v>2109</v>
      </c>
      <c r="C2101" s="7" t="s">
        <v>6489</v>
      </c>
      <c r="D2101" s="7" t="s">
        <v>6617</v>
      </c>
      <c r="E2101" s="7" t="s">
        <v>6618</v>
      </c>
      <c r="F2101" s="7" t="s">
        <v>6341</v>
      </c>
      <c r="G2101" s="7" t="s">
        <v>7150</v>
      </c>
      <c r="H2101" s="7" t="s">
        <v>7156</v>
      </c>
      <c r="I2101" s="7"/>
      <c r="J2101" s="10">
        <v>43090</v>
      </c>
      <c r="K2101" s="7" t="s">
        <v>7163</v>
      </c>
      <c r="L2101" s="7"/>
      <c r="M2101" s="7"/>
    </row>
    <row r="2102" spans="1:13" x14ac:dyDescent="0.3">
      <c r="A2102" s="7">
        <v>16852</v>
      </c>
      <c r="B2102" s="7" t="s">
        <v>2110</v>
      </c>
      <c r="C2102" s="7" t="s">
        <v>6489</v>
      </c>
      <c r="D2102" s="7" t="s">
        <v>6617</v>
      </c>
      <c r="E2102" s="7" t="s">
        <v>6618</v>
      </c>
      <c r="F2102" s="7" t="s">
        <v>6341</v>
      </c>
      <c r="G2102" s="7" t="s">
        <v>7150</v>
      </c>
      <c r="H2102" s="7" t="s">
        <v>7156</v>
      </c>
      <c r="I2102" s="7"/>
      <c r="J2102" s="10">
        <v>45568</v>
      </c>
      <c r="K2102" s="7" t="s">
        <v>7163</v>
      </c>
      <c r="L2102" s="7"/>
      <c r="M2102" s="7"/>
    </row>
    <row r="2103" spans="1:13" x14ac:dyDescent="0.3">
      <c r="A2103" s="7">
        <v>17569</v>
      </c>
      <c r="B2103" s="7" t="s">
        <v>2111</v>
      </c>
      <c r="C2103" s="7" t="s">
        <v>6489</v>
      </c>
      <c r="D2103" s="7" t="s">
        <v>6617</v>
      </c>
      <c r="E2103" s="7" t="s">
        <v>6618</v>
      </c>
      <c r="F2103" s="7" t="s">
        <v>6341</v>
      </c>
      <c r="G2103" s="7" t="s">
        <v>7150</v>
      </c>
      <c r="H2103" s="7" t="s">
        <v>7156</v>
      </c>
      <c r="I2103" s="7"/>
      <c r="J2103" s="10">
        <v>45793</v>
      </c>
      <c r="K2103" s="7" t="s">
        <v>7163</v>
      </c>
      <c r="L2103" s="7"/>
      <c r="M2103" s="7"/>
    </row>
    <row r="2104" spans="1:13" x14ac:dyDescent="0.3">
      <c r="A2104" s="7">
        <v>16935</v>
      </c>
      <c r="B2104" s="7" t="s">
        <v>2112</v>
      </c>
      <c r="C2104" s="7" t="s">
        <v>6620</v>
      </c>
      <c r="D2104" s="7" t="s">
        <v>6617</v>
      </c>
      <c r="E2104" s="7" t="s">
        <v>6618</v>
      </c>
      <c r="F2104" s="7" t="s">
        <v>6341</v>
      </c>
      <c r="G2104" s="7" t="s">
        <v>7150</v>
      </c>
      <c r="H2104" s="7" t="s">
        <v>7156</v>
      </c>
      <c r="I2104" s="7"/>
      <c r="J2104" s="10">
        <v>45566</v>
      </c>
      <c r="K2104" s="7" t="s">
        <v>7163</v>
      </c>
      <c r="L2104" s="7"/>
      <c r="M2104" s="7"/>
    </row>
    <row r="2105" spans="1:13" x14ac:dyDescent="0.3">
      <c r="A2105" s="7">
        <v>17958</v>
      </c>
      <c r="B2105" s="7" t="s">
        <v>2113</v>
      </c>
      <c r="C2105" s="7" t="s">
        <v>6620</v>
      </c>
      <c r="D2105" s="7" t="s">
        <v>6617</v>
      </c>
      <c r="E2105" s="7" t="s">
        <v>6618</v>
      </c>
      <c r="F2105" s="7" t="s">
        <v>6348</v>
      </c>
      <c r="G2105" s="7" t="s">
        <v>7150</v>
      </c>
      <c r="H2105" s="7" t="s">
        <v>7156</v>
      </c>
      <c r="I2105" s="7"/>
      <c r="J2105" s="10">
        <v>45937</v>
      </c>
      <c r="K2105" s="7" t="s">
        <v>7163</v>
      </c>
      <c r="L2105" s="7"/>
      <c r="M2105" s="7"/>
    </row>
    <row r="2106" spans="1:13" x14ac:dyDescent="0.3">
      <c r="A2106" s="7">
        <v>11173</v>
      </c>
      <c r="B2106" s="7" t="s">
        <v>2114</v>
      </c>
      <c r="C2106" s="7" t="s">
        <v>6489</v>
      </c>
      <c r="D2106" s="7" t="s">
        <v>6617</v>
      </c>
      <c r="E2106" s="7" t="s">
        <v>6621</v>
      </c>
      <c r="F2106" s="7" t="s">
        <v>6542</v>
      </c>
      <c r="G2106" s="7" t="s">
        <v>7152</v>
      </c>
      <c r="H2106" s="7" t="s">
        <v>7156</v>
      </c>
      <c r="I2106" s="7"/>
      <c r="J2106" s="10">
        <v>42349</v>
      </c>
      <c r="K2106" s="7" t="s">
        <v>7163</v>
      </c>
      <c r="L2106" s="7"/>
      <c r="M2106" s="7"/>
    </row>
    <row r="2107" spans="1:13" x14ac:dyDescent="0.3">
      <c r="A2107" s="7">
        <v>11624</v>
      </c>
      <c r="B2107" s="7" t="s">
        <v>2115</v>
      </c>
      <c r="C2107" s="7" t="s">
        <v>6489</v>
      </c>
      <c r="D2107" s="7" t="s">
        <v>6617</v>
      </c>
      <c r="E2107" s="7" t="s">
        <v>6621</v>
      </c>
      <c r="F2107" s="7" t="s">
        <v>6542</v>
      </c>
      <c r="G2107" s="7" t="s">
        <v>7150</v>
      </c>
      <c r="H2107" s="7" t="s">
        <v>7156</v>
      </c>
      <c r="I2107" s="7"/>
      <c r="J2107" s="10">
        <v>42951</v>
      </c>
      <c r="K2107" s="7" t="s">
        <v>7163</v>
      </c>
      <c r="L2107" s="7"/>
      <c r="M2107" s="7"/>
    </row>
    <row r="2108" spans="1:13" x14ac:dyDescent="0.3">
      <c r="A2108" s="7">
        <v>11759</v>
      </c>
      <c r="B2108" s="7" t="s">
        <v>2116</v>
      </c>
      <c r="C2108" s="7" t="s">
        <v>6489</v>
      </c>
      <c r="D2108" s="7" t="s">
        <v>6617</v>
      </c>
      <c r="E2108" s="7" t="s">
        <v>6621</v>
      </c>
      <c r="F2108" s="7" t="s">
        <v>6340</v>
      </c>
      <c r="G2108" s="7" t="s">
        <v>7150</v>
      </c>
      <c r="H2108" s="7" t="s">
        <v>7156</v>
      </c>
      <c r="I2108" s="7"/>
      <c r="J2108" s="10">
        <v>43090</v>
      </c>
      <c r="K2108" s="7" t="s">
        <v>7163</v>
      </c>
      <c r="L2108" s="7"/>
      <c r="M2108" s="7"/>
    </row>
    <row r="2109" spans="1:13" x14ac:dyDescent="0.3">
      <c r="A2109" s="7">
        <v>11669</v>
      </c>
      <c r="B2109" s="7" t="s">
        <v>2117</v>
      </c>
      <c r="C2109" s="7" t="s">
        <v>6489</v>
      </c>
      <c r="D2109" s="7" t="s">
        <v>6617</v>
      </c>
      <c r="E2109" s="7" t="s">
        <v>6621</v>
      </c>
      <c r="F2109" s="7" t="s">
        <v>6341</v>
      </c>
      <c r="G2109" s="7" t="s">
        <v>7150</v>
      </c>
      <c r="H2109" s="7" t="s">
        <v>7156</v>
      </c>
      <c r="I2109" s="7"/>
      <c r="J2109" s="10">
        <v>43004</v>
      </c>
      <c r="K2109" s="7" t="s">
        <v>7163</v>
      </c>
      <c r="L2109" s="7"/>
      <c r="M2109" s="7"/>
    </row>
    <row r="2110" spans="1:13" x14ac:dyDescent="0.3">
      <c r="A2110" s="7">
        <v>11788</v>
      </c>
      <c r="B2110" s="7" t="s">
        <v>2118</v>
      </c>
      <c r="C2110" s="7" t="s">
        <v>6489</v>
      </c>
      <c r="D2110" s="7" t="s">
        <v>6617</v>
      </c>
      <c r="E2110" s="7" t="s">
        <v>6621</v>
      </c>
      <c r="F2110" s="7" t="s">
        <v>6341</v>
      </c>
      <c r="G2110" s="7" t="s">
        <v>7150</v>
      </c>
      <c r="H2110" s="7" t="s">
        <v>7156</v>
      </c>
      <c r="I2110" s="7"/>
      <c r="J2110" s="10">
        <v>43122</v>
      </c>
      <c r="K2110" s="7" t="s">
        <v>7163</v>
      </c>
      <c r="L2110" s="7"/>
      <c r="M2110" s="7"/>
    </row>
    <row r="2111" spans="1:13" x14ac:dyDescent="0.3">
      <c r="A2111" s="7">
        <v>12053</v>
      </c>
      <c r="B2111" s="7" t="s">
        <v>2119</v>
      </c>
      <c r="C2111" s="7" t="s">
        <v>6489</v>
      </c>
      <c r="D2111" s="7" t="s">
        <v>6617</v>
      </c>
      <c r="E2111" s="7" t="s">
        <v>6621</v>
      </c>
      <c r="F2111" s="7" t="s">
        <v>6341</v>
      </c>
      <c r="G2111" s="7" t="s">
        <v>7151</v>
      </c>
      <c r="H2111" s="7" t="s">
        <v>7156</v>
      </c>
      <c r="I2111" s="7"/>
      <c r="J2111" s="10">
        <v>43427</v>
      </c>
      <c r="K2111" s="7" t="s">
        <v>7163</v>
      </c>
      <c r="L2111" s="7"/>
      <c r="M2111" s="7"/>
    </row>
    <row r="2112" spans="1:13" x14ac:dyDescent="0.3">
      <c r="A2112" s="7">
        <v>17384</v>
      </c>
      <c r="B2112" s="7" t="s">
        <v>2120</v>
      </c>
      <c r="C2112" s="7" t="s">
        <v>6489</v>
      </c>
      <c r="D2112" s="7" t="s">
        <v>6617</v>
      </c>
      <c r="E2112" s="7" t="s">
        <v>6621</v>
      </c>
      <c r="F2112" s="7" t="s">
        <v>6389</v>
      </c>
      <c r="G2112" s="7" t="s">
        <v>7152</v>
      </c>
      <c r="H2112" s="7" t="s">
        <v>7157</v>
      </c>
      <c r="I2112" s="7"/>
      <c r="J2112" s="10">
        <v>45730</v>
      </c>
      <c r="K2112" s="7" t="s">
        <v>7163</v>
      </c>
      <c r="L2112" s="7"/>
      <c r="M2112" s="7"/>
    </row>
    <row r="2113" spans="1:13" x14ac:dyDescent="0.3">
      <c r="A2113" s="7">
        <v>13143</v>
      </c>
      <c r="B2113" s="7" t="s">
        <v>2121</v>
      </c>
      <c r="C2113" s="7" t="s">
        <v>6489</v>
      </c>
      <c r="D2113" s="7" t="s">
        <v>6617</v>
      </c>
      <c r="E2113" s="7" t="s">
        <v>6621</v>
      </c>
      <c r="F2113" s="7" t="s">
        <v>6341</v>
      </c>
      <c r="G2113" s="7" t="s">
        <v>7150</v>
      </c>
      <c r="H2113" s="7" t="s">
        <v>7156</v>
      </c>
      <c r="I2113" s="7"/>
      <c r="J2113" s="10">
        <v>44288</v>
      </c>
      <c r="K2113" s="7" t="s">
        <v>7163</v>
      </c>
      <c r="L2113" s="7"/>
      <c r="M2113" s="7"/>
    </row>
    <row r="2114" spans="1:13" x14ac:dyDescent="0.3">
      <c r="A2114" s="7">
        <v>13198</v>
      </c>
      <c r="B2114" s="7" t="s">
        <v>2122</v>
      </c>
      <c r="C2114" s="7" t="s">
        <v>6489</v>
      </c>
      <c r="D2114" s="7" t="s">
        <v>6617</v>
      </c>
      <c r="E2114" s="7" t="s">
        <v>6621</v>
      </c>
      <c r="F2114" s="7" t="s">
        <v>6341</v>
      </c>
      <c r="G2114" s="7" t="s">
        <v>7150</v>
      </c>
      <c r="H2114" s="7" t="s">
        <v>7156</v>
      </c>
      <c r="I2114" s="7"/>
      <c r="J2114" s="10">
        <v>44319</v>
      </c>
      <c r="K2114" s="7" t="s">
        <v>7163</v>
      </c>
      <c r="L2114" s="7"/>
      <c r="M2114" s="7"/>
    </row>
    <row r="2115" spans="1:13" x14ac:dyDescent="0.3">
      <c r="A2115" s="7">
        <v>13333</v>
      </c>
      <c r="B2115" s="7" t="s">
        <v>2123</v>
      </c>
      <c r="C2115" s="7" t="s">
        <v>6489</v>
      </c>
      <c r="D2115" s="7" t="s">
        <v>6617</v>
      </c>
      <c r="E2115" s="7" t="s">
        <v>6622</v>
      </c>
      <c r="F2115" s="7" t="s">
        <v>6341</v>
      </c>
      <c r="G2115" s="7" t="s">
        <v>7151</v>
      </c>
      <c r="H2115" s="7" t="s">
        <v>7156</v>
      </c>
      <c r="I2115" s="7"/>
      <c r="J2115" s="10">
        <v>44391</v>
      </c>
      <c r="K2115" s="7" t="s">
        <v>7163</v>
      </c>
      <c r="L2115" s="7"/>
      <c r="M2115" s="7"/>
    </row>
    <row r="2116" spans="1:13" x14ac:dyDescent="0.3">
      <c r="A2116" s="7">
        <v>17584</v>
      </c>
      <c r="B2116" s="7" t="s">
        <v>2124</v>
      </c>
      <c r="C2116" s="7" t="s">
        <v>6489</v>
      </c>
      <c r="D2116" s="7" t="s">
        <v>6617</v>
      </c>
      <c r="E2116" s="7" t="s">
        <v>6622</v>
      </c>
      <c r="F2116" s="7" t="s">
        <v>6406</v>
      </c>
      <c r="G2116" s="7" t="s">
        <v>7150</v>
      </c>
      <c r="H2116" s="7" t="s">
        <v>7157</v>
      </c>
      <c r="I2116" s="7"/>
      <c r="J2116" s="10">
        <v>45800</v>
      </c>
      <c r="K2116" s="7" t="s">
        <v>7163</v>
      </c>
      <c r="L2116" s="7"/>
      <c r="M2116" s="7"/>
    </row>
    <row r="2117" spans="1:13" x14ac:dyDescent="0.3">
      <c r="A2117" s="7">
        <v>13638</v>
      </c>
      <c r="B2117" s="7" t="s">
        <v>2125</v>
      </c>
      <c r="C2117" s="7" t="s">
        <v>6489</v>
      </c>
      <c r="D2117" s="7" t="s">
        <v>6617</v>
      </c>
      <c r="E2117" s="7" t="s">
        <v>6621</v>
      </c>
      <c r="F2117" s="7" t="s">
        <v>6341</v>
      </c>
      <c r="G2117" s="7" t="s">
        <v>7150</v>
      </c>
      <c r="H2117" s="7" t="s">
        <v>7156</v>
      </c>
      <c r="I2117" s="7"/>
      <c r="J2117" s="10">
        <v>44522</v>
      </c>
      <c r="K2117" s="7" t="s">
        <v>7163</v>
      </c>
      <c r="L2117" s="7"/>
      <c r="M2117" s="7"/>
    </row>
    <row r="2118" spans="1:13" x14ac:dyDescent="0.3">
      <c r="A2118" s="7">
        <v>13775</v>
      </c>
      <c r="B2118" s="7" t="s">
        <v>2126</v>
      </c>
      <c r="C2118" s="7" t="s">
        <v>6489</v>
      </c>
      <c r="D2118" s="7" t="s">
        <v>6617</v>
      </c>
      <c r="E2118" s="7" t="s">
        <v>6621</v>
      </c>
      <c r="F2118" s="7" t="s">
        <v>6341</v>
      </c>
      <c r="G2118" s="7" t="s">
        <v>7150</v>
      </c>
      <c r="H2118" s="7" t="s">
        <v>7156</v>
      </c>
      <c r="I2118" s="7"/>
      <c r="J2118" s="10">
        <v>44575</v>
      </c>
      <c r="K2118" s="7" t="s">
        <v>7163</v>
      </c>
      <c r="L2118" s="7"/>
      <c r="M2118" s="7"/>
    </row>
    <row r="2119" spans="1:13" x14ac:dyDescent="0.3">
      <c r="A2119" s="7">
        <v>13187</v>
      </c>
      <c r="B2119" s="7" t="s">
        <v>2127</v>
      </c>
      <c r="C2119" s="7" t="s">
        <v>6489</v>
      </c>
      <c r="D2119" s="7" t="s">
        <v>6617</v>
      </c>
      <c r="E2119" s="7" t="s">
        <v>6622</v>
      </c>
      <c r="F2119" s="7" t="s">
        <v>6341</v>
      </c>
      <c r="G2119" s="7" t="s">
        <v>7151</v>
      </c>
      <c r="H2119" s="7" t="s">
        <v>7156</v>
      </c>
      <c r="I2119" s="7"/>
      <c r="J2119" s="10">
        <v>44307</v>
      </c>
      <c r="K2119" s="7" t="s">
        <v>7163</v>
      </c>
      <c r="L2119" s="7"/>
      <c r="M2119" s="7"/>
    </row>
    <row r="2120" spans="1:13" x14ac:dyDescent="0.3">
      <c r="A2120" s="7">
        <v>17015</v>
      </c>
      <c r="B2120" s="7" t="s">
        <v>2128</v>
      </c>
      <c r="C2120" s="7" t="s">
        <v>6489</v>
      </c>
      <c r="D2120" s="7" t="s">
        <v>6617</v>
      </c>
      <c r="E2120" s="7" t="s">
        <v>6622</v>
      </c>
      <c r="F2120" s="7" t="s">
        <v>6389</v>
      </c>
      <c r="G2120" s="7" t="s">
        <v>7150</v>
      </c>
      <c r="H2120" s="7" t="s">
        <v>7157</v>
      </c>
      <c r="I2120" s="7"/>
      <c r="J2120" s="10">
        <v>45611</v>
      </c>
      <c r="K2120" s="7" t="s">
        <v>7163</v>
      </c>
      <c r="L2120" s="7"/>
      <c r="M2120" s="7"/>
    </row>
    <row r="2121" spans="1:13" x14ac:dyDescent="0.3">
      <c r="A2121" s="7">
        <v>13820</v>
      </c>
      <c r="B2121" s="7" t="s">
        <v>2129</v>
      </c>
      <c r="C2121" s="7" t="s">
        <v>6489</v>
      </c>
      <c r="D2121" s="7" t="s">
        <v>6617</v>
      </c>
      <c r="E2121" s="7" t="s">
        <v>6622</v>
      </c>
      <c r="F2121" s="7" t="s">
        <v>6341</v>
      </c>
      <c r="G2121" s="7" t="s">
        <v>7151</v>
      </c>
      <c r="H2121" s="7" t="s">
        <v>7156</v>
      </c>
      <c r="I2121" s="7"/>
      <c r="J2121" s="10">
        <v>44593</v>
      </c>
      <c r="K2121" s="7" t="s">
        <v>7163</v>
      </c>
      <c r="L2121" s="7"/>
      <c r="M2121" s="7"/>
    </row>
    <row r="2122" spans="1:13" x14ac:dyDescent="0.3">
      <c r="A2122" s="7">
        <v>17861</v>
      </c>
      <c r="B2122" s="7" t="s">
        <v>2130</v>
      </c>
      <c r="C2122" s="7" t="s">
        <v>6489</v>
      </c>
      <c r="D2122" s="7" t="s">
        <v>6617</v>
      </c>
      <c r="E2122" s="7" t="s">
        <v>6622</v>
      </c>
      <c r="F2122" s="7" t="s">
        <v>6389</v>
      </c>
      <c r="G2122" s="7" t="s">
        <v>7150</v>
      </c>
      <c r="H2122" s="7" t="s">
        <v>7157</v>
      </c>
      <c r="I2122" s="7"/>
      <c r="J2122" s="10">
        <v>45896</v>
      </c>
      <c r="K2122" s="7" t="s">
        <v>7163</v>
      </c>
      <c r="L2122" s="7"/>
      <c r="M2122" s="7"/>
    </row>
    <row r="2123" spans="1:13" x14ac:dyDescent="0.3">
      <c r="A2123" s="7">
        <v>14785</v>
      </c>
      <c r="B2123" s="7" t="s">
        <v>2131</v>
      </c>
      <c r="C2123" s="7" t="s">
        <v>6489</v>
      </c>
      <c r="D2123" s="7" t="s">
        <v>6617</v>
      </c>
      <c r="E2123" s="7" t="s">
        <v>6622</v>
      </c>
      <c r="F2123" s="7" t="s">
        <v>6341</v>
      </c>
      <c r="G2123" s="7" t="s">
        <v>7151</v>
      </c>
      <c r="H2123" s="7" t="s">
        <v>7156</v>
      </c>
      <c r="I2123" s="7"/>
      <c r="J2123" s="10">
        <v>44858</v>
      </c>
      <c r="K2123" s="7" t="s">
        <v>7163</v>
      </c>
      <c r="L2123" s="7"/>
      <c r="M2123" s="7"/>
    </row>
    <row r="2124" spans="1:13" x14ac:dyDescent="0.3">
      <c r="A2124" s="7">
        <v>18639</v>
      </c>
      <c r="B2124" s="7" t="s">
        <v>2132</v>
      </c>
      <c r="C2124" s="7" t="s">
        <v>6489</v>
      </c>
      <c r="D2124" s="7" t="s">
        <v>6617</v>
      </c>
      <c r="E2124" s="7" t="s">
        <v>6622</v>
      </c>
      <c r="F2124" s="7" t="s">
        <v>6406</v>
      </c>
      <c r="G2124" s="7" t="s">
        <v>7150</v>
      </c>
      <c r="H2124" s="7" t="s">
        <v>7157</v>
      </c>
      <c r="I2124" s="7"/>
      <c r="J2124" s="10">
        <v>46177</v>
      </c>
      <c r="K2124" s="7" t="s">
        <v>7163</v>
      </c>
      <c r="L2124" s="7"/>
      <c r="M2124" s="7"/>
    </row>
    <row r="2125" spans="1:13" x14ac:dyDescent="0.3">
      <c r="A2125" s="7">
        <v>15182</v>
      </c>
      <c r="B2125" s="7" t="s">
        <v>2133</v>
      </c>
      <c r="C2125" s="7" t="s">
        <v>6489</v>
      </c>
      <c r="D2125" s="7" t="s">
        <v>6617</v>
      </c>
      <c r="E2125" s="7" t="s">
        <v>6621</v>
      </c>
      <c r="F2125" s="7" t="s">
        <v>6341</v>
      </c>
      <c r="G2125" s="7" t="s">
        <v>7150</v>
      </c>
      <c r="H2125" s="7" t="s">
        <v>7156</v>
      </c>
      <c r="I2125" s="7"/>
      <c r="J2125" s="10">
        <v>44977</v>
      </c>
      <c r="K2125" s="7" t="s">
        <v>7163</v>
      </c>
      <c r="L2125" s="7"/>
      <c r="M2125" s="7"/>
    </row>
    <row r="2126" spans="1:13" x14ac:dyDescent="0.3">
      <c r="A2126" s="7">
        <v>15391</v>
      </c>
      <c r="B2126" s="7" t="s">
        <v>2134</v>
      </c>
      <c r="C2126" s="7" t="s">
        <v>6489</v>
      </c>
      <c r="D2126" s="7" t="s">
        <v>6617</v>
      </c>
      <c r="E2126" s="7" t="s">
        <v>6621</v>
      </c>
      <c r="F2126" s="7" t="s">
        <v>6341</v>
      </c>
      <c r="G2126" s="7" t="s">
        <v>7150</v>
      </c>
      <c r="H2126" s="7" t="s">
        <v>7156</v>
      </c>
      <c r="I2126" s="7"/>
      <c r="J2126" s="10">
        <v>45057</v>
      </c>
      <c r="K2126" s="7" t="s">
        <v>7163</v>
      </c>
      <c r="L2126" s="7"/>
      <c r="M2126" s="7"/>
    </row>
    <row r="2127" spans="1:13" x14ac:dyDescent="0.3">
      <c r="A2127" s="7">
        <v>13186</v>
      </c>
      <c r="B2127" s="7" t="s">
        <v>2135</v>
      </c>
      <c r="C2127" s="7" t="s">
        <v>6489</v>
      </c>
      <c r="D2127" s="7" t="s">
        <v>6617</v>
      </c>
      <c r="E2127" s="7" t="s">
        <v>6622</v>
      </c>
      <c r="F2127" s="7" t="s">
        <v>6341</v>
      </c>
      <c r="G2127" s="7" t="s">
        <v>7151</v>
      </c>
      <c r="H2127" s="7" t="s">
        <v>7156</v>
      </c>
      <c r="I2127" s="7"/>
      <c r="J2127" s="10">
        <v>44307</v>
      </c>
      <c r="K2127" s="7" t="s">
        <v>7163</v>
      </c>
      <c r="L2127" s="7"/>
      <c r="M2127" s="7"/>
    </row>
    <row r="2128" spans="1:13" x14ac:dyDescent="0.3">
      <c r="A2128" s="7">
        <v>18796</v>
      </c>
      <c r="B2128" s="7" t="s">
        <v>2136</v>
      </c>
      <c r="C2128" s="7" t="s">
        <v>6489</v>
      </c>
      <c r="D2128" s="7" t="s">
        <v>6617</v>
      </c>
      <c r="E2128" s="7" t="s">
        <v>6622</v>
      </c>
      <c r="F2128" s="7" t="s">
        <v>6406</v>
      </c>
      <c r="G2128" s="7" t="s">
        <v>7150</v>
      </c>
      <c r="H2128" s="7" t="s">
        <v>7157</v>
      </c>
      <c r="I2128" s="7"/>
      <c r="J2128" s="10">
        <v>46216</v>
      </c>
      <c r="K2128" s="7" t="s">
        <v>7163</v>
      </c>
      <c r="L2128" s="7"/>
      <c r="M2128" s="7"/>
    </row>
    <row r="2129" spans="1:13" x14ac:dyDescent="0.3">
      <c r="A2129" s="7">
        <v>16255</v>
      </c>
      <c r="B2129" s="7" t="s">
        <v>2137</v>
      </c>
      <c r="C2129" s="7" t="s">
        <v>6489</v>
      </c>
      <c r="D2129" s="7" t="s">
        <v>6617</v>
      </c>
      <c r="E2129" s="7" t="s">
        <v>6621</v>
      </c>
      <c r="F2129" s="7" t="s">
        <v>6341</v>
      </c>
      <c r="G2129" s="7" t="s">
        <v>7150</v>
      </c>
      <c r="H2129" s="7" t="s">
        <v>7156</v>
      </c>
      <c r="I2129" s="7"/>
      <c r="J2129" s="10">
        <v>45331</v>
      </c>
      <c r="K2129" s="7" t="s">
        <v>7163</v>
      </c>
      <c r="L2129" s="7"/>
      <c r="M2129" s="7"/>
    </row>
    <row r="2130" spans="1:13" x14ac:dyDescent="0.3">
      <c r="A2130" s="7">
        <v>15624</v>
      </c>
      <c r="B2130" s="7" t="s">
        <v>2138</v>
      </c>
      <c r="C2130" s="7" t="s">
        <v>6489</v>
      </c>
      <c r="D2130" s="7" t="s">
        <v>6617</v>
      </c>
      <c r="E2130" s="7" t="s">
        <v>6622</v>
      </c>
      <c r="F2130" s="7" t="s">
        <v>6341</v>
      </c>
      <c r="G2130" s="7" t="s">
        <v>7151</v>
      </c>
      <c r="H2130" s="7" t="s">
        <v>7156</v>
      </c>
      <c r="I2130" s="7"/>
      <c r="J2130" s="10">
        <v>45142</v>
      </c>
      <c r="K2130" s="7" t="s">
        <v>7163</v>
      </c>
      <c r="L2130" s="7"/>
      <c r="M2130" s="7"/>
    </row>
    <row r="2131" spans="1:13" x14ac:dyDescent="0.3">
      <c r="A2131" s="7">
        <v>18828</v>
      </c>
      <c r="B2131" s="7" t="s">
        <v>2139</v>
      </c>
      <c r="C2131" s="7" t="s">
        <v>6489</v>
      </c>
      <c r="D2131" s="7" t="s">
        <v>6617</v>
      </c>
      <c r="E2131" s="7" t="s">
        <v>6622</v>
      </c>
      <c r="F2131" s="7" t="s">
        <v>6406</v>
      </c>
      <c r="G2131" s="7" t="s">
        <v>7150</v>
      </c>
      <c r="H2131" s="7" t="s">
        <v>7157</v>
      </c>
      <c r="I2131" s="7"/>
      <c r="J2131" s="10">
        <v>46220</v>
      </c>
      <c r="K2131" s="7" t="s">
        <v>7163</v>
      </c>
      <c r="L2131" s="7"/>
      <c r="M2131" s="7"/>
    </row>
    <row r="2132" spans="1:13" x14ac:dyDescent="0.3">
      <c r="A2132" s="7">
        <v>15572</v>
      </c>
      <c r="B2132" s="7" t="s">
        <v>2140</v>
      </c>
      <c r="C2132" s="7" t="s">
        <v>6489</v>
      </c>
      <c r="D2132" s="7" t="s">
        <v>6617</v>
      </c>
      <c r="E2132" s="7" t="s">
        <v>6621</v>
      </c>
      <c r="F2132" s="7" t="s">
        <v>6341</v>
      </c>
      <c r="G2132" s="7" t="s">
        <v>7150</v>
      </c>
      <c r="H2132" s="7" t="s">
        <v>7156</v>
      </c>
      <c r="I2132" s="7"/>
      <c r="J2132" s="10">
        <v>45128</v>
      </c>
      <c r="K2132" s="7" t="s">
        <v>7163</v>
      </c>
      <c r="L2132" s="7"/>
      <c r="M2132" s="7"/>
    </row>
    <row r="2133" spans="1:13" x14ac:dyDescent="0.3">
      <c r="A2133" s="7">
        <v>11739</v>
      </c>
      <c r="B2133" s="7" t="s">
        <v>2141</v>
      </c>
      <c r="C2133" s="7" t="s">
        <v>6489</v>
      </c>
      <c r="D2133" s="7" t="s">
        <v>6617</v>
      </c>
      <c r="E2133" s="7" t="s">
        <v>6622</v>
      </c>
      <c r="F2133" s="7" t="s">
        <v>6341</v>
      </c>
      <c r="G2133" s="7" t="s">
        <v>7151</v>
      </c>
      <c r="H2133" s="7" t="s">
        <v>7156</v>
      </c>
      <c r="I2133" s="7"/>
      <c r="J2133" s="10">
        <v>43074</v>
      </c>
      <c r="K2133" s="7" t="s">
        <v>7163</v>
      </c>
      <c r="L2133" s="7"/>
      <c r="M2133" s="7"/>
    </row>
    <row r="2134" spans="1:13" x14ac:dyDescent="0.3">
      <c r="A2134" s="7">
        <v>16826</v>
      </c>
      <c r="B2134" s="7" t="s">
        <v>2142</v>
      </c>
      <c r="C2134" s="7" t="s">
        <v>6620</v>
      </c>
      <c r="D2134" s="7" t="s">
        <v>6617</v>
      </c>
      <c r="E2134" s="7" t="s">
        <v>6622</v>
      </c>
      <c r="F2134" s="7" t="s">
        <v>6406</v>
      </c>
      <c r="G2134" s="7" t="s">
        <v>7150</v>
      </c>
      <c r="H2134" s="7" t="s">
        <v>7157</v>
      </c>
      <c r="I2134" s="7"/>
      <c r="J2134" s="10">
        <v>45566</v>
      </c>
      <c r="K2134" s="7" t="s">
        <v>7163</v>
      </c>
      <c r="L2134" s="7"/>
      <c r="M2134" s="7"/>
    </row>
    <row r="2135" spans="1:13" x14ac:dyDescent="0.3">
      <c r="A2135" s="7">
        <v>13760</v>
      </c>
      <c r="B2135" s="7" t="s">
        <v>2143</v>
      </c>
      <c r="C2135" s="7" t="s">
        <v>6489</v>
      </c>
      <c r="D2135" s="7" t="s">
        <v>6617</v>
      </c>
      <c r="E2135" s="7" t="s">
        <v>6621</v>
      </c>
      <c r="F2135" s="7" t="s">
        <v>6341</v>
      </c>
      <c r="G2135" s="7" t="s">
        <v>7150</v>
      </c>
      <c r="H2135" s="7" t="s">
        <v>7156</v>
      </c>
      <c r="I2135" s="7"/>
      <c r="J2135" s="10">
        <v>44567</v>
      </c>
      <c r="K2135" s="7" t="s">
        <v>7163</v>
      </c>
      <c r="L2135" s="7"/>
      <c r="M2135" s="7"/>
    </row>
    <row r="2136" spans="1:13" x14ac:dyDescent="0.3">
      <c r="A2136" s="7">
        <v>12326</v>
      </c>
      <c r="B2136" s="7" t="s">
        <v>2144</v>
      </c>
      <c r="C2136" s="7" t="s">
        <v>6489</v>
      </c>
      <c r="D2136" s="7" t="s">
        <v>6617</v>
      </c>
      <c r="E2136" s="7" t="s">
        <v>6622</v>
      </c>
      <c r="F2136" s="7" t="s">
        <v>6341</v>
      </c>
      <c r="G2136" s="7" t="s">
        <v>7151</v>
      </c>
      <c r="H2136" s="7" t="s">
        <v>7156</v>
      </c>
      <c r="I2136" s="7"/>
      <c r="J2136" s="10">
        <v>43685</v>
      </c>
      <c r="K2136" s="7" t="s">
        <v>7163</v>
      </c>
      <c r="L2136" s="7"/>
      <c r="M2136" s="7"/>
    </row>
    <row r="2137" spans="1:13" x14ac:dyDescent="0.3">
      <c r="A2137" s="7">
        <v>16568</v>
      </c>
      <c r="B2137" s="7" t="s">
        <v>2145</v>
      </c>
      <c r="C2137" s="7" t="s">
        <v>6489</v>
      </c>
      <c r="D2137" s="7" t="s">
        <v>6617</v>
      </c>
      <c r="E2137" s="7" t="s">
        <v>6622</v>
      </c>
      <c r="F2137" s="7" t="s">
        <v>6389</v>
      </c>
      <c r="G2137" s="7" t="s">
        <v>7150</v>
      </c>
      <c r="H2137" s="7" t="s">
        <v>7157</v>
      </c>
      <c r="I2137" s="7"/>
      <c r="J2137" s="10">
        <v>45474</v>
      </c>
      <c r="K2137" s="7" t="s">
        <v>7163</v>
      </c>
      <c r="L2137" s="7"/>
      <c r="M2137" s="7"/>
    </row>
    <row r="2138" spans="1:13" x14ac:dyDescent="0.3">
      <c r="A2138" s="7">
        <v>16665</v>
      </c>
      <c r="B2138" s="7" t="s">
        <v>2146</v>
      </c>
      <c r="C2138" s="7" t="s">
        <v>6489</v>
      </c>
      <c r="D2138" s="7" t="s">
        <v>6617</v>
      </c>
      <c r="E2138" s="7" t="s">
        <v>6621</v>
      </c>
      <c r="F2138" s="7" t="s">
        <v>6341</v>
      </c>
      <c r="G2138" s="7" t="s">
        <v>7150</v>
      </c>
      <c r="H2138" s="7" t="s">
        <v>7156</v>
      </c>
      <c r="I2138" s="7"/>
      <c r="J2138" s="10">
        <v>45513</v>
      </c>
      <c r="K2138" s="7" t="s">
        <v>7163</v>
      </c>
      <c r="L2138" s="7"/>
      <c r="M2138" s="7"/>
    </row>
    <row r="2139" spans="1:13" x14ac:dyDescent="0.3">
      <c r="A2139" s="7">
        <v>15392</v>
      </c>
      <c r="B2139" s="7" t="s">
        <v>2147</v>
      </c>
      <c r="C2139" s="7" t="s">
        <v>6489</v>
      </c>
      <c r="D2139" s="7" t="s">
        <v>6617</v>
      </c>
      <c r="E2139" s="7" t="s">
        <v>6622</v>
      </c>
      <c r="F2139" s="7" t="s">
        <v>6348</v>
      </c>
      <c r="G2139" s="7" t="s">
        <v>7150</v>
      </c>
      <c r="H2139" s="7" t="s">
        <v>7156</v>
      </c>
      <c r="I2139" s="7"/>
      <c r="J2139" s="10">
        <v>45057</v>
      </c>
      <c r="K2139" s="7" t="s">
        <v>7163</v>
      </c>
      <c r="L2139" s="7"/>
      <c r="M2139" s="7"/>
    </row>
    <row r="2140" spans="1:13" x14ac:dyDescent="0.3">
      <c r="A2140" s="7">
        <v>13576</v>
      </c>
      <c r="B2140" s="7" t="s">
        <v>2148</v>
      </c>
      <c r="C2140" s="7" t="s">
        <v>6489</v>
      </c>
      <c r="D2140" s="7" t="s">
        <v>6617</v>
      </c>
      <c r="E2140" s="7" t="s">
        <v>6621</v>
      </c>
      <c r="F2140" s="7" t="s">
        <v>6341</v>
      </c>
      <c r="G2140" s="7" t="s">
        <v>7150</v>
      </c>
      <c r="H2140" s="7" t="s">
        <v>7156</v>
      </c>
      <c r="I2140" s="7"/>
      <c r="J2140" s="10">
        <v>44503</v>
      </c>
      <c r="K2140" s="7" t="s">
        <v>7163</v>
      </c>
      <c r="L2140" s="7"/>
      <c r="M2140" s="7"/>
    </row>
    <row r="2141" spans="1:13" x14ac:dyDescent="0.3">
      <c r="A2141" s="7">
        <v>11672</v>
      </c>
      <c r="B2141" s="7" t="s">
        <v>2149</v>
      </c>
      <c r="C2141" s="7" t="s">
        <v>6489</v>
      </c>
      <c r="D2141" s="7" t="s">
        <v>6617</v>
      </c>
      <c r="E2141" s="7" t="s">
        <v>6295</v>
      </c>
      <c r="F2141" s="7" t="s">
        <v>6335</v>
      </c>
      <c r="G2141" s="7" t="s">
        <v>7150</v>
      </c>
      <c r="H2141" s="7" t="s">
        <v>7156</v>
      </c>
      <c r="I2141" s="7"/>
      <c r="J2141" s="10">
        <v>43004</v>
      </c>
      <c r="K2141" s="7" t="s">
        <v>7163</v>
      </c>
      <c r="L2141" s="7"/>
      <c r="M2141" s="7"/>
    </row>
    <row r="2142" spans="1:13" x14ac:dyDescent="0.3">
      <c r="A2142" s="7">
        <v>11231</v>
      </c>
      <c r="B2142" s="7" t="s">
        <v>2150</v>
      </c>
      <c r="C2142" s="7" t="s">
        <v>6489</v>
      </c>
      <c r="D2142" s="7" t="s">
        <v>6617</v>
      </c>
      <c r="E2142" s="7" t="s">
        <v>6621</v>
      </c>
      <c r="F2142" s="7" t="s">
        <v>6498</v>
      </c>
      <c r="G2142" s="7" t="s">
        <v>7150</v>
      </c>
      <c r="H2142" s="7" t="s">
        <v>7156</v>
      </c>
      <c r="I2142" s="7"/>
      <c r="J2142" s="10">
        <v>42443</v>
      </c>
      <c r="K2142" s="7" t="s">
        <v>7163</v>
      </c>
      <c r="L2142" s="7"/>
      <c r="M2142" s="7"/>
    </row>
    <row r="2143" spans="1:13" x14ac:dyDescent="0.3">
      <c r="A2143" s="7">
        <v>11698</v>
      </c>
      <c r="B2143" s="7" t="s">
        <v>2151</v>
      </c>
      <c r="C2143" s="7" t="s">
        <v>6489</v>
      </c>
      <c r="D2143" s="7" t="s">
        <v>6617</v>
      </c>
      <c r="E2143" s="7" t="s">
        <v>6622</v>
      </c>
      <c r="F2143" s="7" t="s">
        <v>6498</v>
      </c>
      <c r="G2143" s="7" t="s">
        <v>7150</v>
      </c>
      <c r="H2143" s="7" t="s">
        <v>7156</v>
      </c>
      <c r="I2143" s="7"/>
      <c r="J2143" s="10">
        <v>43028</v>
      </c>
      <c r="K2143" s="7" t="s">
        <v>7163</v>
      </c>
      <c r="L2143" s="7"/>
      <c r="M2143" s="7"/>
    </row>
    <row r="2144" spans="1:13" x14ac:dyDescent="0.3">
      <c r="A2144" s="7">
        <v>11492</v>
      </c>
      <c r="B2144" s="7" t="s">
        <v>2152</v>
      </c>
      <c r="C2144" s="7" t="s">
        <v>6489</v>
      </c>
      <c r="D2144" s="7" t="s">
        <v>6617</v>
      </c>
      <c r="E2144" s="7" t="s">
        <v>6622</v>
      </c>
      <c r="F2144" s="7" t="s">
        <v>6542</v>
      </c>
      <c r="G2144" s="7" t="s">
        <v>7150</v>
      </c>
      <c r="H2144" s="7" t="s">
        <v>7156</v>
      </c>
      <c r="I2144" s="7"/>
      <c r="J2144" s="10">
        <v>42760</v>
      </c>
      <c r="K2144" s="7" t="s">
        <v>7163</v>
      </c>
      <c r="L2144" s="7"/>
      <c r="M2144" s="7"/>
    </row>
    <row r="2145" spans="1:13" x14ac:dyDescent="0.3">
      <c r="A2145" s="7">
        <v>11724</v>
      </c>
      <c r="B2145" s="7" t="s">
        <v>2153</v>
      </c>
      <c r="C2145" s="7" t="s">
        <v>6489</v>
      </c>
      <c r="D2145" s="7" t="s">
        <v>6617</v>
      </c>
      <c r="E2145" s="7" t="s">
        <v>6622</v>
      </c>
      <c r="F2145" s="7" t="s">
        <v>6542</v>
      </c>
      <c r="G2145" s="7" t="s">
        <v>7150</v>
      </c>
      <c r="H2145" s="7" t="s">
        <v>7156</v>
      </c>
      <c r="I2145" s="7"/>
      <c r="J2145" s="10">
        <v>43063</v>
      </c>
      <c r="K2145" s="7" t="s">
        <v>7163</v>
      </c>
      <c r="L2145" s="7"/>
      <c r="M2145" s="7"/>
    </row>
    <row r="2146" spans="1:13" x14ac:dyDescent="0.3">
      <c r="A2146" s="7">
        <v>13644</v>
      </c>
      <c r="B2146" s="7" t="s">
        <v>2154</v>
      </c>
      <c r="C2146" s="7" t="s">
        <v>6489</v>
      </c>
      <c r="D2146" s="7" t="s">
        <v>6617</v>
      </c>
      <c r="E2146" s="7" t="s">
        <v>6622</v>
      </c>
      <c r="F2146" s="7" t="s">
        <v>6542</v>
      </c>
      <c r="G2146" s="7" t="s">
        <v>7150</v>
      </c>
      <c r="H2146" s="7" t="s">
        <v>7156</v>
      </c>
      <c r="I2146" s="7"/>
      <c r="J2146" s="10">
        <v>44522</v>
      </c>
      <c r="K2146" s="7" t="s">
        <v>7163</v>
      </c>
      <c r="L2146" s="7"/>
      <c r="M2146" s="7"/>
    </row>
    <row r="2147" spans="1:13" x14ac:dyDescent="0.3">
      <c r="A2147" s="7">
        <v>13144</v>
      </c>
      <c r="B2147" s="7" t="s">
        <v>2155</v>
      </c>
      <c r="C2147" s="7" t="s">
        <v>6489</v>
      </c>
      <c r="D2147" s="7" t="s">
        <v>6617</v>
      </c>
      <c r="E2147" s="7" t="s">
        <v>6622</v>
      </c>
      <c r="F2147" s="7" t="s">
        <v>6340</v>
      </c>
      <c r="G2147" s="7" t="s">
        <v>7150</v>
      </c>
      <c r="H2147" s="7" t="s">
        <v>7156</v>
      </c>
      <c r="I2147" s="7"/>
      <c r="J2147" s="10">
        <v>44288</v>
      </c>
      <c r="K2147" s="7" t="s">
        <v>7163</v>
      </c>
      <c r="L2147" s="7"/>
      <c r="M2147" s="7"/>
    </row>
    <row r="2148" spans="1:13" x14ac:dyDescent="0.3">
      <c r="A2148" s="7">
        <v>13215</v>
      </c>
      <c r="B2148" s="7" t="s">
        <v>2156</v>
      </c>
      <c r="C2148" s="7" t="s">
        <v>6489</v>
      </c>
      <c r="D2148" s="7" t="s">
        <v>6617</v>
      </c>
      <c r="E2148" s="7" t="s">
        <v>6622</v>
      </c>
      <c r="F2148" s="7" t="s">
        <v>6340</v>
      </c>
      <c r="G2148" s="7" t="s">
        <v>7150</v>
      </c>
      <c r="H2148" s="7" t="s">
        <v>7156</v>
      </c>
      <c r="I2148" s="7"/>
      <c r="J2148" s="10">
        <v>44323</v>
      </c>
      <c r="K2148" s="7" t="s">
        <v>7163</v>
      </c>
      <c r="L2148" s="7"/>
      <c r="M2148" s="7"/>
    </row>
    <row r="2149" spans="1:13" x14ac:dyDescent="0.3">
      <c r="A2149" s="7">
        <v>13713</v>
      </c>
      <c r="B2149" s="7" t="s">
        <v>2157</v>
      </c>
      <c r="C2149" s="7" t="s">
        <v>6489</v>
      </c>
      <c r="D2149" s="7" t="s">
        <v>6617</v>
      </c>
      <c r="E2149" s="7" t="s">
        <v>6622</v>
      </c>
      <c r="F2149" s="7" t="s">
        <v>6340</v>
      </c>
      <c r="G2149" s="7" t="s">
        <v>7150</v>
      </c>
      <c r="H2149" s="7" t="s">
        <v>7156</v>
      </c>
      <c r="I2149" s="7"/>
      <c r="J2149" s="10">
        <v>44539</v>
      </c>
      <c r="K2149" s="7" t="s">
        <v>7163</v>
      </c>
      <c r="L2149" s="7"/>
      <c r="M2149" s="7"/>
    </row>
    <row r="2150" spans="1:13" x14ac:dyDescent="0.3">
      <c r="A2150" s="7">
        <v>800035</v>
      </c>
      <c r="B2150" s="7" t="s">
        <v>2158</v>
      </c>
      <c r="C2150" s="7" t="s">
        <v>6489</v>
      </c>
      <c r="D2150" s="7" t="s">
        <v>6617</v>
      </c>
      <c r="E2150" s="7" t="s">
        <v>6622</v>
      </c>
      <c r="F2150" s="7" t="s">
        <v>6340</v>
      </c>
      <c r="G2150" s="7" t="s">
        <v>7150</v>
      </c>
      <c r="H2150" s="7" t="s">
        <v>7156</v>
      </c>
      <c r="I2150" s="7"/>
      <c r="J2150" s="10">
        <v>42690</v>
      </c>
      <c r="K2150" s="7" t="s">
        <v>7163</v>
      </c>
      <c r="L2150" s="7"/>
      <c r="M2150" s="7"/>
    </row>
    <row r="2151" spans="1:13" x14ac:dyDescent="0.3">
      <c r="A2151" s="7">
        <v>12057</v>
      </c>
      <c r="B2151" s="7" t="s">
        <v>2159</v>
      </c>
      <c r="C2151" s="7" t="s">
        <v>6489</v>
      </c>
      <c r="D2151" s="7" t="s">
        <v>6617</v>
      </c>
      <c r="E2151" s="7" t="s">
        <v>6622</v>
      </c>
      <c r="F2151" s="7" t="s">
        <v>6340</v>
      </c>
      <c r="G2151" s="7" t="s">
        <v>7150</v>
      </c>
      <c r="H2151" s="7" t="s">
        <v>7156</v>
      </c>
      <c r="I2151" s="7"/>
      <c r="J2151" s="10">
        <v>43437</v>
      </c>
      <c r="K2151" s="7" t="s">
        <v>7163</v>
      </c>
      <c r="L2151" s="7"/>
      <c r="M2151" s="7"/>
    </row>
    <row r="2152" spans="1:13" x14ac:dyDescent="0.3">
      <c r="A2152" s="7">
        <v>11727</v>
      </c>
      <c r="B2152" s="7" t="s">
        <v>2160</v>
      </c>
      <c r="C2152" s="7" t="s">
        <v>6489</v>
      </c>
      <c r="D2152" s="7" t="s">
        <v>6617</v>
      </c>
      <c r="E2152" s="7" t="s">
        <v>6622</v>
      </c>
      <c r="F2152" s="7" t="s">
        <v>6340</v>
      </c>
      <c r="G2152" s="7" t="s">
        <v>7150</v>
      </c>
      <c r="H2152" s="7" t="s">
        <v>7156</v>
      </c>
      <c r="I2152" s="7"/>
      <c r="J2152" s="10">
        <v>43063</v>
      </c>
      <c r="K2152" s="7" t="s">
        <v>7163</v>
      </c>
      <c r="L2152" s="7"/>
      <c r="M2152" s="7"/>
    </row>
    <row r="2153" spans="1:13" x14ac:dyDescent="0.3">
      <c r="A2153" s="7">
        <v>11670</v>
      </c>
      <c r="B2153" s="7" t="s">
        <v>2161</v>
      </c>
      <c r="C2153" s="7" t="s">
        <v>6489</v>
      </c>
      <c r="D2153" s="7" t="s">
        <v>6617</v>
      </c>
      <c r="E2153" s="7" t="s">
        <v>6622</v>
      </c>
      <c r="F2153" s="7" t="s">
        <v>6340</v>
      </c>
      <c r="G2153" s="7" t="s">
        <v>7150</v>
      </c>
      <c r="H2153" s="7" t="s">
        <v>7156</v>
      </c>
      <c r="I2153" s="7"/>
      <c r="J2153" s="10">
        <v>43004</v>
      </c>
      <c r="K2153" s="7" t="s">
        <v>7163</v>
      </c>
      <c r="L2153" s="7"/>
      <c r="M2153" s="7"/>
    </row>
    <row r="2154" spans="1:13" x14ac:dyDescent="0.3">
      <c r="A2154" s="7">
        <v>11667</v>
      </c>
      <c r="B2154" s="7" t="s">
        <v>2162</v>
      </c>
      <c r="C2154" s="7" t="s">
        <v>6489</v>
      </c>
      <c r="D2154" s="7" t="s">
        <v>6617</v>
      </c>
      <c r="E2154" s="7" t="s">
        <v>6622</v>
      </c>
      <c r="F2154" s="7" t="s">
        <v>6340</v>
      </c>
      <c r="G2154" s="7" t="s">
        <v>7150</v>
      </c>
      <c r="H2154" s="7" t="s">
        <v>7156</v>
      </c>
      <c r="I2154" s="7"/>
      <c r="J2154" s="10">
        <v>43004</v>
      </c>
      <c r="K2154" s="7" t="s">
        <v>7163</v>
      </c>
      <c r="L2154" s="7"/>
      <c r="M2154" s="7"/>
    </row>
    <row r="2155" spans="1:13" x14ac:dyDescent="0.3">
      <c r="A2155" s="7">
        <v>11681</v>
      </c>
      <c r="B2155" s="7" t="s">
        <v>2163</v>
      </c>
      <c r="C2155" s="7" t="s">
        <v>6489</v>
      </c>
      <c r="D2155" s="7" t="s">
        <v>6617</v>
      </c>
      <c r="E2155" s="7" t="s">
        <v>6622</v>
      </c>
      <c r="F2155" s="7" t="s">
        <v>6340</v>
      </c>
      <c r="G2155" s="7" t="s">
        <v>7150</v>
      </c>
      <c r="H2155" s="7" t="s">
        <v>7156</v>
      </c>
      <c r="I2155" s="7"/>
      <c r="J2155" s="10">
        <v>43017</v>
      </c>
      <c r="K2155" s="7" t="s">
        <v>7163</v>
      </c>
      <c r="L2155" s="7"/>
      <c r="M2155" s="7"/>
    </row>
    <row r="2156" spans="1:13" x14ac:dyDescent="0.3">
      <c r="A2156" s="7">
        <v>13217</v>
      </c>
      <c r="B2156" s="7" t="s">
        <v>2164</v>
      </c>
      <c r="C2156" s="7" t="s">
        <v>6489</v>
      </c>
      <c r="D2156" s="7" t="s">
        <v>6617</v>
      </c>
      <c r="E2156" s="7" t="s">
        <v>6622</v>
      </c>
      <c r="F2156" s="7" t="s">
        <v>6340</v>
      </c>
      <c r="G2156" s="7" t="s">
        <v>7150</v>
      </c>
      <c r="H2156" s="7" t="s">
        <v>7156</v>
      </c>
      <c r="I2156" s="7"/>
      <c r="J2156" s="10">
        <v>44323</v>
      </c>
      <c r="K2156" s="7" t="s">
        <v>7163</v>
      </c>
      <c r="L2156" s="7"/>
      <c r="M2156" s="7"/>
    </row>
    <row r="2157" spans="1:13" x14ac:dyDescent="0.3">
      <c r="A2157" s="7">
        <v>13359</v>
      </c>
      <c r="B2157" s="7" t="s">
        <v>2165</v>
      </c>
      <c r="C2157" s="7" t="s">
        <v>6489</v>
      </c>
      <c r="D2157" s="7" t="s">
        <v>6617</v>
      </c>
      <c r="E2157" s="7" t="s">
        <v>6622</v>
      </c>
      <c r="F2157" s="7" t="s">
        <v>6340</v>
      </c>
      <c r="G2157" s="7" t="s">
        <v>7150</v>
      </c>
      <c r="H2157" s="7" t="s">
        <v>7156</v>
      </c>
      <c r="I2157" s="7"/>
      <c r="J2157" s="10">
        <v>44400</v>
      </c>
      <c r="K2157" s="7" t="s">
        <v>7163</v>
      </c>
      <c r="L2157" s="7"/>
      <c r="M2157" s="7"/>
    </row>
    <row r="2158" spans="1:13" x14ac:dyDescent="0.3">
      <c r="A2158" s="7">
        <v>430022</v>
      </c>
      <c r="B2158" s="7" t="s">
        <v>2166</v>
      </c>
      <c r="C2158" s="7" t="s">
        <v>6489</v>
      </c>
      <c r="D2158" s="7" t="s">
        <v>6617</v>
      </c>
      <c r="E2158" s="7" t="s">
        <v>6622</v>
      </c>
      <c r="F2158" s="7" t="s">
        <v>6340</v>
      </c>
      <c r="G2158" s="7" t="s">
        <v>7150</v>
      </c>
      <c r="H2158" s="7" t="s">
        <v>7156</v>
      </c>
      <c r="I2158" s="7"/>
      <c r="J2158" s="10">
        <v>43696</v>
      </c>
      <c r="K2158" s="7" t="s">
        <v>7163</v>
      </c>
      <c r="L2158" s="7"/>
      <c r="M2158" s="7"/>
    </row>
    <row r="2159" spans="1:13" x14ac:dyDescent="0.3">
      <c r="A2159" s="7">
        <v>13893</v>
      </c>
      <c r="B2159" s="7" t="s">
        <v>2167</v>
      </c>
      <c r="C2159" s="7" t="s">
        <v>6489</v>
      </c>
      <c r="D2159" s="7" t="s">
        <v>6617</v>
      </c>
      <c r="E2159" s="7" t="s">
        <v>6622</v>
      </c>
      <c r="F2159" s="7" t="s">
        <v>6340</v>
      </c>
      <c r="G2159" s="7" t="s">
        <v>7150</v>
      </c>
      <c r="H2159" s="7" t="s">
        <v>7156</v>
      </c>
      <c r="I2159" s="7"/>
      <c r="J2159" s="10">
        <v>44621</v>
      </c>
      <c r="K2159" s="7" t="s">
        <v>7163</v>
      </c>
      <c r="L2159" s="7"/>
      <c r="M2159" s="7"/>
    </row>
    <row r="2160" spans="1:13" x14ac:dyDescent="0.3">
      <c r="A2160" s="7">
        <v>13335</v>
      </c>
      <c r="B2160" s="7" t="s">
        <v>2168</v>
      </c>
      <c r="C2160" s="7" t="s">
        <v>6489</v>
      </c>
      <c r="D2160" s="7" t="s">
        <v>6617</v>
      </c>
      <c r="E2160" s="7" t="s">
        <v>6622</v>
      </c>
      <c r="F2160" s="7" t="s">
        <v>6340</v>
      </c>
      <c r="G2160" s="7" t="s">
        <v>7150</v>
      </c>
      <c r="H2160" s="7" t="s">
        <v>7156</v>
      </c>
      <c r="I2160" s="7"/>
      <c r="J2160" s="10">
        <v>44391</v>
      </c>
      <c r="K2160" s="7" t="s">
        <v>7163</v>
      </c>
      <c r="L2160" s="7"/>
      <c r="M2160" s="7"/>
    </row>
    <row r="2161" spans="1:13" x14ac:dyDescent="0.3">
      <c r="A2161" s="7">
        <v>13505</v>
      </c>
      <c r="B2161" s="7" t="s">
        <v>2169</v>
      </c>
      <c r="C2161" s="7" t="s">
        <v>6489</v>
      </c>
      <c r="D2161" s="7" t="s">
        <v>6617</v>
      </c>
      <c r="E2161" s="7" t="s">
        <v>6622</v>
      </c>
      <c r="F2161" s="7" t="s">
        <v>6340</v>
      </c>
      <c r="G2161" s="7" t="s">
        <v>7150</v>
      </c>
      <c r="H2161" s="7" t="s">
        <v>7156</v>
      </c>
      <c r="I2161" s="7"/>
      <c r="J2161" s="10">
        <v>44480</v>
      </c>
      <c r="K2161" s="7" t="s">
        <v>7163</v>
      </c>
      <c r="L2161" s="7"/>
      <c r="M2161" s="7"/>
    </row>
    <row r="2162" spans="1:13" x14ac:dyDescent="0.3">
      <c r="A2162" s="7">
        <v>13506</v>
      </c>
      <c r="B2162" s="7" t="s">
        <v>2170</v>
      </c>
      <c r="C2162" s="7" t="s">
        <v>6489</v>
      </c>
      <c r="D2162" s="7" t="s">
        <v>6617</v>
      </c>
      <c r="E2162" s="7" t="s">
        <v>6622</v>
      </c>
      <c r="F2162" s="7" t="s">
        <v>6340</v>
      </c>
      <c r="G2162" s="7" t="s">
        <v>7150</v>
      </c>
      <c r="H2162" s="7" t="s">
        <v>7156</v>
      </c>
      <c r="I2162" s="7"/>
      <c r="J2162" s="10">
        <v>44480</v>
      </c>
      <c r="K2162" s="7" t="s">
        <v>7163</v>
      </c>
      <c r="L2162" s="7"/>
      <c r="M2162" s="7"/>
    </row>
    <row r="2163" spans="1:13" x14ac:dyDescent="0.3">
      <c r="A2163" s="7">
        <v>13520</v>
      </c>
      <c r="B2163" s="7" t="s">
        <v>2171</v>
      </c>
      <c r="C2163" s="7" t="s">
        <v>6489</v>
      </c>
      <c r="D2163" s="7" t="s">
        <v>6617</v>
      </c>
      <c r="E2163" s="7" t="s">
        <v>6622</v>
      </c>
      <c r="F2163" s="7" t="s">
        <v>6340</v>
      </c>
      <c r="G2163" s="7" t="s">
        <v>7150</v>
      </c>
      <c r="H2163" s="7" t="s">
        <v>7156</v>
      </c>
      <c r="I2163" s="7"/>
      <c r="J2163" s="10">
        <v>44482</v>
      </c>
      <c r="K2163" s="7" t="s">
        <v>7163</v>
      </c>
      <c r="L2163" s="7"/>
      <c r="M2163" s="7"/>
    </row>
    <row r="2164" spans="1:13" x14ac:dyDescent="0.3">
      <c r="A2164" s="7">
        <v>13519</v>
      </c>
      <c r="B2164" s="7" t="s">
        <v>2172</v>
      </c>
      <c r="C2164" s="7" t="s">
        <v>6489</v>
      </c>
      <c r="D2164" s="7" t="s">
        <v>6617</v>
      </c>
      <c r="E2164" s="7" t="s">
        <v>6622</v>
      </c>
      <c r="F2164" s="7" t="s">
        <v>6340</v>
      </c>
      <c r="G2164" s="7" t="s">
        <v>7150</v>
      </c>
      <c r="H2164" s="7" t="s">
        <v>7156</v>
      </c>
      <c r="I2164" s="7"/>
      <c r="J2164" s="10">
        <v>44482</v>
      </c>
      <c r="K2164" s="7" t="s">
        <v>7163</v>
      </c>
      <c r="L2164" s="7"/>
      <c r="M2164" s="7"/>
    </row>
    <row r="2165" spans="1:13" x14ac:dyDescent="0.3">
      <c r="A2165" s="7">
        <v>13604</v>
      </c>
      <c r="B2165" s="7" t="s">
        <v>2173</v>
      </c>
      <c r="C2165" s="7" t="s">
        <v>6489</v>
      </c>
      <c r="D2165" s="7" t="s">
        <v>6617</v>
      </c>
      <c r="E2165" s="7" t="s">
        <v>6622</v>
      </c>
      <c r="F2165" s="7" t="s">
        <v>6340</v>
      </c>
      <c r="G2165" s="7" t="s">
        <v>7150</v>
      </c>
      <c r="H2165" s="7" t="s">
        <v>7156</v>
      </c>
      <c r="I2165" s="7"/>
      <c r="J2165" s="10">
        <v>44512</v>
      </c>
      <c r="K2165" s="7" t="s">
        <v>7163</v>
      </c>
      <c r="L2165" s="7"/>
      <c r="M2165" s="7"/>
    </row>
    <row r="2166" spans="1:13" x14ac:dyDescent="0.3">
      <c r="A2166" s="7">
        <v>13642</v>
      </c>
      <c r="B2166" s="7" t="s">
        <v>2174</v>
      </c>
      <c r="C2166" s="7" t="s">
        <v>6489</v>
      </c>
      <c r="D2166" s="7" t="s">
        <v>6617</v>
      </c>
      <c r="E2166" s="7" t="s">
        <v>6622</v>
      </c>
      <c r="F2166" s="7" t="s">
        <v>6340</v>
      </c>
      <c r="G2166" s="7" t="s">
        <v>7150</v>
      </c>
      <c r="H2166" s="7" t="s">
        <v>7156</v>
      </c>
      <c r="I2166" s="7"/>
      <c r="J2166" s="10">
        <v>44522</v>
      </c>
      <c r="K2166" s="7" t="s">
        <v>7163</v>
      </c>
      <c r="L2166" s="7"/>
      <c r="M2166" s="7"/>
    </row>
    <row r="2167" spans="1:13" x14ac:dyDescent="0.3">
      <c r="A2167" s="7">
        <v>13711</v>
      </c>
      <c r="B2167" s="7" t="s">
        <v>2175</v>
      </c>
      <c r="C2167" s="7" t="s">
        <v>6489</v>
      </c>
      <c r="D2167" s="7" t="s">
        <v>6617</v>
      </c>
      <c r="E2167" s="7" t="s">
        <v>6622</v>
      </c>
      <c r="F2167" s="7" t="s">
        <v>6340</v>
      </c>
      <c r="G2167" s="7" t="s">
        <v>7150</v>
      </c>
      <c r="H2167" s="7" t="s">
        <v>7156</v>
      </c>
      <c r="I2167" s="7"/>
      <c r="J2167" s="10">
        <v>44539</v>
      </c>
      <c r="K2167" s="7" t="s">
        <v>7163</v>
      </c>
      <c r="L2167" s="7"/>
      <c r="M2167" s="7"/>
    </row>
    <row r="2168" spans="1:13" x14ac:dyDescent="0.3">
      <c r="A2168" s="7">
        <v>13714</v>
      </c>
      <c r="B2168" s="7" t="s">
        <v>2176</v>
      </c>
      <c r="C2168" s="7" t="s">
        <v>6489</v>
      </c>
      <c r="D2168" s="7" t="s">
        <v>6617</v>
      </c>
      <c r="E2168" s="7" t="s">
        <v>6622</v>
      </c>
      <c r="F2168" s="7" t="s">
        <v>6340</v>
      </c>
      <c r="G2168" s="7" t="s">
        <v>7150</v>
      </c>
      <c r="H2168" s="7" t="s">
        <v>7156</v>
      </c>
      <c r="I2168" s="7"/>
      <c r="J2168" s="10">
        <v>44539</v>
      </c>
      <c r="K2168" s="7" t="s">
        <v>7163</v>
      </c>
      <c r="L2168" s="7"/>
      <c r="M2168" s="7"/>
    </row>
    <row r="2169" spans="1:13" x14ac:dyDescent="0.3">
      <c r="A2169" s="7">
        <v>13741</v>
      </c>
      <c r="B2169" s="7" t="s">
        <v>2177</v>
      </c>
      <c r="C2169" s="7" t="s">
        <v>6489</v>
      </c>
      <c r="D2169" s="7" t="s">
        <v>6617</v>
      </c>
      <c r="E2169" s="7" t="s">
        <v>6622</v>
      </c>
      <c r="F2169" s="7" t="s">
        <v>6340</v>
      </c>
      <c r="G2169" s="7" t="s">
        <v>7150</v>
      </c>
      <c r="H2169" s="7" t="s">
        <v>7156</v>
      </c>
      <c r="I2169" s="7"/>
      <c r="J2169" s="10">
        <v>44552</v>
      </c>
      <c r="K2169" s="7" t="s">
        <v>7163</v>
      </c>
      <c r="L2169" s="7"/>
      <c r="M2169" s="7"/>
    </row>
    <row r="2170" spans="1:13" x14ac:dyDescent="0.3">
      <c r="A2170" s="7">
        <v>14229</v>
      </c>
      <c r="B2170" s="7" t="s">
        <v>2178</v>
      </c>
      <c r="C2170" s="7" t="s">
        <v>6489</v>
      </c>
      <c r="D2170" s="7" t="s">
        <v>6617</v>
      </c>
      <c r="E2170" s="7" t="s">
        <v>6622</v>
      </c>
      <c r="F2170" s="7" t="s">
        <v>6340</v>
      </c>
      <c r="G2170" s="7" t="s">
        <v>7150</v>
      </c>
      <c r="H2170" s="7" t="s">
        <v>7156</v>
      </c>
      <c r="I2170" s="7"/>
      <c r="J2170" s="10">
        <v>44700</v>
      </c>
      <c r="K2170" s="7" t="s">
        <v>7163</v>
      </c>
      <c r="L2170" s="7"/>
      <c r="M2170" s="7"/>
    </row>
    <row r="2171" spans="1:13" x14ac:dyDescent="0.3">
      <c r="A2171" s="7">
        <v>13373</v>
      </c>
      <c r="B2171" s="7" t="s">
        <v>2179</v>
      </c>
      <c r="C2171" s="7" t="s">
        <v>6489</v>
      </c>
      <c r="D2171" s="7" t="s">
        <v>6617</v>
      </c>
      <c r="E2171" s="7" t="s">
        <v>6622</v>
      </c>
      <c r="F2171" s="7" t="s">
        <v>6340</v>
      </c>
      <c r="G2171" s="7" t="s">
        <v>7151</v>
      </c>
      <c r="H2171" s="7" t="s">
        <v>7156</v>
      </c>
      <c r="I2171" s="7"/>
      <c r="J2171" s="10">
        <v>44413</v>
      </c>
      <c r="K2171" s="7" t="s">
        <v>7163</v>
      </c>
      <c r="L2171" s="7"/>
      <c r="M2171" s="7"/>
    </row>
    <row r="2172" spans="1:13" x14ac:dyDescent="0.3">
      <c r="A2172" s="7">
        <v>18348</v>
      </c>
      <c r="B2172" s="7" t="s">
        <v>2180</v>
      </c>
      <c r="C2172" s="7" t="s">
        <v>6489</v>
      </c>
      <c r="D2172" s="7" t="s">
        <v>6617</v>
      </c>
      <c r="E2172" s="7" t="s">
        <v>6622</v>
      </c>
      <c r="F2172" s="7" t="s">
        <v>6406</v>
      </c>
      <c r="G2172" s="7" t="s">
        <v>7150</v>
      </c>
      <c r="H2172" s="7" t="s">
        <v>7157</v>
      </c>
      <c r="I2172" s="7"/>
      <c r="J2172" s="10">
        <v>46098</v>
      </c>
      <c r="K2172" s="7" t="s">
        <v>7163</v>
      </c>
      <c r="L2172" s="7"/>
      <c r="M2172" s="7"/>
    </row>
    <row r="2173" spans="1:13" x14ac:dyDescent="0.3">
      <c r="A2173" s="7">
        <v>14017</v>
      </c>
      <c r="B2173" s="7" t="s">
        <v>2181</v>
      </c>
      <c r="C2173" s="7" t="s">
        <v>6489</v>
      </c>
      <c r="D2173" s="7" t="s">
        <v>6617</v>
      </c>
      <c r="E2173" s="7" t="s">
        <v>6622</v>
      </c>
      <c r="F2173" s="7" t="s">
        <v>6340</v>
      </c>
      <c r="G2173" s="7" t="s">
        <v>7150</v>
      </c>
      <c r="H2173" s="7" t="s">
        <v>7156</v>
      </c>
      <c r="I2173" s="7"/>
      <c r="J2173" s="10">
        <v>44625</v>
      </c>
      <c r="K2173" s="7" t="s">
        <v>7163</v>
      </c>
      <c r="L2173" s="7"/>
      <c r="M2173" s="7"/>
    </row>
    <row r="2174" spans="1:13" x14ac:dyDescent="0.3">
      <c r="A2174" s="7">
        <v>14839</v>
      </c>
      <c r="B2174" s="7" t="s">
        <v>2182</v>
      </c>
      <c r="C2174" s="7" t="s">
        <v>6489</v>
      </c>
      <c r="D2174" s="7" t="s">
        <v>6617</v>
      </c>
      <c r="E2174" s="7" t="s">
        <v>6622</v>
      </c>
      <c r="F2174" s="7" t="s">
        <v>6341</v>
      </c>
      <c r="G2174" s="7" t="s">
        <v>7150</v>
      </c>
      <c r="H2174" s="7" t="s">
        <v>7156</v>
      </c>
      <c r="I2174" s="7"/>
      <c r="J2174" s="10">
        <v>44879</v>
      </c>
      <c r="K2174" s="7" t="s">
        <v>7163</v>
      </c>
      <c r="L2174" s="7"/>
      <c r="M2174" s="7"/>
    </row>
    <row r="2175" spans="1:13" x14ac:dyDescent="0.3">
      <c r="A2175" s="7">
        <v>15247</v>
      </c>
      <c r="B2175" s="7" t="s">
        <v>2183</v>
      </c>
      <c r="C2175" s="7" t="s">
        <v>6489</v>
      </c>
      <c r="D2175" s="7" t="s">
        <v>6617</v>
      </c>
      <c r="E2175" s="7" t="s">
        <v>6622</v>
      </c>
      <c r="F2175" s="7" t="s">
        <v>6341</v>
      </c>
      <c r="G2175" s="7" t="s">
        <v>7150</v>
      </c>
      <c r="H2175" s="7" t="s">
        <v>7156</v>
      </c>
      <c r="I2175" s="7"/>
      <c r="J2175" s="10">
        <v>44999</v>
      </c>
      <c r="K2175" s="7" t="s">
        <v>7163</v>
      </c>
      <c r="L2175" s="7"/>
      <c r="M2175" s="7"/>
    </row>
    <row r="2176" spans="1:13" x14ac:dyDescent="0.3">
      <c r="A2176" s="7">
        <v>17273</v>
      </c>
      <c r="B2176" s="7" t="s">
        <v>2184</v>
      </c>
      <c r="C2176" s="7" t="s">
        <v>6489</v>
      </c>
      <c r="D2176" s="7" t="s">
        <v>6617</v>
      </c>
      <c r="E2176" s="7" t="s">
        <v>6622</v>
      </c>
      <c r="F2176" s="7" t="s">
        <v>6341</v>
      </c>
      <c r="G2176" s="7" t="s">
        <v>7150</v>
      </c>
      <c r="H2176" s="7" t="s">
        <v>7156</v>
      </c>
      <c r="I2176" s="7"/>
      <c r="J2176" s="10">
        <v>45692</v>
      </c>
      <c r="K2176" s="7" t="s">
        <v>7163</v>
      </c>
      <c r="L2176" s="7"/>
      <c r="M2176" s="7"/>
    </row>
    <row r="2177" spans="1:13" x14ac:dyDescent="0.3">
      <c r="A2177" s="7">
        <v>14616</v>
      </c>
      <c r="B2177" s="7" t="s">
        <v>2185</v>
      </c>
      <c r="C2177" s="7" t="s">
        <v>6489</v>
      </c>
      <c r="D2177" s="7" t="s">
        <v>6617</v>
      </c>
      <c r="E2177" s="7" t="s">
        <v>6622</v>
      </c>
      <c r="F2177" s="7" t="s">
        <v>6341</v>
      </c>
      <c r="G2177" s="7" t="s">
        <v>7150</v>
      </c>
      <c r="H2177" s="7" t="s">
        <v>7156</v>
      </c>
      <c r="I2177" s="7"/>
      <c r="J2177" s="10">
        <v>44820</v>
      </c>
      <c r="K2177" s="7" t="s">
        <v>7163</v>
      </c>
      <c r="L2177" s="7"/>
      <c r="M2177" s="7"/>
    </row>
    <row r="2178" spans="1:13" x14ac:dyDescent="0.3">
      <c r="A2178" s="7">
        <v>11741</v>
      </c>
      <c r="B2178" s="7" t="s">
        <v>2186</v>
      </c>
      <c r="C2178" s="7" t="s">
        <v>6489</v>
      </c>
      <c r="D2178" s="7" t="s">
        <v>6617</v>
      </c>
      <c r="E2178" s="7" t="s">
        <v>6622</v>
      </c>
      <c r="F2178" s="7" t="s">
        <v>6341</v>
      </c>
      <c r="G2178" s="7" t="s">
        <v>7150</v>
      </c>
      <c r="H2178" s="7" t="s">
        <v>7156</v>
      </c>
      <c r="I2178" s="7"/>
      <c r="J2178" s="10">
        <v>43075</v>
      </c>
      <c r="K2178" s="7" t="s">
        <v>7163</v>
      </c>
      <c r="L2178" s="7"/>
      <c r="M2178" s="7"/>
    </row>
    <row r="2179" spans="1:13" x14ac:dyDescent="0.3">
      <c r="A2179" s="7">
        <v>16670</v>
      </c>
      <c r="B2179" s="7" t="s">
        <v>2187</v>
      </c>
      <c r="C2179" s="7" t="s">
        <v>6489</v>
      </c>
      <c r="D2179" s="7" t="s">
        <v>6617</v>
      </c>
      <c r="E2179" s="7" t="s">
        <v>6622</v>
      </c>
      <c r="F2179" s="7" t="s">
        <v>6341</v>
      </c>
      <c r="G2179" s="7" t="s">
        <v>7150</v>
      </c>
      <c r="H2179" s="7" t="s">
        <v>7156</v>
      </c>
      <c r="I2179" s="7"/>
      <c r="J2179" s="10">
        <v>45516</v>
      </c>
      <c r="K2179" s="7" t="s">
        <v>7163</v>
      </c>
      <c r="L2179" s="7"/>
      <c r="M2179" s="7"/>
    </row>
    <row r="2180" spans="1:13" x14ac:dyDescent="0.3">
      <c r="A2180" s="7">
        <v>15359</v>
      </c>
      <c r="B2180" s="7" t="s">
        <v>2188</v>
      </c>
      <c r="C2180" s="7" t="s">
        <v>6489</v>
      </c>
      <c r="D2180" s="7" t="s">
        <v>6617</v>
      </c>
      <c r="E2180" s="7" t="s">
        <v>6622</v>
      </c>
      <c r="F2180" s="7" t="s">
        <v>6341</v>
      </c>
      <c r="G2180" s="7" t="s">
        <v>7151</v>
      </c>
      <c r="H2180" s="7" t="s">
        <v>7156</v>
      </c>
      <c r="I2180" s="7"/>
      <c r="J2180" s="10">
        <v>45042</v>
      </c>
      <c r="K2180" s="7" t="s">
        <v>7163</v>
      </c>
      <c r="L2180" s="7"/>
      <c r="M2180" s="7"/>
    </row>
    <row r="2181" spans="1:13" x14ac:dyDescent="0.3">
      <c r="A2181" s="7">
        <v>16943</v>
      </c>
      <c r="B2181" s="7" t="s">
        <v>2189</v>
      </c>
      <c r="C2181" s="7" t="s">
        <v>6620</v>
      </c>
      <c r="D2181" s="7" t="s">
        <v>6617</v>
      </c>
      <c r="E2181" s="7" t="s">
        <v>6622</v>
      </c>
      <c r="F2181" s="7" t="s">
        <v>6389</v>
      </c>
      <c r="G2181" s="7" t="s">
        <v>7150</v>
      </c>
      <c r="H2181" s="7" t="s">
        <v>7157</v>
      </c>
      <c r="I2181" s="7"/>
      <c r="J2181" s="10">
        <v>45566</v>
      </c>
      <c r="K2181" s="7" t="s">
        <v>7163</v>
      </c>
      <c r="L2181" s="7"/>
      <c r="M2181" s="7"/>
    </row>
    <row r="2182" spans="1:13" x14ac:dyDescent="0.3">
      <c r="A2182" s="7">
        <v>15625</v>
      </c>
      <c r="B2182" s="7" t="s">
        <v>2190</v>
      </c>
      <c r="C2182" s="7" t="s">
        <v>6489</v>
      </c>
      <c r="D2182" s="7" t="s">
        <v>6617</v>
      </c>
      <c r="E2182" s="7" t="s">
        <v>6622</v>
      </c>
      <c r="F2182" s="7" t="s">
        <v>6341</v>
      </c>
      <c r="G2182" s="7" t="s">
        <v>7150</v>
      </c>
      <c r="H2182" s="7" t="s">
        <v>7156</v>
      </c>
      <c r="I2182" s="7"/>
      <c r="J2182" s="10">
        <v>45142</v>
      </c>
      <c r="K2182" s="7" t="s">
        <v>7163</v>
      </c>
      <c r="L2182" s="7"/>
      <c r="M2182" s="7"/>
    </row>
    <row r="2183" spans="1:13" x14ac:dyDescent="0.3">
      <c r="A2183" s="7">
        <v>17844</v>
      </c>
      <c r="B2183" s="7" t="s">
        <v>2191</v>
      </c>
      <c r="C2183" s="7" t="s">
        <v>6489</v>
      </c>
      <c r="D2183" s="7" t="s">
        <v>6617</v>
      </c>
      <c r="E2183" s="7" t="s">
        <v>6622</v>
      </c>
      <c r="F2183" s="7" t="s">
        <v>6341</v>
      </c>
      <c r="G2183" s="7" t="s">
        <v>7150</v>
      </c>
      <c r="H2183" s="7" t="s">
        <v>7156</v>
      </c>
      <c r="I2183" s="7"/>
      <c r="J2183" s="10">
        <v>45890</v>
      </c>
      <c r="K2183" s="7" t="s">
        <v>7163</v>
      </c>
      <c r="L2183" s="7"/>
      <c r="M2183" s="7"/>
    </row>
    <row r="2184" spans="1:13" x14ac:dyDescent="0.3">
      <c r="A2184" s="7">
        <v>11743</v>
      </c>
      <c r="B2184" s="7" t="s">
        <v>2192</v>
      </c>
      <c r="C2184" s="7" t="s">
        <v>6489</v>
      </c>
      <c r="D2184" s="7" t="s">
        <v>6617</v>
      </c>
      <c r="E2184" s="7" t="s">
        <v>6622</v>
      </c>
      <c r="F2184" s="7" t="s">
        <v>6341</v>
      </c>
      <c r="G2184" s="7" t="s">
        <v>7150</v>
      </c>
      <c r="H2184" s="7" t="s">
        <v>7156</v>
      </c>
      <c r="I2184" s="7"/>
      <c r="J2184" s="10">
        <v>43075</v>
      </c>
      <c r="K2184" s="7" t="s">
        <v>7163</v>
      </c>
      <c r="L2184" s="7"/>
      <c r="M2184" s="7"/>
    </row>
    <row r="2185" spans="1:13" x14ac:dyDescent="0.3">
      <c r="A2185" s="7">
        <v>15452</v>
      </c>
      <c r="B2185" s="7" t="s">
        <v>2193</v>
      </c>
      <c r="C2185" s="7" t="s">
        <v>6489</v>
      </c>
      <c r="D2185" s="7" t="s">
        <v>6617</v>
      </c>
      <c r="E2185" s="7" t="s">
        <v>6622</v>
      </c>
      <c r="F2185" s="7" t="s">
        <v>6341</v>
      </c>
      <c r="G2185" s="7" t="s">
        <v>7150</v>
      </c>
      <c r="H2185" s="7" t="s">
        <v>7156</v>
      </c>
      <c r="I2185" s="7"/>
      <c r="J2185" s="10">
        <v>45079</v>
      </c>
      <c r="K2185" s="7" t="s">
        <v>7163</v>
      </c>
      <c r="L2185" s="7"/>
      <c r="M2185" s="7"/>
    </row>
    <row r="2186" spans="1:13" x14ac:dyDescent="0.3">
      <c r="A2186" s="7">
        <v>14897</v>
      </c>
      <c r="B2186" s="7" t="s">
        <v>2194</v>
      </c>
      <c r="C2186" s="7" t="s">
        <v>6489</v>
      </c>
      <c r="D2186" s="7" t="s">
        <v>6617</v>
      </c>
      <c r="E2186" s="7" t="s">
        <v>6622</v>
      </c>
      <c r="F2186" s="7" t="s">
        <v>6341</v>
      </c>
      <c r="G2186" s="7" t="s">
        <v>7150</v>
      </c>
      <c r="H2186" s="7" t="s">
        <v>7156</v>
      </c>
      <c r="I2186" s="7"/>
      <c r="J2186" s="10">
        <v>44890</v>
      </c>
      <c r="K2186" s="7" t="s">
        <v>7163</v>
      </c>
      <c r="L2186" s="7"/>
      <c r="M2186" s="7"/>
    </row>
    <row r="2187" spans="1:13" x14ac:dyDescent="0.3">
      <c r="A2187" s="7">
        <v>11673</v>
      </c>
      <c r="B2187" s="7" t="s">
        <v>2195</v>
      </c>
      <c r="C2187" s="7" t="s">
        <v>6489</v>
      </c>
      <c r="D2187" s="7" t="s">
        <v>6617</v>
      </c>
      <c r="E2187" s="7" t="s">
        <v>6622</v>
      </c>
      <c r="F2187" s="7" t="s">
        <v>6341</v>
      </c>
      <c r="G2187" s="7" t="s">
        <v>7151</v>
      </c>
      <c r="H2187" s="7" t="s">
        <v>7156</v>
      </c>
      <c r="I2187" s="7"/>
      <c r="J2187" s="10">
        <v>43004</v>
      </c>
      <c r="K2187" s="7" t="s">
        <v>7163</v>
      </c>
      <c r="L2187" s="7"/>
      <c r="M2187" s="7"/>
    </row>
    <row r="2188" spans="1:13" x14ac:dyDescent="0.3">
      <c r="A2188" s="7">
        <v>18233</v>
      </c>
      <c r="B2188" s="7" t="s">
        <v>2196</v>
      </c>
      <c r="C2188" s="7" t="s">
        <v>6489</v>
      </c>
      <c r="D2188" s="7" t="s">
        <v>6617</v>
      </c>
      <c r="E2188" s="7" t="s">
        <v>6622</v>
      </c>
      <c r="F2188" s="7" t="s">
        <v>6406</v>
      </c>
      <c r="G2188" s="7" t="s">
        <v>7150</v>
      </c>
      <c r="H2188" s="7" t="s">
        <v>7157</v>
      </c>
      <c r="I2188" s="7"/>
      <c r="J2188" s="10">
        <v>46066</v>
      </c>
      <c r="K2188" s="7" t="s">
        <v>7163</v>
      </c>
      <c r="L2188" s="7"/>
      <c r="M2188" s="7"/>
    </row>
    <row r="2189" spans="1:13" x14ac:dyDescent="0.3">
      <c r="A2189" s="7">
        <v>15806</v>
      </c>
      <c r="B2189" s="7" t="s">
        <v>2197</v>
      </c>
      <c r="C2189" s="7" t="s">
        <v>6489</v>
      </c>
      <c r="D2189" s="7" t="s">
        <v>6617</v>
      </c>
      <c r="E2189" s="7" t="s">
        <v>6622</v>
      </c>
      <c r="F2189" s="7" t="s">
        <v>6623</v>
      </c>
      <c r="G2189" s="7" t="s">
        <v>7150</v>
      </c>
      <c r="H2189" s="7" t="s">
        <v>7156</v>
      </c>
      <c r="I2189" s="7"/>
      <c r="J2189" s="10">
        <v>45196</v>
      </c>
      <c r="K2189" s="7" t="s">
        <v>7163</v>
      </c>
      <c r="L2189" s="7"/>
      <c r="M2189" s="7"/>
    </row>
    <row r="2190" spans="1:13" x14ac:dyDescent="0.3">
      <c r="A2190" s="7">
        <v>12924</v>
      </c>
      <c r="B2190" s="7" t="s">
        <v>2198</v>
      </c>
      <c r="C2190" s="7" t="s">
        <v>6489</v>
      </c>
      <c r="D2190" s="7" t="s">
        <v>6617</v>
      </c>
      <c r="E2190" s="7" t="s">
        <v>6622</v>
      </c>
      <c r="F2190" s="7" t="s">
        <v>6341</v>
      </c>
      <c r="G2190" s="7" t="s">
        <v>7150</v>
      </c>
      <c r="H2190" s="7" t="s">
        <v>7156</v>
      </c>
      <c r="I2190" s="7"/>
      <c r="J2190" s="10">
        <v>44112</v>
      </c>
      <c r="K2190" s="7" t="s">
        <v>7163</v>
      </c>
      <c r="L2190" s="7"/>
      <c r="M2190" s="7"/>
    </row>
    <row r="2191" spans="1:13" x14ac:dyDescent="0.3">
      <c r="A2191" s="7">
        <v>12977</v>
      </c>
      <c r="B2191" s="7" t="s">
        <v>2199</v>
      </c>
      <c r="C2191" s="7" t="s">
        <v>6489</v>
      </c>
      <c r="D2191" s="7" t="s">
        <v>6617</v>
      </c>
      <c r="E2191" s="7" t="s">
        <v>6622</v>
      </c>
      <c r="F2191" s="7" t="s">
        <v>6341</v>
      </c>
      <c r="G2191" s="7" t="s">
        <v>7150</v>
      </c>
      <c r="H2191" s="7" t="s">
        <v>7156</v>
      </c>
      <c r="I2191" s="7"/>
      <c r="J2191" s="10">
        <v>44160</v>
      </c>
      <c r="K2191" s="7" t="s">
        <v>7163</v>
      </c>
      <c r="L2191" s="7"/>
      <c r="M2191" s="7"/>
    </row>
    <row r="2192" spans="1:13" x14ac:dyDescent="0.3">
      <c r="A2192" s="7">
        <v>19086</v>
      </c>
      <c r="B2192" s="7" t="s">
        <v>2200</v>
      </c>
      <c r="C2192" s="7" t="s">
        <v>6489</v>
      </c>
      <c r="D2192" s="7" t="s">
        <v>6617</v>
      </c>
      <c r="E2192" s="7" t="s">
        <v>6622</v>
      </c>
      <c r="F2192" s="7" t="s">
        <v>6341</v>
      </c>
      <c r="G2192" s="7" t="s">
        <v>7150</v>
      </c>
      <c r="H2192" s="7" t="s">
        <v>7156</v>
      </c>
      <c r="I2192" s="7"/>
      <c r="J2192" s="10">
        <v>46267</v>
      </c>
      <c r="K2192" s="7" t="s">
        <v>7163</v>
      </c>
      <c r="L2192" s="7"/>
      <c r="M2192" s="7"/>
    </row>
    <row r="2193" spans="1:13" x14ac:dyDescent="0.3">
      <c r="A2193" s="7">
        <v>19087</v>
      </c>
      <c r="B2193" s="7" t="s">
        <v>2201</v>
      </c>
      <c r="C2193" s="7" t="s">
        <v>6489</v>
      </c>
      <c r="D2193" s="7" t="s">
        <v>6617</v>
      </c>
      <c r="E2193" s="7" t="s">
        <v>6622</v>
      </c>
      <c r="F2193" s="7" t="s">
        <v>6341</v>
      </c>
      <c r="G2193" s="7" t="s">
        <v>7150</v>
      </c>
      <c r="H2193" s="7" t="s">
        <v>7156</v>
      </c>
      <c r="I2193" s="7"/>
      <c r="J2193" s="10">
        <v>46267</v>
      </c>
      <c r="K2193" s="7" t="s">
        <v>7163</v>
      </c>
      <c r="L2193" s="7"/>
      <c r="M2193" s="7"/>
    </row>
    <row r="2194" spans="1:13" x14ac:dyDescent="0.3">
      <c r="A2194" s="7">
        <v>19088</v>
      </c>
      <c r="B2194" s="7" t="s">
        <v>2202</v>
      </c>
      <c r="C2194" s="7" t="s">
        <v>6489</v>
      </c>
      <c r="D2194" s="7" t="s">
        <v>6617</v>
      </c>
      <c r="E2194" s="7" t="s">
        <v>6622</v>
      </c>
      <c r="F2194" s="7" t="s">
        <v>6348</v>
      </c>
      <c r="G2194" s="7" t="s">
        <v>7150</v>
      </c>
      <c r="H2194" s="7" t="s">
        <v>7156</v>
      </c>
      <c r="I2194" s="7"/>
      <c r="J2194" s="10">
        <v>46267</v>
      </c>
      <c r="K2194" s="7" t="s">
        <v>7163</v>
      </c>
      <c r="L2194" s="7"/>
      <c r="M2194" s="7"/>
    </row>
    <row r="2195" spans="1:13" x14ac:dyDescent="0.3">
      <c r="A2195" s="7">
        <v>13091</v>
      </c>
      <c r="B2195" s="7" t="s">
        <v>2203</v>
      </c>
      <c r="C2195" s="7" t="s">
        <v>6489</v>
      </c>
      <c r="D2195" s="7" t="s">
        <v>6617</v>
      </c>
      <c r="E2195" s="7" t="s">
        <v>6622</v>
      </c>
      <c r="F2195" s="7" t="s">
        <v>6341</v>
      </c>
      <c r="G2195" s="7" t="s">
        <v>7150</v>
      </c>
      <c r="H2195" s="7" t="s">
        <v>7156</v>
      </c>
      <c r="I2195" s="7"/>
      <c r="J2195" s="10">
        <v>44250</v>
      </c>
      <c r="K2195" s="7" t="s">
        <v>7163</v>
      </c>
      <c r="L2195" s="7"/>
      <c r="M2195" s="7"/>
    </row>
    <row r="2196" spans="1:13" x14ac:dyDescent="0.3">
      <c r="A2196" s="7">
        <v>12999</v>
      </c>
      <c r="B2196" s="7" t="s">
        <v>2204</v>
      </c>
      <c r="C2196" s="7" t="s">
        <v>6489</v>
      </c>
      <c r="D2196" s="7" t="s">
        <v>6617</v>
      </c>
      <c r="E2196" s="7" t="s">
        <v>6622</v>
      </c>
      <c r="F2196" s="7" t="s">
        <v>6341</v>
      </c>
      <c r="G2196" s="7" t="s">
        <v>7150</v>
      </c>
      <c r="H2196" s="7" t="s">
        <v>7156</v>
      </c>
      <c r="I2196" s="7"/>
      <c r="J2196" s="10">
        <v>44176</v>
      </c>
      <c r="K2196" s="7" t="s">
        <v>7163</v>
      </c>
      <c r="L2196" s="7"/>
      <c r="M2196" s="7"/>
    </row>
    <row r="2197" spans="1:13" x14ac:dyDescent="0.3">
      <c r="A2197" s="7">
        <v>13336</v>
      </c>
      <c r="B2197" s="7" t="s">
        <v>2205</v>
      </c>
      <c r="C2197" s="7" t="s">
        <v>6489</v>
      </c>
      <c r="D2197" s="7" t="s">
        <v>6617</v>
      </c>
      <c r="E2197" s="7" t="s">
        <v>6622</v>
      </c>
      <c r="F2197" s="7" t="s">
        <v>6340</v>
      </c>
      <c r="G2197" s="7" t="s">
        <v>7150</v>
      </c>
      <c r="H2197" s="7" t="s">
        <v>7156</v>
      </c>
      <c r="I2197" s="7"/>
      <c r="J2197" s="10">
        <v>44391</v>
      </c>
      <c r="K2197" s="7" t="s">
        <v>7163</v>
      </c>
      <c r="L2197" s="7"/>
      <c r="M2197" s="7"/>
    </row>
    <row r="2198" spans="1:13" x14ac:dyDescent="0.3">
      <c r="A2198" s="7">
        <v>13374</v>
      </c>
      <c r="B2198" s="7" t="s">
        <v>2206</v>
      </c>
      <c r="C2198" s="7" t="s">
        <v>6489</v>
      </c>
      <c r="D2198" s="7" t="s">
        <v>6617</v>
      </c>
      <c r="E2198" s="7" t="s">
        <v>6622</v>
      </c>
      <c r="F2198" s="7" t="s">
        <v>6341</v>
      </c>
      <c r="G2198" s="7" t="s">
        <v>7150</v>
      </c>
      <c r="H2198" s="7" t="s">
        <v>7156</v>
      </c>
      <c r="I2198" s="7"/>
      <c r="J2198" s="10">
        <v>44413</v>
      </c>
      <c r="K2198" s="7" t="s">
        <v>7163</v>
      </c>
      <c r="L2198" s="7"/>
      <c r="M2198" s="7"/>
    </row>
    <row r="2199" spans="1:13" x14ac:dyDescent="0.3">
      <c r="A2199" s="7">
        <v>13276</v>
      </c>
      <c r="B2199" s="7" t="s">
        <v>2207</v>
      </c>
      <c r="C2199" s="7" t="s">
        <v>6489</v>
      </c>
      <c r="D2199" s="7" t="s">
        <v>6617</v>
      </c>
      <c r="E2199" s="7" t="s">
        <v>6622</v>
      </c>
      <c r="F2199" s="7" t="s">
        <v>6341</v>
      </c>
      <c r="G2199" s="7" t="s">
        <v>7150</v>
      </c>
      <c r="H2199" s="7" t="s">
        <v>7156</v>
      </c>
      <c r="I2199" s="7"/>
      <c r="J2199" s="10">
        <v>44361</v>
      </c>
      <c r="K2199" s="7" t="s">
        <v>7163</v>
      </c>
      <c r="L2199" s="7"/>
      <c r="M2199" s="7"/>
    </row>
    <row r="2200" spans="1:13" x14ac:dyDescent="0.3">
      <c r="A2200" s="7">
        <v>13513</v>
      </c>
      <c r="B2200" s="7" t="s">
        <v>2208</v>
      </c>
      <c r="C2200" s="7" t="s">
        <v>6489</v>
      </c>
      <c r="D2200" s="7" t="s">
        <v>6617</v>
      </c>
      <c r="E2200" s="7" t="s">
        <v>6622</v>
      </c>
      <c r="F2200" s="7" t="s">
        <v>6341</v>
      </c>
      <c r="G2200" s="7" t="s">
        <v>7150</v>
      </c>
      <c r="H2200" s="7" t="s">
        <v>7156</v>
      </c>
      <c r="I2200" s="7"/>
      <c r="J2200" s="10">
        <v>44482</v>
      </c>
      <c r="K2200" s="7" t="s">
        <v>7163</v>
      </c>
      <c r="L2200" s="7"/>
      <c r="M2200" s="7"/>
    </row>
    <row r="2201" spans="1:13" x14ac:dyDescent="0.3">
      <c r="A2201" s="7">
        <v>13512</v>
      </c>
      <c r="B2201" s="7" t="s">
        <v>2209</v>
      </c>
      <c r="C2201" s="7" t="s">
        <v>6489</v>
      </c>
      <c r="D2201" s="7" t="s">
        <v>6617</v>
      </c>
      <c r="E2201" s="7" t="s">
        <v>6622</v>
      </c>
      <c r="F2201" s="7" t="s">
        <v>6341</v>
      </c>
      <c r="G2201" s="7" t="s">
        <v>7151</v>
      </c>
      <c r="H2201" s="7" t="s">
        <v>7156</v>
      </c>
      <c r="I2201" s="7"/>
      <c r="J2201" s="10">
        <v>44482</v>
      </c>
      <c r="K2201" s="7" t="s">
        <v>7163</v>
      </c>
      <c r="L2201" s="7"/>
      <c r="M2201" s="7"/>
    </row>
    <row r="2202" spans="1:13" x14ac:dyDescent="0.3">
      <c r="A2202" s="7">
        <v>17586</v>
      </c>
      <c r="B2202" s="7" t="s">
        <v>2210</v>
      </c>
      <c r="C2202" s="7" t="s">
        <v>6489</v>
      </c>
      <c r="D2202" s="7" t="s">
        <v>6617</v>
      </c>
      <c r="E2202" s="7" t="s">
        <v>6622</v>
      </c>
      <c r="F2202" s="7" t="s">
        <v>6389</v>
      </c>
      <c r="G2202" s="7" t="s">
        <v>7150</v>
      </c>
      <c r="H2202" s="7" t="s">
        <v>7157</v>
      </c>
      <c r="I2202" s="7"/>
      <c r="J2202" s="10">
        <v>45800</v>
      </c>
      <c r="K2202" s="7" t="s">
        <v>7163</v>
      </c>
      <c r="L2202" s="7"/>
      <c r="M2202" s="7"/>
    </row>
    <row r="2203" spans="1:13" x14ac:dyDescent="0.3">
      <c r="A2203" s="7">
        <v>13515</v>
      </c>
      <c r="B2203" s="7" t="s">
        <v>2211</v>
      </c>
      <c r="C2203" s="7" t="s">
        <v>6489</v>
      </c>
      <c r="D2203" s="7" t="s">
        <v>6617</v>
      </c>
      <c r="E2203" s="7" t="s">
        <v>6622</v>
      </c>
      <c r="F2203" s="7" t="s">
        <v>6341</v>
      </c>
      <c r="G2203" s="7" t="s">
        <v>7151</v>
      </c>
      <c r="H2203" s="7" t="s">
        <v>7156</v>
      </c>
      <c r="I2203" s="7"/>
      <c r="J2203" s="10">
        <v>44482</v>
      </c>
      <c r="K2203" s="7" t="s">
        <v>7163</v>
      </c>
      <c r="L2203" s="7"/>
      <c r="M2203" s="7"/>
    </row>
    <row r="2204" spans="1:13" x14ac:dyDescent="0.3">
      <c r="A2204" s="7">
        <v>18302</v>
      </c>
      <c r="B2204" s="7" t="s">
        <v>2212</v>
      </c>
      <c r="C2204" s="7" t="s">
        <v>6489</v>
      </c>
      <c r="D2204" s="7" t="s">
        <v>6617</v>
      </c>
      <c r="E2204" s="7" t="s">
        <v>6622</v>
      </c>
      <c r="F2204" s="7" t="s">
        <v>6406</v>
      </c>
      <c r="G2204" s="7" t="s">
        <v>7150</v>
      </c>
      <c r="H2204" s="7" t="s">
        <v>7157</v>
      </c>
      <c r="I2204" s="7"/>
      <c r="J2204" s="10">
        <v>46083</v>
      </c>
      <c r="K2204" s="7" t="s">
        <v>7163</v>
      </c>
      <c r="L2204" s="7"/>
      <c r="M2204" s="7"/>
    </row>
    <row r="2205" spans="1:13" x14ac:dyDescent="0.3">
      <c r="A2205" s="7">
        <v>13533</v>
      </c>
      <c r="B2205" s="7" t="s">
        <v>2213</v>
      </c>
      <c r="C2205" s="7" t="s">
        <v>6489</v>
      </c>
      <c r="D2205" s="7" t="s">
        <v>6617</v>
      </c>
      <c r="E2205" s="7" t="s">
        <v>6622</v>
      </c>
      <c r="F2205" s="7" t="s">
        <v>6341</v>
      </c>
      <c r="G2205" s="7" t="s">
        <v>7150</v>
      </c>
      <c r="H2205" s="7" t="s">
        <v>7156</v>
      </c>
      <c r="I2205" s="7"/>
      <c r="J2205" s="10">
        <v>44487</v>
      </c>
      <c r="K2205" s="7" t="s">
        <v>7163</v>
      </c>
      <c r="L2205" s="7"/>
      <c r="M2205" s="7"/>
    </row>
    <row r="2206" spans="1:13" x14ac:dyDescent="0.3">
      <c r="A2206" s="7">
        <v>13543</v>
      </c>
      <c r="B2206" s="7" t="s">
        <v>2214</v>
      </c>
      <c r="C2206" s="7" t="s">
        <v>6489</v>
      </c>
      <c r="D2206" s="7" t="s">
        <v>6617</v>
      </c>
      <c r="E2206" s="7" t="s">
        <v>6622</v>
      </c>
      <c r="F2206" s="7" t="s">
        <v>6340</v>
      </c>
      <c r="G2206" s="7" t="s">
        <v>7150</v>
      </c>
      <c r="H2206" s="7" t="s">
        <v>7156</v>
      </c>
      <c r="I2206" s="7"/>
      <c r="J2206" s="10">
        <v>44491</v>
      </c>
      <c r="K2206" s="7" t="s">
        <v>7163</v>
      </c>
      <c r="L2206" s="7"/>
      <c r="M2206" s="7"/>
    </row>
    <row r="2207" spans="1:13" x14ac:dyDescent="0.3">
      <c r="A2207" s="7">
        <v>13572</v>
      </c>
      <c r="B2207" s="7" t="s">
        <v>2215</v>
      </c>
      <c r="C2207" s="7" t="s">
        <v>6489</v>
      </c>
      <c r="D2207" s="7" t="s">
        <v>6617</v>
      </c>
      <c r="E2207" s="7" t="s">
        <v>6622</v>
      </c>
      <c r="F2207" s="7" t="s">
        <v>6341</v>
      </c>
      <c r="G2207" s="7" t="s">
        <v>7150</v>
      </c>
      <c r="H2207" s="7" t="s">
        <v>7156</v>
      </c>
      <c r="I2207" s="7"/>
      <c r="J2207" s="10">
        <v>44501</v>
      </c>
      <c r="K2207" s="7" t="s">
        <v>7163</v>
      </c>
      <c r="L2207" s="7"/>
      <c r="M2207" s="7"/>
    </row>
    <row r="2208" spans="1:13" x14ac:dyDescent="0.3">
      <c r="A2208" s="7">
        <v>13603</v>
      </c>
      <c r="B2208" s="7" t="s">
        <v>2216</v>
      </c>
      <c r="C2208" s="7" t="s">
        <v>6489</v>
      </c>
      <c r="D2208" s="7" t="s">
        <v>6617</v>
      </c>
      <c r="E2208" s="7" t="s">
        <v>6622</v>
      </c>
      <c r="F2208" s="7" t="s">
        <v>6341</v>
      </c>
      <c r="G2208" s="7" t="s">
        <v>7150</v>
      </c>
      <c r="H2208" s="7" t="s">
        <v>7156</v>
      </c>
      <c r="I2208" s="7"/>
      <c r="J2208" s="10">
        <v>44512</v>
      </c>
      <c r="K2208" s="7" t="s">
        <v>7163</v>
      </c>
      <c r="L2208" s="7"/>
      <c r="M2208" s="7"/>
    </row>
    <row r="2209" spans="1:13" x14ac:dyDescent="0.3">
      <c r="A2209" s="7">
        <v>13606</v>
      </c>
      <c r="B2209" s="7" t="s">
        <v>2217</v>
      </c>
      <c r="C2209" s="7" t="s">
        <v>6489</v>
      </c>
      <c r="D2209" s="7" t="s">
        <v>6617</v>
      </c>
      <c r="E2209" s="7" t="s">
        <v>6622</v>
      </c>
      <c r="F2209" s="7" t="s">
        <v>6341</v>
      </c>
      <c r="G2209" s="7" t="s">
        <v>7150</v>
      </c>
      <c r="H2209" s="7" t="s">
        <v>7156</v>
      </c>
      <c r="I2209" s="7"/>
      <c r="J2209" s="10">
        <v>44512</v>
      </c>
      <c r="K2209" s="7" t="s">
        <v>7163</v>
      </c>
      <c r="L2209" s="7"/>
      <c r="M2209" s="7"/>
    </row>
    <row r="2210" spans="1:13" x14ac:dyDescent="0.3">
      <c r="A2210" s="7">
        <v>13613</v>
      </c>
      <c r="B2210" s="7" t="s">
        <v>2218</v>
      </c>
      <c r="C2210" s="7" t="s">
        <v>6489</v>
      </c>
      <c r="D2210" s="7" t="s">
        <v>6617</v>
      </c>
      <c r="E2210" s="7" t="s">
        <v>6622</v>
      </c>
      <c r="F2210" s="7" t="s">
        <v>6341</v>
      </c>
      <c r="G2210" s="7" t="s">
        <v>7150</v>
      </c>
      <c r="H2210" s="7" t="s">
        <v>7156</v>
      </c>
      <c r="I2210" s="7"/>
      <c r="J2210" s="10">
        <v>44516</v>
      </c>
      <c r="K2210" s="7" t="s">
        <v>7163</v>
      </c>
      <c r="L2210" s="7"/>
      <c r="M2210" s="7"/>
    </row>
    <row r="2211" spans="1:13" x14ac:dyDescent="0.3">
      <c r="A2211" s="7">
        <v>13640</v>
      </c>
      <c r="B2211" s="7" t="s">
        <v>2219</v>
      </c>
      <c r="C2211" s="7" t="s">
        <v>6489</v>
      </c>
      <c r="D2211" s="7" t="s">
        <v>6617</v>
      </c>
      <c r="E2211" s="7" t="s">
        <v>6622</v>
      </c>
      <c r="F2211" s="7" t="s">
        <v>6340</v>
      </c>
      <c r="G2211" s="7" t="s">
        <v>7150</v>
      </c>
      <c r="H2211" s="7" t="s">
        <v>7156</v>
      </c>
      <c r="I2211" s="7"/>
      <c r="J2211" s="10">
        <v>44522</v>
      </c>
      <c r="K2211" s="7" t="s">
        <v>7163</v>
      </c>
      <c r="L2211" s="7"/>
      <c r="M2211" s="7"/>
    </row>
    <row r="2212" spans="1:13" x14ac:dyDescent="0.3">
      <c r="A2212" s="7">
        <v>13643</v>
      </c>
      <c r="B2212" s="7" t="s">
        <v>2220</v>
      </c>
      <c r="C2212" s="7" t="s">
        <v>6489</v>
      </c>
      <c r="D2212" s="7" t="s">
        <v>6617</v>
      </c>
      <c r="E2212" s="7" t="s">
        <v>6622</v>
      </c>
      <c r="F2212" s="7" t="s">
        <v>6341</v>
      </c>
      <c r="G2212" s="7" t="s">
        <v>7150</v>
      </c>
      <c r="H2212" s="7" t="s">
        <v>7156</v>
      </c>
      <c r="I2212" s="7"/>
      <c r="J2212" s="10">
        <v>44522</v>
      </c>
      <c r="K2212" s="7" t="s">
        <v>7163</v>
      </c>
      <c r="L2212" s="7"/>
      <c r="M2212" s="7"/>
    </row>
    <row r="2213" spans="1:13" x14ac:dyDescent="0.3">
      <c r="A2213" s="7">
        <v>17637</v>
      </c>
      <c r="B2213" s="7" t="s">
        <v>2221</v>
      </c>
      <c r="C2213" s="7" t="s">
        <v>6489</v>
      </c>
      <c r="D2213" s="7" t="s">
        <v>6617</v>
      </c>
      <c r="E2213" s="7" t="s">
        <v>6622</v>
      </c>
      <c r="F2213" s="7" t="s">
        <v>6341</v>
      </c>
      <c r="G2213" s="7" t="s">
        <v>7150</v>
      </c>
      <c r="H2213" s="7" t="s">
        <v>7156</v>
      </c>
      <c r="I2213" s="7"/>
      <c r="J2213" s="10">
        <v>45826</v>
      </c>
      <c r="K2213" s="7" t="s">
        <v>7163</v>
      </c>
      <c r="L2213" s="7"/>
      <c r="M2213" s="7"/>
    </row>
    <row r="2214" spans="1:13" x14ac:dyDescent="0.3">
      <c r="A2214" s="7">
        <v>13683</v>
      </c>
      <c r="B2214" s="7" t="s">
        <v>2222</v>
      </c>
      <c r="C2214" s="7" t="s">
        <v>6489</v>
      </c>
      <c r="D2214" s="7" t="s">
        <v>6617</v>
      </c>
      <c r="E2214" s="7" t="s">
        <v>6622</v>
      </c>
      <c r="F2214" s="7" t="s">
        <v>6341</v>
      </c>
      <c r="G2214" s="7" t="s">
        <v>7151</v>
      </c>
      <c r="H2214" s="7" t="s">
        <v>7156</v>
      </c>
      <c r="I2214" s="7"/>
      <c r="J2214" s="10">
        <v>44537</v>
      </c>
      <c r="K2214" s="7" t="s">
        <v>7163</v>
      </c>
      <c r="L2214" s="7"/>
      <c r="M2214" s="7"/>
    </row>
    <row r="2215" spans="1:13" x14ac:dyDescent="0.3">
      <c r="A2215" s="7">
        <v>17636</v>
      </c>
      <c r="B2215" s="7" t="s">
        <v>2223</v>
      </c>
      <c r="C2215" s="7" t="s">
        <v>6489</v>
      </c>
      <c r="D2215" s="7" t="s">
        <v>6617</v>
      </c>
      <c r="E2215" s="7" t="s">
        <v>6622</v>
      </c>
      <c r="F2215" s="7" t="s">
        <v>6389</v>
      </c>
      <c r="G2215" s="7" t="s">
        <v>7150</v>
      </c>
      <c r="H2215" s="7" t="s">
        <v>7157</v>
      </c>
      <c r="I2215" s="7"/>
      <c r="J2215" s="10">
        <v>45826</v>
      </c>
      <c r="K2215" s="7" t="s">
        <v>7163</v>
      </c>
      <c r="L2215" s="7"/>
      <c r="M2215" s="7"/>
    </row>
    <row r="2216" spans="1:13" x14ac:dyDescent="0.3">
      <c r="A2216" s="7">
        <v>13685</v>
      </c>
      <c r="B2216" s="7" t="s">
        <v>2224</v>
      </c>
      <c r="C2216" s="7" t="s">
        <v>6489</v>
      </c>
      <c r="D2216" s="7" t="s">
        <v>6617</v>
      </c>
      <c r="E2216" s="7" t="s">
        <v>6622</v>
      </c>
      <c r="F2216" s="7" t="s">
        <v>6341</v>
      </c>
      <c r="G2216" s="7" t="s">
        <v>7150</v>
      </c>
      <c r="H2216" s="7" t="s">
        <v>7156</v>
      </c>
      <c r="I2216" s="7"/>
      <c r="J2216" s="10">
        <v>44537</v>
      </c>
      <c r="K2216" s="7" t="s">
        <v>7163</v>
      </c>
      <c r="L2216" s="7"/>
      <c r="M2216" s="7"/>
    </row>
    <row r="2217" spans="1:13" x14ac:dyDescent="0.3">
      <c r="A2217" s="7">
        <v>13690</v>
      </c>
      <c r="B2217" s="7" t="s">
        <v>2225</v>
      </c>
      <c r="C2217" s="7" t="s">
        <v>6489</v>
      </c>
      <c r="D2217" s="7" t="s">
        <v>6617</v>
      </c>
      <c r="E2217" s="7" t="s">
        <v>6622</v>
      </c>
      <c r="F2217" s="7" t="s">
        <v>6341</v>
      </c>
      <c r="G2217" s="7" t="s">
        <v>7150</v>
      </c>
      <c r="H2217" s="7" t="s">
        <v>7156</v>
      </c>
      <c r="I2217" s="7"/>
      <c r="J2217" s="10">
        <v>44537</v>
      </c>
      <c r="K2217" s="7" t="s">
        <v>7163</v>
      </c>
      <c r="L2217" s="7"/>
      <c r="M2217" s="7"/>
    </row>
    <row r="2218" spans="1:13" x14ac:dyDescent="0.3">
      <c r="A2218" s="7">
        <v>13739</v>
      </c>
      <c r="B2218" s="7" t="s">
        <v>2226</v>
      </c>
      <c r="C2218" s="7" t="s">
        <v>6489</v>
      </c>
      <c r="D2218" s="7" t="s">
        <v>6617</v>
      </c>
      <c r="E2218" s="7" t="s">
        <v>6622</v>
      </c>
      <c r="F2218" s="7" t="s">
        <v>6341</v>
      </c>
      <c r="G2218" s="7" t="s">
        <v>7150</v>
      </c>
      <c r="H2218" s="7" t="s">
        <v>7156</v>
      </c>
      <c r="I2218" s="7"/>
      <c r="J2218" s="10">
        <v>44552</v>
      </c>
      <c r="K2218" s="7" t="s">
        <v>7163</v>
      </c>
      <c r="L2218" s="7"/>
      <c r="M2218" s="7"/>
    </row>
    <row r="2219" spans="1:13" x14ac:dyDescent="0.3">
      <c r="A2219" s="7">
        <v>13744</v>
      </c>
      <c r="B2219" s="7" t="s">
        <v>2227</v>
      </c>
      <c r="C2219" s="7" t="s">
        <v>6489</v>
      </c>
      <c r="D2219" s="7" t="s">
        <v>6617</v>
      </c>
      <c r="E2219" s="7" t="s">
        <v>6622</v>
      </c>
      <c r="F2219" s="7" t="s">
        <v>6341</v>
      </c>
      <c r="G2219" s="7" t="s">
        <v>7150</v>
      </c>
      <c r="H2219" s="7" t="s">
        <v>7156</v>
      </c>
      <c r="I2219" s="7"/>
      <c r="J2219" s="10">
        <v>44553</v>
      </c>
      <c r="K2219" s="7" t="s">
        <v>7163</v>
      </c>
      <c r="L2219" s="7"/>
      <c r="M2219" s="7"/>
    </row>
    <row r="2220" spans="1:13" x14ac:dyDescent="0.3">
      <c r="A2220" s="7">
        <v>13745</v>
      </c>
      <c r="B2220" s="7" t="s">
        <v>2228</v>
      </c>
      <c r="C2220" s="7" t="s">
        <v>6489</v>
      </c>
      <c r="D2220" s="7" t="s">
        <v>6617</v>
      </c>
      <c r="E2220" s="7" t="s">
        <v>6622</v>
      </c>
      <c r="F2220" s="7" t="s">
        <v>6341</v>
      </c>
      <c r="G2220" s="7" t="s">
        <v>7150</v>
      </c>
      <c r="H2220" s="7" t="s">
        <v>7156</v>
      </c>
      <c r="I2220" s="7"/>
      <c r="J2220" s="10">
        <v>44553</v>
      </c>
      <c r="K2220" s="7" t="s">
        <v>7163</v>
      </c>
      <c r="L2220" s="7"/>
      <c r="M2220" s="7"/>
    </row>
    <row r="2221" spans="1:13" x14ac:dyDescent="0.3">
      <c r="A2221" s="7">
        <v>14272</v>
      </c>
      <c r="B2221" s="7" t="s">
        <v>2229</v>
      </c>
      <c r="C2221" s="7" t="s">
        <v>6489</v>
      </c>
      <c r="D2221" s="7" t="s">
        <v>6617</v>
      </c>
      <c r="E2221" s="7" t="s">
        <v>6622</v>
      </c>
      <c r="F2221" s="7" t="s">
        <v>6340</v>
      </c>
      <c r="G2221" s="7" t="s">
        <v>7150</v>
      </c>
      <c r="H2221" s="7" t="s">
        <v>7156</v>
      </c>
      <c r="I2221" s="7"/>
      <c r="J2221" s="10">
        <v>44713</v>
      </c>
      <c r="K2221" s="7" t="s">
        <v>7163</v>
      </c>
      <c r="L2221" s="7"/>
      <c r="M2221" s="7"/>
    </row>
    <row r="2222" spans="1:13" x14ac:dyDescent="0.3">
      <c r="A2222" s="7">
        <v>13778</v>
      </c>
      <c r="B2222" s="7" t="s">
        <v>2230</v>
      </c>
      <c r="C2222" s="7" t="s">
        <v>6489</v>
      </c>
      <c r="D2222" s="7" t="s">
        <v>6617</v>
      </c>
      <c r="E2222" s="7" t="s">
        <v>6622</v>
      </c>
      <c r="F2222" s="7" t="s">
        <v>6341</v>
      </c>
      <c r="G2222" s="7" t="s">
        <v>7150</v>
      </c>
      <c r="H2222" s="7" t="s">
        <v>7156</v>
      </c>
      <c r="I2222" s="7"/>
      <c r="J2222" s="10">
        <v>44575</v>
      </c>
      <c r="K2222" s="7" t="s">
        <v>7163</v>
      </c>
      <c r="L2222" s="7"/>
      <c r="M2222" s="7"/>
    </row>
    <row r="2223" spans="1:13" x14ac:dyDescent="0.3">
      <c r="A2223" s="7">
        <v>14496</v>
      </c>
      <c r="B2223" s="7" t="s">
        <v>2231</v>
      </c>
      <c r="C2223" s="7" t="s">
        <v>6489</v>
      </c>
      <c r="D2223" s="7" t="s">
        <v>6617</v>
      </c>
      <c r="E2223" s="7" t="s">
        <v>6622</v>
      </c>
      <c r="F2223" s="7" t="s">
        <v>6341</v>
      </c>
      <c r="G2223" s="7" t="s">
        <v>7150</v>
      </c>
      <c r="H2223" s="7" t="s">
        <v>7156</v>
      </c>
      <c r="I2223" s="7"/>
      <c r="J2223" s="10">
        <v>44776</v>
      </c>
      <c r="K2223" s="7" t="s">
        <v>7163</v>
      </c>
      <c r="L2223" s="7"/>
      <c r="M2223" s="7"/>
    </row>
    <row r="2224" spans="1:13" x14ac:dyDescent="0.3">
      <c r="A2224" s="7">
        <v>13601</v>
      </c>
      <c r="B2224" s="7" t="s">
        <v>2232</v>
      </c>
      <c r="C2224" s="7" t="s">
        <v>6489</v>
      </c>
      <c r="D2224" s="7" t="s">
        <v>6617</v>
      </c>
      <c r="E2224" s="7" t="s">
        <v>6622</v>
      </c>
      <c r="F2224" s="7" t="s">
        <v>6341</v>
      </c>
      <c r="G2224" s="7" t="s">
        <v>7150</v>
      </c>
      <c r="H2224" s="7" t="s">
        <v>7156</v>
      </c>
      <c r="I2224" s="7"/>
      <c r="J2224" s="10">
        <v>44512</v>
      </c>
      <c r="K2224" s="7" t="s">
        <v>7163</v>
      </c>
      <c r="L2224" s="7"/>
      <c r="M2224" s="7"/>
    </row>
    <row r="2225" spans="1:13" x14ac:dyDescent="0.3">
      <c r="A2225" s="7">
        <v>14118</v>
      </c>
      <c r="B2225" s="7" t="s">
        <v>2233</v>
      </c>
      <c r="C2225" s="7" t="s">
        <v>6489</v>
      </c>
      <c r="D2225" s="7" t="s">
        <v>6617</v>
      </c>
      <c r="E2225" s="7" t="s">
        <v>6622</v>
      </c>
      <c r="F2225" s="7" t="s">
        <v>6341</v>
      </c>
      <c r="G2225" s="7" t="s">
        <v>7150</v>
      </c>
      <c r="H2225" s="7" t="s">
        <v>7156</v>
      </c>
      <c r="I2225" s="7"/>
      <c r="J2225" s="10">
        <v>44665</v>
      </c>
      <c r="K2225" s="7" t="s">
        <v>7163</v>
      </c>
      <c r="L2225" s="7"/>
      <c r="M2225" s="7"/>
    </row>
    <row r="2226" spans="1:13" x14ac:dyDescent="0.3">
      <c r="A2226" s="7">
        <v>14051</v>
      </c>
      <c r="B2226" s="7" t="s">
        <v>2234</v>
      </c>
      <c r="C2226" s="7" t="s">
        <v>6489</v>
      </c>
      <c r="D2226" s="7" t="s">
        <v>6617</v>
      </c>
      <c r="E2226" s="7" t="s">
        <v>6622</v>
      </c>
      <c r="F2226" s="7" t="s">
        <v>6341</v>
      </c>
      <c r="G2226" s="7" t="s">
        <v>7150</v>
      </c>
      <c r="H2226" s="7" t="s">
        <v>7156</v>
      </c>
      <c r="I2226" s="7"/>
      <c r="J2226" s="10">
        <v>44636</v>
      </c>
      <c r="K2226" s="7" t="s">
        <v>7163</v>
      </c>
      <c r="L2226" s="7"/>
      <c r="M2226" s="7"/>
    </row>
    <row r="2227" spans="1:13" x14ac:dyDescent="0.3">
      <c r="A2227" s="7">
        <v>14969</v>
      </c>
      <c r="B2227" s="7" t="s">
        <v>2235</v>
      </c>
      <c r="C2227" s="7" t="s">
        <v>6489</v>
      </c>
      <c r="D2227" s="7" t="s">
        <v>6617</v>
      </c>
      <c r="E2227" s="7" t="s">
        <v>6622</v>
      </c>
      <c r="F2227" s="7" t="s">
        <v>6341</v>
      </c>
      <c r="G2227" s="7" t="s">
        <v>7150</v>
      </c>
      <c r="H2227" s="7" t="s">
        <v>7156</v>
      </c>
      <c r="I2227" s="7"/>
      <c r="J2227" s="10">
        <v>44903</v>
      </c>
      <c r="K2227" s="7" t="s">
        <v>7163</v>
      </c>
      <c r="L2227" s="7"/>
      <c r="M2227" s="7"/>
    </row>
    <row r="2228" spans="1:13" x14ac:dyDescent="0.3">
      <c r="A2228" s="7">
        <v>15002</v>
      </c>
      <c r="B2228" s="7" t="s">
        <v>2236</v>
      </c>
      <c r="C2228" s="7" t="s">
        <v>6489</v>
      </c>
      <c r="D2228" s="7" t="s">
        <v>6617</v>
      </c>
      <c r="E2228" s="7" t="s">
        <v>6622</v>
      </c>
      <c r="F2228" s="7" t="s">
        <v>6340</v>
      </c>
      <c r="G2228" s="7" t="s">
        <v>7150</v>
      </c>
      <c r="H2228" s="7" t="s">
        <v>7156</v>
      </c>
      <c r="I2228" s="7"/>
      <c r="J2228" s="10">
        <v>44914</v>
      </c>
      <c r="K2228" s="7" t="s">
        <v>7163</v>
      </c>
      <c r="L2228" s="7"/>
      <c r="M2228" s="7"/>
    </row>
    <row r="2229" spans="1:13" x14ac:dyDescent="0.3">
      <c r="A2229" s="7">
        <v>15003</v>
      </c>
      <c r="B2229" s="7" t="s">
        <v>2237</v>
      </c>
      <c r="C2229" s="7" t="s">
        <v>6489</v>
      </c>
      <c r="D2229" s="7" t="s">
        <v>6617</v>
      </c>
      <c r="E2229" s="7" t="s">
        <v>6622</v>
      </c>
      <c r="F2229" s="7" t="s">
        <v>6341</v>
      </c>
      <c r="G2229" s="7" t="s">
        <v>7150</v>
      </c>
      <c r="H2229" s="7" t="s">
        <v>7156</v>
      </c>
      <c r="I2229" s="7"/>
      <c r="J2229" s="10">
        <v>44914</v>
      </c>
      <c r="K2229" s="7" t="s">
        <v>7163</v>
      </c>
      <c r="L2229" s="7"/>
      <c r="M2229" s="7"/>
    </row>
    <row r="2230" spans="1:13" x14ac:dyDescent="0.3">
      <c r="A2230" s="7">
        <v>11668</v>
      </c>
      <c r="B2230" s="7" t="s">
        <v>2238</v>
      </c>
      <c r="C2230" s="7" t="s">
        <v>6489</v>
      </c>
      <c r="D2230" s="7" t="s">
        <v>6617</v>
      </c>
      <c r="E2230" s="7" t="s">
        <v>6622</v>
      </c>
      <c r="F2230" s="7" t="s">
        <v>6341</v>
      </c>
      <c r="G2230" s="7" t="s">
        <v>7151</v>
      </c>
      <c r="H2230" s="7" t="s">
        <v>7156</v>
      </c>
      <c r="I2230" s="7"/>
      <c r="J2230" s="10">
        <v>43004</v>
      </c>
      <c r="K2230" s="7" t="s">
        <v>7163</v>
      </c>
      <c r="L2230" s="7"/>
      <c r="M2230" s="7"/>
    </row>
    <row r="2231" spans="1:13" x14ac:dyDescent="0.3">
      <c r="A2231" s="7">
        <v>17787</v>
      </c>
      <c r="B2231" s="7" t="s">
        <v>2239</v>
      </c>
      <c r="C2231" s="7" t="s">
        <v>6489</v>
      </c>
      <c r="D2231" s="7" t="s">
        <v>6617</v>
      </c>
      <c r="E2231" s="7" t="s">
        <v>6622</v>
      </c>
      <c r="F2231" s="7" t="s">
        <v>6389</v>
      </c>
      <c r="G2231" s="7" t="s">
        <v>7150</v>
      </c>
      <c r="H2231" s="7" t="s">
        <v>7157</v>
      </c>
      <c r="I2231" s="7"/>
      <c r="J2231" s="10">
        <v>45876</v>
      </c>
      <c r="K2231" s="7" t="s">
        <v>7163</v>
      </c>
      <c r="L2231" s="7"/>
      <c r="M2231" s="7"/>
    </row>
    <row r="2232" spans="1:13" x14ac:dyDescent="0.3">
      <c r="A2232" s="7">
        <v>11671</v>
      </c>
      <c r="B2232" s="7" t="s">
        <v>2240</v>
      </c>
      <c r="C2232" s="7" t="s">
        <v>6489</v>
      </c>
      <c r="D2232" s="7" t="s">
        <v>6617</v>
      </c>
      <c r="E2232" s="7" t="s">
        <v>6622</v>
      </c>
      <c r="F2232" s="7" t="s">
        <v>6341</v>
      </c>
      <c r="G2232" s="7" t="s">
        <v>7150</v>
      </c>
      <c r="H2232" s="7" t="s">
        <v>7156</v>
      </c>
      <c r="I2232" s="7"/>
      <c r="J2232" s="10">
        <v>43004</v>
      </c>
      <c r="K2232" s="7" t="s">
        <v>7163</v>
      </c>
      <c r="L2232" s="7"/>
      <c r="M2232" s="7"/>
    </row>
    <row r="2233" spans="1:13" x14ac:dyDescent="0.3">
      <c r="A2233" s="7">
        <v>14378</v>
      </c>
      <c r="B2233" s="7" t="s">
        <v>2241</v>
      </c>
      <c r="C2233" s="7" t="s">
        <v>6489</v>
      </c>
      <c r="D2233" s="7" t="s">
        <v>6617</v>
      </c>
      <c r="E2233" s="7" t="s">
        <v>6622</v>
      </c>
      <c r="F2233" s="7" t="s">
        <v>6341</v>
      </c>
      <c r="G2233" s="7" t="s">
        <v>7150</v>
      </c>
      <c r="H2233" s="7" t="s">
        <v>7156</v>
      </c>
      <c r="I2233" s="7"/>
      <c r="J2233" s="10">
        <v>44743</v>
      </c>
      <c r="K2233" s="7" t="s">
        <v>7163</v>
      </c>
      <c r="L2233" s="7"/>
      <c r="M2233" s="7"/>
    </row>
    <row r="2234" spans="1:13" x14ac:dyDescent="0.3">
      <c r="A2234" s="7">
        <v>12980</v>
      </c>
      <c r="B2234" s="7" t="s">
        <v>2242</v>
      </c>
      <c r="C2234" s="7" t="s">
        <v>6489</v>
      </c>
      <c r="D2234" s="7" t="s">
        <v>6617</v>
      </c>
      <c r="E2234" s="7" t="s">
        <v>6622</v>
      </c>
      <c r="F2234" s="7" t="s">
        <v>6341</v>
      </c>
      <c r="G2234" s="7" t="s">
        <v>7150</v>
      </c>
      <c r="H2234" s="7" t="s">
        <v>7156</v>
      </c>
      <c r="I2234" s="7"/>
      <c r="J2234" s="10">
        <v>44160</v>
      </c>
      <c r="K2234" s="7" t="s">
        <v>7163</v>
      </c>
      <c r="L2234" s="7"/>
      <c r="M2234" s="7"/>
    </row>
    <row r="2235" spans="1:13" x14ac:dyDescent="0.3">
      <c r="A2235" s="7">
        <v>13007</v>
      </c>
      <c r="B2235" s="7" t="s">
        <v>2243</v>
      </c>
      <c r="C2235" s="7" t="s">
        <v>6489</v>
      </c>
      <c r="D2235" s="7" t="s">
        <v>6617</v>
      </c>
      <c r="E2235" s="7" t="s">
        <v>6622</v>
      </c>
      <c r="F2235" s="7" t="s">
        <v>6341</v>
      </c>
      <c r="G2235" s="7" t="s">
        <v>7150</v>
      </c>
      <c r="H2235" s="7" t="s">
        <v>7156</v>
      </c>
      <c r="I2235" s="7"/>
      <c r="J2235" s="10">
        <v>44187</v>
      </c>
      <c r="K2235" s="7" t="s">
        <v>7163</v>
      </c>
      <c r="L2235" s="7"/>
      <c r="M2235" s="7"/>
    </row>
    <row r="2236" spans="1:13" x14ac:dyDescent="0.3">
      <c r="A2236" s="7">
        <v>17694</v>
      </c>
      <c r="B2236" s="7" t="s">
        <v>2244</v>
      </c>
      <c r="C2236" s="7" t="s">
        <v>6489</v>
      </c>
      <c r="D2236" s="7" t="s">
        <v>6617</v>
      </c>
      <c r="E2236" s="7" t="s">
        <v>6622</v>
      </c>
      <c r="F2236" s="7" t="s">
        <v>6341</v>
      </c>
      <c r="G2236" s="7" t="s">
        <v>7150</v>
      </c>
      <c r="H2236" s="7" t="s">
        <v>7156</v>
      </c>
      <c r="I2236" s="7"/>
      <c r="J2236" s="10">
        <v>45845</v>
      </c>
      <c r="K2236" s="7" t="s">
        <v>7163</v>
      </c>
      <c r="L2236" s="7"/>
      <c r="M2236" s="7"/>
    </row>
    <row r="2237" spans="1:13" x14ac:dyDescent="0.3">
      <c r="A2237" s="7">
        <v>13141</v>
      </c>
      <c r="B2237" s="7" t="s">
        <v>2245</v>
      </c>
      <c r="C2237" s="7" t="s">
        <v>6489</v>
      </c>
      <c r="D2237" s="7" t="s">
        <v>6617</v>
      </c>
      <c r="E2237" s="7" t="s">
        <v>6622</v>
      </c>
      <c r="F2237" s="7" t="s">
        <v>6341</v>
      </c>
      <c r="G2237" s="7" t="s">
        <v>7150</v>
      </c>
      <c r="H2237" s="7" t="s">
        <v>7156</v>
      </c>
      <c r="I2237" s="7"/>
      <c r="J2237" s="10">
        <v>44288</v>
      </c>
      <c r="K2237" s="7" t="s">
        <v>7163</v>
      </c>
      <c r="L2237" s="7"/>
      <c r="M2237" s="7"/>
    </row>
    <row r="2238" spans="1:13" x14ac:dyDescent="0.3">
      <c r="A2238" s="7">
        <v>15059</v>
      </c>
      <c r="B2238" s="7" t="s">
        <v>2246</v>
      </c>
      <c r="C2238" s="7" t="s">
        <v>6489</v>
      </c>
      <c r="D2238" s="7" t="s">
        <v>6617</v>
      </c>
      <c r="E2238" s="7" t="s">
        <v>6622</v>
      </c>
      <c r="F2238" s="7" t="s">
        <v>6623</v>
      </c>
      <c r="G2238" s="7" t="s">
        <v>7150</v>
      </c>
      <c r="H2238" s="7" t="s">
        <v>7156</v>
      </c>
      <c r="I2238" s="7"/>
      <c r="J2238" s="10">
        <v>44937</v>
      </c>
      <c r="K2238" s="7" t="s">
        <v>7163</v>
      </c>
      <c r="L2238" s="7"/>
      <c r="M2238" s="7"/>
    </row>
    <row r="2239" spans="1:13" x14ac:dyDescent="0.3">
      <c r="A2239" s="7">
        <v>13679</v>
      </c>
      <c r="B2239" s="7" t="s">
        <v>2247</v>
      </c>
      <c r="C2239" s="7" t="s">
        <v>6489</v>
      </c>
      <c r="D2239" s="7" t="s">
        <v>6617</v>
      </c>
      <c r="E2239" s="7" t="s">
        <v>6622</v>
      </c>
      <c r="F2239" s="7" t="s">
        <v>6341</v>
      </c>
      <c r="G2239" s="7" t="s">
        <v>7150</v>
      </c>
      <c r="H2239" s="7" t="s">
        <v>7156</v>
      </c>
      <c r="I2239" s="7"/>
      <c r="J2239" s="10">
        <v>44537</v>
      </c>
      <c r="K2239" s="7" t="s">
        <v>7163</v>
      </c>
      <c r="L2239" s="7"/>
      <c r="M2239" s="7"/>
    </row>
    <row r="2240" spans="1:13" x14ac:dyDescent="0.3">
      <c r="A2240" s="7">
        <v>15358</v>
      </c>
      <c r="B2240" s="7" t="s">
        <v>2248</v>
      </c>
      <c r="C2240" s="7" t="s">
        <v>6489</v>
      </c>
      <c r="D2240" s="7" t="s">
        <v>6617</v>
      </c>
      <c r="E2240" s="7" t="s">
        <v>6622</v>
      </c>
      <c r="F2240" s="7" t="s">
        <v>6341</v>
      </c>
      <c r="G2240" s="7" t="s">
        <v>7151</v>
      </c>
      <c r="H2240" s="7" t="s">
        <v>7156</v>
      </c>
      <c r="I2240" s="7"/>
      <c r="J2240" s="10">
        <v>45042</v>
      </c>
      <c r="K2240" s="7" t="s">
        <v>7163</v>
      </c>
      <c r="L2240" s="7"/>
      <c r="M2240" s="7"/>
    </row>
    <row r="2241" spans="1:13" x14ac:dyDescent="0.3">
      <c r="A2241" s="7">
        <v>19189</v>
      </c>
      <c r="B2241" s="7" t="s">
        <v>2249</v>
      </c>
      <c r="C2241" s="7" t="s">
        <v>6489</v>
      </c>
      <c r="D2241" s="7" t="s">
        <v>6617</v>
      </c>
      <c r="E2241" s="7" t="s">
        <v>6622</v>
      </c>
      <c r="F2241" s="7" t="s">
        <v>6406</v>
      </c>
      <c r="G2241" s="7" t="s">
        <v>7150</v>
      </c>
      <c r="H2241" s="7" t="s">
        <v>7157</v>
      </c>
      <c r="I2241" s="7"/>
      <c r="J2241" s="10">
        <v>46280</v>
      </c>
      <c r="K2241" s="7" t="s">
        <v>7163</v>
      </c>
      <c r="L2241" s="7"/>
      <c r="M2241" s="7"/>
    </row>
    <row r="2242" spans="1:13" x14ac:dyDescent="0.3">
      <c r="A2242" s="7">
        <v>17781</v>
      </c>
      <c r="B2242" s="7" t="s">
        <v>2250</v>
      </c>
      <c r="C2242" s="7" t="s">
        <v>6489</v>
      </c>
      <c r="D2242" s="7" t="s">
        <v>6617</v>
      </c>
      <c r="E2242" s="7" t="s">
        <v>6622</v>
      </c>
      <c r="F2242" s="7" t="s">
        <v>6341</v>
      </c>
      <c r="G2242" s="7" t="s">
        <v>7150</v>
      </c>
      <c r="H2242" s="7" t="s">
        <v>7156</v>
      </c>
      <c r="I2242" s="7"/>
      <c r="J2242" s="10">
        <v>45876</v>
      </c>
      <c r="K2242" s="7" t="s">
        <v>7163</v>
      </c>
      <c r="L2242" s="7"/>
      <c r="M2242" s="7"/>
    </row>
    <row r="2243" spans="1:13" x14ac:dyDescent="0.3">
      <c r="A2243" s="7">
        <v>15453</v>
      </c>
      <c r="B2243" s="7" t="s">
        <v>2251</v>
      </c>
      <c r="C2243" s="7" t="s">
        <v>6489</v>
      </c>
      <c r="D2243" s="7" t="s">
        <v>6617</v>
      </c>
      <c r="E2243" s="7" t="s">
        <v>6622</v>
      </c>
      <c r="F2243" s="7" t="s">
        <v>6341</v>
      </c>
      <c r="G2243" s="7" t="s">
        <v>7150</v>
      </c>
      <c r="H2243" s="7" t="s">
        <v>7156</v>
      </c>
      <c r="I2243" s="7"/>
      <c r="J2243" s="10">
        <v>45078</v>
      </c>
      <c r="K2243" s="7" t="s">
        <v>7163</v>
      </c>
      <c r="L2243" s="7"/>
      <c r="M2243" s="7"/>
    </row>
    <row r="2244" spans="1:13" x14ac:dyDescent="0.3">
      <c r="A2244" s="7">
        <v>15484</v>
      </c>
      <c r="B2244" s="7" t="s">
        <v>2252</v>
      </c>
      <c r="C2244" s="7" t="s">
        <v>6489</v>
      </c>
      <c r="D2244" s="7" t="s">
        <v>6617</v>
      </c>
      <c r="E2244" s="7" t="s">
        <v>6622</v>
      </c>
      <c r="F2244" s="7" t="s">
        <v>6341</v>
      </c>
      <c r="G2244" s="7" t="s">
        <v>7150</v>
      </c>
      <c r="H2244" s="7" t="s">
        <v>7156</v>
      </c>
      <c r="I2244" s="7"/>
      <c r="J2244" s="10">
        <v>45086</v>
      </c>
      <c r="K2244" s="7" t="s">
        <v>7163</v>
      </c>
      <c r="L2244" s="7"/>
      <c r="M2244" s="7"/>
    </row>
    <row r="2245" spans="1:13" x14ac:dyDescent="0.3">
      <c r="A2245" s="7">
        <v>15558</v>
      </c>
      <c r="B2245" s="7" t="s">
        <v>2253</v>
      </c>
      <c r="C2245" s="7" t="s">
        <v>6489</v>
      </c>
      <c r="D2245" s="7" t="s">
        <v>6617</v>
      </c>
      <c r="E2245" s="7" t="s">
        <v>6622</v>
      </c>
      <c r="F2245" s="7" t="s">
        <v>6341</v>
      </c>
      <c r="G2245" s="7" t="s">
        <v>7150</v>
      </c>
      <c r="H2245" s="7" t="s">
        <v>7156</v>
      </c>
      <c r="I2245" s="7"/>
      <c r="J2245" s="10">
        <v>45126</v>
      </c>
      <c r="K2245" s="7" t="s">
        <v>7163</v>
      </c>
      <c r="L2245" s="7"/>
      <c r="M2245" s="7"/>
    </row>
    <row r="2246" spans="1:13" x14ac:dyDescent="0.3">
      <c r="A2246" s="7">
        <v>15559</v>
      </c>
      <c r="B2246" s="7" t="s">
        <v>2254</v>
      </c>
      <c r="C2246" s="7" t="s">
        <v>6489</v>
      </c>
      <c r="D2246" s="7" t="s">
        <v>6617</v>
      </c>
      <c r="E2246" s="7" t="s">
        <v>6622</v>
      </c>
      <c r="F2246" s="7" t="s">
        <v>6341</v>
      </c>
      <c r="G2246" s="7" t="s">
        <v>7150</v>
      </c>
      <c r="H2246" s="7" t="s">
        <v>7156</v>
      </c>
      <c r="I2246" s="7"/>
      <c r="J2246" s="10">
        <v>45126</v>
      </c>
      <c r="K2246" s="7" t="s">
        <v>7163</v>
      </c>
      <c r="L2246" s="7"/>
      <c r="M2246" s="7"/>
    </row>
    <row r="2247" spans="1:13" x14ac:dyDescent="0.3">
      <c r="A2247" s="7">
        <v>15763</v>
      </c>
      <c r="B2247" s="7" t="s">
        <v>2255</v>
      </c>
      <c r="C2247" s="7" t="s">
        <v>6489</v>
      </c>
      <c r="D2247" s="7" t="s">
        <v>6617</v>
      </c>
      <c r="E2247" s="7" t="s">
        <v>6622</v>
      </c>
      <c r="F2247" s="7" t="s">
        <v>6341</v>
      </c>
      <c r="G2247" s="7" t="s">
        <v>7150</v>
      </c>
      <c r="H2247" s="7" t="s">
        <v>7156</v>
      </c>
      <c r="I2247" s="7"/>
      <c r="J2247" s="10">
        <v>45188</v>
      </c>
      <c r="K2247" s="7" t="s">
        <v>7163</v>
      </c>
      <c r="L2247" s="7"/>
      <c r="M2247" s="7"/>
    </row>
    <row r="2248" spans="1:13" x14ac:dyDescent="0.3">
      <c r="A2248" s="7">
        <v>15928</v>
      </c>
      <c r="B2248" s="7" t="s">
        <v>2256</v>
      </c>
      <c r="C2248" s="7" t="s">
        <v>6489</v>
      </c>
      <c r="D2248" s="7" t="s">
        <v>6617</v>
      </c>
      <c r="E2248" s="7" t="s">
        <v>6622</v>
      </c>
      <c r="F2248" s="7" t="s">
        <v>6341</v>
      </c>
      <c r="G2248" s="7" t="s">
        <v>7150</v>
      </c>
      <c r="H2248" s="7" t="s">
        <v>7156</v>
      </c>
      <c r="I2248" s="7"/>
      <c r="J2248" s="10">
        <v>45237</v>
      </c>
      <c r="K2248" s="7" t="s">
        <v>7163</v>
      </c>
      <c r="L2248" s="7"/>
      <c r="M2248" s="7"/>
    </row>
    <row r="2249" spans="1:13" x14ac:dyDescent="0.3">
      <c r="A2249" s="7">
        <v>16127</v>
      </c>
      <c r="B2249" s="7" t="s">
        <v>2257</v>
      </c>
      <c r="C2249" s="7" t="s">
        <v>6489</v>
      </c>
      <c r="D2249" s="7" t="s">
        <v>6617</v>
      </c>
      <c r="E2249" s="7" t="s">
        <v>6622</v>
      </c>
      <c r="F2249" s="7" t="s">
        <v>6341</v>
      </c>
      <c r="G2249" s="7" t="s">
        <v>7150</v>
      </c>
      <c r="H2249" s="7" t="s">
        <v>7156</v>
      </c>
      <c r="I2249" s="7"/>
      <c r="J2249" s="10">
        <v>45287</v>
      </c>
      <c r="K2249" s="7" t="s">
        <v>7163</v>
      </c>
      <c r="L2249" s="7"/>
      <c r="M2249" s="7"/>
    </row>
    <row r="2250" spans="1:13" x14ac:dyDescent="0.3">
      <c r="A2250" s="7">
        <v>16395</v>
      </c>
      <c r="B2250" s="7" t="s">
        <v>2258</v>
      </c>
      <c r="C2250" s="7" t="s">
        <v>6489</v>
      </c>
      <c r="D2250" s="7" t="s">
        <v>6617</v>
      </c>
      <c r="E2250" s="7" t="s">
        <v>6622</v>
      </c>
      <c r="F2250" s="7" t="s">
        <v>6341</v>
      </c>
      <c r="G2250" s="7" t="s">
        <v>7150</v>
      </c>
      <c r="H2250" s="7" t="s">
        <v>7156</v>
      </c>
      <c r="I2250" s="7"/>
      <c r="J2250" s="10">
        <v>45370</v>
      </c>
      <c r="K2250" s="7" t="s">
        <v>7163</v>
      </c>
      <c r="L2250" s="7"/>
      <c r="M2250" s="7"/>
    </row>
    <row r="2251" spans="1:13" x14ac:dyDescent="0.3">
      <c r="A2251" s="7">
        <v>15716</v>
      </c>
      <c r="B2251" s="7" t="s">
        <v>2259</v>
      </c>
      <c r="C2251" s="7" t="s">
        <v>6489</v>
      </c>
      <c r="D2251" s="7" t="s">
        <v>6617</v>
      </c>
      <c r="E2251" s="7" t="s">
        <v>6622</v>
      </c>
      <c r="F2251" s="7" t="s">
        <v>6341</v>
      </c>
      <c r="G2251" s="7" t="s">
        <v>7150</v>
      </c>
      <c r="H2251" s="7" t="s">
        <v>7156</v>
      </c>
      <c r="I2251" s="7"/>
      <c r="J2251" s="10">
        <v>45174</v>
      </c>
      <c r="K2251" s="7" t="s">
        <v>7163</v>
      </c>
      <c r="L2251" s="7"/>
      <c r="M2251" s="7"/>
    </row>
    <row r="2252" spans="1:13" x14ac:dyDescent="0.3">
      <c r="A2252" s="7">
        <v>16464</v>
      </c>
      <c r="B2252" s="7" t="s">
        <v>2260</v>
      </c>
      <c r="C2252" s="7" t="s">
        <v>6489</v>
      </c>
      <c r="D2252" s="7" t="s">
        <v>6617</v>
      </c>
      <c r="E2252" s="7" t="s">
        <v>6622</v>
      </c>
      <c r="F2252" s="7" t="s">
        <v>6341</v>
      </c>
      <c r="G2252" s="7" t="s">
        <v>7150</v>
      </c>
      <c r="H2252" s="7" t="s">
        <v>7156</v>
      </c>
      <c r="I2252" s="7"/>
      <c r="J2252" s="10">
        <v>45415</v>
      </c>
      <c r="K2252" s="7" t="s">
        <v>7163</v>
      </c>
      <c r="L2252" s="7"/>
      <c r="M2252" s="7"/>
    </row>
    <row r="2253" spans="1:13" x14ac:dyDescent="0.3">
      <c r="A2253" s="7">
        <v>16535</v>
      </c>
      <c r="B2253" s="7" t="s">
        <v>2261</v>
      </c>
      <c r="C2253" s="7" t="s">
        <v>6489</v>
      </c>
      <c r="D2253" s="7" t="s">
        <v>6617</v>
      </c>
      <c r="E2253" s="7" t="s">
        <v>6622</v>
      </c>
      <c r="F2253" s="7" t="s">
        <v>6341</v>
      </c>
      <c r="G2253" s="7" t="s">
        <v>7150</v>
      </c>
      <c r="H2253" s="7" t="s">
        <v>7156</v>
      </c>
      <c r="I2253" s="7"/>
      <c r="J2253" s="10">
        <v>45470</v>
      </c>
      <c r="K2253" s="7" t="s">
        <v>7163</v>
      </c>
      <c r="L2253" s="7"/>
      <c r="M2253" s="7"/>
    </row>
    <row r="2254" spans="1:13" x14ac:dyDescent="0.3">
      <c r="A2254" s="7">
        <v>16465</v>
      </c>
      <c r="B2254" s="7" t="s">
        <v>2262</v>
      </c>
      <c r="C2254" s="7" t="s">
        <v>6489</v>
      </c>
      <c r="D2254" s="7" t="s">
        <v>6617</v>
      </c>
      <c r="E2254" s="7" t="s">
        <v>6622</v>
      </c>
      <c r="F2254" s="7" t="s">
        <v>6341</v>
      </c>
      <c r="G2254" s="7" t="s">
        <v>7150</v>
      </c>
      <c r="H2254" s="7" t="s">
        <v>7156</v>
      </c>
      <c r="I2254" s="7"/>
      <c r="J2254" s="10">
        <v>45415</v>
      </c>
      <c r="K2254" s="7" t="s">
        <v>7163</v>
      </c>
      <c r="L2254" s="7"/>
      <c r="M2254" s="7"/>
    </row>
    <row r="2255" spans="1:13" x14ac:dyDescent="0.3">
      <c r="A2255" s="7">
        <v>13681</v>
      </c>
      <c r="B2255" s="7" t="s">
        <v>2263</v>
      </c>
      <c r="C2255" s="7" t="s">
        <v>6489</v>
      </c>
      <c r="D2255" s="7" t="s">
        <v>6617</v>
      </c>
      <c r="E2255" s="7" t="s">
        <v>6622</v>
      </c>
      <c r="F2255" s="7" t="s">
        <v>6341</v>
      </c>
      <c r="G2255" s="7" t="s">
        <v>7150</v>
      </c>
      <c r="H2255" s="7" t="s">
        <v>7156</v>
      </c>
      <c r="I2255" s="7"/>
      <c r="J2255" s="10">
        <v>44537</v>
      </c>
      <c r="K2255" s="7" t="s">
        <v>7163</v>
      </c>
      <c r="L2255" s="7"/>
      <c r="M2255" s="7"/>
    </row>
    <row r="2256" spans="1:13" x14ac:dyDescent="0.3">
      <c r="A2256" s="7">
        <v>16646</v>
      </c>
      <c r="B2256" s="7" t="s">
        <v>2264</v>
      </c>
      <c r="C2256" s="7" t="s">
        <v>6489</v>
      </c>
      <c r="D2256" s="7" t="s">
        <v>6617</v>
      </c>
      <c r="E2256" s="7" t="s">
        <v>6622</v>
      </c>
      <c r="F2256" s="7" t="s">
        <v>6348</v>
      </c>
      <c r="G2256" s="7" t="s">
        <v>7150</v>
      </c>
      <c r="H2256" s="7" t="s">
        <v>7156</v>
      </c>
      <c r="I2256" s="7"/>
      <c r="J2256" s="10">
        <v>45509</v>
      </c>
      <c r="K2256" s="7" t="s">
        <v>7163</v>
      </c>
      <c r="L2256" s="7"/>
      <c r="M2256" s="7"/>
    </row>
    <row r="2257" spans="1:13" x14ac:dyDescent="0.3">
      <c r="A2257" s="7">
        <v>16608</v>
      </c>
      <c r="B2257" s="7" t="s">
        <v>2265</v>
      </c>
      <c r="C2257" s="7" t="s">
        <v>6489</v>
      </c>
      <c r="D2257" s="7" t="s">
        <v>6617</v>
      </c>
      <c r="E2257" s="7" t="s">
        <v>6622</v>
      </c>
      <c r="F2257" s="7" t="s">
        <v>6341</v>
      </c>
      <c r="G2257" s="7" t="s">
        <v>7150</v>
      </c>
      <c r="H2257" s="7" t="s">
        <v>7156</v>
      </c>
      <c r="I2257" s="7"/>
      <c r="J2257" s="10">
        <v>45495</v>
      </c>
      <c r="K2257" s="7" t="s">
        <v>7163</v>
      </c>
      <c r="L2257" s="7"/>
      <c r="M2257" s="7"/>
    </row>
    <row r="2258" spans="1:13" x14ac:dyDescent="0.3">
      <c r="A2258" s="7">
        <v>16609</v>
      </c>
      <c r="B2258" s="7" t="s">
        <v>2266</v>
      </c>
      <c r="C2258" s="7" t="s">
        <v>6489</v>
      </c>
      <c r="D2258" s="7" t="s">
        <v>6617</v>
      </c>
      <c r="E2258" s="7" t="s">
        <v>6622</v>
      </c>
      <c r="F2258" s="7" t="s">
        <v>6341</v>
      </c>
      <c r="G2258" s="7" t="s">
        <v>7150</v>
      </c>
      <c r="H2258" s="7" t="s">
        <v>7156</v>
      </c>
      <c r="I2258" s="7"/>
      <c r="J2258" s="10">
        <v>45495</v>
      </c>
      <c r="K2258" s="7" t="s">
        <v>7163</v>
      </c>
      <c r="L2258" s="7"/>
      <c r="M2258" s="7"/>
    </row>
    <row r="2259" spans="1:13" x14ac:dyDescent="0.3">
      <c r="A2259" s="7">
        <v>16803</v>
      </c>
      <c r="B2259" s="7" t="s">
        <v>2267</v>
      </c>
      <c r="C2259" s="7" t="s">
        <v>6489</v>
      </c>
      <c r="D2259" s="7" t="s">
        <v>6617</v>
      </c>
      <c r="E2259" s="7" t="s">
        <v>6622</v>
      </c>
      <c r="F2259" s="7" t="s">
        <v>6341</v>
      </c>
      <c r="G2259" s="7" t="s">
        <v>7150</v>
      </c>
      <c r="H2259" s="7" t="s">
        <v>7156</v>
      </c>
      <c r="I2259" s="7"/>
      <c r="J2259" s="10">
        <v>45553</v>
      </c>
      <c r="K2259" s="7" t="s">
        <v>7163</v>
      </c>
      <c r="L2259" s="7"/>
      <c r="M2259" s="7"/>
    </row>
    <row r="2260" spans="1:13" x14ac:dyDescent="0.3">
      <c r="A2260" s="7">
        <v>16659</v>
      </c>
      <c r="B2260" s="7" t="s">
        <v>2268</v>
      </c>
      <c r="C2260" s="7" t="s">
        <v>6489</v>
      </c>
      <c r="D2260" s="7" t="s">
        <v>6617</v>
      </c>
      <c r="E2260" s="7" t="s">
        <v>6622</v>
      </c>
      <c r="F2260" s="7" t="s">
        <v>6341</v>
      </c>
      <c r="G2260" s="7" t="s">
        <v>7150</v>
      </c>
      <c r="H2260" s="7" t="s">
        <v>7156</v>
      </c>
      <c r="I2260" s="7"/>
      <c r="J2260" s="10">
        <v>45512</v>
      </c>
      <c r="K2260" s="7" t="s">
        <v>7163</v>
      </c>
      <c r="L2260" s="7"/>
      <c r="M2260" s="7"/>
    </row>
    <row r="2261" spans="1:13" x14ac:dyDescent="0.3">
      <c r="A2261" s="7">
        <v>16851</v>
      </c>
      <c r="B2261" s="7" t="s">
        <v>2269</v>
      </c>
      <c r="C2261" s="7" t="s">
        <v>6489</v>
      </c>
      <c r="D2261" s="7" t="s">
        <v>6617</v>
      </c>
      <c r="E2261" s="7" t="s">
        <v>6622</v>
      </c>
      <c r="F2261" s="7" t="s">
        <v>6341</v>
      </c>
      <c r="G2261" s="7" t="s">
        <v>7150</v>
      </c>
      <c r="H2261" s="7" t="s">
        <v>7156</v>
      </c>
      <c r="I2261" s="7"/>
      <c r="J2261" s="10">
        <v>45568</v>
      </c>
      <c r="K2261" s="7" t="s">
        <v>7163</v>
      </c>
      <c r="L2261" s="7"/>
      <c r="M2261" s="7"/>
    </row>
    <row r="2262" spans="1:13" x14ac:dyDescent="0.3">
      <c r="A2262" s="7">
        <v>16936</v>
      </c>
      <c r="B2262" s="7" t="s">
        <v>2270</v>
      </c>
      <c r="C2262" s="7" t="s">
        <v>6620</v>
      </c>
      <c r="D2262" s="7" t="s">
        <v>6617</v>
      </c>
      <c r="E2262" s="7" t="s">
        <v>6622</v>
      </c>
      <c r="F2262" s="7" t="s">
        <v>6341</v>
      </c>
      <c r="G2262" s="7" t="s">
        <v>7150</v>
      </c>
      <c r="H2262" s="7" t="s">
        <v>7156</v>
      </c>
      <c r="I2262" s="7"/>
      <c r="J2262" s="10">
        <v>45566</v>
      </c>
      <c r="K2262" s="7" t="s">
        <v>7163</v>
      </c>
      <c r="L2262" s="7"/>
      <c r="M2262" s="7"/>
    </row>
    <row r="2263" spans="1:13" x14ac:dyDescent="0.3">
      <c r="A2263" s="7">
        <v>16846</v>
      </c>
      <c r="B2263" s="7" t="s">
        <v>2271</v>
      </c>
      <c r="C2263" s="7" t="s">
        <v>6489</v>
      </c>
      <c r="D2263" s="7" t="s">
        <v>6617</v>
      </c>
      <c r="E2263" s="7" t="s">
        <v>6622</v>
      </c>
      <c r="F2263" s="7" t="s">
        <v>6341</v>
      </c>
      <c r="G2263" s="7" t="s">
        <v>7150</v>
      </c>
      <c r="H2263" s="7" t="s">
        <v>7156</v>
      </c>
      <c r="I2263" s="7"/>
      <c r="J2263" s="10">
        <v>45566</v>
      </c>
      <c r="K2263" s="7" t="s">
        <v>7163</v>
      </c>
      <c r="L2263" s="7"/>
      <c r="M2263" s="7"/>
    </row>
    <row r="2264" spans="1:13" x14ac:dyDescent="0.3">
      <c r="A2264" s="7">
        <v>17296</v>
      </c>
      <c r="B2264" s="7" t="s">
        <v>2272</v>
      </c>
      <c r="C2264" s="7" t="s">
        <v>6489</v>
      </c>
      <c r="D2264" s="7" t="s">
        <v>6617</v>
      </c>
      <c r="E2264" s="7" t="s">
        <v>6622</v>
      </c>
      <c r="F2264" s="7" t="s">
        <v>6341</v>
      </c>
      <c r="G2264" s="7" t="s">
        <v>7150</v>
      </c>
      <c r="H2264" s="7" t="s">
        <v>7156</v>
      </c>
      <c r="I2264" s="7"/>
      <c r="J2264" s="10">
        <v>45698</v>
      </c>
      <c r="K2264" s="7" t="s">
        <v>7163</v>
      </c>
      <c r="L2264" s="7"/>
      <c r="M2264" s="7"/>
    </row>
    <row r="2265" spans="1:13" x14ac:dyDescent="0.3">
      <c r="A2265" s="7">
        <v>17334</v>
      </c>
      <c r="B2265" s="7" t="s">
        <v>2273</v>
      </c>
      <c r="C2265" s="7" t="s">
        <v>6489</v>
      </c>
      <c r="D2265" s="7" t="s">
        <v>6617</v>
      </c>
      <c r="E2265" s="7" t="s">
        <v>6622</v>
      </c>
      <c r="F2265" s="7" t="s">
        <v>6341</v>
      </c>
      <c r="G2265" s="7" t="s">
        <v>7150</v>
      </c>
      <c r="H2265" s="7" t="s">
        <v>7156</v>
      </c>
      <c r="I2265" s="7"/>
      <c r="J2265" s="10">
        <v>45712</v>
      </c>
      <c r="K2265" s="7" t="s">
        <v>7163</v>
      </c>
      <c r="L2265" s="7"/>
      <c r="M2265" s="7"/>
    </row>
    <row r="2266" spans="1:13" x14ac:dyDescent="0.3">
      <c r="A2266" s="7">
        <v>17335</v>
      </c>
      <c r="B2266" s="7" t="s">
        <v>2274</v>
      </c>
      <c r="C2266" s="7" t="s">
        <v>6489</v>
      </c>
      <c r="D2266" s="7" t="s">
        <v>6617</v>
      </c>
      <c r="E2266" s="7" t="s">
        <v>6622</v>
      </c>
      <c r="F2266" s="7" t="s">
        <v>6348</v>
      </c>
      <c r="G2266" s="7" t="s">
        <v>7150</v>
      </c>
      <c r="H2266" s="7" t="s">
        <v>7156</v>
      </c>
      <c r="I2266" s="7"/>
      <c r="J2266" s="10">
        <v>45712</v>
      </c>
      <c r="K2266" s="7" t="s">
        <v>7163</v>
      </c>
      <c r="L2266" s="7"/>
      <c r="M2266" s="7"/>
    </row>
    <row r="2267" spans="1:13" x14ac:dyDescent="0.3">
      <c r="A2267" s="7">
        <v>17475</v>
      </c>
      <c r="B2267" s="7" t="s">
        <v>2275</v>
      </c>
      <c r="C2267" s="7" t="s">
        <v>6489</v>
      </c>
      <c r="D2267" s="7" t="s">
        <v>6617</v>
      </c>
      <c r="E2267" s="7" t="s">
        <v>6622</v>
      </c>
      <c r="F2267" s="7" t="s">
        <v>6348</v>
      </c>
      <c r="G2267" s="7" t="s">
        <v>7151</v>
      </c>
      <c r="H2267" s="7" t="s">
        <v>7156</v>
      </c>
      <c r="I2267" s="7"/>
      <c r="J2267" s="10">
        <v>45763</v>
      </c>
      <c r="K2267" s="7" t="s">
        <v>7163</v>
      </c>
      <c r="L2267" s="7"/>
      <c r="M2267" s="7"/>
    </row>
    <row r="2268" spans="1:13" x14ac:dyDescent="0.3">
      <c r="A2268" s="7">
        <v>18638</v>
      </c>
      <c r="B2268" s="7" t="s">
        <v>2276</v>
      </c>
      <c r="C2268" s="7" t="s">
        <v>6489</v>
      </c>
      <c r="D2268" s="7" t="s">
        <v>6617</v>
      </c>
      <c r="E2268" s="7" t="s">
        <v>6622</v>
      </c>
      <c r="F2268" s="7" t="s">
        <v>6406</v>
      </c>
      <c r="G2268" s="7" t="s">
        <v>7150</v>
      </c>
      <c r="H2268" s="7" t="s">
        <v>7157</v>
      </c>
      <c r="I2268" s="7"/>
      <c r="J2268" s="10">
        <v>46177</v>
      </c>
      <c r="K2268" s="7" t="s">
        <v>7163</v>
      </c>
      <c r="L2268" s="7"/>
      <c r="M2268" s="7"/>
    </row>
    <row r="2269" spans="1:13" x14ac:dyDescent="0.3">
      <c r="A2269" s="7">
        <v>17550</v>
      </c>
      <c r="B2269" s="7" t="s">
        <v>2277</v>
      </c>
      <c r="C2269" s="7" t="s">
        <v>6489</v>
      </c>
      <c r="D2269" s="7" t="s">
        <v>6617</v>
      </c>
      <c r="E2269" s="7" t="s">
        <v>6622</v>
      </c>
      <c r="F2269" s="7" t="s">
        <v>6341</v>
      </c>
      <c r="G2269" s="7" t="s">
        <v>7150</v>
      </c>
      <c r="H2269" s="7" t="s">
        <v>7156</v>
      </c>
      <c r="I2269" s="7"/>
      <c r="J2269" s="10">
        <v>45785</v>
      </c>
      <c r="K2269" s="7" t="s">
        <v>7163</v>
      </c>
      <c r="L2269" s="7"/>
      <c r="M2269" s="7"/>
    </row>
    <row r="2270" spans="1:13" x14ac:dyDescent="0.3">
      <c r="A2270" s="7">
        <v>17549</v>
      </c>
      <c r="B2270" s="7" t="s">
        <v>2278</v>
      </c>
      <c r="C2270" s="7" t="s">
        <v>6489</v>
      </c>
      <c r="D2270" s="7" t="s">
        <v>6617</v>
      </c>
      <c r="E2270" s="7" t="s">
        <v>6622</v>
      </c>
      <c r="F2270" s="7" t="s">
        <v>6341</v>
      </c>
      <c r="G2270" s="7" t="s">
        <v>7150</v>
      </c>
      <c r="H2270" s="7" t="s">
        <v>7156</v>
      </c>
      <c r="I2270" s="7"/>
      <c r="J2270" s="10">
        <v>45789</v>
      </c>
      <c r="K2270" s="7" t="s">
        <v>7163</v>
      </c>
      <c r="L2270" s="7"/>
      <c r="M2270" s="7"/>
    </row>
    <row r="2271" spans="1:13" x14ac:dyDescent="0.3">
      <c r="A2271" s="7">
        <v>17572</v>
      </c>
      <c r="B2271" s="7" t="s">
        <v>2279</v>
      </c>
      <c r="C2271" s="7" t="s">
        <v>6489</v>
      </c>
      <c r="D2271" s="7" t="s">
        <v>6617</v>
      </c>
      <c r="E2271" s="7" t="s">
        <v>6622</v>
      </c>
      <c r="F2271" s="7" t="s">
        <v>6341</v>
      </c>
      <c r="G2271" s="7" t="s">
        <v>7150</v>
      </c>
      <c r="H2271" s="7" t="s">
        <v>7156</v>
      </c>
      <c r="I2271" s="7"/>
      <c r="J2271" s="10">
        <v>45793</v>
      </c>
      <c r="K2271" s="7" t="s">
        <v>7163</v>
      </c>
      <c r="L2271" s="7"/>
      <c r="M2271" s="7"/>
    </row>
    <row r="2272" spans="1:13" x14ac:dyDescent="0.3">
      <c r="A2272" s="7">
        <v>17623</v>
      </c>
      <c r="B2272" s="7" t="s">
        <v>2280</v>
      </c>
      <c r="C2272" s="7" t="s">
        <v>6489</v>
      </c>
      <c r="D2272" s="7" t="s">
        <v>6617</v>
      </c>
      <c r="E2272" s="7" t="s">
        <v>6622</v>
      </c>
      <c r="F2272" s="7" t="s">
        <v>6341</v>
      </c>
      <c r="G2272" s="7" t="s">
        <v>7150</v>
      </c>
      <c r="H2272" s="7" t="s">
        <v>7156</v>
      </c>
      <c r="I2272" s="7"/>
      <c r="J2272" s="10">
        <v>45819</v>
      </c>
      <c r="K2272" s="7" t="s">
        <v>7163</v>
      </c>
      <c r="L2272" s="7"/>
      <c r="M2272" s="7"/>
    </row>
    <row r="2273" spans="1:13" x14ac:dyDescent="0.3">
      <c r="A2273" s="7">
        <v>16945</v>
      </c>
      <c r="B2273" s="7" t="s">
        <v>2281</v>
      </c>
      <c r="C2273" s="7" t="s">
        <v>6620</v>
      </c>
      <c r="D2273" s="7" t="s">
        <v>6617</v>
      </c>
      <c r="E2273" s="7" t="s">
        <v>6622</v>
      </c>
      <c r="F2273" s="7" t="s">
        <v>6348</v>
      </c>
      <c r="G2273" s="7" t="s">
        <v>7150</v>
      </c>
      <c r="H2273" s="7" t="s">
        <v>7156</v>
      </c>
      <c r="I2273" s="7"/>
      <c r="J2273" s="10">
        <v>45566</v>
      </c>
      <c r="K2273" s="7" t="s">
        <v>7163</v>
      </c>
      <c r="L2273" s="7"/>
      <c r="M2273" s="7"/>
    </row>
    <row r="2274" spans="1:13" x14ac:dyDescent="0.3">
      <c r="A2274" s="7">
        <v>16839</v>
      </c>
      <c r="B2274" s="7" t="s">
        <v>2282</v>
      </c>
      <c r="C2274" s="7" t="s">
        <v>6620</v>
      </c>
      <c r="D2274" s="7" t="s">
        <v>6617</v>
      </c>
      <c r="E2274" s="7" t="s">
        <v>6622</v>
      </c>
      <c r="F2274" s="7" t="s">
        <v>6348</v>
      </c>
      <c r="G2274" s="7" t="s">
        <v>7150</v>
      </c>
      <c r="H2274" s="7" t="s">
        <v>7156</v>
      </c>
      <c r="I2274" s="7"/>
      <c r="J2274" s="10">
        <v>45566</v>
      </c>
      <c r="K2274" s="7" t="s">
        <v>7163</v>
      </c>
      <c r="L2274" s="7"/>
      <c r="M2274" s="7"/>
    </row>
    <row r="2275" spans="1:13" x14ac:dyDescent="0.3">
      <c r="A2275" s="7">
        <v>17635</v>
      </c>
      <c r="B2275" s="7" t="s">
        <v>2283</v>
      </c>
      <c r="C2275" s="7" t="s">
        <v>6489</v>
      </c>
      <c r="D2275" s="7" t="s">
        <v>6617</v>
      </c>
      <c r="E2275" s="7" t="s">
        <v>6622</v>
      </c>
      <c r="F2275" s="7" t="s">
        <v>6348</v>
      </c>
      <c r="G2275" s="7" t="s">
        <v>7150</v>
      </c>
      <c r="H2275" s="7" t="s">
        <v>7156</v>
      </c>
      <c r="I2275" s="7"/>
      <c r="J2275" s="10">
        <v>45826</v>
      </c>
      <c r="K2275" s="7" t="s">
        <v>7163</v>
      </c>
      <c r="L2275" s="7"/>
      <c r="M2275" s="7"/>
    </row>
    <row r="2276" spans="1:13" x14ac:dyDescent="0.3">
      <c r="A2276" s="7">
        <v>17754</v>
      </c>
      <c r="B2276" s="7" t="s">
        <v>2284</v>
      </c>
      <c r="C2276" s="7" t="s">
        <v>6489</v>
      </c>
      <c r="D2276" s="7" t="s">
        <v>6617</v>
      </c>
      <c r="E2276" s="7" t="s">
        <v>6622</v>
      </c>
      <c r="F2276" s="7" t="s">
        <v>6341</v>
      </c>
      <c r="G2276" s="7" t="s">
        <v>7150</v>
      </c>
      <c r="H2276" s="7" t="s">
        <v>7156</v>
      </c>
      <c r="I2276" s="7"/>
      <c r="J2276" s="10">
        <v>45862</v>
      </c>
      <c r="K2276" s="7" t="s">
        <v>7163</v>
      </c>
      <c r="L2276" s="7"/>
      <c r="M2276" s="7"/>
    </row>
    <row r="2277" spans="1:13" x14ac:dyDescent="0.3">
      <c r="A2277" s="7">
        <v>17925</v>
      </c>
      <c r="B2277" s="7" t="s">
        <v>2285</v>
      </c>
      <c r="C2277" s="7" t="s">
        <v>6489</v>
      </c>
      <c r="D2277" s="7" t="s">
        <v>6617</v>
      </c>
      <c r="E2277" s="7" t="s">
        <v>6622</v>
      </c>
      <c r="F2277" s="7" t="s">
        <v>6341</v>
      </c>
      <c r="G2277" s="7" t="s">
        <v>7150</v>
      </c>
      <c r="H2277" s="7" t="s">
        <v>7156</v>
      </c>
      <c r="I2277" s="7"/>
      <c r="J2277" s="10">
        <v>45918</v>
      </c>
      <c r="K2277" s="7" t="s">
        <v>7163</v>
      </c>
      <c r="L2277" s="7"/>
      <c r="M2277" s="7"/>
    </row>
    <row r="2278" spans="1:13" x14ac:dyDescent="0.3">
      <c r="A2278" s="7">
        <v>17992</v>
      </c>
      <c r="B2278" s="7" t="s">
        <v>2286</v>
      </c>
      <c r="C2278" s="7" t="s">
        <v>6620</v>
      </c>
      <c r="D2278" s="7" t="s">
        <v>6617</v>
      </c>
      <c r="E2278" s="7" t="s">
        <v>6622</v>
      </c>
      <c r="F2278" s="7" t="s">
        <v>6348</v>
      </c>
      <c r="G2278" s="7" t="s">
        <v>7150</v>
      </c>
      <c r="H2278" s="7" t="s">
        <v>7156</v>
      </c>
      <c r="I2278" s="7"/>
      <c r="J2278" s="10">
        <v>45951</v>
      </c>
      <c r="K2278" s="7" t="s">
        <v>7163</v>
      </c>
      <c r="L2278" s="7"/>
      <c r="M2278" s="7"/>
    </row>
    <row r="2279" spans="1:13" x14ac:dyDescent="0.3">
      <c r="A2279" s="7">
        <v>18001</v>
      </c>
      <c r="B2279" s="7" t="s">
        <v>2287</v>
      </c>
      <c r="C2279" s="7" t="s">
        <v>6489</v>
      </c>
      <c r="D2279" s="7" t="s">
        <v>6617</v>
      </c>
      <c r="E2279" s="7" t="s">
        <v>6622</v>
      </c>
      <c r="F2279" s="7" t="s">
        <v>6348</v>
      </c>
      <c r="G2279" s="7" t="s">
        <v>7150</v>
      </c>
      <c r="H2279" s="7" t="s">
        <v>7156</v>
      </c>
      <c r="I2279" s="7"/>
      <c r="J2279" s="10">
        <v>45953</v>
      </c>
      <c r="K2279" s="7" t="s">
        <v>7163</v>
      </c>
      <c r="L2279" s="7"/>
      <c r="M2279" s="7"/>
    </row>
    <row r="2280" spans="1:13" x14ac:dyDescent="0.3">
      <c r="A2280" s="7">
        <v>18018</v>
      </c>
      <c r="B2280" s="7" t="s">
        <v>2288</v>
      </c>
      <c r="C2280" s="7" t="s">
        <v>6489</v>
      </c>
      <c r="D2280" s="7" t="s">
        <v>6617</v>
      </c>
      <c r="E2280" s="7" t="s">
        <v>6622</v>
      </c>
      <c r="F2280" s="7" t="s">
        <v>6348</v>
      </c>
      <c r="G2280" s="7" t="s">
        <v>7150</v>
      </c>
      <c r="H2280" s="7" t="s">
        <v>7156</v>
      </c>
      <c r="I2280" s="7"/>
      <c r="J2280" s="10">
        <v>45965</v>
      </c>
      <c r="K2280" s="7" t="s">
        <v>7163</v>
      </c>
      <c r="L2280" s="7"/>
      <c r="M2280" s="7"/>
    </row>
    <row r="2281" spans="1:13" x14ac:dyDescent="0.3">
      <c r="A2281" s="7">
        <v>18019</v>
      </c>
      <c r="B2281" s="7" t="s">
        <v>2289</v>
      </c>
      <c r="C2281" s="7" t="s">
        <v>6489</v>
      </c>
      <c r="D2281" s="7" t="s">
        <v>6617</v>
      </c>
      <c r="E2281" s="7" t="s">
        <v>6622</v>
      </c>
      <c r="F2281" s="7" t="s">
        <v>6348</v>
      </c>
      <c r="G2281" s="7" t="s">
        <v>7150</v>
      </c>
      <c r="H2281" s="7" t="s">
        <v>7156</v>
      </c>
      <c r="I2281" s="7"/>
      <c r="J2281" s="10">
        <v>45965</v>
      </c>
      <c r="K2281" s="7" t="s">
        <v>7163</v>
      </c>
      <c r="L2281" s="7"/>
      <c r="M2281" s="7"/>
    </row>
    <row r="2282" spans="1:13" x14ac:dyDescent="0.3">
      <c r="A2282" s="7">
        <v>18842</v>
      </c>
      <c r="B2282" s="7" t="s">
        <v>2290</v>
      </c>
      <c r="C2282" s="7" t="s">
        <v>6489</v>
      </c>
      <c r="D2282" s="7" t="s">
        <v>6617</v>
      </c>
      <c r="E2282" s="7" t="s">
        <v>6622</v>
      </c>
      <c r="F2282" s="7" t="s">
        <v>6348</v>
      </c>
      <c r="G2282" s="7" t="s">
        <v>7150</v>
      </c>
      <c r="H2282" s="7" t="s">
        <v>7156</v>
      </c>
      <c r="I2282" s="7"/>
      <c r="J2282" s="10">
        <v>46223</v>
      </c>
      <c r="K2282" s="7" t="s">
        <v>7163</v>
      </c>
      <c r="L2282" s="7"/>
      <c r="M2282" s="7"/>
    </row>
    <row r="2283" spans="1:13" x14ac:dyDescent="0.3">
      <c r="A2283" s="7">
        <v>18045</v>
      </c>
      <c r="B2283" s="7" t="s">
        <v>2291</v>
      </c>
      <c r="C2283" s="7" t="s">
        <v>6489</v>
      </c>
      <c r="D2283" s="7" t="s">
        <v>6617</v>
      </c>
      <c r="E2283" s="7" t="s">
        <v>6622</v>
      </c>
      <c r="F2283" s="7" t="s">
        <v>6348</v>
      </c>
      <c r="G2283" s="7" t="s">
        <v>7150</v>
      </c>
      <c r="H2283" s="7" t="s">
        <v>7156</v>
      </c>
      <c r="I2283" s="7"/>
      <c r="J2283" s="10">
        <v>45975</v>
      </c>
      <c r="K2283" s="7" t="s">
        <v>7163</v>
      </c>
      <c r="L2283" s="7"/>
      <c r="M2283" s="7"/>
    </row>
    <row r="2284" spans="1:13" x14ac:dyDescent="0.3">
      <c r="A2284" s="7">
        <v>15619</v>
      </c>
      <c r="B2284" s="7" t="s">
        <v>2292</v>
      </c>
      <c r="C2284" s="7" t="s">
        <v>6489</v>
      </c>
      <c r="D2284" s="7" t="s">
        <v>6617</v>
      </c>
      <c r="E2284" s="7" t="s">
        <v>6622</v>
      </c>
      <c r="F2284" s="7" t="s">
        <v>6522</v>
      </c>
      <c r="G2284" s="7" t="s">
        <v>7150</v>
      </c>
      <c r="H2284" s="7" t="s">
        <v>7156</v>
      </c>
      <c r="I2284" s="7"/>
      <c r="J2284" s="10">
        <v>45142</v>
      </c>
      <c r="K2284" s="7" t="s">
        <v>7163</v>
      </c>
      <c r="L2284" s="7"/>
      <c r="M2284" s="7"/>
    </row>
    <row r="2285" spans="1:13" x14ac:dyDescent="0.3">
      <c r="A2285" s="7">
        <v>190013</v>
      </c>
      <c r="B2285" s="7" t="s">
        <v>2293</v>
      </c>
      <c r="C2285" s="7" t="s">
        <v>6461</v>
      </c>
      <c r="D2285" s="7" t="s">
        <v>6295</v>
      </c>
      <c r="E2285" s="7" t="s">
        <v>6619</v>
      </c>
      <c r="F2285" s="7" t="s">
        <v>6498</v>
      </c>
      <c r="G2285" s="7" t="s">
        <v>7150</v>
      </c>
      <c r="H2285" s="7" t="s">
        <v>7156</v>
      </c>
      <c r="I2285" s="7"/>
      <c r="J2285" s="10">
        <v>38274</v>
      </c>
      <c r="K2285" s="7" t="s">
        <v>7163</v>
      </c>
      <c r="L2285" s="7"/>
      <c r="M2285" s="7"/>
    </row>
    <row r="2286" spans="1:13" x14ac:dyDescent="0.3">
      <c r="A2286" s="7">
        <v>10795</v>
      </c>
      <c r="B2286" s="7" t="s">
        <v>2294</v>
      </c>
      <c r="C2286" s="7" t="s">
        <v>6461</v>
      </c>
      <c r="D2286" s="7" t="s">
        <v>6295</v>
      </c>
      <c r="E2286" s="7" t="s">
        <v>6619</v>
      </c>
      <c r="F2286" s="7" t="s">
        <v>6353</v>
      </c>
      <c r="G2286" s="7" t="s">
        <v>7150</v>
      </c>
      <c r="H2286" s="7" t="s">
        <v>7156</v>
      </c>
      <c r="I2286" s="7"/>
      <c r="J2286" s="10">
        <v>41900</v>
      </c>
      <c r="K2286" s="7" t="s">
        <v>7163</v>
      </c>
      <c r="L2286" s="7"/>
      <c r="M2286" s="7"/>
    </row>
    <row r="2287" spans="1:13" x14ac:dyDescent="0.3">
      <c r="A2287" s="7">
        <v>11573</v>
      </c>
      <c r="B2287" s="7" t="s">
        <v>2295</v>
      </c>
      <c r="C2287" s="7" t="s">
        <v>6461</v>
      </c>
      <c r="D2287" s="7" t="s">
        <v>6295</v>
      </c>
      <c r="E2287" s="7" t="s">
        <v>6619</v>
      </c>
      <c r="F2287" s="7" t="s">
        <v>6353</v>
      </c>
      <c r="G2287" s="7" t="s">
        <v>7150</v>
      </c>
      <c r="H2287" s="7" t="s">
        <v>7156</v>
      </c>
      <c r="I2287" s="7"/>
      <c r="J2287" s="10">
        <v>42866</v>
      </c>
      <c r="K2287" s="7" t="s">
        <v>7163</v>
      </c>
      <c r="L2287" s="7"/>
      <c r="M2287" s="7"/>
    </row>
    <row r="2288" spans="1:13" x14ac:dyDescent="0.3">
      <c r="A2288" s="7">
        <v>12588</v>
      </c>
      <c r="B2288" s="7" t="s">
        <v>2296</v>
      </c>
      <c r="C2288" s="7" t="s">
        <v>6461</v>
      </c>
      <c r="D2288" s="7" t="s">
        <v>6295</v>
      </c>
      <c r="E2288" s="7" t="s">
        <v>6619</v>
      </c>
      <c r="F2288" s="7" t="s">
        <v>6353</v>
      </c>
      <c r="G2288" s="7" t="s">
        <v>7150</v>
      </c>
      <c r="H2288" s="7" t="s">
        <v>7156</v>
      </c>
      <c r="I2288" s="7"/>
      <c r="J2288" s="10">
        <v>43818</v>
      </c>
      <c r="K2288" s="7" t="s">
        <v>7163</v>
      </c>
      <c r="L2288" s="7"/>
      <c r="M2288" s="7"/>
    </row>
    <row r="2289" spans="1:13" x14ac:dyDescent="0.3">
      <c r="A2289" s="7">
        <v>12265</v>
      </c>
      <c r="B2289" s="7" t="s">
        <v>2297</v>
      </c>
      <c r="C2289" s="7" t="s">
        <v>6461</v>
      </c>
      <c r="D2289" s="7" t="s">
        <v>6295</v>
      </c>
      <c r="E2289" s="7" t="s">
        <v>6619</v>
      </c>
      <c r="F2289" s="7" t="s">
        <v>6353</v>
      </c>
      <c r="G2289" s="7" t="s">
        <v>7150</v>
      </c>
      <c r="H2289" s="7" t="s">
        <v>7156</v>
      </c>
      <c r="I2289" s="7"/>
      <c r="J2289" s="10">
        <v>43654</v>
      </c>
      <c r="K2289" s="7" t="s">
        <v>7163</v>
      </c>
      <c r="L2289" s="7"/>
      <c r="M2289" s="7"/>
    </row>
    <row r="2290" spans="1:13" x14ac:dyDescent="0.3">
      <c r="A2290" s="7">
        <v>15315</v>
      </c>
      <c r="B2290" s="7" t="s">
        <v>2298</v>
      </c>
      <c r="C2290" s="7" t="s">
        <v>6461</v>
      </c>
      <c r="D2290" s="7" t="s">
        <v>6295</v>
      </c>
      <c r="E2290" s="7" t="s">
        <v>6619</v>
      </c>
      <c r="F2290" s="7" t="s">
        <v>6341</v>
      </c>
      <c r="G2290" s="7" t="s">
        <v>7150</v>
      </c>
      <c r="H2290" s="7" t="s">
        <v>7156</v>
      </c>
      <c r="I2290" s="7"/>
      <c r="J2290" s="10">
        <v>45026</v>
      </c>
      <c r="K2290" s="7" t="s">
        <v>7163</v>
      </c>
      <c r="L2290" s="7"/>
      <c r="M2290" s="7"/>
    </row>
    <row r="2291" spans="1:13" x14ac:dyDescent="0.3">
      <c r="A2291" s="7">
        <v>15867</v>
      </c>
      <c r="B2291" s="7" t="s">
        <v>2299</v>
      </c>
      <c r="C2291" s="7" t="s">
        <v>6461</v>
      </c>
      <c r="D2291" s="7" t="s">
        <v>6295</v>
      </c>
      <c r="E2291" s="7" t="s">
        <v>6619</v>
      </c>
      <c r="F2291" s="7" t="s">
        <v>6341</v>
      </c>
      <c r="G2291" s="7" t="s">
        <v>7150</v>
      </c>
      <c r="H2291" s="7" t="s">
        <v>7156</v>
      </c>
      <c r="I2291" s="7"/>
      <c r="J2291" s="10">
        <v>45222</v>
      </c>
      <c r="K2291" s="7" t="s">
        <v>7163</v>
      </c>
      <c r="L2291" s="7"/>
      <c r="M2291" s="7"/>
    </row>
    <row r="2292" spans="1:13" x14ac:dyDescent="0.3">
      <c r="A2292" s="7">
        <v>16923</v>
      </c>
      <c r="B2292" s="7" t="s">
        <v>2300</v>
      </c>
      <c r="C2292" s="7" t="s">
        <v>6620</v>
      </c>
      <c r="D2292" s="7" t="s">
        <v>6617</v>
      </c>
      <c r="E2292" s="7" t="s">
        <v>6621</v>
      </c>
      <c r="F2292" s="7" t="s">
        <v>6341</v>
      </c>
      <c r="G2292" s="7" t="s">
        <v>7150</v>
      </c>
      <c r="H2292" s="7" t="s">
        <v>7156</v>
      </c>
      <c r="I2292" s="7"/>
      <c r="J2292" s="10">
        <v>45566</v>
      </c>
      <c r="K2292" s="7" t="s">
        <v>7163</v>
      </c>
      <c r="L2292" s="7"/>
      <c r="M2292" s="7"/>
    </row>
    <row r="2293" spans="1:13" x14ac:dyDescent="0.3">
      <c r="A2293" s="7">
        <v>16925</v>
      </c>
      <c r="B2293" s="7" t="s">
        <v>2301</v>
      </c>
      <c r="C2293" s="7" t="s">
        <v>6620</v>
      </c>
      <c r="D2293" s="7" t="s">
        <v>6617</v>
      </c>
      <c r="E2293" s="7" t="s">
        <v>6621</v>
      </c>
      <c r="F2293" s="7" t="s">
        <v>6341</v>
      </c>
      <c r="G2293" s="7" t="s">
        <v>7150</v>
      </c>
      <c r="H2293" s="7" t="s">
        <v>7156</v>
      </c>
      <c r="I2293" s="7"/>
      <c r="J2293" s="10">
        <v>45566</v>
      </c>
      <c r="K2293" s="7" t="s">
        <v>7163</v>
      </c>
      <c r="L2293" s="7"/>
      <c r="M2293" s="7"/>
    </row>
    <row r="2294" spans="1:13" x14ac:dyDescent="0.3">
      <c r="A2294" s="7">
        <v>16927</v>
      </c>
      <c r="B2294" s="7" t="s">
        <v>2302</v>
      </c>
      <c r="C2294" s="7" t="s">
        <v>6620</v>
      </c>
      <c r="D2294" s="7" t="s">
        <v>6617</v>
      </c>
      <c r="E2294" s="7" t="s">
        <v>6621</v>
      </c>
      <c r="F2294" s="7" t="s">
        <v>6341</v>
      </c>
      <c r="G2294" s="7" t="s">
        <v>7150</v>
      </c>
      <c r="H2294" s="7" t="s">
        <v>7156</v>
      </c>
      <c r="I2294" s="7"/>
      <c r="J2294" s="10">
        <v>45566</v>
      </c>
      <c r="K2294" s="7" t="s">
        <v>7163</v>
      </c>
      <c r="L2294" s="7"/>
      <c r="M2294" s="7"/>
    </row>
    <row r="2295" spans="1:13" x14ac:dyDescent="0.3">
      <c r="A2295" s="7">
        <v>16930</v>
      </c>
      <c r="B2295" s="7" t="s">
        <v>2303</v>
      </c>
      <c r="C2295" s="7" t="s">
        <v>6489</v>
      </c>
      <c r="D2295" s="7" t="s">
        <v>6617</v>
      </c>
      <c r="E2295" s="7" t="s">
        <v>6622</v>
      </c>
      <c r="F2295" s="7" t="s">
        <v>6348</v>
      </c>
      <c r="G2295" s="7" t="s">
        <v>7151</v>
      </c>
      <c r="H2295" s="7" t="s">
        <v>7156</v>
      </c>
      <c r="I2295" s="7"/>
      <c r="J2295" s="10">
        <v>45566</v>
      </c>
      <c r="K2295" s="7" t="s">
        <v>7163</v>
      </c>
      <c r="L2295" s="7"/>
      <c r="M2295" s="7"/>
    </row>
    <row r="2296" spans="1:13" x14ac:dyDescent="0.3">
      <c r="A2296" s="7">
        <v>16939</v>
      </c>
      <c r="B2296" s="7" t="s">
        <v>2304</v>
      </c>
      <c r="C2296" s="7" t="s">
        <v>6620</v>
      </c>
      <c r="D2296" s="7" t="s">
        <v>6617</v>
      </c>
      <c r="E2296" s="7" t="s">
        <v>6622</v>
      </c>
      <c r="F2296" s="7" t="s">
        <v>6406</v>
      </c>
      <c r="G2296" s="7" t="s">
        <v>7150</v>
      </c>
      <c r="H2296" s="7" t="s">
        <v>7157</v>
      </c>
      <c r="I2296" s="7"/>
      <c r="J2296" s="10">
        <v>45566</v>
      </c>
      <c r="K2296" s="7" t="s">
        <v>7163</v>
      </c>
      <c r="L2296" s="7"/>
      <c r="M2296" s="7"/>
    </row>
    <row r="2297" spans="1:13" x14ac:dyDescent="0.3">
      <c r="A2297" s="7">
        <v>16931</v>
      </c>
      <c r="B2297" s="7" t="s">
        <v>2305</v>
      </c>
      <c r="C2297" s="7" t="s">
        <v>6620</v>
      </c>
      <c r="D2297" s="7" t="s">
        <v>6617</v>
      </c>
      <c r="E2297" s="7" t="s">
        <v>6621</v>
      </c>
      <c r="F2297" s="7" t="s">
        <v>6341</v>
      </c>
      <c r="G2297" s="7" t="s">
        <v>7150</v>
      </c>
      <c r="H2297" s="7" t="s">
        <v>7156</v>
      </c>
      <c r="I2297" s="7"/>
      <c r="J2297" s="10">
        <v>45566</v>
      </c>
      <c r="K2297" s="7" t="s">
        <v>7163</v>
      </c>
      <c r="L2297" s="7"/>
      <c r="M2297" s="7"/>
    </row>
    <row r="2298" spans="1:13" x14ac:dyDescent="0.3">
      <c r="A2298" s="7">
        <v>16938</v>
      </c>
      <c r="B2298" s="7" t="s">
        <v>2306</v>
      </c>
      <c r="C2298" s="7" t="s">
        <v>6620</v>
      </c>
      <c r="D2298" s="7" t="s">
        <v>6617</v>
      </c>
      <c r="E2298" s="7" t="s">
        <v>6621</v>
      </c>
      <c r="F2298" s="7" t="s">
        <v>6348</v>
      </c>
      <c r="G2298" s="7" t="s">
        <v>7150</v>
      </c>
      <c r="H2298" s="7" t="s">
        <v>7156</v>
      </c>
      <c r="I2298" s="7"/>
      <c r="J2298" s="10">
        <v>45566</v>
      </c>
      <c r="K2298" s="7" t="s">
        <v>7163</v>
      </c>
      <c r="L2298" s="7"/>
      <c r="M2298" s="7"/>
    </row>
    <row r="2299" spans="1:13" x14ac:dyDescent="0.3">
      <c r="A2299" s="7">
        <v>16940</v>
      </c>
      <c r="B2299" s="7" t="s">
        <v>2307</v>
      </c>
      <c r="C2299" s="7" t="s">
        <v>6620</v>
      </c>
      <c r="D2299" s="7" t="s">
        <v>6617</v>
      </c>
      <c r="E2299" s="7" t="s">
        <v>6621</v>
      </c>
      <c r="F2299" s="7" t="s">
        <v>6348</v>
      </c>
      <c r="G2299" s="7" t="s">
        <v>7150</v>
      </c>
      <c r="H2299" s="7" t="s">
        <v>7156</v>
      </c>
      <c r="I2299" s="7"/>
      <c r="J2299" s="10">
        <v>45566</v>
      </c>
      <c r="K2299" s="7" t="s">
        <v>7163</v>
      </c>
      <c r="L2299" s="7"/>
      <c r="M2299" s="7"/>
    </row>
    <row r="2300" spans="1:13" x14ac:dyDescent="0.3">
      <c r="A2300" s="7">
        <v>16941</v>
      </c>
      <c r="B2300" s="7" t="s">
        <v>2308</v>
      </c>
      <c r="C2300" s="7" t="s">
        <v>6620</v>
      </c>
      <c r="D2300" s="7" t="s">
        <v>6617</v>
      </c>
      <c r="E2300" s="7" t="s">
        <v>6621</v>
      </c>
      <c r="F2300" s="7" t="s">
        <v>6348</v>
      </c>
      <c r="G2300" s="7" t="s">
        <v>7150</v>
      </c>
      <c r="H2300" s="7" t="s">
        <v>7156</v>
      </c>
      <c r="I2300" s="7"/>
      <c r="J2300" s="10">
        <v>45566</v>
      </c>
      <c r="K2300" s="7" t="s">
        <v>7163</v>
      </c>
      <c r="L2300" s="7"/>
      <c r="M2300" s="7"/>
    </row>
    <row r="2301" spans="1:13" x14ac:dyDescent="0.3">
      <c r="A2301" s="7">
        <v>16942</v>
      </c>
      <c r="B2301" s="7" t="s">
        <v>2309</v>
      </c>
      <c r="C2301" s="7" t="s">
        <v>6620</v>
      </c>
      <c r="D2301" s="7" t="s">
        <v>6617</v>
      </c>
      <c r="E2301" s="7" t="s">
        <v>6621</v>
      </c>
      <c r="F2301" s="7" t="s">
        <v>6341</v>
      </c>
      <c r="G2301" s="7" t="s">
        <v>7150</v>
      </c>
      <c r="H2301" s="7" t="s">
        <v>7156</v>
      </c>
      <c r="I2301" s="7"/>
      <c r="J2301" s="10">
        <v>45566</v>
      </c>
      <c r="K2301" s="7" t="s">
        <v>7163</v>
      </c>
      <c r="L2301" s="7"/>
      <c r="M2301" s="7"/>
    </row>
    <row r="2302" spans="1:13" x14ac:dyDescent="0.3">
      <c r="A2302" s="7">
        <v>16827</v>
      </c>
      <c r="B2302" s="7" t="s">
        <v>2310</v>
      </c>
      <c r="C2302" s="7" t="s">
        <v>6620</v>
      </c>
      <c r="D2302" s="7" t="s">
        <v>6617</v>
      </c>
      <c r="E2302" s="7" t="s">
        <v>6621</v>
      </c>
      <c r="F2302" s="7" t="s">
        <v>6348</v>
      </c>
      <c r="G2302" s="7" t="s">
        <v>7150</v>
      </c>
      <c r="H2302" s="7" t="s">
        <v>7156</v>
      </c>
      <c r="I2302" s="7"/>
      <c r="J2302" s="10">
        <v>45573</v>
      </c>
      <c r="K2302" s="7" t="s">
        <v>7163</v>
      </c>
      <c r="L2302" s="7"/>
      <c r="M2302" s="7"/>
    </row>
    <row r="2303" spans="1:13" x14ac:dyDescent="0.3">
      <c r="A2303" s="7">
        <v>12998</v>
      </c>
      <c r="B2303" s="7" t="s">
        <v>2311</v>
      </c>
      <c r="C2303" s="7" t="s">
        <v>6533</v>
      </c>
      <c r="D2303" s="7" t="s">
        <v>6295</v>
      </c>
      <c r="E2303" s="7" t="s">
        <v>6295</v>
      </c>
      <c r="F2303" s="7" t="s">
        <v>6336</v>
      </c>
      <c r="G2303" s="7" t="s">
        <v>7150</v>
      </c>
      <c r="H2303" s="7" t="s">
        <v>7156</v>
      </c>
      <c r="I2303" s="7"/>
      <c r="J2303" s="10">
        <v>44176</v>
      </c>
      <c r="K2303" s="7" t="s">
        <v>7163</v>
      </c>
      <c r="L2303" s="7"/>
      <c r="M2303" s="7"/>
    </row>
    <row r="2304" spans="1:13" x14ac:dyDescent="0.3">
      <c r="A2304" s="7">
        <v>190043</v>
      </c>
      <c r="B2304" s="7" t="s">
        <v>2312</v>
      </c>
      <c r="C2304" s="7" t="s">
        <v>6489</v>
      </c>
      <c r="D2304" s="7" t="s">
        <v>6593</v>
      </c>
      <c r="E2304" s="7" t="s">
        <v>6295</v>
      </c>
      <c r="F2304" s="7" t="s">
        <v>6335</v>
      </c>
      <c r="G2304" s="7" t="s">
        <v>7150</v>
      </c>
      <c r="H2304" s="7" t="s">
        <v>7156</v>
      </c>
      <c r="I2304" s="7"/>
      <c r="J2304" s="10">
        <v>43313</v>
      </c>
      <c r="K2304" s="7" t="s">
        <v>7163</v>
      </c>
      <c r="L2304" s="7"/>
      <c r="M2304" s="7"/>
    </row>
    <row r="2305" spans="1:13" x14ac:dyDescent="0.3">
      <c r="A2305" s="7">
        <v>300137</v>
      </c>
      <c r="B2305" s="7" t="s">
        <v>2313</v>
      </c>
      <c r="C2305" s="7" t="s">
        <v>6489</v>
      </c>
      <c r="D2305" s="7" t="s">
        <v>6593</v>
      </c>
      <c r="E2305" s="7" t="s">
        <v>6624</v>
      </c>
      <c r="F2305" s="7" t="s">
        <v>6353</v>
      </c>
      <c r="G2305" s="7" t="s">
        <v>7150</v>
      </c>
      <c r="H2305" s="7" t="s">
        <v>7156</v>
      </c>
      <c r="I2305" s="7"/>
      <c r="J2305" s="10">
        <v>43325</v>
      </c>
      <c r="K2305" s="7" t="s">
        <v>7163</v>
      </c>
      <c r="L2305" s="7"/>
      <c r="M2305" s="7"/>
    </row>
    <row r="2306" spans="1:13" x14ac:dyDescent="0.3">
      <c r="A2306" s="7">
        <v>130041</v>
      </c>
      <c r="B2306" s="7" t="s">
        <v>2314</v>
      </c>
      <c r="C2306" s="7" t="s">
        <v>6489</v>
      </c>
      <c r="D2306" s="7" t="s">
        <v>6593</v>
      </c>
      <c r="E2306" s="7" t="s">
        <v>6624</v>
      </c>
      <c r="F2306" s="7" t="s">
        <v>6353</v>
      </c>
      <c r="G2306" s="7" t="s">
        <v>7150</v>
      </c>
      <c r="H2306" s="7" t="s">
        <v>7156</v>
      </c>
      <c r="I2306" s="7"/>
      <c r="J2306" s="10">
        <v>42572</v>
      </c>
      <c r="K2306" s="7" t="s">
        <v>7163</v>
      </c>
      <c r="L2306" s="7"/>
      <c r="M2306" s="7"/>
    </row>
    <row r="2307" spans="1:13" x14ac:dyDescent="0.3">
      <c r="A2307" s="7">
        <v>660024</v>
      </c>
      <c r="B2307" s="7" t="s">
        <v>2315</v>
      </c>
      <c r="C2307" s="7" t="s">
        <v>6489</v>
      </c>
      <c r="D2307" s="7" t="s">
        <v>6593</v>
      </c>
      <c r="E2307" s="7" t="s">
        <v>6624</v>
      </c>
      <c r="F2307" s="7" t="s">
        <v>6353</v>
      </c>
      <c r="G2307" s="7" t="s">
        <v>7150</v>
      </c>
      <c r="H2307" s="7" t="s">
        <v>7156</v>
      </c>
      <c r="I2307" s="7"/>
      <c r="J2307" s="10">
        <v>42020</v>
      </c>
      <c r="K2307" s="7" t="s">
        <v>7163</v>
      </c>
      <c r="L2307" s="7"/>
      <c r="M2307" s="7"/>
    </row>
    <row r="2308" spans="1:13" x14ac:dyDescent="0.3">
      <c r="A2308" s="7">
        <v>660031</v>
      </c>
      <c r="B2308" s="7" t="s">
        <v>2316</v>
      </c>
      <c r="C2308" s="7" t="s">
        <v>6489</v>
      </c>
      <c r="D2308" s="7" t="s">
        <v>6593</v>
      </c>
      <c r="E2308" s="7" t="s">
        <v>6624</v>
      </c>
      <c r="F2308" s="7" t="s">
        <v>6353</v>
      </c>
      <c r="G2308" s="7" t="s">
        <v>7150</v>
      </c>
      <c r="H2308" s="7" t="s">
        <v>7156</v>
      </c>
      <c r="I2308" s="7"/>
      <c r="J2308" s="10">
        <v>42809</v>
      </c>
      <c r="K2308" s="7" t="s">
        <v>7163</v>
      </c>
      <c r="L2308" s="7"/>
      <c r="M2308" s="7"/>
    </row>
    <row r="2309" spans="1:13" x14ac:dyDescent="0.3">
      <c r="A2309" s="7">
        <v>800040</v>
      </c>
      <c r="B2309" s="7" t="s">
        <v>2317</v>
      </c>
      <c r="C2309" s="7" t="s">
        <v>6489</v>
      </c>
      <c r="D2309" s="7" t="s">
        <v>6593</v>
      </c>
      <c r="E2309" s="7" t="s">
        <v>6624</v>
      </c>
      <c r="F2309" s="7" t="s">
        <v>6353</v>
      </c>
      <c r="G2309" s="7" t="s">
        <v>7150</v>
      </c>
      <c r="H2309" s="7" t="s">
        <v>7156</v>
      </c>
      <c r="I2309" s="7"/>
      <c r="J2309" s="10">
        <v>43265</v>
      </c>
      <c r="K2309" s="7" t="s">
        <v>7163</v>
      </c>
      <c r="L2309" s="7"/>
      <c r="M2309" s="7"/>
    </row>
    <row r="2310" spans="1:13" x14ac:dyDescent="0.3">
      <c r="A2310" s="7">
        <v>300112</v>
      </c>
      <c r="B2310" s="7" t="s">
        <v>2318</v>
      </c>
      <c r="C2310" s="7" t="s">
        <v>6489</v>
      </c>
      <c r="D2310" s="7" t="s">
        <v>6593</v>
      </c>
      <c r="E2310" s="7" t="s">
        <v>6624</v>
      </c>
      <c r="F2310" s="7" t="s">
        <v>6353</v>
      </c>
      <c r="G2310" s="7" t="s">
        <v>7150</v>
      </c>
      <c r="H2310" s="7" t="s">
        <v>7156</v>
      </c>
      <c r="I2310" s="7"/>
      <c r="J2310" s="10">
        <v>43076</v>
      </c>
      <c r="K2310" s="7" t="s">
        <v>7163</v>
      </c>
      <c r="L2310" s="7"/>
      <c r="M2310" s="7"/>
    </row>
    <row r="2311" spans="1:13" x14ac:dyDescent="0.3">
      <c r="A2311" s="7">
        <v>13180</v>
      </c>
      <c r="B2311" s="7" t="s">
        <v>2319</v>
      </c>
      <c r="C2311" s="7" t="s">
        <v>6489</v>
      </c>
      <c r="D2311" s="7" t="s">
        <v>6593</v>
      </c>
      <c r="E2311" s="7" t="s">
        <v>6624</v>
      </c>
      <c r="F2311" s="7" t="s">
        <v>6340</v>
      </c>
      <c r="G2311" s="7" t="s">
        <v>7150</v>
      </c>
      <c r="H2311" s="7" t="s">
        <v>7156</v>
      </c>
      <c r="I2311" s="7"/>
      <c r="J2311" s="10">
        <v>44308</v>
      </c>
      <c r="K2311" s="7" t="s">
        <v>7163</v>
      </c>
      <c r="L2311" s="7"/>
      <c r="M2311" s="7"/>
    </row>
    <row r="2312" spans="1:13" x14ac:dyDescent="0.3">
      <c r="A2312" s="7">
        <v>730046</v>
      </c>
      <c r="B2312" s="7" t="s">
        <v>2320</v>
      </c>
      <c r="C2312" s="7" t="s">
        <v>6489</v>
      </c>
      <c r="D2312" s="7" t="s">
        <v>6593</v>
      </c>
      <c r="E2312" s="7" t="s">
        <v>6624</v>
      </c>
      <c r="F2312" s="7" t="s">
        <v>6341</v>
      </c>
      <c r="G2312" s="7" t="s">
        <v>7150</v>
      </c>
      <c r="H2312" s="7" t="s">
        <v>7156</v>
      </c>
      <c r="I2312" s="7"/>
      <c r="J2312" s="10">
        <v>44202</v>
      </c>
      <c r="K2312" s="7" t="s">
        <v>7163</v>
      </c>
      <c r="L2312" s="7"/>
      <c r="M2312" s="7"/>
    </row>
    <row r="2313" spans="1:13" x14ac:dyDescent="0.3">
      <c r="A2313" s="7">
        <v>20038</v>
      </c>
      <c r="B2313" s="7" t="s">
        <v>2321</v>
      </c>
      <c r="C2313" s="7" t="s">
        <v>6489</v>
      </c>
      <c r="D2313" s="7" t="s">
        <v>6593</v>
      </c>
      <c r="E2313" s="7" t="s">
        <v>6625</v>
      </c>
      <c r="F2313" s="7" t="s">
        <v>6498</v>
      </c>
      <c r="G2313" s="7" t="s">
        <v>7150</v>
      </c>
      <c r="H2313" s="7" t="s">
        <v>7156</v>
      </c>
      <c r="I2313" s="7"/>
      <c r="J2313" s="10">
        <v>42898</v>
      </c>
      <c r="K2313" s="7" t="s">
        <v>7163</v>
      </c>
      <c r="L2313" s="7"/>
      <c r="M2313" s="7"/>
    </row>
    <row r="2314" spans="1:13" x14ac:dyDescent="0.3">
      <c r="A2314" s="7">
        <v>170033</v>
      </c>
      <c r="B2314" s="7" t="s">
        <v>2322</v>
      </c>
      <c r="C2314" s="7" t="s">
        <v>6489</v>
      </c>
      <c r="D2314" s="7" t="s">
        <v>6593</v>
      </c>
      <c r="E2314" s="7" t="s">
        <v>6625</v>
      </c>
      <c r="F2314" s="7" t="s">
        <v>6353</v>
      </c>
      <c r="G2314" s="7" t="s">
        <v>7152</v>
      </c>
      <c r="H2314" s="7" t="s">
        <v>7156</v>
      </c>
      <c r="I2314" s="7"/>
      <c r="J2314" s="10">
        <v>42846</v>
      </c>
      <c r="K2314" s="7" t="s">
        <v>7163</v>
      </c>
      <c r="L2314" s="7"/>
      <c r="M2314" s="7"/>
    </row>
    <row r="2315" spans="1:13" x14ac:dyDescent="0.3">
      <c r="A2315" s="7">
        <v>15742</v>
      </c>
      <c r="B2315" s="7" t="s">
        <v>2323</v>
      </c>
      <c r="C2315" s="7" t="s">
        <v>6489</v>
      </c>
      <c r="D2315" s="7" t="s">
        <v>6593</v>
      </c>
      <c r="E2315" s="7" t="s">
        <v>6625</v>
      </c>
      <c r="F2315" s="7" t="s">
        <v>6389</v>
      </c>
      <c r="G2315" s="7" t="s">
        <v>7150</v>
      </c>
      <c r="H2315" s="7" t="s">
        <v>7157</v>
      </c>
      <c r="I2315" s="7"/>
      <c r="J2315" s="10">
        <v>45182</v>
      </c>
      <c r="K2315" s="7" t="s">
        <v>7163</v>
      </c>
      <c r="L2315" s="7"/>
      <c r="M2315" s="7"/>
    </row>
    <row r="2316" spans="1:13" x14ac:dyDescent="0.3">
      <c r="A2316" s="7">
        <v>15355</v>
      </c>
      <c r="B2316" s="7" t="s">
        <v>2324</v>
      </c>
      <c r="C2316" s="7" t="s">
        <v>6489</v>
      </c>
      <c r="D2316" s="7" t="s">
        <v>6593</v>
      </c>
      <c r="E2316" s="7" t="s">
        <v>6625</v>
      </c>
      <c r="F2316" s="7" t="s">
        <v>6340</v>
      </c>
      <c r="G2316" s="7" t="s">
        <v>7150</v>
      </c>
      <c r="H2316" s="7" t="s">
        <v>7156</v>
      </c>
      <c r="I2316" s="7"/>
      <c r="J2316" s="10">
        <v>45042</v>
      </c>
      <c r="K2316" s="7" t="s">
        <v>7163</v>
      </c>
      <c r="L2316" s="7"/>
      <c r="M2316" s="7"/>
    </row>
    <row r="2317" spans="1:13" x14ac:dyDescent="0.3">
      <c r="A2317" s="7">
        <v>13171</v>
      </c>
      <c r="B2317" s="7" t="s">
        <v>2325</v>
      </c>
      <c r="C2317" s="7" t="s">
        <v>6489</v>
      </c>
      <c r="D2317" s="7" t="s">
        <v>6593</v>
      </c>
      <c r="E2317" s="7" t="s">
        <v>6626</v>
      </c>
      <c r="F2317" s="7" t="s">
        <v>6498</v>
      </c>
      <c r="G2317" s="7" t="s">
        <v>7150</v>
      </c>
      <c r="H2317" s="7" t="s">
        <v>7156</v>
      </c>
      <c r="I2317" s="7"/>
      <c r="J2317" s="10">
        <v>44305</v>
      </c>
      <c r="K2317" s="7" t="s">
        <v>7163</v>
      </c>
      <c r="L2317" s="7"/>
      <c r="M2317" s="7"/>
    </row>
    <row r="2318" spans="1:13" x14ac:dyDescent="0.3">
      <c r="A2318" s="7">
        <v>12830</v>
      </c>
      <c r="B2318" s="7" t="s">
        <v>2326</v>
      </c>
      <c r="C2318" s="7" t="s">
        <v>6489</v>
      </c>
      <c r="D2318" s="7" t="s">
        <v>6593</v>
      </c>
      <c r="E2318" s="7" t="s">
        <v>6626</v>
      </c>
      <c r="F2318" s="7" t="s">
        <v>6353</v>
      </c>
      <c r="G2318" s="7" t="s">
        <v>7150</v>
      </c>
      <c r="H2318" s="7" t="s">
        <v>7156</v>
      </c>
      <c r="I2318" s="7"/>
      <c r="J2318" s="10">
        <v>43994</v>
      </c>
      <c r="K2318" s="7" t="s">
        <v>7163</v>
      </c>
      <c r="L2318" s="7"/>
      <c r="M2318" s="7"/>
    </row>
    <row r="2319" spans="1:13" x14ac:dyDescent="0.3">
      <c r="A2319" s="7">
        <v>600052</v>
      </c>
      <c r="B2319" s="7" t="s">
        <v>2327</v>
      </c>
      <c r="C2319" s="7" t="s">
        <v>6489</v>
      </c>
      <c r="D2319" s="7" t="s">
        <v>6593</v>
      </c>
      <c r="E2319" s="7" t="s">
        <v>6626</v>
      </c>
      <c r="F2319" s="7" t="s">
        <v>6353</v>
      </c>
      <c r="G2319" s="7" t="s">
        <v>7150</v>
      </c>
      <c r="H2319" s="7" t="s">
        <v>7156</v>
      </c>
      <c r="I2319" s="7"/>
      <c r="J2319" s="10">
        <v>44459</v>
      </c>
      <c r="K2319" s="7" t="s">
        <v>7163</v>
      </c>
      <c r="L2319" s="7"/>
      <c r="M2319" s="7"/>
    </row>
    <row r="2320" spans="1:13" x14ac:dyDescent="0.3">
      <c r="A2320" s="7">
        <v>130058</v>
      </c>
      <c r="B2320" s="7" t="s">
        <v>2328</v>
      </c>
      <c r="C2320" s="7" t="s">
        <v>6489</v>
      </c>
      <c r="D2320" s="7" t="s">
        <v>6593</v>
      </c>
      <c r="E2320" s="7" t="s">
        <v>6626</v>
      </c>
      <c r="F2320" s="7" t="s">
        <v>6353</v>
      </c>
      <c r="G2320" s="7" t="s">
        <v>7150</v>
      </c>
      <c r="H2320" s="7" t="s">
        <v>7156</v>
      </c>
      <c r="I2320" s="7"/>
      <c r="J2320" s="10">
        <v>44461</v>
      </c>
      <c r="K2320" s="7" t="s">
        <v>7163</v>
      </c>
      <c r="L2320" s="7"/>
      <c r="M2320" s="7"/>
    </row>
    <row r="2321" spans="1:13" x14ac:dyDescent="0.3">
      <c r="A2321" s="7">
        <v>600053</v>
      </c>
      <c r="B2321" s="7" t="s">
        <v>2329</v>
      </c>
      <c r="C2321" s="7" t="s">
        <v>6489</v>
      </c>
      <c r="D2321" s="7" t="s">
        <v>6593</v>
      </c>
      <c r="E2321" s="7" t="s">
        <v>6626</v>
      </c>
      <c r="F2321" s="7" t="s">
        <v>6353</v>
      </c>
      <c r="G2321" s="7" t="s">
        <v>7150</v>
      </c>
      <c r="H2321" s="7" t="s">
        <v>7156</v>
      </c>
      <c r="I2321" s="7"/>
      <c r="J2321" s="10">
        <v>44459</v>
      </c>
      <c r="K2321" s="7" t="s">
        <v>7163</v>
      </c>
      <c r="L2321" s="7"/>
      <c r="M2321" s="7"/>
    </row>
    <row r="2322" spans="1:13" x14ac:dyDescent="0.3">
      <c r="A2322" s="7">
        <v>280034</v>
      </c>
      <c r="B2322" s="7" t="s">
        <v>2330</v>
      </c>
      <c r="C2322" s="7" t="s">
        <v>6489</v>
      </c>
      <c r="D2322" s="7" t="s">
        <v>6593</v>
      </c>
      <c r="E2322" s="7" t="s">
        <v>6626</v>
      </c>
      <c r="F2322" s="7" t="s">
        <v>6340</v>
      </c>
      <c r="G2322" s="7" t="s">
        <v>7150</v>
      </c>
      <c r="H2322" s="7" t="s">
        <v>7156</v>
      </c>
      <c r="I2322" s="7"/>
      <c r="J2322" s="10">
        <v>44357</v>
      </c>
      <c r="K2322" s="7" t="s">
        <v>7163</v>
      </c>
      <c r="L2322" s="7"/>
      <c r="M2322" s="7"/>
    </row>
    <row r="2323" spans="1:13" x14ac:dyDescent="0.3">
      <c r="A2323" s="7">
        <v>17327</v>
      </c>
      <c r="B2323" s="7" t="s">
        <v>2331</v>
      </c>
      <c r="C2323" s="7" t="s">
        <v>6627</v>
      </c>
      <c r="D2323" s="7" t="s">
        <v>6295</v>
      </c>
      <c r="E2323" s="7" t="s">
        <v>6295</v>
      </c>
      <c r="F2323" s="7" t="s">
        <v>6516</v>
      </c>
      <c r="G2323" s="7" t="s">
        <v>7150</v>
      </c>
      <c r="H2323" s="7" t="s">
        <v>7156</v>
      </c>
      <c r="I2323" s="7"/>
      <c r="J2323" s="10">
        <v>45705</v>
      </c>
      <c r="K2323" s="7" t="s">
        <v>7164</v>
      </c>
      <c r="L2323" s="7"/>
      <c r="M2323" s="7"/>
    </row>
    <row r="2324" spans="1:13" x14ac:dyDescent="0.3">
      <c r="A2324" s="7">
        <v>14162</v>
      </c>
      <c r="B2324" s="7" t="s">
        <v>2332</v>
      </c>
      <c r="C2324" s="7" t="s">
        <v>6326</v>
      </c>
      <c r="D2324" s="7" t="s">
        <v>6628</v>
      </c>
      <c r="E2324" s="7" t="s">
        <v>6295</v>
      </c>
      <c r="F2324" s="7" t="s">
        <v>6333</v>
      </c>
      <c r="G2324" s="7" t="s">
        <v>7150</v>
      </c>
      <c r="H2324" s="7" t="s">
        <v>7156</v>
      </c>
      <c r="I2324" s="7"/>
      <c r="J2324" s="10">
        <v>44678</v>
      </c>
      <c r="K2324" s="7" t="s">
        <v>7164</v>
      </c>
      <c r="L2324" s="7"/>
      <c r="M2324" s="7"/>
    </row>
    <row r="2325" spans="1:13" x14ac:dyDescent="0.3">
      <c r="A2325" s="7">
        <v>16523</v>
      </c>
      <c r="B2325" s="7" t="s">
        <v>2333</v>
      </c>
      <c r="C2325" s="7" t="s">
        <v>6627</v>
      </c>
      <c r="D2325" s="7" t="s">
        <v>6629</v>
      </c>
      <c r="E2325" s="7" t="s">
        <v>6295</v>
      </c>
      <c r="F2325" s="7" t="s">
        <v>6630</v>
      </c>
      <c r="G2325" s="7" t="s">
        <v>7150</v>
      </c>
      <c r="H2325" s="7" t="s">
        <v>7156</v>
      </c>
      <c r="I2325" s="7"/>
      <c r="J2325" s="10">
        <v>45453</v>
      </c>
      <c r="K2325" s="7" t="s">
        <v>7164</v>
      </c>
      <c r="L2325" s="7"/>
      <c r="M2325" s="7"/>
    </row>
    <row r="2326" spans="1:13" x14ac:dyDescent="0.3">
      <c r="A2326" s="7">
        <v>19082</v>
      </c>
      <c r="B2326" s="7" t="s">
        <v>2334</v>
      </c>
      <c r="C2326" s="7" t="s">
        <v>6627</v>
      </c>
      <c r="D2326" s="7" t="s">
        <v>6631</v>
      </c>
      <c r="E2326" s="7" t="s">
        <v>6295</v>
      </c>
      <c r="F2326" s="7" t="s">
        <v>6333</v>
      </c>
      <c r="G2326" s="7" t="s">
        <v>7150</v>
      </c>
      <c r="H2326" s="7" t="s">
        <v>7156</v>
      </c>
      <c r="I2326" s="7" t="s">
        <v>7159</v>
      </c>
      <c r="J2326" s="10">
        <v>46261</v>
      </c>
      <c r="K2326" s="7" t="s">
        <v>7164</v>
      </c>
      <c r="L2326" s="7"/>
      <c r="M2326" s="7"/>
    </row>
    <row r="2327" spans="1:13" x14ac:dyDescent="0.3">
      <c r="A2327" s="7">
        <v>17918</v>
      </c>
      <c r="B2327" s="7" t="s">
        <v>2335</v>
      </c>
      <c r="C2327" s="7" t="s">
        <v>6627</v>
      </c>
      <c r="D2327" s="7" t="s">
        <v>6632</v>
      </c>
      <c r="E2327" s="7" t="s">
        <v>6295</v>
      </c>
      <c r="F2327" s="7" t="s">
        <v>6333</v>
      </c>
      <c r="G2327" s="7" t="s">
        <v>7150</v>
      </c>
      <c r="H2327" s="7" t="s">
        <v>7156</v>
      </c>
      <c r="I2327" s="7"/>
      <c r="J2327" s="10">
        <v>45916</v>
      </c>
      <c r="K2327" s="7" t="s">
        <v>7164</v>
      </c>
      <c r="L2327" s="7"/>
      <c r="M2327" s="7"/>
    </row>
    <row r="2328" spans="1:13" x14ac:dyDescent="0.3">
      <c r="A2328" s="7">
        <v>19144</v>
      </c>
      <c r="B2328" s="7" t="s">
        <v>2336</v>
      </c>
      <c r="C2328" s="7" t="s">
        <v>6627</v>
      </c>
      <c r="D2328" s="7" t="s">
        <v>6633</v>
      </c>
      <c r="E2328" s="7" t="s">
        <v>6295</v>
      </c>
      <c r="F2328" s="7" t="s">
        <v>6333</v>
      </c>
      <c r="G2328" s="7" t="s">
        <v>7150</v>
      </c>
      <c r="H2328" s="7" t="s">
        <v>7156</v>
      </c>
      <c r="I2328" s="7"/>
      <c r="J2328" s="10">
        <v>46275</v>
      </c>
      <c r="K2328" s="7" t="s">
        <v>7164</v>
      </c>
      <c r="L2328" s="7"/>
      <c r="M2328" s="7"/>
    </row>
    <row r="2329" spans="1:13" x14ac:dyDescent="0.3">
      <c r="A2329" s="7">
        <v>13236</v>
      </c>
      <c r="B2329" s="7" t="s">
        <v>2337</v>
      </c>
      <c r="C2329" s="7" t="s">
        <v>6634</v>
      </c>
      <c r="D2329" s="7" t="s">
        <v>6295</v>
      </c>
      <c r="E2329" s="7" t="s">
        <v>6295</v>
      </c>
      <c r="F2329" s="7" t="s">
        <v>6635</v>
      </c>
      <c r="G2329" s="7" t="s">
        <v>7150</v>
      </c>
      <c r="H2329" s="7" t="s">
        <v>7156</v>
      </c>
      <c r="I2329" s="7"/>
      <c r="J2329" s="10">
        <v>44333</v>
      </c>
      <c r="K2329" s="7" t="s">
        <v>7164</v>
      </c>
      <c r="L2329" s="7"/>
      <c r="M2329" s="7"/>
    </row>
    <row r="2330" spans="1:13" x14ac:dyDescent="0.3">
      <c r="A2330" s="7">
        <v>11918</v>
      </c>
      <c r="B2330" s="7" t="s">
        <v>2338</v>
      </c>
      <c r="C2330" s="7" t="s">
        <v>6636</v>
      </c>
      <c r="D2330" s="7" t="s">
        <v>6295</v>
      </c>
      <c r="E2330" s="7" t="s">
        <v>6295</v>
      </c>
      <c r="F2330" s="7" t="s">
        <v>6637</v>
      </c>
      <c r="G2330" s="7" t="s">
        <v>7150</v>
      </c>
      <c r="H2330" s="7" t="s">
        <v>7156</v>
      </c>
      <c r="I2330" s="7"/>
      <c r="J2330" s="10">
        <v>43283</v>
      </c>
      <c r="K2330" s="7" t="s">
        <v>7164</v>
      </c>
      <c r="L2330" s="7"/>
      <c r="M2330" s="7"/>
    </row>
    <row r="2331" spans="1:13" x14ac:dyDescent="0.3">
      <c r="A2331" s="7">
        <v>19268</v>
      </c>
      <c r="B2331" s="7" t="s">
        <v>2339</v>
      </c>
      <c r="C2331" s="7" t="s">
        <v>6636</v>
      </c>
      <c r="D2331" s="7" t="s">
        <v>6295</v>
      </c>
      <c r="E2331" s="7" t="s">
        <v>6295</v>
      </c>
      <c r="F2331" s="7" t="s">
        <v>6414</v>
      </c>
      <c r="G2331" s="7" t="s">
        <v>7150</v>
      </c>
      <c r="H2331" s="7" t="s">
        <v>7156</v>
      </c>
      <c r="I2331" s="7"/>
      <c r="J2331" s="10">
        <v>46289</v>
      </c>
      <c r="K2331" s="7" t="s">
        <v>7164</v>
      </c>
      <c r="L2331" s="7"/>
      <c r="M2331" s="7"/>
    </row>
    <row r="2332" spans="1:13" x14ac:dyDescent="0.3">
      <c r="A2332" s="7">
        <v>18733</v>
      </c>
      <c r="B2332" s="7" t="s">
        <v>2340</v>
      </c>
      <c r="C2332" s="7" t="s">
        <v>6636</v>
      </c>
      <c r="D2332" s="7" t="s">
        <v>6638</v>
      </c>
      <c r="E2332" s="7" t="s">
        <v>6295</v>
      </c>
      <c r="F2332" s="7" t="s">
        <v>6639</v>
      </c>
      <c r="G2332" s="7" t="s">
        <v>7150</v>
      </c>
      <c r="H2332" s="7" t="s">
        <v>7156</v>
      </c>
      <c r="I2332" s="7" t="s">
        <v>7159</v>
      </c>
      <c r="J2332" s="10">
        <v>46195</v>
      </c>
      <c r="K2332" s="7" t="s">
        <v>7164</v>
      </c>
      <c r="L2332" s="7"/>
      <c r="M2332" s="7"/>
    </row>
    <row r="2333" spans="1:13" x14ac:dyDescent="0.3">
      <c r="A2333" s="7">
        <v>16513</v>
      </c>
      <c r="B2333" s="7" t="s">
        <v>2341</v>
      </c>
      <c r="C2333" s="7" t="s">
        <v>6634</v>
      </c>
      <c r="D2333" s="7" t="s">
        <v>6640</v>
      </c>
      <c r="E2333" s="7" t="s">
        <v>6295</v>
      </c>
      <c r="F2333" s="7" t="s">
        <v>6485</v>
      </c>
      <c r="G2333" s="7" t="s">
        <v>7150</v>
      </c>
      <c r="H2333" s="7" t="s">
        <v>7156</v>
      </c>
      <c r="I2333" s="7"/>
      <c r="J2333" s="10">
        <v>45454</v>
      </c>
      <c r="K2333" s="7" t="s">
        <v>7164</v>
      </c>
      <c r="L2333" s="7"/>
      <c r="M2333" s="7"/>
    </row>
    <row r="2334" spans="1:13" x14ac:dyDescent="0.3">
      <c r="A2334" s="7">
        <v>240036</v>
      </c>
      <c r="B2334" s="7" t="s">
        <v>2342</v>
      </c>
      <c r="C2334" s="7" t="s">
        <v>6634</v>
      </c>
      <c r="D2334" s="7" t="s">
        <v>6640</v>
      </c>
      <c r="E2334" s="7" t="s">
        <v>6295</v>
      </c>
      <c r="F2334" s="7" t="s">
        <v>6414</v>
      </c>
      <c r="G2334" s="7" t="s">
        <v>7150</v>
      </c>
      <c r="H2334" s="7" t="s">
        <v>7156</v>
      </c>
      <c r="I2334" s="7"/>
      <c r="J2334" s="10">
        <v>42577</v>
      </c>
      <c r="K2334" s="7" t="s">
        <v>7164</v>
      </c>
      <c r="L2334" s="7"/>
      <c r="M2334" s="7"/>
    </row>
    <row r="2335" spans="1:13" x14ac:dyDescent="0.3">
      <c r="A2335" s="7">
        <v>18040</v>
      </c>
      <c r="B2335" s="7" t="s">
        <v>2343</v>
      </c>
      <c r="C2335" s="7" t="s">
        <v>6634</v>
      </c>
      <c r="D2335" s="7" t="s">
        <v>6640</v>
      </c>
      <c r="E2335" s="7" t="s">
        <v>6295</v>
      </c>
      <c r="F2335" s="7" t="s">
        <v>6485</v>
      </c>
      <c r="G2335" s="7" t="s">
        <v>7150</v>
      </c>
      <c r="H2335" s="7" t="s">
        <v>7156</v>
      </c>
      <c r="I2335" s="7"/>
      <c r="J2335" s="10">
        <v>45973</v>
      </c>
      <c r="K2335" s="7" t="s">
        <v>7164</v>
      </c>
      <c r="L2335" s="7"/>
      <c r="M2335" s="7"/>
    </row>
    <row r="2336" spans="1:13" x14ac:dyDescent="0.3">
      <c r="A2336" s="7">
        <v>12786</v>
      </c>
      <c r="B2336" s="7" t="s">
        <v>2344</v>
      </c>
      <c r="C2336" s="7" t="s">
        <v>6634</v>
      </c>
      <c r="D2336" s="7" t="s">
        <v>6640</v>
      </c>
      <c r="E2336" s="7" t="s">
        <v>6295</v>
      </c>
      <c r="F2336" s="7" t="s">
        <v>6485</v>
      </c>
      <c r="G2336" s="7" t="s">
        <v>7150</v>
      </c>
      <c r="H2336" s="7" t="s">
        <v>7156</v>
      </c>
      <c r="I2336" s="7"/>
      <c r="J2336" s="10">
        <v>43931</v>
      </c>
      <c r="K2336" s="7" t="s">
        <v>7164</v>
      </c>
      <c r="L2336" s="7"/>
      <c r="M2336" s="7"/>
    </row>
    <row r="2337" spans="1:13" x14ac:dyDescent="0.3">
      <c r="A2337" s="7">
        <v>19069</v>
      </c>
      <c r="B2337" s="7" t="s">
        <v>2345</v>
      </c>
      <c r="C2337" s="7" t="s">
        <v>6634</v>
      </c>
      <c r="D2337" s="7" t="s">
        <v>6640</v>
      </c>
      <c r="E2337" s="7" t="s">
        <v>6295</v>
      </c>
      <c r="F2337" s="7" t="s">
        <v>6485</v>
      </c>
      <c r="G2337" s="7" t="s">
        <v>7150</v>
      </c>
      <c r="H2337" s="7" t="s">
        <v>7156</v>
      </c>
      <c r="I2337" s="7"/>
      <c r="J2337" s="10">
        <v>46266</v>
      </c>
      <c r="K2337" s="7" t="s">
        <v>7164</v>
      </c>
      <c r="L2337" s="7"/>
      <c r="M2337" s="7"/>
    </row>
    <row r="2338" spans="1:13" x14ac:dyDescent="0.3">
      <c r="A2338" s="7">
        <v>15332</v>
      </c>
      <c r="B2338" s="7" t="s">
        <v>2346</v>
      </c>
      <c r="C2338" s="7" t="s">
        <v>6634</v>
      </c>
      <c r="D2338" s="7" t="s">
        <v>6640</v>
      </c>
      <c r="E2338" s="7" t="s">
        <v>6295</v>
      </c>
      <c r="F2338" s="7" t="s">
        <v>6485</v>
      </c>
      <c r="G2338" s="7" t="s">
        <v>7150</v>
      </c>
      <c r="H2338" s="7" t="s">
        <v>7156</v>
      </c>
      <c r="I2338" s="7"/>
      <c r="J2338" s="10">
        <v>45026</v>
      </c>
      <c r="K2338" s="7" t="s">
        <v>7164</v>
      </c>
      <c r="L2338" s="7"/>
      <c r="M2338" s="7"/>
    </row>
    <row r="2339" spans="1:13" x14ac:dyDescent="0.3">
      <c r="A2339" s="7">
        <v>16216</v>
      </c>
      <c r="B2339" s="7" t="s">
        <v>2347</v>
      </c>
      <c r="C2339" s="7" t="s">
        <v>6634</v>
      </c>
      <c r="D2339" s="7" t="s">
        <v>6640</v>
      </c>
      <c r="E2339" s="7" t="s">
        <v>6295</v>
      </c>
      <c r="F2339" s="7" t="s">
        <v>6485</v>
      </c>
      <c r="G2339" s="7" t="s">
        <v>7150</v>
      </c>
      <c r="H2339" s="7" t="s">
        <v>7156</v>
      </c>
      <c r="I2339" s="7"/>
      <c r="J2339" s="10">
        <v>45324</v>
      </c>
      <c r="K2339" s="7" t="s">
        <v>7164</v>
      </c>
      <c r="L2339" s="7"/>
      <c r="M2339" s="7"/>
    </row>
    <row r="2340" spans="1:13" x14ac:dyDescent="0.3">
      <c r="A2340" s="7">
        <v>210037</v>
      </c>
      <c r="B2340" s="7" t="s">
        <v>2348</v>
      </c>
      <c r="C2340" s="7" t="s">
        <v>6634</v>
      </c>
      <c r="D2340" s="7" t="s">
        <v>6640</v>
      </c>
      <c r="E2340" s="7" t="s">
        <v>6295</v>
      </c>
      <c r="F2340" s="7" t="s">
        <v>6485</v>
      </c>
      <c r="G2340" s="7" t="s">
        <v>7150</v>
      </c>
      <c r="H2340" s="7" t="s">
        <v>7156</v>
      </c>
      <c r="I2340" s="7"/>
      <c r="J2340" s="10">
        <v>43742</v>
      </c>
      <c r="K2340" s="7" t="s">
        <v>7164</v>
      </c>
      <c r="L2340" s="7"/>
      <c r="M2340" s="7"/>
    </row>
    <row r="2341" spans="1:13" x14ac:dyDescent="0.3">
      <c r="A2341" s="7">
        <v>19180</v>
      </c>
      <c r="B2341" s="7" t="s">
        <v>2349</v>
      </c>
      <c r="C2341" s="7" t="s">
        <v>6634</v>
      </c>
      <c r="D2341" s="7" t="s">
        <v>6640</v>
      </c>
      <c r="E2341" s="7" t="s">
        <v>6295</v>
      </c>
      <c r="F2341" s="7" t="s">
        <v>6485</v>
      </c>
      <c r="G2341" s="7" t="s">
        <v>7150</v>
      </c>
      <c r="H2341" s="7" t="s">
        <v>7156</v>
      </c>
      <c r="I2341" s="7"/>
      <c r="J2341" s="10">
        <v>46279</v>
      </c>
      <c r="K2341" s="7" t="s">
        <v>7164</v>
      </c>
      <c r="L2341" s="7"/>
      <c r="M2341" s="7"/>
    </row>
    <row r="2342" spans="1:13" x14ac:dyDescent="0.3">
      <c r="A2342" s="7">
        <v>19257</v>
      </c>
      <c r="B2342" s="7" t="s">
        <v>2350</v>
      </c>
      <c r="C2342" s="7" t="s">
        <v>6634</v>
      </c>
      <c r="D2342" s="7" t="s">
        <v>6640</v>
      </c>
      <c r="E2342" s="7" t="s">
        <v>6295</v>
      </c>
      <c r="F2342" s="7" t="s">
        <v>6485</v>
      </c>
      <c r="G2342" s="7" t="s">
        <v>7150</v>
      </c>
      <c r="H2342" s="7" t="s">
        <v>7156</v>
      </c>
      <c r="I2342" s="7"/>
      <c r="J2342" s="10">
        <v>46288</v>
      </c>
      <c r="K2342" s="7" t="s">
        <v>7164</v>
      </c>
      <c r="L2342" s="7"/>
      <c r="M2342" s="7"/>
    </row>
    <row r="2343" spans="1:13" x14ac:dyDescent="0.3">
      <c r="A2343" s="7">
        <v>18499</v>
      </c>
      <c r="B2343" s="7" t="s">
        <v>2351</v>
      </c>
      <c r="C2343" s="7" t="s">
        <v>6634</v>
      </c>
      <c r="D2343" s="7" t="s">
        <v>6640</v>
      </c>
      <c r="E2343" s="7" t="s">
        <v>6295</v>
      </c>
      <c r="F2343" s="7" t="s">
        <v>6485</v>
      </c>
      <c r="G2343" s="7" t="s">
        <v>7150</v>
      </c>
      <c r="H2343" s="7" t="s">
        <v>7156</v>
      </c>
      <c r="I2343" s="7"/>
      <c r="J2343" s="10">
        <v>46146</v>
      </c>
      <c r="K2343" s="7" t="s">
        <v>7164</v>
      </c>
      <c r="L2343" s="7"/>
      <c r="M2343" s="7"/>
    </row>
    <row r="2344" spans="1:13" x14ac:dyDescent="0.3">
      <c r="A2344" s="7">
        <v>18749</v>
      </c>
      <c r="B2344" s="7" t="s">
        <v>2352</v>
      </c>
      <c r="C2344" s="7" t="s">
        <v>6634</v>
      </c>
      <c r="D2344" s="7" t="s">
        <v>6640</v>
      </c>
      <c r="E2344" s="7" t="s">
        <v>6295</v>
      </c>
      <c r="F2344" s="7" t="s">
        <v>6485</v>
      </c>
      <c r="G2344" s="7" t="s">
        <v>7150</v>
      </c>
      <c r="H2344" s="7" t="s">
        <v>7156</v>
      </c>
      <c r="I2344" s="7"/>
      <c r="J2344" s="10">
        <v>46204</v>
      </c>
      <c r="K2344" s="7" t="s">
        <v>7164</v>
      </c>
      <c r="L2344" s="7"/>
      <c r="M2344" s="7"/>
    </row>
    <row r="2345" spans="1:13" x14ac:dyDescent="0.3">
      <c r="A2345" s="7">
        <v>18903</v>
      </c>
      <c r="B2345" s="7" t="s">
        <v>2353</v>
      </c>
      <c r="C2345" s="7" t="s">
        <v>6634</v>
      </c>
      <c r="D2345" s="7" t="s">
        <v>6640</v>
      </c>
      <c r="E2345" s="7" t="s">
        <v>6295</v>
      </c>
      <c r="F2345" s="7" t="s">
        <v>6485</v>
      </c>
      <c r="G2345" s="7" t="s">
        <v>7150</v>
      </c>
      <c r="H2345" s="7" t="s">
        <v>7156</v>
      </c>
      <c r="I2345" s="7"/>
      <c r="J2345" s="10">
        <v>46238</v>
      </c>
      <c r="K2345" s="7" t="s">
        <v>7164</v>
      </c>
      <c r="L2345" s="7"/>
      <c r="M2345" s="7"/>
    </row>
    <row r="2346" spans="1:13" x14ac:dyDescent="0.3">
      <c r="A2346" s="7">
        <v>18800</v>
      </c>
      <c r="B2346" s="7" t="s">
        <v>2354</v>
      </c>
      <c r="C2346" s="7" t="s">
        <v>6634</v>
      </c>
      <c r="D2346" s="7" t="s">
        <v>6640</v>
      </c>
      <c r="E2346" s="7" t="s">
        <v>6295</v>
      </c>
      <c r="F2346" s="7" t="s">
        <v>6485</v>
      </c>
      <c r="G2346" s="7" t="s">
        <v>7150</v>
      </c>
      <c r="H2346" s="7" t="s">
        <v>7156</v>
      </c>
      <c r="I2346" s="7"/>
      <c r="J2346" s="10">
        <v>46217</v>
      </c>
      <c r="K2346" s="7" t="s">
        <v>7164</v>
      </c>
      <c r="L2346" s="7"/>
      <c r="M2346" s="7"/>
    </row>
    <row r="2347" spans="1:13" x14ac:dyDescent="0.3">
      <c r="A2347" s="7">
        <v>18858</v>
      </c>
      <c r="B2347" s="7" t="s">
        <v>2355</v>
      </c>
      <c r="C2347" s="7" t="s">
        <v>6634</v>
      </c>
      <c r="D2347" s="7" t="s">
        <v>6640</v>
      </c>
      <c r="E2347" s="7" t="s">
        <v>6295</v>
      </c>
      <c r="F2347" s="7" t="s">
        <v>6485</v>
      </c>
      <c r="G2347" s="7" t="s">
        <v>7150</v>
      </c>
      <c r="H2347" s="7" t="s">
        <v>7156</v>
      </c>
      <c r="I2347" s="7"/>
      <c r="J2347" s="10">
        <v>46225</v>
      </c>
      <c r="K2347" s="7" t="s">
        <v>7164</v>
      </c>
      <c r="L2347" s="7"/>
      <c r="M2347" s="7"/>
    </row>
    <row r="2348" spans="1:13" x14ac:dyDescent="0.3">
      <c r="A2348" s="7">
        <v>18780</v>
      </c>
      <c r="B2348" s="7" t="s">
        <v>2356</v>
      </c>
      <c r="C2348" s="7" t="s">
        <v>6636</v>
      </c>
      <c r="D2348" s="7" t="s">
        <v>6638</v>
      </c>
      <c r="E2348" s="7" t="s">
        <v>6295</v>
      </c>
      <c r="F2348" s="7" t="s">
        <v>6639</v>
      </c>
      <c r="G2348" s="7" t="s">
        <v>7150</v>
      </c>
      <c r="H2348" s="7" t="s">
        <v>7156</v>
      </c>
      <c r="I2348" s="7" t="s">
        <v>7159</v>
      </c>
      <c r="J2348" s="10">
        <v>46205</v>
      </c>
      <c r="K2348" s="7" t="s">
        <v>7164</v>
      </c>
      <c r="L2348" s="7"/>
      <c r="M2348" s="7"/>
    </row>
    <row r="2349" spans="1:13" x14ac:dyDescent="0.3">
      <c r="A2349" s="7">
        <v>18781</v>
      </c>
      <c r="B2349" s="7" t="s">
        <v>2357</v>
      </c>
      <c r="C2349" s="7" t="s">
        <v>6636</v>
      </c>
      <c r="D2349" s="7" t="s">
        <v>6638</v>
      </c>
      <c r="E2349" s="7" t="s">
        <v>6295</v>
      </c>
      <c r="F2349" s="7" t="s">
        <v>6641</v>
      </c>
      <c r="G2349" s="7" t="s">
        <v>7150</v>
      </c>
      <c r="H2349" s="7" t="s">
        <v>7156</v>
      </c>
      <c r="I2349" s="7" t="s">
        <v>7159</v>
      </c>
      <c r="J2349" s="10">
        <v>46205</v>
      </c>
      <c r="K2349" s="7" t="s">
        <v>7164</v>
      </c>
      <c r="L2349" s="7"/>
      <c r="M2349" s="7"/>
    </row>
    <row r="2350" spans="1:13" x14ac:dyDescent="0.3">
      <c r="A2350" s="7">
        <v>11259</v>
      </c>
      <c r="B2350" s="7" t="s">
        <v>2358</v>
      </c>
      <c r="C2350" s="7" t="s">
        <v>6634</v>
      </c>
      <c r="D2350" s="7" t="s">
        <v>6640</v>
      </c>
      <c r="E2350" s="7" t="s">
        <v>6295</v>
      </c>
      <c r="F2350" s="7" t="s">
        <v>6485</v>
      </c>
      <c r="G2350" s="7" t="s">
        <v>7150</v>
      </c>
      <c r="H2350" s="7" t="s">
        <v>7156</v>
      </c>
      <c r="I2350" s="7"/>
      <c r="J2350" s="10">
        <v>42471</v>
      </c>
      <c r="K2350" s="7" t="s">
        <v>7164</v>
      </c>
      <c r="L2350" s="7"/>
      <c r="M2350" s="7"/>
    </row>
    <row r="2351" spans="1:13" x14ac:dyDescent="0.3">
      <c r="A2351" s="7">
        <v>17860</v>
      </c>
      <c r="B2351" s="7" t="s">
        <v>2359</v>
      </c>
      <c r="C2351" s="7" t="s">
        <v>6634</v>
      </c>
      <c r="D2351" s="7" t="s">
        <v>6640</v>
      </c>
      <c r="E2351" s="7" t="s">
        <v>6295</v>
      </c>
      <c r="F2351" s="7" t="s">
        <v>6485</v>
      </c>
      <c r="G2351" s="7" t="s">
        <v>7150</v>
      </c>
      <c r="H2351" s="7" t="s">
        <v>7156</v>
      </c>
      <c r="I2351" s="7"/>
      <c r="J2351" s="10">
        <v>45894</v>
      </c>
      <c r="K2351" s="7" t="s">
        <v>7164</v>
      </c>
      <c r="L2351" s="7"/>
      <c r="M2351" s="7"/>
    </row>
    <row r="2352" spans="1:13" x14ac:dyDescent="0.3">
      <c r="A2352" s="7">
        <v>18342</v>
      </c>
      <c r="B2352" s="7" t="s">
        <v>2360</v>
      </c>
      <c r="C2352" s="7" t="s">
        <v>6634</v>
      </c>
      <c r="D2352" s="7" t="s">
        <v>6640</v>
      </c>
      <c r="E2352" s="7" t="s">
        <v>6295</v>
      </c>
      <c r="F2352" s="7" t="s">
        <v>6485</v>
      </c>
      <c r="G2352" s="7" t="s">
        <v>7150</v>
      </c>
      <c r="H2352" s="7" t="s">
        <v>7156</v>
      </c>
      <c r="I2352" s="7"/>
      <c r="J2352" s="10">
        <v>46097</v>
      </c>
      <c r="K2352" s="7" t="s">
        <v>7164</v>
      </c>
      <c r="L2352" s="7"/>
      <c r="M2352" s="7"/>
    </row>
    <row r="2353" spans="1:13" x14ac:dyDescent="0.3">
      <c r="A2353" s="7">
        <v>18245</v>
      </c>
      <c r="B2353" s="7" t="s">
        <v>2361</v>
      </c>
      <c r="C2353" s="7" t="s">
        <v>6634</v>
      </c>
      <c r="D2353" s="7" t="s">
        <v>6640</v>
      </c>
      <c r="E2353" s="7" t="s">
        <v>6295</v>
      </c>
      <c r="F2353" s="7" t="s">
        <v>6485</v>
      </c>
      <c r="G2353" s="7" t="s">
        <v>7150</v>
      </c>
      <c r="H2353" s="7" t="s">
        <v>7156</v>
      </c>
      <c r="I2353" s="7" t="s">
        <v>7160</v>
      </c>
      <c r="J2353" s="10">
        <v>46064</v>
      </c>
      <c r="K2353" s="7" t="s">
        <v>7164</v>
      </c>
      <c r="L2353" s="7"/>
      <c r="M2353" s="7"/>
    </row>
    <row r="2354" spans="1:13" x14ac:dyDescent="0.3">
      <c r="A2354" s="7">
        <v>17801</v>
      </c>
      <c r="B2354" s="7" t="s">
        <v>2362</v>
      </c>
      <c r="C2354" s="7" t="s">
        <v>6636</v>
      </c>
      <c r="D2354" s="7" t="s">
        <v>6638</v>
      </c>
      <c r="E2354" s="7" t="s">
        <v>6295</v>
      </c>
      <c r="F2354" s="7" t="s">
        <v>6485</v>
      </c>
      <c r="G2354" s="7" t="s">
        <v>7150</v>
      </c>
      <c r="H2354" s="7" t="s">
        <v>7156</v>
      </c>
      <c r="I2354" s="7"/>
      <c r="J2354" s="10">
        <v>45890</v>
      </c>
      <c r="K2354" s="7" t="s">
        <v>7164</v>
      </c>
      <c r="L2354" s="7"/>
      <c r="M2354" s="7"/>
    </row>
    <row r="2355" spans="1:13" x14ac:dyDescent="0.3">
      <c r="A2355" s="7">
        <v>18043</v>
      </c>
      <c r="B2355" s="7" t="s">
        <v>2363</v>
      </c>
      <c r="C2355" s="7" t="s">
        <v>6642</v>
      </c>
      <c r="D2355" s="7" t="s">
        <v>6643</v>
      </c>
      <c r="E2355" s="7" t="s">
        <v>6295</v>
      </c>
      <c r="F2355" s="7" t="s">
        <v>6485</v>
      </c>
      <c r="G2355" s="7" t="s">
        <v>7150</v>
      </c>
      <c r="H2355" s="7" t="s">
        <v>7156</v>
      </c>
      <c r="I2355" s="7"/>
      <c r="J2355" s="10">
        <v>45978</v>
      </c>
      <c r="K2355" s="7" t="s">
        <v>7164</v>
      </c>
      <c r="L2355" s="7"/>
      <c r="M2355" s="7"/>
    </row>
    <row r="2356" spans="1:13" x14ac:dyDescent="0.3">
      <c r="A2356" s="7">
        <v>16417</v>
      </c>
      <c r="B2356" s="7" t="s">
        <v>2364</v>
      </c>
      <c r="C2356" s="7" t="s">
        <v>6477</v>
      </c>
      <c r="D2356" s="7" t="s">
        <v>6481</v>
      </c>
      <c r="E2356" s="7" t="s">
        <v>6295</v>
      </c>
      <c r="F2356" s="7" t="s">
        <v>6485</v>
      </c>
      <c r="G2356" s="7" t="s">
        <v>7150</v>
      </c>
      <c r="H2356" s="7" t="s">
        <v>7156</v>
      </c>
      <c r="I2356" s="7"/>
      <c r="J2356" s="10">
        <v>45384</v>
      </c>
      <c r="K2356" s="7" t="s">
        <v>7164</v>
      </c>
      <c r="L2356" s="7"/>
      <c r="M2356" s="7"/>
    </row>
    <row r="2357" spans="1:13" x14ac:dyDescent="0.3">
      <c r="A2357" s="7">
        <v>16916</v>
      </c>
      <c r="B2357" s="7" t="s">
        <v>2365</v>
      </c>
      <c r="C2357" s="7" t="s">
        <v>6636</v>
      </c>
      <c r="D2357" s="7" t="s">
        <v>6638</v>
      </c>
      <c r="E2357" s="7" t="s">
        <v>6295</v>
      </c>
      <c r="F2357" s="7" t="s">
        <v>6485</v>
      </c>
      <c r="G2357" s="7" t="s">
        <v>7150</v>
      </c>
      <c r="H2357" s="7" t="s">
        <v>7156</v>
      </c>
      <c r="I2357" s="7"/>
      <c r="J2357" s="10">
        <v>45566</v>
      </c>
      <c r="K2357" s="7" t="s">
        <v>7164</v>
      </c>
      <c r="L2357" s="7"/>
      <c r="M2357" s="7"/>
    </row>
    <row r="2358" spans="1:13" x14ac:dyDescent="0.3">
      <c r="A2358" s="7">
        <v>15796</v>
      </c>
      <c r="B2358" s="7" t="s">
        <v>2366</v>
      </c>
      <c r="C2358" s="7" t="s">
        <v>6644</v>
      </c>
      <c r="D2358" s="7" t="s">
        <v>6645</v>
      </c>
      <c r="E2358" s="7" t="s">
        <v>6295</v>
      </c>
      <c r="F2358" s="7" t="s">
        <v>6414</v>
      </c>
      <c r="G2358" s="7" t="s">
        <v>7150</v>
      </c>
      <c r="H2358" s="7" t="s">
        <v>7156</v>
      </c>
      <c r="I2358" s="7"/>
      <c r="J2358" s="10">
        <v>45212</v>
      </c>
      <c r="K2358" s="7" t="s">
        <v>7164</v>
      </c>
      <c r="L2358" s="7"/>
      <c r="M2358" s="7"/>
    </row>
    <row r="2359" spans="1:13" x14ac:dyDescent="0.3">
      <c r="A2359" s="7">
        <v>14584</v>
      </c>
      <c r="B2359" s="7" t="s">
        <v>2367</v>
      </c>
      <c r="C2359" s="7" t="s">
        <v>6644</v>
      </c>
      <c r="D2359" s="7" t="s">
        <v>6645</v>
      </c>
      <c r="E2359" s="7" t="s">
        <v>6295</v>
      </c>
      <c r="F2359" s="7" t="s">
        <v>6485</v>
      </c>
      <c r="G2359" s="7" t="s">
        <v>7150</v>
      </c>
      <c r="H2359" s="7" t="s">
        <v>7156</v>
      </c>
      <c r="I2359" s="7"/>
      <c r="J2359" s="10">
        <v>44791</v>
      </c>
      <c r="K2359" s="7" t="s">
        <v>7164</v>
      </c>
      <c r="L2359" s="7"/>
      <c r="M2359" s="7"/>
    </row>
    <row r="2360" spans="1:13" x14ac:dyDescent="0.3">
      <c r="A2360" s="7">
        <v>18117</v>
      </c>
      <c r="B2360" s="7" t="s">
        <v>2368</v>
      </c>
      <c r="C2360" s="7" t="s">
        <v>6644</v>
      </c>
      <c r="D2360" s="7" t="s">
        <v>6645</v>
      </c>
      <c r="E2360" s="7" t="s">
        <v>6295</v>
      </c>
      <c r="F2360" s="7" t="s">
        <v>6485</v>
      </c>
      <c r="G2360" s="7" t="s">
        <v>7150</v>
      </c>
      <c r="H2360" s="7" t="s">
        <v>7156</v>
      </c>
      <c r="I2360" s="7"/>
      <c r="J2360" s="10">
        <v>46000</v>
      </c>
      <c r="K2360" s="7" t="s">
        <v>7164</v>
      </c>
      <c r="L2360" s="7"/>
      <c r="M2360" s="7"/>
    </row>
    <row r="2361" spans="1:13" x14ac:dyDescent="0.3">
      <c r="A2361" s="7">
        <v>15112</v>
      </c>
      <c r="B2361" s="7" t="s">
        <v>2369</v>
      </c>
      <c r="C2361" s="7" t="s">
        <v>6636</v>
      </c>
      <c r="D2361" s="7" t="s">
        <v>6638</v>
      </c>
      <c r="E2361" s="7" t="s">
        <v>6295</v>
      </c>
      <c r="F2361" s="7" t="s">
        <v>6485</v>
      </c>
      <c r="G2361" s="7" t="s">
        <v>7150</v>
      </c>
      <c r="H2361" s="7" t="s">
        <v>7156</v>
      </c>
      <c r="I2361" s="7"/>
      <c r="J2361" s="10">
        <v>44951</v>
      </c>
      <c r="K2361" s="7" t="s">
        <v>7164</v>
      </c>
      <c r="L2361" s="7"/>
      <c r="M2361" s="7"/>
    </row>
    <row r="2362" spans="1:13" x14ac:dyDescent="0.3">
      <c r="A2362" s="7">
        <v>18824</v>
      </c>
      <c r="B2362" s="7" t="s">
        <v>2370</v>
      </c>
      <c r="C2362" s="7" t="s">
        <v>6636</v>
      </c>
      <c r="D2362" s="7" t="s">
        <v>6638</v>
      </c>
      <c r="E2362" s="7" t="s">
        <v>6295</v>
      </c>
      <c r="F2362" s="7" t="s">
        <v>6485</v>
      </c>
      <c r="G2362" s="7" t="s">
        <v>7150</v>
      </c>
      <c r="H2362" s="7" t="s">
        <v>7156</v>
      </c>
      <c r="I2362" s="7" t="s">
        <v>7159</v>
      </c>
      <c r="J2362" s="10">
        <v>46216</v>
      </c>
      <c r="K2362" s="7" t="s">
        <v>7164</v>
      </c>
      <c r="L2362" s="7"/>
      <c r="M2362" s="7"/>
    </row>
    <row r="2363" spans="1:13" x14ac:dyDescent="0.3">
      <c r="A2363" s="7">
        <v>18825</v>
      </c>
      <c r="B2363" s="7" t="s">
        <v>2371</v>
      </c>
      <c r="C2363" s="7" t="s">
        <v>6636</v>
      </c>
      <c r="D2363" s="7" t="s">
        <v>6638</v>
      </c>
      <c r="E2363" s="7" t="s">
        <v>6295</v>
      </c>
      <c r="F2363" s="7" t="s">
        <v>6485</v>
      </c>
      <c r="G2363" s="7" t="s">
        <v>7150</v>
      </c>
      <c r="H2363" s="7" t="s">
        <v>7156</v>
      </c>
      <c r="I2363" s="7" t="s">
        <v>7159</v>
      </c>
      <c r="J2363" s="10">
        <v>46216</v>
      </c>
      <c r="K2363" s="7" t="s">
        <v>7164</v>
      </c>
      <c r="L2363" s="7"/>
      <c r="M2363" s="7"/>
    </row>
    <row r="2364" spans="1:13" x14ac:dyDescent="0.3">
      <c r="A2364" s="7">
        <v>18834</v>
      </c>
      <c r="B2364" s="7" t="s">
        <v>2372</v>
      </c>
      <c r="C2364" s="7" t="s">
        <v>6636</v>
      </c>
      <c r="D2364" s="7" t="s">
        <v>6638</v>
      </c>
      <c r="E2364" s="7" t="s">
        <v>6295</v>
      </c>
      <c r="F2364" s="7" t="s">
        <v>6485</v>
      </c>
      <c r="G2364" s="7" t="s">
        <v>7150</v>
      </c>
      <c r="H2364" s="7" t="s">
        <v>7156</v>
      </c>
      <c r="I2364" s="7" t="s">
        <v>7159</v>
      </c>
      <c r="J2364" s="10">
        <v>46217</v>
      </c>
      <c r="K2364" s="7" t="s">
        <v>7164</v>
      </c>
      <c r="L2364" s="7"/>
      <c r="M2364" s="7"/>
    </row>
    <row r="2365" spans="1:13" x14ac:dyDescent="0.3">
      <c r="A2365" s="7">
        <v>18847</v>
      </c>
      <c r="B2365" s="7" t="s">
        <v>2373</v>
      </c>
      <c r="C2365" s="7" t="s">
        <v>6636</v>
      </c>
      <c r="D2365" s="7" t="s">
        <v>6638</v>
      </c>
      <c r="E2365" s="7" t="s">
        <v>6295</v>
      </c>
      <c r="F2365" s="7" t="s">
        <v>6485</v>
      </c>
      <c r="G2365" s="7" t="s">
        <v>7150</v>
      </c>
      <c r="H2365" s="7" t="s">
        <v>7156</v>
      </c>
      <c r="I2365" s="7"/>
      <c r="J2365" s="10">
        <v>46224</v>
      </c>
      <c r="K2365" s="7" t="s">
        <v>7164</v>
      </c>
      <c r="L2365" s="7"/>
      <c r="M2365" s="7"/>
    </row>
    <row r="2366" spans="1:13" x14ac:dyDescent="0.3">
      <c r="A2366" s="7">
        <v>14079</v>
      </c>
      <c r="B2366" s="7" t="s">
        <v>2374</v>
      </c>
      <c r="C2366" s="7" t="s">
        <v>6636</v>
      </c>
      <c r="D2366" s="7" t="s">
        <v>6638</v>
      </c>
      <c r="E2366" s="7" t="s">
        <v>6295</v>
      </c>
      <c r="F2366" s="7" t="s">
        <v>6485</v>
      </c>
      <c r="G2366" s="7" t="s">
        <v>7150</v>
      </c>
      <c r="H2366" s="7" t="s">
        <v>7156</v>
      </c>
      <c r="I2366" s="7"/>
      <c r="J2366" s="10">
        <v>44655</v>
      </c>
      <c r="K2366" s="7" t="s">
        <v>7164</v>
      </c>
      <c r="L2366" s="7"/>
      <c r="M2366" s="7"/>
    </row>
    <row r="2367" spans="1:13" x14ac:dyDescent="0.3">
      <c r="A2367" s="7">
        <v>18583</v>
      </c>
      <c r="B2367" s="7" t="s">
        <v>2375</v>
      </c>
      <c r="C2367" s="7" t="s">
        <v>6636</v>
      </c>
      <c r="D2367" s="7" t="s">
        <v>6295</v>
      </c>
      <c r="E2367" s="7" t="s">
        <v>6295</v>
      </c>
      <c r="F2367" s="7" t="s">
        <v>6485</v>
      </c>
      <c r="G2367" s="7" t="s">
        <v>7150</v>
      </c>
      <c r="H2367" s="7" t="s">
        <v>7156</v>
      </c>
      <c r="I2367" s="7"/>
      <c r="J2367" s="10">
        <v>46161</v>
      </c>
      <c r="K2367" s="7" t="s">
        <v>7164</v>
      </c>
      <c r="L2367" s="7"/>
      <c r="M2367" s="7"/>
    </row>
    <row r="2368" spans="1:13" x14ac:dyDescent="0.3">
      <c r="A2368" s="7">
        <v>18585</v>
      </c>
      <c r="B2368" s="7" t="s">
        <v>2376</v>
      </c>
      <c r="C2368" s="7" t="s">
        <v>6636</v>
      </c>
      <c r="D2368" s="7" t="s">
        <v>6638</v>
      </c>
      <c r="E2368" s="7" t="s">
        <v>6295</v>
      </c>
      <c r="F2368" s="7" t="s">
        <v>6485</v>
      </c>
      <c r="G2368" s="7" t="s">
        <v>7150</v>
      </c>
      <c r="H2368" s="7" t="s">
        <v>7156</v>
      </c>
      <c r="I2368" s="7"/>
      <c r="J2368" s="10">
        <v>46161</v>
      </c>
      <c r="K2368" s="7" t="s">
        <v>7164</v>
      </c>
      <c r="L2368" s="7"/>
      <c r="M2368" s="7"/>
    </row>
    <row r="2369" spans="1:13" x14ac:dyDescent="0.3">
      <c r="A2369" s="7">
        <v>13244</v>
      </c>
      <c r="B2369" s="7" t="s">
        <v>2377</v>
      </c>
      <c r="C2369" s="7" t="s">
        <v>6636</v>
      </c>
      <c r="D2369" s="7" t="s">
        <v>6638</v>
      </c>
      <c r="E2369" s="7" t="s">
        <v>6295</v>
      </c>
      <c r="F2369" s="7" t="s">
        <v>6485</v>
      </c>
      <c r="G2369" s="7" t="s">
        <v>7150</v>
      </c>
      <c r="H2369" s="7" t="s">
        <v>7156</v>
      </c>
      <c r="I2369" s="7"/>
      <c r="J2369" s="10">
        <v>44335</v>
      </c>
      <c r="K2369" s="7" t="s">
        <v>7164</v>
      </c>
      <c r="L2369" s="7"/>
      <c r="M2369" s="7"/>
    </row>
    <row r="2370" spans="1:13" x14ac:dyDescent="0.3">
      <c r="A2370" s="7">
        <v>18662</v>
      </c>
      <c r="B2370" s="7" t="s">
        <v>2378</v>
      </c>
      <c r="C2370" s="7" t="s">
        <v>6636</v>
      </c>
      <c r="D2370" s="7" t="s">
        <v>6638</v>
      </c>
      <c r="E2370" s="7" t="s">
        <v>6295</v>
      </c>
      <c r="F2370" s="7" t="s">
        <v>6485</v>
      </c>
      <c r="G2370" s="7" t="s">
        <v>7150</v>
      </c>
      <c r="H2370" s="7" t="s">
        <v>7156</v>
      </c>
      <c r="I2370" s="7" t="s">
        <v>7159</v>
      </c>
      <c r="J2370" s="10">
        <v>46189</v>
      </c>
      <c r="K2370" s="7" t="s">
        <v>7164</v>
      </c>
      <c r="L2370" s="7"/>
      <c r="M2370" s="7"/>
    </row>
    <row r="2371" spans="1:13" x14ac:dyDescent="0.3">
      <c r="A2371" s="7">
        <v>19275</v>
      </c>
      <c r="B2371" s="7" t="s">
        <v>2379</v>
      </c>
      <c r="C2371" s="7" t="s">
        <v>6636</v>
      </c>
      <c r="D2371" s="7" t="s">
        <v>6638</v>
      </c>
      <c r="E2371" s="7" t="s">
        <v>6295</v>
      </c>
      <c r="F2371" s="7" t="s">
        <v>6485</v>
      </c>
      <c r="G2371" s="7" t="s">
        <v>7150</v>
      </c>
      <c r="H2371" s="7" t="s">
        <v>7156</v>
      </c>
      <c r="I2371" s="7"/>
      <c r="J2371" s="10">
        <v>46296</v>
      </c>
      <c r="K2371" s="7" t="s">
        <v>7164</v>
      </c>
      <c r="L2371" s="7"/>
      <c r="M2371" s="7"/>
    </row>
    <row r="2372" spans="1:13" x14ac:dyDescent="0.3">
      <c r="A2372" s="7">
        <v>18906</v>
      </c>
      <c r="B2372" s="7" t="s">
        <v>2380</v>
      </c>
      <c r="C2372" s="7" t="s">
        <v>6636</v>
      </c>
      <c r="D2372" s="7" t="s">
        <v>6638</v>
      </c>
      <c r="E2372" s="7" t="s">
        <v>6295</v>
      </c>
      <c r="F2372" s="7" t="s">
        <v>6485</v>
      </c>
      <c r="G2372" s="7" t="s">
        <v>7150</v>
      </c>
      <c r="H2372" s="7" t="s">
        <v>7156</v>
      </c>
      <c r="I2372" s="7"/>
      <c r="J2372" s="10">
        <v>46239</v>
      </c>
      <c r="K2372" s="7" t="s">
        <v>7164</v>
      </c>
      <c r="L2372" s="7"/>
      <c r="M2372" s="7"/>
    </row>
    <row r="2373" spans="1:13" x14ac:dyDescent="0.3">
      <c r="A2373" s="7">
        <v>18661</v>
      </c>
      <c r="B2373" s="7" t="s">
        <v>2381</v>
      </c>
      <c r="C2373" s="7" t="s">
        <v>6636</v>
      </c>
      <c r="D2373" s="7" t="s">
        <v>6638</v>
      </c>
      <c r="E2373" s="7" t="s">
        <v>6295</v>
      </c>
      <c r="F2373" s="7" t="s">
        <v>6485</v>
      </c>
      <c r="G2373" s="7" t="s">
        <v>7150</v>
      </c>
      <c r="H2373" s="7" t="s">
        <v>7156</v>
      </c>
      <c r="I2373" s="7" t="s">
        <v>7159</v>
      </c>
      <c r="J2373" s="10">
        <v>46189</v>
      </c>
      <c r="K2373" s="7" t="s">
        <v>7164</v>
      </c>
      <c r="L2373" s="7"/>
      <c r="M2373" s="7"/>
    </row>
    <row r="2374" spans="1:13" x14ac:dyDescent="0.3">
      <c r="A2374" s="7">
        <v>18663</v>
      </c>
      <c r="B2374" s="7" t="s">
        <v>2382</v>
      </c>
      <c r="C2374" s="7" t="s">
        <v>6636</v>
      </c>
      <c r="D2374" s="7" t="s">
        <v>6638</v>
      </c>
      <c r="E2374" s="7" t="s">
        <v>6295</v>
      </c>
      <c r="F2374" s="7" t="s">
        <v>6485</v>
      </c>
      <c r="G2374" s="7" t="s">
        <v>7150</v>
      </c>
      <c r="H2374" s="7" t="s">
        <v>7156</v>
      </c>
      <c r="I2374" s="7" t="s">
        <v>7159</v>
      </c>
      <c r="J2374" s="10">
        <v>46189</v>
      </c>
      <c r="K2374" s="7" t="s">
        <v>7164</v>
      </c>
      <c r="L2374" s="7"/>
      <c r="M2374" s="7"/>
    </row>
    <row r="2375" spans="1:13" x14ac:dyDescent="0.3">
      <c r="A2375" s="7">
        <v>18700</v>
      </c>
      <c r="B2375" s="7" t="s">
        <v>2383</v>
      </c>
      <c r="C2375" s="7" t="s">
        <v>6636</v>
      </c>
      <c r="D2375" s="7" t="s">
        <v>6638</v>
      </c>
      <c r="E2375" s="7" t="s">
        <v>6295</v>
      </c>
      <c r="F2375" s="7" t="s">
        <v>6485</v>
      </c>
      <c r="G2375" s="7" t="s">
        <v>7150</v>
      </c>
      <c r="H2375" s="7" t="s">
        <v>7156</v>
      </c>
      <c r="I2375" s="7"/>
      <c r="J2375" s="10">
        <v>46192</v>
      </c>
      <c r="K2375" s="7" t="s">
        <v>7164</v>
      </c>
      <c r="L2375" s="7"/>
      <c r="M2375" s="7"/>
    </row>
    <row r="2376" spans="1:13" x14ac:dyDescent="0.3">
      <c r="A2376" s="7">
        <v>18664</v>
      </c>
      <c r="B2376" s="7" t="s">
        <v>2384</v>
      </c>
      <c r="C2376" s="7" t="s">
        <v>6636</v>
      </c>
      <c r="D2376" s="7" t="s">
        <v>6638</v>
      </c>
      <c r="E2376" s="7" t="s">
        <v>6295</v>
      </c>
      <c r="F2376" s="7" t="s">
        <v>6485</v>
      </c>
      <c r="G2376" s="7" t="s">
        <v>7150</v>
      </c>
      <c r="H2376" s="7" t="s">
        <v>7156</v>
      </c>
      <c r="I2376" s="7" t="s">
        <v>7159</v>
      </c>
      <c r="J2376" s="10">
        <v>46189</v>
      </c>
      <c r="K2376" s="7" t="s">
        <v>7164</v>
      </c>
      <c r="L2376" s="7"/>
      <c r="M2376" s="7"/>
    </row>
    <row r="2377" spans="1:13" x14ac:dyDescent="0.3">
      <c r="A2377" s="7">
        <v>18645</v>
      </c>
      <c r="B2377" s="7" t="s">
        <v>2385</v>
      </c>
      <c r="C2377" s="7" t="s">
        <v>6636</v>
      </c>
      <c r="D2377" s="7" t="s">
        <v>6638</v>
      </c>
      <c r="E2377" s="7" t="s">
        <v>6295</v>
      </c>
      <c r="F2377" s="7" t="s">
        <v>6485</v>
      </c>
      <c r="G2377" s="7" t="s">
        <v>7150</v>
      </c>
      <c r="H2377" s="7" t="s">
        <v>7156</v>
      </c>
      <c r="I2377" s="7"/>
      <c r="J2377" s="10">
        <v>46181</v>
      </c>
      <c r="K2377" s="7" t="s">
        <v>7164</v>
      </c>
      <c r="L2377" s="7"/>
      <c r="M2377" s="7"/>
    </row>
    <row r="2378" spans="1:13" x14ac:dyDescent="0.3">
      <c r="A2378" s="7">
        <v>18659</v>
      </c>
      <c r="B2378" s="7" t="s">
        <v>2386</v>
      </c>
      <c r="C2378" s="7" t="s">
        <v>6636</v>
      </c>
      <c r="D2378" s="7" t="s">
        <v>6638</v>
      </c>
      <c r="E2378" s="7" t="s">
        <v>6295</v>
      </c>
      <c r="F2378" s="7" t="s">
        <v>6485</v>
      </c>
      <c r="G2378" s="7" t="s">
        <v>7150</v>
      </c>
      <c r="H2378" s="7" t="s">
        <v>7156</v>
      </c>
      <c r="I2378" s="7"/>
      <c r="J2378" s="10">
        <v>46196</v>
      </c>
      <c r="K2378" s="7" t="s">
        <v>7164</v>
      </c>
      <c r="L2378" s="7"/>
      <c r="M2378" s="7"/>
    </row>
    <row r="2379" spans="1:13" x14ac:dyDescent="0.3">
      <c r="A2379" s="7">
        <v>12330</v>
      </c>
      <c r="B2379" s="7" t="s">
        <v>2387</v>
      </c>
      <c r="C2379" s="7" t="s">
        <v>6636</v>
      </c>
      <c r="D2379" s="7" t="s">
        <v>6638</v>
      </c>
      <c r="E2379" s="7" t="s">
        <v>6295</v>
      </c>
      <c r="F2379" s="7" t="s">
        <v>6485</v>
      </c>
      <c r="G2379" s="7" t="s">
        <v>7150</v>
      </c>
      <c r="H2379" s="7" t="s">
        <v>7156</v>
      </c>
      <c r="I2379" s="7"/>
      <c r="J2379" s="10">
        <v>43685</v>
      </c>
      <c r="K2379" s="7" t="s">
        <v>7164</v>
      </c>
      <c r="L2379" s="7"/>
      <c r="M2379" s="7"/>
    </row>
    <row r="2380" spans="1:13" x14ac:dyDescent="0.3">
      <c r="A2380" s="7">
        <v>17539</v>
      </c>
      <c r="B2380" s="7" t="s">
        <v>2388</v>
      </c>
      <c r="C2380" s="7" t="s">
        <v>6634</v>
      </c>
      <c r="D2380" s="7" t="s">
        <v>6640</v>
      </c>
      <c r="E2380" s="7" t="s">
        <v>6295</v>
      </c>
      <c r="F2380" s="7" t="s">
        <v>6485</v>
      </c>
      <c r="G2380" s="7" t="s">
        <v>7150</v>
      </c>
      <c r="H2380" s="7" t="s">
        <v>7156</v>
      </c>
      <c r="I2380" s="7"/>
      <c r="J2380" s="10">
        <v>45784</v>
      </c>
      <c r="K2380" s="7" t="s">
        <v>7164</v>
      </c>
      <c r="L2380" s="7"/>
      <c r="M2380" s="7"/>
    </row>
    <row r="2381" spans="1:13" x14ac:dyDescent="0.3">
      <c r="A2381" s="7">
        <v>16794</v>
      </c>
      <c r="B2381" s="7" t="s">
        <v>2389</v>
      </c>
      <c r="C2381" s="7" t="s">
        <v>6646</v>
      </c>
      <c r="D2381" s="7" t="s">
        <v>6647</v>
      </c>
      <c r="E2381" s="7" t="s">
        <v>6295</v>
      </c>
      <c r="F2381" s="7" t="s">
        <v>6648</v>
      </c>
      <c r="G2381" s="7" t="s">
        <v>7150</v>
      </c>
      <c r="H2381" s="7" t="s">
        <v>7156</v>
      </c>
      <c r="I2381" s="7"/>
      <c r="J2381" s="10">
        <v>45551</v>
      </c>
      <c r="K2381" s="7" t="s">
        <v>7164</v>
      </c>
      <c r="L2381" s="7"/>
      <c r="M2381" s="7"/>
    </row>
    <row r="2382" spans="1:13" x14ac:dyDescent="0.3">
      <c r="A2382" s="7">
        <v>12870</v>
      </c>
      <c r="B2382" s="7" t="s">
        <v>2390</v>
      </c>
      <c r="C2382" s="7" t="s">
        <v>6634</v>
      </c>
      <c r="D2382" s="7" t="s">
        <v>6640</v>
      </c>
      <c r="E2382" s="7" t="s">
        <v>6295</v>
      </c>
      <c r="F2382" s="7" t="s">
        <v>6485</v>
      </c>
      <c r="G2382" s="7" t="s">
        <v>7150</v>
      </c>
      <c r="H2382" s="7" t="s">
        <v>7156</v>
      </c>
      <c r="I2382" s="7"/>
      <c r="J2382" s="10">
        <v>44068</v>
      </c>
      <c r="K2382" s="7" t="s">
        <v>7164</v>
      </c>
      <c r="L2382" s="7"/>
      <c r="M2382" s="7"/>
    </row>
    <row r="2383" spans="1:13" x14ac:dyDescent="0.3">
      <c r="A2383" s="7">
        <v>16030</v>
      </c>
      <c r="B2383" s="7" t="s">
        <v>2391</v>
      </c>
      <c r="C2383" s="7" t="s">
        <v>6642</v>
      </c>
      <c r="D2383" s="7" t="s">
        <v>6643</v>
      </c>
      <c r="E2383" s="7" t="s">
        <v>6295</v>
      </c>
      <c r="F2383" s="7" t="s">
        <v>6485</v>
      </c>
      <c r="G2383" s="7" t="s">
        <v>7151</v>
      </c>
      <c r="H2383" s="7" t="s">
        <v>7156</v>
      </c>
      <c r="I2383" s="7"/>
      <c r="J2383" s="10">
        <v>45266</v>
      </c>
      <c r="K2383" s="7" t="s">
        <v>7164</v>
      </c>
      <c r="L2383" s="7"/>
      <c r="M2383" s="7"/>
    </row>
    <row r="2384" spans="1:13" x14ac:dyDescent="0.3">
      <c r="A2384" s="7">
        <v>18271</v>
      </c>
      <c r="B2384" s="7" t="s">
        <v>2392</v>
      </c>
      <c r="C2384" s="7" t="s">
        <v>6642</v>
      </c>
      <c r="D2384" s="7" t="s">
        <v>6643</v>
      </c>
      <c r="E2384" s="7" t="s">
        <v>6295</v>
      </c>
      <c r="F2384" s="7" t="s">
        <v>6649</v>
      </c>
      <c r="G2384" s="7" t="s">
        <v>7150</v>
      </c>
      <c r="H2384" s="7" t="s">
        <v>7157</v>
      </c>
      <c r="I2384" s="7"/>
      <c r="J2384" s="10">
        <v>46076</v>
      </c>
      <c r="K2384" s="7" t="s">
        <v>7164</v>
      </c>
      <c r="L2384" s="7"/>
      <c r="M2384" s="7"/>
    </row>
    <row r="2385" spans="1:13" x14ac:dyDescent="0.3">
      <c r="A2385" s="7">
        <v>18274</v>
      </c>
      <c r="B2385" s="7" t="s">
        <v>2393</v>
      </c>
      <c r="C2385" s="7" t="s">
        <v>6642</v>
      </c>
      <c r="D2385" s="7" t="s">
        <v>6643</v>
      </c>
      <c r="E2385" s="7" t="s">
        <v>6295</v>
      </c>
      <c r="F2385" s="7" t="s">
        <v>6485</v>
      </c>
      <c r="G2385" s="7" t="s">
        <v>7150</v>
      </c>
      <c r="H2385" s="7" t="s">
        <v>7156</v>
      </c>
      <c r="I2385" s="7"/>
      <c r="J2385" s="10">
        <v>46076</v>
      </c>
      <c r="K2385" s="7" t="s">
        <v>7164</v>
      </c>
      <c r="L2385" s="7"/>
      <c r="M2385" s="7"/>
    </row>
    <row r="2386" spans="1:13" x14ac:dyDescent="0.3">
      <c r="A2386" s="7">
        <v>19023</v>
      </c>
      <c r="B2386" s="7" t="s">
        <v>2394</v>
      </c>
      <c r="C2386" s="7" t="s">
        <v>6642</v>
      </c>
      <c r="D2386" s="7" t="s">
        <v>6295</v>
      </c>
      <c r="E2386" s="7" t="s">
        <v>6295</v>
      </c>
      <c r="F2386" s="7" t="s">
        <v>6635</v>
      </c>
      <c r="G2386" s="7" t="s">
        <v>7150</v>
      </c>
      <c r="H2386" s="7" t="s">
        <v>7156</v>
      </c>
      <c r="I2386" s="7"/>
      <c r="J2386" s="10">
        <v>46258</v>
      </c>
      <c r="K2386" s="7" t="s">
        <v>7164</v>
      </c>
      <c r="L2386" s="7"/>
      <c r="M2386" s="7"/>
    </row>
    <row r="2387" spans="1:13" x14ac:dyDescent="0.3">
      <c r="A2387" s="7">
        <v>18462</v>
      </c>
      <c r="B2387" s="7" t="s">
        <v>2395</v>
      </c>
      <c r="C2387" s="7" t="s">
        <v>6636</v>
      </c>
      <c r="D2387" s="7" t="s">
        <v>6638</v>
      </c>
      <c r="E2387" s="7" t="s">
        <v>6295</v>
      </c>
      <c r="F2387" s="7" t="s">
        <v>6485</v>
      </c>
      <c r="G2387" s="7" t="s">
        <v>7150</v>
      </c>
      <c r="H2387" s="7" t="s">
        <v>7156</v>
      </c>
      <c r="I2387" s="7"/>
      <c r="J2387" s="10">
        <v>46132</v>
      </c>
      <c r="K2387" s="7" t="s">
        <v>7164</v>
      </c>
      <c r="L2387" s="7"/>
      <c r="M2387" s="7"/>
    </row>
    <row r="2388" spans="1:13" x14ac:dyDescent="0.3">
      <c r="A2388" s="7">
        <v>17240</v>
      </c>
      <c r="B2388" s="7" t="s">
        <v>2396</v>
      </c>
      <c r="C2388" s="7" t="s">
        <v>6634</v>
      </c>
      <c r="D2388" s="7" t="s">
        <v>6640</v>
      </c>
      <c r="E2388" s="7" t="s">
        <v>6295</v>
      </c>
      <c r="F2388" s="7" t="s">
        <v>6485</v>
      </c>
      <c r="G2388" s="7" t="s">
        <v>7150</v>
      </c>
      <c r="H2388" s="7" t="s">
        <v>7156</v>
      </c>
      <c r="I2388" s="7"/>
      <c r="J2388" s="10">
        <v>45679</v>
      </c>
      <c r="K2388" s="7" t="s">
        <v>7164</v>
      </c>
      <c r="L2388" s="7"/>
      <c r="M2388" s="7"/>
    </row>
    <row r="2389" spans="1:13" x14ac:dyDescent="0.3">
      <c r="A2389" s="7">
        <v>17198</v>
      </c>
      <c r="B2389" s="7" t="s">
        <v>2397</v>
      </c>
      <c r="C2389" s="7" t="s">
        <v>6636</v>
      </c>
      <c r="D2389" s="7" t="s">
        <v>6638</v>
      </c>
      <c r="E2389" s="7" t="s">
        <v>6295</v>
      </c>
      <c r="F2389" s="7" t="s">
        <v>6485</v>
      </c>
      <c r="G2389" s="7" t="s">
        <v>7150</v>
      </c>
      <c r="H2389" s="7" t="s">
        <v>7156</v>
      </c>
      <c r="I2389" s="7"/>
      <c r="J2389" s="10">
        <v>45664</v>
      </c>
      <c r="K2389" s="7" t="s">
        <v>7164</v>
      </c>
      <c r="L2389" s="7"/>
      <c r="M2389" s="7"/>
    </row>
    <row r="2390" spans="1:13" x14ac:dyDescent="0.3">
      <c r="A2390" s="7">
        <v>17244</v>
      </c>
      <c r="B2390" s="7" t="s">
        <v>2398</v>
      </c>
      <c r="C2390" s="7" t="s">
        <v>6636</v>
      </c>
      <c r="D2390" s="7" t="s">
        <v>6638</v>
      </c>
      <c r="E2390" s="7" t="s">
        <v>6295</v>
      </c>
      <c r="F2390" s="7" t="s">
        <v>6485</v>
      </c>
      <c r="G2390" s="7" t="s">
        <v>7150</v>
      </c>
      <c r="H2390" s="7" t="s">
        <v>7156</v>
      </c>
      <c r="I2390" s="7"/>
      <c r="J2390" s="10">
        <v>45684</v>
      </c>
      <c r="K2390" s="7" t="s">
        <v>7164</v>
      </c>
      <c r="L2390" s="7"/>
      <c r="M2390" s="7"/>
    </row>
    <row r="2391" spans="1:13" x14ac:dyDescent="0.3">
      <c r="A2391" s="7">
        <v>14873</v>
      </c>
      <c r="B2391" s="7" t="s">
        <v>2399</v>
      </c>
      <c r="C2391" s="7" t="s">
        <v>6642</v>
      </c>
      <c r="D2391" s="7" t="s">
        <v>6643</v>
      </c>
      <c r="E2391" s="7" t="s">
        <v>6295</v>
      </c>
      <c r="F2391" s="7" t="s">
        <v>6485</v>
      </c>
      <c r="G2391" s="7" t="s">
        <v>7151</v>
      </c>
      <c r="H2391" s="7" t="s">
        <v>7156</v>
      </c>
      <c r="I2391" s="7"/>
      <c r="J2391" s="10">
        <v>44888</v>
      </c>
      <c r="K2391" s="7" t="s">
        <v>7164</v>
      </c>
      <c r="L2391" s="7"/>
      <c r="M2391" s="7"/>
    </row>
    <row r="2392" spans="1:13" x14ac:dyDescent="0.3">
      <c r="A2392" s="7">
        <v>18184</v>
      </c>
      <c r="B2392" s="7" t="s">
        <v>2400</v>
      </c>
      <c r="C2392" s="7" t="s">
        <v>6642</v>
      </c>
      <c r="D2392" s="7" t="s">
        <v>6643</v>
      </c>
      <c r="E2392" s="7" t="s">
        <v>6295</v>
      </c>
      <c r="F2392" s="7" t="s">
        <v>6649</v>
      </c>
      <c r="G2392" s="7" t="s">
        <v>7150</v>
      </c>
      <c r="H2392" s="7" t="s">
        <v>7157</v>
      </c>
      <c r="I2392" s="7"/>
      <c r="J2392" s="10">
        <v>46035</v>
      </c>
      <c r="K2392" s="7" t="s">
        <v>7164</v>
      </c>
      <c r="L2392" s="7"/>
      <c r="M2392" s="7"/>
    </row>
    <row r="2393" spans="1:13" x14ac:dyDescent="0.3">
      <c r="A2393" s="7">
        <v>17726</v>
      </c>
      <c r="B2393" s="7" t="s">
        <v>2401</v>
      </c>
      <c r="C2393" s="7" t="s">
        <v>6634</v>
      </c>
      <c r="D2393" s="7" t="s">
        <v>6640</v>
      </c>
      <c r="E2393" s="7" t="s">
        <v>6295</v>
      </c>
      <c r="F2393" s="7" t="s">
        <v>6485</v>
      </c>
      <c r="G2393" s="7" t="s">
        <v>7150</v>
      </c>
      <c r="H2393" s="7" t="s">
        <v>7156</v>
      </c>
      <c r="I2393" s="7"/>
      <c r="J2393" s="10">
        <v>45855</v>
      </c>
      <c r="K2393" s="7" t="s">
        <v>7164</v>
      </c>
      <c r="L2393" s="7"/>
      <c r="M2393" s="7"/>
    </row>
    <row r="2394" spans="1:13" x14ac:dyDescent="0.3">
      <c r="A2394" s="7">
        <v>17642</v>
      </c>
      <c r="B2394" s="7" t="s">
        <v>2402</v>
      </c>
      <c r="C2394" s="7" t="s">
        <v>6634</v>
      </c>
      <c r="D2394" s="7" t="s">
        <v>6640</v>
      </c>
      <c r="E2394" s="7" t="s">
        <v>6295</v>
      </c>
      <c r="F2394" s="7" t="s">
        <v>6485</v>
      </c>
      <c r="G2394" s="7" t="s">
        <v>7150</v>
      </c>
      <c r="H2394" s="7" t="s">
        <v>7156</v>
      </c>
      <c r="I2394" s="7"/>
      <c r="J2394" s="10">
        <v>45827</v>
      </c>
      <c r="K2394" s="7" t="s">
        <v>7164</v>
      </c>
      <c r="L2394" s="7"/>
      <c r="M2394" s="7"/>
    </row>
    <row r="2395" spans="1:13" x14ac:dyDescent="0.3">
      <c r="A2395" s="7">
        <v>17583</v>
      </c>
      <c r="B2395" s="7" t="s">
        <v>2403</v>
      </c>
      <c r="C2395" s="7" t="s">
        <v>6634</v>
      </c>
      <c r="D2395" s="7" t="s">
        <v>6640</v>
      </c>
      <c r="E2395" s="7" t="s">
        <v>6295</v>
      </c>
      <c r="F2395" s="7" t="s">
        <v>6485</v>
      </c>
      <c r="G2395" s="7" t="s">
        <v>7150</v>
      </c>
      <c r="H2395" s="7" t="s">
        <v>7156</v>
      </c>
      <c r="I2395" s="7"/>
      <c r="J2395" s="10">
        <v>45800</v>
      </c>
      <c r="K2395" s="7" t="s">
        <v>7164</v>
      </c>
      <c r="L2395" s="7"/>
      <c r="M2395" s="7"/>
    </row>
    <row r="2396" spans="1:13" x14ac:dyDescent="0.3">
      <c r="A2396" s="7">
        <v>120038</v>
      </c>
      <c r="B2396" s="7" t="s">
        <v>2404</v>
      </c>
      <c r="C2396" s="7" t="s">
        <v>6634</v>
      </c>
      <c r="D2396" s="7" t="s">
        <v>6640</v>
      </c>
      <c r="E2396" s="7" t="s">
        <v>6295</v>
      </c>
      <c r="F2396" s="7" t="s">
        <v>6485</v>
      </c>
      <c r="G2396" s="7" t="s">
        <v>7150</v>
      </c>
      <c r="H2396" s="7" t="s">
        <v>7156</v>
      </c>
      <c r="I2396" s="7"/>
      <c r="J2396" s="10">
        <v>43024</v>
      </c>
      <c r="K2396" s="7" t="s">
        <v>7164</v>
      </c>
      <c r="L2396" s="7"/>
      <c r="M2396" s="7"/>
    </row>
    <row r="2397" spans="1:13" x14ac:dyDescent="0.3">
      <c r="A2397" s="7">
        <v>13219</v>
      </c>
      <c r="B2397" s="7" t="s">
        <v>2405</v>
      </c>
      <c r="C2397" s="7" t="s">
        <v>6634</v>
      </c>
      <c r="D2397" s="7" t="s">
        <v>6640</v>
      </c>
      <c r="E2397" s="7" t="s">
        <v>6295</v>
      </c>
      <c r="F2397" s="7" t="s">
        <v>6414</v>
      </c>
      <c r="G2397" s="7" t="s">
        <v>7150</v>
      </c>
      <c r="H2397" s="7" t="s">
        <v>7156</v>
      </c>
      <c r="I2397" s="7"/>
      <c r="J2397" s="10">
        <v>44324</v>
      </c>
      <c r="K2397" s="7" t="s">
        <v>7164</v>
      </c>
      <c r="L2397" s="7"/>
      <c r="M2397" s="7"/>
    </row>
    <row r="2398" spans="1:13" x14ac:dyDescent="0.3">
      <c r="A2398" s="7">
        <v>16771</v>
      </c>
      <c r="B2398" s="7" t="s">
        <v>2406</v>
      </c>
      <c r="C2398" s="7" t="s">
        <v>6634</v>
      </c>
      <c r="D2398" s="7" t="s">
        <v>6640</v>
      </c>
      <c r="E2398" s="7" t="s">
        <v>6295</v>
      </c>
      <c r="F2398" s="7" t="s">
        <v>6485</v>
      </c>
      <c r="G2398" s="7" t="s">
        <v>7150</v>
      </c>
      <c r="H2398" s="7" t="s">
        <v>7156</v>
      </c>
      <c r="I2398" s="7"/>
      <c r="J2398" s="10">
        <v>45551</v>
      </c>
      <c r="K2398" s="7" t="s">
        <v>7164</v>
      </c>
      <c r="L2398" s="7"/>
      <c r="M2398" s="7"/>
    </row>
    <row r="2399" spans="1:13" x14ac:dyDescent="0.3">
      <c r="A2399" s="7">
        <v>14596</v>
      </c>
      <c r="B2399" s="7" t="s">
        <v>2407</v>
      </c>
      <c r="C2399" s="7" t="s">
        <v>6634</v>
      </c>
      <c r="D2399" s="7" t="s">
        <v>6640</v>
      </c>
      <c r="E2399" s="7" t="s">
        <v>6295</v>
      </c>
      <c r="F2399" s="7" t="s">
        <v>6485</v>
      </c>
      <c r="G2399" s="7" t="s">
        <v>7150</v>
      </c>
      <c r="H2399" s="7" t="s">
        <v>7156</v>
      </c>
      <c r="I2399" s="7"/>
      <c r="J2399" s="10">
        <v>44796</v>
      </c>
      <c r="K2399" s="7" t="s">
        <v>7164</v>
      </c>
      <c r="L2399" s="7"/>
      <c r="M2399" s="7"/>
    </row>
    <row r="2400" spans="1:13" x14ac:dyDescent="0.3">
      <c r="A2400" s="7">
        <v>17814</v>
      </c>
      <c r="B2400" s="7" t="s">
        <v>2408</v>
      </c>
      <c r="C2400" s="7" t="s">
        <v>6634</v>
      </c>
      <c r="D2400" s="7" t="s">
        <v>6640</v>
      </c>
      <c r="E2400" s="7" t="s">
        <v>6295</v>
      </c>
      <c r="F2400" s="7" t="s">
        <v>6485</v>
      </c>
      <c r="G2400" s="7" t="s">
        <v>7150</v>
      </c>
      <c r="H2400" s="7" t="s">
        <v>7156</v>
      </c>
      <c r="I2400" s="7"/>
      <c r="J2400" s="10">
        <v>45882</v>
      </c>
      <c r="K2400" s="7" t="s">
        <v>7164</v>
      </c>
      <c r="L2400" s="7"/>
      <c r="M2400" s="7"/>
    </row>
    <row r="2401" spans="1:13" x14ac:dyDescent="0.3">
      <c r="A2401" s="7">
        <v>18779</v>
      </c>
      <c r="B2401" s="7" t="s">
        <v>2409</v>
      </c>
      <c r="C2401" s="7" t="s">
        <v>6634</v>
      </c>
      <c r="D2401" s="7" t="s">
        <v>6640</v>
      </c>
      <c r="E2401" s="7" t="s">
        <v>6295</v>
      </c>
      <c r="F2401" s="7" t="s">
        <v>6485</v>
      </c>
      <c r="G2401" s="7" t="s">
        <v>7150</v>
      </c>
      <c r="H2401" s="7" t="s">
        <v>7156</v>
      </c>
      <c r="I2401" s="7"/>
      <c r="J2401" s="10">
        <v>46211</v>
      </c>
      <c r="K2401" s="7" t="s">
        <v>7164</v>
      </c>
      <c r="L2401" s="7"/>
      <c r="M2401" s="7"/>
    </row>
    <row r="2402" spans="1:13" x14ac:dyDescent="0.3">
      <c r="A2402" s="7">
        <v>16027</v>
      </c>
      <c r="B2402" s="7" t="s">
        <v>2410</v>
      </c>
      <c r="C2402" s="7" t="s">
        <v>6642</v>
      </c>
      <c r="D2402" s="7" t="s">
        <v>6295</v>
      </c>
      <c r="E2402" s="7" t="s">
        <v>6295</v>
      </c>
      <c r="F2402" s="7" t="s">
        <v>6414</v>
      </c>
      <c r="G2402" s="7" t="s">
        <v>7150</v>
      </c>
      <c r="H2402" s="7" t="s">
        <v>7156</v>
      </c>
      <c r="I2402" s="7"/>
      <c r="J2402" s="10">
        <v>45267</v>
      </c>
      <c r="K2402" s="7" t="s">
        <v>7164</v>
      </c>
      <c r="L2402" s="7"/>
      <c r="M2402" s="7"/>
    </row>
    <row r="2403" spans="1:13" x14ac:dyDescent="0.3">
      <c r="A2403" s="7">
        <v>17300</v>
      </c>
      <c r="B2403" s="7" t="s">
        <v>2411</v>
      </c>
      <c r="C2403" s="7" t="s">
        <v>6642</v>
      </c>
      <c r="D2403" s="7" t="s">
        <v>6295</v>
      </c>
      <c r="E2403" s="7" t="s">
        <v>6295</v>
      </c>
      <c r="F2403" s="7" t="s">
        <v>6485</v>
      </c>
      <c r="G2403" s="7" t="s">
        <v>7150</v>
      </c>
      <c r="H2403" s="7" t="s">
        <v>7156</v>
      </c>
      <c r="I2403" s="7"/>
      <c r="J2403" s="10">
        <v>45695</v>
      </c>
      <c r="K2403" s="7" t="s">
        <v>7164</v>
      </c>
      <c r="L2403" s="7"/>
      <c r="M2403" s="7"/>
    </row>
    <row r="2404" spans="1:13" x14ac:dyDescent="0.3">
      <c r="A2404" s="7">
        <v>18991</v>
      </c>
      <c r="B2404" s="7" t="s">
        <v>2412</v>
      </c>
      <c r="C2404" s="7" t="s">
        <v>6642</v>
      </c>
      <c r="D2404" s="7" t="s">
        <v>6295</v>
      </c>
      <c r="E2404" s="7" t="s">
        <v>6295</v>
      </c>
      <c r="F2404" s="7" t="s">
        <v>6650</v>
      </c>
      <c r="G2404" s="7" t="s">
        <v>7150</v>
      </c>
      <c r="H2404" s="7" t="s">
        <v>7156</v>
      </c>
      <c r="I2404" s="7" t="s">
        <v>7161</v>
      </c>
      <c r="J2404" s="10">
        <v>46252</v>
      </c>
      <c r="K2404" s="7" t="s">
        <v>7164</v>
      </c>
      <c r="L2404" s="7"/>
      <c r="M2404" s="7"/>
    </row>
    <row r="2405" spans="1:13" x14ac:dyDescent="0.3">
      <c r="A2405" s="7">
        <v>15139</v>
      </c>
      <c r="B2405" s="7" t="s">
        <v>2413</v>
      </c>
      <c r="C2405" s="7" t="s">
        <v>6642</v>
      </c>
      <c r="D2405" s="7" t="s">
        <v>6643</v>
      </c>
      <c r="E2405" s="7" t="s">
        <v>6295</v>
      </c>
      <c r="F2405" s="7" t="s">
        <v>6485</v>
      </c>
      <c r="G2405" s="7" t="s">
        <v>7151</v>
      </c>
      <c r="H2405" s="7" t="s">
        <v>7156</v>
      </c>
      <c r="I2405" s="7"/>
      <c r="J2405" s="10">
        <v>44963</v>
      </c>
      <c r="K2405" s="7" t="s">
        <v>7164</v>
      </c>
      <c r="L2405" s="7"/>
      <c r="M2405" s="7"/>
    </row>
    <row r="2406" spans="1:13" x14ac:dyDescent="0.3">
      <c r="A2406" s="7">
        <v>17471</v>
      </c>
      <c r="B2406" s="7" t="s">
        <v>2414</v>
      </c>
      <c r="C2406" s="7" t="s">
        <v>6642</v>
      </c>
      <c r="D2406" s="7" t="s">
        <v>6643</v>
      </c>
      <c r="E2406" s="7" t="s">
        <v>6295</v>
      </c>
      <c r="F2406" s="7" t="s">
        <v>6649</v>
      </c>
      <c r="G2406" s="7" t="s">
        <v>7150</v>
      </c>
      <c r="H2406" s="7" t="s">
        <v>7157</v>
      </c>
      <c r="I2406" s="7"/>
      <c r="J2406" s="10">
        <v>45763</v>
      </c>
      <c r="K2406" s="7" t="s">
        <v>7164</v>
      </c>
      <c r="L2406" s="7"/>
      <c r="M2406" s="7"/>
    </row>
    <row r="2407" spans="1:13" x14ac:dyDescent="0.3">
      <c r="A2407" s="7">
        <v>15521</v>
      </c>
      <c r="B2407" s="7" t="s">
        <v>2415</v>
      </c>
      <c r="C2407" s="7" t="s">
        <v>6634</v>
      </c>
      <c r="D2407" s="7" t="s">
        <v>6640</v>
      </c>
      <c r="E2407" s="7" t="s">
        <v>6295</v>
      </c>
      <c r="F2407" s="7" t="s">
        <v>6485</v>
      </c>
      <c r="G2407" s="7" t="s">
        <v>7150</v>
      </c>
      <c r="H2407" s="7" t="s">
        <v>7156</v>
      </c>
      <c r="I2407" s="7"/>
      <c r="J2407" s="10">
        <v>45101</v>
      </c>
      <c r="K2407" s="7" t="s">
        <v>7164</v>
      </c>
      <c r="L2407" s="7"/>
      <c r="M2407" s="7"/>
    </row>
    <row r="2408" spans="1:13" x14ac:dyDescent="0.3">
      <c r="A2408" s="7">
        <v>15335</v>
      </c>
      <c r="B2408" s="7" t="s">
        <v>2416</v>
      </c>
      <c r="C2408" s="7" t="s">
        <v>6634</v>
      </c>
      <c r="D2408" s="7" t="s">
        <v>6640</v>
      </c>
      <c r="E2408" s="7" t="s">
        <v>6295</v>
      </c>
      <c r="F2408" s="7" t="s">
        <v>6485</v>
      </c>
      <c r="G2408" s="7" t="s">
        <v>7150</v>
      </c>
      <c r="H2408" s="7" t="s">
        <v>7156</v>
      </c>
      <c r="I2408" s="7"/>
      <c r="J2408" s="10">
        <v>45029</v>
      </c>
      <c r="K2408" s="7" t="s">
        <v>7164</v>
      </c>
      <c r="L2408" s="7"/>
      <c r="M2408" s="7"/>
    </row>
    <row r="2409" spans="1:13" x14ac:dyDescent="0.3">
      <c r="A2409" s="7">
        <v>12869</v>
      </c>
      <c r="B2409" s="7" t="s">
        <v>2417</v>
      </c>
      <c r="C2409" s="7" t="s">
        <v>6634</v>
      </c>
      <c r="D2409" s="7" t="s">
        <v>6640</v>
      </c>
      <c r="E2409" s="7" t="s">
        <v>6295</v>
      </c>
      <c r="F2409" s="7" t="s">
        <v>6485</v>
      </c>
      <c r="G2409" s="7" t="s">
        <v>7150</v>
      </c>
      <c r="H2409" s="7" t="s">
        <v>7156</v>
      </c>
      <c r="I2409" s="7"/>
      <c r="J2409" s="10">
        <v>44068</v>
      </c>
      <c r="K2409" s="7" t="s">
        <v>7164</v>
      </c>
      <c r="L2409" s="7"/>
      <c r="M2409" s="7"/>
    </row>
    <row r="2410" spans="1:13" x14ac:dyDescent="0.3">
      <c r="A2410" s="7">
        <v>13863</v>
      </c>
      <c r="B2410" s="7" t="s">
        <v>2418</v>
      </c>
      <c r="C2410" s="7" t="s">
        <v>6634</v>
      </c>
      <c r="D2410" s="7" t="s">
        <v>6640</v>
      </c>
      <c r="E2410" s="7" t="s">
        <v>6295</v>
      </c>
      <c r="F2410" s="7" t="s">
        <v>6485</v>
      </c>
      <c r="G2410" s="7" t="s">
        <v>7150</v>
      </c>
      <c r="H2410" s="7" t="s">
        <v>7156</v>
      </c>
      <c r="I2410" s="7"/>
      <c r="J2410" s="10">
        <v>44609</v>
      </c>
      <c r="K2410" s="7" t="s">
        <v>7164</v>
      </c>
      <c r="L2410" s="7"/>
      <c r="M2410" s="7"/>
    </row>
    <row r="2411" spans="1:13" x14ac:dyDescent="0.3">
      <c r="A2411" s="7">
        <v>300212</v>
      </c>
      <c r="B2411" s="7" t="s">
        <v>2419</v>
      </c>
      <c r="C2411" s="7" t="s">
        <v>6642</v>
      </c>
      <c r="D2411" s="7" t="s">
        <v>6295</v>
      </c>
      <c r="E2411" s="7" t="s">
        <v>6295</v>
      </c>
      <c r="F2411" s="7" t="s">
        <v>6485</v>
      </c>
      <c r="G2411" s="7" t="s">
        <v>7150</v>
      </c>
      <c r="H2411" s="7" t="s">
        <v>7156</v>
      </c>
      <c r="I2411" s="7"/>
      <c r="J2411" s="10">
        <v>44120</v>
      </c>
      <c r="K2411" s="7" t="s">
        <v>7164</v>
      </c>
      <c r="L2411" s="7"/>
      <c r="M2411" s="7"/>
    </row>
    <row r="2412" spans="1:13" x14ac:dyDescent="0.3">
      <c r="A2412" s="7">
        <v>12426</v>
      </c>
      <c r="B2412" s="7" t="s">
        <v>2420</v>
      </c>
      <c r="C2412" s="7" t="s">
        <v>6634</v>
      </c>
      <c r="D2412" s="7" t="s">
        <v>6640</v>
      </c>
      <c r="E2412" s="7" t="s">
        <v>6295</v>
      </c>
      <c r="F2412" s="7" t="s">
        <v>6485</v>
      </c>
      <c r="G2412" s="7" t="s">
        <v>7150</v>
      </c>
      <c r="H2412" s="7" t="s">
        <v>7156</v>
      </c>
      <c r="I2412" s="7"/>
      <c r="J2412" s="10">
        <v>43742</v>
      </c>
      <c r="K2412" s="7" t="s">
        <v>7164</v>
      </c>
      <c r="L2412" s="7"/>
      <c r="M2412" s="7"/>
    </row>
    <row r="2413" spans="1:13" x14ac:dyDescent="0.3">
      <c r="A2413" s="7">
        <v>15001</v>
      </c>
      <c r="B2413" s="7" t="s">
        <v>2421</v>
      </c>
      <c r="C2413" s="7" t="s">
        <v>6634</v>
      </c>
      <c r="D2413" s="7" t="s">
        <v>6640</v>
      </c>
      <c r="E2413" s="7" t="s">
        <v>6295</v>
      </c>
      <c r="F2413" s="7" t="s">
        <v>6414</v>
      </c>
      <c r="G2413" s="7" t="s">
        <v>7150</v>
      </c>
      <c r="H2413" s="7" t="s">
        <v>7156</v>
      </c>
      <c r="I2413" s="7"/>
      <c r="J2413" s="10">
        <v>44914</v>
      </c>
      <c r="K2413" s="7" t="s">
        <v>7164</v>
      </c>
      <c r="L2413" s="7"/>
      <c r="M2413" s="7"/>
    </row>
    <row r="2414" spans="1:13" x14ac:dyDescent="0.3">
      <c r="A2414" s="7">
        <v>300164</v>
      </c>
      <c r="B2414" s="7" t="s">
        <v>2422</v>
      </c>
      <c r="C2414" s="7" t="s">
        <v>6634</v>
      </c>
      <c r="D2414" s="7" t="s">
        <v>6640</v>
      </c>
      <c r="E2414" s="7" t="s">
        <v>6295</v>
      </c>
      <c r="F2414" s="7" t="s">
        <v>6485</v>
      </c>
      <c r="G2414" s="7" t="s">
        <v>7150</v>
      </c>
      <c r="H2414" s="7" t="s">
        <v>7156</v>
      </c>
      <c r="I2414" s="7"/>
      <c r="J2414" s="10">
        <v>43566</v>
      </c>
      <c r="K2414" s="7" t="s">
        <v>7164</v>
      </c>
      <c r="L2414" s="7"/>
      <c r="M2414" s="7"/>
    </row>
    <row r="2415" spans="1:13" x14ac:dyDescent="0.3">
      <c r="A2415" s="7">
        <v>17777</v>
      </c>
      <c r="B2415" s="7" t="s">
        <v>2423</v>
      </c>
      <c r="C2415" s="7" t="s">
        <v>6634</v>
      </c>
      <c r="D2415" s="7" t="s">
        <v>6640</v>
      </c>
      <c r="E2415" s="7" t="s">
        <v>6295</v>
      </c>
      <c r="F2415" s="7" t="s">
        <v>6485</v>
      </c>
      <c r="G2415" s="7" t="s">
        <v>7150</v>
      </c>
      <c r="H2415" s="7" t="s">
        <v>7156</v>
      </c>
      <c r="I2415" s="7"/>
      <c r="J2415" s="10">
        <v>45874</v>
      </c>
      <c r="K2415" s="7" t="s">
        <v>7164</v>
      </c>
      <c r="L2415" s="7"/>
      <c r="M2415" s="7"/>
    </row>
    <row r="2416" spans="1:13" x14ac:dyDescent="0.3">
      <c r="A2416" s="7">
        <v>17574</v>
      </c>
      <c r="B2416" s="7" t="s">
        <v>2424</v>
      </c>
      <c r="C2416" s="7" t="s">
        <v>6634</v>
      </c>
      <c r="D2416" s="7" t="s">
        <v>6640</v>
      </c>
      <c r="E2416" s="7" t="s">
        <v>6295</v>
      </c>
      <c r="F2416" s="7" t="s">
        <v>6651</v>
      </c>
      <c r="G2416" s="7" t="s">
        <v>7150</v>
      </c>
      <c r="H2416" s="7" t="s">
        <v>7156</v>
      </c>
      <c r="I2416" s="7"/>
      <c r="J2416" s="10">
        <v>45797</v>
      </c>
      <c r="K2416" s="7" t="s">
        <v>7164</v>
      </c>
      <c r="L2416" s="7"/>
      <c r="M2416" s="7"/>
    </row>
    <row r="2417" spans="1:13" x14ac:dyDescent="0.3">
      <c r="A2417" s="7">
        <v>17986</v>
      </c>
      <c r="B2417" s="7" t="s">
        <v>2425</v>
      </c>
      <c r="C2417" s="7" t="s">
        <v>6634</v>
      </c>
      <c r="D2417" s="7" t="s">
        <v>6640</v>
      </c>
      <c r="E2417" s="7" t="s">
        <v>6295</v>
      </c>
      <c r="F2417" s="7" t="s">
        <v>6485</v>
      </c>
      <c r="G2417" s="7" t="s">
        <v>7150</v>
      </c>
      <c r="H2417" s="7" t="s">
        <v>7156</v>
      </c>
      <c r="I2417" s="7"/>
      <c r="J2417" s="10">
        <v>45947</v>
      </c>
      <c r="K2417" s="7" t="s">
        <v>7164</v>
      </c>
      <c r="L2417" s="7"/>
      <c r="M2417" s="7"/>
    </row>
    <row r="2418" spans="1:13" x14ac:dyDescent="0.3">
      <c r="A2418" s="7">
        <v>17541</v>
      </c>
      <c r="B2418" s="7" t="s">
        <v>2426</v>
      </c>
      <c r="C2418" s="7" t="s">
        <v>6644</v>
      </c>
      <c r="D2418" s="7" t="s">
        <v>6645</v>
      </c>
      <c r="E2418" s="7" t="s">
        <v>6295</v>
      </c>
      <c r="F2418" s="7" t="s">
        <v>6485</v>
      </c>
      <c r="G2418" s="7" t="s">
        <v>7150</v>
      </c>
      <c r="H2418" s="7" t="s">
        <v>7156</v>
      </c>
      <c r="I2418" s="7"/>
      <c r="J2418" s="10">
        <v>45785</v>
      </c>
      <c r="K2418" s="7" t="s">
        <v>7164</v>
      </c>
      <c r="L2418" s="7"/>
      <c r="M2418" s="7"/>
    </row>
    <row r="2419" spans="1:13" x14ac:dyDescent="0.3">
      <c r="A2419" s="7">
        <v>17609</v>
      </c>
      <c r="B2419" s="7" t="s">
        <v>2427</v>
      </c>
      <c r="C2419" s="7" t="s">
        <v>6634</v>
      </c>
      <c r="D2419" s="7" t="s">
        <v>6640</v>
      </c>
      <c r="E2419" s="7" t="s">
        <v>6295</v>
      </c>
      <c r="F2419" s="7" t="s">
        <v>6485</v>
      </c>
      <c r="G2419" s="7" t="s">
        <v>7150</v>
      </c>
      <c r="H2419" s="7" t="s">
        <v>7156</v>
      </c>
      <c r="I2419" s="7"/>
      <c r="J2419" s="10">
        <v>45811</v>
      </c>
      <c r="K2419" s="7" t="s">
        <v>7164</v>
      </c>
      <c r="L2419" s="7"/>
      <c r="M2419" s="7"/>
    </row>
    <row r="2420" spans="1:13" x14ac:dyDescent="0.3">
      <c r="A2420" s="7">
        <v>12878</v>
      </c>
      <c r="B2420" s="7" t="s">
        <v>2428</v>
      </c>
      <c r="C2420" s="7" t="s">
        <v>6634</v>
      </c>
      <c r="D2420" s="7" t="s">
        <v>6640</v>
      </c>
      <c r="E2420" s="7" t="s">
        <v>6295</v>
      </c>
      <c r="F2420" s="7" t="s">
        <v>6414</v>
      </c>
      <c r="G2420" s="7" t="s">
        <v>7150</v>
      </c>
      <c r="H2420" s="7" t="s">
        <v>7156</v>
      </c>
      <c r="I2420" s="7"/>
      <c r="J2420" s="10">
        <v>44075</v>
      </c>
      <c r="K2420" s="7" t="s">
        <v>7164</v>
      </c>
      <c r="L2420" s="7"/>
      <c r="M2420" s="7"/>
    </row>
    <row r="2421" spans="1:13" x14ac:dyDescent="0.3">
      <c r="A2421" s="7">
        <v>16524</v>
      </c>
      <c r="B2421" s="7" t="s">
        <v>2429</v>
      </c>
      <c r="C2421" s="7" t="s">
        <v>6634</v>
      </c>
      <c r="D2421" s="7" t="s">
        <v>6640</v>
      </c>
      <c r="E2421" s="7" t="s">
        <v>6295</v>
      </c>
      <c r="F2421" s="7" t="s">
        <v>6485</v>
      </c>
      <c r="G2421" s="7" t="s">
        <v>7150</v>
      </c>
      <c r="H2421" s="7" t="s">
        <v>7156</v>
      </c>
      <c r="I2421" s="7"/>
      <c r="J2421" s="10">
        <v>45446</v>
      </c>
      <c r="K2421" s="7" t="s">
        <v>7164</v>
      </c>
      <c r="L2421" s="7"/>
      <c r="M2421" s="7"/>
    </row>
    <row r="2422" spans="1:13" x14ac:dyDescent="0.3">
      <c r="A2422" s="7">
        <v>17617</v>
      </c>
      <c r="B2422" s="7" t="s">
        <v>2430</v>
      </c>
      <c r="C2422" s="7" t="s">
        <v>6634</v>
      </c>
      <c r="D2422" s="7" t="s">
        <v>6640</v>
      </c>
      <c r="E2422" s="7" t="s">
        <v>6295</v>
      </c>
      <c r="F2422" s="7" t="s">
        <v>6485</v>
      </c>
      <c r="G2422" s="7" t="s">
        <v>7150</v>
      </c>
      <c r="H2422" s="7" t="s">
        <v>7156</v>
      </c>
      <c r="I2422" s="7"/>
      <c r="J2422" s="10">
        <v>45812</v>
      </c>
      <c r="K2422" s="7" t="s">
        <v>7164</v>
      </c>
      <c r="L2422" s="7"/>
      <c r="M2422" s="7"/>
    </row>
    <row r="2423" spans="1:13" x14ac:dyDescent="0.3">
      <c r="A2423" s="7">
        <v>13039</v>
      </c>
      <c r="B2423" s="7" t="s">
        <v>2431</v>
      </c>
      <c r="C2423" s="7" t="s">
        <v>6634</v>
      </c>
      <c r="D2423" s="7" t="s">
        <v>6640</v>
      </c>
      <c r="E2423" s="7" t="s">
        <v>6295</v>
      </c>
      <c r="F2423" s="7" t="s">
        <v>6485</v>
      </c>
      <c r="G2423" s="7" t="s">
        <v>7150</v>
      </c>
      <c r="H2423" s="7" t="s">
        <v>7156</v>
      </c>
      <c r="I2423" s="7"/>
      <c r="J2423" s="10">
        <v>44214</v>
      </c>
      <c r="K2423" s="7" t="s">
        <v>7164</v>
      </c>
      <c r="L2423" s="7"/>
      <c r="M2423" s="7"/>
    </row>
    <row r="2424" spans="1:13" x14ac:dyDescent="0.3">
      <c r="A2424" s="7">
        <v>14455</v>
      </c>
      <c r="B2424" s="7" t="s">
        <v>2432</v>
      </c>
      <c r="C2424" s="7" t="s">
        <v>6634</v>
      </c>
      <c r="D2424" s="7" t="s">
        <v>6640</v>
      </c>
      <c r="E2424" s="7" t="s">
        <v>6295</v>
      </c>
      <c r="F2424" s="7" t="s">
        <v>6485</v>
      </c>
      <c r="G2424" s="7" t="s">
        <v>7150</v>
      </c>
      <c r="H2424" s="7" t="s">
        <v>7156</v>
      </c>
      <c r="I2424" s="7"/>
      <c r="J2424" s="10">
        <v>44762</v>
      </c>
      <c r="K2424" s="7" t="s">
        <v>7164</v>
      </c>
      <c r="L2424" s="7"/>
      <c r="M2424" s="7"/>
    </row>
    <row r="2425" spans="1:13" x14ac:dyDescent="0.3">
      <c r="A2425" s="7">
        <v>15944</v>
      </c>
      <c r="B2425" s="7" t="s">
        <v>2433</v>
      </c>
      <c r="C2425" s="7" t="s">
        <v>6634</v>
      </c>
      <c r="D2425" s="7" t="s">
        <v>6640</v>
      </c>
      <c r="E2425" s="7" t="s">
        <v>6295</v>
      </c>
      <c r="F2425" s="7" t="s">
        <v>6485</v>
      </c>
      <c r="G2425" s="7" t="s">
        <v>7150</v>
      </c>
      <c r="H2425" s="7" t="s">
        <v>7156</v>
      </c>
      <c r="I2425" s="7"/>
      <c r="J2425" s="10">
        <v>45247</v>
      </c>
      <c r="K2425" s="7" t="s">
        <v>7164</v>
      </c>
      <c r="L2425" s="7"/>
      <c r="M2425" s="7"/>
    </row>
    <row r="2426" spans="1:13" x14ac:dyDescent="0.3">
      <c r="A2426" s="7">
        <v>16409</v>
      </c>
      <c r="B2426" s="7" t="s">
        <v>2434</v>
      </c>
      <c r="C2426" s="7" t="s">
        <v>6634</v>
      </c>
      <c r="D2426" s="7" t="s">
        <v>6640</v>
      </c>
      <c r="E2426" s="7" t="s">
        <v>6295</v>
      </c>
      <c r="F2426" s="7" t="s">
        <v>6485</v>
      </c>
      <c r="G2426" s="7" t="s">
        <v>7150</v>
      </c>
      <c r="H2426" s="7" t="s">
        <v>7156</v>
      </c>
      <c r="I2426" s="7"/>
      <c r="J2426" s="10">
        <v>45397</v>
      </c>
      <c r="K2426" s="7" t="s">
        <v>7164</v>
      </c>
      <c r="L2426" s="7"/>
      <c r="M2426" s="7"/>
    </row>
    <row r="2427" spans="1:13" x14ac:dyDescent="0.3">
      <c r="A2427" s="7">
        <v>13664</v>
      </c>
      <c r="B2427" s="7" t="s">
        <v>2435</v>
      </c>
      <c r="C2427" s="7" t="s">
        <v>6636</v>
      </c>
      <c r="D2427" s="7" t="s">
        <v>6638</v>
      </c>
      <c r="E2427" s="7" t="s">
        <v>6295</v>
      </c>
      <c r="F2427" s="7" t="s">
        <v>6414</v>
      </c>
      <c r="G2427" s="7" t="s">
        <v>7150</v>
      </c>
      <c r="H2427" s="7" t="s">
        <v>7156</v>
      </c>
      <c r="I2427" s="7"/>
      <c r="J2427" s="10">
        <v>44532</v>
      </c>
      <c r="K2427" s="7" t="s">
        <v>7164</v>
      </c>
      <c r="L2427" s="7"/>
      <c r="M2427" s="7"/>
    </row>
    <row r="2428" spans="1:13" x14ac:dyDescent="0.3">
      <c r="A2428" s="7">
        <v>115013</v>
      </c>
      <c r="B2428" s="7" t="s">
        <v>2436</v>
      </c>
      <c r="C2428" s="7" t="s">
        <v>6636</v>
      </c>
      <c r="D2428" s="7" t="s">
        <v>6638</v>
      </c>
      <c r="E2428" s="7" t="s">
        <v>6295</v>
      </c>
      <c r="F2428" s="7" t="s">
        <v>6485</v>
      </c>
      <c r="G2428" s="7" t="s">
        <v>7150</v>
      </c>
      <c r="H2428" s="7" t="s">
        <v>7156</v>
      </c>
      <c r="I2428" s="7"/>
      <c r="J2428" s="10">
        <v>42068</v>
      </c>
      <c r="K2428" s="7" t="s">
        <v>7164</v>
      </c>
      <c r="L2428" s="7"/>
      <c r="M2428" s="7"/>
    </row>
    <row r="2429" spans="1:13" x14ac:dyDescent="0.3">
      <c r="A2429" s="7">
        <v>16591</v>
      </c>
      <c r="B2429" s="7" t="s">
        <v>2437</v>
      </c>
      <c r="C2429" s="7" t="s">
        <v>6634</v>
      </c>
      <c r="D2429" s="7" t="s">
        <v>6640</v>
      </c>
      <c r="E2429" s="7" t="s">
        <v>6295</v>
      </c>
      <c r="F2429" s="7" t="s">
        <v>6485</v>
      </c>
      <c r="G2429" s="7" t="s">
        <v>7150</v>
      </c>
      <c r="H2429" s="7" t="s">
        <v>7156</v>
      </c>
      <c r="I2429" s="7"/>
      <c r="J2429" s="10">
        <v>45490</v>
      </c>
      <c r="K2429" s="7" t="s">
        <v>7164</v>
      </c>
      <c r="L2429" s="7"/>
      <c r="M2429" s="7"/>
    </row>
    <row r="2430" spans="1:13" x14ac:dyDescent="0.3">
      <c r="A2430" s="7">
        <v>18484</v>
      </c>
      <c r="B2430" s="7" t="s">
        <v>2438</v>
      </c>
      <c r="C2430" s="7" t="s">
        <v>6634</v>
      </c>
      <c r="D2430" s="7" t="s">
        <v>6640</v>
      </c>
      <c r="E2430" s="7" t="s">
        <v>6295</v>
      </c>
      <c r="F2430" s="7" t="s">
        <v>6485</v>
      </c>
      <c r="G2430" s="7" t="s">
        <v>7150</v>
      </c>
      <c r="H2430" s="7" t="s">
        <v>7156</v>
      </c>
      <c r="I2430" s="7"/>
      <c r="J2430" s="10">
        <v>46143</v>
      </c>
      <c r="K2430" s="7" t="s">
        <v>7164</v>
      </c>
      <c r="L2430" s="7"/>
      <c r="M2430" s="7"/>
    </row>
    <row r="2431" spans="1:13" x14ac:dyDescent="0.3">
      <c r="A2431" s="7">
        <v>16966</v>
      </c>
      <c r="B2431" s="7" t="s">
        <v>2439</v>
      </c>
      <c r="C2431" s="7" t="s">
        <v>6634</v>
      </c>
      <c r="D2431" s="7" t="s">
        <v>6640</v>
      </c>
      <c r="E2431" s="7" t="s">
        <v>6295</v>
      </c>
      <c r="F2431" s="7" t="s">
        <v>6485</v>
      </c>
      <c r="G2431" s="7" t="s">
        <v>7150</v>
      </c>
      <c r="H2431" s="7" t="s">
        <v>7156</v>
      </c>
      <c r="I2431" s="7"/>
      <c r="J2431" s="10">
        <v>45580</v>
      </c>
      <c r="K2431" s="7" t="s">
        <v>7164</v>
      </c>
      <c r="L2431" s="7"/>
      <c r="M2431" s="7"/>
    </row>
    <row r="2432" spans="1:13" x14ac:dyDescent="0.3">
      <c r="A2432" s="7">
        <v>11300</v>
      </c>
      <c r="B2432" s="7" t="s">
        <v>2440</v>
      </c>
      <c r="C2432" s="7" t="s">
        <v>6636</v>
      </c>
      <c r="D2432" s="7" t="s">
        <v>6638</v>
      </c>
      <c r="E2432" s="7" t="s">
        <v>6295</v>
      </c>
      <c r="F2432" s="7" t="s">
        <v>6414</v>
      </c>
      <c r="G2432" s="7" t="s">
        <v>7152</v>
      </c>
      <c r="H2432" s="7" t="s">
        <v>7156</v>
      </c>
      <c r="I2432" s="7"/>
      <c r="J2432" s="10">
        <v>42503</v>
      </c>
      <c r="K2432" s="7" t="s">
        <v>7164</v>
      </c>
      <c r="L2432" s="7"/>
      <c r="M2432" s="7"/>
    </row>
    <row r="2433" spans="1:13" x14ac:dyDescent="0.3">
      <c r="A2433" s="7">
        <v>18294</v>
      </c>
      <c r="B2433" s="7" t="s">
        <v>2441</v>
      </c>
      <c r="C2433" s="7" t="s">
        <v>6636</v>
      </c>
      <c r="D2433" s="7" t="s">
        <v>6638</v>
      </c>
      <c r="E2433" s="7" t="s">
        <v>6295</v>
      </c>
      <c r="F2433" s="7" t="s">
        <v>6652</v>
      </c>
      <c r="G2433" s="7" t="s">
        <v>7150</v>
      </c>
      <c r="H2433" s="7" t="s">
        <v>7156</v>
      </c>
      <c r="I2433" s="7"/>
      <c r="J2433" s="10">
        <v>46078</v>
      </c>
      <c r="K2433" s="7" t="s">
        <v>7164</v>
      </c>
      <c r="L2433" s="7"/>
      <c r="M2433" s="7"/>
    </row>
    <row r="2434" spans="1:13" x14ac:dyDescent="0.3">
      <c r="A2434" s="7">
        <v>17786</v>
      </c>
      <c r="B2434" s="7" t="s">
        <v>2442</v>
      </c>
      <c r="C2434" s="7" t="s">
        <v>6636</v>
      </c>
      <c r="D2434" s="7" t="s">
        <v>6638</v>
      </c>
      <c r="E2434" s="7" t="s">
        <v>6295</v>
      </c>
      <c r="F2434" s="7" t="s">
        <v>6485</v>
      </c>
      <c r="G2434" s="7" t="s">
        <v>7150</v>
      </c>
      <c r="H2434" s="7" t="s">
        <v>7156</v>
      </c>
      <c r="I2434" s="7"/>
      <c r="J2434" s="10">
        <v>45875</v>
      </c>
      <c r="K2434" s="7" t="s">
        <v>7164</v>
      </c>
      <c r="L2434" s="7"/>
      <c r="M2434" s="7"/>
    </row>
    <row r="2435" spans="1:13" x14ac:dyDescent="0.3">
      <c r="A2435" s="7">
        <v>12604</v>
      </c>
      <c r="B2435" s="7" t="s">
        <v>2443</v>
      </c>
      <c r="C2435" s="7" t="s">
        <v>6642</v>
      </c>
      <c r="D2435" s="7" t="s">
        <v>6295</v>
      </c>
      <c r="E2435" s="7" t="s">
        <v>6295</v>
      </c>
      <c r="F2435" s="7" t="s">
        <v>6485</v>
      </c>
      <c r="G2435" s="7" t="s">
        <v>7150</v>
      </c>
      <c r="H2435" s="7" t="s">
        <v>7156</v>
      </c>
      <c r="I2435" s="7"/>
      <c r="J2435" s="10">
        <v>43838</v>
      </c>
      <c r="K2435" s="7" t="s">
        <v>7164</v>
      </c>
      <c r="L2435" s="7"/>
      <c r="M2435" s="7"/>
    </row>
    <row r="2436" spans="1:13" x14ac:dyDescent="0.3">
      <c r="A2436" s="7">
        <v>17768</v>
      </c>
      <c r="B2436" s="7" t="s">
        <v>2444</v>
      </c>
      <c r="C2436" s="7" t="s">
        <v>6636</v>
      </c>
      <c r="D2436" s="7" t="s">
        <v>6638</v>
      </c>
      <c r="E2436" s="7" t="s">
        <v>6295</v>
      </c>
      <c r="F2436" s="7" t="s">
        <v>6485</v>
      </c>
      <c r="G2436" s="7" t="s">
        <v>7150</v>
      </c>
      <c r="H2436" s="7" t="s">
        <v>7156</v>
      </c>
      <c r="I2436" s="7"/>
      <c r="J2436" s="10">
        <v>45874</v>
      </c>
      <c r="K2436" s="7" t="s">
        <v>7164</v>
      </c>
      <c r="L2436" s="7"/>
      <c r="M2436" s="7"/>
    </row>
    <row r="2437" spans="1:13" x14ac:dyDescent="0.3">
      <c r="A2437" s="7">
        <v>17779</v>
      </c>
      <c r="B2437" s="7" t="s">
        <v>2445</v>
      </c>
      <c r="C2437" s="7" t="s">
        <v>6636</v>
      </c>
      <c r="D2437" s="7" t="s">
        <v>6638</v>
      </c>
      <c r="E2437" s="7" t="s">
        <v>6295</v>
      </c>
      <c r="F2437" s="7" t="s">
        <v>6485</v>
      </c>
      <c r="G2437" s="7" t="s">
        <v>7150</v>
      </c>
      <c r="H2437" s="7" t="s">
        <v>7156</v>
      </c>
      <c r="I2437" s="7"/>
      <c r="J2437" s="10">
        <v>45875</v>
      </c>
      <c r="K2437" s="7" t="s">
        <v>7164</v>
      </c>
      <c r="L2437" s="7"/>
      <c r="M2437" s="7"/>
    </row>
    <row r="2438" spans="1:13" x14ac:dyDescent="0.3">
      <c r="A2438" s="7">
        <v>16590</v>
      </c>
      <c r="B2438" s="7" t="s">
        <v>2446</v>
      </c>
      <c r="C2438" s="7" t="s">
        <v>6636</v>
      </c>
      <c r="D2438" s="7" t="s">
        <v>6638</v>
      </c>
      <c r="E2438" s="7" t="s">
        <v>6295</v>
      </c>
      <c r="F2438" s="7" t="s">
        <v>6485</v>
      </c>
      <c r="G2438" s="7" t="s">
        <v>7150</v>
      </c>
      <c r="H2438" s="7" t="s">
        <v>7156</v>
      </c>
      <c r="I2438" s="7"/>
      <c r="J2438" s="10">
        <v>45490</v>
      </c>
      <c r="K2438" s="7" t="s">
        <v>7164</v>
      </c>
      <c r="L2438" s="7"/>
      <c r="M2438" s="7"/>
    </row>
    <row r="2439" spans="1:13" x14ac:dyDescent="0.3">
      <c r="A2439" s="7">
        <v>16433</v>
      </c>
      <c r="B2439" s="7" t="s">
        <v>2447</v>
      </c>
      <c r="C2439" s="7" t="s">
        <v>6636</v>
      </c>
      <c r="D2439" s="7" t="s">
        <v>6638</v>
      </c>
      <c r="E2439" s="7" t="s">
        <v>6295</v>
      </c>
      <c r="F2439" s="7" t="s">
        <v>6485</v>
      </c>
      <c r="G2439" s="7" t="s">
        <v>7150</v>
      </c>
      <c r="H2439" s="7" t="s">
        <v>7156</v>
      </c>
      <c r="I2439" s="7"/>
      <c r="J2439" s="10">
        <v>45391</v>
      </c>
      <c r="K2439" s="7" t="s">
        <v>7164</v>
      </c>
      <c r="L2439" s="7"/>
      <c r="M2439" s="7"/>
    </row>
    <row r="2440" spans="1:13" x14ac:dyDescent="0.3">
      <c r="A2440" s="7">
        <v>14387</v>
      </c>
      <c r="B2440" s="7" t="s">
        <v>2448</v>
      </c>
      <c r="C2440" s="7" t="s">
        <v>6634</v>
      </c>
      <c r="D2440" s="7" t="s">
        <v>6640</v>
      </c>
      <c r="E2440" s="7" t="s">
        <v>6295</v>
      </c>
      <c r="F2440" s="7" t="s">
        <v>6485</v>
      </c>
      <c r="G2440" s="7" t="s">
        <v>7151</v>
      </c>
      <c r="H2440" s="7" t="s">
        <v>7156</v>
      </c>
      <c r="I2440" s="7"/>
      <c r="J2440" s="10">
        <v>44743</v>
      </c>
      <c r="K2440" s="7" t="s">
        <v>7164</v>
      </c>
      <c r="L2440" s="7"/>
      <c r="M2440" s="7"/>
    </row>
    <row r="2441" spans="1:13" x14ac:dyDescent="0.3">
      <c r="A2441" s="7">
        <v>18967</v>
      </c>
      <c r="B2441" s="7" t="s">
        <v>2449</v>
      </c>
      <c r="C2441" s="7" t="s">
        <v>6634</v>
      </c>
      <c r="D2441" s="7" t="s">
        <v>6640</v>
      </c>
      <c r="E2441" s="7" t="s">
        <v>6295</v>
      </c>
      <c r="F2441" s="7" t="s">
        <v>6649</v>
      </c>
      <c r="G2441" s="7" t="s">
        <v>7150</v>
      </c>
      <c r="H2441" s="7" t="s">
        <v>7157</v>
      </c>
      <c r="I2441" s="7"/>
      <c r="J2441" s="10">
        <v>46252</v>
      </c>
      <c r="K2441" s="7" t="s">
        <v>7164</v>
      </c>
      <c r="L2441" s="7"/>
      <c r="M2441" s="7"/>
    </row>
    <row r="2442" spans="1:13" x14ac:dyDescent="0.3">
      <c r="A2442" s="7">
        <v>17862</v>
      </c>
      <c r="B2442" s="7" t="s">
        <v>2450</v>
      </c>
      <c r="C2442" s="7" t="s">
        <v>6634</v>
      </c>
      <c r="D2442" s="7" t="s">
        <v>6640</v>
      </c>
      <c r="E2442" s="7" t="s">
        <v>6295</v>
      </c>
      <c r="F2442" s="7" t="s">
        <v>6485</v>
      </c>
      <c r="G2442" s="7" t="s">
        <v>7150</v>
      </c>
      <c r="H2442" s="7" t="s">
        <v>7156</v>
      </c>
      <c r="I2442" s="7"/>
      <c r="J2442" s="10">
        <v>45896</v>
      </c>
      <c r="K2442" s="7" t="s">
        <v>7164</v>
      </c>
      <c r="L2442" s="7"/>
      <c r="M2442" s="7"/>
    </row>
    <row r="2443" spans="1:13" x14ac:dyDescent="0.3">
      <c r="A2443" s="7">
        <v>13854</v>
      </c>
      <c r="B2443" s="7" t="s">
        <v>2451</v>
      </c>
      <c r="C2443" s="7" t="s">
        <v>6634</v>
      </c>
      <c r="D2443" s="7" t="s">
        <v>6640</v>
      </c>
      <c r="E2443" s="7" t="s">
        <v>6295</v>
      </c>
      <c r="F2443" s="7" t="s">
        <v>6414</v>
      </c>
      <c r="G2443" s="7" t="s">
        <v>7150</v>
      </c>
      <c r="H2443" s="7" t="s">
        <v>7156</v>
      </c>
      <c r="I2443" s="7"/>
      <c r="J2443" s="10">
        <v>44607</v>
      </c>
      <c r="K2443" s="7" t="s">
        <v>7164</v>
      </c>
      <c r="L2443" s="7"/>
      <c r="M2443" s="7"/>
    </row>
    <row r="2444" spans="1:13" x14ac:dyDescent="0.3">
      <c r="A2444" s="7">
        <v>16952</v>
      </c>
      <c r="B2444" s="7" t="s">
        <v>2452</v>
      </c>
      <c r="C2444" s="7" t="s">
        <v>6634</v>
      </c>
      <c r="D2444" s="7" t="s">
        <v>6640</v>
      </c>
      <c r="E2444" s="7" t="s">
        <v>6295</v>
      </c>
      <c r="F2444" s="7" t="s">
        <v>6485</v>
      </c>
      <c r="G2444" s="7" t="s">
        <v>7150</v>
      </c>
      <c r="H2444" s="7" t="s">
        <v>7156</v>
      </c>
      <c r="I2444" s="7"/>
      <c r="J2444" s="10">
        <v>45569</v>
      </c>
      <c r="K2444" s="7" t="s">
        <v>7164</v>
      </c>
      <c r="L2444" s="7"/>
      <c r="M2444" s="7"/>
    </row>
    <row r="2445" spans="1:13" x14ac:dyDescent="0.3">
      <c r="A2445" s="7">
        <v>17953</v>
      </c>
      <c r="B2445" s="7" t="s">
        <v>2453</v>
      </c>
      <c r="C2445" s="7" t="s">
        <v>6634</v>
      </c>
      <c r="D2445" s="7" t="s">
        <v>6640</v>
      </c>
      <c r="E2445" s="7" t="s">
        <v>6295</v>
      </c>
      <c r="F2445" s="7" t="s">
        <v>6651</v>
      </c>
      <c r="G2445" s="7" t="s">
        <v>7150</v>
      </c>
      <c r="H2445" s="7" t="s">
        <v>7156</v>
      </c>
      <c r="I2445" s="7"/>
      <c r="J2445" s="10">
        <v>45933</v>
      </c>
      <c r="K2445" s="7" t="s">
        <v>7164</v>
      </c>
      <c r="L2445" s="7"/>
      <c r="M2445" s="7"/>
    </row>
    <row r="2446" spans="1:13" x14ac:dyDescent="0.3">
      <c r="A2446" s="7">
        <v>14636</v>
      </c>
      <c r="B2446" s="7" t="s">
        <v>2454</v>
      </c>
      <c r="C2446" s="7" t="s">
        <v>6634</v>
      </c>
      <c r="D2446" s="7" t="s">
        <v>6640</v>
      </c>
      <c r="E2446" s="7" t="s">
        <v>6295</v>
      </c>
      <c r="F2446" s="7" t="s">
        <v>6485</v>
      </c>
      <c r="G2446" s="7" t="s">
        <v>7150</v>
      </c>
      <c r="H2446" s="7" t="s">
        <v>7156</v>
      </c>
      <c r="I2446" s="7"/>
      <c r="J2446" s="10">
        <v>44812</v>
      </c>
      <c r="K2446" s="7" t="s">
        <v>7164</v>
      </c>
      <c r="L2446" s="7"/>
      <c r="M2446" s="7"/>
    </row>
    <row r="2447" spans="1:13" x14ac:dyDescent="0.3">
      <c r="A2447" s="7">
        <v>14346</v>
      </c>
      <c r="B2447" s="7" t="s">
        <v>2455</v>
      </c>
      <c r="C2447" s="7" t="s">
        <v>6634</v>
      </c>
      <c r="D2447" s="7" t="s">
        <v>6640</v>
      </c>
      <c r="E2447" s="7" t="s">
        <v>6295</v>
      </c>
      <c r="F2447" s="7" t="s">
        <v>6485</v>
      </c>
      <c r="G2447" s="7" t="s">
        <v>7150</v>
      </c>
      <c r="H2447" s="7" t="s">
        <v>7156</v>
      </c>
      <c r="I2447" s="7"/>
      <c r="J2447" s="10">
        <v>44740</v>
      </c>
      <c r="K2447" s="7" t="s">
        <v>7164</v>
      </c>
      <c r="L2447" s="7"/>
      <c r="M2447" s="7"/>
    </row>
    <row r="2448" spans="1:13" x14ac:dyDescent="0.3">
      <c r="A2448" s="7">
        <v>11887</v>
      </c>
      <c r="B2448" s="7" t="s">
        <v>2456</v>
      </c>
      <c r="C2448" s="7" t="s">
        <v>6634</v>
      </c>
      <c r="D2448" s="7" t="s">
        <v>6640</v>
      </c>
      <c r="E2448" s="7" t="s">
        <v>6295</v>
      </c>
      <c r="F2448" s="7" t="s">
        <v>6485</v>
      </c>
      <c r="G2448" s="7" t="s">
        <v>7150</v>
      </c>
      <c r="H2448" s="7" t="s">
        <v>7156</v>
      </c>
      <c r="I2448" s="7"/>
      <c r="J2448" s="10">
        <v>43242</v>
      </c>
      <c r="K2448" s="7" t="s">
        <v>7164</v>
      </c>
      <c r="L2448" s="7"/>
      <c r="M2448" s="7"/>
    </row>
    <row r="2449" spans="1:13" x14ac:dyDescent="0.3">
      <c r="A2449" s="7">
        <v>12932</v>
      </c>
      <c r="B2449" s="7" t="s">
        <v>2457</v>
      </c>
      <c r="C2449" s="7" t="s">
        <v>6634</v>
      </c>
      <c r="D2449" s="7" t="s">
        <v>6640</v>
      </c>
      <c r="E2449" s="7" t="s">
        <v>6295</v>
      </c>
      <c r="F2449" s="7" t="s">
        <v>6485</v>
      </c>
      <c r="G2449" s="7" t="s">
        <v>7150</v>
      </c>
      <c r="H2449" s="7" t="s">
        <v>7156</v>
      </c>
      <c r="I2449" s="7"/>
      <c r="J2449" s="10">
        <v>44126</v>
      </c>
      <c r="K2449" s="7" t="s">
        <v>7164</v>
      </c>
      <c r="L2449" s="7"/>
      <c r="M2449" s="7"/>
    </row>
    <row r="2450" spans="1:13" x14ac:dyDescent="0.3">
      <c r="A2450" s="7">
        <v>17742</v>
      </c>
      <c r="B2450" s="7" t="s">
        <v>2458</v>
      </c>
      <c r="C2450" s="7" t="s">
        <v>6634</v>
      </c>
      <c r="D2450" s="7" t="s">
        <v>6640</v>
      </c>
      <c r="E2450" s="7" t="s">
        <v>6295</v>
      </c>
      <c r="F2450" s="7" t="s">
        <v>6651</v>
      </c>
      <c r="G2450" s="7" t="s">
        <v>7150</v>
      </c>
      <c r="H2450" s="7" t="s">
        <v>7156</v>
      </c>
      <c r="I2450" s="7"/>
      <c r="J2450" s="10">
        <v>45860</v>
      </c>
      <c r="K2450" s="7" t="s">
        <v>7164</v>
      </c>
      <c r="L2450" s="7"/>
      <c r="M2450" s="7"/>
    </row>
    <row r="2451" spans="1:13" x14ac:dyDescent="0.3">
      <c r="A2451" s="7">
        <v>17743</v>
      </c>
      <c r="B2451" s="7" t="s">
        <v>2459</v>
      </c>
      <c r="C2451" s="7" t="s">
        <v>6634</v>
      </c>
      <c r="D2451" s="7" t="s">
        <v>6640</v>
      </c>
      <c r="E2451" s="7" t="s">
        <v>6295</v>
      </c>
      <c r="F2451" s="7" t="s">
        <v>6485</v>
      </c>
      <c r="G2451" s="7" t="s">
        <v>7150</v>
      </c>
      <c r="H2451" s="7" t="s">
        <v>7156</v>
      </c>
      <c r="I2451" s="7"/>
      <c r="J2451" s="10">
        <v>45860</v>
      </c>
      <c r="K2451" s="7" t="s">
        <v>7164</v>
      </c>
      <c r="L2451" s="7"/>
      <c r="M2451" s="7"/>
    </row>
    <row r="2452" spans="1:13" x14ac:dyDescent="0.3">
      <c r="A2452" s="7">
        <v>14356</v>
      </c>
      <c r="B2452" s="7" t="s">
        <v>2460</v>
      </c>
      <c r="C2452" s="7" t="s">
        <v>6634</v>
      </c>
      <c r="D2452" s="7" t="s">
        <v>6640</v>
      </c>
      <c r="E2452" s="7" t="s">
        <v>6295</v>
      </c>
      <c r="F2452" s="7" t="s">
        <v>6485</v>
      </c>
      <c r="G2452" s="7" t="s">
        <v>7150</v>
      </c>
      <c r="H2452" s="7" t="s">
        <v>7156</v>
      </c>
      <c r="I2452" s="7"/>
      <c r="J2452" s="10">
        <v>44743</v>
      </c>
      <c r="K2452" s="7" t="s">
        <v>7164</v>
      </c>
      <c r="L2452" s="7"/>
      <c r="M2452" s="7"/>
    </row>
    <row r="2453" spans="1:13" x14ac:dyDescent="0.3">
      <c r="A2453" s="7">
        <v>17393</v>
      </c>
      <c r="B2453" s="7" t="s">
        <v>2461</v>
      </c>
      <c r="C2453" s="7" t="s">
        <v>6634</v>
      </c>
      <c r="D2453" s="7" t="s">
        <v>6640</v>
      </c>
      <c r="E2453" s="7" t="s">
        <v>6295</v>
      </c>
      <c r="F2453" s="7" t="s">
        <v>6485</v>
      </c>
      <c r="G2453" s="7" t="s">
        <v>7150</v>
      </c>
      <c r="H2453" s="7" t="s">
        <v>7156</v>
      </c>
      <c r="I2453" s="7"/>
      <c r="J2453" s="10">
        <v>45733</v>
      </c>
      <c r="K2453" s="7" t="s">
        <v>7164</v>
      </c>
      <c r="L2453" s="7"/>
      <c r="M2453" s="7"/>
    </row>
    <row r="2454" spans="1:13" x14ac:dyDescent="0.3">
      <c r="A2454" s="7">
        <v>118028</v>
      </c>
      <c r="B2454" s="7" t="s">
        <v>2462</v>
      </c>
      <c r="C2454" s="7" t="s">
        <v>6634</v>
      </c>
      <c r="D2454" s="7" t="s">
        <v>6640</v>
      </c>
      <c r="E2454" s="7" t="s">
        <v>6295</v>
      </c>
      <c r="F2454" s="7" t="s">
        <v>6485</v>
      </c>
      <c r="G2454" s="7" t="s">
        <v>7150</v>
      </c>
      <c r="H2454" s="7" t="s">
        <v>7156</v>
      </c>
      <c r="I2454" s="7"/>
      <c r="J2454" s="10">
        <v>43572</v>
      </c>
      <c r="K2454" s="7" t="s">
        <v>7164</v>
      </c>
      <c r="L2454" s="7"/>
      <c r="M2454" s="7"/>
    </row>
    <row r="2455" spans="1:13" x14ac:dyDescent="0.3">
      <c r="A2455" s="7">
        <v>15671</v>
      </c>
      <c r="B2455" s="7" t="s">
        <v>2463</v>
      </c>
      <c r="C2455" s="7" t="s">
        <v>6634</v>
      </c>
      <c r="D2455" s="7" t="s">
        <v>6640</v>
      </c>
      <c r="E2455" s="7" t="s">
        <v>6295</v>
      </c>
      <c r="F2455" s="7" t="s">
        <v>6485</v>
      </c>
      <c r="G2455" s="7" t="s">
        <v>7150</v>
      </c>
      <c r="H2455" s="7" t="s">
        <v>7156</v>
      </c>
      <c r="I2455" s="7"/>
      <c r="J2455" s="10">
        <v>45161</v>
      </c>
      <c r="K2455" s="7" t="s">
        <v>7164</v>
      </c>
      <c r="L2455" s="7"/>
      <c r="M2455" s="7"/>
    </row>
    <row r="2456" spans="1:13" x14ac:dyDescent="0.3">
      <c r="A2456" s="7">
        <v>16093</v>
      </c>
      <c r="B2456" s="7" t="s">
        <v>2464</v>
      </c>
      <c r="C2456" s="7" t="s">
        <v>6634</v>
      </c>
      <c r="D2456" s="7" t="s">
        <v>6640</v>
      </c>
      <c r="E2456" s="7" t="s">
        <v>6295</v>
      </c>
      <c r="F2456" s="7" t="s">
        <v>6485</v>
      </c>
      <c r="G2456" s="7" t="s">
        <v>7150</v>
      </c>
      <c r="H2456" s="7" t="s">
        <v>7156</v>
      </c>
      <c r="I2456" s="7"/>
      <c r="J2456" s="10">
        <v>45281</v>
      </c>
      <c r="K2456" s="7" t="s">
        <v>7164</v>
      </c>
      <c r="L2456" s="7"/>
      <c r="M2456" s="7"/>
    </row>
    <row r="2457" spans="1:13" x14ac:dyDescent="0.3">
      <c r="A2457" s="7">
        <v>13405</v>
      </c>
      <c r="B2457" s="7" t="s">
        <v>2465</v>
      </c>
      <c r="C2457" s="7" t="s">
        <v>6636</v>
      </c>
      <c r="D2457" s="7" t="s">
        <v>6638</v>
      </c>
      <c r="E2457" s="7" t="s">
        <v>6295</v>
      </c>
      <c r="F2457" s="7" t="s">
        <v>6485</v>
      </c>
      <c r="G2457" s="7" t="s">
        <v>7150</v>
      </c>
      <c r="H2457" s="7" t="s">
        <v>7156</v>
      </c>
      <c r="I2457" s="7"/>
      <c r="J2457" s="10">
        <v>44427</v>
      </c>
      <c r="K2457" s="7" t="s">
        <v>7164</v>
      </c>
      <c r="L2457" s="7"/>
      <c r="M2457" s="7"/>
    </row>
    <row r="2458" spans="1:13" x14ac:dyDescent="0.3">
      <c r="A2458" s="7">
        <v>13420</v>
      </c>
      <c r="B2458" s="7" t="s">
        <v>2466</v>
      </c>
      <c r="C2458" s="7" t="s">
        <v>6634</v>
      </c>
      <c r="D2458" s="7" t="s">
        <v>6640</v>
      </c>
      <c r="E2458" s="7" t="s">
        <v>6295</v>
      </c>
      <c r="F2458" s="7" t="s">
        <v>6485</v>
      </c>
      <c r="G2458" s="7" t="s">
        <v>7150</v>
      </c>
      <c r="H2458" s="7" t="s">
        <v>7156</v>
      </c>
      <c r="I2458" s="7"/>
      <c r="J2458" s="10">
        <v>44442</v>
      </c>
      <c r="K2458" s="7" t="s">
        <v>7164</v>
      </c>
      <c r="L2458" s="7"/>
      <c r="M2458" s="7"/>
    </row>
    <row r="2459" spans="1:13" x14ac:dyDescent="0.3">
      <c r="A2459" s="7">
        <v>137005</v>
      </c>
      <c r="B2459" s="7" t="s">
        <v>2467</v>
      </c>
      <c r="C2459" s="7" t="s">
        <v>6634</v>
      </c>
      <c r="D2459" s="7" t="s">
        <v>6640</v>
      </c>
      <c r="E2459" s="7" t="s">
        <v>6295</v>
      </c>
      <c r="F2459" s="7" t="s">
        <v>6414</v>
      </c>
      <c r="G2459" s="7" t="s">
        <v>7150</v>
      </c>
      <c r="H2459" s="7" t="s">
        <v>7156</v>
      </c>
      <c r="I2459" s="7"/>
      <c r="J2459" s="10">
        <v>44320</v>
      </c>
      <c r="K2459" s="7" t="s">
        <v>7164</v>
      </c>
      <c r="L2459" s="7"/>
      <c r="M2459" s="7"/>
    </row>
    <row r="2460" spans="1:13" x14ac:dyDescent="0.3">
      <c r="A2460" s="7">
        <v>11605</v>
      </c>
      <c r="B2460" s="7" t="s">
        <v>2468</v>
      </c>
      <c r="C2460" s="7" t="s">
        <v>6634</v>
      </c>
      <c r="D2460" s="7" t="s">
        <v>6295</v>
      </c>
      <c r="E2460" s="7" t="s">
        <v>6295</v>
      </c>
      <c r="F2460" s="7" t="s">
        <v>6637</v>
      </c>
      <c r="G2460" s="7" t="s">
        <v>7150</v>
      </c>
      <c r="H2460" s="7" t="s">
        <v>7156</v>
      </c>
      <c r="I2460" s="7"/>
      <c r="J2460" s="10">
        <v>42900</v>
      </c>
      <c r="K2460" s="7" t="s">
        <v>7164</v>
      </c>
      <c r="L2460" s="7"/>
      <c r="M2460" s="7"/>
    </row>
    <row r="2461" spans="1:13" x14ac:dyDescent="0.3">
      <c r="A2461" s="7">
        <v>16737</v>
      </c>
      <c r="B2461" s="7" t="s">
        <v>2469</v>
      </c>
      <c r="C2461" s="7" t="s">
        <v>6634</v>
      </c>
      <c r="D2461" s="7" t="s">
        <v>6640</v>
      </c>
      <c r="E2461" s="7" t="s">
        <v>6295</v>
      </c>
      <c r="F2461" s="7" t="s">
        <v>6485</v>
      </c>
      <c r="G2461" s="7" t="s">
        <v>7150</v>
      </c>
      <c r="H2461" s="7" t="s">
        <v>7156</v>
      </c>
      <c r="I2461" s="7"/>
      <c r="J2461" s="10">
        <v>45537</v>
      </c>
      <c r="K2461" s="7" t="s">
        <v>7164</v>
      </c>
      <c r="L2461" s="7"/>
      <c r="M2461" s="7"/>
    </row>
    <row r="2462" spans="1:13" x14ac:dyDescent="0.3">
      <c r="A2462" s="7">
        <v>17499</v>
      </c>
      <c r="B2462" s="7" t="s">
        <v>2470</v>
      </c>
      <c r="C2462" s="7" t="s">
        <v>6634</v>
      </c>
      <c r="D2462" s="7" t="s">
        <v>6640</v>
      </c>
      <c r="E2462" s="7" t="s">
        <v>6295</v>
      </c>
      <c r="F2462" s="7" t="s">
        <v>6485</v>
      </c>
      <c r="G2462" s="7" t="s">
        <v>7150</v>
      </c>
      <c r="H2462" s="7" t="s">
        <v>7156</v>
      </c>
      <c r="I2462" s="7"/>
      <c r="J2462" s="10">
        <v>45771</v>
      </c>
      <c r="K2462" s="7" t="s">
        <v>7164</v>
      </c>
      <c r="L2462" s="7"/>
      <c r="M2462" s="7"/>
    </row>
    <row r="2463" spans="1:13" x14ac:dyDescent="0.3">
      <c r="A2463" s="7">
        <v>16738</v>
      </c>
      <c r="B2463" s="7" t="s">
        <v>2471</v>
      </c>
      <c r="C2463" s="7" t="s">
        <v>6634</v>
      </c>
      <c r="D2463" s="7" t="s">
        <v>6640</v>
      </c>
      <c r="E2463" s="7" t="s">
        <v>6295</v>
      </c>
      <c r="F2463" s="7" t="s">
        <v>6485</v>
      </c>
      <c r="G2463" s="7" t="s">
        <v>7150</v>
      </c>
      <c r="H2463" s="7" t="s">
        <v>7156</v>
      </c>
      <c r="I2463" s="7"/>
      <c r="J2463" s="10">
        <v>45544</v>
      </c>
      <c r="K2463" s="7" t="s">
        <v>7164</v>
      </c>
      <c r="L2463" s="7"/>
      <c r="M2463" s="7"/>
    </row>
    <row r="2464" spans="1:13" x14ac:dyDescent="0.3">
      <c r="A2464" s="7">
        <v>16430</v>
      </c>
      <c r="B2464" s="7" t="s">
        <v>2472</v>
      </c>
      <c r="C2464" s="7" t="s">
        <v>6642</v>
      </c>
      <c r="D2464" s="7" t="s">
        <v>6295</v>
      </c>
      <c r="E2464" s="7" t="s">
        <v>6295</v>
      </c>
      <c r="F2464" s="7" t="s">
        <v>6485</v>
      </c>
      <c r="G2464" s="7" t="s">
        <v>7150</v>
      </c>
      <c r="H2464" s="7" t="s">
        <v>7156</v>
      </c>
      <c r="I2464" s="7"/>
      <c r="J2464" s="10">
        <v>45387</v>
      </c>
      <c r="K2464" s="7" t="s">
        <v>7164</v>
      </c>
      <c r="L2464" s="7"/>
      <c r="M2464" s="7"/>
    </row>
    <row r="2465" spans="1:13" x14ac:dyDescent="0.3">
      <c r="A2465" s="7">
        <v>11254</v>
      </c>
      <c r="B2465" s="7" t="s">
        <v>2473</v>
      </c>
      <c r="C2465" s="7" t="s">
        <v>6634</v>
      </c>
      <c r="D2465" s="7" t="s">
        <v>6640</v>
      </c>
      <c r="E2465" s="7" t="s">
        <v>6295</v>
      </c>
      <c r="F2465" s="7" t="s">
        <v>6414</v>
      </c>
      <c r="G2465" s="7" t="s">
        <v>7150</v>
      </c>
      <c r="H2465" s="7" t="s">
        <v>7156</v>
      </c>
      <c r="I2465" s="7"/>
      <c r="J2465" s="10">
        <v>42471</v>
      </c>
      <c r="K2465" s="7" t="s">
        <v>7164</v>
      </c>
      <c r="L2465" s="7"/>
      <c r="M2465" s="7"/>
    </row>
    <row r="2466" spans="1:13" x14ac:dyDescent="0.3">
      <c r="A2466" s="7">
        <v>230047</v>
      </c>
      <c r="B2466" s="7" t="s">
        <v>2474</v>
      </c>
      <c r="C2466" s="7" t="s">
        <v>6634</v>
      </c>
      <c r="D2466" s="7" t="s">
        <v>6640</v>
      </c>
      <c r="E2466" s="7" t="s">
        <v>6295</v>
      </c>
      <c r="F2466" s="7" t="s">
        <v>6485</v>
      </c>
      <c r="G2466" s="7" t="s">
        <v>7150</v>
      </c>
      <c r="H2466" s="7" t="s">
        <v>7156</v>
      </c>
      <c r="I2466" s="7"/>
      <c r="J2466" s="10">
        <v>44580</v>
      </c>
      <c r="K2466" s="7" t="s">
        <v>7164</v>
      </c>
      <c r="L2466" s="7"/>
      <c r="M2466" s="7"/>
    </row>
    <row r="2467" spans="1:13" x14ac:dyDescent="0.3">
      <c r="A2467" s="7">
        <v>14011</v>
      </c>
      <c r="B2467" s="7" t="s">
        <v>2475</v>
      </c>
      <c r="C2467" s="7" t="s">
        <v>6634</v>
      </c>
      <c r="D2467" s="7" t="s">
        <v>6640</v>
      </c>
      <c r="E2467" s="7" t="s">
        <v>6295</v>
      </c>
      <c r="F2467" s="7" t="s">
        <v>6485</v>
      </c>
      <c r="G2467" s="7" t="s">
        <v>7150</v>
      </c>
      <c r="H2467" s="7" t="s">
        <v>7156</v>
      </c>
      <c r="I2467" s="7"/>
      <c r="J2467" s="10">
        <v>44624</v>
      </c>
      <c r="K2467" s="7" t="s">
        <v>7164</v>
      </c>
      <c r="L2467" s="7"/>
      <c r="M2467" s="7"/>
    </row>
    <row r="2468" spans="1:13" x14ac:dyDescent="0.3">
      <c r="A2468" s="7">
        <v>14009</v>
      </c>
      <c r="B2468" s="7" t="s">
        <v>2476</v>
      </c>
      <c r="C2468" s="7" t="s">
        <v>6634</v>
      </c>
      <c r="D2468" s="7" t="s">
        <v>6640</v>
      </c>
      <c r="E2468" s="7" t="s">
        <v>6295</v>
      </c>
      <c r="F2468" s="7" t="s">
        <v>6485</v>
      </c>
      <c r="G2468" s="7" t="s">
        <v>7150</v>
      </c>
      <c r="H2468" s="7" t="s">
        <v>7156</v>
      </c>
      <c r="I2468" s="7"/>
      <c r="J2468" s="10">
        <v>44624</v>
      </c>
      <c r="K2468" s="7" t="s">
        <v>7164</v>
      </c>
      <c r="L2468" s="7"/>
      <c r="M2468" s="7"/>
    </row>
    <row r="2469" spans="1:13" x14ac:dyDescent="0.3">
      <c r="A2469" s="7">
        <v>14010</v>
      </c>
      <c r="B2469" s="7" t="s">
        <v>2477</v>
      </c>
      <c r="C2469" s="7" t="s">
        <v>6634</v>
      </c>
      <c r="D2469" s="7" t="s">
        <v>6640</v>
      </c>
      <c r="E2469" s="7" t="s">
        <v>6295</v>
      </c>
      <c r="F2469" s="7" t="s">
        <v>6485</v>
      </c>
      <c r="G2469" s="7" t="s">
        <v>7150</v>
      </c>
      <c r="H2469" s="7" t="s">
        <v>7156</v>
      </c>
      <c r="I2469" s="7"/>
      <c r="J2469" s="10">
        <v>44624</v>
      </c>
      <c r="K2469" s="7" t="s">
        <v>7164</v>
      </c>
      <c r="L2469" s="7"/>
      <c r="M2469" s="7"/>
    </row>
    <row r="2470" spans="1:13" x14ac:dyDescent="0.3">
      <c r="A2470" s="7">
        <v>12211</v>
      </c>
      <c r="B2470" s="7" t="s">
        <v>2478</v>
      </c>
      <c r="C2470" s="7" t="s">
        <v>6634</v>
      </c>
      <c r="D2470" s="7" t="s">
        <v>6640</v>
      </c>
      <c r="E2470" s="7" t="s">
        <v>6295</v>
      </c>
      <c r="F2470" s="7" t="s">
        <v>6485</v>
      </c>
      <c r="G2470" s="7" t="s">
        <v>7150</v>
      </c>
      <c r="H2470" s="7" t="s">
        <v>7156</v>
      </c>
      <c r="I2470" s="7"/>
      <c r="J2470" s="10">
        <v>43593</v>
      </c>
      <c r="K2470" s="7" t="s">
        <v>7164</v>
      </c>
      <c r="L2470" s="7"/>
      <c r="M2470" s="7"/>
    </row>
    <row r="2471" spans="1:13" x14ac:dyDescent="0.3">
      <c r="A2471" s="7">
        <v>17095</v>
      </c>
      <c r="B2471" s="7" t="s">
        <v>2479</v>
      </c>
      <c r="C2471" s="7" t="s">
        <v>6634</v>
      </c>
      <c r="D2471" s="7" t="s">
        <v>6640</v>
      </c>
      <c r="E2471" s="7" t="s">
        <v>6295</v>
      </c>
      <c r="F2471" s="7" t="s">
        <v>6485</v>
      </c>
      <c r="G2471" s="7" t="s">
        <v>7150</v>
      </c>
      <c r="H2471" s="7" t="s">
        <v>7156</v>
      </c>
      <c r="I2471" s="7"/>
      <c r="J2471" s="10">
        <v>45624</v>
      </c>
      <c r="K2471" s="7" t="s">
        <v>7164</v>
      </c>
      <c r="L2471" s="7"/>
      <c r="M2471" s="7"/>
    </row>
    <row r="2472" spans="1:13" x14ac:dyDescent="0.3">
      <c r="A2472" s="7">
        <v>12077</v>
      </c>
      <c r="B2472" s="7" t="s">
        <v>2480</v>
      </c>
      <c r="C2472" s="7" t="s">
        <v>6634</v>
      </c>
      <c r="D2472" s="7" t="s">
        <v>6640</v>
      </c>
      <c r="E2472" s="7" t="s">
        <v>6295</v>
      </c>
      <c r="F2472" s="7" t="s">
        <v>6414</v>
      </c>
      <c r="G2472" s="7" t="s">
        <v>7150</v>
      </c>
      <c r="H2472" s="7" t="s">
        <v>7156</v>
      </c>
      <c r="I2472" s="7"/>
      <c r="J2472" s="10">
        <v>43447</v>
      </c>
      <c r="K2472" s="7" t="s">
        <v>7164</v>
      </c>
      <c r="L2472" s="7"/>
      <c r="M2472" s="7"/>
    </row>
    <row r="2473" spans="1:13" x14ac:dyDescent="0.3">
      <c r="A2473" s="7">
        <v>17264</v>
      </c>
      <c r="B2473" s="7" t="s">
        <v>2481</v>
      </c>
      <c r="C2473" s="7" t="s">
        <v>6634</v>
      </c>
      <c r="D2473" s="7" t="s">
        <v>6640</v>
      </c>
      <c r="E2473" s="7" t="s">
        <v>6295</v>
      </c>
      <c r="F2473" s="7" t="s">
        <v>6485</v>
      </c>
      <c r="G2473" s="7" t="s">
        <v>7150</v>
      </c>
      <c r="H2473" s="7" t="s">
        <v>7156</v>
      </c>
      <c r="I2473" s="7"/>
      <c r="J2473" s="10">
        <v>45691</v>
      </c>
      <c r="K2473" s="7" t="s">
        <v>7164</v>
      </c>
      <c r="L2473" s="7"/>
      <c r="M2473" s="7"/>
    </row>
    <row r="2474" spans="1:13" x14ac:dyDescent="0.3">
      <c r="A2474" s="7">
        <v>18054</v>
      </c>
      <c r="B2474" s="7" t="s">
        <v>2482</v>
      </c>
      <c r="C2474" s="7" t="s">
        <v>6634</v>
      </c>
      <c r="D2474" s="7" t="s">
        <v>6640</v>
      </c>
      <c r="E2474" s="7" t="s">
        <v>6295</v>
      </c>
      <c r="F2474" s="7" t="s">
        <v>6485</v>
      </c>
      <c r="G2474" s="7" t="s">
        <v>7150</v>
      </c>
      <c r="H2474" s="7" t="s">
        <v>7156</v>
      </c>
      <c r="I2474" s="7"/>
      <c r="J2474" s="10">
        <v>45979</v>
      </c>
      <c r="K2474" s="7" t="s">
        <v>7164</v>
      </c>
      <c r="L2474" s="7"/>
      <c r="M2474" s="7"/>
    </row>
    <row r="2475" spans="1:13" x14ac:dyDescent="0.3">
      <c r="A2475" s="7">
        <v>18789</v>
      </c>
      <c r="B2475" s="7" t="s">
        <v>2483</v>
      </c>
      <c r="C2475" s="7" t="s">
        <v>6634</v>
      </c>
      <c r="D2475" s="7" t="s">
        <v>6640</v>
      </c>
      <c r="E2475" s="7" t="s">
        <v>6295</v>
      </c>
      <c r="F2475" s="7" t="s">
        <v>6485</v>
      </c>
      <c r="G2475" s="7" t="s">
        <v>7150</v>
      </c>
      <c r="H2475" s="7" t="s">
        <v>7156</v>
      </c>
      <c r="I2475" s="7"/>
      <c r="J2475" s="10">
        <v>46217</v>
      </c>
      <c r="K2475" s="7" t="s">
        <v>7164</v>
      </c>
      <c r="L2475" s="7"/>
      <c r="M2475" s="7"/>
    </row>
    <row r="2476" spans="1:13" x14ac:dyDescent="0.3">
      <c r="A2476" s="7">
        <v>17108</v>
      </c>
      <c r="B2476" s="7" t="s">
        <v>2484</v>
      </c>
      <c r="C2476" s="7" t="s">
        <v>6634</v>
      </c>
      <c r="D2476" s="7" t="s">
        <v>6640</v>
      </c>
      <c r="E2476" s="7" t="s">
        <v>6295</v>
      </c>
      <c r="F2476" s="7" t="s">
        <v>6485</v>
      </c>
      <c r="G2476" s="7" t="s">
        <v>7150</v>
      </c>
      <c r="H2476" s="7" t="s">
        <v>7156</v>
      </c>
      <c r="I2476" s="7"/>
      <c r="J2476" s="10">
        <v>45636</v>
      </c>
      <c r="K2476" s="7" t="s">
        <v>7164</v>
      </c>
      <c r="L2476" s="7"/>
      <c r="M2476" s="7"/>
    </row>
    <row r="2477" spans="1:13" x14ac:dyDescent="0.3">
      <c r="A2477" s="7">
        <v>17094</v>
      </c>
      <c r="B2477" s="7" t="s">
        <v>2485</v>
      </c>
      <c r="C2477" s="7" t="s">
        <v>6642</v>
      </c>
      <c r="D2477" s="7" t="s">
        <v>6295</v>
      </c>
      <c r="E2477" s="7" t="s">
        <v>6295</v>
      </c>
      <c r="F2477" s="7" t="s">
        <v>6485</v>
      </c>
      <c r="G2477" s="7" t="s">
        <v>7150</v>
      </c>
      <c r="H2477" s="7" t="s">
        <v>7156</v>
      </c>
      <c r="I2477" s="7"/>
      <c r="J2477" s="10">
        <v>45624</v>
      </c>
      <c r="K2477" s="7" t="s">
        <v>7164</v>
      </c>
      <c r="L2477" s="7"/>
      <c r="M2477" s="7"/>
    </row>
    <row r="2478" spans="1:13" x14ac:dyDescent="0.3">
      <c r="A2478" s="7">
        <v>12060</v>
      </c>
      <c r="B2478" s="7" t="s">
        <v>2486</v>
      </c>
      <c r="C2478" s="7" t="s">
        <v>6634</v>
      </c>
      <c r="D2478" s="7" t="s">
        <v>6640</v>
      </c>
      <c r="E2478" s="7" t="s">
        <v>6295</v>
      </c>
      <c r="F2478" s="7" t="s">
        <v>6485</v>
      </c>
      <c r="G2478" s="7" t="s">
        <v>7150</v>
      </c>
      <c r="H2478" s="7" t="s">
        <v>7156</v>
      </c>
      <c r="I2478" s="7"/>
      <c r="J2478" s="10">
        <v>43437</v>
      </c>
      <c r="K2478" s="7" t="s">
        <v>7164</v>
      </c>
      <c r="L2478" s="7"/>
      <c r="M2478" s="7"/>
    </row>
    <row r="2479" spans="1:13" x14ac:dyDescent="0.3">
      <c r="A2479" s="7">
        <v>730042</v>
      </c>
      <c r="B2479" s="7" t="s">
        <v>2487</v>
      </c>
      <c r="C2479" s="7" t="s">
        <v>6634</v>
      </c>
      <c r="D2479" s="7" t="s">
        <v>6640</v>
      </c>
      <c r="E2479" s="7" t="s">
        <v>6295</v>
      </c>
      <c r="F2479" s="7" t="s">
        <v>6485</v>
      </c>
      <c r="G2479" s="7" t="s">
        <v>7150</v>
      </c>
      <c r="H2479" s="7" t="s">
        <v>7156</v>
      </c>
      <c r="I2479" s="7"/>
      <c r="J2479" s="10">
        <v>43892</v>
      </c>
      <c r="K2479" s="7" t="s">
        <v>7164</v>
      </c>
      <c r="L2479" s="7"/>
      <c r="M2479" s="7"/>
    </row>
    <row r="2480" spans="1:13" x14ac:dyDescent="0.3">
      <c r="A2480" s="7">
        <v>220026</v>
      </c>
      <c r="B2480" s="7" t="s">
        <v>2488</v>
      </c>
      <c r="C2480" s="7" t="s">
        <v>6634</v>
      </c>
      <c r="D2480" s="7" t="s">
        <v>6640</v>
      </c>
      <c r="E2480" s="7" t="s">
        <v>6295</v>
      </c>
      <c r="F2480" s="7" t="s">
        <v>6414</v>
      </c>
      <c r="G2480" s="7" t="s">
        <v>7150</v>
      </c>
      <c r="H2480" s="7" t="s">
        <v>7156</v>
      </c>
      <c r="I2480" s="7"/>
      <c r="J2480" s="10">
        <v>43238</v>
      </c>
      <c r="K2480" s="7" t="s">
        <v>7164</v>
      </c>
      <c r="L2480" s="7"/>
      <c r="M2480" s="7"/>
    </row>
    <row r="2481" spans="1:13" x14ac:dyDescent="0.3">
      <c r="A2481" s="7">
        <v>11816</v>
      </c>
      <c r="B2481" s="7" t="s">
        <v>2489</v>
      </c>
      <c r="C2481" s="7" t="s">
        <v>6634</v>
      </c>
      <c r="D2481" s="7" t="s">
        <v>6640</v>
      </c>
      <c r="E2481" s="7" t="s">
        <v>6295</v>
      </c>
      <c r="F2481" s="7" t="s">
        <v>6485</v>
      </c>
      <c r="G2481" s="7" t="s">
        <v>7150</v>
      </c>
      <c r="H2481" s="7" t="s">
        <v>7156</v>
      </c>
      <c r="I2481" s="7"/>
      <c r="J2481" s="10">
        <v>43160</v>
      </c>
      <c r="K2481" s="7" t="s">
        <v>7164</v>
      </c>
      <c r="L2481" s="7"/>
      <c r="M2481" s="7"/>
    </row>
    <row r="2482" spans="1:13" x14ac:dyDescent="0.3">
      <c r="A2482" s="7">
        <v>900052</v>
      </c>
      <c r="B2482" s="7" t="s">
        <v>2490</v>
      </c>
      <c r="C2482" s="7" t="s">
        <v>6634</v>
      </c>
      <c r="D2482" s="7" t="s">
        <v>6640</v>
      </c>
      <c r="E2482" s="7" t="s">
        <v>6295</v>
      </c>
      <c r="F2482" s="7" t="s">
        <v>6485</v>
      </c>
      <c r="G2482" s="7" t="s">
        <v>7150</v>
      </c>
      <c r="H2482" s="7" t="s">
        <v>7156</v>
      </c>
      <c r="I2482" s="7"/>
      <c r="J2482" s="10">
        <v>44400</v>
      </c>
      <c r="K2482" s="7" t="s">
        <v>7164</v>
      </c>
      <c r="L2482" s="7"/>
      <c r="M2482" s="7"/>
    </row>
    <row r="2483" spans="1:13" x14ac:dyDescent="0.3">
      <c r="A2483" s="7">
        <v>15658</v>
      </c>
      <c r="B2483" s="7" t="s">
        <v>2491</v>
      </c>
      <c r="C2483" s="7" t="s">
        <v>6634</v>
      </c>
      <c r="D2483" s="7" t="s">
        <v>6640</v>
      </c>
      <c r="E2483" s="7" t="s">
        <v>6295</v>
      </c>
      <c r="F2483" s="7" t="s">
        <v>6485</v>
      </c>
      <c r="G2483" s="7" t="s">
        <v>7150</v>
      </c>
      <c r="H2483" s="7" t="s">
        <v>7156</v>
      </c>
      <c r="I2483" s="7"/>
      <c r="J2483" s="10">
        <v>45155</v>
      </c>
      <c r="K2483" s="7" t="s">
        <v>7164</v>
      </c>
      <c r="L2483" s="7"/>
      <c r="M2483" s="7"/>
    </row>
    <row r="2484" spans="1:13" x14ac:dyDescent="0.3">
      <c r="A2484" s="7">
        <v>16427</v>
      </c>
      <c r="B2484" s="7" t="s">
        <v>2492</v>
      </c>
      <c r="C2484" s="7" t="s">
        <v>6634</v>
      </c>
      <c r="D2484" s="7" t="s">
        <v>6640</v>
      </c>
      <c r="E2484" s="7" t="s">
        <v>6295</v>
      </c>
      <c r="F2484" s="7" t="s">
        <v>6485</v>
      </c>
      <c r="G2484" s="7" t="s">
        <v>7150</v>
      </c>
      <c r="H2484" s="7" t="s">
        <v>7156</v>
      </c>
      <c r="I2484" s="7"/>
      <c r="J2484" s="10">
        <v>45387</v>
      </c>
      <c r="K2484" s="7" t="s">
        <v>7164</v>
      </c>
      <c r="L2484" s="7"/>
      <c r="M2484" s="7"/>
    </row>
    <row r="2485" spans="1:13" x14ac:dyDescent="0.3">
      <c r="A2485" s="7">
        <v>500033</v>
      </c>
      <c r="B2485" s="7" t="s">
        <v>2493</v>
      </c>
      <c r="C2485" s="7" t="s">
        <v>6634</v>
      </c>
      <c r="D2485" s="7" t="s">
        <v>6640</v>
      </c>
      <c r="E2485" s="7" t="s">
        <v>6295</v>
      </c>
      <c r="F2485" s="7" t="s">
        <v>6485</v>
      </c>
      <c r="G2485" s="7" t="s">
        <v>7151</v>
      </c>
      <c r="H2485" s="7" t="s">
        <v>7156</v>
      </c>
      <c r="I2485" s="7"/>
      <c r="J2485" s="10">
        <v>42405</v>
      </c>
      <c r="K2485" s="7" t="s">
        <v>7164</v>
      </c>
      <c r="L2485" s="7"/>
      <c r="M2485" s="7"/>
    </row>
    <row r="2486" spans="1:13" x14ac:dyDescent="0.3">
      <c r="A2486" s="7">
        <v>17678</v>
      </c>
      <c r="B2486" s="7" t="s">
        <v>2494</v>
      </c>
      <c r="C2486" s="7" t="s">
        <v>6634</v>
      </c>
      <c r="D2486" s="7" t="s">
        <v>6640</v>
      </c>
      <c r="E2486" s="7" t="s">
        <v>6295</v>
      </c>
      <c r="F2486" s="7" t="s">
        <v>6649</v>
      </c>
      <c r="G2486" s="7" t="s">
        <v>7150</v>
      </c>
      <c r="H2486" s="7" t="s">
        <v>7157</v>
      </c>
      <c r="I2486" s="7"/>
      <c r="J2486" s="10">
        <v>45842</v>
      </c>
      <c r="K2486" s="7" t="s">
        <v>7164</v>
      </c>
      <c r="L2486" s="7"/>
      <c r="M2486" s="7"/>
    </row>
    <row r="2487" spans="1:13" x14ac:dyDescent="0.3">
      <c r="A2487" s="7">
        <v>12254</v>
      </c>
      <c r="B2487" s="7" t="s">
        <v>2495</v>
      </c>
      <c r="C2487" s="7" t="s">
        <v>6634</v>
      </c>
      <c r="D2487" s="7" t="s">
        <v>6640</v>
      </c>
      <c r="E2487" s="7" t="s">
        <v>6295</v>
      </c>
      <c r="F2487" s="7" t="s">
        <v>6485</v>
      </c>
      <c r="G2487" s="7" t="s">
        <v>7150</v>
      </c>
      <c r="H2487" s="7" t="s">
        <v>7156</v>
      </c>
      <c r="I2487" s="7"/>
      <c r="J2487" s="10">
        <v>43648</v>
      </c>
      <c r="K2487" s="7" t="s">
        <v>7164</v>
      </c>
      <c r="L2487" s="7"/>
      <c r="M2487" s="7"/>
    </row>
    <row r="2488" spans="1:13" x14ac:dyDescent="0.3">
      <c r="A2488" s="7">
        <v>13377</v>
      </c>
      <c r="B2488" s="7" t="s">
        <v>2496</v>
      </c>
      <c r="C2488" s="7" t="s">
        <v>6634</v>
      </c>
      <c r="D2488" s="7" t="s">
        <v>6640</v>
      </c>
      <c r="E2488" s="7" t="s">
        <v>6295</v>
      </c>
      <c r="F2488" s="7" t="s">
        <v>6485</v>
      </c>
      <c r="G2488" s="7" t="s">
        <v>7150</v>
      </c>
      <c r="H2488" s="7" t="s">
        <v>7156</v>
      </c>
      <c r="I2488" s="7"/>
      <c r="J2488" s="10">
        <v>44413</v>
      </c>
      <c r="K2488" s="7" t="s">
        <v>7164</v>
      </c>
      <c r="L2488" s="7"/>
      <c r="M2488" s="7"/>
    </row>
    <row r="2489" spans="1:13" x14ac:dyDescent="0.3">
      <c r="A2489" s="7">
        <v>12241</v>
      </c>
      <c r="B2489" s="7" t="s">
        <v>2497</v>
      </c>
      <c r="C2489" s="7" t="s">
        <v>6634</v>
      </c>
      <c r="D2489" s="7" t="s">
        <v>6640</v>
      </c>
      <c r="E2489" s="7" t="s">
        <v>6295</v>
      </c>
      <c r="F2489" s="7" t="s">
        <v>6414</v>
      </c>
      <c r="G2489" s="7" t="s">
        <v>7150</v>
      </c>
      <c r="H2489" s="7" t="s">
        <v>7156</v>
      </c>
      <c r="I2489" s="7"/>
      <c r="J2489" s="10">
        <v>43630</v>
      </c>
      <c r="K2489" s="7" t="s">
        <v>7164</v>
      </c>
      <c r="L2489" s="7"/>
      <c r="M2489" s="7"/>
    </row>
    <row r="2490" spans="1:13" x14ac:dyDescent="0.3">
      <c r="A2490" s="7">
        <v>11256</v>
      </c>
      <c r="B2490" s="7" t="s">
        <v>2498</v>
      </c>
      <c r="C2490" s="7" t="s">
        <v>6634</v>
      </c>
      <c r="D2490" s="7" t="s">
        <v>6640</v>
      </c>
      <c r="E2490" s="7" t="s">
        <v>6295</v>
      </c>
      <c r="F2490" s="7" t="s">
        <v>6485</v>
      </c>
      <c r="G2490" s="7" t="s">
        <v>7150</v>
      </c>
      <c r="H2490" s="7" t="s">
        <v>7156</v>
      </c>
      <c r="I2490" s="7"/>
      <c r="J2490" s="10">
        <v>42471</v>
      </c>
      <c r="K2490" s="7" t="s">
        <v>7164</v>
      </c>
      <c r="L2490" s="7"/>
      <c r="M2490" s="7"/>
    </row>
    <row r="2491" spans="1:13" x14ac:dyDescent="0.3">
      <c r="A2491" s="7">
        <v>15062</v>
      </c>
      <c r="B2491" s="7" t="s">
        <v>2499</v>
      </c>
      <c r="C2491" s="7" t="s">
        <v>6634</v>
      </c>
      <c r="D2491" s="7" t="s">
        <v>6640</v>
      </c>
      <c r="E2491" s="7" t="s">
        <v>6295</v>
      </c>
      <c r="F2491" s="7" t="s">
        <v>6485</v>
      </c>
      <c r="G2491" s="7" t="s">
        <v>7150</v>
      </c>
      <c r="H2491" s="7" t="s">
        <v>7156</v>
      </c>
      <c r="I2491" s="7"/>
      <c r="J2491" s="10">
        <v>44938</v>
      </c>
      <c r="K2491" s="7" t="s">
        <v>7164</v>
      </c>
      <c r="L2491" s="7"/>
      <c r="M2491" s="7"/>
    </row>
    <row r="2492" spans="1:13" x14ac:dyDescent="0.3">
      <c r="A2492" s="7">
        <v>16222</v>
      </c>
      <c r="B2492" s="7" t="s">
        <v>2500</v>
      </c>
      <c r="C2492" s="7" t="s">
        <v>6634</v>
      </c>
      <c r="D2492" s="7" t="s">
        <v>6640</v>
      </c>
      <c r="E2492" s="7" t="s">
        <v>6295</v>
      </c>
      <c r="F2492" s="7" t="s">
        <v>6485</v>
      </c>
      <c r="G2492" s="7" t="s">
        <v>7150</v>
      </c>
      <c r="H2492" s="7" t="s">
        <v>7156</v>
      </c>
      <c r="I2492" s="7"/>
      <c r="J2492" s="10">
        <v>45324</v>
      </c>
      <c r="K2492" s="7" t="s">
        <v>7164</v>
      </c>
      <c r="L2492" s="7"/>
      <c r="M2492" s="7"/>
    </row>
    <row r="2493" spans="1:13" x14ac:dyDescent="0.3">
      <c r="A2493" s="7">
        <v>12696</v>
      </c>
      <c r="B2493" s="7" t="s">
        <v>2501</v>
      </c>
      <c r="C2493" s="7" t="s">
        <v>6653</v>
      </c>
      <c r="D2493" s="7" t="s">
        <v>6295</v>
      </c>
      <c r="E2493" s="7" t="s">
        <v>6295</v>
      </c>
      <c r="F2493" s="7" t="s">
        <v>6353</v>
      </c>
      <c r="G2493" s="7" t="s">
        <v>7150</v>
      </c>
      <c r="H2493" s="7" t="s">
        <v>7156</v>
      </c>
      <c r="I2493" s="7"/>
      <c r="J2493" s="10">
        <v>43868</v>
      </c>
      <c r="K2493" s="7" t="s">
        <v>7164</v>
      </c>
      <c r="L2493" s="7"/>
      <c r="M2493" s="7"/>
    </row>
    <row r="2494" spans="1:13" x14ac:dyDescent="0.3">
      <c r="A2494" s="7">
        <v>15060</v>
      </c>
      <c r="B2494" s="7" t="s">
        <v>2502</v>
      </c>
      <c r="C2494" s="7" t="s">
        <v>6654</v>
      </c>
      <c r="D2494" s="7" t="s">
        <v>6295</v>
      </c>
      <c r="E2494" s="7" t="s">
        <v>6295</v>
      </c>
      <c r="F2494" s="7" t="s">
        <v>6635</v>
      </c>
      <c r="G2494" s="7" t="s">
        <v>7150</v>
      </c>
      <c r="H2494" s="7" t="s">
        <v>7156</v>
      </c>
      <c r="I2494" s="7"/>
      <c r="J2494" s="10">
        <v>44937</v>
      </c>
      <c r="K2494" s="7" t="s">
        <v>7164</v>
      </c>
      <c r="L2494" s="7"/>
      <c r="M2494" s="7"/>
    </row>
    <row r="2495" spans="1:13" x14ac:dyDescent="0.3">
      <c r="A2495" s="7">
        <v>15515</v>
      </c>
      <c r="B2495" s="7" t="s">
        <v>2503</v>
      </c>
      <c r="C2495" s="7" t="s">
        <v>6654</v>
      </c>
      <c r="D2495" s="7" t="s">
        <v>6295</v>
      </c>
      <c r="E2495" s="7" t="s">
        <v>6295</v>
      </c>
      <c r="F2495" s="7" t="s">
        <v>6648</v>
      </c>
      <c r="G2495" s="7" t="s">
        <v>7150</v>
      </c>
      <c r="H2495" s="7" t="s">
        <v>7156</v>
      </c>
      <c r="I2495" s="7"/>
      <c r="J2495" s="10">
        <v>45100</v>
      </c>
      <c r="K2495" s="7" t="s">
        <v>7164</v>
      </c>
      <c r="L2495" s="7"/>
      <c r="M2495" s="7"/>
    </row>
    <row r="2496" spans="1:13" x14ac:dyDescent="0.3">
      <c r="A2496" s="7">
        <v>17780</v>
      </c>
      <c r="B2496" s="7" t="s">
        <v>2504</v>
      </c>
      <c r="C2496" s="7" t="s">
        <v>6654</v>
      </c>
      <c r="D2496" s="7" t="s">
        <v>6295</v>
      </c>
      <c r="E2496" s="7" t="s">
        <v>6295</v>
      </c>
      <c r="F2496" s="7" t="s">
        <v>6648</v>
      </c>
      <c r="G2496" s="7" t="s">
        <v>7150</v>
      </c>
      <c r="H2496" s="7" t="s">
        <v>7156</v>
      </c>
      <c r="I2496" s="7"/>
      <c r="J2496" s="10">
        <v>45876</v>
      </c>
      <c r="K2496" s="7" t="s">
        <v>7164</v>
      </c>
      <c r="L2496" s="7"/>
      <c r="M2496" s="7"/>
    </row>
    <row r="2497" spans="1:13" x14ac:dyDescent="0.3">
      <c r="A2497" s="7">
        <v>18224</v>
      </c>
      <c r="B2497" s="7" t="s">
        <v>2505</v>
      </c>
      <c r="C2497" s="7" t="s">
        <v>6634</v>
      </c>
      <c r="D2497" s="7" t="s">
        <v>6655</v>
      </c>
      <c r="E2497" s="7" t="s">
        <v>6295</v>
      </c>
      <c r="F2497" s="7" t="s">
        <v>6648</v>
      </c>
      <c r="G2497" s="7" t="s">
        <v>7150</v>
      </c>
      <c r="H2497" s="7" t="s">
        <v>7156</v>
      </c>
      <c r="I2497" s="7"/>
      <c r="J2497" s="10">
        <v>46063</v>
      </c>
      <c r="K2497" s="7" t="s">
        <v>7164</v>
      </c>
      <c r="L2497" s="7"/>
      <c r="M2497" s="7"/>
    </row>
    <row r="2498" spans="1:13" x14ac:dyDescent="0.3">
      <c r="A2498" s="7">
        <v>16594</v>
      </c>
      <c r="B2498" s="7" t="s">
        <v>2506</v>
      </c>
      <c r="C2498" s="7" t="s">
        <v>6654</v>
      </c>
      <c r="D2498" s="7" t="s">
        <v>6295</v>
      </c>
      <c r="E2498" s="7" t="s">
        <v>6295</v>
      </c>
      <c r="F2498" s="7" t="s">
        <v>6648</v>
      </c>
      <c r="G2498" s="7" t="s">
        <v>7150</v>
      </c>
      <c r="H2498" s="7" t="s">
        <v>7156</v>
      </c>
      <c r="I2498" s="7"/>
      <c r="J2498" s="10">
        <v>45491</v>
      </c>
      <c r="K2498" s="7" t="s">
        <v>7164</v>
      </c>
      <c r="L2498" s="7"/>
      <c r="M2498" s="7"/>
    </row>
    <row r="2499" spans="1:13" x14ac:dyDescent="0.3">
      <c r="A2499" s="7">
        <v>16595</v>
      </c>
      <c r="B2499" s="7" t="s">
        <v>2507</v>
      </c>
      <c r="C2499" s="7" t="s">
        <v>6634</v>
      </c>
      <c r="D2499" s="7" t="s">
        <v>6655</v>
      </c>
      <c r="E2499" s="7" t="s">
        <v>6295</v>
      </c>
      <c r="F2499" s="7" t="s">
        <v>6648</v>
      </c>
      <c r="G2499" s="7" t="s">
        <v>7150</v>
      </c>
      <c r="H2499" s="7" t="s">
        <v>7156</v>
      </c>
      <c r="I2499" s="7"/>
      <c r="J2499" s="10">
        <v>45491</v>
      </c>
      <c r="K2499" s="7" t="s">
        <v>7164</v>
      </c>
      <c r="L2499" s="7"/>
      <c r="M2499" s="7"/>
    </row>
    <row r="2500" spans="1:13" x14ac:dyDescent="0.3">
      <c r="A2500" s="7">
        <v>15516</v>
      </c>
      <c r="B2500" s="7" t="s">
        <v>2508</v>
      </c>
      <c r="C2500" s="7" t="s">
        <v>6634</v>
      </c>
      <c r="D2500" s="7" t="s">
        <v>6655</v>
      </c>
      <c r="E2500" s="7" t="s">
        <v>6295</v>
      </c>
      <c r="F2500" s="7" t="s">
        <v>6648</v>
      </c>
      <c r="G2500" s="7" t="s">
        <v>7150</v>
      </c>
      <c r="H2500" s="7" t="s">
        <v>7156</v>
      </c>
      <c r="I2500" s="7"/>
      <c r="J2500" s="10">
        <v>45100</v>
      </c>
      <c r="K2500" s="7" t="s">
        <v>7164</v>
      </c>
      <c r="L2500" s="7"/>
      <c r="M2500" s="7"/>
    </row>
    <row r="2501" spans="1:13" x14ac:dyDescent="0.3">
      <c r="A2501" s="7">
        <v>18600</v>
      </c>
      <c r="B2501" s="7" t="s">
        <v>2509</v>
      </c>
      <c r="C2501" s="7" t="s">
        <v>6634</v>
      </c>
      <c r="D2501" s="7" t="s">
        <v>6655</v>
      </c>
      <c r="E2501" s="7" t="s">
        <v>6295</v>
      </c>
      <c r="F2501" s="7" t="s">
        <v>6648</v>
      </c>
      <c r="G2501" s="7" t="s">
        <v>7150</v>
      </c>
      <c r="H2501" s="7" t="s">
        <v>7156</v>
      </c>
      <c r="I2501" s="7"/>
      <c r="J2501" s="10">
        <v>46163</v>
      </c>
      <c r="K2501" s="7" t="s">
        <v>7164</v>
      </c>
      <c r="L2501" s="7"/>
      <c r="M2501" s="7"/>
    </row>
    <row r="2502" spans="1:13" x14ac:dyDescent="0.3">
      <c r="A2502" s="7">
        <v>17453</v>
      </c>
      <c r="B2502" s="7" t="s">
        <v>2510</v>
      </c>
      <c r="C2502" s="7" t="s">
        <v>6634</v>
      </c>
      <c r="D2502" s="7" t="s">
        <v>6655</v>
      </c>
      <c r="E2502" s="7" t="s">
        <v>6295</v>
      </c>
      <c r="F2502" s="7" t="s">
        <v>6648</v>
      </c>
      <c r="G2502" s="7" t="s">
        <v>7150</v>
      </c>
      <c r="H2502" s="7" t="s">
        <v>7156</v>
      </c>
      <c r="I2502" s="7"/>
      <c r="J2502" s="10">
        <v>45756</v>
      </c>
      <c r="K2502" s="7" t="s">
        <v>7164</v>
      </c>
      <c r="L2502" s="7"/>
      <c r="M2502" s="7"/>
    </row>
    <row r="2503" spans="1:13" x14ac:dyDescent="0.3">
      <c r="A2503" s="7">
        <v>17461</v>
      </c>
      <c r="B2503" s="7" t="s">
        <v>2511</v>
      </c>
      <c r="C2503" s="7" t="s">
        <v>6634</v>
      </c>
      <c r="D2503" s="7" t="s">
        <v>6655</v>
      </c>
      <c r="E2503" s="7" t="s">
        <v>6295</v>
      </c>
      <c r="F2503" s="7" t="s">
        <v>6648</v>
      </c>
      <c r="G2503" s="7" t="s">
        <v>7150</v>
      </c>
      <c r="H2503" s="7" t="s">
        <v>7156</v>
      </c>
      <c r="I2503" s="7"/>
      <c r="J2503" s="10">
        <v>45758</v>
      </c>
      <c r="K2503" s="7" t="s">
        <v>7164</v>
      </c>
      <c r="L2503" s="7"/>
      <c r="M2503" s="7"/>
    </row>
    <row r="2504" spans="1:13" x14ac:dyDescent="0.3">
      <c r="A2504" s="7">
        <v>18407</v>
      </c>
      <c r="B2504" s="7" t="s">
        <v>2512</v>
      </c>
      <c r="C2504" s="7" t="s">
        <v>6634</v>
      </c>
      <c r="D2504" s="7" t="s">
        <v>6655</v>
      </c>
      <c r="E2504" s="7" t="s">
        <v>6295</v>
      </c>
      <c r="F2504" s="7" t="s">
        <v>6648</v>
      </c>
      <c r="G2504" s="7" t="s">
        <v>7150</v>
      </c>
      <c r="H2504" s="7" t="s">
        <v>7156</v>
      </c>
      <c r="I2504" s="7"/>
      <c r="J2504" s="10">
        <v>46125</v>
      </c>
      <c r="K2504" s="7" t="s">
        <v>7164</v>
      </c>
      <c r="L2504" s="7"/>
      <c r="M2504" s="7"/>
    </row>
    <row r="2505" spans="1:13" x14ac:dyDescent="0.3">
      <c r="A2505" s="7">
        <v>17398</v>
      </c>
      <c r="B2505" s="7" t="s">
        <v>2513</v>
      </c>
      <c r="C2505" s="7" t="s">
        <v>6634</v>
      </c>
      <c r="D2505" s="7" t="s">
        <v>6655</v>
      </c>
      <c r="E2505" s="7" t="s">
        <v>6295</v>
      </c>
      <c r="F2505" s="7" t="s">
        <v>6648</v>
      </c>
      <c r="G2505" s="7" t="s">
        <v>7150</v>
      </c>
      <c r="H2505" s="7" t="s">
        <v>7156</v>
      </c>
      <c r="I2505" s="7"/>
      <c r="J2505" s="10">
        <v>45730</v>
      </c>
      <c r="K2505" s="7" t="s">
        <v>7164</v>
      </c>
      <c r="L2505" s="7"/>
      <c r="M2505" s="7"/>
    </row>
    <row r="2506" spans="1:13" x14ac:dyDescent="0.3">
      <c r="A2506" s="7">
        <v>18060</v>
      </c>
      <c r="B2506" s="7" t="s">
        <v>2514</v>
      </c>
      <c r="C2506" s="7" t="s">
        <v>6634</v>
      </c>
      <c r="D2506" s="7" t="s">
        <v>6655</v>
      </c>
      <c r="E2506" s="7" t="s">
        <v>6295</v>
      </c>
      <c r="F2506" s="7" t="s">
        <v>6648</v>
      </c>
      <c r="G2506" s="7" t="s">
        <v>7150</v>
      </c>
      <c r="H2506" s="7" t="s">
        <v>7156</v>
      </c>
      <c r="I2506" s="7"/>
      <c r="J2506" s="10">
        <v>45980</v>
      </c>
      <c r="K2506" s="7" t="s">
        <v>7164</v>
      </c>
      <c r="L2506" s="7"/>
      <c r="M2506" s="7"/>
    </row>
    <row r="2507" spans="1:13" x14ac:dyDescent="0.3">
      <c r="A2507" s="7">
        <v>18166</v>
      </c>
      <c r="B2507" s="7" t="s">
        <v>2515</v>
      </c>
      <c r="C2507" s="7" t="s">
        <v>6634</v>
      </c>
      <c r="D2507" s="7" t="s">
        <v>6655</v>
      </c>
      <c r="E2507" s="7" t="s">
        <v>6295</v>
      </c>
      <c r="F2507" s="7" t="s">
        <v>6656</v>
      </c>
      <c r="G2507" s="7" t="s">
        <v>7150</v>
      </c>
      <c r="H2507" s="7" t="s">
        <v>7156</v>
      </c>
      <c r="I2507" s="7"/>
      <c r="J2507" s="10">
        <v>46029</v>
      </c>
      <c r="K2507" s="7" t="s">
        <v>7164</v>
      </c>
      <c r="L2507" s="7"/>
      <c r="M2507" s="7"/>
    </row>
    <row r="2508" spans="1:13" x14ac:dyDescent="0.3">
      <c r="A2508" s="7">
        <v>18083</v>
      </c>
      <c r="B2508" s="7" t="s">
        <v>2516</v>
      </c>
      <c r="C2508" s="7" t="s">
        <v>6634</v>
      </c>
      <c r="D2508" s="7" t="s">
        <v>6655</v>
      </c>
      <c r="E2508" s="7" t="s">
        <v>6295</v>
      </c>
      <c r="F2508" s="7" t="s">
        <v>6414</v>
      </c>
      <c r="G2508" s="7" t="s">
        <v>7150</v>
      </c>
      <c r="H2508" s="7" t="s">
        <v>7156</v>
      </c>
      <c r="I2508" s="7"/>
      <c r="J2508" s="10">
        <v>45987</v>
      </c>
      <c r="K2508" s="7" t="s">
        <v>7164</v>
      </c>
      <c r="L2508" s="7"/>
      <c r="M2508" s="7"/>
    </row>
    <row r="2509" spans="1:13" x14ac:dyDescent="0.3">
      <c r="A2509" s="7">
        <v>15464</v>
      </c>
      <c r="B2509" s="7" t="s">
        <v>2517</v>
      </c>
      <c r="C2509" s="7" t="s">
        <v>6634</v>
      </c>
      <c r="D2509" s="7" t="s">
        <v>6655</v>
      </c>
      <c r="E2509" s="7" t="s">
        <v>6295</v>
      </c>
      <c r="F2509" s="7" t="s">
        <v>6648</v>
      </c>
      <c r="G2509" s="7" t="s">
        <v>7150</v>
      </c>
      <c r="H2509" s="7" t="s">
        <v>7156</v>
      </c>
      <c r="I2509" s="7"/>
      <c r="J2509" s="10">
        <v>45082</v>
      </c>
      <c r="K2509" s="7" t="s">
        <v>7164</v>
      </c>
      <c r="L2509" s="7"/>
      <c r="M2509" s="7"/>
    </row>
    <row r="2510" spans="1:13" x14ac:dyDescent="0.3">
      <c r="A2510" s="7">
        <v>13599</v>
      </c>
      <c r="B2510" s="7" t="s">
        <v>2518</v>
      </c>
      <c r="C2510" s="7" t="s">
        <v>6634</v>
      </c>
      <c r="D2510" s="7" t="s">
        <v>6655</v>
      </c>
      <c r="E2510" s="7" t="s">
        <v>6295</v>
      </c>
      <c r="F2510" s="7" t="s">
        <v>6414</v>
      </c>
      <c r="G2510" s="7" t="s">
        <v>7150</v>
      </c>
      <c r="H2510" s="7" t="s">
        <v>7156</v>
      </c>
      <c r="I2510" s="7"/>
      <c r="J2510" s="10">
        <v>44511</v>
      </c>
      <c r="K2510" s="7" t="s">
        <v>7164</v>
      </c>
      <c r="L2510" s="7"/>
      <c r="M2510" s="7"/>
    </row>
    <row r="2511" spans="1:13" x14ac:dyDescent="0.3">
      <c r="A2511" s="7">
        <v>16300</v>
      </c>
      <c r="B2511" s="7" t="s">
        <v>2519</v>
      </c>
      <c r="C2511" s="7" t="s">
        <v>6634</v>
      </c>
      <c r="D2511" s="7" t="s">
        <v>6655</v>
      </c>
      <c r="E2511" s="7" t="s">
        <v>6295</v>
      </c>
      <c r="F2511" s="7" t="s">
        <v>6648</v>
      </c>
      <c r="G2511" s="7" t="s">
        <v>7150</v>
      </c>
      <c r="H2511" s="7" t="s">
        <v>7156</v>
      </c>
      <c r="I2511" s="7"/>
      <c r="J2511" s="10">
        <v>45345</v>
      </c>
      <c r="K2511" s="7" t="s">
        <v>7164</v>
      </c>
      <c r="L2511" s="7"/>
      <c r="M2511" s="7"/>
    </row>
    <row r="2512" spans="1:13" x14ac:dyDescent="0.3">
      <c r="A2512" s="7">
        <v>15509</v>
      </c>
      <c r="B2512" s="7" t="s">
        <v>2520</v>
      </c>
      <c r="C2512" s="7" t="s">
        <v>6634</v>
      </c>
      <c r="D2512" s="7" t="s">
        <v>6655</v>
      </c>
      <c r="E2512" s="7" t="s">
        <v>6295</v>
      </c>
      <c r="F2512" s="7" t="s">
        <v>6648</v>
      </c>
      <c r="G2512" s="7" t="s">
        <v>7150</v>
      </c>
      <c r="H2512" s="7" t="s">
        <v>7156</v>
      </c>
      <c r="I2512" s="7"/>
      <c r="J2512" s="10">
        <v>45100</v>
      </c>
      <c r="K2512" s="7" t="s">
        <v>7164</v>
      </c>
      <c r="L2512" s="7"/>
      <c r="M2512" s="7"/>
    </row>
    <row r="2513" spans="1:13" x14ac:dyDescent="0.3">
      <c r="A2513" s="7">
        <v>18778</v>
      </c>
      <c r="B2513" s="7" t="s">
        <v>2521</v>
      </c>
      <c r="C2513" s="7" t="s">
        <v>6634</v>
      </c>
      <c r="D2513" s="7" t="s">
        <v>6655</v>
      </c>
      <c r="E2513" s="7" t="s">
        <v>6295</v>
      </c>
      <c r="F2513" s="7" t="s">
        <v>6648</v>
      </c>
      <c r="G2513" s="7" t="s">
        <v>7150</v>
      </c>
      <c r="H2513" s="7" t="s">
        <v>7156</v>
      </c>
      <c r="I2513" s="7"/>
      <c r="J2513" s="10">
        <v>46217</v>
      </c>
      <c r="K2513" s="7" t="s">
        <v>7164</v>
      </c>
      <c r="L2513" s="7"/>
      <c r="M2513" s="7"/>
    </row>
    <row r="2514" spans="1:13" x14ac:dyDescent="0.3">
      <c r="A2514" s="7">
        <v>14809</v>
      </c>
      <c r="B2514" s="7" t="s">
        <v>2522</v>
      </c>
      <c r="C2514" s="7" t="s">
        <v>6636</v>
      </c>
      <c r="D2514" s="7" t="s">
        <v>6657</v>
      </c>
      <c r="E2514" s="7" t="s">
        <v>6295</v>
      </c>
      <c r="F2514" s="7" t="s">
        <v>6648</v>
      </c>
      <c r="G2514" s="7" t="s">
        <v>7150</v>
      </c>
      <c r="H2514" s="7" t="s">
        <v>7156</v>
      </c>
      <c r="I2514" s="7"/>
      <c r="J2514" s="10">
        <v>44866</v>
      </c>
      <c r="K2514" s="7" t="s">
        <v>7164</v>
      </c>
      <c r="L2514" s="7"/>
      <c r="M2514" s="7"/>
    </row>
    <row r="2515" spans="1:13" x14ac:dyDescent="0.3">
      <c r="A2515" s="7">
        <v>18227</v>
      </c>
      <c r="B2515" s="7" t="s">
        <v>2523</v>
      </c>
      <c r="C2515" s="7" t="s">
        <v>6634</v>
      </c>
      <c r="D2515" s="7" t="s">
        <v>6655</v>
      </c>
      <c r="E2515" s="7" t="s">
        <v>6295</v>
      </c>
      <c r="F2515" s="7" t="s">
        <v>6648</v>
      </c>
      <c r="G2515" s="7" t="s">
        <v>7150</v>
      </c>
      <c r="H2515" s="7" t="s">
        <v>7156</v>
      </c>
      <c r="I2515" s="7"/>
      <c r="J2515" s="10">
        <v>46064</v>
      </c>
      <c r="K2515" s="7" t="s">
        <v>7164</v>
      </c>
      <c r="L2515" s="7"/>
      <c r="M2515" s="7"/>
    </row>
    <row r="2516" spans="1:13" x14ac:dyDescent="0.3">
      <c r="A2516" s="7">
        <v>19192</v>
      </c>
      <c r="B2516" s="7" t="s">
        <v>2524</v>
      </c>
      <c r="C2516" s="7" t="s">
        <v>6634</v>
      </c>
      <c r="D2516" s="7" t="s">
        <v>6655</v>
      </c>
      <c r="E2516" s="7" t="s">
        <v>6295</v>
      </c>
      <c r="F2516" s="7" t="s">
        <v>6648</v>
      </c>
      <c r="G2516" s="7" t="s">
        <v>7150</v>
      </c>
      <c r="H2516" s="7" t="s">
        <v>7156</v>
      </c>
      <c r="I2516" s="7"/>
      <c r="J2516" s="10">
        <v>46280</v>
      </c>
      <c r="K2516" s="7" t="s">
        <v>7164</v>
      </c>
      <c r="L2516" s="7"/>
      <c r="M2516" s="7"/>
    </row>
    <row r="2517" spans="1:13" x14ac:dyDescent="0.3">
      <c r="A2517" s="7">
        <v>16699</v>
      </c>
      <c r="B2517" s="7" t="s">
        <v>2525</v>
      </c>
      <c r="C2517" s="7" t="s">
        <v>6634</v>
      </c>
      <c r="D2517" s="7" t="s">
        <v>6655</v>
      </c>
      <c r="E2517" s="7" t="s">
        <v>6295</v>
      </c>
      <c r="F2517" s="7" t="s">
        <v>6648</v>
      </c>
      <c r="G2517" s="7" t="s">
        <v>7150</v>
      </c>
      <c r="H2517" s="7" t="s">
        <v>7156</v>
      </c>
      <c r="I2517" s="7"/>
      <c r="J2517" s="10">
        <v>45530</v>
      </c>
      <c r="K2517" s="7" t="s">
        <v>7164</v>
      </c>
      <c r="L2517" s="7"/>
      <c r="M2517" s="7"/>
    </row>
    <row r="2518" spans="1:13" x14ac:dyDescent="0.3">
      <c r="A2518" s="7">
        <v>12865</v>
      </c>
      <c r="B2518" s="7" t="s">
        <v>2526</v>
      </c>
      <c r="C2518" s="7" t="s">
        <v>6634</v>
      </c>
      <c r="D2518" s="7" t="s">
        <v>6655</v>
      </c>
      <c r="E2518" s="7" t="s">
        <v>6295</v>
      </c>
      <c r="F2518" s="7" t="s">
        <v>6648</v>
      </c>
      <c r="G2518" s="7" t="s">
        <v>7150</v>
      </c>
      <c r="H2518" s="7" t="s">
        <v>7156</v>
      </c>
      <c r="I2518" s="7"/>
      <c r="J2518" s="10">
        <v>44062</v>
      </c>
      <c r="K2518" s="7" t="s">
        <v>7164</v>
      </c>
      <c r="L2518" s="7"/>
      <c r="M2518" s="7"/>
    </row>
    <row r="2519" spans="1:13" x14ac:dyDescent="0.3">
      <c r="A2519" s="7">
        <v>13002</v>
      </c>
      <c r="B2519" s="7" t="s">
        <v>2527</v>
      </c>
      <c r="C2519" s="7" t="s">
        <v>6634</v>
      </c>
      <c r="D2519" s="7" t="s">
        <v>6655</v>
      </c>
      <c r="E2519" s="7" t="s">
        <v>6295</v>
      </c>
      <c r="F2519" s="7" t="s">
        <v>6648</v>
      </c>
      <c r="G2519" s="7" t="s">
        <v>7150</v>
      </c>
      <c r="H2519" s="7" t="s">
        <v>7156</v>
      </c>
      <c r="I2519" s="7"/>
      <c r="J2519" s="10">
        <v>44181</v>
      </c>
      <c r="K2519" s="7" t="s">
        <v>7164</v>
      </c>
      <c r="L2519" s="7"/>
      <c r="M2519" s="7"/>
    </row>
    <row r="2520" spans="1:13" x14ac:dyDescent="0.3">
      <c r="A2520" s="7">
        <v>18486</v>
      </c>
      <c r="B2520" s="7" t="s">
        <v>2528</v>
      </c>
      <c r="C2520" s="7" t="s">
        <v>6634</v>
      </c>
      <c r="D2520" s="7" t="s">
        <v>6655</v>
      </c>
      <c r="E2520" s="7" t="s">
        <v>6295</v>
      </c>
      <c r="F2520" s="7" t="s">
        <v>6648</v>
      </c>
      <c r="G2520" s="7" t="s">
        <v>7150</v>
      </c>
      <c r="H2520" s="7" t="s">
        <v>7156</v>
      </c>
      <c r="I2520" s="7"/>
      <c r="J2520" s="10">
        <v>46139</v>
      </c>
      <c r="K2520" s="7" t="s">
        <v>7164</v>
      </c>
      <c r="L2520" s="7"/>
      <c r="M2520" s="7"/>
    </row>
    <row r="2521" spans="1:13" x14ac:dyDescent="0.3">
      <c r="A2521" s="7">
        <v>17477</v>
      </c>
      <c r="B2521" s="7" t="s">
        <v>2529</v>
      </c>
      <c r="C2521" s="7" t="s">
        <v>6634</v>
      </c>
      <c r="D2521" s="7" t="s">
        <v>6655</v>
      </c>
      <c r="E2521" s="7" t="s">
        <v>6295</v>
      </c>
      <c r="F2521" s="7" t="s">
        <v>6648</v>
      </c>
      <c r="G2521" s="7" t="s">
        <v>7150</v>
      </c>
      <c r="H2521" s="7" t="s">
        <v>7156</v>
      </c>
      <c r="I2521" s="7"/>
      <c r="J2521" s="10">
        <v>45763</v>
      </c>
      <c r="K2521" s="7" t="s">
        <v>7164</v>
      </c>
      <c r="L2521" s="7"/>
      <c r="M2521" s="7"/>
    </row>
    <row r="2522" spans="1:13" x14ac:dyDescent="0.3">
      <c r="A2522" s="7">
        <v>14127</v>
      </c>
      <c r="B2522" s="7" t="s">
        <v>2530</v>
      </c>
      <c r="C2522" s="7" t="s">
        <v>6634</v>
      </c>
      <c r="D2522" s="7" t="s">
        <v>6655</v>
      </c>
      <c r="E2522" s="7" t="s">
        <v>6295</v>
      </c>
      <c r="F2522" s="7" t="s">
        <v>6414</v>
      </c>
      <c r="G2522" s="7" t="s">
        <v>7150</v>
      </c>
      <c r="H2522" s="7" t="s">
        <v>7156</v>
      </c>
      <c r="I2522" s="7"/>
      <c r="J2522" s="10">
        <v>44670</v>
      </c>
      <c r="K2522" s="7" t="s">
        <v>7164</v>
      </c>
      <c r="L2522" s="7"/>
      <c r="M2522" s="7"/>
    </row>
    <row r="2523" spans="1:13" x14ac:dyDescent="0.3">
      <c r="A2523" s="7">
        <v>14711</v>
      </c>
      <c r="B2523" s="7" t="s">
        <v>2531</v>
      </c>
      <c r="C2523" s="7" t="s">
        <v>6634</v>
      </c>
      <c r="D2523" s="7" t="s">
        <v>6655</v>
      </c>
      <c r="E2523" s="7" t="s">
        <v>6295</v>
      </c>
      <c r="F2523" s="7" t="s">
        <v>6648</v>
      </c>
      <c r="G2523" s="7" t="s">
        <v>7150</v>
      </c>
      <c r="H2523" s="7" t="s">
        <v>7156</v>
      </c>
      <c r="I2523" s="7"/>
      <c r="J2523" s="10">
        <v>44837</v>
      </c>
      <c r="K2523" s="7" t="s">
        <v>7164</v>
      </c>
      <c r="L2523" s="7"/>
      <c r="M2523" s="7"/>
    </row>
    <row r="2524" spans="1:13" x14ac:dyDescent="0.3">
      <c r="A2524" s="7">
        <v>17551</v>
      </c>
      <c r="B2524" s="7" t="s">
        <v>2532</v>
      </c>
      <c r="C2524" s="7" t="s">
        <v>6634</v>
      </c>
      <c r="D2524" s="7" t="s">
        <v>6655</v>
      </c>
      <c r="E2524" s="7" t="s">
        <v>6295</v>
      </c>
      <c r="F2524" s="7" t="s">
        <v>6648</v>
      </c>
      <c r="G2524" s="7" t="s">
        <v>7150</v>
      </c>
      <c r="H2524" s="7" t="s">
        <v>7156</v>
      </c>
      <c r="I2524" s="7"/>
      <c r="J2524" s="10">
        <v>45789</v>
      </c>
      <c r="K2524" s="7" t="s">
        <v>7164</v>
      </c>
      <c r="L2524" s="7"/>
      <c r="M2524" s="7"/>
    </row>
    <row r="2525" spans="1:13" x14ac:dyDescent="0.3">
      <c r="A2525" s="7">
        <v>16247</v>
      </c>
      <c r="B2525" s="7" t="s">
        <v>2533</v>
      </c>
      <c r="C2525" s="7" t="s">
        <v>6634</v>
      </c>
      <c r="D2525" s="7" t="s">
        <v>6655</v>
      </c>
      <c r="E2525" s="7" t="s">
        <v>6295</v>
      </c>
      <c r="F2525" s="7" t="s">
        <v>6648</v>
      </c>
      <c r="G2525" s="7" t="s">
        <v>7150</v>
      </c>
      <c r="H2525" s="7" t="s">
        <v>7156</v>
      </c>
      <c r="I2525" s="7"/>
      <c r="J2525" s="10">
        <v>45330</v>
      </c>
      <c r="K2525" s="7" t="s">
        <v>7164</v>
      </c>
      <c r="L2525" s="7"/>
      <c r="M2525" s="7"/>
    </row>
    <row r="2526" spans="1:13" x14ac:dyDescent="0.3">
      <c r="A2526" s="7">
        <v>12381</v>
      </c>
      <c r="B2526" s="7" t="s">
        <v>2534</v>
      </c>
      <c r="C2526" s="7" t="s">
        <v>6634</v>
      </c>
      <c r="D2526" s="7" t="s">
        <v>6655</v>
      </c>
      <c r="E2526" s="7" t="s">
        <v>6295</v>
      </c>
      <c r="F2526" s="7" t="s">
        <v>6648</v>
      </c>
      <c r="G2526" s="7" t="s">
        <v>7150</v>
      </c>
      <c r="H2526" s="7" t="s">
        <v>7156</v>
      </c>
      <c r="I2526" s="7"/>
      <c r="J2526" s="10">
        <v>43724</v>
      </c>
      <c r="K2526" s="7" t="s">
        <v>7164</v>
      </c>
      <c r="L2526" s="7"/>
      <c r="M2526" s="7"/>
    </row>
    <row r="2527" spans="1:13" x14ac:dyDescent="0.3">
      <c r="A2527" s="7">
        <v>13128</v>
      </c>
      <c r="B2527" s="7" t="s">
        <v>2535</v>
      </c>
      <c r="C2527" s="7" t="s">
        <v>6634</v>
      </c>
      <c r="D2527" s="7" t="s">
        <v>6655</v>
      </c>
      <c r="E2527" s="7" t="s">
        <v>6295</v>
      </c>
      <c r="F2527" s="7" t="s">
        <v>6648</v>
      </c>
      <c r="G2527" s="7" t="s">
        <v>7150</v>
      </c>
      <c r="H2527" s="7" t="s">
        <v>7156</v>
      </c>
      <c r="I2527" s="7"/>
      <c r="J2527" s="10">
        <v>44270</v>
      </c>
      <c r="K2527" s="7" t="s">
        <v>7164</v>
      </c>
      <c r="L2527" s="7"/>
      <c r="M2527" s="7"/>
    </row>
    <row r="2528" spans="1:13" x14ac:dyDescent="0.3">
      <c r="A2528" s="7">
        <v>17052</v>
      </c>
      <c r="B2528" s="7" t="s">
        <v>2536</v>
      </c>
      <c r="C2528" s="7" t="s">
        <v>6634</v>
      </c>
      <c r="D2528" s="7" t="s">
        <v>6655</v>
      </c>
      <c r="E2528" s="7" t="s">
        <v>6295</v>
      </c>
      <c r="F2528" s="7" t="s">
        <v>6648</v>
      </c>
      <c r="G2528" s="7" t="s">
        <v>7150</v>
      </c>
      <c r="H2528" s="7" t="s">
        <v>7156</v>
      </c>
      <c r="I2528" s="7"/>
      <c r="J2528" s="10">
        <v>45602</v>
      </c>
      <c r="K2528" s="7" t="s">
        <v>7164</v>
      </c>
      <c r="L2528" s="7"/>
      <c r="M2528" s="7"/>
    </row>
    <row r="2529" spans="1:13" x14ac:dyDescent="0.3">
      <c r="A2529" s="7">
        <v>12457</v>
      </c>
      <c r="B2529" s="7" t="s">
        <v>2537</v>
      </c>
      <c r="C2529" s="7" t="s">
        <v>6634</v>
      </c>
      <c r="D2529" s="7" t="s">
        <v>6655</v>
      </c>
      <c r="E2529" s="7" t="s">
        <v>6295</v>
      </c>
      <c r="F2529" s="7" t="s">
        <v>6648</v>
      </c>
      <c r="G2529" s="7" t="s">
        <v>7150</v>
      </c>
      <c r="H2529" s="7" t="s">
        <v>7156</v>
      </c>
      <c r="I2529" s="7"/>
      <c r="J2529" s="10">
        <v>43756</v>
      </c>
      <c r="K2529" s="7" t="s">
        <v>7164</v>
      </c>
      <c r="L2529" s="7"/>
      <c r="M2529" s="7"/>
    </row>
    <row r="2530" spans="1:13" x14ac:dyDescent="0.3">
      <c r="A2530" s="7">
        <v>17016</v>
      </c>
      <c r="B2530" s="7" t="s">
        <v>2538</v>
      </c>
      <c r="C2530" s="7" t="s">
        <v>6634</v>
      </c>
      <c r="D2530" s="7" t="s">
        <v>6655</v>
      </c>
      <c r="E2530" s="7" t="s">
        <v>6295</v>
      </c>
      <c r="F2530" s="7" t="s">
        <v>6648</v>
      </c>
      <c r="G2530" s="7" t="s">
        <v>7150</v>
      </c>
      <c r="H2530" s="7" t="s">
        <v>7156</v>
      </c>
      <c r="I2530" s="7"/>
      <c r="J2530" s="10">
        <v>45611</v>
      </c>
      <c r="K2530" s="7" t="s">
        <v>7164</v>
      </c>
      <c r="L2530" s="7"/>
      <c r="M2530" s="7"/>
    </row>
    <row r="2531" spans="1:13" x14ac:dyDescent="0.3">
      <c r="A2531" s="7">
        <v>11777</v>
      </c>
      <c r="B2531" s="7" t="s">
        <v>2539</v>
      </c>
      <c r="C2531" s="7" t="s">
        <v>6634</v>
      </c>
      <c r="D2531" s="7" t="s">
        <v>6655</v>
      </c>
      <c r="E2531" s="7" t="s">
        <v>6295</v>
      </c>
      <c r="F2531" s="7" t="s">
        <v>6637</v>
      </c>
      <c r="G2531" s="7" t="s">
        <v>7150</v>
      </c>
      <c r="H2531" s="7" t="s">
        <v>7156</v>
      </c>
      <c r="I2531" s="7"/>
      <c r="J2531" s="10">
        <v>43110</v>
      </c>
      <c r="K2531" s="7" t="s">
        <v>7164</v>
      </c>
      <c r="L2531" s="7"/>
      <c r="M2531" s="7"/>
    </row>
    <row r="2532" spans="1:13" x14ac:dyDescent="0.3">
      <c r="A2532" s="7">
        <v>16559</v>
      </c>
      <c r="B2532" s="7" t="s">
        <v>2540</v>
      </c>
      <c r="C2532" s="7" t="s">
        <v>6634</v>
      </c>
      <c r="D2532" s="7" t="s">
        <v>6655</v>
      </c>
      <c r="E2532" s="7" t="s">
        <v>6295</v>
      </c>
      <c r="F2532" s="7" t="s">
        <v>6648</v>
      </c>
      <c r="G2532" s="7" t="s">
        <v>7150</v>
      </c>
      <c r="H2532" s="7" t="s">
        <v>7156</v>
      </c>
      <c r="I2532" s="7"/>
      <c r="J2532" s="10">
        <v>45488</v>
      </c>
      <c r="K2532" s="7" t="s">
        <v>7164</v>
      </c>
      <c r="L2532" s="7"/>
      <c r="M2532" s="7"/>
    </row>
    <row r="2533" spans="1:13" x14ac:dyDescent="0.3">
      <c r="A2533" s="7">
        <v>18795</v>
      </c>
      <c r="B2533" s="7" t="s">
        <v>2541</v>
      </c>
      <c r="C2533" s="7" t="s">
        <v>6634</v>
      </c>
      <c r="D2533" s="7" t="s">
        <v>6655</v>
      </c>
      <c r="E2533" s="7" t="s">
        <v>6295</v>
      </c>
      <c r="F2533" s="7" t="s">
        <v>6648</v>
      </c>
      <c r="G2533" s="7" t="s">
        <v>7150</v>
      </c>
      <c r="H2533" s="7" t="s">
        <v>7156</v>
      </c>
      <c r="I2533" s="7"/>
      <c r="J2533" s="10">
        <v>46216</v>
      </c>
      <c r="K2533" s="7" t="s">
        <v>7164</v>
      </c>
      <c r="L2533" s="7"/>
      <c r="M2533" s="7"/>
    </row>
    <row r="2534" spans="1:13" x14ac:dyDescent="0.3">
      <c r="A2534" s="7">
        <v>14610</v>
      </c>
      <c r="B2534" s="7" t="s">
        <v>2542</v>
      </c>
      <c r="C2534" s="7" t="s">
        <v>6634</v>
      </c>
      <c r="D2534" s="7" t="s">
        <v>6655</v>
      </c>
      <c r="E2534" s="7" t="s">
        <v>6295</v>
      </c>
      <c r="F2534" s="7" t="s">
        <v>6414</v>
      </c>
      <c r="G2534" s="7" t="s">
        <v>7150</v>
      </c>
      <c r="H2534" s="7" t="s">
        <v>7156</v>
      </c>
      <c r="I2534" s="7"/>
      <c r="J2534" s="10">
        <v>44805</v>
      </c>
      <c r="K2534" s="7" t="s">
        <v>7164</v>
      </c>
      <c r="L2534" s="7"/>
      <c r="M2534" s="7"/>
    </row>
    <row r="2535" spans="1:13" x14ac:dyDescent="0.3">
      <c r="A2535" s="7">
        <v>17659</v>
      </c>
      <c r="B2535" s="7" t="s">
        <v>2543</v>
      </c>
      <c r="C2535" s="7" t="s">
        <v>6654</v>
      </c>
      <c r="D2535" s="7" t="s">
        <v>6658</v>
      </c>
      <c r="E2535" s="7" t="s">
        <v>6295</v>
      </c>
      <c r="F2535" s="7" t="s">
        <v>6648</v>
      </c>
      <c r="G2535" s="7" t="s">
        <v>7150</v>
      </c>
      <c r="H2535" s="7" t="s">
        <v>7156</v>
      </c>
      <c r="I2535" s="7"/>
      <c r="J2535" s="10">
        <v>45839</v>
      </c>
      <c r="K2535" s="7" t="s">
        <v>7164</v>
      </c>
      <c r="L2535" s="7"/>
      <c r="M2535" s="7"/>
    </row>
    <row r="2536" spans="1:13" x14ac:dyDescent="0.3">
      <c r="A2536" s="7">
        <v>12096</v>
      </c>
      <c r="B2536" s="7" t="s">
        <v>2544</v>
      </c>
      <c r="C2536" s="7" t="s">
        <v>6659</v>
      </c>
      <c r="D2536" s="7" t="s">
        <v>6660</v>
      </c>
      <c r="E2536" s="7" t="s">
        <v>6295</v>
      </c>
      <c r="F2536" s="7" t="s">
        <v>6637</v>
      </c>
      <c r="G2536" s="7" t="s">
        <v>7150</v>
      </c>
      <c r="H2536" s="7" t="s">
        <v>7156</v>
      </c>
      <c r="I2536" s="7"/>
      <c r="J2536" s="10">
        <v>43469</v>
      </c>
      <c r="K2536" s="7" t="s">
        <v>7164</v>
      </c>
      <c r="L2536" s="7"/>
      <c r="M2536" s="7"/>
    </row>
    <row r="2537" spans="1:13" x14ac:dyDescent="0.3">
      <c r="A2537" s="7">
        <v>14288</v>
      </c>
      <c r="B2537" s="7" t="s">
        <v>2545</v>
      </c>
      <c r="C2537" s="7" t="s">
        <v>6659</v>
      </c>
      <c r="D2537" s="7" t="s">
        <v>6660</v>
      </c>
      <c r="E2537" s="7" t="s">
        <v>6295</v>
      </c>
      <c r="F2537" s="7" t="s">
        <v>6661</v>
      </c>
      <c r="G2537" s="7" t="s">
        <v>7150</v>
      </c>
      <c r="H2537" s="7" t="s">
        <v>7156</v>
      </c>
      <c r="I2537" s="7"/>
      <c r="J2537" s="10">
        <v>44714</v>
      </c>
      <c r="K2537" s="7" t="s">
        <v>7164</v>
      </c>
      <c r="L2537" s="7"/>
      <c r="M2537" s="7"/>
    </row>
    <row r="2538" spans="1:13" x14ac:dyDescent="0.3">
      <c r="A2538" s="7">
        <v>17711</v>
      </c>
      <c r="B2538" s="7" t="s">
        <v>2546</v>
      </c>
      <c r="C2538" s="7" t="s">
        <v>6659</v>
      </c>
      <c r="D2538" s="7" t="s">
        <v>6660</v>
      </c>
      <c r="E2538" s="7" t="s">
        <v>6295</v>
      </c>
      <c r="F2538" s="7" t="s">
        <v>6661</v>
      </c>
      <c r="G2538" s="7" t="s">
        <v>7150</v>
      </c>
      <c r="H2538" s="7" t="s">
        <v>7156</v>
      </c>
      <c r="I2538" s="7"/>
      <c r="J2538" s="10">
        <v>45852</v>
      </c>
      <c r="K2538" s="7" t="s">
        <v>7164</v>
      </c>
      <c r="L2538" s="7"/>
      <c r="M2538" s="7"/>
    </row>
    <row r="2539" spans="1:13" x14ac:dyDescent="0.3">
      <c r="A2539" s="7">
        <v>16729</v>
      </c>
      <c r="B2539" s="7" t="s">
        <v>2547</v>
      </c>
      <c r="C2539" s="7" t="s">
        <v>6659</v>
      </c>
      <c r="D2539" s="7" t="s">
        <v>6660</v>
      </c>
      <c r="E2539" s="7" t="s">
        <v>6295</v>
      </c>
      <c r="F2539" s="7" t="s">
        <v>6661</v>
      </c>
      <c r="G2539" s="7" t="s">
        <v>7150</v>
      </c>
      <c r="H2539" s="7" t="s">
        <v>7156</v>
      </c>
      <c r="I2539" s="7"/>
      <c r="J2539" s="10">
        <v>45538</v>
      </c>
      <c r="K2539" s="7" t="s">
        <v>7164</v>
      </c>
      <c r="L2539" s="7"/>
      <c r="M2539" s="7"/>
    </row>
    <row r="2540" spans="1:13" x14ac:dyDescent="0.3">
      <c r="A2540" s="7">
        <v>12814</v>
      </c>
      <c r="B2540" s="7" t="s">
        <v>2548</v>
      </c>
      <c r="C2540" s="7" t="s">
        <v>6659</v>
      </c>
      <c r="D2540" s="7" t="s">
        <v>6660</v>
      </c>
      <c r="E2540" s="7" t="s">
        <v>6295</v>
      </c>
      <c r="F2540" s="7" t="s">
        <v>6661</v>
      </c>
      <c r="G2540" s="7" t="s">
        <v>7150</v>
      </c>
      <c r="H2540" s="7" t="s">
        <v>7156</v>
      </c>
      <c r="I2540" s="7"/>
      <c r="J2540" s="10">
        <v>43955</v>
      </c>
      <c r="K2540" s="7" t="s">
        <v>7164</v>
      </c>
      <c r="L2540" s="7"/>
      <c r="M2540" s="7"/>
    </row>
    <row r="2541" spans="1:13" x14ac:dyDescent="0.3">
      <c r="A2541" s="7">
        <v>15660</v>
      </c>
      <c r="B2541" s="7" t="s">
        <v>2549</v>
      </c>
      <c r="C2541" s="7" t="s">
        <v>6659</v>
      </c>
      <c r="D2541" s="7" t="s">
        <v>6660</v>
      </c>
      <c r="E2541" s="7" t="s">
        <v>6295</v>
      </c>
      <c r="F2541" s="7" t="s">
        <v>6661</v>
      </c>
      <c r="G2541" s="7" t="s">
        <v>7150</v>
      </c>
      <c r="H2541" s="7" t="s">
        <v>7156</v>
      </c>
      <c r="I2541" s="7"/>
      <c r="J2541" s="10">
        <v>45156</v>
      </c>
      <c r="K2541" s="7" t="s">
        <v>7164</v>
      </c>
      <c r="L2541" s="7"/>
      <c r="M2541" s="7"/>
    </row>
    <row r="2542" spans="1:13" x14ac:dyDescent="0.3">
      <c r="A2542" s="7">
        <v>19179</v>
      </c>
      <c r="B2542" s="7" t="s">
        <v>2550</v>
      </c>
      <c r="C2542" s="7" t="s">
        <v>6659</v>
      </c>
      <c r="D2542" s="7" t="s">
        <v>6660</v>
      </c>
      <c r="E2542" s="7" t="s">
        <v>6295</v>
      </c>
      <c r="F2542" s="7" t="s">
        <v>6661</v>
      </c>
      <c r="G2542" s="7" t="s">
        <v>7150</v>
      </c>
      <c r="H2542" s="7" t="s">
        <v>7156</v>
      </c>
      <c r="I2542" s="7"/>
      <c r="J2542" s="10">
        <v>46281</v>
      </c>
      <c r="K2542" s="7" t="s">
        <v>7164</v>
      </c>
      <c r="L2542" s="7"/>
      <c r="M2542" s="7"/>
    </row>
    <row r="2543" spans="1:13" x14ac:dyDescent="0.3">
      <c r="A2543" s="7">
        <v>19033</v>
      </c>
      <c r="B2543" s="7" t="s">
        <v>2551</v>
      </c>
      <c r="C2543" s="7" t="s">
        <v>6659</v>
      </c>
      <c r="D2543" s="7" t="s">
        <v>6660</v>
      </c>
      <c r="E2543" s="7" t="s">
        <v>6295</v>
      </c>
      <c r="F2543" s="7" t="s">
        <v>6661</v>
      </c>
      <c r="G2543" s="7" t="s">
        <v>7150</v>
      </c>
      <c r="H2543" s="7" t="s">
        <v>7156</v>
      </c>
      <c r="I2543" s="7"/>
      <c r="J2543" s="10">
        <v>46260</v>
      </c>
      <c r="K2543" s="7" t="s">
        <v>7164</v>
      </c>
      <c r="L2543" s="7"/>
      <c r="M2543" s="7"/>
    </row>
    <row r="2544" spans="1:13" x14ac:dyDescent="0.3">
      <c r="A2544" s="7">
        <v>13012</v>
      </c>
      <c r="B2544" s="7" t="s">
        <v>2552</v>
      </c>
      <c r="C2544" s="7" t="s">
        <v>6659</v>
      </c>
      <c r="D2544" s="7" t="s">
        <v>6662</v>
      </c>
      <c r="E2544" s="7" t="s">
        <v>6295</v>
      </c>
      <c r="F2544" s="7" t="s">
        <v>6414</v>
      </c>
      <c r="G2544" s="7" t="s">
        <v>7150</v>
      </c>
      <c r="H2544" s="7" t="s">
        <v>7156</v>
      </c>
      <c r="I2544" s="7"/>
      <c r="J2544" s="10">
        <v>44202</v>
      </c>
      <c r="K2544" s="7" t="s">
        <v>7164</v>
      </c>
      <c r="L2544" s="7"/>
      <c r="M2544" s="7"/>
    </row>
    <row r="2545" spans="1:13" x14ac:dyDescent="0.3">
      <c r="A2545" s="7">
        <v>13208</v>
      </c>
      <c r="B2545" s="7" t="s">
        <v>2553</v>
      </c>
      <c r="C2545" s="7" t="s">
        <v>6659</v>
      </c>
      <c r="D2545" s="7" t="s">
        <v>6662</v>
      </c>
      <c r="E2545" s="7" t="s">
        <v>6295</v>
      </c>
      <c r="F2545" s="7" t="s">
        <v>6661</v>
      </c>
      <c r="G2545" s="7" t="s">
        <v>7150</v>
      </c>
      <c r="H2545" s="7" t="s">
        <v>7156</v>
      </c>
      <c r="I2545" s="7"/>
      <c r="J2545" s="10">
        <v>44322</v>
      </c>
      <c r="K2545" s="7" t="s">
        <v>7164</v>
      </c>
      <c r="L2545" s="7"/>
      <c r="M2545" s="7"/>
    </row>
    <row r="2546" spans="1:13" x14ac:dyDescent="0.3">
      <c r="A2546" s="7">
        <v>17468</v>
      </c>
      <c r="B2546" s="7" t="s">
        <v>2554</v>
      </c>
      <c r="C2546" s="7" t="s">
        <v>6659</v>
      </c>
      <c r="D2546" s="7" t="s">
        <v>6662</v>
      </c>
      <c r="E2546" s="7" t="s">
        <v>6295</v>
      </c>
      <c r="F2546" s="7" t="s">
        <v>6661</v>
      </c>
      <c r="G2546" s="7" t="s">
        <v>7150</v>
      </c>
      <c r="H2546" s="7" t="s">
        <v>7156</v>
      </c>
      <c r="I2546" s="7"/>
      <c r="J2546" s="10">
        <v>45762</v>
      </c>
      <c r="K2546" s="7" t="s">
        <v>7164</v>
      </c>
      <c r="L2546" s="7"/>
      <c r="M2546" s="7"/>
    </row>
    <row r="2547" spans="1:13" x14ac:dyDescent="0.3">
      <c r="A2547" s="7">
        <v>17234</v>
      </c>
      <c r="B2547" s="7" t="s">
        <v>2555</v>
      </c>
      <c r="C2547" s="7" t="s">
        <v>6659</v>
      </c>
      <c r="D2547" s="7" t="s">
        <v>6662</v>
      </c>
      <c r="E2547" s="7" t="s">
        <v>6295</v>
      </c>
      <c r="F2547" s="7" t="s">
        <v>6661</v>
      </c>
      <c r="G2547" s="7" t="s">
        <v>7150</v>
      </c>
      <c r="H2547" s="7" t="s">
        <v>7156</v>
      </c>
      <c r="I2547" s="7"/>
      <c r="J2547" s="10">
        <v>45672</v>
      </c>
      <c r="K2547" s="7" t="s">
        <v>7164</v>
      </c>
      <c r="L2547" s="7"/>
      <c r="M2547" s="7"/>
    </row>
    <row r="2548" spans="1:13" x14ac:dyDescent="0.3">
      <c r="A2548" s="7">
        <v>18634</v>
      </c>
      <c r="B2548" s="7" t="s">
        <v>2556</v>
      </c>
      <c r="C2548" s="7" t="s">
        <v>6659</v>
      </c>
      <c r="D2548" s="7" t="s">
        <v>6662</v>
      </c>
      <c r="E2548" s="7" t="s">
        <v>6295</v>
      </c>
      <c r="F2548" s="7" t="s">
        <v>6661</v>
      </c>
      <c r="G2548" s="7" t="s">
        <v>7150</v>
      </c>
      <c r="H2548" s="7" t="s">
        <v>7156</v>
      </c>
      <c r="I2548" s="7"/>
      <c r="J2548" s="10">
        <v>46182</v>
      </c>
      <c r="K2548" s="7" t="s">
        <v>7164</v>
      </c>
      <c r="L2548" s="7"/>
      <c r="M2548" s="7"/>
    </row>
    <row r="2549" spans="1:13" x14ac:dyDescent="0.3">
      <c r="A2549" s="7">
        <v>17161</v>
      </c>
      <c r="B2549" s="7" t="s">
        <v>2557</v>
      </c>
      <c r="C2549" s="7" t="s">
        <v>6659</v>
      </c>
      <c r="D2549" s="7" t="s">
        <v>6663</v>
      </c>
      <c r="E2549" s="7" t="s">
        <v>6664</v>
      </c>
      <c r="F2549" s="7" t="s">
        <v>6637</v>
      </c>
      <c r="G2549" s="7" t="s">
        <v>7150</v>
      </c>
      <c r="H2549" s="7" t="s">
        <v>7156</v>
      </c>
      <c r="I2549" s="7"/>
      <c r="J2549" s="10">
        <v>45646</v>
      </c>
      <c r="K2549" s="7" t="s">
        <v>7164</v>
      </c>
      <c r="L2549" s="7"/>
      <c r="M2549" s="7"/>
    </row>
    <row r="2550" spans="1:13" x14ac:dyDescent="0.3">
      <c r="A2550" s="7">
        <v>16640</v>
      </c>
      <c r="B2550" s="7" t="s">
        <v>2558</v>
      </c>
      <c r="C2550" s="7" t="s">
        <v>6659</v>
      </c>
      <c r="D2550" s="7" t="s">
        <v>6663</v>
      </c>
      <c r="E2550" s="7" t="s">
        <v>6295</v>
      </c>
      <c r="F2550" s="7" t="s">
        <v>6661</v>
      </c>
      <c r="G2550" s="7" t="s">
        <v>7150</v>
      </c>
      <c r="H2550" s="7" t="s">
        <v>7156</v>
      </c>
      <c r="I2550" s="7"/>
      <c r="J2550" s="10">
        <v>45509</v>
      </c>
      <c r="K2550" s="7" t="s">
        <v>7164</v>
      </c>
      <c r="L2550" s="7"/>
      <c r="M2550" s="7"/>
    </row>
    <row r="2551" spans="1:13" x14ac:dyDescent="0.3">
      <c r="A2551" s="7">
        <v>18361</v>
      </c>
      <c r="B2551" s="7" t="s">
        <v>2559</v>
      </c>
      <c r="C2551" s="7" t="s">
        <v>6659</v>
      </c>
      <c r="D2551" s="7" t="s">
        <v>6662</v>
      </c>
      <c r="E2551" s="7" t="s">
        <v>6664</v>
      </c>
      <c r="F2551" s="7" t="s">
        <v>6661</v>
      </c>
      <c r="G2551" s="7" t="s">
        <v>7150</v>
      </c>
      <c r="H2551" s="7" t="s">
        <v>7156</v>
      </c>
      <c r="I2551" s="7"/>
      <c r="J2551" s="10">
        <v>46113</v>
      </c>
      <c r="K2551" s="7" t="s">
        <v>7164</v>
      </c>
      <c r="L2551" s="7"/>
      <c r="M2551" s="7"/>
    </row>
    <row r="2552" spans="1:13" x14ac:dyDescent="0.3">
      <c r="A2552" s="7">
        <v>17089</v>
      </c>
      <c r="B2552" s="7" t="s">
        <v>2560</v>
      </c>
      <c r="C2552" s="7" t="s">
        <v>6659</v>
      </c>
      <c r="D2552" s="7" t="s">
        <v>6663</v>
      </c>
      <c r="E2552" s="7" t="s">
        <v>6664</v>
      </c>
      <c r="F2552" s="7" t="s">
        <v>6661</v>
      </c>
      <c r="G2552" s="7" t="s">
        <v>7151</v>
      </c>
      <c r="H2552" s="7" t="s">
        <v>7156</v>
      </c>
      <c r="I2552" s="7"/>
      <c r="J2552" s="10">
        <v>45628</v>
      </c>
      <c r="K2552" s="7" t="s">
        <v>7164</v>
      </c>
      <c r="L2552" s="7"/>
      <c r="M2552" s="7"/>
    </row>
    <row r="2553" spans="1:13" x14ac:dyDescent="0.3">
      <c r="A2553" s="7">
        <v>12813</v>
      </c>
      <c r="B2553" s="7" t="s">
        <v>2561</v>
      </c>
      <c r="C2553" s="7" t="s">
        <v>6659</v>
      </c>
      <c r="D2553" s="7" t="s">
        <v>6663</v>
      </c>
      <c r="E2553" s="7" t="s">
        <v>6665</v>
      </c>
      <c r="F2553" s="7" t="s">
        <v>6661</v>
      </c>
      <c r="G2553" s="7" t="s">
        <v>7150</v>
      </c>
      <c r="H2553" s="7" t="s">
        <v>7156</v>
      </c>
      <c r="I2553" s="7"/>
      <c r="J2553" s="10">
        <v>43955</v>
      </c>
      <c r="K2553" s="7" t="s">
        <v>7164</v>
      </c>
      <c r="L2553" s="7"/>
      <c r="M2553" s="7"/>
    </row>
    <row r="2554" spans="1:13" x14ac:dyDescent="0.3">
      <c r="A2554" s="7">
        <v>18823</v>
      </c>
      <c r="B2554" s="7" t="s">
        <v>2562</v>
      </c>
      <c r="C2554" s="7" t="s">
        <v>6659</v>
      </c>
      <c r="D2554" s="7" t="s">
        <v>6660</v>
      </c>
      <c r="E2554" s="7" t="s">
        <v>6295</v>
      </c>
      <c r="F2554" s="7" t="s">
        <v>6661</v>
      </c>
      <c r="G2554" s="7" t="s">
        <v>7150</v>
      </c>
      <c r="H2554" s="7" t="s">
        <v>7156</v>
      </c>
      <c r="I2554" s="7" t="s">
        <v>7159</v>
      </c>
      <c r="J2554" s="10">
        <v>46216</v>
      </c>
      <c r="K2554" s="7" t="s">
        <v>7164</v>
      </c>
      <c r="L2554" s="7"/>
      <c r="M2554" s="7"/>
    </row>
    <row r="2555" spans="1:13" x14ac:dyDescent="0.3">
      <c r="A2555" s="7">
        <v>18846</v>
      </c>
      <c r="B2555" s="7" t="s">
        <v>2563</v>
      </c>
      <c r="C2555" s="7" t="s">
        <v>6659</v>
      </c>
      <c r="D2555" s="7" t="s">
        <v>6660</v>
      </c>
      <c r="E2555" s="7" t="s">
        <v>6295</v>
      </c>
      <c r="F2555" s="7" t="s">
        <v>6661</v>
      </c>
      <c r="G2555" s="7" t="s">
        <v>7150</v>
      </c>
      <c r="H2555" s="7" t="s">
        <v>7156</v>
      </c>
      <c r="I2555" s="7" t="s">
        <v>7159</v>
      </c>
      <c r="J2555" s="10">
        <v>46219</v>
      </c>
      <c r="K2555" s="7" t="s">
        <v>7164</v>
      </c>
      <c r="L2555" s="7"/>
      <c r="M2555" s="7"/>
    </row>
    <row r="2556" spans="1:13" x14ac:dyDescent="0.3">
      <c r="A2556" s="7">
        <v>18845</v>
      </c>
      <c r="B2556" s="7" t="s">
        <v>2564</v>
      </c>
      <c r="C2556" s="7" t="s">
        <v>6659</v>
      </c>
      <c r="D2556" s="7" t="s">
        <v>6660</v>
      </c>
      <c r="E2556" s="7" t="s">
        <v>6295</v>
      </c>
      <c r="F2556" s="7" t="s">
        <v>6661</v>
      </c>
      <c r="G2556" s="7" t="s">
        <v>7150</v>
      </c>
      <c r="H2556" s="7" t="s">
        <v>7156</v>
      </c>
      <c r="I2556" s="7" t="s">
        <v>7159</v>
      </c>
      <c r="J2556" s="10">
        <v>46219</v>
      </c>
      <c r="K2556" s="7" t="s">
        <v>7164</v>
      </c>
      <c r="L2556" s="7"/>
      <c r="M2556" s="7"/>
    </row>
    <row r="2557" spans="1:13" x14ac:dyDescent="0.3">
      <c r="A2557" s="7">
        <v>18875</v>
      </c>
      <c r="B2557" s="7" t="s">
        <v>2565</v>
      </c>
      <c r="C2557" s="7" t="s">
        <v>6659</v>
      </c>
      <c r="D2557" s="7" t="s">
        <v>6660</v>
      </c>
      <c r="E2557" s="7" t="s">
        <v>6295</v>
      </c>
      <c r="F2557" s="7" t="s">
        <v>6661</v>
      </c>
      <c r="G2557" s="7" t="s">
        <v>7150</v>
      </c>
      <c r="H2557" s="7" t="s">
        <v>7156</v>
      </c>
      <c r="I2557" s="7" t="s">
        <v>7159</v>
      </c>
      <c r="J2557" s="10">
        <v>46224</v>
      </c>
      <c r="K2557" s="7" t="s">
        <v>7164</v>
      </c>
      <c r="L2557" s="7"/>
      <c r="M2557" s="7"/>
    </row>
    <row r="2558" spans="1:13" x14ac:dyDescent="0.3">
      <c r="A2558" s="7">
        <v>14287</v>
      </c>
      <c r="B2558" s="7" t="s">
        <v>2566</v>
      </c>
      <c r="C2558" s="7" t="s">
        <v>6659</v>
      </c>
      <c r="D2558" s="7" t="s">
        <v>6663</v>
      </c>
      <c r="E2558" s="7" t="s">
        <v>6295</v>
      </c>
      <c r="F2558" s="7" t="s">
        <v>6661</v>
      </c>
      <c r="G2558" s="7" t="s">
        <v>7150</v>
      </c>
      <c r="H2558" s="7" t="s">
        <v>7156</v>
      </c>
      <c r="I2558" s="7"/>
      <c r="J2558" s="10">
        <v>44714</v>
      </c>
      <c r="K2558" s="7" t="s">
        <v>7164</v>
      </c>
      <c r="L2558" s="7"/>
      <c r="M2558" s="7"/>
    </row>
    <row r="2559" spans="1:13" x14ac:dyDescent="0.3">
      <c r="A2559" s="7">
        <v>11732</v>
      </c>
      <c r="B2559" s="7" t="s">
        <v>2567</v>
      </c>
      <c r="C2559" s="7" t="s">
        <v>6666</v>
      </c>
      <c r="D2559" s="7" t="s">
        <v>6295</v>
      </c>
      <c r="E2559" s="7" t="s">
        <v>6295</v>
      </c>
      <c r="F2559" s="7" t="s">
        <v>6328</v>
      </c>
      <c r="G2559" s="7" t="s">
        <v>7150</v>
      </c>
      <c r="H2559" s="7" t="s">
        <v>7156</v>
      </c>
      <c r="I2559" s="7"/>
      <c r="J2559" s="10">
        <v>43070</v>
      </c>
      <c r="K2559" s="7" t="s">
        <v>7164</v>
      </c>
      <c r="L2559" s="7"/>
      <c r="M2559" s="7"/>
    </row>
    <row r="2560" spans="1:13" x14ac:dyDescent="0.3">
      <c r="A2560" s="7">
        <v>14468</v>
      </c>
      <c r="B2560" s="7" t="s">
        <v>2568</v>
      </c>
      <c r="C2560" s="7" t="s">
        <v>6666</v>
      </c>
      <c r="D2560" s="7" t="s">
        <v>6667</v>
      </c>
      <c r="E2560" s="7" t="s">
        <v>6295</v>
      </c>
      <c r="F2560" s="7" t="s">
        <v>6668</v>
      </c>
      <c r="G2560" s="7" t="s">
        <v>7150</v>
      </c>
      <c r="H2560" s="7" t="s">
        <v>7156</v>
      </c>
      <c r="I2560" s="7"/>
      <c r="J2560" s="10">
        <v>44767</v>
      </c>
      <c r="K2560" s="7" t="s">
        <v>7164</v>
      </c>
      <c r="L2560" s="7"/>
      <c r="M2560" s="7"/>
    </row>
    <row r="2561" spans="1:13" x14ac:dyDescent="0.3">
      <c r="A2561" s="7">
        <v>18203</v>
      </c>
      <c r="B2561" s="7" t="s">
        <v>2569</v>
      </c>
      <c r="C2561" s="7" t="s">
        <v>6666</v>
      </c>
      <c r="D2561" s="7" t="s">
        <v>6667</v>
      </c>
      <c r="E2561" s="7" t="s">
        <v>6295</v>
      </c>
      <c r="F2561" s="7" t="s">
        <v>6668</v>
      </c>
      <c r="G2561" s="7" t="s">
        <v>7150</v>
      </c>
      <c r="H2561" s="7" t="s">
        <v>7156</v>
      </c>
      <c r="I2561" s="7"/>
      <c r="J2561" s="10">
        <v>46056</v>
      </c>
      <c r="K2561" s="7" t="s">
        <v>7164</v>
      </c>
      <c r="L2561" s="7"/>
      <c r="M2561" s="7"/>
    </row>
    <row r="2562" spans="1:13" x14ac:dyDescent="0.3">
      <c r="A2562" s="7">
        <v>18526</v>
      </c>
      <c r="B2562" s="7" t="s">
        <v>2570</v>
      </c>
      <c r="C2562" s="7" t="s">
        <v>6666</v>
      </c>
      <c r="D2562" s="7" t="s">
        <v>6669</v>
      </c>
      <c r="E2562" s="7" t="s">
        <v>6295</v>
      </c>
      <c r="F2562" s="7" t="s">
        <v>6414</v>
      </c>
      <c r="G2562" s="7" t="s">
        <v>7150</v>
      </c>
      <c r="H2562" s="7" t="s">
        <v>7156</v>
      </c>
      <c r="I2562" s="7" t="s">
        <v>7160</v>
      </c>
      <c r="J2562" s="10">
        <v>46143</v>
      </c>
      <c r="K2562" s="7" t="s">
        <v>7164</v>
      </c>
      <c r="L2562" s="7"/>
      <c r="M2562" s="7"/>
    </row>
    <row r="2563" spans="1:13" x14ac:dyDescent="0.3">
      <c r="A2563" s="7">
        <v>13865</v>
      </c>
      <c r="B2563" s="7" t="s">
        <v>2571</v>
      </c>
      <c r="C2563" s="7" t="s">
        <v>6666</v>
      </c>
      <c r="D2563" s="7" t="s">
        <v>6669</v>
      </c>
      <c r="E2563" s="7" t="s">
        <v>6295</v>
      </c>
      <c r="F2563" s="7" t="s">
        <v>6670</v>
      </c>
      <c r="G2563" s="7" t="s">
        <v>7150</v>
      </c>
      <c r="H2563" s="7" t="s">
        <v>7156</v>
      </c>
      <c r="I2563" s="7"/>
      <c r="J2563" s="10">
        <v>44613</v>
      </c>
      <c r="K2563" s="7" t="s">
        <v>7164</v>
      </c>
      <c r="L2563" s="7"/>
      <c r="M2563" s="7"/>
    </row>
    <row r="2564" spans="1:13" x14ac:dyDescent="0.3">
      <c r="A2564" s="7">
        <v>18420</v>
      </c>
      <c r="B2564" s="7" t="s">
        <v>2572</v>
      </c>
      <c r="C2564" s="7" t="s">
        <v>6666</v>
      </c>
      <c r="D2564" s="7" t="s">
        <v>6669</v>
      </c>
      <c r="E2564" s="7" t="s">
        <v>6295</v>
      </c>
      <c r="F2564" s="7" t="s">
        <v>6670</v>
      </c>
      <c r="G2564" s="7" t="s">
        <v>7150</v>
      </c>
      <c r="H2564" s="7" t="s">
        <v>7156</v>
      </c>
      <c r="I2564" s="7" t="s">
        <v>7158</v>
      </c>
      <c r="J2564" s="10">
        <v>46122</v>
      </c>
      <c r="K2564" s="7" t="s">
        <v>7164</v>
      </c>
      <c r="L2564" s="7"/>
      <c r="M2564" s="7"/>
    </row>
    <row r="2565" spans="1:13" x14ac:dyDescent="0.3">
      <c r="A2565" s="7">
        <v>18421</v>
      </c>
      <c r="B2565" s="7" t="s">
        <v>2573</v>
      </c>
      <c r="C2565" s="7" t="s">
        <v>6666</v>
      </c>
      <c r="D2565" s="7" t="s">
        <v>6669</v>
      </c>
      <c r="E2565" s="7" t="s">
        <v>6295</v>
      </c>
      <c r="F2565" s="7" t="s">
        <v>6670</v>
      </c>
      <c r="G2565" s="7" t="s">
        <v>7150</v>
      </c>
      <c r="H2565" s="7" t="s">
        <v>7156</v>
      </c>
      <c r="I2565" s="7" t="s">
        <v>7158</v>
      </c>
      <c r="J2565" s="10">
        <v>46122</v>
      </c>
      <c r="K2565" s="7" t="s">
        <v>7164</v>
      </c>
      <c r="L2565" s="7"/>
      <c r="M2565" s="7"/>
    </row>
    <row r="2566" spans="1:13" x14ac:dyDescent="0.3">
      <c r="A2566" s="7">
        <v>16598</v>
      </c>
      <c r="B2566" s="7" t="s">
        <v>2574</v>
      </c>
      <c r="C2566" s="7" t="s">
        <v>6666</v>
      </c>
      <c r="D2566" s="7" t="s">
        <v>6669</v>
      </c>
      <c r="E2566" s="7" t="s">
        <v>6295</v>
      </c>
      <c r="F2566" s="7" t="s">
        <v>6670</v>
      </c>
      <c r="G2566" s="7" t="s">
        <v>7150</v>
      </c>
      <c r="H2566" s="7" t="s">
        <v>7156</v>
      </c>
      <c r="I2566" s="7"/>
      <c r="J2566" s="10">
        <v>45491</v>
      </c>
      <c r="K2566" s="7" t="s">
        <v>7164</v>
      </c>
      <c r="L2566" s="7"/>
      <c r="M2566" s="7"/>
    </row>
    <row r="2567" spans="1:13" x14ac:dyDescent="0.3">
      <c r="A2567" s="7">
        <v>18208</v>
      </c>
      <c r="B2567" s="7" t="s">
        <v>2575</v>
      </c>
      <c r="C2567" s="7" t="s">
        <v>6666</v>
      </c>
      <c r="D2567" s="7" t="s">
        <v>6669</v>
      </c>
      <c r="E2567" s="7" t="s">
        <v>6295</v>
      </c>
      <c r="F2567" s="7" t="s">
        <v>6671</v>
      </c>
      <c r="G2567" s="7" t="s">
        <v>7150</v>
      </c>
      <c r="H2567" s="7" t="s">
        <v>7156</v>
      </c>
      <c r="I2567" s="7"/>
      <c r="J2567" s="10">
        <v>46056</v>
      </c>
      <c r="K2567" s="7" t="s">
        <v>7164</v>
      </c>
      <c r="L2567" s="7"/>
      <c r="M2567" s="7"/>
    </row>
    <row r="2568" spans="1:13" x14ac:dyDescent="0.3">
      <c r="A2568" s="7">
        <v>14419</v>
      </c>
      <c r="B2568" s="7" t="s">
        <v>2576</v>
      </c>
      <c r="C2568" s="7" t="s">
        <v>6666</v>
      </c>
      <c r="D2568" s="7" t="s">
        <v>6672</v>
      </c>
      <c r="E2568" s="7" t="s">
        <v>6295</v>
      </c>
      <c r="F2568" s="7" t="s">
        <v>6414</v>
      </c>
      <c r="G2568" s="7" t="s">
        <v>7150</v>
      </c>
      <c r="H2568" s="7" t="s">
        <v>7156</v>
      </c>
      <c r="I2568" s="7"/>
      <c r="J2568" s="10">
        <v>44755</v>
      </c>
      <c r="K2568" s="7" t="s">
        <v>7164</v>
      </c>
      <c r="L2568" s="7"/>
      <c r="M2568" s="7"/>
    </row>
    <row r="2569" spans="1:13" x14ac:dyDescent="0.3">
      <c r="A2569" s="7">
        <v>18801</v>
      </c>
      <c r="B2569" s="7" t="s">
        <v>2577</v>
      </c>
      <c r="C2569" s="7" t="s">
        <v>6666</v>
      </c>
      <c r="D2569" s="7" t="s">
        <v>6672</v>
      </c>
      <c r="E2569" s="7" t="s">
        <v>6295</v>
      </c>
      <c r="F2569" s="7" t="s">
        <v>6414</v>
      </c>
      <c r="G2569" s="7" t="s">
        <v>7150</v>
      </c>
      <c r="H2569" s="7" t="s">
        <v>7156</v>
      </c>
      <c r="I2569" s="7" t="s">
        <v>7158</v>
      </c>
      <c r="J2569" s="10">
        <v>46211</v>
      </c>
      <c r="K2569" s="7" t="s">
        <v>7164</v>
      </c>
      <c r="L2569" s="7"/>
      <c r="M2569" s="7"/>
    </row>
    <row r="2570" spans="1:13" x14ac:dyDescent="0.3">
      <c r="A2570" s="7">
        <v>18422</v>
      </c>
      <c r="B2570" s="7" t="s">
        <v>2578</v>
      </c>
      <c r="C2570" s="7" t="s">
        <v>6666</v>
      </c>
      <c r="D2570" s="7" t="s">
        <v>6672</v>
      </c>
      <c r="E2570" s="7" t="s">
        <v>6295</v>
      </c>
      <c r="F2570" s="7" t="s">
        <v>6673</v>
      </c>
      <c r="G2570" s="7" t="s">
        <v>7150</v>
      </c>
      <c r="H2570" s="7" t="s">
        <v>7156</v>
      </c>
      <c r="I2570" s="7" t="s">
        <v>7158</v>
      </c>
      <c r="J2570" s="10">
        <v>46122</v>
      </c>
      <c r="K2570" s="7" t="s">
        <v>7164</v>
      </c>
      <c r="L2570" s="7"/>
      <c r="M2570" s="7"/>
    </row>
    <row r="2571" spans="1:13" x14ac:dyDescent="0.3">
      <c r="A2571" s="7">
        <v>19016</v>
      </c>
      <c r="B2571" s="7" t="s">
        <v>2579</v>
      </c>
      <c r="C2571" s="7" t="s">
        <v>6666</v>
      </c>
      <c r="D2571" s="7" t="s">
        <v>6672</v>
      </c>
      <c r="E2571" s="7" t="s">
        <v>6295</v>
      </c>
      <c r="F2571" s="7" t="s">
        <v>6673</v>
      </c>
      <c r="G2571" s="7" t="s">
        <v>7150</v>
      </c>
      <c r="H2571" s="7" t="s">
        <v>7156</v>
      </c>
      <c r="I2571" s="7"/>
      <c r="J2571" s="10">
        <v>46254</v>
      </c>
      <c r="K2571" s="7" t="s">
        <v>7164</v>
      </c>
      <c r="L2571" s="7"/>
      <c r="M2571" s="7"/>
    </row>
    <row r="2572" spans="1:13" x14ac:dyDescent="0.3">
      <c r="A2572" s="7">
        <v>17552</v>
      </c>
      <c r="B2572" s="7" t="s">
        <v>2580</v>
      </c>
      <c r="C2572" s="7" t="s">
        <v>6666</v>
      </c>
      <c r="D2572" s="7" t="s">
        <v>6672</v>
      </c>
      <c r="E2572" s="7" t="s">
        <v>6295</v>
      </c>
      <c r="F2572" s="7" t="s">
        <v>6673</v>
      </c>
      <c r="G2572" s="7" t="s">
        <v>7150</v>
      </c>
      <c r="H2572" s="7" t="s">
        <v>7156</v>
      </c>
      <c r="I2572" s="7"/>
      <c r="J2572" s="10">
        <v>45796</v>
      </c>
      <c r="K2572" s="7" t="s">
        <v>7164</v>
      </c>
      <c r="L2572" s="7"/>
      <c r="M2572" s="7"/>
    </row>
    <row r="2573" spans="1:13" x14ac:dyDescent="0.3">
      <c r="A2573" s="7">
        <v>18543</v>
      </c>
      <c r="B2573" s="7" t="s">
        <v>2581</v>
      </c>
      <c r="C2573" s="7" t="s">
        <v>6666</v>
      </c>
      <c r="D2573" s="7" t="s">
        <v>6667</v>
      </c>
      <c r="E2573" s="7" t="s">
        <v>6295</v>
      </c>
      <c r="F2573" s="7" t="s">
        <v>6673</v>
      </c>
      <c r="G2573" s="7" t="s">
        <v>7150</v>
      </c>
      <c r="H2573" s="7" t="s">
        <v>7156</v>
      </c>
      <c r="I2573" s="7" t="s">
        <v>7158</v>
      </c>
      <c r="J2573" s="10">
        <v>46146</v>
      </c>
      <c r="K2573" s="7" t="s">
        <v>7164</v>
      </c>
      <c r="L2573" s="7"/>
      <c r="M2573" s="7"/>
    </row>
    <row r="2574" spans="1:13" x14ac:dyDescent="0.3">
      <c r="A2574" s="7">
        <v>17342</v>
      </c>
      <c r="B2574" s="7" t="s">
        <v>2582</v>
      </c>
      <c r="C2574" s="7" t="s">
        <v>6666</v>
      </c>
      <c r="D2574" s="7" t="s">
        <v>6672</v>
      </c>
      <c r="E2574" s="7" t="s">
        <v>6295</v>
      </c>
      <c r="F2574" s="7" t="s">
        <v>6673</v>
      </c>
      <c r="G2574" s="7" t="s">
        <v>7150</v>
      </c>
      <c r="H2574" s="7" t="s">
        <v>7156</v>
      </c>
      <c r="I2574" s="7"/>
      <c r="J2574" s="10">
        <v>45719</v>
      </c>
      <c r="K2574" s="7" t="s">
        <v>7164</v>
      </c>
      <c r="L2574" s="7"/>
      <c r="M2574" s="7"/>
    </row>
    <row r="2575" spans="1:13" x14ac:dyDescent="0.3">
      <c r="A2575" s="7">
        <v>17758</v>
      </c>
      <c r="B2575" s="7" t="s">
        <v>2583</v>
      </c>
      <c r="C2575" s="7" t="s">
        <v>6666</v>
      </c>
      <c r="D2575" s="7" t="s">
        <v>6672</v>
      </c>
      <c r="E2575" s="7" t="s">
        <v>6295</v>
      </c>
      <c r="F2575" s="7" t="s">
        <v>6673</v>
      </c>
      <c r="G2575" s="7" t="s">
        <v>7150</v>
      </c>
      <c r="H2575" s="7" t="s">
        <v>7156</v>
      </c>
      <c r="I2575" s="7"/>
      <c r="J2575" s="10">
        <v>45863</v>
      </c>
      <c r="K2575" s="7" t="s">
        <v>7164</v>
      </c>
      <c r="L2575" s="7"/>
      <c r="M2575" s="7"/>
    </row>
    <row r="2576" spans="1:13" x14ac:dyDescent="0.3">
      <c r="A2576" s="7">
        <v>16596</v>
      </c>
      <c r="B2576" s="7" t="s">
        <v>2584</v>
      </c>
      <c r="C2576" s="7" t="s">
        <v>6666</v>
      </c>
      <c r="D2576" s="7" t="s">
        <v>6672</v>
      </c>
      <c r="E2576" s="7" t="s">
        <v>6295</v>
      </c>
      <c r="F2576" s="7" t="s">
        <v>6673</v>
      </c>
      <c r="G2576" s="7" t="s">
        <v>7150</v>
      </c>
      <c r="H2576" s="7" t="s">
        <v>7156</v>
      </c>
      <c r="I2576" s="7"/>
      <c r="J2576" s="10">
        <v>45491</v>
      </c>
      <c r="K2576" s="7" t="s">
        <v>7164</v>
      </c>
      <c r="L2576" s="7"/>
      <c r="M2576" s="7"/>
    </row>
    <row r="2577" spans="1:13" x14ac:dyDescent="0.3">
      <c r="A2577" s="7">
        <v>11331</v>
      </c>
      <c r="B2577" s="7" t="s">
        <v>2585</v>
      </c>
      <c r="C2577" s="7" t="s">
        <v>6666</v>
      </c>
      <c r="D2577" s="7" t="s">
        <v>6672</v>
      </c>
      <c r="E2577" s="7" t="s">
        <v>6295</v>
      </c>
      <c r="F2577" s="7" t="s">
        <v>6673</v>
      </c>
      <c r="G2577" s="7" t="s">
        <v>7150</v>
      </c>
      <c r="H2577" s="7" t="s">
        <v>7156</v>
      </c>
      <c r="I2577" s="7"/>
      <c r="J2577" s="10">
        <v>42538</v>
      </c>
      <c r="K2577" s="7" t="s">
        <v>7164</v>
      </c>
      <c r="L2577" s="7"/>
      <c r="M2577" s="7"/>
    </row>
    <row r="2578" spans="1:13" x14ac:dyDescent="0.3">
      <c r="A2578" s="7">
        <v>11781</v>
      </c>
      <c r="B2578" s="7" t="s">
        <v>2586</v>
      </c>
      <c r="C2578" s="7" t="s">
        <v>6666</v>
      </c>
      <c r="D2578" s="7" t="s">
        <v>6672</v>
      </c>
      <c r="E2578" s="7" t="s">
        <v>6295</v>
      </c>
      <c r="F2578" s="7" t="s">
        <v>6673</v>
      </c>
      <c r="G2578" s="7" t="s">
        <v>7150</v>
      </c>
      <c r="H2578" s="7" t="s">
        <v>7156</v>
      </c>
      <c r="I2578" s="7"/>
      <c r="J2578" s="10">
        <v>43117</v>
      </c>
      <c r="K2578" s="7" t="s">
        <v>7164</v>
      </c>
      <c r="L2578" s="7"/>
      <c r="M2578" s="7"/>
    </row>
    <row r="2579" spans="1:13" x14ac:dyDescent="0.3">
      <c r="A2579" s="7">
        <v>15948</v>
      </c>
      <c r="B2579" s="7" t="s">
        <v>2587</v>
      </c>
      <c r="C2579" s="7" t="s">
        <v>6674</v>
      </c>
      <c r="D2579" s="7" t="s">
        <v>6295</v>
      </c>
      <c r="E2579" s="7" t="s">
        <v>6295</v>
      </c>
      <c r="F2579" s="7" t="s">
        <v>6516</v>
      </c>
      <c r="G2579" s="7" t="s">
        <v>7150</v>
      </c>
      <c r="H2579" s="7" t="s">
        <v>7156</v>
      </c>
      <c r="I2579" s="7"/>
      <c r="J2579" s="10">
        <v>45244</v>
      </c>
      <c r="K2579" s="7" t="s">
        <v>7164</v>
      </c>
      <c r="L2579" s="7"/>
      <c r="M2579" s="7"/>
    </row>
    <row r="2580" spans="1:13" x14ac:dyDescent="0.3">
      <c r="A2580" s="7">
        <v>16546</v>
      </c>
      <c r="B2580" s="7" t="s">
        <v>2588</v>
      </c>
      <c r="C2580" s="7" t="s">
        <v>6674</v>
      </c>
      <c r="D2580" s="7" t="s">
        <v>6675</v>
      </c>
      <c r="E2580" s="7" t="s">
        <v>6295</v>
      </c>
      <c r="F2580" s="7" t="s">
        <v>6333</v>
      </c>
      <c r="G2580" s="7" t="s">
        <v>7152</v>
      </c>
      <c r="H2580" s="7" t="s">
        <v>7156</v>
      </c>
      <c r="I2580" s="7"/>
      <c r="J2580" s="10">
        <v>45475</v>
      </c>
      <c r="K2580" s="7" t="s">
        <v>7164</v>
      </c>
      <c r="L2580" s="7"/>
      <c r="M2580" s="7"/>
    </row>
    <row r="2581" spans="1:13" x14ac:dyDescent="0.3">
      <c r="A2581" s="7">
        <v>18611</v>
      </c>
      <c r="B2581" s="7" t="s">
        <v>2589</v>
      </c>
      <c r="C2581" s="7" t="s">
        <v>6674</v>
      </c>
      <c r="D2581" s="7" t="s">
        <v>6676</v>
      </c>
      <c r="E2581" s="7" t="s">
        <v>6295</v>
      </c>
      <c r="F2581" s="7" t="s">
        <v>6333</v>
      </c>
      <c r="G2581" s="7" t="s">
        <v>7150</v>
      </c>
      <c r="H2581" s="7" t="s">
        <v>7156</v>
      </c>
      <c r="I2581" s="7"/>
      <c r="J2581" s="10">
        <v>46164</v>
      </c>
      <c r="K2581" s="7" t="s">
        <v>7164</v>
      </c>
      <c r="L2581" s="7"/>
      <c r="M2581" s="7"/>
    </row>
    <row r="2582" spans="1:13" x14ac:dyDescent="0.3">
      <c r="A2582" s="7">
        <v>16392</v>
      </c>
      <c r="B2582" s="7" t="s">
        <v>2590</v>
      </c>
      <c r="C2582" s="7" t="s">
        <v>6674</v>
      </c>
      <c r="D2582" s="7" t="s">
        <v>6677</v>
      </c>
      <c r="E2582" s="7" t="s">
        <v>6295</v>
      </c>
      <c r="F2582" s="7" t="s">
        <v>6630</v>
      </c>
      <c r="G2582" s="7" t="s">
        <v>7150</v>
      </c>
      <c r="H2582" s="7" t="s">
        <v>7156</v>
      </c>
      <c r="I2582" s="7"/>
      <c r="J2582" s="10">
        <v>45383</v>
      </c>
      <c r="K2582" s="7" t="s">
        <v>7164</v>
      </c>
      <c r="L2582" s="7"/>
      <c r="M2582" s="7"/>
    </row>
    <row r="2583" spans="1:13" x14ac:dyDescent="0.3">
      <c r="A2583" s="7">
        <v>12821</v>
      </c>
      <c r="B2583" s="7" t="s">
        <v>2591</v>
      </c>
      <c r="C2583" s="7" t="s">
        <v>6678</v>
      </c>
      <c r="D2583" s="7" t="s">
        <v>6679</v>
      </c>
      <c r="E2583" s="7" t="s">
        <v>6295</v>
      </c>
      <c r="F2583" s="7" t="s">
        <v>6333</v>
      </c>
      <c r="G2583" s="7" t="s">
        <v>7150</v>
      </c>
      <c r="H2583" s="7" t="s">
        <v>7156</v>
      </c>
      <c r="I2583" s="7"/>
      <c r="J2583" s="10">
        <v>43970</v>
      </c>
      <c r="K2583" s="7" t="s">
        <v>7164</v>
      </c>
      <c r="L2583" s="7"/>
      <c r="M2583" s="7"/>
    </row>
    <row r="2584" spans="1:13" x14ac:dyDescent="0.3">
      <c r="A2584" s="7">
        <v>18401</v>
      </c>
      <c r="B2584" s="7" t="s">
        <v>2592</v>
      </c>
      <c r="C2584" s="7" t="s">
        <v>6674</v>
      </c>
      <c r="D2584" s="7" t="s">
        <v>6680</v>
      </c>
      <c r="E2584" s="7" t="s">
        <v>6295</v>
      </c>
      <c r="F2584" s="7" t="s">
        <v>6333</v>
      </c>
      <c r="G2584" s="7" t="s">
        <v>7150</v>
      </c>
      <c r="H2584" s="7" t="s">
        <v>7156</v>
      </c>
      <c r="I2584" s="7"/>
      <c r="J2584" s="10">
        <v>46135</v>
      </c>
      <c r="K2584" s="7" t="s">
        <v>7164</v>
      </c>
      <c r="L2584" s="7"/>
      <c r="M2584" s="7"/>
    </row>
    <row r="2585" spans="1:13" x14ac:dyDescent="0.3">
      <c r="A2585" s="7">
        <v>11813</v>
      </c>
      <c r="B2585" s="7" t="s">
        <v>2593</v>
      </c>
      <c r="C2585" s="7" t="s">
        <v>6349</v>
      </c>
      <c r="D2585" s="7" t="s">
        <v>6418</v>
      </c>
      <c r="E2585" s="7" t="s">
        <v>6681</v>
      </c>
      <c r="F2585" s="7" t="s">
        <v>6333</v>
      </c>
      <c r="G2585" s="7" t="s">
        <v>7150</v>
      </c>
      <c r="H2585" s="7" t="s">
        <v>7156</v>
      </c>
      <c r="I2585" s="7"/>
      <c r="J2585" s="10">
        <v>43154</v>
      </c>
      <c r="K2585" s="7" t="s">
        <v>7164</v>
      </c>
      <c r="L2585" s="7"/>
      <c r="M2585" s="7"/>
    </row>
    <row r="2586" spans="1:13" x14ac:dyDescent="0.3">
      <c r="A2586" s="7">
        <v>16387</v>
      </c>
      <c r="B2586" s="7" t="s">
        <v>2594</v>
      </c>
      <c r="C2586" s="7" t="s">
        <v>6349</v>
      </c>
      <c r="D2586" s="7" t="s">
        <v>6418</v>
      </c>
      <c r="E2586" s="7" t="s">
        <v>6682</v>
      </c>
      <c r="F2586" s="7" t="s">
        <v>6333</v>
      </c>
      <c r="G2586" s="7" t="s">
        <v>7150</v>
      </c>
      <c r="H2586" s="7" t="s">
        <v>7156</v>
      </c>
      <c r="I2586" s="7"/>
      <c r="J2586" s="10">
        <v>45383</v>
      </c>
      <c r="K2586" s="7" t="s">
        <v>7164</v>
      </c>
      <c r="L2586" s="7"/>
      <c r="M2586" s="7"/>
    </row>
    <row r="2587" spans="1:13" x14ac:dyDescent="0.3">
      <c r="A2587" s="7">
        <v>16459</v>
      </c>
      <c r="B2587" s="7" t="s">
        <v>2595</v>
      </c>
      <c r="C2587" s="7" t="s">
        <v>6653</v>
      </c>
      <c r="D2587" s="7" t="s">
        <v>6295</v>
      </c>
      <c r="E2587" s="7" t="s">
        <v>6295</v>
      </c>
      <c r="F2587" s="7" t="s">
        <v>6356</v>
      </c>
      <c r="G2587" s="7" t="s">
        <v>7150</v>
      </c>
      <c r="H2587" s="7" t="s">
        <v>7156</v>
      </c>
      <c r="I2587" s="7"/>
      <c r="J2587" s="10">
        <v>45408</v>
      </c>
      <c r="K2587" s="7" t="s">
        <v>7163</v>
      </c>
      <c r="L2587" s="7"/>
      <c r="M2587" s="7"/>
    </row>
    <row r="2588" spans="1:13" x14ac:dyDescent="0.3">
      <c r="A2588" s="7">
        <v>13563</v>
      </c>
      <c r="B2588" s="7" t="s">
        <v>2596</v>
      </c>
      <c r="C2588" s="7" t="s">
        <v>6653</v>
      </c>
      <c r="D2588" s="7" t="s">
        <v>6683</v>
      </c>
      <c r="E2588" s="7" t="s">
        <v>6295</v>
      </c>
      <c r="F2588" s="7" t="s">
        <v>6338</v>
      </c>
      <c r="G2588" s="7" t="s">
        <v>7150</v>
      </c>
      <c r="H2588" s="7" t="s">
        <v>7156</v>
      </c>
      <c r="I2588" s="7"/>
      <c r="J2588" s="10">
        <v>44501</v>
      </c>
      <c r="K2588" s="7" t="s">
        <v>7163</v>
      </c>
      <c r="L2588" s="7"/>
      <c r="M2588" s="7"/>
    </row>
    <row r="2589" spans="1:13" x14ac:dyDescent="0.3">
      <c r="A2589" s="7">
        <v>16828</v>
      </c>
      <c r="B2589" s="7" t="s">
        <v>2597</v>
      </c>
      <c r="C2589" s="7" t="s">
        <v>6653</v>
      </c>
      <c r="D2589" s="7" t="s">
        <v>6684</v>
      </c>
      <c r="E2589" s="7" t="s">
        <v>6295</v>
      </c>
      <c r="F2589" s="7" t="s">
        <v>6413</v>
      </c>
      <c r="G2589" s="7" t="s">
        <v>7150</v>
      </c>
      <c r="H2589" s="7" t="s">
        <v>7156</v>
      </c>
      <c r="I2589" s="7"/>
      <c r="J2589" s="10">
        <v>45561</v>
      </c>
      <c r="K2589" s="7" t="s">
        <v>7163</v>
      </c>
      <c r="L2589" s="7"/>
      <c r="M2589" s="7"/>
    </row>
    <row r="2590" spans="1:13" x14ac:dyDescent="0.3">
      <c r="A2590" s="7">
        <v>16947</v>
      </c>
      <c r="B2590" s="7" t="s">
        <v>2598</v>
      </c>
      <c r="C2590" s="7" t="s">
        <v>6653</v>
      </c>
      <c r="D2590" s="7" t="s">
        <v>6684</v>
      </c>
      <c r="E2590" s="7" t="s">
        <v>6295</v>
      </c>
      <c r="F2590" s="7" t="s">
        <v>6413</v>
      </c>
      <c r="G2590" s="7" t="s">
        <v>7150</v>
      </c>
      <c r="H2590" s="7" t="s">
        <v>7156</v>
      </c>
      <c r="I2590" s="7"/>
      <c r="J2590" s="10">
        <v>45569</v>
      </c>
      <c r="K2590" s="7" t="s">
        <v>7163</v>
      </c>
      <c r="L2590" s="7"/>
      <c r="M2590" s="7"/>
    </row>
    <row r="2591" spans="1:13" x14ac:dyDescent="0.3">
      <c r="A2591" s="7">
        <v>16325</v>
      </c>
      <c r="B2591" s="7" t="s">
        <v>2599</v>
      </c>
      <c r="C2591" s="7" t="s">
        <v>6653</v>
      </c>
      <c r="D2591" s="7" t="s">
        <v>6684</v>
      </c>
      <c r="E2591" s="7" t="s">
        <v>6295</v>
      </c>
      <c r="F2591" s="7" t="s">
        <v>6413</v>
      </c>
      <c r="G2591" s="7" t="s">
        <v>7150</v>
      </c>
      <c r="H2591" s="7" t="s">
        <v>7156</v>
      </c>
      <c r="I2591" s="7"/>
      <c r="J2591" s="10">
        <v>45344</v>
      </c>
      <c r="K2591" s="7" t="s">
        <v>7163</v>
      </c>
      <c r="L2591" s="7"/>
      <c r="M2591" s="7"/>
    </row>
    <row r="2592" spans="1:13" x14ac:dyDescent="0.3">
      <c r="A2592" s="7">
        <v>17408</v>
      </c>
      <c r="B2592" s="7" t="s">
        <v>2600</v>
      </c>
      <c r="C2592" s="7" t="s">
        <v>6653</v>
      </c>
      <c r="D2592" s="7" t="s">
        <v>6684</v>
      </c>
      <c r="E2592" s="7" t="s">
        <v>6295</v>
      </c>
      <c r="F2592" s="7" t="s">
        <v>6413</v>
      </c>
      <c r="G2592" s="7" t="s">
        <v>7150</v>
      </c>
      <c r="H2592" s="7" t="s">
        <v>7156</v>
      </c>
      <c r="I2592" s="7"/>
      <c r="J2592" s="10">
        <v>45733</v>
      </c>
      <c r="K2592" s="7" t="s">
        <v>7163</v>
      </c>
      <c r="L2592" s="7"/>
      <c r="M2592" s="7"/>
    </row>
    <row r="2593" spans="1:13" x14ac:dyDescent="0.3">
      <c r="A2593" s="7">
        <v>13874</v>
      </c>
      <c r="B2593" s="7" t="s">
        <v>2601</v>
      </c>
      <c r="C2593" s="7" t="s">
        <v>6653</v>
      </c>
      <c r="D2593" s="7" t="s">
        <v>6684</v>
      </c>
      <c r="E2593" s="7" t="s">
        <v>6295</v>
      </c>
      <c r="F2593" s="7" t="s">
        <v>6340</v>
      </c>
      <c r="G2593" s="7" t="s">
        <v>7150</v>
      </c>
      <c r="H2593" s="7" t="s">
        <v>7156</v>
      </c>
      <c r="I2593" s="7"/>
      <c r="J2593" s="10">
        <v>44613</v>
      </c>
      <c r="K2593" s="7" t="s">
        <v>7163</v>
      </c>
      <c r="L2593" s="7"/>
      <c r="M2593" s="7"/>
    </row>
    <row r="2594" spans="1:13" x14ac:dyDescent="0.3">
      <c r="A2594" s="7">
        <v>12665</v>
      </c>
      <c r="B2594" s="7" t="s">
        <v>2602</v>
      </c>
      <c r="C2594" s="7" t="s">
        <v>6685</v>
      </c>
      <c r="D2594" s="7" t="s">
        <v>6295</v>
      </c>
      <c r="E2594" s="7" t="s">
        <v>6295</v>
      </c>
      <c r="F2594" s="7" t="s">
        <v>6336</v>
      </c>
      <c r="G2594" s="7" t="s">
        <v>7150</v>
      </c>
      <c r="H2594" s="7" t="s">
        <v>7156</v>
      </c>
      <c r="I2594" s="7"/>
      <c r="J2594" s="10">
        <v>43864</v>
      </c>
      <c r="K2594" s="7" t="s">
        <v>7163</v>
      </c>
      <c r="L2594" s="7"/>
      <c r="M2594" s="7"/>
    </row>
    <row r="2595" spans="1:13" x14ac:dyDescent="0.3">
      <c r="A2595" s="7">
        <v>14180</v>
      </c>
      <c r="B2595" s="7" t="s">
        <v>2603</v>
      </c>
      <c r="C2595" s="7" t="s">
        <v>6685</v>
      </c>
      <c r="D2595" s="7" t="s">
        <v>6686</v>
      </c>
      <c r="E2595" s="7" t="s">
        <v>6295</v>
      </c>
      <c r="F2595" s="7" t="s">
        <v>6335</v>
      </c>
      <c r="G2595" s="7" t="s">
        <v>7150</v>
      </c>
      <c r="H2595" s="7" t="s">
        <v>7156</v>
      </c>
      <c r="I2595" s="7"/>
      <c r="J2595" s="10">
        <v>44687</v>
      </c>
      <c r="K2595" s="7" t="s">
        <v>7163</v>
      </c>
      <c r="L2595" s="7"/>
      <c r="M2595" s="7"/>
    </row>
    <row r="2596" spans="1:13" x14ac:dyDescent="0.3">
      <c r="A2596" s="7">
        <v>11638</v>
      </c>
      <c r="B2596" s="7" t="s">
        <v>2604</v>
      </c>
      <c r="C2596" s="7" t="s">
        <v>6685</v>
      </c>
      <c r="D2596" s="7" t="s">
        <v>6686</v>
      </c>
      <c r="E2596" s="7" t="s">
        <v>6295</v>
      </c>
      <c r="F2596" s="7" t="s">
        <v>6687</v>
      </c>
      <c r="G2596" s="7" t="s">
        <v>7150</v>
      </c>
      <c r="H2596" s="7" t="s">
        <v>7156</v>
      </c>
      <c r="I2596" s="7"/>
      <c r="J2596" s="10">
        <v>42962</v>
      </c>
      <c r="K2596" s="7" t="s">
        <v>7163</v>
      </c>
      <c r="L2596" s="7"/>
      <c r="M2596" s="7"/>
    </row>
    <row r="2597" spans="1:13" x14ac:dyDescent="0.3">
      <c r="A2597" s="7">
        <v>16483</v>
      </c>
      <c r="B2597" s="7" t="s">
        <v>2605</v>
      </c>
      <c r="C2597" s="7" t="s">
        <v>6685</v>
      </c>
      <c r="D2597" s="7" t="s">
        <v>6686</v>
      </c>
      <c r="E2597" s="7" t="s">
        <v>6295</v>
      </c>
      <c r="F2597" s="7" t="s">
        <v>6353</v>
      </c>
      <c r="G2597" s="7" t="s">
        <v>7150</v>
      </c>
      <c r="H2597" s="7" t="s">
        <v>7156</v>
      </c>
      <c r="I2597" s="7"/>
      <c r="J2597" s="10">
        <v>45433</v>
      </c>
      <c r="K2597" s="7" t="s">
        <v>7163</v>
      </c>
      <c r="L2597" s="7"/>
      <c r="M2597" s="7"/>
    </row>
    <row r="2598" spans="1:13" x14ac:dyDescent="0.3">
      <c r="A2598" s="7">
        <v>18730</v>
      </c>
      <c r="B2598" s="7" t="s">
        <v>2606</v>
      </c>
      <c r="C2598" s="7" t="s">
        <v>6685</v>
      </c>
      <c r="D2598" s="7" t="s">
        <v>6686</v>
      </c>
      <c r="E2598" s="7" t="s">
        <v>6295</v>
      </c>
      <c r="F2598" s="7" t="s">
        <v>6353</v>
      </c>
      <c r="G2598" s="7" t="s">
        <v>7150</v>
      </c>
      <c r="H2598" s="7" t="s">
        <v>7156</v>
      </c>
      <c r="I2598" s="7" t="s">
        <v>7159</v>
      </c>
      <c r="J2598" s="10">
        <v>46195</v>
      </c>
      <c r="K2598" s="7" t="s">
        <v>7163</v>
      </c>
      <c r="L2598" s="7"/>
      <c r="M2598" s="7"/>
    </row>
    <row r="2599" spans="1:13" x14ac:dyDescent="0.3">
      <c r="A2599" s="7">
        <v>18729</v>
      </c>
      <c r="B2599" s="7" t="s">
        <v>2607</v>
      </c>
      <c r="C2599" s="7" t="s">
        <v>6685</v>
      </c>
      <c r="D2599" s="7" t="s">
        <v>6686</v>
      </c>
      <c r="E2599" s="7" t="s">
        <v>6295</v>
      </c>
      <c r="F2599" s="7" t="s">
        <v>6340</v>
      </c>
      <c r="G2599" s="7" t="s">
        <v>7150</v>
      </c>
      <c r="H2599" s="7" t="s">
        <v>7156</v>
      </c>
      <c r="I2599" s="7" t="s">
        <v>7159</v>
      </c>
      <c r="J2599" s="10">
        <v>46195</v>
      </c>
      <c r="K2599" s="7" t="s">
        <v>7163</v>
      </c>
      <c r="L2599" s="7"/>
      <c r="M2599" s="7"/>
    </row>
    <row r="2600" spans="1:13" x14ac:dyDescent="0.3">
      <c r="A2600" s="7">
        <v>18808</v>
      </c>
      <c r="B2600" s="7" t="s">
        <v>2608</v>
      </c>
      <c r="C2600" s="7" t="s">
        <v>6685</v>
      </c>
      <c r="D2600" s="7" t="s">
        <v>6686</v>
      </c>
      <c r="E2600" s="7" t="s">
        <v>6295</v>
      </c>
      <c r="F2600" s="7" t="s">
        <v>6340</v>
      </c>
      <c r="G2600" s="7" t="s">
        <v>7150</v>
      </c>
      <c r="H2600" s="7" t="s">
        <v>7156</v>
      </c>
      <c r="I2600" s="7" t="s">
        <v>7159</v>
      </c>
      <c r="J2600" s="10">
        <v>46213</v>
      </c>
      <c r="K2600" s="7" t="s">
        <v>7163</v>
      </c>
      <c r="L2600" s="7"/>
      <c r="M2600" s="7" t="s">
        <v>7242</v>
      </c>
    </row>
    <row r="2601" spans="1:13" x14ac:dyDescent="0.3">
      <c r="A2601" s="7">
        <v>11178</v>
      </c>
      <c r="B2601" s="7" t="s">
        <v>2609</v>
      </c>
      <c r="C2601" s="7" t="s">
        <v>6653</v>
      </c>
      <c r="D2601" s="7" t="s">
        <v>6688</v>
      </c>
      <c r="E2601" s="7" t="s">
        <v>6295</v>
      </c>
      <c r="F2601" s="7" t="s">
        <v>6335</v>
      </c>
      <c r="G2601" s="7" t="s">
        <v>7150</v>
      </c>
      <c r="H2601" s="7" t="s">
        <v>7156</v>
      </c>
      <c r="I2601" s="7"/>
      <c r="J2601" s="10">
        <v>42360</v>
      </c>
      <c r="K2601" s="7" t="s">
        <v>7163</v>
      </c>
      <c r="L2601" s="7"/>
      <c r="M2601" s="7"/>
    </row>
    <row r="2602" spans="1:13" x14ac:dyDescent="0.3">
      <c r="A2602" s="7">
        <v>17109</v>
      </c>
      <c r="B2602" s="7" t="s">
        <v>2610</v>
      </c>
      <c r="C2602" s="7" t="s">
        <v>6653</v>
      </c>
      <c r="D2602" s="7" t="s">
        <v>6688</v>
      </c>
      <c r="E2602" s="7" t="s">
        <v>6295</v>
      </c>
      <c r="F2602" s="7" t="s">
        <v>6353</v>
      </c>
      <c r="G2602" s="7" t="s">
        <v>7150</v>
      </c>
      <c r="H2602" s="7" t="s">
        <v>7156</v>
      </c>
      <c r="I2602" s="7"/>
      <c r="J2602" s="10">
        <v>45632</v>
      </c>
      <c r="K2602" s="7" t="s">
        <v>7163</v>
      </c>
      <c r="L2602" s="7"/>
      <c r="M2602" s="7"/>
    </row>
    <row r="2603" spans="1:13" x14ac:dyDescent="0.3">
      <c r="A2603" s="7">
        <v>18811</v>
      </c>
      <c r="B2603" s="7" t="s">
        <v>2611</v>
      </c>
      <c r="C2603" s="7" t="s">
        <v>6653</v>
      </c>
      <c r="D2603" s="7" t="s">
        <v>6688</v>
      </c>
      <c r="E2603" s="7" t="s">
        <v>6295</v>
      </c>
      <c r="F2603" s="7" t="s">
        <v>6340</v>
      </c>
      <c r="G2603" s="7" t="s">
        <v>7150</v>
      </c>
      <c r="H2603" s="7" t="s">
        <v>7156</v>
      </c>
      <c r="I2603" s="7" t="s">
        <v>7159</v>
      </c>
      <c r="J2603" s="10">
        <v>46213</v>
      </c>
      <c r="K2603" s="7" t="s">
        <v>7163</v>
      </c>
      <c r="L2603" s="7"/>
      <c r="M2603" s="7"/>
    </row>
    <row r="2604" spans="1:13" x14ac:dyDescent="0.3">
      <c r="A2604" s="7">
        <v>16973</v>
      </c>
      <c r="B2604" s="7" t="s">
        <v>2612</v>
      </c>
      <c r="C2604" s="7" t="s">
        <v>6653</v>
      </c>
      <c r="D2604" s="7" t="s">
        <v>6688</v>
      </c>
      <c r="E2604" s="7" t="s">
        <v>6295</v>
      </c>
      <c r="F2604" s="7" t="s">
        <v>6341</v>
      </c>
      <c r="G2604" s="7" t="s">
        <v>7150</v>
      </c>
      <c r="H2604" s="7" t="s">
        <v>7156</v>
      </c>
      <c r="I2604" s="7"/>
      <c r="J2604" s="10">
        <v>45586</v>
      </c>
      <c r="K2604" s="7" t="s">
        <v>7163</v>
      </c>
      <c r="L2604" s="7"/>
      <c r="M2604" s="7"/>
    </row>
    <row r="2605" spans="1:13" x14ac:dyDescent="0.3">
      <c r="A2605" s="7">
        <v>17876</v>
      </c>
      <c r="B2605" s="7" t="s">
        <v>2613</v>
      </c>
      <c r="C2605" s="7" t="s">
        <v>6685</v>
      </c>
      <c r="D2605" s="7" t="s">
        <v>6686</v>
      </c>
      <c r="E2605" s="7" t="s">
        <v>6295</v>
      </c>
      <c r="F2605" s="7" t="s">
        <v>6353</v>
      </c>
      <c r="G2605" s="7" t="s">
        <v>7150</v>
      </c>
      <c r="H2605" s="7" t="s">
        <v>7156</v>
      </c>
      <c r="I2605" s="7"/>
      <c r="J2605" s="10">
        <v>45916</v>
      </c>
      <c r="K2605" s="7" t="s">
        <v>7163</v>
      </c>
      <c r="L2605" s="7"/>
      <c r="M2605" s="7"/>
    </row>
    <row r="2606" spans="1:13" x14ac:dyDescent="0.3">
      <c r="A2606" s="7">
        <v>17041</v>
      </c>
      <c r="B2606" s="7" t="s">
        <v>2614</v>
      </c>
      <c r="C2606" s="7" t="s">
        <v>6685</v>
      </c>
      <c r="D2606" s="7" t="s">
        <v>6686</v>
      </c>
      <c r="E2606" s="7" t="s">
        <v>6295</v>
      </c>
      <c r="F2606" s="7" t="s">
        <v>6340</v>
      </c>
      <c r="G2606" s="7" t="s">
        <v>7150</v>
      </c>
      <c r="H2606" s="7" t="s">
        <v>7156</v>
      </c>
      <c r="I2606" s="7"/>
      <c r="J2606" s="10">
        <v>45600</v>
      </c>
      <c r="K2606" s="7" t="s">
        <v>7163</v>
      </c>
      <c r="L2606" s="7"/>
      <c r="M2606" s="7"/>
    </row>
    <row r="2607" spans="1:13" x14ac:dyDescent="0.3">
      <c r="A2607" s="7">
        <v>18649</v>
      </c>
      <c r="B2607" s="7" t="s">
        <v>2615</v>
      </c>
      <c r="C2607" s="7" t="s">
        <v>6685</v>
      </c>
      <c r="D2607" s="7" t="s">
        <v>6686</v>
      </c>
      <c r="E2607" s="7" t="s">
        <v>6295</v>
      </c>
      <c r="F2607" s="7" t="s">
        <v>6341</v>
      </c>
      <c r="G2607" s="7" t="s">
        <v>7150</v>
      </c>
      <c r="H2607" s="7" t="s">
        <v>7156</v>
      </c>
      <c r="I2607" s="7"/>
      <c r="J2607" s="10">
        <v>46183</v>
      </c>
      <c r="K2607" s="7" t="s">
        <v>7163</v>
      </c>
      <c r="L2607" s="7"/>
      <c r="M2607" s="7"/>
    </row>
    <row r="2608" spans="1:13" x14ac:dyDescent="0.3">
      <c r="A2608" s="7">
        <v>16296</v>
      </c>
      <c r="B2608" s="7" t="s">
        <v>2616</v>
      </c>
      <c r="C2608" s="7" t="s">
        <v>6653</v>
      </c>
      <c r="D2608" s="7" t="s">
        <v>6688</v>
      </c>
      <c r="E2608" s="7" t="s">
        <v>6295</v>
      </c>
      <c r="F2608" s="7" t="s">
        <v>6340</v>
      </c>
      <c r="G2608" s="7" t="s">
        <v>7150</v>
      </c>
      <c r="H2608" s="7" t="s">
        <v>7156</v>
      </c>
      <c r="I2608" s="7"/>
      <c r="J2608" s="10">
        <v>45344</v>
      </c>
      <c r="K2608" s="7" t="s">
        <v>7163</v>
      </c>
      <c r="L2608" s="7"/>
      <c r="M2608" s="7"/>
    </row>
    <row r="2609" spans="1:13" x14ac:dyDescent="0.3">
      <c r="A2609" s="7">
        <v>12910</v>
      </c>
      <c r="B2609" s="7" t="s">
        <v>2617</v>
      </c>
      <c r="C2609" s="7" t="s">
        <v>6685</v>
      </c>
      <c r="D2609" s="7" t="s">
        <v>6689</v>
      </c>
      <c r="E2609" s="7" t="s">
        <v>6295</v>
      </c>
      <c r="F2609" s="7" t="s">
        <v>6335</v>
      </c>
      <c r="G2609" s="7" t="s">
        <v>7150</v>
      </c>
      <c r="H2609" s="7" t="s">
        <v>7156</v>
      </c>
      <c r="I2609" s="7"/>
      <c r="J2609" s="10">
        <v>44105</v>
      </c>
      <c r="K2609" s="7" t="s">
        <v>7163</v>
      </c>
      <c r="L2609" s="7"/>
      <c r="M2609" s="7"/>
    </row>
    <row r="2610" spans="1:13" x14ac:dyDescent="0.3">
      <c r="A2610" s="7">
        <v>16298</v>
      </c>
      <c r="B2610" s="7" t="s">
        <v>2618</v>
      </c>
      <c r="C2610" s="7" t="s">
        <v>6685</v>
      </c>
      <c r="D2610" s="7" t="s">
        <v>6689</v>
      </c>
      <c r="E2610" s="7" t="s">
        <v>6295</v>
      </c>
      <c r="F2610" s="7" t="s">
        <v>6441</v>
      </c>
      <c r="G2610" s="7" t="s">
        <v>7150</v>
      </c>
      <c r="H2610" s="7" t="s">
        <v>7156</v>
      </c>
      <c r="I2610" s="7"/>
      <c r="J2610" s="10">
        <v>45342</v>
      </c>
      <c r="K2610" s="7" t="s">
        <v>7163</v>
      </c>
      <c r="L2610" s="7"/>
      <c r="M2610" s="7"/>
    </row>
    <row r="2611" spans="1:13" x14ac:dyDescent="0.3">
      <c r="A2611" s="7">
        <v>12272</v>
      </c>
      <c r="B2611" s="7" t="s">
        <v>2619</v>
      </c>
      <c r="C2611" s="7" t="s">
        <v>6685</v>
      </c>
      <c r="D2611" s="7" t="s">
        <v>6689</v>
      </c>
      <c r="E2611" s="7" t="s">
        <v>6295</v>
      </c>
      <c r="F2611" s="7" t="s">
        <v>6340</v>
      </c>
      <c r="G2611" s="7" t="s">
        <v>7150</v>
      </c>
      <c r="H2611" s="7" t="s">
        <v>7156</v>
      </c>
      <c r="I2611" s="7"/>
      <c r="J2611" s="10">
        <v>43657</v>
      </c>
      <c r="K2611" s="7" t="s">
        <v>7163</v>
      </c>
      <c r="L2611" s="7"/>
      <c r="M2611" s="7"/>
    </row>
    <row r="2612" spans="1:13" x14ac:dyDescent="0.3">
      <c r="A2612" s="7">
        <v>17605</v>
      </c>
      <c r="B2612" s="7" t="s">
        <v>2620</v>
      </c>
      <c r="C2612" s="7" t="s">
        <v>6685</v>
      </c>
      <c r="D2612" s="7" t="s">
        <v>6689</v>
      </c>
      <c r="E2612" s="7" t="s">
        <v>6295</v>
      </c>
      <c r="F2612" s="7" t="s">
        <v>6340</v>
      </c>
      <c r="G2612" s="7" t="s">
        <v>7150</v>
      </c>
      <c r="H2612" s="7" t="s">
        <v>7156</v>
      </c>
      <c r="I2612" s="7"/>
      <c r="J2612" s="10">
        <v>45825</v>
      </c>
      <c r="K2612" s="7" t="s">
        <v>7163</v>
      </c>
      <c r="L2612" s="7"/>
      <c r="M2612" s="7"/>
    </row>
    <row r="2613" spans="1:13" x14ac:dyDescent="0.3">
      <c r="A2613" s="7">
        <v>17895</v>
      </c>
      <c r="B2613" s="7" t="s">
        <v>2621</v>
      </c>
      <c r="C2613" s="7" t="s">
        <v>6685</v>
      </c>
      <c r="D2613" s="7" t="s">
        <v>6689</v>
      </c>
      <c r="E2613" s="7" t="s">
        <v>6295</v>
      </c>
      <c r="F2613" s="7" t="s">
        <v>6341</v>
      </c>
      <c r="G2613" s="7" t="s">
        <v>7150</v>
      </c>
      <c r="H2613" s="7" t="s">
        <v>7156</v>
      </c>
      <c r="I2613" s="7"/>
      <c r="J2613" s="10">
        <v>45905</v>
      </c>
      <c r="K2613" s="7" t="s">
        <v>7163</v>
      </c>
      <c r="L2613" s="7"/>
      <c r="M2613" s="7"/>
    </row>
    <row r="2614" spans="1:13" x14ac:dyDescent="0.3">
      <c r="A2614" s="7">
        <v>17877</v>
      </c>
      <c r="B2614" s="7" t="s">
        <v>2622</v>
      </c>
      <c r="C2614" s="7" t="s">
        <v>6653</v>
      </c>
      <c r="D2614" s="7" t="s">
        <v>6688</v>
      </c>
      <c r="E2614" s="7" t="s">
        <v>6295</v>
      </c>
      <c r="F2614" s="7" t="s">
        <v>6341</v>
      </c>
      <c r="G2614" s="7" t="s">
        <v>7150</v>
      </c>
      <c r="H2614" s="7" t="s">
        <v>7156</v>
      </c>
      <c r="I2614" s="7"/>
      <c r="J2614" s="10">
        <v>45908</v>
      </c>
      <c r="K2614" s="7" t="s">
        <v>7163</v>
      </c>
      <c r="L2614" s="7"/>
      <c r="M2614" s="7"/>
    </row>
    <row r="2615" spans="1:13" x14ac:dyDescent="0.3">
      <c r="A2615" s="7">
        <v>19288</v>
      </c>
      <c r="B2615" s="7" t="s">
        <v>2623</v>
      </c>
      <c r="C2615" s="7" t="s">
        <v>6653</v>
      </c>
      <c r="D2615" s="7" t="s">
        <v>6688</v>
      </c>
      <c r="E2615" s="7" t="s">
        <v>6295</v>
      </c>
      <c r="F2615" s="7" t="s">
        <v>6341</v>
      </c>
      <c r="G2615" s="7" t="s">
        <v>7150</v>
      </c>
      <c r="H2615" s="7" t="s">
        <v>7156</v>
      </c>
      <c r="I2615" s="7"/>
      <c r="J2615" s="10">
        <v>46297</v>
      </c>
      <c r="K2615" s="7" t="s">
        <v>7163</v>
      </c>
      <c r="L2615" s="7"/>
      <c r="M2615" s="7"/>
    </row>
    <row r="2616" spans="1:13" x14ac:dyDescent="0.3">
      <c r="A2616" s="7">
        <v>17144</v>
      </c>
      <c r="B2616" s="7" t="s">
        <v>2624</v>
      </c>
      <c r="C2616" s="7" t="s">
        <v>6685</v>
      </c>
      <c r="D2616" s="7" t="s">
        <v>6686</v>
      </c>
      <c r="E2616" s="7" t="s">
        <v>6295</v>
      </c>
      <c r="F2616" s="7" t="s">
        <v>6341</v>
      </c>
      <c r="G2616" s="7" t="s">
        <v>7150</v>
      </c>
      <c r="H2616" s="7" t="s">
        <v>7156</v>
      </c>
      <c r="I2616" s="7"/>
      <c r="J2616" s="10">
        <v>45646</v>
      </c>
      <c r="K2616" s="7" t="s">
        <v>7163</v>
      </c>
      <c r="L2616" s="7"/>
      <c r="M2616" s="7"/>
    </row>
    <row r="2617" spans="1:13" x14ac:dyDescent="0.3">
      <c r="A2617" s="7">
        <v>12648</v>
      </c>
      <c r="B2617" s="7" t="s">
        <v>2625</v>
      </c>
      <c r="C2617" s="7" t="s">
        <v>6653</v>
      </c>
      <c r="D2617" s="7" t="s">
        <v>6683</v>
      </c>
      <c r="E2617" s="7" t="s">
        <v>6690</v>
      </c>
      <c r="F2617" s="7" t="s">
        <v>6498</v>
      </c>
      <c r="G2617" s="7" t="s">
        <v>7150</v>
      </c>
      <c r="H2617" s="7" t="s">
        <v>7156</v>
      </c>
      <c r="I2617" s="7"/>
      <c r="J2617" s="10">
        <v>43853</v>
      </c>
      <c r="K2617" s="7" t="s">
        <v>7163</v>
      </c>
      <c r="L2617" s="7"/>
      <c r="M2617" s="7"/>
    </row>
    <row r="2618" spans="1:13" x14ac:dyDescent="0.3">
      <c r="A2618" s="7">
        <v>12128</v>
      </c>
      <c r="B2618" s="7" t="s">
        <v>2626</v>
      </c>
      <c r="C2618" s="7" t="s">
        <v>6653</v>
      </c>
      <c r="D2618" s="7" t="s">
        <v>6683</v>
      </c>
      <c r="E2618" s="7" t="s">
        <v>6690</v>
      </c>
      <c r="F2618" s="7" t="s">
        <v>6353</v>
      </c>
      <c r="G2618" s="7" t="s">
        <v>7150</v>
      </c>
      <c r="H2618" s="7" t="s">
        <v>7156</v>
      </c>
      <c r="I2618" s="7"/>
      <c r="J2618" s="10">
        <v>43502</v>
      </c>
      <c r="K2618" s="7" t="s">
        <v>7163</v>
      </c>
      <c r="L2618" s="7"/>
      <c r="M2618" s="7"/>
    </row>
    <row r="2619" spans="1:13" x14ac:dyDescent="0.3">
      <c r="A2619" s="7">
        <v>12133</v>
      </c>
      <c r="B2619" s="7" t="s">
        <v>2627</v>
      </c>
      <c r="C2619" s="7" t="s">
        <v>6653</v>
      </c>
      <c r="D2619" s="7" t="s">
        <v>6683</v>
      </c>
      <c r="E2619" s="7" t="s">
        <v>6690</v>
      </c>
      <c r="F2619" s="7" t="s">
        <v>6353</v>
      </c>
      <c r="G2619" s="7" t="s">
        <v>7150</v>
      </c>
      <c r="H2619" s="7" t="s">
        <v>7156</v>
      </c>
      <c r="I2619" s="7"/>
      <c r="J2619" s="10">
        <v>43509</v>
      </c>
      <c r="K2619" s="7" t="s">
        <v>7163</v>
      </c>
      <c r="L2619" s="7"/>
      <c r="M2619" s="7"/>
    </row>
    <row r="2620" spans="1:13" x14ac:dyDescent="0.3">
      <c r="A2620" s="7">
        <v>13873</v>
      </c>
      <c r="B2620" s="7" t="s">
        <v>2628</v>
      </c>
      <c r="C2620" s="7" t="s">
        <v>6653</v>
      </c>
      <c r="D2620" s="7" t="s">
        <v>6683</v>
      </c>
      <c r="E2620" s="7" t="s">
        <v>6690</v>
      </c>
      <c r="F2620" s="7" t="s">
        <v>6353</v>
      </c>
      <c r="G2620" s="7" t="s">
        <v>7150</v>
      </c>
      <c r="H2620" s="7" t="s">
        <v>7156</v>
      </c>
      <c r="I2620" s="7"/>
      <c r="J2620" s="10">
        <v>44613</v>
      </c>
      <c r="K2620" s="7" t="s">
        <v>7163</v>
      </c>
      <c r="L2620" s="7"/>
      <c r="M2620" s="7"/>
    </row>
    <row r="2621" spans="1:13" x14ac:dyDescent="0.3">
      <c r="A2621" s="7">
        <v>13715</v>
      </c>
      <c r="B2621" s="7" t="s">
        <v>2629</v>
      </c>
      <c r="C2621" s="7" t="s">
        <v>6653</v>
      </c>
      <c r="D2621" s="7" t="s">
        <v>6683</v>
      </c>
      <c r="E2621" s="7" t="s">
        <v>6690</v>
      </c>
      <c r="F2621" s="7" t="s">
        <v>6340</v>
      </c>
      <c r="G2621" s="7" t="s">
        <v>7150</v>
      </c>
      <c r="H2621" s="7" t="s">
        <v>7156</v>
      </c>
      <c r="I2621" s="7"/>
      <c r="J2621" s="10">
        <v>44543</v>
      </c>
      <c r="K2621" s="7" t="s">
        <v>7163</v>
      </c>
      <c r="L2621" s="7"/>
      <c r="M2621" s="7"/>
    </row>
    <row r="2622" spans="1:13" x14ac:dyDescent="0.3">
      <c r="A2622" s="7">
        <v>14204</v>
      </c>
      <c r="B2622" s="7" t="s">
        <v>2630</v>
      </c>
      <c r="C2622" s="7" t="s">
        <v>6653</v>
      </c>
      <c r="D2622" s="7" t="s">
        <v>6683</v>
      </c>
      <c r="E2622" s="7" t="s">
        <v>6690</v>
      </c>
      <c r="F2622" s="7" t="s">
        <v>6340</v>
      </c>
      <c r="G2622" s="7" t="s">
        <v>7150</v>
      </c>
      <c r="H2622" s="7" t="s">
        <v>7156</v>
      </c>
      <c r="I2622" s="7"/>
      <c r="J2622" s="10">
        <v>44698</v>
      </c>
      <c r="K2622" s="7" t="s">
        <v>7163</v>
      </c>
      <c r="L2622" s="7"/>
      <c r="M2622" s="7"/>
    </row>
    <row r="2623" spans="1:13" x14ac:dyDescent="0.3">
      <c r="A2623" s="7">
        <v>13883</v>
      </c>
      <c r="B2623" s="7" t="s">
        <v>2631</v>
      </c>
      <c r="C2623" s="7" t="s">
        <v>6653</v>
      </c>
      <c r="D2623" s="7" t="s">
        <v>6683</v>
      </c>
      <c r="E2623" s="7" t="s">
        <v>6690</v>
      </c>
      <c r="F2623" s="7" t="s">
        <v>6340</v>
      </c>
      <c r="G2623" s="7" t="s">
        <v>7150</v>
      </c>
      <c r="H2623" s="7" t="s">
        <v>7156</v>
      </c>
      <c r="I2623" s="7"/>
      <c r="J2623" s="10">
        <v>44614</v>
      </c>
      <c r="K2623" s="7" t="s">
        <v>7163</v>
      </c>
      <c r="L2623" s="7"/>
      <c r="M2623" s="7"/>
    </row>
    <row r="2624" spans="1:13" x14ac:dyDescent="0.3">
      <c r="A2624" s="7">
        <v>14085</v>
      </c>
      <c r="B2624" s="7" t="s">
        <v>2632</v>
      </c>
      <c r="C2624" s="7" t="s">
        <v>6653</v>
      </c>
      <c r="D2624" s="7" t="s">
        <v>6683</v>
      </c>
      <c r="E2624" s="7" t="s">
        <v>6690</v>
      </c>
      <c r="F2624" s="7" t="s">
        <v>6340</v>
      </c>
      <c r="G2624" s="7" t="s">
        <v>7150</v>
      </c>
      <c r="H2624" s="7" t="s">
        <v>7156</v>
      </c>
      <c r="I2624" s="7"/>
      <c r="J2624" s="10">
        <v>44655</v>
      </c>
      <c r="K2624" s="7" t="s">
        <v>7163</v>
      </c>
      <c r="L2624" s="7"/>
      <c r="M2624" s="7"/>
    </row>
    <row r="2625" spans="1:13" x14ac:dyDescent="0.3">
      <c r="A2625" s="7">
        <v>15707</v>
      </c>
      <c r="B2625" s="7" t="s">
        <v>2633</v>
      </c>
      <c r="C2625" s="7" t="s">
        <v>6653</v>
      </c>
      <c r="D2625" s="7" t="s">
        <v>6683</v>
      </c>
      <c r="E2625" s="7" t="s">
        <v>6690</v>
      </c>
      <c r="F2625" s="7" t="s">
        <v>6341</v>
      </c>
      <c r="G2625" s="7" t="s">
        <v>7150</v>
      </c>
      <c r="H2625" s="7" t="s">
        <v>7156</v>
      </c>
      <c r="I2625" s="7"/>
      <c r="J2625" s="10">
        <v>45173</v>
      </c>
      <c r="K2625" s="7" t="s">
        <v>7163</v>
      </c>
      <c r="L2625" s="7"/>
      <c r="M2625" s="7"/>
    </row>
    <row r="2626" spans="1:13" x14ac:dyDescent="0.3">
      <c r="A2626" s="7">
        <v>15709</v>
      </c>
      <c r="B2626" s="7" t="s">
        <v>2634</v>
      </c>
      <c r="C2626" s="7" t="s">
        <v>6653</v>
      </c>
      <c r="D2626" s="7" t="s">
        <v>6683</v>
      </c>
      <c r="E2626" s="7" t="s">
        <v>6690</v>
      </c>
      <c r="F2626" s="7" t="s">
        <v>6340</v>
      </c>
      <c r="G2626" s="7" t="s">
        <v>7150</v>
      </c>
      <c r="H2626" s="7" t="s">
        <v>7156</v>
      </c>
      <c r="I2626" s="7"/>
      <c r="J2626" s="10">
        <v>45173</v>
      </c>
      <c r="K2626" s="7" t="s">
        <v>7163</v>
      </c>
      <c r="L2626" s="7"/>
      <c r="M2626" s="7"/>
    </row>
    <row r="2627" spans="1:13" x14ac:dyDescent="0.3">
      <c r="A2627" s="7">
        <v>15708</v>
      </c>
      <c r="B2627" s="7" t="s">
        <v>2635</v>
      </c>
      <c r="C2627" s="7" t="s">
        <v>6653</v>
      </c>
      <c r="D2627" s="7" t="s">
        <v>6683</v>
      </c>
      <c r="E2627" s="7" t="s">
        <v>6690</v>
      </c>
      <c r="F2627" s="7" t="s">
        <v>6341</v>
      </c>
      <c r="G2627" s="7" t="s">
        <v>7150</v>
      </c>
      <c r="H2627" s="7" t="s">
        <v>7156</v>
      </c>
      <c r="I2627" s="7"/>
      <c r="J2627" s="10">
        <v>45173</v>
      </c>
      <c r="K2627" s="7" t="s">
        <v>7163</v>
      </c>
      <c r="L2627" s="7"/>
      <c r="M2627" s="7"/>
    </row>
    <row r="2628" spans="1:13" x14ac:dyDescent="0.3">
      <c r="A2628" s="7">
        <v>11934</v>
      </c>
      <c r="B2628" s="7" t="s">
        <v>2636</v>
      </c>
      <c r="C2628" s="7" t="s">
        <v>6653</v>
      </c>
      <c r="D2628" s="7" t="s">
        <v>6683</v>
      </c>
      <c r="E2628" s="7" t="s">
        <v>6691</v>
      </c>
      <c r="F2628" s="7" t="s">
        <v>6353</v>
      </c>
      <c r="G2628" s="7" t="s">
        <v>7150</v>
      </c>
      <c r="H2628" s="7" t="s">
        <v>7156</v>
      </c>
      <c r="I2628" s="7"/>
      <c r="J2628" s="10">
        <v>43301</v>
      </c>
      <c r="K2628" s="7" t="s">
        <v>7163</v>
      </c>
      <c r="L2628" s="7"/>
      <c r="M2628" s="7"/>
    </row>
    <row r="2629" spans="1:13" x14ac:dyDescent="0.3">
      <c r="A2629" s="7">
        <v>12069</v>
      </c>
      <c r="B2629" s="7" t="s">
        <v>2637</v>
      </c>
      <c r="C2629" s="7" t="s">
        <v>6653</v>
      </c>
      <c r="D2629" s="7" t="s">
        <v>6683</v>
      </c>
      <c r="E2629" s="7" t="s">
        <v>6692</v>
      </c>
      <c r="F2629" s="7" t="s">
        <v>6498</v>
      </c>
      <c r="G2629" s="7" t="s">
        <v>7150</v>
      </c>
      <c r="H2629" s="7" t="s">
        <v>7156</v>
      </c>
      <c r="I2629" s="7"/>
      <c r="J2629" s="10">
        <v>43440</v>
      </c>
      <c r="K2629" s="7" t="s">
        <v>7163</v>
      </c>
      <c r="L2629" s="7"/>
      <c r="M2629" s="7"/>
    </row>
    <row r="2630" spans="1:13" x14ac:dyDescent="0.3">
      <c r="A2630" s="7">
        <v>18397</v>
      </c>
      <c r="B2630" s="7" t="s">
        <v>2638</v>
      </c>
      <c r="C2630" s="7" t="s">
        <v>6653</v>
      </c>
      <c r="D2630" s="7" t="s">
        <v>6683</v>
      </c>
      <c r="E2630" s="7" t="s">
        <v>6692</v>
      </c>
      <c r="F2630" s="7" t="s">
        <v>6693</v>
      </c>
      <c r="G2630" s="7" t="s">
        <v>7150</v>
      </c>
      <c r="H2630" s="7" t="s">
        <v>7156</v>
      </c>
      <c r="I2630" s="7"/>
      <c r="J2630" s="10">
        <v>46120</v>
      </c>
      <c r="K2630" s="7" t="s">
        <v>7163</v>
      </c>
      <c r="L2630" s="7"/>
      <c r="M2630" s="7"/>
    </row>
    <row r="2631" spans="1:13" x14ac:dyDescent="0.3">
      <c r="A2631" s="7">
        <v>12647</v>
      </c>
      <c r="B2631" s="7" t="s">
        <v>2639</v>
      </c>
      <c r="C2631" s="7" t="s">
        <v>6653</v>
      </c>
      <c r="D2631" s="7" t="s">
        <v>6683</v>
      </c>
      <c r="E2631" s="7" t="s">
        <v>6691</v>
      </c>
      <c r="F2631" s="7" t="s">
        <v>6498</v>
      </c>
      <c r="G2631" s="7" t="s">
        <v>7150</v>
      </c>
      <c r="H2631" s="7" t="s">
        <v>7156</v>
      </c>
      <c r="I2631" s="7"/>
      <c r="J2631" s="10">
        <v>43853</v>
      </c>
      <c r="K2631" s="7" t="s">
        <v>7163</v>
      </c>
      <c r="L2631" s="7"/>
      <c r="M2631" s="7"/>
    </row>
    <row r="2632" spans="1:13" x14ac:dyDescent="0.3">
      <c r="A2632" s="7">
        <v>13154</v>
      </c>
      <c r="B2632" s="7" t="s">
        <v>2640</v>
      </c>
      <c r="C2632" s="7" t="s">
        <v>6653</v>
      </c>
      <c r="D2632" s="7" t="s">
        <v>6683</v>
      </c>
      <c r="E2632" s="7" t="s">
        <v>6691</v>
      </c>
      <c r="F2632" s="7" t="s">
        <v>6340</v>
      </c>
      <c r="G2632" s="7" t="s">
        <v>7150</v>
      </c>
      <c r="H2632" s="7" t="s">
        <v>7156</v>
      </c>
      <c r="I2632" s="7"/>
      <c r="J2632" s="10">
        <v>44292</v>
      </c>
      <c r="K2632" s="7" t="s">
        <v>7163</v>
      </c>
      <c r="L2632" s="7"/>
      <c r="M2632" s="7"/>
    </row>
    <row r="2633" spans="1:13" x14ac:dyDescent="0.3">
      <c r="A2633" s="7">
        <v>13593</v>
      </c>
      <c r="B2633" s="7" t="s">
        <v>2641</v>
      </c>
      <c r="C2633" s="7" t="s">
        <v>6653</v>
      </c>
      <c r="D2633" s="7" t="s">
        <v>6683</v>
      </c>
      <c r="E2633" s="7" t="s">
        <v>6692</v>
      </c>
      <c r="F2633" s="7" t="s">
        <v>6340</v>
      </c>
      <c r="G2633" s="7" t="s">
        <v>7150</v>
      </c>
      <c r="H2633" s="7" t="s">
        <v>7156</v>
      </c>
      <c r="I2633" s="7"/>
      <c r="J2633" s="10">
        <v>44503</v>
      </c>
      <c r="K2633" s="7" t="s">
        <v>7163</v>
      </c>
      <c r="L2633" s="7"/>
      <c r="M2633" s="7"/>
    </row>
    <row r="2634" spans="1:13" x14ac:dyDescent="0.3">
      <c r="A2634" s="7">
        <v>15669</v>
      </c>
      <c r="B2634" s="7" t="s">
        <v>2642</v>
      </c>
      <c r="C2634" s="7" t="s">
        <v>6653</v>
      </c>
      <c r="D2634" s="7" t="s">
        <v>6683</v>
      </c>
      <c r="E2634" s="7" t="s">
        <v>6691</v>
      </c>
      <c r="F2634" s="7" t="s">
        <v>6340</v>
      </c>
      <c r="G2634" s="7" t="s">
        <v>7150</v>
      </c>
      <c r="H2634" s="7" t="s">
        <v>7156</v>
      </c>
      <c r="I2634" s="7"/>
      <c r="J2634" s="10">
        <v>45161</v>
      </c>
      <c r="K2634" s="7" t="s">
        <v>7163</v>
      </c>
      <c r="L2634" s="7"/>
      <c r="M2634" s="7"/>
    </row>
    <row r="2635" spans="1:13" x14ac:dyDescent="0.3">
      <c r="A2635" s="7">
        <v>12271</v>
      </c>
      <c r="B2635" s="7" t="s">
        <v>2643</v>
      </c>
      <c r="C2635" s="7" t="s">
        <v>6653</v>
      </c>
      <c r="D2635" s="7" t="s">
        <v>6683</v>
      </c>
      <c r="E2635" s="7" t="s">
        <v>6691</v>
      </c>
      <c r="F2635" s="7" t="s">
        <v>6340</v>
      </c>
      <c r="G2635" s="7" t="s">
        <v>7150</v>
      </c>
      <c r="H2635" s="7" t="s">
        <v>7156</v>
      </c>
      <c r="I2635" s="7"/>
      <c r="J2635" s="10">
        <v>43657</v>
      </c>
      <c r="K2635" s="7" t="s">
        <v>7163</v>
      </c>
      <c r="L2635" s="7"/>
      <c r="M2635" s="7"/>
    </row>
    <row r="2636" spans="1:13" x14ac:dyDescent="0.3">
      <c r="A2636" s="7">
        <v>12170</v>
      </c>
      <c r="B2636" s="7" t="s">
        <v>2644</v>
      </c>
      <c r="C2636" s="7" t="s">
        <v>6653</v>
      </c>
      <c r="D2636" s="7" t="s">
        <v>6683</v>
      </c>
      <c r="E2636" s="7" t="s">
        <v>6692</v>
      </c>
      <c r="F2636" s="7" t="s">
        <v>6340</v>
      </c>
      <c r="G2636" s="7" t="s">
        <v>7150</v>
      </c>
      <c r="H2636" s="7" t="s">
        <v>7156</v>
      </c>
      <c r="I2636" s="7"/>
      <c r="J2636" s="10">
        <v>43539</v>
      </c>
      <c r="K2636" s="7" t="s">
        <v>7163</v>
      </c>
      <c r="L2636" s="7"/>
      <c r="M2636" s="7"/>
    </row>
    <row r="2637" spans="1:13" x14ac:dyDescent="0.3">
      <c r="A2637" s="7">
        <v>16069</v>
      </c>
      <c r="B2637" s="7" t="s">
        <v>2645</v>
      </c>
      <c r="C2637" s="7" t="s">
        <v>6653</v>
      </c>
      <c r="D2637" s="7" t="s">
        <v>6683</v>
      </c>
      <c r="E2637" s="7" t="s">
        <v>6691</v>
      </c>
      <c r="F2637" s="7" t="s">
        <v>6353</v>
      </c>
      <c r="G2637" s="7" t="s">
        <v>7150</v>
      </c>
      <c r="H2637" s="7" t="s">
        <v>7156</v>
      </c>
      <c r="I2637" s="7"/>
      <c r="J2637" s="10">
        <v>45279</v>
      </c>
      <c r="K2637" s="7" t="s">
        <v>7163</v>
      </c>
      <c r="L2637" s="7"/>
      <c r="M2637" s="7"/>
    </row>
    <row r="2638" spans="1:13" x14ac:dyDescent="0.3">
      <c r="A2638" s="7">
        <v>15550</v>
      </c>
      <c r="B2638" s="7" t="s">
        <v>2646</v>
      </c>
      <c r="C2638" s="7" t="s">
        <v>6653</v>
      </c>
      <c r="D2638" s="7" t="s">
        <v>6683</v>
      </c>
      <c r="E2638" s="7" t="s">
        <v>6691</v>
      </c>
      <c r="F2638" s="7" t="s">
        <v>6340</v>
      </c>
      <c r="G2638" s="7" t="s">
        <v>7150</v>
      </c>
      <c r="H2638" s="7" t="s">
        <v>7156</v>
      </c>
      <c r="I2638" s="7"/>
      <c r="J2638" s="10">
        <v>45125</v>
      </c>
      <c r="K2638" s="7" t="s">
        <v>7163</v>
      </c>
      <c r="L2638" s="7"/>
      <c r="M2638" s="7"/>
    </row>
    <row r="2639" spans="1:13" x14ac:dyDescent="0.3">
      <c r="A2639" s="7">
        <v>11722</v>
      </c>
      <c r="B2639" s="7" t="s">
        <v>2647</v>
      </c>
      <c r="C2639" s="7" t="s">
        <v>6653</v>
      </c>
      <c r="D2639" s="7" t="s">
        <v>6683</v>
      </c>
      <c r="E2639" s="7" t="s">
        <v>6691</v>
      </c>
      <c r="F2639" s="7" t="s">
        <v>6340</v>
      </c>
      <c r="G2639" s="7" t="s">
        <v>7150</v>
      </c>
      <c r="H2639" s="7" t="s">
        <v>7156</v>
      </c>
      <c r="I2639" s="7"/>
      <c r="J2639" s="10">
        <v>43060</v>
      </c>
      <c r="K2639" s="7" t="s">
        <v>7163</v>
      </c>
      <c r="L2639" s="7"/>
      <c r="M2639" s="7"/>
    </row>
    <row r="2640" spans="1:13" x14ac:dyDescent="0.3">
      <c r="A2640" s="7">
        <v>15548</v>
      </c>
      <c r="B2640" s="7" t="s">
        <v>2648</v>
      </c>
      <c r="C2640" s="7" t="s">
        <v>6653</v>
      </c>
      <c r="D2640" s="7" t="s">
        <v>6683</v>
      </c>
      <c r="E2640" s="7" t="s">
        <v>6691</v>
      </c>
      <c r="F2640" s="7" t="s">
        <v>6341</v>
      </c>
      <c r="G2640" s="7" t="s">
        <v>7150</v>
      </c>
      <c r="H2640" s="7" t="s">
        <v>7156</v>
      </c>
      <c r="I2640" s="7"/>
      <c r="J2640" s="10">
        <v>45125</v>
      </c>
      <c r="K2640" s="7" t="s">
        <v>7163</v>
      </c>
      <c r="L2640" s="7"/>
      <c r="M2640" s="7"/>
    </row>
    <row r="2641" spans="1:13" x14ac:dyDescent="0.3">
      <c r="A2641" s="7">
        <v>15598</v>
      </c>
      <c r="B2641" s="7" t="s">
        <v>2649</v>
      </c>
      <c r="C2641" s="7" t="s">
        <v>6653</v>
      </c>
      <c r="D2641" s="7" t="s">
        <v>6683</v>
      </c>
      <c r="E2641" s="7" t="s">
        <v>6691</v>
      </c>
      <c r="F2641" s="7" t="s">
        <v>6340</v>
      </c>
      <c r="G2641" s="7" t="s">
        <v>7150</v>
      </c>
      <c r="H2641" s="7" t="s">
        <v>7156</v>
      </c>
      <c r="I2641" s="7"/>
      <c r="J2641" s="10">
        <v>45133</v>
      </c>
      <c r="K2641" s="7" t="s">
        <v>7163</v>
      </c>
      <c r="L2641" s="7"/>
      <c r="M2641" s="7"/>
    </row>
    <row r="2642" spans="1:13" x14ac:dyDescent="0.3">
      <c r="A2642" s="7">
        <v>15261</v>
      </c>
      <c r="B2642" s="7" t="s">
        <v>2650</v>
      </c>
      <c r="C2642" s="7" t="s">
        <v>6653</v>
      </c>
      <c r="D2642" s="7" t="s">
        <v>6683</v>
      </c>
      <c r="E2642" s="7" t="s">
        <v>6691</v>
      </c>
      <c r="F2642" s="7" t="s">
        <v>6340</v>
      </c>
      <c r="G2642" s="7" t="s">
        <v>7150</v>
      </c>
      <c r="H2642" s="7" t="s">
        <v>7156</v>
      </c>
      <c r="I2642" s="7"/>
      <c r="J2642" s="10">
        <v>45001</v>
      </c>
      <c r="K2642" s="7" t="s">
        <v>7163</v>
      </c>
      <c r="L2642" s="7"/>
      <c r="M2642" s="7"/>
    </row>
    <row r="2643" spans="1:13" x14ac:dyDescent="0.3">
      <c r="A2643" s="7">
        <v>15773</v>
      </c>
      <c r="B2643" s="7" t="s">
        <v>2651</v>
      </c>
      <c r="C2643" s="7" t="s">
        <v>6653</v>
      </c>
      <c r="D2643" s="7" t="s">
        <v>6683</v>
      </c>
      <c r="E2643" s="7" t="s">
        <v>6691</v>
      </c>
      <c r="F2643" s="7" t="s">
        <v>6341</v>
      </c>
      <c r="G2643" s="7" t="s">
        <v>7150</v>
      </c>
      <c r="H2643" s="7" t="s">
        <v>7156</v>
      </c>
      <c r="I2643" s="7"/>
      <c r="J2643" s="10">
        <v>45189</v>
      </c>
      <c r="K2643" s="7" t="s">
        <v>7163</v>
      </c>
      <c r="L2643" s="7"/>
      <c r="M2643" s="7"/>
    </row>
    <row r="2644" spans="1:13" x14ac:dyDescent="0.3">
      <c r="A2644" s="7">
        <v>15594</v>
      </c>
      <c r="B2644" s="7" t="s">
        <v>2652</v>
      </c>
      <c r="C2644" s="7" t="s">
        <v>6653</v>
      </c>
      <c r="D2644" s="7" t="s">
        <v>6683</v>
      </c>
      <c r="E2644" s="7" t="s">
        <v>6691</v>
      </c>
      <c r="F2644" s="7" t="s">
        <v>6341</v>
      </c>
      <c r="G2644" s="7" t="s">
        <v>7150</v>
      </c>
      <c r="H2644" s="7" t="s">
        <v>7156</v>
      </c>
      <c r="I2644" s="7"/>
      <c r="J2644" s="10">
        <v>45132</v>
      </c>
      <c r="K2644" s="7" t="s">
        <v>7163</v>
      </c>
      <c r="L2644" s="7"/>
      <c r="M2644" s="7"/>
    </row>
    <row r="2645" spans="1:13" x14ac:dyDescent="0.3">
      <c r="A2645" s="7">
        <v>16706</v>
      </c>
      <c r="B2645" s="7" t="s">
        <v>2653</v>
      </c>
      <c r="C2645" s="7" t="s">
        <v>6653</v>
      </c>
      <c r="D2645" s="7" t="s">
        <v>6683</v>
      </c>
      <c r="E2645" s="7" t="s">
        <v>6691</v>
      </c>
      <c r="F2645" s="7" t="s">
        <v>6341</v>
      </c>
      <c r="G2645" s="7" t="s">
        <v>7150</v>
      </c>
      <c r="H2645" s="7" t="s">
        <v>7156</v>
      </c>
      <c r="I2645" s="7"/>
      <c r="J2645" s="10">
        <v>45531</v>
      </c>
      <c r="K2645" s="7" t="s">
        <v>7163</v>
      </c>
      <c r="L2645" s="7"/>
      <c r="M2645" s="7"/>
    </row>
    <row r="2646" spans="1:13" x14ac:dyDescent="0.3">
      <c r="A2646" s="7">
        <v>16871</v>
      </c>
      <c r="B2646" s="7" t="s">
        <v>2654</v>
      </c>
      <c r="C2646" s="7" t="s">
        <v>6653</v>
      </c>
      <c r="D2646" s="7" t="s">
        <v>6683</v>
      </c>
      <c r="E2646" s="7" t="s">
        <v>6692</v>
      </c>
      <c r="F2646" s="7" t="s">
        <v>6341</v>
      </c>
      <c r="G2646" s="7" t="s">
        <v>7150</v>
      </c>
      <c r="H2646" s="7" t="s">
        <v>7156</v>
      </c>
      <c r="I2646" s="7"/>
      <c r="J2646" s="10">
        <v>45566</v>
      </c>
      <c r="K2646" s="7" t="s">
        <v>7163</v>
      </c>
      <c r="L2646" s="7"/>
      <c r="M2646" s="7"/>
    </row>
    <row r="2647" spans="1:13" x14ac:dyDescent="0.3">
      <c r="A2647" s="7">
        <v>16072</v>
      </c>
      <c r="B2647" s="7" t="s">
        <v>2655</v>
      </c>
      <c r="C2647" s="7" t="s">
        <v>6653</v>
      </c>
      <c r="D2647" s="7" t="s">
        <v>6683</v>
      </c>
      <c r="E2647" s="7" t="s">
        <v>6691</v>
      </c>
      <c r="F2647" s="7" t="s">
        <v>6340</v>
      </c>
      <c r="G2647" s="7" t="s">
        <v>7150</v>
      </c>
      <c r="H2647" s="7" t="s">
        <v>7156</v>
      </c>
      <c r="I2647" s="7"/>
      <c r="J2647" s="10">
        <v>45279</v>
      </c>
      <c r="K2647" s="7" t="s">
        <v>7163</v>
      </c>
      <c r="L2647" s="7"/>
      <c r="M2647" s="7"/>
    </row>
    <row r="2648" spans="1:13" x14ac:dyDescent="0.3">
      <c r="A2648" s="7">
        <v>18265</v>
      </c>
      <c r="B2648" s="7" t="s">
        <v>2656</v>
      </c>
      <c r="C2648" s="7" t="s">
        <v>6653</v>
      </c>
      <c r="D2648" s="7" t="s">
        <v>6683</v>
      </c>
      <c r="E2648" s="7" t="s">
        <v>6691</v>
      </c>
      <c r="F2648" s="7" t="s">
        <v>6341</v>
      </c>
      <c r="G2648" s="7" t="s">
        <v>7150</v>
      </c>
      <c r="H2648" s="7" t="s">
        <v>7156</v>
      </c>
      <c r="I2648" s="7"/>
      <c r="J2648" s="10">
        <v>46073</v>
      </c>
      <c r="K2648" s="7" t="s">
        <v>7163</v>
      </c>
      <c r="L2648" s="7"/>
      <c r="M2648" s="7"/>
    </row>
    <row r="2649" spans="1:13" x14ac:dyDescent="0.3">
      <c r="A2649" s="7">
        <v>18412</v>
      </c>
      <c r="B2649" s="7" t="s">
        <v>2657</v>
      </c>
      <c r="C2649" s="7" t="s">
        <v>6653</v>
      </c>
      <c r="D2649" s="7" t="s">
        <v>6683</v>
      </c>
      <c r="E2649" s="7" t="s">
        <v>6691</v>
      </c>
      <c r="F2649" s="7" t="s">
        <v>6348</v>
      </c>
      <c r="G2649" s="7" t="s">
        <v>7150</v>
      </c>
      <c r="H2649" s="7" t="s">
        <v>7156</v>
      </c>
      <c r="I2649" s="7"/>
      <c r="J2649" s="10">
        <v>46125</v>
      </c>
      <c r="K2649" s="7" t="s">
        <v>7163</v>
      </c>
      <c r="L2649" s="7"/>
      <c r="M2649" s="7"/>
    </row>
    <row r="2650" spans="1:13" x14ac:dyDescent="0.3">
      <c r="A2650" s="7">
        <v>18432</v>
      </c>
      <c r="B2650" s="7" t="s">
        <v>2658</v>
      </c>
      <c r="C2650" s="7" t="s">
        <v>6653</v>
      </c>
      <c r="D2650" s="7" t="s">
        <v>6683</v>
      </c>
      <c r="E2650" s="7" t="s">
        <v>6691</v>
      </c>
      <c r="F2650" s="7" t="s">
        <v>6348</v>
      </c>
      <c r="G2650" s="7" t="s">
        <v>7150</v>
      </c>
      <c r="H2650" s="7" t="s">
        <v>7156</v>
      </c>
      <c r="I2650" s="7"/>
      <c r="J2650" s="10">
        <v>46128</v>
      </c>
      <c r="K2650" s="7" t="s">
        <v>7163</v>
      </c>
      <c r="L2650" s="7"/>
      <c r="M2650" s="7"/>
    </row>
    <row r="2651" spans="1:13" x14ac:dyDescent="0.3">
      <c r="A2651" s="7">
        <v>17343</v>
      </c>
      <c r="B2651" s="7" t="s">
        <v>2659</v>
      </c>
      <c r="C2651" s="7" t="s">
        <v>6653</v>
      </c>
      <c r="D2651" s="7" t="s">
        <v>6683</v>
      </c>
      <c r="E2651" s="7" t="s">
        <v>6691</v>
      </c>
      <c r="F2651" s="7" t="s">
        <v>6341</v>
      </c>
      <c r="G2651" s="7" t="s">
        <v>7150</v>
      </c>
      <c r="H2651" s="7" t="s">
        <v>7156</v>
      </c>
      <c r="I2651" s="7"/>
      <c r="J2651" s="10">
        <v>45719</v>
      </c>
      <c r="K2651" s="7" t="s">
        <v>7163</v>
      </c>
      <c r="L2651" s="7"/>
      <c r="M2651" s="7"/>
    </row>
    <row r="2652" spans="1:13" x14ac:dyDescent="0.3">
      <c r="A2652" s="7">
        <v>19269</v>
      </c>
      <c r="B2652" s="7" t="s">
        <v>2660</v>
      </c>
      <c r="C2652" s="7" t="s">
        <v>6653</v>
      </c>
      <c r="D2652" s="7" t="s">
        <v>6683</v>
      </c>
      <c r="E2652" s="7" t="s">
        <v>6691</v>
      </c>
      <c r="F2652" s="7" t="s">
        <v>6341</v>
      </c>
      <c r="G2652" s="7" t="s">
        <v>7150</v>
      </c>
      <c r="H2652" s="7" t="s">
        <v>7156</v>
      </c>
      <c r="I2652" s="7"/>
      <c r="J2652" s="10">
        <v>46288</v>
      </c>
      <c r="K2652" s="7" t="s">
        <v>7163</v>
      </c>
      <c r="L2652" s="7"/>
      <c r="M2652" s="7"/>
    </row>
    <row r="2653" spans="1:13" x14ac:dyDescent="0.3">
      <c r="A2653" s="7">
        <v>18097</v>
      </c>
      <c r="B2653" s="7" t="s">
        <v>2661</v>
      </c>
      <c r="C2653" s="7" t="s">
        <v>6653</v>
      </c>
      <c r="D2653" s="7" t="s">
        <v>6683</v>
      </c>
      <c r="E2653" s="7" t="s">
        <v>6691</v>
      </c>
      <c r="F2653" s="7" t="s">
        <v>6341</v>
      </c>
      <c r="G2653" s="7" t="s">
        <v>7150</v>
      </c>
      <c r="H2653" s="7" t="s">
        <v>7156</v>
      </c>
      <c r="I2653" s="7"/>
      <c r="J2653" s="10">
        <v>45994</v>
      </c>
      <c r="K2653" s="7" t="s">
        <v>7163</v>
      </c>
      <c r="L2653" s="7"/>
      <c r="M2653" s="7"/>
    </row>
    <row r="2654" spans="1:13" x14ac:dyDescent="0.3">
      <c r="A2654" s="7">
        <v>16556</v>
      </c>
      <c r="B2654" s="7" t="s">
        <v>2662</v>
      </c>
      <c r="C2654" s="7" t="s">
        <v>6653</v>
      </c>
      <c r="D2654" s="7" t="s">
        <v>6683</v>
      </c>
      <c r="E2654" s="7" t="s">
        <v>6692</v>
      </c>
      <c r="F2654" s="7" t="s">
        <v>6341</v>
      </c>
      <c r="G2654" s="7" t="s">
        <v>7150</v>
      </c>
      <c r="H2654" s="7" t="s">
        <v>7156</v>
      </c>
      <c r="I2654" s="7"/>
      <c r="J2654" s="10">
        <v>45488</v>
      </c>
      <c r="K2654" s="7" t="s">
        <v>7163</v>
      </c>
      <c r="L2654" s="7"/>
      <c r="M2654" s="7"/>
    </row>
    <row r="2655" spans="1:13" x14ac:dyDescent="0.3">
      <c r="A2655" s="7">
        <v>16073</v>
      </c>
      <c r="B2655" s="7" t="s">
        <v>2663</v>
      </c>
      <c r="C2655" s="7" t="s">
        <v>6653</v>
      </c>
      <c r="D2655" s="7" t="s">
        <v>6683</v>
      </c>
      <c r="E2655" s="7" t="s">
        <v>6692</v>
      </c>
      <c r="F2655" s="7" t="s">
        <v>6341</v>
      </c>
      <c r="G2655" s="7" t="s">
        <v>7150</v>
      </c>
      <c r="H2655" s="7" t="s">
        <v>7156</v>
      </c>
      <c r="I2655" s="7"/>
      <c r="J2655" s="10">
        <v>45279</v>
      </c>
      <c r="K2655" s="7" t="s">
        <v>7163</v>
      </c>
      <c r="L2655" s="7"/>
      <c r="M2655" s="7"/>
    </row>
    <row r="2656" spans="1:13" x14ac:dyDescent="0.3">
      <c r="A2656" s="7">
        <v>16715</v>
      </c>
      <c r="B2656" s="7" t="s">
        <v>2664</v>
      </c>
      <c r="C2656" s="7" t="s">
        <v>6653</v>
      </c>
      <c r="D2656" s="7" t="s">
        <v>6683</v>
      </c>
      <c r="E2656" s="7" t="s">
        <v>6692</v>
      </c>
      <c r="F2656" s="7" t="s">
        <v>6341</v>
      </c>
      <c r="G2656" s="7" t="s">
        <v>7150</v>
      </c>
      <c r="H2656" s="7" t="s">
        <v>7156</v>
      </c>
      <c r="I2656" s="7"/>
      <c r="J2656" s="10">
        <v>45544</v>
      </c>
      <c r="K2656" s="7" t="s">
        <v>7163</v>
      </c>
      <c r="L2656" s="7"/>
      <c r="M2656" s="7"/>
    </row>
    <row r="2657" spans="1:13" x14ac:dyDescent="0.3">
      <c r="A2657" s="7">
        <v>17137</v>
      </c>
      <c r="B2657" s="7" t="s">
        <v>2665</v>
      </c>
      <c r="C2657" s="7" t="s">
        <v>6653</v>
      </c>
      <c r="D2657" s="7" t="s">
        <v>6683</v>
      </c>
      <c r="E2657" s="7" t="s">
        <v>6692</v>
      </c>
      <c r="F2657" s="7" t="s">
        <v>6341</v>
      </c>
      <c r="G2657" s="7" t="s">
        <v>7150</v>
      </c>
      <c r="H2657" s="7" t="s">
        <v>7156</v>
      </c>
      <c r="I2657" s="7"/>
      <c r="J2657" s="10">
        <v>45645</v>
      </c>
      <c r="K2657" s="7" t="s">
        <v>7163</v>
      </c>
      <c r="L2657" s="7"/>
      <c r="M2657" s="7"/>
    </row>
    <row r="2658" spans="1:13" x14ac:dyDescent="0.3">
      <c r="A2658" s="7">
        <v>17136</v>
      </c>
      <c r="B2658" s="7" t="s">
        <v>2666</v>
      </c>
      <c r="C2658" s="7" t="s">
        <v>6653</v>
      </c>
      <c r="D2658" s="7" t="s">
        <v>6683</v>
      </c>
      <c r="E2658" s="7" t="s">
        <v>6692</v>
      </c>
      <c r="F2658" s="7" t="s">
        <v>6341</v>
      </c>
      <c r="G2658" s="7" t="s">
        <v>7150</v>
      </c>
      <c r="H2658" s="7" t="s">
        <v>7156</v>
      </c>
      <c r="I2658" s="7"/>
      <c r="J2658" s="10">
        <v>45645</v>
      </c>
      <c r="K2658" s="7" t="s">
        <v>7163</v>
      </c>
      <c r="L2658" s="7"/>
      <c r="M2658" s="7"/>
    </row>
    <row r="2659" spans="1:13" x14ac:dyDescent="0.3">
      <c r="A2659" s="7">
        <v>12067</v>
      </c>
      <c r="B2659" s="7" t="s">
        <v>2667</v>
      </c>
      <c r="C2659" s="7" t="s">
        <v>6653</v>
      </c>
      <c r="D2659" s="7" t="s">
        <v>6694</v>
      </c>
      <c r="E2659" s="7" t="s">
        <v>6295</v>
      </c>
      <c r="F2659" s="7" t="s">
        <v>6338</v>
      </c>
      <c r="G2659" s="7" t="s">
        <v>7150</v>
      </c>
      <c r="H2659" s="7" t="s">
        <v>7156</v>
      </c>
      <c r="I2659" s="7"/>
      <c r="J2659" s="10">
        <v>43440</v>
      </c>
      <c r="K2659" s="7" t="s">
        <v>7163</v>
      </c>
      <c r="L2659" s="7"/>
      <c r="M2659" s="7"/>
    </row>
    <row r="2660" spans="1:13" x14ac:dyDescent="0.3">
      <c r="A2660" s="7">
        <v>18810</v>
      </c>
      <c r="B2660" s="7" t="s">
        <v>2668</v>
      </c>
      <c r="C2660" s="7" t="s">
        <v>6653</v>
      </c>
      <c r="D2660" s="7" t="s">
        <v>6694</v>
      </c>
      <c r="E2660" s="7" t="s">
        <v>6295</v>
      </c>
      <c r="F2660" s="7" t="s">
        <v>6353</v>
      </c>
      <c r="G2660" s="7" t="s">
        <v>7150</v>
      </c>
      <c r="H2660" s="7" t="s">
        <v>7156</v>
      </c>
      <c r="I2660" s="7" t="s">
        <v>7159</v>
      </c>
      <c r="J2660" s="10">
        <v>46213</v>
      </c>
      <c r="K2660" s="7" t="s">
        <v>7163</v>
      </c>
      <c r="L2660" s="7"/>
      <c r="M2660" s="7"/>
    </row>
    <row r="2661" spans="1:13" x14ac:dyDescent="0.3">
      <c r="A2661" s="7">
        <v>18863</v>
      </c>
      <c r="B2661" s="7" t="s">
        <v>2669</v>
      </c>
      <c r="C2661" s="7" t="s">
        <v>6653</v>
      </c>
      <c r="D2661" s="7" t="s">
        <v>6694</v>
      </c>
      <c r="E2661" s="7" t="s">
        <v>6295</v>
      </c>
      <c r="F2661" s="7" t="s">
        <v>6341</v>
      </c>
      <c r="G2661" s="7" t="s">
        <v>7150</v>
      </c>
      <c r="H2661" s="7" t="s">
        <v>7156</v>
      </c>
      <c r="I2661" s="7" t="s">
        <v>7158</v>
      </c>
      <c r="J2661" s="10">
        <v>46220</v>
      </c>
      <c r="K2661" s="7" t="s">
        <v>7163</v>
      </c>
      <c r="L2661" s="7"/>
      <c r="M2661" s="7"/>
    </row>
    <row r="2662" spans="1:13" x14ac:dyDescent="0.3">
      <c r="A2662" s="7">
        <v>14519</v>
      </c>
      <c r="B2662" s="7" t="s">
        <v>2670</v>
      </c>
      <c r="C2662" s="7" t="s">
        <v>6653</v>
      </c>
      <c r="D2662" s="7" t="s">
        <v>6694</v>
      </c>
      <c r="E2662" s="7" t="s">
        <v>6695</v>
      </c>
      <c r="F2662" s="7" t="s">
        <v>6498</v>
      </c>
      <c r="G2662" s="7" t="s">
        <v>7150</v>
      </c>
      <c r="H2662" s="7" t="s">
        <v>7156</v>
      </c>
      <c r="I2662" s="7"/>
      <c r="J2662" s="10">
        <v>44777</v>
      </c>
      <c r="K2662" s="7" t="s">
        <v>7163</v>
      </c>
      <c r="L2662" s="7"/>
      <c r="M2662" s="7"/>
    </row>
    <row r="2663" spans="1:13" x14ac:dyDescent="0.3">
      <c r="A2663" s="7">
        <v>10826</v>
      </c>
      <c r="B2663" s="7" t="s">
        <v>2671</v>
      </c>
      <c r="C2663" s="7" t="s">
        <v>6653</v>
      </c>
      <c r="D2663" s="7" t="s">
        <v>6694</v>
      </c>
      <c r="E2663" s="7" t="s">
        <v>6696</v>
      </c>
      <c r="F2663" s="7" t="s">
        <v>6498</v>
      </c>
      <c r="G2663" s="7" t="s">
        <v>7150</v>
      </c>
      <c r="H2663" s="7" t="s">
        <v>7156</v>
      </c>
      <c r="I2663" s="7"/>
      <c r="J2663" s="10">
        <v>41974</v>
      </c>
      <c r="K2663" s="7" t="s">
        <v>7163</v>
      </c>
      <c r="L2663" s="7"/>
      <c r="M2663" s="7"/>
    </row>
    <row r="2664" spans="1:13" x14ac:dyDescent="0.3">
      <c r="A2664" s="7">
        <v>16312</v>
      </c>
      <c r="B2664" s="7" t="s">
        <v>2672</v>
      </c>
      <c r="C2664" s="7" t="s">
        <v>6653</v>
      </c>
      <c r="D2664" s="7" t="s">
        <v>6694</v>
      </c>
      <c r="E2664" s="7" t="s">
        <v>6697</v>
      </c>
      <c r="F2664" s="7" t="s">
        <v>6498</v>
      </c>
      <c r="G2664" s="7" t="s">
        <v>7150</v>
      </c>
      <c r="H2664" s="7" t="s">
        <v>7156</v>
      </c>
      <c r="I2664" s="7"/>
      <c r="J2664" s="10">
        <v>45352</v>
      </c>
      <c r="K2664" s="7" t="s">
        <v>7163</v>
      </c>
      <c r="L2664" s="7"/>
      <c r="M2664" s="7"/>
    </row>
    <row r="2665" spans="1:13" x14ac:dyDescent="0.3">
      <c r="A2665" s="7">
        <v>14767</v>
      </c>
      <c r="B2665" s="7" t="s">
        <v>2673</v>
      </c>
      <c r="C2665" s="7" t="s">
        <v>6653</v>
      </c>
      <c r="D2665" s="7" t="s">
        <v>6694</v>
      </c>
      <c r="E2665" s="7" t="s">
        <v>6695</v>
      </c>
      <c r="F2665" s="7" t="s">
        <v>6353</v>
      </c>
      <c r="G2665" s="7" t="s">
        <v>7150</v>
      </c>
      <c r="H2665" s="7" t="s">
        <v>7156</v>
      </c>
      <c r="I2665" s="7"/>
      <c r="J2665" s="10">
        <v>44854</v>
      </c>
      <c r="K2665" s="7" t="s">
        <v>7163</v>
      </c>
      <c r="L2665" s="7"/>
      <c r="M2665" s="7"/>
    </row>
    <row r="2666" spans="1:13" x14ac:dyDescent="0.3">
      <c r="A2666" s="7">
        <v>17030</v>
      </c>
      <c r="B2666" s="7" t="s">
        <v>2674</v>
      </c>
      <c r="C2666" s="7" t="s">
        <v>6653</v>
      </c>
      <c r="D2666" s="7" t="s">
        <v>6688</v>
      </c>
      <c r="E2666" s="7" t="s">
        <v>6295</v>
      </c>
      <c r="F2666" s="7" t="s">
        <v>6353</v>
      </c>
      <c r="G2666" s="7" t="s">
        <v>7150</v>
      </c>
      <c r="H2666" s="7" t="s">
        <v>7156</v>
      </c>
      <c r="I2666" s="7"/>
      <c r="J2666" s="10">
        <v>45597</v>
      </c>
      <c r="K2666" s="7" t="s">
        <v>7163</v>
      </c>
      <c r="L2666" s="7"/>
      <c r="M2666" s="7"/>
    </row>
    <row r="2667" spans="1:13" x14ac:dyDescent="0.3">
      <c r="A2667" s="7">
        <v>15563</v>
      </c>
      <c r="B2667" s="7" t="s">
        <v>2675</v>
      </c>
      <c r="C2667" s="7" t="s">
        <v>6653</v>
      </c>
      <c r="D2667" s="7" t="s">
        <v>6688</v>
      </c>
      <c r="E2667" s="7" t="s">
        <v>6295</v>
      </c>
      <c r="F2667" s="7" t="s">
        <v>6353</v>
      </c>
      <c r="G2667" s="7" t="s">
        <v>7150</v>
      </c>
      <c r="H2667" s="7" t="s">
        <v>7156</v>
      </c>
      <c r="I2667" s="7"/>
      <c r="J2667" s="10">
        <v>45128</v>
      </c>
      <c r="K2667" s="7" t="s">
        <v>7163</v>
      </c>
      <c r="L2667" s="7"/>
      <c r="M2667" s="7"/>
    </row>
    <row r="2668" spans="1:13" x14ac:dyDescent="0.3">
      <c r="A2668" s="7">
        <v>18809</v>
      </c>
      <c r="B2668" s="7" t="s">
        <v>2676</v>
      </c>
      <c r="C2668" s="7" t="s">
        <v>6653</v>
      </c>
      <c r="D2668" s="7" t="s">
        <v>6688</v>
      </c>
      <c r="E2668" s="7" t="s">
        <v>6295</v>
      </c>
      <c r="F2668" s="7" t="s">
        <v>6340</v>
      </c>
      <c r="G2668" s="7" t="s">
        <v>7150</v>
      </c>
      <c r="H2668" s="7" t="s">
        <v>7156</v>
      </c>
      <c r="I2668" s="7" t="s">
        <v>7159</v>
      </c>
      <c r="J2668" s="10">
        <v>46213</v>
      </c>
      <c r="K2668" s="7" t="s">
        <v>7163</v>
      </c>
      <c r="L2668" s="7"/>
      <c r="M2668" s="7"/>
    </row>
    <row r="2669" spans="1:13" x14ac:dyDescent="0.3">
      <c r="A2669" s="7">
        <v>12289</v>
      </c>
      <c r="B2669" s="7" t="s">
        <v>2677</v>
      </c>
      <c r="C2669" s="7" t="s">
        <v>6653</v>
      </c>
      <c r="D2669" s="7" t="s">
        <v>6688</v>
      </c>
      <c r="E2669" s="7" t="s">
        <v>6295</v>
      </c>
      <c r="F2669" s="7" t="s">
        <v>6340</v>
      </c>
      <c r="G2669" s="7" t="s">
        <v>7150</v>
      </c>
      <c r="H2669" s="7" t="s">
        <v>7156</v>
      </c>
      <c r="I2669" s="7"/>
      <c r="J2669" s="10">
        <v>43670</v>
      </c>
      <c r="K2669" s="7" t="s">
        <v>7163</v>
      </c>
      <c r="L2669" s="7"/>
      <c r="M2669" s="7"/>
    </row>
    <row r="2670" spans="1:13" x14ac:dyDescent="0.3">
      <c r="A2670" s="7">
        <v>16315</v>
      </c>
      <c r="B2670" s="7" t="s">
        <v>2678</v>
      </c>
      <c r="C2670" s="7" t="s">
        <v>6653</v>
      </c>
      <c r="D2670" s="7" t="s">
        <v>6688</v>
      </c>
      <c r="E2670" s="7" t="s">
        <v>6295</v>
      </c>
      <c r="F2670" s="7" t="s">
        <v>6341</v>
      </c>
      <c r="G2670" s="7" t="s">
        <v>7150</v>
      </c>
      <c r="H2670" s="7" t="s">
        <v>7156</v>
      </c>
      <c r="I2670" s="7"/>
      <c r="J2670" s="10">
        <v>45344</v>
      </c>
      <c r="K2670" s="7" t="s">
        <v>7163</v>
      </c>
      <c r="L2670" s="7"/>
      <c r="M2670" s="7"/>
    </row>
    <row r="2671" spans="1:13" x14ac:dyDescent="0.3">
      <c r="A2671" s="7">
        <v>16958</v>
      </c>
      <c r="B2671" s="7" t="s">
        <v>2679</v>
      </c>
      <c r="C2671" s="7" t="s">
        <v>6653</v>
      </c>
      <c r="D2671" s="7" t="s">
        <v>6688</v>
      </c>
      <c r="E2671" s="7" t="s">
        <v>6295</v>
      </c>
      <c r="F2671" s="7" t="s">
        <v>6341</v>
      </c>
      <c r="G2671" s="7" t="s">
        <v>7150</v>
      </c>
      <c r="H2671" s="7" t="s">
        <v>7156</v>
      </c>
      <c r="I2671" s="7"/>
      <c r="J2671" s="10">
        <v>45576</v>
      </c>
      <c r="K2671" s="7" t="s">
        <v>7163</v>
      </c>
      <c r="L2671" s="7"/>
      <c r="M2671" s="7"/>
    </row>
    <row r="2672" spans="1:13" x14ac:dyDescent="0.3">
      <c r="A2672" s="7">
        <v>12068</v>
      </c>
      <c r="B2672" s="7" t="s">
        <v>2680</v>
      </c>
      <c r="C2672" s="7" t="s">
        <v>6653</v>
      </c>
      <c r="D2672" s="7" t="s">
        <v>6694</v>
      </c>
      <c r="E2672" s="7" t="s">
        <v>6696</v>
      </c>
      <c r="F2672" s="7" t="s">
        <v>6353</v>
      </c>
      <c r="G2672" s="7" t="s">
        <v>7150</v>
      </c>
      <c r="H2672" s="7" t="s">
        <v>7156</v>
      </c>
      <c r="I2672" s="7"/>
      <c r="J2672" s="10">
        <v>43440</v>
      </c>
      <c r="K2672" s="7" t="s">
        <v>7163</v>
      </c>
      <c r="L2672" s="7"/>
      <c r="M2672" s="7"/>
    </row>
    <row r="2673" spans="1:13" x14ac:dyDescent="0.3">
      <c r="A2673" s="7">
        <v>13193</v>
      </c>
      <c r="B2673" s="7" t="s">
        <v>2681</v>
      </c>
      <c r="C2673" s="7" t="s">
        <v>6653</v>
      </c>
      <c r="D2673" s="7" t="s">
        <v>6694</v>
      </c>
      <c r="E2673" s="7" t="s">
        <v>6695</v>
      </c>
      <c r="F2673" s="7" t="s">
        <v>6340</v>
      </c>
      <c r="G2673" s="7" t="s">
        <v>7150</v>
      </c>
      <c r="H2673" s="7" t="s">
        <v>7156</v>
      </c>
      <c r="I2673" s="7"/>
      <c r="J2673" s="10">
        <v>44312</v>
      </c>
      <c r="K2673" s="7" t="s">
        <v>7163</v>
      </c>
      <c r="L2673" s="7"/>
      <c r="M2673" s="7"/>
    </row>
    <row r="2674" spans="1:13" x14ac:dyDescent="0.3">
      <c r="A2674" s="7">
        <v>12261</v>
      </c>
      <c r="B2674" s="7" t="s">
        <v>2682</v>
      </c>
      <c r="C2674" s="7" t="s">
        <v>6653</v>
      </c>
      <c r="D2674" s="7" t="s">
        <v>6694</v>
      </c>
      <c r="E2674" s="7" t="s">
        <v>6695</v>
      </c>
      <c r="F2674" s="7" t="s">
        <v>6340</v>
      </c>
      <c r="G2674" s="7" t="s">
        <v>7150</v>
      </c>
      <c r="H2674" s="7" t="s">
        <v>7156</v>
      </c>
      <c r="I2674" s="7"/>
      <c r="J2674" s="10">
        <v>43650</v>
      </c>
      <c r="K2674" s="7" t="s">
        <v>7163</v>
      </c>
      <c r="L2674" s="7"/>
      <c r="M2674" s="7"/>
    </row>
    <row r="2675" spans="1:13" x14ac:dyDescent="0.3">
      <c r="A2675" s="7">
        <v>19278</v>
      </c>
      <c r="B2675" s="7" t="s">
        <v>2683</v>
      </c>
      <c r="C2675" s="7" t="s">
        <v>6653</v>
      </c>
      <c r="D2675" s="7" t="s">
        <v>6694</v>
      </c>
      <c r="E2675" s="7" t="s">
        <v>6695</v>
      </c>
      <c r="F2675" s="7" t="s">
        <v>6340</v>
      </c>
      <c r="G2675" s="7" t="s">
        <v>7150</v>
      </c>
      <c r="H2675" s="7" t="s">
        <v>7156</v>
      </c>
      <c r="I2675" s="7"/>
      <c r="J2675" s="10">
        <v>46297</v>
      </c>
      <c r="K2675" s="7" t="s">
        <v>7163</v>
      </c>
      <c r="L2675" s="7"/>
      <c r="M2675" s="7"/>
    </row>
    <row r="2676" spans="1:13" x14ac:dyDescent="0.3">
      <c r="A2676" s="7">
        <v>17721</v>
      </c>
      <c r="B2676" s="7" t="s">
        <v>2684</v>
      </c>
      <c r="C2676" s="7" t="s">
        <v>6653</v>
      </c>
      <c r="D2676" s="7" t="s">
        <v>6694</v>
      </c>
      <c r="E2676" s="7" t="s">
        <v>6695</v>
      </c>
      <c r="F2676" s="7" t="s">
        <v>6340</v>
      </c>
      <c r="G2676" s="7" t="s">
        <v>7150</v>
      </c>
      <c r="H2676" s="7" t="s">
        <v>7156</v>
      </c>
      <c r="I2676" s="7"/>
      <c r="J2676" s="10">
        <v>45866</v>
      </c>
      <c r="K2676" s="7" t="s">
        <v>7163</v>
      </c>
      <c r="L2676" s="7"/>
      <c r="M2676" s="7"/>
    </row>
    <row r="2677" spans="1:13" x14ac:dyDescent="0.3">
      <c r="A2677" s="7">
        <v>18109</v>
      </c>
      <c r="B2677" s="7" t="s">
        <v>2685</v>
      </c>
      <c r="C2677" s="7" t="s">
        <v>6653</v>
      </c>
      <c r="D2677" s="7" t="s">
        <v>6694</v>
      </c>
      <c r="E2677" s="7" t="s">
        <v>6695</v>
      </c>
      <c r="F2677" s="7" t="s">
        <v>6340</v>
      </c>
      <c r="G2677" s="7" t="s">
        <v>7150</v>
      </c>
      <c r="H2677" s="7" t="s">
        <v>7156</v>
      </c>
      <c r="I2677" s="7"/>
      <c r="J2677" s="10">
        <v>45999</v>
      </c>
      <c r="K2677" s="7" t="s">
        <v>7163</v>
      </c>
      <c r="L2677" s="7"/>
      <c r="M2677" s="7"/>
    </row>
    <row r="2678" spans="1:13" x14ac:dyDescent="0.3">
      <c r="A2678" s="7">
        <v>16698</v>
      </c>
      <c r="B2678" s="7" t="s">
        <v>2686</v>
      </c>
      <c r="C2678" s="7" t="s">
        <v>6653</v>
      </c>
      <c r="D2678" s="7" t="s">
        <v>6694</v>
      </c>
      <c r="E2678" s="7" t="s">
        <v>6695</v>
      </c>
      <c r="F2678" s="7" t="s">
        <v>6340</v>
      </c>
      <c r="G2678" s="7" t="s">
        <v>7150</v>
      </c>
      <c r="H2678" s="7" t="s">
        <v>7156</v>
      </c>
      <c r="I2678" s="7"/>
      <c r="J2678" s="10">
        <v>45527</v>
      </c>
      <c r="K2678" s="7" t="s">
        <v>7163</v>
      </c>
      <c r="L2678" s="7"/>
      <c r="M2678" s="7"/>
    </row>
    <row r="2679" spans="1:13" x14ac:dyDescent="0.3">
      <c r="A2679" s="7">
        <v>14763</v>
      </c>
      <c r="B2679" s="7" t="s">
        <v>2687</v>
      </c>
      <c r="C2679" s="7" t="s">
        <v>6653</v>
      </c>
      <c r="D2679" s="7" t="s">
        <v>6694</v>
      </c>
      <c r="E2679" s="7" t="s">
        <v>6696</v>
      </c>
      <c r="F2679" s="7" t="s">
        <v>6341</v>
      </c>
      <c r="G2679" s="7" t="s">
        <v>7150</v>
      </c>
      <c r="H2679" s="7" t="s">
        <v>7156</v>
      </c>
      <c r="I2679" s="7"/>
      <c r="J2679" s="10">
        <v>44853</v>
      </c>
      <c r="K2679" s="7" t="s">
        <v>7163</v>
      </c>
      <c r="L2679" s="7"/>
      <c r="M2679" s="7"/>
    </row>
    <row r="2680" spans="1:13" x14ac:dyDescent="0.3">
      <c r="A2680" s="7">
        <v>18911</v>
      </c>
      <c r="B2680" s="7" t="s">
        <v>2688</v>
      </c>
      <c r="C2680" s="7" t="s">
        <v>6653</v>
      </c>
      <c r="D2680" s="7" t="s">
        <v>6694</v>
      </c>
      <c r="E2680" s="7" t="s">
        <v>6295</v>
      </c>
      <c r="F2680" s="7" t="s">
        <v>6340</v>
      </c>
      <c r="G2680" s="7" t="s">
        <v>7150</v>
      </c>
      <c r="H2680" s="7" t="s">
        <v>7156</v>
      </c>
      <c r="I2680" s="7" t="s">
        <v>7159</v>
      </c>
      <c r="J2680" s="10">
        <v>46237</v>
      </c>
      <c r="K2680" s="7" t="s">
        <v>7163</v>
      </c>
      <c r="L2680" s="7"/>
      <c r="M2680" s="7"/>
    </row>
    <row r="2681" spans="1:13" x14ac:dyDescent="0.3">
      <c r="A2681" s="7">
        <v>16202</v>
      </c>
      <c r="B2681" s="7" t="s">
        <v>2689</v>
      </c>
      <c r="C2681" s="7" t="s">
        <v>6653</v>
      </c>
      <c r="D2681" s="7" t="s">
        <v>6698</v>
      </c>
      <c r="E2681" s="7" t="s">
        <v>6295</v>
      </c>
      <c r="F2681" s="7" t="s">
        <v>6338</v>
      </c>
      <c r="G2681" s="7" t="s">
        <v>7150</v>
      </c>
      <c r="H2681" s="7" t="s">
        <v>7156</v>
      </c>
      <c r="I2681" s="7"/>
      <c r="J2681" s="10">
        <v>45316</v>
      </c>
      <c r="K2681" s="7" t="s">
        <v>7163</v>
      </c>
      <c r="L2681" s="7"/>
      <c r="M2681" s="7"/>
    </row>
    <row r="2682" spans="1:13" x14ac:dyDescent="0.3">
      <c r="A2682" s="7">
        <v>12111</v>
      </c>
      <c r="B2682" s="7" t="s">
        <v>2690</v>
      </c>
      <c r="C2682" s="7" t="s">
        <v>6653</v>
      </c>
      <c r="D2682" s="7" t="s">
        <v>6698</v>
      </c>
      <c r="E2682" s="7" t="s">
        <v>6295</v>
      </c>
      <c r="F2682" s="7" t="s">
        <v>6353</v>
      </c>
      <c r="G2682" s="7" t="s">
        <v>7150</v>
      </c>
      <c r="H2682" s="7" t="s">
        <v>7156</v>
      </c>
      <c r="I2682" s="7"/>
      <c r="J2682" s="10">
        <v>43483</v>
      </c>
      <c r="K2682" s="7" t="s">
        <v>7163</v>
      </c>
      <c r="L2682" s="7"/>
      <c r="M2682" s="7"/>
    </row>
    <row r="2683" spans="1:13" x14ac:dyDescent="0.3">
      <c r="A2683" s="7">
        <v>12248</v>
      </c>
      <c r="B2683" s="7" t="s">
        <v>2691</v>
      </c>
      <c r="C2683" s="7" t="s">
        <v>6653</v>
      </c>
      <c r="D2683" s="7" t="s">
        <v>6698</v>
      </c>
      <c r="E2683" s="7" t="s">
        <v>6295</v>
      </c>
      <c r="F2683" s="7" t="s">
        <v>6341</v>
      </c>
      <c r="G2683" s="7" t="s">
        <v>7150</v>
      </c>
      <c r="H2683" s="7" t="s">
        <v>7156</v>
      </c>
      <c r="I2683" s="7"/>
      <c r="J2683" s="10">
        <v>43640</v>
      </c>
      <c r="K2683" s="7" t="s">
        <v>7163</v>
      </c>
      <c r="L2683" s="7"/>
      <c r="M2683" s="7"/>
    </row>
    <row r="2684" spans="1:13" x14ac:dyDescent="0.3">
      <c r="A2684" s="7">
        <v>16203</v>
      </c>
      <c r="B2684" s="7" t="s">
        <v>2692</v>
      </c>
      <c r="C2684" s="7" t="s">
        <v>6653</v>
      </c>
      <c r="D2684" s="7" t="s">
        <v>6698</v>
      </c>
      <c r="E2684" s="7" t="s">
        <v>6295</v>
      </c>
      <c r="F2684" s="7" t="s">
        <v>6341</v>
      </c>
      <c r="G2684" s="7" t="s">
        <v>7150</v>
      </c>
      <c r="H2684" s="7" t="s">
        <v>7156</v>
      </c>
      <c r="I2684" s="7"/>
      <c r="J2684" s="10">
        <v>45316</v>
      </c>
      <c r="K2684" s="7" t="s">
        <v>7163</v>
      </c>
      <c r="L2684" s="7"/>
      <c r="M2684" s="7"/>
    </row>
    <row r="2685" spans="1:13" x14ac:dyDescent="0.3">
      <c r="A2685" s="7">
        <v>13001</v>
      </c>
      <c r="B2685" s="7" t="s">
        <v>2693</v>
      </c>
      <c r="C2685" s="7" t="s">
        <v>6653</v>
      </c>
      <c r="D2685" s="7" t="s">
        <v>6698</v>
      </c>
      <c r="E2685" s="7" t="s">
        <v>6295</v>
      </c>
      <c r="F2685" s="7" t="s">
        <v>6341</v>
      </c>
      <c r="G2685" s="7" t="s">
        <v>7150</v>
      </c>
      <c r="H2685" s="7" t="s">
        <v>7156</v>
      </c>
      <c r="I2685" s="7"/>
      <c r="J2685" s="10">
        <v>44181</v>
      </c>
      <c r="K2685" s="7" t="s">
        <v>7163</v>
      </c>
      <c r="L2685" s="7"/>
      <c r="M2685" s="7"/>
    </row>
    <row r="2686" spans="1:13" x14ac:dyDescent="0.3">
      <c r="A2686" s="7">
        <v>16509</v>
      </c>
      <c r="B2686" s="7" t="s">
        <v>2694</v>
      </c>
      <c r="C2686" s="7" t="s">
        <v>6653</v>
      </c>
      <c r="D2686" s="7" t="s">
        <v>6698</v>
      </c>
      <c r="E2686" s="7" t="s">
        <v>6295</v>
      </c>
      <c r="F2686" s="7" t="s">
        <v>6341</v>
      </c>
      <c r="G2686" s="7" t="s">
        <v>7150</v>
      </c>
      <c r="H2686" s="7" t="s">
        <v>7156</v>
      </c>
      <c r="I2686" s="7"/>
      <c r="J2686" s="10">
        <v>45449</v>
      </c>
      <c r="K2686" s="7" t="s">
        <v>7163</v>
      </c>
      <c r="L2686" s="7"/>
      <c r="M2686" s="7"/>
    </row>
    <row r="2687" spans="1:13" x14ac:dyDescent="0.3">
      <c r="A2687" s="7">
        <v>16731</v>
      </c>
      <c r="B2687" s="7" t="s">
        <v>2695</v>
      </c>
      <c r="C2687" s="7" t="s">
        <v>6653</v>
      </c>
      <c r="D2687" s="7" t="s">
        <v>6698</v>
      </c>
      <c r="E2687" s="7" t="s">
        <v>6295</v>
      </c>
      <c r="F2687" s="7" t="s">
        <v>6341</v>
      </c>
      <c r="G2687" s="7" t="s">
        <v>7150</v>
      </c>
      <c r="H2687" s="7" t="s">
        <v>7156</v>
      </c>
      <c r="I2687" s="7"/>
      <c r="J2687" s="10">
        <v>45544</v>
      </c>
      <c r="K2687" s="7" t="s">
        <v>7163</v>
      </c>
      <c r="L2687" s="7"/>
      <c r="M2687" s="7"/>
    </row>
    <row r="2688" spans="1:13" x14ac:dyDescent="0.3">
      <c r="A2688" s="7">
        <v>17923</v>
      </c>
      <c r="B2688" s="7" t="s">
        <v>2696</v>
      </c>
      <c r="C2688" s="7" t="s">
        <v>6699</v>
      </c>
      <c r="D2688" s="7" t="s">
        <v>6295</v>
      </c>
      <c r="E2688" s="7" t="s">
        <v>6295</v>
      </c>
      <c r="F2688" s="7" t="s">
        <v>6516</v>
      </c>
      <c r="G2688" s="7" t="s">
        <v>7150</v>
      </c>
      <c r="H2688" s="7" t="s">
        <v>7156</v>
      </c>
      <c r="I2688" s="7"/>
      <c r="J2688" s="10">
        <v>45915</v>
      </c>
      <c r="K2688" s="7" t="s">
        <v>7164</v>
      </c>
      <c r="L2688" s="7"/>
      <c r="M2688" s="7"/>
    </row>
    <row r="2689" spans="1:13" x14ac:dyDescent="0.3">
      <c r="A2689" s="7">
        <v>18236</v>
      </c>
      <c r="B2689" s="7" t="s">
        <v>2697</v>
      </c>
      <c r="C2689" s="7" t="s">
        <v>6699</v>
      </c>
      <c r="D2689" s="7" t="s">
        <v>6700</v>
      </c>
      <c r="E2689" s="7" t="s">
        <v>6295</v>
      </c>
      <c r="F2689" s="7" t="s">
        <v>6333</v>
      </c>
      <c r="G2689" s="7" t="s">
        <v>7150</v>
      </c>
      <c r="H2689" s="7" t="s">
        <v>7156</v>
      </c>
      <c r="I2689" s="7"/>
      <c r="J2689" s="10">
        <v>46064</v>
      </c>
      <c r="K2689" s="7" t="s">
        <v>7164</v>
      </c>
      <c r="L2689" s="7"/>
      <c r="M2689" s="7"/>
    </row>
    <row r="2690" spans="1:13" x14ac:dyDescent="0.3">
      <c r="A2690" s="7">
        <v>18502</v>
      </c>
      <c r="B2690" s="7" t="s">
        <v>2698</v>
      </c>
      <c r="C2690" s="7" t="s">
        <v>6699</v>
      </c>
      <c r="D2690" s="7" t="s">
        <v>6701</v>
      </c>
      <c r="E2690" s="7" t="s">
        <v>6295</v>
      </c>
      <c r="F2690" s="7" t="s">
        <v>6333</v>
      </c>
      <c r="G2690" s="7" t="s">
        <v>7150</v>
      </c>
      <c r="H2690" s="7" t="s">
        <v>7156</v>
      </c>
      <c r="I2690" s="7"/>
      <c r="J2690" s="10">
        <v>46149</v>
      </c>
      <c r="K2690" s="7" t="s">
        <v>7164</v>
      </c>
      <c r="L2690" s="7"/>
      <c r="M2690" s="7"/>
    </row>
    <row r="2691" spans="1:13" x14ac:dyDescent="0.3">
      <c r="A2691" s="7">
        <v>14664</v>
      </c>
      <c r="B2691" s="7" t="s">
        <v>2699</v>
      </c>
      <c r="C2691" s="7" t="s">
        <v>6699</v>
      </c>
      <c r="D2691" s="7" t="s">
        <v>6702</v>
      </c>
      <c r="E2691" s="7" t="s">
        <v>6295</v>
      </c>
      <c r="F2691" s="7" t="s">
        <v>6333</v>
      </c>
      <c r="G2691" s="7" t="s">
        <v>7150</v>
      </c>
      <c r="H2691" s="7" t="s">
        <v>7156</v>
      </c>
      <c r="I2691" s="7"/>
      <c r="J2691" s="10">
        <v>44818</v>
      </c>
      <c r="K2691" s="7" t="s">
        <v>7164</v>
      </c>
      <c r="L2691" s="7"/>
      <c r="M2691" s="7"/>
    </row>
    <row r="2692" spans="1:13" x14ac:dyDescent="0.3">
      <c r="A2692" s="7">
        <v>16435</v>
      </c>
      <c r="B2692" s="7" t="s">
        <v>2700</v>
      </c>
      <c r="C2692" s="7" t="s">
        <v>6703</v>
      </c>
      <c r="D2692" s="7" t="s">
        <v>6295</v>
      </c>
      <c r="E2692" s="7" t="s">
        <v>6295</v>
      </c>
      <c r="F2692" s="7" t="s">
        <v>6516</v>
      </c>
      <c r="G2692" s="7" t="s">
        <v>7150</v>
      </c>
      <c r="H2692" s="7" t="s">
        <v>7156</v>
      </c>
      <c r="I2692" s="7"/>
      <c r="J2692" s="10">
        <v>45398</v>
      </c>
      <c r="K2692" s="7" t="s">
        <v>7164</v>
      </c>
      <c r="L2692" s="7"/>
      <c r="M2692" s="7"/>
    </row>
    <row r="2693" spans="1:13" x14ac:dyDescent="0.3">
      <c r="A2693" s="7">
        <v>11394</v>
      </c>
      <c r="B2693" s="7" t="s">
        <v>2701</v>
      </c>
      <c r="C2693" s="7" t="s">
        <v>6703</v>
      </c>
      <c r="D2693" s="7" t="s">
        <v>6704</v>
      </c>
      <c r="E2693" s="7" t="s">
        <v>6295</v>
      </c>
      <c r="F2693" s="7" t="s">
        <v>6630</v>
      </c>
      <c r="G2693" s="7" t="s">
        <v>7150</v>
      </c>
      <c r="H2693" s="7" t="s">
        <v>7156</v>
      </c>
      <c r="I2693" s="7"/>
      <c r="J2693" s="10">
        <v>42646</v>
      </c>
      <c r="K2693" s="7" t="s">
        <v>7164</v>
      </c>
      <c r="L2693" s="7"/>
      <c r="M2693" s="7"/>
    </row>
    <row r="2694" spans="1:13" x14ac:dyDescent="0.3">
      <c r="A2694" s="7">
        <v>16845</v>
      </c>
      <c r="B2694" s="7" t="s">
        <v>2702</v>
      </c>
      <c r="C2694" s="7" t="s">
        <v>6703</v>
      </c>
      <c r="D2694" s="7" t="s">
        <v>6705</v>
      </c>
      <c r="E2694" s="7" t="s">
        <v>6295</v>
      </c>
      <c r="F2694" s="7" t="s">
        <v>6333</v>
      </c>
      <c r="G2694" s="7" t="s">
        <v>7150</v>
      </c>
      <c r="H2694" s="7" t="s">
        <v>7156</v>
      </c>
      <c r="I2694" s="7"/>
      <c r="J2694" s="10">
        <v>45567</v>
      </c>
      <c r="K2694" s="7" t="s">
        <v>7164</v>
      </c>
      <c r="L2694" s="7"/>
      <c r="M2694" s="7"/>
    </row>
    <row r="2695" spans="1:13" x14ac:dyDescent="0.3">
      <c r="A2695" s="7">
        <v>14950</v>
      </c>
      <c r="B2695" s="7" t="s">
        <v>2703</v>
      </c>
      <c r="C2695" s="7" t="s">
        <v>6646</v>
      </c>
      <c r="D2695" s="7" t="s">
        <v>6295</v>
      </c>
      <c r="E2695" s="7" t="s">
        <v>6295</v>
      </c>
      <c r="F2695" s="7" t="s">
        <v>6635</v>
      </c>
      <c r="G2695" s="7" t="s">
        <v>7150</v>
      </c>
      <c r="H2695" s="7" t="s">
        <v>7156</v>
      </c>
      <c r="I2695" s="7"/>
      <c r="J2695" s="10">
        <v>44896</v>
      </c>
      <c r="K2695" s="7" t="s">
        <v>7164</v>
      </c>
      <c r="L2695" s="7"/>
      <c r="M2695" s="7"/>
    </row>
    <row r="2696" spans="1:13" x14ac:dyDescent="0.3">
      <c r="A2696" s="7">
        <v>16024</v>
      </c>
      <c r="B2696" s="7" t="s">
        <v>2704</v>
      </c>
      <c r="C2696" s="7" t="s">
        <v>6646</v>
      </c>
      <c r="D2696" s="7" t="s">
        <v>6706</v>
      </c>
      <c r="E2696" s="7" t="s">
        <v>6295</v>
      </c>
      <c r="F2696" s="7" t="s">
        <v>6351</v>
      </c>
      <c r="G2696" s="7" t="s">
        <v>7150</v>
      </c>
      <c r="H2696" s="7" t="s">
        <v>7156</v>
      </c>
      <c r="I2696" s="7"/>
      <c r="J2696" s="10">
        <v>45267</v>
      </c>
      <c r="K2696" s="7" t="s">
        <v>7164</v>
      </c>
      <c r="L2696" s="7"/>
      <c r="M2696" s="7"/>
    </row>
    <row r="2697" spans="1:13" x14ac:dyDescent="0.3">
      <c r="A2697" s="7">
        <v>15219</v>
      </c>
      <c r="B2697" s="7" t="s">
        <v>2705</v>
      </c>
      <c r="C2697" s="7" t="s">
        <v>6646</v>
      </c>
      <c r="D2697" s="7" t="s">
        <v>6706</v>
      </c>
      <c r="E2697" s="7" t="s">
        <v>6295</v>
      </c>
      <c r="F2697" s="7" t="s">
        <v>6330</v>
      </c>
      <c r="G2697" s="7" t="s">
        <v>7150</v>
      </c>
      <c r="H2697" s="7" t="s">
        <v>7156</v>
      </c>
      <c r="I2697" s="7"/>
      <c r="J2697" s="10">
        <v>44991</v>
      </c>
      <c r="K2697" s="7" t="s">
        <v>7164</v>
      </c>
      <c r="L2697" s="7"/>
      <c r="M2697" s="7"/>
    </row>
    <row r="2698" spans="1:13" x14ac:dyDescent="0.3">
      <c r="A2698" s="7">
        <v>18216</v>
      </c>
      <c r="B2698" s="7" t="s">
        <v>2706</v>
      </c>
      <c r="C2698" s="7" t="s">
        <v>6646</v>
      </c>
      <c r="D2698" s="7" t="s">
        <v>6706</v>
      </c>
      <c r="E2698" s="7" t="s">
        <v>6295</v>
      </c>
      <c r="F2698" s="7" t="s">
        <v>6707</v>
      </c>
      <c r="G2698" s="7" t="s">
        <v>7150</v>
      </c>
      <c r="H2698" s="7" t="s">
        <v>7156</v>
      </c>
      <c r="I2698" s="7"/>
      <c r="J2698" s="10">
        <v>46059</v>
      </c>
      <c r="K2698" s="7" t="s">
        <v>7164</v>
      </c>
      <c r="L2698" s="7"/>
      <c r="M2698" s="7"/>
    </row>
    <row r="2699" spans="1:13" x14ac:dyDescent="0.3">
      <c r="A2699" s="7">
        <v>13385</v>
      </c>
      <c r="B2699" s="7" t="s">
        <v>2707</v>
      </c>
      <c r="C2699" s="7" t="s">
        <v>6646</v>
      </c>
      <c r="D2699" s="7" t="s">
        <v>6706</v>
      </c>
      <c r="E2699" s="7" t="s">
        <v>6295</v>
      </c>
      <c r="F2699" s="7" t="s">
        <v>6707</v>
      </c>
      <c r="G2699" s="7" t="s">
        <v>7150</v>
      </c>
      <c r="H2699" s="7" t="s">
        <v>7156</v>
      </c>
      <c r="I2699" s="7"/>
      <c r="J2699" s="10">
        <v>44417</v>
      </c>
      <c r="K2699" s="7" t="s">
        <v>7164</v>
      </c>
      <c r="L2699" s="7"/>
      <c r="M2699" s="7"/>
    </row>
    <row r="2700" spans="1:13" x14ac:dyDescent="0.3">
      <c r="A2700" s="7">
        <v>15117</v>
      </c>
      <c r="B2700" s="7" t="s">
        <v>2708</v>
      </c>
      <c r="C2700" s="7" t="s">
        <v>6646</v>
      </c>
      <c r="D2700" s="7" t="s">
        <v>6706</v>
      </c>
      <c r="E2700" s="7" t="s">
        <v>6295</v>
      </c>
      <c r="F2700" s="7" t="s">
        <v>6707</v>
      </c>
      <c r="G2700" s="7" t="s">
        <v>7150</v>
      </c>
      <c r="H2700" s="7" t="s">
        <v>7156</v>
      </c>
      <c r="I2700" s="7"/>
      <c r="J2700" s="10">
        <v>44952</v>
      </c>
      <c r="K2700" s="7" t="s">
        <v>7164</v>
      </c>
      <c r="L2700" s="7"/>
      <c r="M2700" s="7"/>
    </row>
    <row r="2701" spans="1:13" x14ac:dyDescent="0.3">
      <c r="A2701" s="7">
        <v>13717</v>
      </c>
      <c r="B2701" s="7" t="s">
        <v>2709</v>
      </c>
      <c r="C2701" s="7" t="s">
        <v>6646</v>
      </c>
      <c r="D2701" s="7" t="s">
        <v>6706</v>
      </c>
      <c r="E2701" s="7" t="s">
        <v>6295</v>
      </c>
      <c r="F2701" s="7" t="s">
        <v>6707</v>
      </c>
      <c r="G2701" s="7" t="s">
        <v>7150</v>
      </c>
      <c r="H2701" s="7" t="s">
        <v>7156</v>
      </c>
      <c r="I2701" s="7"/>
      <c r="J2701" s="10">
        <v>44544</v>
      </c>
      <c r="K2701" s="7" t="s">
        <v>7164</v>
      </c>
      <c r="L2701" s="7"/>
      <c r="M2701" s="7"/>
    </row>
    <row r="2702" spans="1:13" x14ac:dyDescent="0.3">
      <c r="A2702" s="7">
        <v>16498</v>
      </c>
      <c r="B2702" s="7" t="s">
        <v>2710</v>
      </c>
      <c r="C2702" s="7" t="s">
        <v>6646</v>
      </c>
      <c r="D2702" s="7" t="s">
        <v>6706</v>
      </c>
      <c r="E2702" s="7" t="s">
        <v>6295</v>
      </c>
      <c r="F2702" s="7" t="s">
        <v>6707</v>
      </c>
      <c r="G2702" s="7" t="s">
        <v>7150</v>
      </c>
      <c r="H2702" s="7" t="s">
        <v>7156</v>
      </c>
      <c r="I2702" s="7"/>
      <c r="J2702" s="10">
        <v>45453</v>
      </c>
      <c r="K2702" s="7" t="s">
        <v>7164</v>
      </c>
      <c r="L2702" s="7"/>
      <c r="M2702" s="7"/>
    </row>
    <row r="2703" spans="1:13" x14ac:dyDescent="0.3">
      <c r="A2703" s="7">
        <v>18068</v>
      </c>
      <c r="B2703" s="7" t="s">
        <v>2711</v>
      </c>
      <c r="C2703" s="7" t="s">
        <v>6646</v>
      </c>
      <c r="D2703" s="7" t="s">
        <v>6706</v>
      </c>
      <c r="E2703" s="7" t="s">
        <v>6295</v>
      </c>
      <c r="F2703" s="7" t="s">
        <v>6707</v>
      </c>
      <c r="G2703" s="7" t="s">
        <v>7150</v>
      </c>
      <c r="H2703" s="7" t="s">
        <v>7156</v>
      </c>
      <c r="I2703" s="7"/>
      <c r="J2703" s="10">
        <v>45982</v>
      </c>
      <c r="K2703" s="7" t="s">
        <v>7164</v>
      </c>
      <c r="L2703" s="7"/>
      <c r="M2703" s="7"/>
    </row>
    <row r="2704" spans="1:13" x14ac:dyDescent="0.3">
      <c r="A2704" s="7">
        <v>17783</v>
      </c>
      <c r="B2704" s="7" t="s">
        <v>2712</v>
      </c>
      <c r="C2704" s="7" t="s">
        <v>6646</v>
      </c>
      <c r="D2704" s="7" t="s">
        <v>6708</v>
      </c>
      <c r="E2704" s="7" t="s">
        <v>6295</v>
      </c>
      <c r="F2704" s="7" t="s">
        <v>6324</v>
      </c>
      <c r="G2704" s="7" t="s">
        <v>7150</v>
      </c>
      <c r="H2704" s="7" t="s">
        <v>7156</v>
      </c>
      <c r="I2704" s="7"/>
      <c r="J2704" s="10">
        <v>45876</v>
      </c>
      <c r="K2704" s="7" t="s">
        <v>7164</v>
      </c>
      <c r="L2704" s="7"/>
      <c r="M2704" s="7"/>
    </row>
    <row r="2705" spans="1:13" x14ac:dyDescent="0.3">
      <c r="A2705" s="7">
        <v>17837</v>
      </c>
      <c r="B2705" s="7" t="s">
        <v>2713</v>
      </c>
      <c r="C2705" s="7" t="s">
        <v>6646</v>
      </c>
      <c r="D2705" s="7" t="s">
        <v>6647</v>
      </c>
      <c r="E2705" s="7" t="s">
        <v>6295</v>
      </c>
      <c r="F2705" s="7" t="s">
        <v>6709</v>
      </c>
      <c r="G2705" s="7" t="s">
        <v>7150</v>
      </c>
      <c r="H2705" s="7" t="s">
        <v>7156</v>
      </c>
      <c r="I2705" s="7"/>
      <c r="J2705" s="10">
        <v>45888</v>
      </c>
      <c r="K2705" s="7" t="s">
        <v>7164</v>
      </c>
      <c r="L2705" s="7"/>
      <c r="M2705" s="7"/>
    </row>
    <row r="2706" spans="1:13" x14ac:dyDescent="0.3">
      <c r="A2706" s="7">
        <v>15842</v>
      </c>
      <c r="B2706" s="7" t="s">
        <v>2714</v>
      </c>
      <c r="C2706" s="7" t="s">
        <v>6646</v>
      </c>
      <c r="D2706" s="7" t="s">
        <v>6647</v>
      </c>
      <c r="E2706" s="7" t="s">
        <v>6295</v>
      </c>
      <c r="F2706" s="7" t="s">
        <v>6709</v>
      </c>
      <c r="G2706" s="7" t="s">
        <v>7150</v>
      </c>
      <c r="H2706" s="7" t="s">
        <v>7156</v>
      </c>
      <c r="I2706" s="7"/>
      <c r="J2706" s="10">
        <v>45212</v>
      </c>
      <c r="K2706" s="7" t="s">
        <v>7164</v>
      </c>
      <c r="L2706" s="7"/>
      <c r="M2706" s="7"/>
    </row>
    <row r="2707" spans="1:13" x14ac:dyDescent="0.3">
      <c r="A2707" s="7">
        <v>17638</v>
      </c>
      <c r="B2707" s="7" t="s">
        <v>2715</v>
      </c>
      <c r="C2707" s="7" t="s">
        <v>6646</v>
      </c>
      <c r="D2707" s="7" t="s">
        <v>6647</v>
      </c>
      <c r="E2707" s="7" t="s">
        <v>6295</v>
      </c>
      <c r="F2707" s="7" t="s">
        <v>6709</v>
      </c>
      <c r="G2707" s="7" t="s">
        <v>7150</v>
      </c>
      <c r="H2707" s="7" t="s">
        <v>7156</v>
      </c>
      <c r="I2707" s="7"/>
      <c r="J2707" s="10">
        <v>45826</v>
      </c>
      <c r="K2707" s="7" t="s">
        <v>7164</v>
      </c>
      <c r="L2707" s="7"/>
      <c r="M2707" s="7"/>
    </row>
    <row r="2708" spans="1:13" x14ac:dyDescent="0.3">
      <c r="A2708" s="7">
        <v>16654</v>
      </c>
      <c r="B2708" s="7" t="s">
        <v>2716</v>
      </c>
      <c r="C2708" s="7" t="s">
        <v>6646</v>
      </c>
      <c r="D2708" s="7" t="s">
        <v>6647</v>
      </c>
      <c r="E2708" s="7" t="s">
        <v>6295</v>
      </c>
      <c r="F2708" s="7" t="s">
        <v>6709</v>
      </c>
      <c r="G2708" s="7" t="s">
        <v>7150</v>
      </c>
      <c r="H2708" s="7" t="s">
        <v>7156</v>
      </c>
      <c r="I2708" s="7"/>
      <c r="J2708" s="10">
        <v>45511</v>
      </c>
      <c r="K2708" s="7" t="s">
        <v>7164</v>
      </c>
      <c r="L2708" s="7"/>
      <c r="M2708" s="7"/>
    </row>
    <row r="2709" spans="1:13" x14ac:dyDescent="0.3">
      <c r="A2709" s="7">
        <v>16986</v>
      </c>
      <c r="B2709" s="7" t="s">
        <v>2717</v>
      </c>
      <c r="C2709" s="7" t="s">
        <v>6646</v>
      </c>
      <c r="D2709" s="7" t="s">
        <v>6647</v>
      </c>
      <c r="E2709" s="7" t="s">
        <v>6295</v>
      </c>
      <c r="F2709" s="7" t="s">
        <v>6710</v>
      </c>
      <c r="G2709" s="7" t="s">
        <v>7150</v>
      </c>
      <c r="H2709" s="7" t="s">
        <v>7156</v>
      </c>
      <c r="I2709" s="7"/>
      <c r="J2709" s="10">
        <v>45586</v>
      </c>
      <c r="K2709" s="7" t="s">
        <v>7164</v>
      </c>
      <c r="L2709" s="7"/>
      <c r="M2709" s="7"/>
    </row>
    <row r="2710" spans="1:13" x14ac:dyDescent="0.3">
      <c r="A2710" s="7">
        <v>16112</v>
      </c>
      <c r="B2710" s="7" t="s">
        <v>2718</v>
      </c>
      <c r="C2710" s="7" t="s">
        <v>6646</v>
      </c>
      <c r="D2710" s="7" t="s">
        <v>6647</v>
      </c>
      <c r="E2710" s="7" t="s">
        <v>6295</v>
      </c>
      <c r="F2710" s="7" t="s">
        <v>6709</v>
      </c>
      <c r="G2710" s="7" t="s">
        <v>7150</v>
      </c>
      <c r="H2710" s="7" t="s">
        <v>7156</v>
      </c>
      <c r="I2710" s="7"/>
      <c r="J2710" s="10">
        <v>45287</v>
      </c>
      <c r="K2710" s="7" t="s">
        <v>7164</v>
      </c>
      <c r="L2710" s="7"/>
      <c r="M2710" s="7"/>
    </row>
    <row r="2711" spans="1:13" x14ac:dyDescent="0.3">
      <c r="A2711" s="7">
        <v>17919</v>
      </c>
      <c r="B2711" s="7" t="s">
        <v>2719</v>
      </c>
      <c r="C2711" s="7" t="s">
        <v>6646</v>
      </c>
      <c r="D2711" s="7" t="s">
        <v>6647</v>
      </c>
      <c r="E2711" s="7" t="s">
        <v>6295</v>
      </c>
      <c r="F2711" s="7" t="s">
        <v>6709</v>
      </c>
      <c r="G2711" s="7" t="s">
        <v>7150</v>
      </c>
      <c r="H2711" s="7" t="s">
        <v>7156</v>
      </c>
      <c r="I2711" s="7"/>
      <c r="J2711" s="10">
        <v>45912</v>
      </c>
      <c r="K2711" s="7" t="s">
        <v>7164</v>
      </c>
      <c r="L2711" s="7"/>
      <c r="M2711" s="7"/>
    </row>
    <row r="2712" spans="1:13" x14ac:dyDescent="0.3">
      <c r="A2712" s="7">
        <v>12889</v>
      </c>
      <c r="B2712" s="7" t="s">
        <v>2720</v>
      </c>
      <c r="C2712" s="7" t="s">
        <v>6646</v>
      </c>
      <c r="D2712" s="7" t="s">
        <v>6647</v>
      </c>
      <c r="E2712" s="7" t="s">
        <v>6295</v>
      </c>
      <c r="F2712" s="7" t="s">
        <v>6709</v>
      </c>
      <c r="G2712" s="7" t="s">
        <v>7150</v>
      </c>
      <c r="H2712" s="7" t="s">
        <v>7156</v>
      </c>
      <c r="I2712" s="7"/>
      <c r="J2712" s="10">
        <v>44076</v>
      </c>
      <c r="K2712" s="7" t="s">
        <v>7164</v>
      </c>
      <c r="L2712" s="7"/>
      <c r="M2712" s="7"/>
    </row>
    <row r="2713" spans="1:13" x14ac:dyDescent="0.3">
      <c r="A2713" s="7">
        <v>15904</v>
      </c>
      <c r="B2713" s="7" t="s">
        <v>2721</v>
      </c>
      <c r="C2713" s="7" t="s">
        <v>6711</v>
      </c>
      <c r="D2713" s="7" t="s">
        <v>6295</v>
      </c>
      <c r="E2713" s="7" t="s">
        <v>6295</v>
      </c>
      <c r="F2713" s="7" t="s">
        <v>6712</v>
      </c>
      <c r="G2713" s="7" t="s">
        <v>7150</v>
      </c>
      <c r="H2713" s="7" t="s">
        <v>7156</v>
      </c>
      <c r="I2713" s="7"/>
      <c r="J2713" s="10">
        <v>45237</v>
      </c>
      <c r="K2713" s="7" t="s">
        <v>7164</v>
      </c>
      <c r="L2713" s="7"/>
      <c r="M2713" s="7"/>
    </row>
    <row r="2714" spans="1:13" x14ac:dyDescent="0.3">
      <c r="A2714" s="7">
        <v>16310</v>
      </c>
      <c r="B2714" s="7" t="s">
        <v>2722</v>
      </c>
      <c r="C2714" s="7" t="s">
        <v>6646</v>
      </c>
      <c r="D2714" s="7" t="s">
        <v>6706</v>
      </c>
      <c r="E2714" s="7" t="s">
        <v>6295</v>
      </c>
      <c r="F2714" s="7" t="s">
        <v>6330</v>
      </c>
      <c r="G2714" s="7" t="s">
        <v>7150</v>
      </c>
      <c r="H2714" s="7" t="s">
        <v>7156</v>
      </c>
      <c r="I2714" s="7"/>
      <c r="J2714" s="10">
        <v>45355</v>
      </c>
      <c r="K2714" s="7" t="s">
        <v>7164</v>
      </c>
      <c r="L2714" s="7"/>
      <c r="M2714" s="7"/>
    </row>
    <row r="2715" spans="1:13" x14ac:dyDescent="0.3">
      <c r="A2715" s="7">
        <v>15110</v>
      </c>
      <c r="B2715" s="7" t="s">
        <v>2723</v>
      </c>
      <c r="C2715" s="7" t="s">
        <v>6329</v>
      </c>
      <c r="D2715" s="7" t="s">
        <v>6295</v>
      </c>
      <c r="E2715" s="7" t="s">
        <v>6295</v>
      </c>
      <c r="F2715" s="7" t="s">
        <v>6713</v>
      </c>
      <c r="G2715" s="7" t="s">
        <v>7150</v>
      </c>
      <c r="H2715" s="7" t="s">
        <v>7156</v>
      </c>
      <c r="I2715" s="7"/>
      <c r="J2715" s="10">
        <v>44952</v>
      </c>
      <c r="K2715" s="7" t="s">
        <v>7164</v>
      </c>
      <c r="L2715" s="7"/>
      <c r="M2715" s="7"/>
    </row>
    <row r="2716" spans="1:13" x14ac:dyDescent="0.3">
      <c r="A2716" s="7">
        <v>18722</v>
      </c>
      <c r="B2716" s="7" t="s">
        <v>2724</v>
      </c>
      <c r="C2716" s="7" t="s">
        <v>6329</v>
      </c>
      <c r="D2716" s="7" t="s">
        <v>6295</v>
      </c>
      <c r="E2716" s="7" t="s">
        <v>6295</v>
      </c>
      <c r="F2716" s="7" t="s">
        <v>6713</v>
      </c>
      <c r="G2716" s="7" t="s">
        <v>7150</v>
      </c>
      <c r="H2716" s="7" t="s">
        <v>7156</v>
      </c>
      <c r="I2716" s="7" t="s">
        <v>7159</v>
      </c>
      <c r="J2716" s="10">
        <v>46192</v>
      </c>
      <c r="K2716" s="7" t="s">
        <v>7164</v>
      </c>
      <c r="L2716" s="7"/>
      <c r="M2716" s="7"/>
    </row>
    <row r="2717" spans="1:13" x14ac:dyDescent="0.3">
      <c r="A2717" s="7">
        <v>18905</v>
      </c>
      <c r="B2717" s="7" t="s">
        <v>2725</v>
      </c>
      <c r="C2717" s="7" t="s">
        <v>6329</v>
      </c>
      <c r="D2717" s="7" t="s">
        <v>6295</v>
      </c>
      <c r="E2717" s="7" t="s">
        <v>6295</v>
      </c>
      <c r="F2717" s="7" t="s">
        <v>6713</v>
      </c>
      <c r="G2717" s="7" t="s">
        <v>7150</v>
      </c>
      <c r="H2717" s="7" t="s">
        <v>7156</v>
      </c>
      <c r="I2717" s="7"/>
      <c r="J2717" s="10">
        <v>46239</v>
      </c>
      <c r="K2717" s="7" t="s">
        <v>7164</v>
      </c>
      <c r="L2717" s="7"/>
      <c r="M2717" s="7"/>
    </row>
    <row r="2718" spans="1:13" x14ac:dyDescent="0.3">
      <c r="A2718" s="7">
        <v>15220</v>
      </c>
      <c r="B2718" s="7" t="s">
        <v>2726</v>
      </c>
      <c r="C2718" s="7" t="s">
        <v>6329</v>
      </c>
      <c r="D2718" s="7" t="s">
        <v>6295</v>
      </c>
      <c r="E2718" s="7" t="s">
        <v>6295</v>
      </c>
      <c r="F2718" s="7" t="s">
        <v>6713</v>
      </c>
      <c r="G2718" s="7" t="s">
        <v>7150</v>
      </c>
      <c r="H2718" s="7" t="s">
        <v>7156</v>
      </c>
      <c r="I2718" s="7"/>
      <c r="J2718" s="10">
        <v>44991</v>
      </c>
      <c r="K2718" s="7" t="s">
        <v>7164</v>
      </c>
      <c r="L2718" s="7"/>
      <c r="M2718" s="7"/>
    </row>
    <row r="2719" spans="1:13" x14ac:dyDescent="0.3">
      <c r="A2719" s="7">
        <v>19165</v>
      </c>
      <c r="B2719" s="7" t="s">
        <v>2727</v>
      </c>
      <c r="C2719" s="7" t="s">
        <v>6329</v>
      </c>
      <c r="D2719" s="7" t="s">
        <v>6295</v>
      </c>
      <c r="E2719" s="7" t="s">
        <v>6295</v>
      </c>
      <c r="F2719" s="7" t="s">
        <v>6713</v>
      </c>
      <c r="G2719" s="7" t="s">
        <v>7150</v>
      </c>
      <c r="H2719" s="7" t="s">
        <v>7156</v>
      </c>
      <c r="I2719" s="7" t="s">
        <v>7159</v>
      </c>
      <c r="J2719" s="10">
        <v>46272</v>
      </c>
      <c r="K2719" s="7" t="s">
        <v>7164</v>
      </c>
      <c r="L2719" s="7"/>
      <c r="M2719" s="7"/>
    </row>
    <row r="2720" spans="1:13" x14ac:dyDescent="0.3">
      <c r="A2720" s="7">
        <v>18718</v>
      </c>
      <c r="B2720" s="7" t="s">
        <v>2728</v>
      </c>
      <c r="C2720" s="7" t="s">
        <v>6329</v>
      </c>
      <c r="D2720" s="7" t="s">
        <v>6295</v>
      </c>
      <c r="E2720" s="7" t="s">
        <v>6295</v>
      </c>
      <c r="F2720" s="7" t="s">
        <v>6713</v>
      </c>
      <c r="G2720" s="7" t="s">
        <v>7150</v>
      </c>
      <c r="H2720" s="7" t="s">
        <v>7156</v>
      </c>
      <c r="I2720" s="7" t="s">
        <v>7159</v>
      </c>
      <c r="J2720" s="10">
        <v>46192</v>
      </c>
      <c r="K2720" s="7" t="s">
        <v>7164</v>
      </c>
      <c r="L2720" s="7"/>
      <c r="M2720" s="7"/>
    </row>
    <row r="2721" spans="1:13" x14ac:dyDescent="0.3">
      <c r="A2721" s="7">
        <v>16068</v>
      </c>
      <c r="B2721" s="7" t="s">
        <v>2729</v>
      </c>
      <c r="C2721" s="7" t="s">
        <v>6711</v>
      </c>
      <c r="D2721" s="7" t="s">
        <v>6295</v>
      </c>
      <c r="E2721" s="7" t="s">
        <v>6295</v>
      </c>
      <c r="F2721" s="7" t="s">
        <v>6713</v>
      </c>
      <c r="G2721" s="7" t="s">
        <v>7150</v>
      </c>
      <c r="H2721" s="7" t="s">
        <v>7156</v>
      </c>
      <c r="I2721" s="7"/>
      <c r="J2721" s="10">
        <v>45278</v>
      </c>
      <c r="K2721" s="7" t="s">
        <v>7164</v>
      </c>
      <c r="L2721" s="7"/>
      <c r="M2721" s="7"/>
    </row>
    <row r="2722" spans="1:13" x14ac:dyDescent="0.3">
      <c r="A2722" s="7">
        <v>13768</v>
      </c>
      <c r="B2722" s="7" t="s">
        <v>2730</v>
      </c>
      <c r="C2722" s="7" t="s">
        <v>6711</v>
      </c>
      <c r="D2722" s="7" t="s">
        <v>6295</v>
      </c>
      <c r="E2722" s="7" t="s">
        <v>6295</v>
      </c>
      <c r="F2722" s="7" t="s">
        <v>6713</v>
      </c>
      <c r="G2722" s="7" t="s">
        <v>7150</v>
      </c>
      <c r="H2722" s="7" t="s">
        <v>7156</v>
      </c>
      <c r="I2722" s="7"/>
      <c r="J2722" s="10">
        <v>44571</v>
      </c>
      <c r="K2722" s="7" t="s">
        <v>7164</v>
      </c>
      <c r="L2722" s="7"/>
      <c r="M2722" s="7"/>
    </row>
    <row r="2723" spans="1:13" x14ac:dyDescent="0.3">
      <c r="A2723" s="7">
        <v>17133</v>
      </c>
      <c r="B2723" s="7" t="s">
        <v>2731</v>
      </c>
      <c r="C2723" s="7" t="s">
        <v>6329</v>
      </c>
      <c r="D2723" s="7" t="s">
        <v>6295</v>
      </c>
      <c r="E2723" s="7" t="s">
        <v>6295</v>
      </c>
      <c r="F2723" s="7" t="s">
        <v>6713</v>
      </c>
      <c r="G2723" s="7" t="s">
        <v>7150</v>
      </c>
      <c r="H2723" s="7" t="s">
        <v>7156</v>
      </c>
      <c r="I2723" s="7"/>
      <c r="J2723" s="10">
        <v>45642</v>
      </c>
      <c r="K2723" s="7" t="s">
        <v>7164</v>
      </c>
      <c r="L2723" s="7"/>
      <c r="M2723" s="7"/>
    </row>
    <row r="2724" spans="1:13" x14ac:dyDescent="0.3">
      <c r="A2724" s="7">
        <v>18747</v>
      </c>
      <c r="B2724" s="7" t="s">
        <v>2732</v>
      </c>
      <c r="C2724" s="7" t="s">
        <v>6329</v>
      </c>
      <c r="D2724" s="7" t="s">
        <v>6295</v>
      </c>
      <c r="E2724" s="7" t="s">
        <v>6295</v>
      </c>
      <c r="F2724" s="7" t="s">
        <v>6713</v>
      </c>
      <c r="G2724" s="7" t="s">
        <v>7150</v>
      </c>
      <c r="H2724" s="7" t="s">
        <v>7156</v>
      </c>
      <c r="I2724" s="7"/>
      <c r="J2724" s="10">
        <v>46204</v>
      </c>
      <c r="K2724" s="7" t="s">
        <v>7164</v>
      </c>
      <c r="L2724" s="7"/>
      <c r="M2724" s="7"/>
    </row>
    <row r="2725" spans="1:13" x14ac:dyDescent="0.3">
      <c r="A2725" s="7">
        <v>18818</v>
      </c>
      <c r="B2725" s="7" t="s">
        <v>2733</v>
      </c>
      <c r="C2725" s="7" t="s">
        <v>6329</v>
      </c>
      <c r="D2725" s="7" t="s">
        <v>6295</v>
      </c>
      <c r="E2725" s="7" t="s">
        <v>6295</v>
      </c>
      <c r="F2725" s="7" t="s">
        <v>6713</v>
      </c>
      <c r="G2725" s="7" t="s">
        <v>7150</v>
      </c>
      <c r="H2725" s="7" t="s">
        <v>7156</v>
      </c>
      <c r="I2725" s="7" t="s">
        <v>7159</v>
      </c>
      <c r="J2725" s="10">
        <v>46213</v>
      </c>
      <c r="K2725" s="7" t="s">
        <v>7164</v>
      </c>
      <c r="L2725" s="7"/>
      <c r="M2725" s="7"/>
    </row>
    <row r="2726" spans="1:13" x14ac:dyDescent="0.3">
      <c r="A2726" s="7">
        <v>15330</v>
      </c>
      <c r="B2726" s="7" t="s">
        <v>2734</v>
      </c>
      <c r="C2726" s="7" t="s">
        <v>6646</v>
      </c>
      <c r="D2726" s="7" t="s">
        <v>6706</v>
      </c>
      <c r="E2726" s="7" t="s">
        <v>6295</v>
      </c>
      <c r="F2726" s="7" t="s">
        <v>6707</v>
      </c>
      <c r="G2726" s="7" t="s">
        <v>7150</v>
      </c>
      <c r="H2726" s="7" t="s">
        <v>7156</v>
      </c>
      <c r="I2726" s="7"/>
      <c r="J2726" s="10">
        <v>45029</v>
      </c>
      <c r="K2726" s="7" t="s">
        <v>7164</v>
      </c>
      <c r="L2726" s="7"/>
      <c r="M2726" s="7"/>
    </row>
    <row r="2727" spans="1:13" x14ac:dyDescent="0.3">
      <c r="A2727" s="7">
        <v>12519</v>
      </c>
      <c r="B2727" s="7" t="s">
        <v>2735</v>
      </c>
      <c r="C2727" s="7" t="s">
        <v>6646</v>
      </c>
      <c r="D2727" s="7" t="s">
        <v>6706</v>
      </c>
      <c r="E2727" s="7" t="s">
        <v>6295</v>
      </c>
      <c r="F2727" s="7" t="s">
        <v>6707</v>
      </c>
      <c r="G2727" s="7" t="s">
        <v>7150</v>
      </c>
      <c r="H2727" s="7" t="s">
        <v>7156</v>
      </c>
      <c r="I2727" s="7"/>
      <c r="J2727" s="10">
        <v>43794</v>
      </c>
      <c r="K2727" s="7" t="s">
        <v>7164</v>
      </c>
      <c r="L2727" s="7"/>
      <c r="M2727" s="7"/>
    </row>
    <row r="2728" spans="1:13" x14ac:dyDescent="0.3">
      <c r="A2728" s="7">
        <v>14758</v>
      </c>
      <c r="B2728" s="7" t="s">
        <v>2736</v>
      </c>
      <c r="C2728" s="7" t="s">
        <v>6711</v>
      </c>
      <c r="D2728" s="7" t="s">
        <v>6295</v>
      </c>
      <c r="E2728" s="7" t="s">
        <v>6295</v>
      </c>
      <c r="F2728" s="7" t="s">
        <v>6713</v>
      </c>
      <c r="G2728" s="7" t="s">
        <v>7150</v>
      </c>
      <c r="H2728" s="7" t="s">
        <v>7156</v>
      </c>
      <c r="I2728" s="7"/>
      <c r="J2728" s="10">
        <v>44858</v>
      </c>
      <c r="K2728" s="7" t="s">
        <v>7164</v>
      </c>
      <c r="L2728" s="7"/>
      <c r="M2728" s="7"/>
    </row>
    <row r="2729" spans="1:13" x14ac:dyDescent="0.3">
      <c r="A2729" s="7">
        <v>15329</v>
      </c>
      <c r="B2729" s="7" t="s">
        <v>2737</v>
      </c>
      <c r="C2729" s="7" t="s">
        <v>6711</v>
      </c>
      <c r="D2729" s="7" t="s">
        <v>6295</v>
      </c>
      <c r="E2729" s="7" t="s">
        <v>6295</v>
      </c>
      <c r="F2729" s="7" t="s">
        <v>6713</v>
      </c>
      <c r="G2729" s="7" t="s">
        <v>7150</v>
      </c>
      <c r="H2729" s="7" t="s">
        <v>7156</v>
      </c>
      <c r="I2729" s="7"/>
      <c r="J2729" s="10">
        <v>45029</v>
      </c>
      <c r="K2729" s="7" t="s">
        <v>7164</v>
      </c>
      <c r="L2729" s="7"/>
      <c r="M2729" s="7"/>
    </row>
    <row r="2730" spans="1:13" x14ac:dyDescent="0.3">
      <c r="A2730" s="7">
        <v>15375</v>
      </c>
      <c r="B2730" s="7" t="s">
        <v>2738</v>
      </c>
      <c r="C2730" s="7" t="s">
        <v>6646</v>
      </c>
      <c r="D2730" s="7" t="s">
        <v>6706</v>
      </c>
      <c r="E2730" s="7" t="s">
        <v>6295</v>
      </c>
      <c r="F2730" s="7" t="s">
        <v>6330</v>
      </c>
      <c r="G2730" s="7" t="s">
        <v>7150</v>
      </c>
      <c r="H2730" s="7" t="s">
        <v>7156</v>
      </c>
      <c r="I2730" s="7"/>
      <c r="J2730" s="10">
        <v>45050</v>
      </c>
      <c r="K2730" s="7" t="s">
        <v>7164</v>
      </c>
      <c r="L2730" s="7"/>
      <c r="M2730" s="7"/>
    </row>
    <row r="2731" spans="1:13" x14ac:dyDescent="0.3">
      <c r="A2731" s="7">
        <v>15983</v>
      </c>
      <c r="B2731" s="7" t="s">
        <v>2739</v>
      </c>
      <c r="C2731" s="7" t="s">
        <v>6711</v>
      </c>
      <c r="D2731" s="7" t="s">
        <v>6295</v>
      </c>
      <c r="E2731" s="7" t="s">
        <v>6295</v>
      </c>
      <c r="F2731" s="7" t="s">
        <v>6713</v>
      </c>
      <c r="G2731" s="7" t="s">
        <v>7150</v>
      </c>
      <c r="H2731" s="7" t="s">
        <v>7156</v>
      </c>
      <c r="I2731" s="7"/>
      <c r="J2731" s="10">
        <v>45254</v>
      </c>
      <c r="K2731" s="7" t="s">
        <v>7164</v>
      </c>
      <c r="L2731" s="7"/>
      <c r="M2731" s="7"/>
    </row>
    <row r="2732" spans="1:13" x14ac:dyDescent="0.3">
      <c r="A2732" s="7">
        <v>16032</v>
      </c>
      <c r="B2732" s="7" t="s">
        <v>2740</v>
      </c>
      <c r="C2732" s="7" t="s">
        <v>6646</v>
      </c>
      <c r="D2732" s="7" t="s">
        <v>6706</v>
      </c>
      <c r="E2732" s="7" t="s">
        <v>6295</v>
      </c>
      <c r="F2732" s="7" t="s">
        <v>6707</v>
      </c>
      <c r="G2732" s="7" t="s">
        <v>7150</v>
      </c>
      <c r="H2732" s="7" t="s">
        <v>7156</v>
      </c>
      <c r="I2732" s="7"/>
      <c r="J2732" s="10">
        <v>45268</v>
      </c>
      <c r="K2732" s="7" t="s">
        <v>7164</v>
      </c>
      <c r="L2732" s="7"/>
      <c r="M2732" s="7"/>
    </row>
    <row r="2733" spans="1:13" x14ac:dyDescent="0.3">
      <c r="A2733" s="7">
        <v>16726</v>
      </c>
      <c r="B2733" s="7" t="s">
        <v>2741</v>
      </c>
      <c r="C2733" s="7" t="s">
        <v>6646</v>
      </c>
      <c r="D2733" s="7" t="s">
        <v>6706</v>
      </c>
      <c r="E2733" s="7" t="s">
        <v>6295</v>
      </c>
      <c r="F2733" s="7" t="s">
        <v>6330</v>
      </c>
      <c r="G2733" s="7" t="s">
        <v>7150</v>
      </c>
      <c r="H2733" s="7" t="s">
        <v>7156</v>
      </c>
      <c r="I2733" s="7"/>
      <c r="J2733" s="10">
        <v>45545</v>
      </c>
      <c r="K2733" s="7" t="s">
        <v>7164</v>
      </c>
      <c r="L2733" s="7"/>
      <c r="M2733" s="7"/>
    </row>
    <row r="2734" spans="1:13" x14ac:dyDescent="0.3">
      <c r="A2734" s="7">
        <v>16823</v>
      </c>
      <c r="B2734" s="7" t="s">
        <v>2742</v>
      </c>
      <c r="C2734" s="7" t="s">
        <v>6711</v>
      </c>
      <c r="D2734" s="7" t="s">
        <v>6295</v>
      </c>
      <c r="E2734" s="7" t="s">
        <v>6295</v>
      </c>
      <c r="F2734" s="7" t="s">
        <v>6713</v>
      </c>
      <c r="G2734" s="7" t="s">
        <v>7150</v>
      </c>
      <c r="H2734" s="7" t="s">
        <v>7156</v>
      </c>
      <c r="I2734" s="7"/>
      <c r="J2734" s="10">
        <v>45560</v>
      </c>
      <c r="K2734" s="7" t="s">
        <v>7164</v>
      </c>
      <c r="L2734" s="7"/>
      <c r="M2734" s="7"/>
    </row>
    <row r="2735" spans="1:13" x14ac:dyDescent="0.3">
      <c r="A2735" s="7">
        <v>18067</v>
      </c>
      <c r="B2735" s="7" t="s">
        <v>2743</v>
      </c>
      <c r="C2735" s="7" t="s">
        <v>6646</v>
      </c>
      <c r="D2735" s="7" t="s">
        <v>6706</v>
      </c>
      <c r="E2735" s="7" t="s">
        <v>6295</v>
      </c>
      <c r="F2735" s="7" t="s">
        <v>6707</v>
      </c>
      <c r="G2735" s="7" t="s">
        <v>7150</v>
      </c>
      <c r="H2735" s="7" t="s">
        <v>7156</v>
      </c>
      <c r="I2735" s="7"/>
      <c r="J2735" s="10">
        <v>45982</v>
      </c>
      <c r="K2735" s="7" t="s">
        <v>7164</v>
      </c>
      <c r="L2735" s="7"/>
      <c r="M2735" s="7"/>
    </row>
    <row r="2736" spans="1:13" x14ac:dyDescent="0.3">
      <c r="A2736" s="7">
        <v>18161</v>
      </c>
      <c r="B2736" s="7" t="s">
        <v>2744</v>
      </c>
      <c r="C2736" s="7" t="s">
        <v>6329</v>
      </c>
      <c r="D2736" s="7" t="s">
        <v>6295</v>
      </c>
      <c r="E2736" s="7" t="s">
        <v>6295</v>
      </c>
      <c r="F2736" s="7" t="s">
        <v>6714</v>
      </c>
      <c r="G2736" s="7" t="s">
        <v>7150</v>
      </c>
      <c r="H2736" s="7" t="s">
        <v>7156</v>
      </c>
      <c r="I2736" s="7"/>
      <c r="J2736" s="10">
        <v>46028</v>
      </c>
      <c r="K2736" s="7" t="s">
        <v>7164</v>
      </c>
      <c r="L2736" s="7"/>
      <c r="M2736" s="7"/>
    </row>
    <row r="2737" spans="1:13" x14ac:dyDescent="0.3">
      <c r="A2737" s="7">
        <v>15820</v>
      </c>
      <c r="B2737" s="7" t="s">
        <v>2745</v>
      </c>
      <c r="C2737" s="7" t="s">
        <v>6646</v>
      </c>
      <c r="D2737" s="7" t="s">
        <v>6706</v>
      </c>
      <c r="E2737" s="7" t="s">
        <v>6295</v>
      </c>
      <c r="F2737" s="7" t="s">
        <v>6414</v>
      </c>
      <c r="G2737" s="7" t="s">
        <v>7150</v>
      </c>
      <c r="H2737" s="7" t="s">
        <v>7156</v>
      </c>
      <c r="I2737" s="7"/>
      <c r="J2737" s="10">
        <v>45204</v>
      </c>
      <c r="K2737" s="7" t="s">
        <v>7164</v>
      </c>
      <c r="L2737" s="7"/>
      <c r="M2737" s="7"/>
    </row>
    <row r="2738" spans="1:13" x14ac:dyDescent="0.3">
      <c r="A2738" s="7">
        <v>15823</v>
      </c>
      <c r="B2738" s="7" t="s">
        <v>2746</v>
      </c>
      <c r="C2738" s="7" t="s">
        <v>6653</v>
      </c>
      <c r="D2738" s="7" t="s">
        <v>6694</v>
      </c>
      <c r="E2738" s="7" t="s">
        <v>6715</v>
      </c>
      <c r="F2738" s="7" t="s">
        <v>6353</v>
      </c>
      <c r="G2738" s="7" t="s">
        <v>7150</v>
      </c>
      <c r="H2738" s="7" t="s">
        <v>7156</v>
      </c>
      <c r="I2738" s="7"/>
      <c r="J2738" s="10">
        <v>45205</v>
      </c>
      <c r="K2738" s="7" t="s">
        <v>7164</v>
      </c>
      <c r="L2738" s="7"/>
      <c r="M2738" s="7"/>
    </row>
    <row r="2739" spans="1:13" x14ac:dyDescent="0.3">
      <c r="A2739" s="7">
        <v>12252</v>
      </c>
      <c r="B2739" s="7" t="s">
        <v>2747</v>
      </c>
      <c r="C2739" s="7" t="s">
        <v>6646</v>
      </c>
      <c r="D2739" s="7" t="s">
        <v>6706</v>
      </c>
      <c r="E2739" s="7" t="s">
        <v>6295</v>
      </c>
      <c r="F2739" s="7" t="s">
        <v>6330</v>
      </c>
      <c r="G2739" s="7" t="s">
        <v>7150</v>
      </c>
      <c r="H2739" s="7" t="s">
        <v>7156</v>
      </c>
      <c r="I2739" s="7"/>
      <c r="J2739" s="10">
        <v>43647</v>
      </c>
      <c r="K2739" s="7" t="s">
        <v>7164</v>
      </c>
      <c r="L2739" s="7"/>
      <c r="M2739" s="7"/>
    </row>
    <row r="2740" spans="1:13" x14ac:dyDescent="0.3">
      <c r="A2740" s="7">
        <v>13833</v>
      </c>
      <c r="B2740" s="7" t="s">
        <v>2748</v>
      </c>
      <c r="C2740" s="7" t="s">
        <v>6646</v>
      </c>
      <c r="D2740" s="7" t="s">
        <v>6706</v>
      </c>
      <c r="E2740" s="7" t="s">
        <v>6295</v>
      </c>
      <c r="F2740" s="7" t="s">
        <v>6330</v>
      </c>
      <c r="G2740" s="7" t="s">
        <v>7150</v>
      </c>
      <c r="H2740" s="7" t="s">
        <v>7156</v>
      </c>
      <c r="I2740" s="7"/>
      <c r="J2740" s="10">
        <v>44600</v>
      </c>
      <c r="K2740" s="7" t="s">
        <v>7164</v>
      </c>
      <c r="L2740" s="7"/>
      <c r="M2740" s="7"/>
    </row>
    <row r="2741" spans="1:13" x14ac:dyDescent="0.3">
      <c r="A2741" s="7">
        <v>16489</v>
      </c>
      <c r="B2741" s="7" t="s">
        <v>2749</v>
      </c>
      <c r="C2741" s="7" t="s">
        <v>6646</v>
      </c>
      <c r="D2741" s="7" t="s">
        <v>6706</v>
      </c>
      <c r="E2741" s="7" t="s">
        <v>6295</v>
      </c>
      <c r="F2741" s="7" t="s">
        <v>6330</v>
      </c>
      <c r="G2741" s="7" t="s">
        <v>7150</v>
      </c>
      <c r="H2741" s="7" t="s">
        <v>7156</v>
      </c>
      <c r="I2741" s="7"/>
      <c r="J2741" s="10">
        <v>45435</v>
      </c>
      <c r="K2741" s="7" t="s">
        <v>7164</v>
      </c>
      <c r="L2741" s="7"/>
      <c r="M2741" s="7"/>
    </row>
    <row r="2742" spans="1:13" x14ac:dyDescent="0.3">
      <c r="A2742" s="7">
        <v>16975</v>
      </c>
      <c r="B2742" s="7" t="s">
        <v>2750</v>
      </c>
      <c r="C2742" s="7" t="s">
        <v>6646</v>
      </c>
      <c r="D2742" s="7" t="s">
        <v>6706</v>
      </c>
      <c r="E2742" s="7" t="s">
        <v>6295</v>
      </c>
      <c r="F2742" s="7" t="s">
        <v>6330</v>
      </c>
      <c r="G2742" s="7" t="s">
        <v>7150</v>
      </c>
      <c r="H2742" s="7" t="s">
        <v>7156</v>
      </c>
      <c r="I2742" s="7"/>
      <c r="J2742" s="10">
        <v>45593</v>
      </c>
      <c r="K2742" s="7" t="s">
        <v>7164</v>
      </c>
      <c r="L2742" s="7"/>
      <c r="M2742" s="7"/>
    </row>
    <row r="2743" spans="1:13" x14ac:dyDescent="0.3">
      <c r="A2743" s="7">
        <v>17920</v>
      </c>
      <c r="B2743" s="7" t="s">
        <v>2751</v>
      </c>
      <c r="C2743" s="7" t="s">
        <v>6646</v>
      </c>
      <c r="D2743" s="7" t="s">
        <v>6706</v>
      </c>
      <c r="E2743" s="7" t="s">
        <v>6295</v>
      </c>
      <c r="F2743" s="7" t="s">
        <v>6716</v>
      </c>
      <c r="G2743" s="7" t="s">
        <v>7150</v>
      </c>
      <c r="H2743" s="7" t="s">
        <v>7156</v>
      </c>
      <c r="I2743" s="7"/>
      <c r="J2743" s="10">
        <v>45912</v>
      </c>
      <c r="K2743" s="7" t="s">
        <v>7164</v>
      </c>
      <c r="L2743" s="7"/>
      <c r="M2743" s="7"/>
    </row>
    <row r="2744" spans="1:13" x14ac:dyDescent="0.3">
      <c r="A2744" s="7">
        <v>18031</v>
      </c>
      <c r="B2744" s="7" t="s">
        <v>2752</v>
      </c>
      <c r="C2744" s="7" t="s">
        <v>6646</v>
      </c>
      <c r="D2744" s="7" t="s">
        <v>6706</v>
      </c>
      <c r="E2744" s="7" t="s">
        <v>6295</v>
      </c>
      <c r="F2744" s="7" t="s">
        <v>6330</v>
      </c>
      <c r="G2744" s="7" t="s">
        <v>7150</v>
      </c>
      <c r="H2744" s="7" t="s">
        <v>7156</v>
      </c>
      <c r="I2744" s="7"/>
      <c r="J2744" s="10">
        <v>45967</v>
      </c>
      <c r="K2744" s="7" t="s">
        <v>7164</v>
      </c>
      <c r="L2744" s="7"/>
      <c r="M2744" s="7"/>
    </row>
    <row r="2745" spans="1:13" x14ac:dyDescent="0.3">
      <c r="A2745" s="7">
        <v>18204</v>
      </c>
      <c r="B2745" s="7" t="s">
        <v>2753</v>
      </c>
      <c r="C2745" s="7" t="s">
        <v>6329</v>
      </c>
      <c r="D2745" s="7" t="s">
        <v>6295</v>
      </c>
      <c r="E2745" s="7" t="s">
        <v>6295</v>
      </c>
      <c r="F2745" s="7" t="s">
        <v>6330</v>
      </c>
      <c r="G2745" s="7" t="s">
        <v>7150</v>
      </c>
      <c r="H2745" s="7" t="s">
        <v>7156</v>
      </c>
      <c r="I2745" s="7"/>
      <c r="J2745" s="10">
        <v>46055</v>
      </c>
      <c r="K2745" s="7" t="s">
        <v>7164</v>
      </c>
      <c r="L2745" s="7"/>
      <c r="M2745" s="7"/>
    </row>
    <row r="2746" spans="1:13" x14ac:dyDescent="0.3">
      <c r="A2746" s="7">
        <v>18932</v>
      </c>
      <c r="B2746" s="7" t="s">
        <v>2754</v>
      </c>
      <c r="C2746" s="7" t="s">
        <v>6329</v>
      </c>
      <c r="D2746" s="7" t="s">
        <v>6295</v>
      </c>
      <c r="E2746" s="7" t="s">
        <v>6295</v>
      </c>
      <c r="F2746" s="7" t="s">
        <v>6330</v>
      </c>
      <c r="G2746" s="7" t="s">
        <v>7150</v>
      </c>
      <c r="H2746" s="7" t="s">
        <v>7156</v>
      </c>
      <c r="I2746" s="7"/>
      <c r="J2746" s="10">
        <v>46245</v>
      </c>
      <c r="K2746" s="7" t="s">
        <v>7164</v>
      </c>
      <c r="L2746" s="7"/>
      <c r="M2746" s="7"/>
    </row>
    <row r="2747" spans="1:13" x14ac:dyDescent="0.3">
      <c r="A2747" s="7">
        <v>18061</v>
      </c>
      <c r="B2747" s="7" t="s">
        <v>2755</v>
      </c>
      <c r="C2747" s="7" t="s">
        <v>6711</v>
      </c>
      <c r="D2747" s="7" t="s">
        <v>6295</v>
      </c>
      <c r="E2747" s="7" t="s">
        <v>6295</v>
      </c>
      <c r="F2747" s="7" t="s">
        <v>6330</v>
      </c>
      <c r="G2747" s="7" t="s">
        <v>7150</v>
      </c>
      <c r="H2747" s="7" t="s">
        <v>7156</v>
      </c>
      <c r="I2747" s="7"/>
      <c r="J2747" s="10">
        <v>45980</v>
      </c>
      <c r="K2747" s="7" t="s">
        <v>7164</v>
      </c>
      <c r="L2747" s="7"/>
      <c r="M2747" s="7"/>
    </row>
    <row r="2748" spans="1:13" x14ac:dyDescent="0.3">
      <c r="A2748" s="7">
        <v>18160</v>
      </c>
      <c r="B2748" s="7" t="s">
        <v>2756</v>
      </c>
      <c r="C2748" s="7" t="s">
        <v>6711</v>
      </c>
      <c r="D2748" s="7" t="s">
        <v>6295</v>
      </c>
      <c r="E2748" s="7" t="s">
        <v>6295</v>
      </c>
      <c r="F2748" s="7" t="s">
        <v>6330</v>
      </c>
      <c r="G2748" s="7" t="s">
        <v>7150</v>
      </c>
      <c r="H2748" s="7" t="s">
        <v>7156</v>
      </c>
      <c r="I2748" s="7"/>
      <c r="J2748" s="10">
        <v>46028</v>
      </c>
      <c r="K2748" s="7" t="s">
        <v>7164</v>
      </c>
      <c r="L2748" s="7"/>
      <c r="M2748" s="7"/>
    </row>
    <row r="2749" spans="1:13" x14ac:dyDescent="0.3">
      <c r="A2749" s="7">
        <v>17125</v>
      </c>
      <c r="B2749" s="7" t="s">
        <v>2757</v>
      </c>
      <c r="C2749" s="7" t="s">
        <v>6329</v>
      </c>
      <c r="D2749" s="7" t="s">
        <v>6295</v>
      </c>
      <c r="E2749" s="7" t="s">
        <v>6295</v>
      </c>
      <c r="F2749" s="7" t="s">
        <v>6717</v>
      </c>
      <c r="G2749" s="7" t="s">
        <v>7150</v>
      </c>
      <c r="H2749" s="7" t="s">
        <v>7156</v>
      </c>
      <c r="I2749" s="7"/>
      <c r="J2749" s="10">
        <v>45642</v>
      </c>
      <c r="K2749" s="7" t="s">
        <v>7164</v>
      </c>
      <c r="L2749" s="7"/>
      <c r="M2749" s="7"/>
    </row>
    <row r="2750" spans="1:13" x14ac:dyDescent="0.3">
      <c r="A2750" s="7">
        <v>17775</v>
      </c>
      <c r="B2750" s="7" t="s">
        <v>2758</v>
      </c>
      <c r="C2750" s="7" t="s">
        <v>6711</v>
      </c>
      <c r="D2750" s="7" t="s">
        <v>6295</v>
      </c>
      <c r="E2750" s="7" t="s">
        <v>6295</v>
      </c>
      <c r="F2750" s="7" t="s">
        <v>6717</v>
      </c>
      <c r="G2750" s="7" t="s">
        <v>7150</v>
      </c>
      <c r="H2750" s="7" t="s">
        <v>7156</v>
      </c>
      <c r="I2750" s="7"/>
      <c r="J2750" s="10">
        <v>45875</v>
      </c>
      <c r="K2750" s="7" t="s">
        <v>7164</v>
      </c>
      <c r="L2750" s="7"/>
      <c r="M2750" s="7"/>
    </row>
    <row r="2751" spans="1:13" x14ac:dyDescent="0.3">
      <c r="A2751" s="7">
        <v>18310</v>
      </c>
      <c r="B2751" s="7" t="s">
        <v>2759</v>
      </c>
      <c r="C2751" s="7" t="s">
        <v>6711</v>
      </c>
      <c r="D2751" s="7" t="s">
        <v>6295</v>
      </c>
      <c r="E2751" s="7" t="s">
        <v>6295</v>
      </c>
      <c r="F2751" s="7" t="s">
        <v>6718</v>
      </c>
      <c r="G2751" s="7" t="s">
        <v>7150</v>
      </c>
      <c r="H2751" s="7" t="s">
        <v>7156</v>
      </c>
      <c r="I2751" s="7"/>
      <c r="J2751" s="10">
        <v>46085</v>
      </c>
      <c r="K2751" s="7" t="s">
        <v>7164</v>
      </c>
      <c r="L2751" s="7"/>
      <c r="M2751" s="7"/>
    </row>
    <row r="2752" spans="1:13" x14ac:dyDescent="0.3">
      <c r="A2752" s="7">
        <v>14242</v>
      </c>
      <c r="B2752" s="7" t="s">
        <v>2760</v>
      </c>
      <c r="C2752" s="7" t="s">
        <v>6646</v>
      </c>
      <c r="D2752" s="7" t="s">
        <v>6647</v>
      </c>
      <c r="E2752" s="7" t="s">
        <v>6295</v>
      </c>
      <c r="F2752" s="7" t="s">
        <v>6717</v>
      </c>
      <c r="G2752" s="7" t="s">
        <v>7150</v>
      </c>
      <c r="H2752" s="7" t="s">
        <v>7156</v>
      </c>
      <c r="I2752" s="7"/>
      <c r="J2752" s="10">
        <v>44701</v>
      </c>
      <c r="K2752" s="7" t="s">
        <v>7164</v>
      </c>
      <c r="L2752" s="7"/>
      <c r="M2752" s="7"/>
    </row>
    <row r="2753" spans="1:13" x14ac:dyDescent="0.3">
      <c r="A2753" s="7">
        <v>14305</v>
      </c>
      <c r="B2753" s="7" t="s">
        <v>2761</v>
      </c>
      <c r="C2753" s="7" t="s">
        <v>6653</v>
      </c>
      <c r="D2753" s="7" t="s">
        <v>6694</v>
      </c>
      <c r="E2753" s="7" t="s">
        <v>6715</v>
      </c>
      <c r="F2753" s="7" t="s">
        <v>6340</v>
      </c>
      <c r="G2753" s="7" t="s">
        <v>7150</v>
      </c>
      <c r="H2753" s="7" t="s">
        <v>7156</v>
      </c>
      <c r="I2753" s="7"/>
      <c r="J2753" s="10">
        <v>44725</v>
      </c>
      <c r="K2753" s="7" t="s">
        <v>7164</v>
      </c>
      <c r="L2753" s="7"/>
      <c r="M2753" s="7"/>
    </row>
    <row r="2754" spans="1:13" x14ac:dyDescent="0.3">
      <c r="A2754" s="7">
        <v>12035</v>
      </c>
      <c r="B2754" s="7" t="s">
        <v>2762</v>
      </c>
      <c r="C2754" s="7" t="s">
        <v>6711</v>
      </c>
      <c r="D2754" s="7" t="s">
        <v>6295</v>
      </c>
      <c r="E2754" s="7" t="s">
        <v>6295</v>
      </c>
      <c r="F2754" s="7" t="s">
        <v>6717</v>
      </c>
      <c r="G2754" s="7" t="s">
        <v>7150</v>
      </c>
      <c r="H2754" s="7" t="s">
        <v>7156</v>
      </c>
      <c r="I2754" s="7"/>
      <c r="J2754" s="10">
        <v>43395</v>
      </c>
      <c r="K2754" s="7" t="s">
        <v>7164</v>
      </c>
      <c r="L2754" s="7"/>
      <c r="M2754" s="7"/>
    </row>
    <row r="2755" spans="1:13" x14ac:dyDescent="0.3">
      <c r="A2755" s="7">
        <v>18091</v>
      </c>
      <c r="B2755" s="7" t="s">
        <v>2763</v>
      </c>
      <c r="C2755" s="7" t="s">
        <v>6646</v>
      </c>
      <c r="D2755" s="7" t="s">
        <v>6647</v>
      </c>
      <c r="E2755" s="7" t="s">
        <v>6295</v>
      </c>
      <c r="F2755" s="7" t="s">
        <v>6717</v>
      </c>
      <c r="G2755" s="7" t="s">
        <v>7150</v>
      </c>
      <c r="H2755" s="7" t="s">
        <v>7156</v>
      </c>
      <c r="I2755" s="7"/>
      <c r="J2755" s="10">
        <v>45993</v>
      </c>
      <c r="K2755" s="7" t="s">
        <v>7164</v>
      </c>
      <c r="L2755" s="7"/>
      <c r="M2755" s="7"/>
    </row>
    <row r="2756" spans="1:13" x14ac:dyDescent="0.3">
      <c r="A2756" s="7">
        <v>12723</v>
      </c>
      <c r="B2756" s="7" t="s">
        <v>2764</v>
      </c>
      <c r="C2756" s="7" t="s">
        <v>6711</v>
      </c>
      <c r="D2756" s="7" t="s">
        <v>6295</v>
      </c>
      <c r="E2756" s="7" t="s">
        <v>6295</v>
      </c>
      <c r="F2756" s="7" t="s">
        <v>6717</v>
      </c>
      <c r="G2756" s="7" t="s">
        <v>7150</v>
      </c>
      <c r="H2756" s="7" t="s">
        <v>7156</v>
      </c>
      <c r="I2756" s="7"/>
      <c r="J2756" s="10">
        <v>43878</v>
      </c>
      <c r="K2756" s="7" t="s">
        <v>7164</v>
      </c>
      <c r="L2756" s="7"/>
      <c r="M2756" s="7"/>
    </row>
    <row r="2757" spans="1:13" x14ac:dyDescent="0.3">
      <c r="A2757" s="7">
        <v>13592</v>
      </c>
      <c r="B2757" s="7" t="s">
        <v>2765</v>
      </c>
      <c r="C2757" s="7" t="s">
        <v>6711</v>
      </c>
      <c r="D2757" s="7" t="s">
        <v>6295</v>
      </c>
      <c r="E2757" s="7" t="s">
        <v>6295</v>
      </c>
      <c r="F2757" s="7" t="s">
        <v>6717</v>
      </c>
      <c r="G2757" s="7" t="s">
        <v>7150</v>
      </c>
      <c r="H2757" s="7" t="s">
        <v>7156</v>
      </c>
      <c r="I2757" s="7"/>
      <c r="J2757" s="10">
        <v>44503</v>
      </c>
      <c r="K2757" s="7" t="s">
        <v>7164</v>
      </c>
      <c r="L2757" s="7"/>
      <c r="M2757" s="7"/>
    </row>
    <row r="2758" spans="1:13" x14ac:dyDescent="0.3">
      <c r="A2758" s="7">
        <v>14924</v>
      </c>
      <c r="B2758" s="7" t="s">
        <v>2766</v>
      </c>
      <c r="C2758" s="7" t="s">
        <v>6329</v>
      </c>
      <c r="D2758" s="7" t="s">
        <v>6295</v>
      </c>
      <c r="E2758" s="7" t="s">
        <v>6295</v>
      </c>
      <c r="F2758" s="7" t="s">
        <v>6717</v>
      </c>
      <c r="G2758" s="7" t="s">
        <v>7150</v>
      </c>
      <c r="H2758" s="7" t="s">
        <v>7156</v>
      </c>
      <c r="I2758" s="7"/>
      <c r="J2758" s="10">
        <v>44896</v>
      </c>
      <c r="K2758" s="7" t="s">
        <v>7164</v>
      </c>
      <c r="L2758" s="7"/>
      <c r="M2758" s="7"/>
    </row>
    <row r="2759" spans="1:13" x14ac:dyDescent="0.3">
      <c r="A2759" s="7">
        <v>15942</v>
      </c>
      <c r="B2759" s="7" t="s">
        <v>2767</v>
      </c>
      <c r="C2759" s="7" t="s">
        <v>6329</v>
      </c>
      <c r="D2759" s="7" t="s">
        <v>6295</v>
      </c>
      <c r="E2759" s="7" t="s">
        <v>6295</v>
      </c>
      <c r="F2759" s="7" t="s">
        <v>6717</v>
      </c>
      <c r="G2759" s="7" t="s">
        <v>7150</v>
      </c>
      <c r="H2759" s="7" t="s">
        <v>7156</v>
      </c>
      <c r="I2759" s="7"/>
      <c r="J2759" s="10">
        <v>45247</v>
      </c>
      <c r="K2759" s="7" t="s">
        <v>7164</v>
      </c>
      <c r="L2759" s="7"/>
      <c r="M2759" s="7"/>
    </row>
    <row r="2760" spans="1:13" x14ac:dyDescent="0.3">
      <c r="A2760" s="7">
        <v>16259</v>
      </c>
      <c r="B2760" s="7" t="s">
        <v>2768</v>
      </c>
      <c r="C2760" s="7" t="s">
        <v>6329</v>
      </c>
      <c r="D2760" s="7" t="s">
        <v>6295</v>
      </c>
      <c r="E2760" s="7" t="s">
        <v>6295</v>
      </c>
      <c r="F2760" s="7" t="s">
        <v>6717</v>
      </c>
      <c r="G2760" s="7" t="s">
        <v>7150</v>
      </c>
      <c r="H2760" s="7" t="s">
        <v>7156</v>
      </c>
      <c r="I2760" s="7"/>
      <c r="J2760" s="10">
        <v>45331</v>
      </c>
      <c r="K2760" s="7" t="s">
        <v>7164</v>
      </c>
      <c r="L2760" s="7"/>
      <c r="M2760" s="7"/>
    </row>
    <row r="2761" spans="1:13" x14ac:dyDescent="0.3">
      <c r="A2761" s="7">
        <v>16592</v>
      </c>
      <c r="B2761" s="7" t="s">
        <v>2769</v>
      </c>
      <c r="C2761" s="7" t="s">
        <v>6653</v>
      </c>
      <c r="D2761" s="7" t="s">
        <v>6694</v>
      </c>
      <c r="E2761" s="7" t="s">
        <v>6715</v>
      </c>
      <c r="F2761" s="7" t="s">
        <v>6341</v>
      </c>
      <c r="G2761" s="7" t="s">
        <v>7150</v>
      </c>
      <c r="H2761" s="7" t="s">
        <v>7156</v>
      </c>
      <c r="I2761" s="7"/>
      <c r="J2761" s="10">
        <v>45485</v>
      </c>
      <c r="K2761" s="7" t="s">
        <v>7164</v>
      </c>
      <c r="L2761" s="7"/>
      <c r="M2761" s="7"/>
    </row>
    <row r="2762" spans="1:13" x14ac:dyDescent="0.3">
      <c r="A2762" s="7">
        <v>15696</v>
      </c>
      <c r="B2762" s="7" t="s">
        <v>2770</v>
      </c>
      <c r="C2762" s="7" t="s">
        <v>6719</v>
      </c>
      <c r="D2762" s="7" t="s">
        <v>6295</v>
      </c>
      <c r="E2762" s="7" t="s">
        <v>6295</v>
      </c>
      <c r="F2762" s="7" t="s">
        <v>6328</v>
      </c>
      <c r="G2762" s="7" t="s">
        <v>7150</v>
      </c>
      <c r="H2762" s="7" t="s">
        <v>7156</v>
      </c>
      <c r="I2762" s="7"/>
      <c r="J2762" s="10">
        <v>45163</v>
      </c>
      <c r="K2762" s="7" t="s">
        <v>7164</v>
      </c>
      <c r="L2762" s="7"/>
      <c r="M2762" s="7"/>
    </row>
    <row r="2763" spans="1:13" x14ac:dyDescent="0.3">
      <c r="A2763" s="7">
        <v>12815</v>
      </c>
      <c r="B2763" s="7" t="s">
        <v>2771</v>
      </c>
      <c r="C2763" s="7" t="s">
        <v>6720</v>
      </c>
      <c r="D2763" s="7" t="s">
        <v>6295</v>
      </c>
      <c r="E2763" s="7" t="s">
        <v>6295</v>
      </c>
      <c r="F2763" s="7" t="s">
        <v>6721</v>
      </c>
      <c r="G2763" s="7" t="s">
        <v>7150</v>
      </c>
      <c r="H2763" s="7" t="s">
        <v>7156</v>
      </c>
      <c r="I2763" s="7"/>
      <c r="J2763" s="10">
        <v>43955</v>
      </c>
      <c r="K2763" s="7" t="s">
        <v>7164</v>
      </c>
      <c r="L2763" s="7"/>
      <c r="M2763" s="7"/>
    </row>
    <row r="2764" spans="1:13" x14ac:dyDescent="0.3">
      <c r="A2764" s="7">
        <v>19263</v>
      </c>
      <c r="B2764" s="7" t="s">
        <v>2772</v>
      </c>
      <c r="C2764" s="7" t="s">
        <v>6720</v>
      </c>
      <c r="D2764" s="7" t="s">
        <v>6295</v>
      </c>
      <c r="E2764" s="7" t="s">
        <v>6295</v>
      </c>
      <c r="F2764" s="7" t="s">
        <v>6722</v>
      </c>
      <c r="G2764" s="7" t="s">
        <v>7150</v>
      </c>
      <c r="H2764" s="7" t="s">
        <v>7156</v>
      </c>
      <c r="I2764" s="7"/>
      <c r="J2764" s="10">
        <v>46289</v>
      </c>
      <c r="K2764" s="7" t="s">
        <v>7164</v>
      </c>
      <c r="L2764" s="7"/>
      <c r="M2764" s="7"/>
    </row>
    <row r="2765" spans="1:13" x14ac:dyDescent="0.3">
      <c r="A2765" s="7">
        <v>15347</v>
      </c>
      <c r="B2765" s="7" t="s">
        <v>2773</v>
      </c>
      <c r="C2765" s="7" t="s">
        <v>6723</v>
      </c>
      <c r="D2765" s="7" t="s">
        <v>6295</v>
      </c>
      <c r="E2765" s="7" t="s">
        <v>6295</v>
      </c>
      <c r="F2765" s="7" t="s">
        <v>6721</v>
      </c>
      <c r="G2765" s="7" t="s">
        <v>7150</v>
      </c>
      <c r="H2765" s="7" t="s">
        <v>7156</v>
      </c>
      <c r="I2765" s="7"/>
      <c r="J2765" s="10">
        <v>45036</v>
      </c>
      <c r="K2765" s="7" t="s">
        <v>7164</v>
      </c>
      <c r="L2765" s="7"/>
      <c r="M2765" s="7"/>
    </row>
    <row r="2766" spans="1:13" x14ac:dyDescent="0.3">
      <c r="A2766" s="7">
        <v>17900</v>
      </c>
      <c r="B2766" s="7" t="s">
        <v>2774</v>
      </c>
      <c r="C2766" s="7" t="s">
        <v>6720</v>
      </c>
      <c r="D2766" s="7" t="s">
        <v>6295</v>
      </c>
      <c r="E2766" s="7" t="s">
        <v>6295</v>
      </c>
      <c r="F2766" s="7" t="s">
        <v>6721</v>
      </c>
      <c r="G2766" s="7" t="s">
        <v>7150</v>
      </c>
      <c r="H2766" s="7" t="s">
        <v>7156</v>
      </c>
      <c r="I2766" s="7"/>
      <c r="J2766" s="10">
        <v>45902</v>
      </c>
      <c r="K2766" s="7" t="s">
        <v>7164</v>
      </c>
      <c r="L2766" s="7"/>
      <c r="M2766" s="7"/>
    </row>
    <row r="2767" spans="1:13" x14ac:dyDescent="0.3">
      <c r="A2767" s="7">
        <v>15511</v>
      </c>
      <c r="B2767" s="7" t="s">
        <v>2775</v>
      </c>
      <c r="C2767" s="7" t="s">
        <v>6723</v>
      </c>
      <c r="D2767" s="7" t="s">
        <v>6295</v>
      </c>
      <c r="E2767" s="7" t="s">
        <v>6295</v>
      </c>
      <c r="F2767" s="7" t="s">
        <v>6721</v>
      </c>
      <c r="G2767" s="7" t="s">
        <v>7150</v>
      </c>
      <c r="H2767" s="7" t="s">
        <v>7156</v>
      </c>
      <c r="I2767" s="7"/>
      <c r="J2767" s="10">
        <v>45100</v>
      </c>
      <c r="K2767" s="7" t="s">
        <v>7164</v>
      </c>
      <c r="L2767" s="7"/>
      <c r="M2767" s="7"/>
    </row>
    <row r="2768" spans="1:13" x14ac:dyDescent="0.3">
      <c r="A2768" s="7">
        <v>18840</v>
      </c>
      <c r="B2768" s="7" t="s">
        <v>2776</v>
      </c>
      <c r="C2768" s="7" t="s">
        <v>6723</v>
      </c>
      <c r="D2768" s="7" t="s">
        <v>6295</v>
      </c>
      <c r="E2768" s="7" t="s">
        <v>6295</v>
      </c>
      <c r="F2768" s="7" t="s">
        <v>6721</v>
      </c>
      <c r="G2768" s="7" t="s">
        <v>7150</v>
      </c>
      <c r="H2768" s="7" t="s">
        <v>7156</v>
      </c>
      <c r="I2768" s="7"/>
      <c r="J2768" s="10">
        <v>46231</v>
      </c>
      <c r="K2768" s="7" t="s">
        <v>7164</v>
      </c>
      <c r="L2768" s="7"/>
      <c r="M2768" s="7"/>
    </row>
    <row r="2769" spans="1:13" x14ac:dyDescent="0.3">
      <c r="A2769" s="7">
        <v>16422</v>
      </c>
      <c r="B2769" s="7" t="s">
        <v>2777</v>
      </c>
      <c r="C2769" s="7" t="s">
        <v>6723</v>
      </c>
      <c r="D2769" s="7" t="s">
        <v>6295</v>
      </c>
      <c r="E2769" s="7" t="s">
        <v>6295</v>
      </c>
      <c r="F2769" s="7" t="s">
        <v>6721</v>
      </c>
      <c r="G2769" s="7" t="s">
        <v>7150</v>
      </c>
      <c r="H2769" s="7" t="s">
        <v>7156</v>
      </c>
      <c r="I2769" s="7"/>
      <c r="J2769" s="10">
        <v>45385</v>
      </c>
      <c r="K2769" s="7" t="s">
        <v>7164</v>
      </c>
      <c r="L2769" s="7"/>
      <c r="M2769" s="7"/>
    </row>
    <row r="2770" spans="1:13" x14ac:dyDescent="0.3">
      <c r="A2770" s="7">
        <v>16764</v>
      </c>
      <c r="B2770" s="7" t="s">
        <v>2778</v>
      </c>
      <c r="C2770" s="7" t="s">
        <v>6322</v>
      </c>
      <c r="D2770" s="7" t="s">
        <v>6295</v>
      </c>
      <c r="E2770" s="7" t="s">
        <v>6295</v>
      </c>
      <c r="F2770" s="7" t="s">
        <v>6414</v>
      </c>
      <c r="G2770" s="7" t="s">
        <v>7150</v>
      </c>
      <c r="H2770" s="7" t="s">
        <v>7156</v>
      </c>
      <c r="I2770" s="7"/>
      <c r="J2770" s="10">
        <v>45540</v>
      </c>
      <c r="K2770" s="7" t="s">
        <v>7164</v>
      </c>
      <c r="L2770" s="7"/>
      <c r="M2770" s="7"/>
    </row>
    <row r="2771" spans="1:13" x14ac:dyDescent="0.3">
      <c r="A2771" s="7">
        <v>18871</v>
      </c>
      <c r="B2771" s="7" t="s">
        <v>2779</v>
      </c>
      <c r="C2771" s="7" t="s">
        <v>6322</v>
      </c>
      <c r="D2771" s="7" t="s">
        <v>6724</v>
      </c>
      <c r="E2771" s="7" t="s">
        <v>6295</v>
      </c>
      <c r="F2771" s="7" t="s">
        <v>6414</v>
      </c>
      <c r="G2771" s="7" t="s">
        <v>7150</v>
      </c>
      <c r="H2771" s="7" t="s">
        <v>7156</v>
      </c>
      <c r="I2771" s="7" t="s">
        <v>7159</v>
      </c>
      <c r="J2771" s="10">
        <v>46223</v>
      </c>
      <c r="K2771" s="7" t="s">
        <v>7164</v>
      </c>
      <c r="L2771" s="7"/>
      <c r="M2771" s="7"/>
    </row>
    <row r="2772" spans="1:13" x14ac:dyDescent="0.3">
      <c r="A2772" s="7">
        <v>17222</v>
      </c>
      <c r="B2772" s="7" t="s">
        <v>2780</v>
      </c>
      <c r="C2772" s="7" t="s">
        <v>6719</v>
      </c>
      <c r="D2772" s="7" t="s">
        <v>6295</v>
      </c>
      <c r="E2772" s="7" t="s">
        <v>6295</v>
      </c>
      <c r="F2772" s="7" t="s">
        <v>6722</v>
      </c>
      <c r="G2772" s="7" t="s">
        <v>7150</v>
      </c>
      <c r="H2772" s="7" t="s">
        <v>7156</v>
      </c>
      <c r="I2772" s="7"/>
      <c r="J2772" s="10">
        <v>45664</v>
      </c>
      <c r="K2772" s="7" t="s">
        <v>7164</v>
      </c>
      <c r="L2772" s="7"/>
      <c r="M2772" s="7"/>
    </row>
    <row r="2773" spans="1:13" x14ac:dyDescent="0.3">
      <c r="A2773" s="7">
        <v>17406</v>
      </c>
      <c r="B2773" s="7" t="s">
        <v>2781</v>
      </c>
      <c r="C2773" s="7" t="s">
        <v>6719</v>
      </c>
      <c r="D2773" s="7" t="s">
        <v>6295</v>
      </c>
      <c r="E2773" s="7" t="s">
        <v>6295</v>
      </c>
      <c r="F2773" s="7" t="s">
        <v>6722</v>
      </c>
      <c r="G2773" s="7" t="s">
        <v>7150</v>
      </c>
      <c r="H2773" s="7" t="s">
        <v>7156</v>
      </c>
      <c r="I2773" s="7"/>
      <c r="J2773" s="10">
        <v>45729</v>
      </c>
      <c r="K2773" s="7" t="s">
        <v>7164</v>
      </c>
      <c r="L2773" s="7"/>
      <c r="M2773" s="7"/>
    </row>
    <row r="2774" spans="1:13" x14ac:dyDescent="0.3">
      <c r="A2774" s="7">
        <v>18155</v>
      </c>
      <c r="B2774" s="7" t="s">
        <v>2782</v>
      </c>
      <c r="C2774" s="7" t="s">
        <v>6719</v>
      </c>
      <c r="D2774" s="7" t="s">
        <v>6295</v>
      </c>
      <c r="E2774" s="7" t="s">
        <v>6295</v>
      </c>
      <c r="F2774" s="7" t="s">
        <v>6722</v>
      </c>
      <c r="G2774" s="7" t="s">
        <v>7150</v>
      </c>
      <c r="H2774" s="7" t="s">
        <v>7156</v>
      </c>
      <c r="I2774" s="7"/>
      <c r="J2774" s="10">
        <v>46014</v>
      </c>
      <c r="K2774" s="7" t="s">
        <v>7164</v>
      </c>
      <c r="L2774" s="7"/>
      <c r="M2774" s="7"/>
    </row>
    <row r="2775" spans="1:13" x14ac:dyDescent="0.3">
      <c r="A2775" s="7">
        <v>18372</v>
      </c>
      <c r="B2775" s="7" t="s">
        <v>2783</v>
      </c>
      <c r="C2775" s="7" t="s">
        <v>6719</v>
      </c>
      <c r="D2775" s="7" t="s">
        <v>6295</v>
      </c>
      <c r="E2775" s="7" t="s">
        <v>6295</v>
      </c>
      <c r="F2775" s="7" t="s">
        <v>6722</v>
      </c>
      <c r="G2775" s="7" t="s">
        <v>7150</v>
      </c>
      <c r="H2775" s="7" t="s">
        <v>7156</v>
      </c>
      <c r="I2775" s="7"/>
      <c r="J2775" s="10">
        <v>46113</v>
      </c>
      <c r="K2775" s="7" t="s">
        <v>7164</v>
      </c>
      <c r="L2775" s="7"/>
      <c r="M2775" s="7"/>
    </row>
    <row r="2776" spans="1:13" x14ac:dyDescent="0.3">
      <c r="A2776" s="7">
        <v>18026</v>
      </c>
      <c r="B2776" s="7" t="s">
        <v>2784</v>
      </c>
      <c r="C2776" s="7" t="s">
        <v>6719</v>
      </c>
      <c r="D2776" s="7" t="s">
        <v>6295</v>
      </c>
      <c r="E2776" s="7" t="s">
        <v>6295</v>
      </c>
      <c r="F2776" s="7" t="s">
        <v>6722</v>
      </c>
      <c r="G2776" s="7" t="s">
        <v>7150</v>
      </c>
      <c r="H2776" s="7" t="s">
        <v>7156</v>
      </c>
      <c r="I2776" s="7"/>
      <c r="J2776" s="10">
        <v>45967</v>
      </c>
      <c r="K2776" s="7" t="s">
        <v>7164</v>
      </c>
      <c r="L2776" s="7"/>
      <c r="M2776" s="7"/>
    </row>
    <row r="2777" spans="1:13" x14ac:dyDescent="0.3">
      <c r="A2777" s="7">
        <v>18548</v>
      </c>
      <c r="B2777" s="7" t="s">
        <v>2785</v>
      </c>
      <c r="C2777" s="7" t="s">
        <v>6720</v>
      </c>
      <c r="D2777" s="7" t="s">
        <v>6295</v>
      </c>
      <c r="E2777" s="7" t="s">
        <v>6295</v>
      </c>
      <c r="F2777" s="7" t="s">
        <v>6721</v>
      </c>
      <c r="G2777" s="7" t="s">
        <v>7150</v>
      </c>
      <c r="H2777" s="7" t="s">
        <v>7156</v>
      </c>
      <c r="I2777" s="7"/>
      <c r="J2777" s="10">
        <v>46150</v>
      </c>
      <c r="K2777" s="7" t="s">
        <v>7164</v>
      </c>
      <c r="L2777" s="7"/>
      <c r="M2777" s="7"/>
    </row>
    <row r="2778" spans="1:13" x14ac:dyDescent="0.3">
      <c r="A2778" s="7">
        <v>11852</v>
      </c>
      <c r="B2778" s="7" t="s">
        <v>2786</v>
      </c>
      <c r="C2778" s="7" t="s">
        <v>6646</v>
      </c>
      <c r="D2778" s="7" t="s">
        <v>6647</v>
      </c>
      <c r="E2778" s="7" t="s">
        <v>6295</v>
      </c>
      <c r="F2778" s="7" t="s">
        <v>6722</v>
      </c>
      <c r="G2778" s="7" t="s">
        <v>7150</v>
      </c>
      <c r="H2778" s="7" t="s">
        <v>7156</v>
      </c>
      <c r="I2778" s="7"/>
      <c r="J2778" s="10">
        <v>43199</v>
      </c>
      <c r="K2778" s="7" t="s">
        <v>7164</v>
      </c>
      <c r="L2778" s="7"/>
      <c r="M2778" s="7"/>
    </row>
    <row r="2779" spans="1:13" x14ac:dyDescent="0.3">
      <c r="A2779" s="7">
        <v>15019</v>
      </c>
      <c r="B2779" s="7" t="s">
        <v>2787</v>
      </c>
      <c r="C2779" s="7" t="s">
        <v>6646</v>
      </c>
      <c r="D2779" s="7" t="s">
        <v>6647</v>
      </c>
      <c r="E2779" s="7" t="s">
        <v>6295</v>
      </c>
      <c r="F2779" s="7" t="s">
        <v>6710</v>
      </c>
      <c r="G2779" s="7" t="s">
        <v>7150</v>
      </c>
      <c r="H2779" s="7" t="s">
        <v>7156</v>
      </c>
      <c r="I2779" s="7"/>
      <c r="J2779" s="10">
        <v>44921</v>
      </c>
      <c r="K2779" s="7" t="s">
        <v>7164</v>
      </c>
      <c r="L2779" s="7"/>
      <c r="M2779" s="7"/>
    </row>
    <row r="2780" spans="1:13" x14ac:dyDescent="0.3">
      <c r="A2780" s="7">
        <v>14731</v>
      </c>
      <c r="B2780" s="7" t="s">
        <v>2788</v>
      </c>
      <c r="C2780" s="7" t="s">
        <v>6646</v>
      </c>
      <c r="D2780" s="7" t="s">
        <v>6647</v>
      </c>
      <c r="E2780" s="7" t="s">
        <v>6295</v>
      </c>
      <c r="F2780" s="7" t="s">
        <v>6710</v>
      </c>
      <c r="G2780" s="7" t="s">
        <v>7150</v>
      </c>
      <c r="H2780" s="7" t="s">
        <v>7156</v>
      </c>
      <c r="I2780" s="7"/>
      <c r="J2780" s="10">
        <v>44844</v>
      </c>
      <c r="K2780" s="7" t="s">
        <v>7164</v>
      </c>
      <c r="L2780" s="7"/>
      <c r="M2780" s="7"/>
    </row>
    <row r="2781" spans="1:13" x14ac:dyDescent="0.3">
      <c r="A2781" s="7">
        <v>19076</v>
      </c>
      <c r="B2781" s="7" t="s">
        <v>2789</v>
      </c>
      <c r="C2781" s="7" t="s">
        <v>6646</v>
      </c>
      <c r="D2781" s="7" t="s">
        <v>6647</v>
      </c>
      <c r="E2781" s="7" t="s">
        <v>6295</v>
      </c>
      <c r="F2781" s="7" t="s">
        <v>6710</v>
      </c>
      <c r="G2781" s="7" t="s">
        <v>7150</v>
      </c>
      <c r="H2781" s="7" t="s">
        <v>7156</v>
      </c>
      <c r="I2781" s="7"/>
      <c r="J2781" s="10">
        <v>46266</v>
      </c>
      <c r="K2781" s="7" t="s">
        <v>7164</v>
      </c>
      <c r="L2781" s="7"/>
      <c r="M2781" s="7"/>
    </row>
    <row r="2782" spans="1:13" x14ac:dyDescent="0.3">
      <c r="A2782" s="7">
        <v>19272</v>
      </c>
      <c r="B2782" s="7" t="s">
        <v>2790</v>
      </c>
      <c r="C2782" s="7" t="s">
        <v>6646</v>
      </c>
      <c r="D2782" s="7" t="s">
        <v>6647</v>
      </c>
      <c r="E2782" s="7" t="s">
        <v>6295</v>
      </c>
      <c r="F2782" s="7" t="s">
        <v>6710</v>
      </c>
      <c r="G2782" s="7" t="s">
        <v>7150</v>
      </c>
      <c r="H2782" s="7" t="s">
        <v>7156</v>
      </c>
      <c r="I2782" s="7"/>
      <c r="J2782" s="10">
        <v>46288</v>
      </c>
      <c r="K2782" s="7" t="s">
        <v>7164</v>
      </c>
      <c r="L2782" s="7"/>
      <c r="M2782" s="7"/>
    </row>
    <row r="2783" spans="1:13" x14ac:dyDescent="0.3">
      <c r="A2783" s="7">
        <v>16258</v>
      </c>
      <c r="B2783" s="7" t="s">
        <v>2791</v>
      </c>
      <c r="C2783" s="7" t="s">
        <v>6719</v>
      </c>
      <c r="D2783" s="7" t="s">
        <v>6295</v>
      </c>
      <c r="E2783" s="7" t="s">
        <v>6295</v>
      </c>
      <c r="F2783" s="7" t="s">
        <v>6722</v>
      </c>
      <c r="G2783" s="7" t="s">
        <v>7150</v>
      </c>
      <c r="H2783" s="7" t="s">
        <v>7156</v>
      </c>
      <c r="I2783" s="7"/>
      <c r="J2783" s="10">
        <v>45331</v>
      </c>
      <c r="K2783" s="7" t="s">
        <v>7164</v>
      </c>
      <c r="L2783" s="7"/>
      <c r="M2783" s="7"/>
    </row>
    <row r="2784" spans="1:13" x14ac:dyDescent="0.3">
      <c r="A2784" s="7">
        <v>15518</v>
      </c>
      <c r="B2784" s="7" t="s">
        <v>2792</v>
      </c>
      <c r="C2784" s="7" t="s">
        <v>6322</v>
      </c>
      <c r="D2784" s="7" t="s">
        <v>6724</v>
      </c>
      <c r="E2784" s="7" t="s">
        <v>6295</v>
      </c>
      <c r="F2784" s="7" t="s">
        <v>6324</v>
      </c>
      <c r="G2784" s="7" t="s">
        <v>7150</v>
      </c>
      <c r="H2784" s="7" t="s">
        <v>7156</v>
      </c>
      <c r="I2784" s="7"/>
      <c r="J2784" s="10">
        <v>45101</v>
      </c>
      <c r="K2784" s="7" t="s">
        <v>7164</v>
      </c>
      <c r="L2784" s="7"/>
      <c r="M2784" s="7"/>
    </row>
    <row r="2785" spans="1:13" x14ac:dyDescent="0.3">
      <c r="A2785" s="7">
        <v>17195</v>
      </c>
      <c r="B2785" s="7" t="s">
        <v>2793</v>
      </c>
      <c r="C2785" s="7" t="s">
        <v>6322</v>
      </c>
      <c r="D2785" s="7" t="s">
        <v>6724</v>
      </c>
      <c r="E2785" s="7" t="s">
        <v>6295</v>
      </c>
      <c r="F2785" s="7" t="s">
        <v>6725</v>
      </c>
      <c r="G2785" s="7" t="s">
        <v>7150</v>
      </c>
      <c r="H2785" s="7" t="s">
        <v>7156</v>
      </c>
      <c r="I2785" s="7"/>
      <c r="J2785" s="10">
        <v>45664</v>
      </c>
      <c r="K2785" s="7" t="s">
        <v>7164</v>
      </c>
      <c r="L2785" s="7"/>
      <c r="M2785" s="7"/>
    </row>
    <row r="2786" spans="1:13" x14ac:dyDescent="0.3">
      <c r="A2786" s="7">
        <v>15941</v>
      </c>
      <c r="B2786" s="7" t="s">
        <v>2794</v>
      </c>
      <c r="C2786" s="7" t="s">
        <v>6322</v>
      </c>
      <c r="D2786" s="7" t="s">
        <v>6724</v>
      </c>
      <c r="E2786" s="7" t="s">
        <v>6295</v>
      </c>
      <c r="F2786" s="7" t="s">
        <v>6726</v>
      </c>
      <c r="G2786" s="7" t="s">
        <v>7150</v>
      </c>
      <c r="H2786" s="7" t="s">
        <v>7156</v>
      </c>
      <c r="I2786" s="7"/>
      <c r="J2786" s="10">
        <v>45247</v>
      </c>
      <c r="K2786" s="7" t="s">
        <v>7164</v>
      </c>
      <c r="L2786" s="7"/>
      <c r="M2786" s="7"/>
    </row>
    <row r="2787" spans="1:13" x14ac:dyDescent="0.3">
      <c r="A2787" s="7">
        <v>18876</v>
      </c>
      <c r="B2787" s="7" t="s">
        <v>2795</v>
      </c>
      <c r="C2787" s="7" t="s">
        <v>6322</v>
      </c>
      <c r="D2787" s="7" t="s">
        <v>6724</v>
      </c>
      <c r="E2787" s="7" t="s">
        <v>6295</v>
      </c>
      <c r="F2787" s="7" t="s">
        <v>6726</v>
      </c>
      <c r="G2787" s="7" t="s">
        <v>7150</v>
      </c>
      <c r="H2787" s="7" t="s">
        <v>7156</v>
      </c>
      <c r="I2787" s="7" t="s">
        <v>7159</v>
      </c>
      <c r="J2787" s="10">
        <v>46224</v>
      </c>
      <c r="K2787" s="7" t="s">
        <v>7164</v>
      </c>
      <c r="L2787" s="7"/>
      <c r="M2787" s="7"/>
    </row>
    <row r="2788" spans="1:13" x14ac:dyDescent="0.3">
      <c r="A2788" s="7">
        <v>18919</v>
      </c>
      <c r="B2788" s="7" t="s">
        <v>2796</v>
      </c>
      <c r="C2788" s="7" t="s">
        <v>6322</v>
      </c>
      <c r="D2788" s="7" t="s">
        <v>6323</v>
      </c>
      <c r="E2788" s="7" t="s">
        <v>6295</v>
      </c>
      <c r="F2788" s="7" t="s">
        <v>6726</v>
      </c>
      <c r="G2788" s="7" t="s">
        <v>7150</v>
      </c>
      <c r="H2788" s="7" t="s">
        <v>7156</v>
      </c>
      <c r="I2788" s="7"/>
      <c r="J2788" s="10">
        <v>46241</v>
      </c>
      <c r="K2788" s="7" t="s">
        <v>7164</v>
      </c>
      <c r="L2788" s="7"/>
      <c r="M2788" s="7"/>
    </row>
    <row r="2789" spans="1:13" x14ac:dyDescent="0.3">
      <c r="A2789" s="7">
        <v>19096</v>
      </c>
      <c r="B2789" s="7" t="s">
        <v>2797</v>
      </c>
      <c r="C2789" s="7" t="s">
        <v>6322</v>
      </c>
      <c r="D2789" s="7" t="s">
        <v>6323</v>
      </c>
      <c r="E2789" s="7" t="s">
        <v>6295</v>
      </c>
      <c r="F2789" s="7" t="s">
        <v>6726</v>
      </c>
      <c r="G2789" s="7" t="s">
        <v>7150</v>
      </c>
      <c r="H2789" s="7" t="s">
        <v>7156</v>
      </c>
      <c r="I2789" s="7"/>
      <c r="J2789" s="10">
        <v>46266</v>
      </c>
      <c r="K2789" s="7" t="s">
        <v>7164</v>
      </c>
      <c r="L2789" s="7"/>
      <c r="M2789" s="7"/>
    </row>
    <row r="2790" spans="1:13" x14ac:dyDescent="0.3">
      <c r="A2790" s="7">
        <v>19085</v>
      </c>
      <c r="B2790" s="7" t="s">
        <v>2798</v>
      </c>
      <c r="C2790" s="7" t="s">
        <v>6322</v>
      </c>
      <c r="D2790" s="7" t="s">
        <v>6323</v>
      </c>
      <c r="E2790" s="7" t="s">
        <v>6295</v>
      </c>
      <c r="F2790" s="7" t="s">
        <v>6726</v>
      </c>
      <c r="G2790" s="7" t="s">
        <v>7150</v>
      </c>
      <c r="H2790" s="7" t="s">
        <v>7156</v>
      </c>
      <c r="I2790" s="7"/>
      <c r="J2790" s="10">
        <v>46267</v>
      </c>
      <c r="K2790" s="7" t="s">
        <v>7164</v>
      </c>
      <c r="L2790" s="7"/>
      <c r="M2790" s="7"/>
    </row>
    <row r="2791" spans="1:13" x14ac:dyDescent="0.3">
      <c r="A2791" s="7">
        <v>19177</v>
      </c>
      <c r="B2791" s="7" t="s">
        <v>2799</v>
      </c>
      <c r="C2791" s="7" t="s">
        <v>6322</v>
      </c>
      <c r="D2791" s="7" t="s">
        <v>6323</v>
      </c>
      <c r="E2791" s="7" t="s">
        <v>6295</v>
      </c>
      <c r="F2791" s="7" t="s">
        <v>6726</v>
      </c>
      <c r="G2791" s="7" t="s">
        <v>7150</v>
      </c>
      <c r="H2791" s="7" t="s">
        <v>7156</v>
      </c>
      <c r="I2791" s="7"/>
      <c r="J2791" s="10">
        <v>46276</v>
      </c>
      <c r="K2791" s="7" t="s">
        <v>7164</v>
      </c>
      <c r="L2791" s="7"/>
      <c r="M2791" s="7"/>
    </row>
    <row r="2792" spans="1:13" x14ac:dyDescent="0.3">
      <c r="A2792" s="7">
        <v>19233</v>
      </c>
      <c r="B2792" s="7" t="s">
        <v>2800</v>
      </c>
      <c r="C2792" s="7" t="s">
        <v>6322</v>
      </c>
      <c r="D2792" s="7" t="s">
        <v>6323</v>
      </c>
      <c r="E2792" s="7" t="s">
        <v>6295</v>
      </c>
      <c r="F2792" s="7" t="s">
        <v>6726</v>
      </c>
      <c r="G2792" s="7" t="s">
        <v>7150</v>
      </c>
      <c r="H2792" s="7" t="s">
        <v>7156</v>
      </c>
      <c r="I2792" s="7"/>
      <c r="J2792" s="10">
        <v>46286</v>
      </c>
      <c r="K2792" s="7" t="s">
        <v>7164</v>
      </c>
      <c r="L2792" s="7"/>
      <c r="M2792" s="7"/>
    </row>
    <row r="2793" spans="1:13" x14ac:dyDescent="0.3">
      <c r="A2793" s="7">
        <v>17535</v>
      </c>
      <c r="B2793" s="7" t="s">
        <v>2801</v>
      </c>
      <c r="C2793" s="7" t="s">
        <v>6322</v>
      </c>
      <c r="D2793" s="7" t="s">
        <v>6323</v>
      </c>
      <c r="E2793" s="7" t="s">
        <v>6295</v>
      </c>
      <c r="F2793" s="7" t="s">
        <v>6725</v>
      </c>
      <c r="G2793" s="7" t="s">
        <v>7150</v>
      </c>
      <c r="H2793" s="7" t="s">
        <v>7156</v>
      </c>
      <c r="I2793" s="7"/>
      <c r="J2793" s="10">
        <v>45783</v>
      </c>
      <c r="K2793" s="7" t="s">
        <v>7164</v>
      </c>
      <c r="L2793" s="7"/>
      <c r="M2793" s="7"/>
    </row>
    <row r="2794" spans="1:13" x14ac:dyDescent="0.3">
      <c r="A2794" s="7">
        <v>17682</v>
      </c>
      <c r="B2794" s="7" t="s">
        <v>2802</v>
      </c>
      <c r="C2794" s="7" t="s">
        <v>6322</v>
      </c>
      <c r="D2794" s="7" t="s">
        <v>6724</v>
      </c>
      <c r="E2794" s="7" t="s">
        <v>6295</v>
      </c>
      <c r="F2794" s="7" t="s">
        <v>6726</v>
      </c>
      <c r="G2794" s="7" t="s">
        <v>7150</v>
      </c>
      <c r="H2794" s="7" t="s">
        <v>7156</v>
      </c>
      <c r="I2794" s="7"/>
      <c r="J2794" s="10">
        <v>45854</v>
      </c>
      <c r="K2794" s="7" t="s">
        <v>7164</v>
      </c>
      <c r="L2794" s="7"/>
      <c r="M2794" s="7"/>
    </row>
    <row r="2795" spans="1:13" x14ac:dyDescent="0.3">
      <c r="A2795" s="7">
        <v>16728</v>
      </c>
      <c r="B2795" s="7" t="s">
        <v>2803</v>
      </c>
      <c r="C2795" s="7" t="s">
        <v>6322</v>
      </c>
      <c r="D2795" s="7" t="s">
        <v>6724</v>
      </c>
      <c r="E2795" s="7" t="s">
        <v>6295</v>
      </c>
      <c r="F2795" s="7" t="s">
        <v>6726</v>
      </c>
      <c r="G2795" s="7" t="s">
        <v>7150</v>
      </c>
      <c r="H2795" s="7" t="s">
        <v>7156</v>
      </c>
      <c r="I2795" s="7"/>
      <c r="J2795" s="10">
        <v>45540</v>
      </c>
      <c r="K2795" s="7" t="s">
        <v>7164</v>
      </c>
      <c r="L2795" s="7"/>
      <c r="M2795" s="7"/>
    </row>
    <row r="2796" spans="1:13" x14ac:dyDescent="0.3">
      <c r="A2796" s="7">
        <v>18024</v>
      </c>
      <c r="B2796" s="7" t="s">
        <v>2804</v>
      </c>
      <c r="C2796" s="7" t="s">
        <v>6327</v>
      </c>
      <c r="D2796" s="7" t="s">
        <v>6724</v>
      </c>
      <c r="E2796" s="7" t="s">
        <v>6295</v>
      </c>
      <c r="F2796" s="7" t="s">
        <v>6726</v>
      </c>
      <c r="G2796" s="7" t="s">
        <v>7150</v>
      </c>
      <c r="H2796" s="7" t="s">
        <v>7156</v>
      </c>
      <c r="I2796" s="7"/>
      <c r="J2796" s="10">
        <v>45966</v>
      </c>
      <c r="K2796" s="7" t="s">
        <v>7164</v>
      </c>
      <c r="L2796" s="7"/>
      <c r="M2796" s="7"/>
    </row>
    <row r="2797" spans="1:13" x14ac:dyDescent="0.3">
      <c r="A2797" s="7">
        <v>18307</v>
      </c>
      <c r="B2797" s="7" t="s">
        <v>2805</v>
      </c>
      <c r="C2797" s="7" t="s">
        <v>6327</v>
      </c>
      <c r="D2797" s="7" t="s">
        <v>6724</v>
      </c>
      <c r="E2797" s="7" t="s">
        <v>6295</v>
      </c>
      <c r="F2797" s="7" t="s">
        <v>6726</v>
      </c>
      <c r="G2797" s="7" t="s">
        <v>7150</v>
      </c>
      <c r="H2797" s="7" t="s">
        <v>7156</v>
      </c>
      <c r="I2797" s="7"/>
      <c r="J2797" s="10">
        <v>46084</v>
      </c>
      <c r="K2797" s="7" t="s">
        <v>7164</v>
      </c>
      <c r="L2797" s="7"/>
      <c r="M2797" s="7"/>
    </row>
    <row r="2798" spans="1:13" x14ac:dyDescent="0.3">
      <c r="A2798" s="7">
        <v>12140</v>
      </c>
      <c r="B2798" s="7" t="s">
        <v>2806</v>
      </c>
      <c r="C2798" s="7" t="s">
        <v>6327</v>
      </c>
      <c r="D2798" s="7" t="s">
        <v>6724</v>
      </c>
      <c r="E2798" s="7" t="s">
        <v>6295</v>
      </c>
      <c r="F2798" s="7" t="s">
        <v>6726</v>
      </c>
      <c r="G2798" s="7" t="s">
        <v>7150</v>
      </c>
      <c r="H2798" s="7" t="s">
        <v>7156</v>
      </c>
      <c r="I2798" s="7"/>
      <c r="J2798" s="10">
        <v>43515</v>
      </c>
      <c r="K2798" s="7" t="s">
        <v>7164</v>
      </c>
      <c r="L2798" s="7"/>
      <c r="M2798" s="7"/>
    </row>
    <row r="2799" spans="1:13" x14ac:dyDescent="0.3">
      <c r="A2799" s="7">
        <v>19142</v>
      </c>
      <c r="B2799" s="7" t="s">
        <v>2807</v>
      </c>
      <c r="C2799" s="7" t="s">
        <v>6327</v>
      </c>
      <c r="D2799" s="7" t="s">
        <v>6724</v>
      </c>
      <c r="E2799" s="7" t="s">
        <v>6295</v>
      </c>
      <c r="F2799" s="7" t="s">
        <v>6726</v>
      </c>
      <c r="G2799" s="7" t="s">
        <v>7150</v>
      </c>
      <c r="H2799" s="7" t="s">
        <v>7156</v>
      </c>
      <c r="I2799" s="7"/>
      <c r="J2799" s="10">
        <v>46274</v>
      </c>
      <c r="K2799" s="7" t="s">
        <v>7164</v>
      </c>
      <c r="L2799" s="7"/>
      <c r="M2799" s="7"/>
    </row>
    <row r="2800" spans="1:13" x14ac:dyDescent="0.3">
      <c r="A2800" s="7">
        <v>18162</v>
      </c>
      <c r="B2800" s="7" t="s">
        <v>2808</v>
      </c>
      <c r="C2800" s="7" t="s">
        <v>6327</v>
      </c>
      <c r="D2800" s="7" t="s">
        <v>6724</v>
      </c>
      <c r="E2800" s="7" t="s">
        <v>6295</v>
      </c>
      <c r="F2800" s="7" t="s">
        <v>6726</v>
      </c>
      <c r="G2800" s="7" t="s">
        <v>7150</v>
      </c>
      <c r="H2800" s="7" t="s">
        <v>7156</v>
      </c>
      <c r="I2800" s="7"/>
      <c r="J2800" s="10">
        <v>46015</v>
      </c>
      <c r="K2800" s="7" t="s">
        <v>7164</v>
      </c>
      <c r="L2800" s="7"/>
      <c r="M2800" s="7"/>
    </row>
    <row r="2801" spans="1:13" x14ac:dyDescent="0.3">
      <c r="A2801" s="7">
        <v>16760</v>
      </c>
      <c r="B2801" s="7" t="s">
        <v>2809</v>
      </c>
      <c r="C2801" s="7" t="s">
        <v>6327</v>
      </c>
      <c r="D2801" s="7" t="s">
        <v>6724</v>
      </c>
      <c r="E2801" s="7" t="s">
        <v>6295</v>
      </c>
      <c r="F2801" s="7" t="s">
        <v>6726</v>
      </c>
      <c r="G2801" s="7" t="s">
        <v>7150</v>
      </c>
      <c r="H2801" s="7" t="s">
        <v>7156</v>
      </c>
      <c r="I2801" s="7"/>
      <c r="J2801" s="10">
        <v>45540</v>
      </c>
      <c r="K2801" s="7" t="s">
        <v>7164</v>
      </c>
      <c r="L2801" s="7"/>
      <c r="M2801" s="7"/>
    </row>
    <row r="2802" spans="1:13" x14ac:dyDescent="0.3">
      <c r="A2802" s="7">
        <v>16755</v>
      </c>
      <c r="B2802" s="7" t="s">
        <v>2810</v>
      </c>
      <c r="C2802" s="7" t="s">
        <v>6646</v>
      </c>
      <c r="D2802" s="7" t="s">
        <v>6708</v>
      </c>
      <c r="E2802" s="7" t="s">
        <v>6295</v>
      </c>
      <c r="F2802" s="7" t="s">
        <v>6726</v>
      </c>
      <c r="G2802" s="7" t="s">
        <v>7150</v>
      </c>
      <c r="H2802" s="7" t="s">
        <v>7156</v>
      </c>
      <c r="I2802" s="7"/>
      <c r="J2802" s="10">
        <v>45540</v>
      </c>
      <c r="K2802" s="7" t="s">
        <v>7164</v>
      </c>
      <c r="L2802" s="7"/>
      <c r="M2802" s="7"/>
    </row>
    <row r="2803" spans="1:13" x14ac:dyDescent="0.3">
      <c r="A2803" s="7">
        <v>16704</v>
      </c>
      <c r="B2803" s="7" t="s">
        <v>2811</v>
      </c>
      <c r="C2803" s="7" t="s">
        <v>6322</v>
      </c>
      <c r="D2803" s="7" t="s">
        <v>6724</v>
      </c>
      <c r="E2803" s="7" t="s">
        <v>6295</v>
      </c>
      <c r="F2803" s="7" t="s">
        <v>6726</v>
      </c>
      <c r="G2803" s="7" t="s">
        <v>7150</v>
      </c>
      <c r="H2803" s="7" t="s">
        <v>7156</v>
      </c>
      <c r="I2803" s="7"/>
      <c r="J2803" s="10">
        <v>45531</v>
      </c>
      <c r="K2803" s="7" t="s">
        <v>7164</v>
      </c>
      <c r="L2803" s="7"/>
      <c r="M2803" s="7"/>
    </row>
    <row r="2804" spans="1:13" x14ac:dyDescent="0.3">
      <c r="A2804" s="7">
        <v>17592</v>
      </c>
      <c r="B2804" s="7" t="s">
        <v>2812</v>
      </c>
      <c r="C2804" s="7" t="s">
        <v>6322</v>
      </c>
      <c r="D2804" s="7" t="s">
        <v>6724</v>
      </c>
      <c r="E2804" s="7" t="s">
        <v>6295</v>
      </c>
      <c r="F2804" s="7" t="s">
        <v>6726</v>
      </c>
      <c r="G2804" s="7" t="s">
        <v>7150</v>
      </c>
      <c r="H2804" s="7" t="s">
        <v>7156</v>
      </c>
      <c r="I2804" s="7"/>
      <c r="J2804" s="10">
        <v>45810</v>
      </c>
      <c r="K2804" s="7" t="s">
        <v>7164</v>
      </c>
      <c r="L2804" s="7"/>
      <c r="M2804" s="7"/>
    </row>
    <row r="2805" spans="1:13" x14ac:dyDescent="0.3">
      <c r="A2805" s="7">
        <v>17987</v>
      </c>
      <c r="B2805" s="7" t="s">
        <v>2813</v>
      </c>
      <c r="C2805" s="7" t="s">
        <v>6646</v>
      </c>
      <c r="D2805" s="7" t="s">
        <v>6708</v>
      </c>
      <c r="E2805" s="7" t="s">
        <v>6295</v>
      </c>
      <c r="F2805" s="7" t="s">
        <v>6726</v>
      </c>
      <c r="G2805" s="7" t="s">
        <v>7150</v>
      </c>
      <c r="H2805" s="7" t="s">
        <v>7156</v>
      </c>
      <c r="I2805" s="7"/>
      <c r="J2805" s="10">
        <v>45947</v>
      </c>
      <c r="K2805" s="7" t="s">
        <v>7164</v>
      </c>
      <c r="L2805" s="7"/>
      <c r="M2805" s="7"/>
    </row>
    <row r="2806" spans="1:13" x14ac:dyDescent="0.3">
      <c r="A2806" s="7">
        <v>18803</v>
      </c>
      <c r="B2806" s="7" t="s">
        <v>2814</v>
      </c>
      <c r="C2806" s="7" t="s">
        <v>6327</v>
      </c>
      <c r="D2806" s="7" t="s">
        <v>6724</v>
      </c>
      <c r="E2806" s="7" t="s">
        <v>6295</v>
      </c>
      <c r="F2806" s="7" t="s">
        <v>6726</v>
      </c>
      <c r="G2806" s="7" t="s">
        <v>7150</v>
      </c>
      <c r="H2806" s="7" t="s">
        <v>7156</v>
      </c>
      <c r="I2806" s="7"/>
      <c r="J2806" s="10">
        <v>46218</v>
      </c>
      <c r="K2806" s="7" t="s">
        <v>7164</v>
      </c>
      <c r="L2806" s="7"/>
      <c r="M2806" s="7"/>
    </row>
    <row r="2807" spans="1:13" x14ac:dyDescent="0.3">
      <c r="A2807" s="7">
        <v>18831</v>
      </c>
      <c r="B2807" s="7" t="s">
        <v>2815</v>
      </c>
      <c r="C2807" s="7" t="s">
        <v>6327</v>
      </c>
      <c r="D2807" s="7" t="s">
        <v>6724</v>
      </c>
      <c r="E2807" s="7" t="s">
        <v>6295</v>
      </c>
      <c r="F2807" s="7" t="s">
        <v>6726</v>
      </c>
      <c r="G2807" s="7" t="s">
        <v>7150</v>
      </c>
      <c r="H2807" s="7" t="s">
        <v>7156</v>
      </c>
      <c r="I2807" s="7"/>
      <c r="J2807" s="10">
        <v>46220</v>
      </c>
      <c r="K2807" s="7" t="s">
        <v>7164</v>
      </c>
      <c r="L2807" s="7"/>
      <c r="M2807" s="7"/>
    </row>
    <row r="2808" spans="1:13" x14ac:dyDescent="0.3">
      <c r="A2808" s="7">
        <v>18880</v>
      </c>
      <c r="B2808" s="7" t="s">
        <v>2816</v>
      </c>
      <c r="C2808" s="7" t="s">
        <v>6327</v>
      </c>
      <c r="D2808" s="7" t="s">
        <v>6724</v>
      </c>
      <c r="E2808" s="7" t="s">
        <v>6295</v>
      </c>
      <c r="F2808" s="7" t="s">
        <v>6726</v>
      </c>
      <c r="G2808" s="7" t="s">
        <v>7150</v>
      </c>
      <c r="H2808" s="7" t="s">
        <v>7156</v>
      </c>
      <c r="I2808" s="7"/>
      <c r="J2808" s="10">
        <v>46231</v>
      </c>
      <c r="K2808" s="7" t="s">
        <v>7164</v>
      </c>
      <c r="L2808" s="7"/>
      <c r="M2808" s="7"/>
    </row>
    <row r="2809" spans="1:13" x14ac:dyDescent="0.3">
      <c r="A2809" s="7">
        <v>18907</v>
      </c>
      <c r="B2809" s="7" t="s">
        <v>2817</v>
      </c>
      <c r="C2809" s="7" t="s">
        <v>6327</v>
      </c>
      <c r="D2809" s="7" t="s">
        <v>6724</v>
      </c>
      <c r="E2809" s="7" t="s">
        <v>6295</v>
      </c>
      <c r="F2809" s="7" t="s">
        <v>6726</v>
      </c>
      <c r="G2809" s="7" t="s">
        <v>7150</v>
      </c>
      <c r="H2809" s="7" t="s">
        <v>7156</v>
      </c>
      <c r="I2809" s="7"/>
      <c r="J2809" s="10">
        <v>46237</v>
      </c>
      <c r="K2809" s="7" t="s">
        <v>7164</v>
      </c>
      <c r="L2809" s="7"/>
      <c r="M2809" s="7"/>
    </row>
    <row r="2810" spans="1:13" x14ac:dyDescent="0.3">
      <c r="A2810" s="7">
        <v>18888</v>
      </c>
      <c r="B2810" s="7" t="s">
        <v>2818</v>
      </c>
      <c r="C2810" s="7" t="s">
        <v>6327</v>
      </c>
      <c r="D2810" s="7" t="s">
        <v>6724</v>
      </c>
      <c r="E2810" s="7" t="s">
        <v>6295</v>
      </c>
      <c r="F2810" s="7" t="s">
        <v>6726</v>
      </c>
      <c r="G2810" s="7" t="s">
        <v>7150</v>
      </c>
      <c r="H2810" s="7" t="s">
        <v>7156</v>
      </c>
      <c r="I2810" s="7"/>
      <c r="J2810" s="10">
        <v>46232</v>
      </c>
      <c r="K2810" s="7" t="s">
        <v>7164</v>
      </c>
      <c r="L2810" s="7"/>
      <c r="M2810" s="7"/>
    </row>
    <row r="2811" spans="1:13" x14ac:dyDescent="0.3">
      <c r="A2811" s="7">
        <v>18017</v>
      </c>
      <c r="B2811" s="7" t="s">
        <v>2819</v>
      </c>
      <c r="C2811" s="7" t="s">
        <v>6322</v>
      </c>
      <c r="D2811" s="7" t="s">
        <v>6724</v>
      </c>
      <c r="E2811" s="7" t="s">
        <v>6295</v>
      </c>
      <c r="F2811" s="7" t="s">
        <v>6716</v>
      </c>
      <c r="G2811" s="7" t="s">
        <v>7150</v>
      </c>
      <c r="H2811" s="7" t="s">
        <v>7156</v>
      </c>
      <c r="I2811" s="7"/>
      <c r="J2811" s="10">
        <v>45965</v>
      </c>
      <c r="K2811" s="7" t="s">
        <v>7164</v>
      </c>
      <c r="L2811" s="7"/>
      <c r="M2811" s="7"/>
    </row>
    <row r="2812" spans="1:13" x14ac:dyDescent="0.3">
      <c r="A2812" s="7">
        <v>14647</v>
      </c>
      <c r="B2812" s="7" t="s">
        <v>2820</v>
      </c>
      <c r="C2812" s="7" t="s">
        <v>6322</v>
      </c>
      <c r="D2812" s="7" t="s">
        <v>6724</v>
      </c>
      <c r="E2812" s="7" t="s">
        <v>6295</v>
      </c>
      <c r="F2812" s="7" t="s">
        <v>6324</v>
      </c>
      <c r="G2812" s="7" t="s">
        <v>7150</v>
      </c>
      <c r="H2812" s="7" t="s">
        <v>7156</v>
      </c>
      <c r="I2812" s="7"/>
      <c r="J2812" s="10">
        <v>44813</v>
      </c>
      <c r="K2812" s="7" t="s">
        <v>7164</v>
      </c>
      <c r="L2812" s="7"/>
      <c r="M2812" s="7"/>
    </row>
    <row r="2813" spans="1:13" x14ac:dyDescent="0.3">
      <c r="A2813" s="7">
        <v>15564</v>
      </c>
      <c r="B2813" s="7" t="s">
        <v>2821</v>
      </c>
      <c r="C2813" s="7" t="s">
        <v>6327</v>
      </c>
      <c r="D2813" s="7" t="s">
        <v>6724</v>
      </c>
      <c r="E2813" s="7" t="s">
        <v>6295</v>
      </c>
      <c r="F2813" s="7" t="s">
        <v>6726</v>
      </c>
      <c r="G2813" s="7" t="s">
        <v>7150</v>
      </c>
      <c r="H2813" s="7" t="s">
        <v>7156</v>
      </c>
      <c r="I2813" s="7"/>
      <c r="J2813" s="10">
        <v>45127</v>
      </c>
      <c r="K2813" s="7" t="s">
        <v>7164</v>
      </c>
      <c r="L2813" s="7"/>
      <c r="M2813" s="7"/>
    </row>
    <row r="2814" spans="1:13" x14ac:dyDescent="0.3">
      <c r="A2814" s="7">
        <v>16033</v>
      </c>
      <c r="B2814" s="7" t="s">
        <v>2822</v>
      </c>
      <c r="C2814" s="7" t="s">
        <v>6322</v>
      </c>
      <c r="D2814" s="7" t="s">
        <v>6724</v>
      </c>
      <c r="E2814" s="7" t="s">
        <v>6295</v>
      </c>
      <c r="F2814" s="7" t="s">
        <v>6726</v>
      </c>
      <c r="G2814" s="7" t="s">
        <v>7150</v>
      </c>
      <c r="H2814" s="7" t="s">
        <v>7156</v>
      </c>
      <c r="I2814" s="7"/>
      <c r="J2814" s="10">
        <v>45268</v>
      </c>
      <c r="K2814" s="7" t="s">
        <v>7164</v>
      </c>
      <c r="L2814" s="7"/>
      <c r="M2814" s="7"/>
    </row>
    <row r="2815" spans="1:13" x14ac:dyDescent="0.3">
      <c r="A2815" s="7">
        <v>18702</v>
      </c>
      <c r="B2815" s="7" t="s">
        <v>2823</v>
      </c>
      <c r="C2815" s="7" t="s">
        <v>6322</v>
      </c>
      <c r="D2815" s="7" t="s">
        <v>6724</v>
      </c>
      <c r="E2815" s="7" t="s">
        <v>6295</v>
      </c>
      <c r="F2815" s="7" t="s">
        <v>6726</v>
      </c>
      <c r="G2815" s="7" t="s">
        <v>7150</v>
      </c>
      <c r="H2815" s="7" t="s">
        <v>7156</v>
      </c>
      <c r="I2815" s="7" t="s">
        <v>7159</v>
      </c>
      <c r="J2815" s="10">
        <v>46189</v>
      </c>
      <c r="K2815" s="7" t="s">
        <v>7164</v>
      </c>
      <c r="L2815" s="7"/>
      <c r="M2815" s="7"/>
    </row>
    <row r="2816" spans="1:13" x14ac:dyDescent="0.3">
      <c r="A2816" s="7">
        <v>13110</v>
      </c>
      <c r="B2816" s="7" t="s">
        <v>2824</v>
      </c>
      <c r="C2816" s="7" t="s">
        <v>6327</v>
      </c>
      <c r="D2816" s="7" t="s">
        <v>6724</v>
      </c>
      <c r="E2816" s="7" t="s">
        <v>6295</v>
      </c>
      <c r="F2816" s="7" t="s">
        <v>6725</v>
      </c>
      <c r="G2816" s="7" t="s">
        <v>7151</v>
      </c>
      <c r="H2816" s="7" t="s">
        <v>7156</v>
      </c>
      <c r="I2816" s="7"/>
      <c r="J2816" s="10">
        <v>44260</v>
      </c>
      <c r="K2816" s="7" t="s">
        <v>7164</v>
      </c>
      <c r="L2816" s="7"/>
      <c r="M2816" s="7"/>
    </row>
    <row r="2817" spans="1:13" x14ac:dyDescent="0.3">
      <c r="A2817" s="7">
        <v>13031</v>
      </c>
      <c r="B2817" s="7" t="s">
        <v>2825</v>
      </c>
      <c r="C2817" s="7" t="s">
        <v>6322</v>
      </c>
      <c r="D2817" s="7" t="s">
        <v>6724</v>
      </c>
      <c r="E2817" s="7" t="s">
        <v>6295</v>
      </c>
      <c r="F2817" s="7" t="s">
        <v>6725</v>
      </c>
      <c r="G2817" s="7" t="s">
        <v>7150</v>
      </c>
      <c r="H2817" s="7" t="s">
        <v>7156</v>
      </c>
      <c r="I2817" s="7"/>
      <c r="J2817" s="10">
        <v>44207</v>
      </c>
      <c r="K2817" s="7" t="s">
        <v>7164</v>
      </c>
      <c r="L2817" s="7"/>
      <c r="M2817" s="7"/>
    </row>
    <row r="2818" spans="1:13" x14ac:dyDescent="0.3">
      <c r="A2818" s="7">
        <v>13145</v>
      </c>
      <c r="B2818" s="7" t="s">
        <v>2826</v>
      </c>
      <c r="C2818" s="7" t="s">
        <v>6322</v>
      </c>
      <c r="D2818" s="7" t="s">
        <v>6724</v>
      </c>
      <c r="E2818" s="7" t="s">
        <v>6295</v>
      </c>
      <c r="F2818" s="7" t="s">
        <v>6725</v>
      </c>
      <c r="G2818" s="7" t="s">
        <v>7150</v>
      </c>
      <c r="H2818" s="7" t="s">
        <v>7156</v>
      </c>
      <c r="I2818" s="7"/>
      <c r="J2818" s="10">
        <v>44288</v>
      </c>
      <c r="K2818" s="7" t="s">
        <v>7164</v>
      </c>
      <c r="L2818" s="7"/>
      <c r="M2818" s="7"/>
    </row>
    <row r="2819" spans="1:13" x14ac:dyDescent="0.3">
      <c r="A2819" s="7">
        <v>16172</v>
      </c>
      <c r="B2819" s="7" t="s">
        <v>2827</v>
      </c>
      <c r="C2819" s="7" t="s">
        <v>6322</v>
      </c>
      <c r="D2819" s="7" t="s">
        <v>6724</v>
      </c>
      <c r="E2819" s="7" t="s">
        <v>6295</v>
      </c>
      <c r="F2819" s="7" t="s">
        <v>6725</v>
      </c>
      <c r="G2819" s="7" t="s">
        <v>7150</v>
      </c>
      <c r="H2819" s="7" t="s">
        <v>7156</v>
      </c>
      <c r="I2819" s="7"/>
      <c r="J2819" s="10">
        <v>45309</v>
      </c>
      <c r="K2819" s="7" t="s">
        <v>7164</v>
      </c>
      <c r="L2819" s="7"/>
      <c r="M2819" s="7"/>
    </row>
    <row r="2820" spans="1:13" x14ac:dyDescent="0.3">
      <c r="A2820" s="7">
        <v>12559</v>
      </c>
      <c r="B2820" s="7" t="s">
        <v>2828</v>
      </c>
      <c r="C2820" s="7" t="s">
        <v>6322</v>
      </c>
      <c r="D2820" s="7" t="s">
        <v>6724</v>
      </c>
      <c r="E2820" s="7" t="s">
        <v>6295</v>
      </c>
      <c r="F2820" s="7" t="s">
        <v>6725</v>
      </c>
      <c r="G2820" s="7" t="s">
        <v>7150</v>
      </c>
      <c r="H2820" s="7" t="s">
        <v>7156</v>
      </c>
      <c r="I2820" s="7"/>
      <c r="J2820" s="10">
        <v>43811</v>
      </c>
      <c r="K2820" s="7" t="s">
        <v>7164</v>
      </c>
      <c r="L2820" s="7"/>
      <c r="M2820" s="7"/>
    </row>
    <row r="2821" spans="1:13" x14ac:dyDescent="0.3">
      <c r="A2821" s="7">
        <v>16156</v>
      </c>
      <c r="B2821" s="7" t="s">
        <v>2829</v>
      </c>
      <c r="C2821" s="7" t="s">
        <v>6322</v>
      </c>
      <c r="D2821" s="7" t="s">
        <v>6724</v>
      </c>
      <c r="E2821" s="7" t="s">
        <v>6295</v>
      </c>
      <c r="F2821" s="7" t="s">
        <v>6725</v>
      </c>
      <c r="G2821" s="7" t="s">
        <v>7150</v>
      </c>
      <c r="H2821" s="7" t="s">
        <v>7156</v>
      </c>
      <c r="I2821" s="7"/>
      <c r="J2821" s="10">
        <v>45306</v>
      </c>
      <c r="K2821" s="7" t="s">
        <v>7164</v>
      </c>
      <c r="L2821" s="7"/>
      <c r="M2821" s="7"/>
    </row>
    <row r="2822" spans="1:13" x14ac:dyDescent="0.3">
      <c r="A2822" s="7">
        <v>17957</v>
      </c>
      <c r="B2822" s="7" t="s">
        <v>2830</v>
      </c>
      <c r="C2822" s="7" t="s">
        <v>6322</v>
      </c>
      <c r="D2822" s="7" t="s">
        <v>6724</v>
      </c>
      <c r="E2822" s="7" t="s">
        <v>6295</v>
      </c>
      <c r="F2822" s="7" t="s">
        <v>6725</v>
      </c>
      <c r="G2822" s="7" t="s">
        <v>7150</v>
      </c>
      <c r="H2822" s="7" t="s">
        <v>7156</v>
      </c>
      <c r="I2822" s="7"/>
      <c r="J2822" s="10">
        <v>45936</v>
      </c>
      <c r="K2822" s="7" t="s">
        <v>7164</v>
      </c>
      <c r="L2822" s="7"/>
      <c r="M2822" s="7"/>
    </row>
    <row r="2823" spans="1:13" x14ac:dyDescent="0.3">
      <c r="A2823" s="7">
        <v>15940</v>
      </c>
      <c r="B2823" s="7" t="s">
        <v>2831</v>
      </c>
      <c r="C2823" s="7" t="s">
        <v>6322</v>
      </c>
      <c r="D2823" s="7" t="s">
        <v>6724</v>
      </c>
      <c r="E2823" s="7" t="s">
        <v>6295</v>
      </c>
      <c r="F2823" s="7" t="s">
        <v>6725</v>
      </c>
      <c r="G2823" s="7" t="s">
        <v>7150</v>
      </c>
      <c r="H2823" s="7" t="s">
        <v>7156</v>
      </c>
      <c r="I2823" s="7"/>
      <c r="J2823" s="10">
        <v>45246</v>
      </c>
      <c r="K2823" s="7" t="s">
        <v>7164</v>
      </c>
      <c r="L2823" s="7"/>
      <c r="M2823" s="7"/>
    </row>
    <row r="2824" spans="1:13" x14ac:dyDescent="0.3">
      <c r="A2824" s="7">
        <v>18724</v>
      </c>
      <c r="B2824" s="7" t="s">
        <v>2832</v>
      </c>
      <c r="C2824" s="7" t="s">
        <v>6322</v>
      </c>
      <c r="D2824" s="7" t="s">
        <v>6724</v>
      </c>
      <c r="E2824" s="7" t="s">
        <v>6295</v>
      </c>
      <c r="F2824" s="7" t="s">
        <v>6725</v>
      </c>
      <c r="G2824" s="7" t="s">
        <v>7150</v>
      </c>
      <c r="H2824" s="7" t="s">
        <v>7156</v>
      </c>
      <c r="I2824" s="7" t="s">
        <v>7159</v>
      </c>
      <c r="J2824" s="10">
        <v>46192</v>
      </c>
      <c r="K2824" s="7" t="s">
        <v>7164</v>
      </c>
      <c r="L2824" s="7"/>
      <c r="M2824" s="7"/>
    </row>
    <row r="2825" spans="1:13" x14ac:dyDescent="0.3">
      <c r="A2825" s="7">
        <v>18723</v>
      </c>
      <c r="B2825" s="7" t="s">
        <v>2833</v>
      </c>
      <c r="C2825" s="7" t="s">
        <v>6322</v>
      </c>
      <c r="D2825" s="7" t="s">
        <v>6724</v>
      </c>
      <c r="E2825" s="7" t="s">
        <v>6295</v>
      </c>
      <c r="F2825" s="7" t="s">
        <v>6725</v>
      </c>
      <c r="G2825" s="7" t="s">
        <v>7150</v>
      </c>
      <c r="H2825" s="7" t="s">
        <v>7156</v>
      </c>
      <c r="I2825" s="7" t="s">
        <v>7159</v>
      </c>
      <c r="J2825" s="10">
        <v>46192</v>
      </c>
      <c r="K2825" s="7" t="s">
        <v>7164</v>
      </c>
      <c r="L2825" s="7"/>
      <c r="M2825" s="7"/>
    </row>
    <row r="2826" spans="1:13" x14ac:dyDescent="0.3">
      <c r="A2826" s="7">
        <v>15177</v>
      </c>
      <c r="B2826" s="7" t="s">
        <v>2834</v>
      </c>
      <c r="C2826" s="7" t="s">
        <v>6322</v>
      </c>
      <c r="D2826" s="7" t="s">
        <v>6724</v>
      </c>
      <c r="E2826" s="7" t="s">
        <v>6295</v>
      </c>
      <c r="F2826" s="7" t="s">
        <v>6725</v>
      </c>
      <c r="G2826" s="7" t="s">
        <v>7150</v>
      </c>
      <c r="H2826" s="7" t="s">
        <v>7156</v>
      </c>
      <c r="I2826" s="7"/>
      <c r="J2826" s="10">
        <v>44973</v>
      </c>
      <c r="K2826" s="7" t="s">
        <v>7164</v>
      </c>
      <c r="L2826" s="7"/>
      <c r="M2826" s="7"/>
    </row>
    <row r="2827" spans="1:13" x14ac:dyDescent="0.3">
      <c r="A2827" s="7">
        <v>13531</v>
      </c>
      <c r="B2827" s="7" t="s">
        <v>2835</v>
      </c>
      <c r="C2827" s="7" t="s">
        <v>6322</v>
      </c>
      <c r="D2827" s="7" t="s">
        <v>6724</v>
      </c>
      <c r="E2827" s="7" t="s">
        <v>6295</v>
      </c>
      <c r="F2827" s="7" t="s">
        <v>6725</v>
      </c>
      <c r="G2827" s="7" t="s">
        <v>7150</v>
      </c>
      <c r="H2827" s="7" t="s">
        <v>7156</v>
      </c>
      <c r="I2827" s="7"/>
      <c r="J2827" s="10">
        <v>44487</v>
      </c>
      <c r="K2827" s="7" t="s">
        <v>7164</v>
      </c>
      <c r="L2827" s="7"/>
      <c r="M2827" s="7"/>
    </row>
    <row r="2828" spans="1:13" x14ac:dyDescent="0.3">
      <c r="A2828" s="7">
        <v>13868</v>
      </c>
      <c r="B2828" s="7" t="s">
        <v>2836</v>
      </c>
      <c r="C2828" s="7" t="s">
        <v>6322</v>
      </c>
      <c r="D2828" s="7" t="s">
        <v>6724</v>
      </c>
      <c r="E2828" s="7" t="s">
        <v>6295</v>
      </c>
      <c r="F2828" s="7" t="s">
        <v>6725</v>
      </c>
      <c r="G2828" s="7" t="s">
        <v>7150</v>
      </c>
      <c r="H2828" s="7" t="s">
        <v>7156</v>
      </c>
      <c r="I2828" s="7"/>
      <c r="J2828" s="10">
        <v>44613</v>
      </c>
      <c r="K2828" s="7" t="s">
        <v>7164</v>
      </c>
      <c r="L2828" s="7"/>
      <c r="M2828" s="7"/>
    </row>
    <row r="2829" spans="1:13" x14ac:dyDescent="0.3">
      <c r="A2829" s="7">
        <v>13869</v>
      </c>
      <c r="B2829" s="7" t="s">
        <v>2837</v>
      </c>
      <c r="C2829" s="7" t="s">
        <v>6322</v>
      </c>
      <c r="D2829" s="7" t="s">
        <v>6724</v>
      </c>
      <c r="E2829" s="7" t="s">
        <v>6295</v>
      </c>
      <c r="F2829" s="7" t="s">
        <v>6725</v>
      </c>
      <c r="G2829" s="7" t="s">
        <v>7150</v>
      </c>
      <c r="H2829" s="7" t="s">
        <v>7156</v>
      </c>
      <c r="I2829" s="7"/>
      <c r="J2829" s="10">
        <v>44613</v>
      </c>
      <c r="K2829" s="7" t="s">
        <v>7164</v>
      </c>
      <c r="L2829" s="7"/>
      <c r="M2829" s="7"/>
    </row>
    <row r="2830" spans="1:13" x14ac:dyDescent="0.3">
      <c r="A2830" s="7">
        <v>16785</v>
      </c>
      <c r="B2830" s="7" t="s">
        <v>2838</v>
      </c>
      <c r="C2830" s="7" t="s">
        <v>6327</v>
      </c>
      <c r="D2830" s="7" t="s">
        <v>6724</v>
      </c>
      <c r="E2830" s="7" t="s">
        <v>6295</v>
      </c>
      <c r="F2830" s="7" t="s">
        <v>6712</v>
      </c>
      <c r="G2830" s="7" t="s">
        <v>7150</v>
      </c>
      <c r="H2830" s="7" t="s">
        <v>7156</v>
      </c>
      <c r="I2830" s="7"/>
      <c r="J2830" s="10">
        <v>45546</v>
      </c>
      <c r="K2830" s="7" t="s">
        <v>7164</v>
      </c>
      <c r="L2830" s="7"/>
      <c r="M2830" s="7"/>
    </row>
    <row r="2831" spans="1:13" x14ac:dyDescent="0.3">
      <c r="A2831" s="7">
        <v>14749</v>
      </c>
      <c r="B2831" s="7" t="s">
        <v>2839</v>
      </c>
      <c r="C2831" s="7" t="s">
        <v>6327</v>
      </c>
      <c r="D2831" s="7" t="s">
        <v>6724</v>
      </c>
      <c r="E2831" s="7" t="s">
        <v>6295</v>
      </c>
      <c r="F2831" s="7" t="s">
        <v>6725</v>
      </c>
      <c r="G2831" s="7" t="s">
        <v>7150</v>
      </c>
      <c r="H2831" s="7" t="s">
        <v>7156</v>
      </c>
      <c r="I2831" s="7"/>
      <c r="J2831" s="10">
        <v>44847</v>
      </c>
      <c r="K2831" s="7" t="s">
        <v>7164</v>
      </c>
      <c r="L2831" s="7"/>
      <c r="M2831" s="7"/>
    </row>
    <row r="2832" spans="1:13" x14ac:dyDescent="0.3">
      <c r="A2832" s="7">
        <v>16215</v>
      </c>
      <c r="B2832" s="7" t="s">
        <v>2840</v>
      </c>
      <c r="C2832" s="7" t="s">
        <v>6327</v>
      </c>
      <c r="D2832" s="7" t="s">
        <v>6724</v>
      </c>
      <c r="E2832" s="7" t="s">
        <v>6295</v>
      </c>
      <c r="F2832" s="7" t="s">
        <v>6725</v>
      </c>
      <c r="G2832" s="7" t="s">
        <v>7150</v>
      </c>
      <c r="H2832" s="7" t="s">
        <v>7156</v>
      </c>
      <c r="I2832" s="7"/>
      <c r="J2832" s="10">
        <v>45323</v>
      </c>
      <c r="K2832" s="7" t="s">
        <v>7164</v>
      </c>
      <c r="L2832" s="7"/>
      <c r="M2832" s="7"/>
    </row>
    <row r="2833" spans="1:13" x14ac:dyDescent="0.3">
      <c r="A2833" s="7">
        <v>18844</v>
      </c>
      <c r="B2833" s="7" t="s">
        <v>2841</v>
      </c>
      <c r="C2833" s="7" t="s">
        <v>6327</v>
      </c>
      <c r="D2833" s="7" t="s">
        <v>6724</v>
      </c>
      <c r="E2833" s="7" t="s">
        <v>6295</v>
      </c>
      <c r="F2833" s="7" t="s">
        <v>6727</v>
      </c>
      <c r="G2833" s="7" t="s">
        <v>7150</v>
      </c>
      <c r="H2833" s="7" t="s">
        <v>7156</v>
      </c>
      <c r="I2833" s="7"/>
      <c r="J2833" s="10">
        <v>46223</v>
      </c>
      <c r="K2833" s="7" t="s">
        <v>7164</v>
      </c>
      <c r="L2833" s="7"/>
      <c r="M2833" s="7"/>
    </row>
    <row r="2834" spans="1:13" x14ac:dyDescent="0.3">
      <c r="A2834" s="7">
        <v>10100</v>
      </c>
      <c r="B2834" s="7" t="s">
        <v>2842</v>
      </c>
      <c r="C2834" s="7" t="s">
        <v>6327</v>
      </c>
      <c r="D2834" s="7" t="s">
        <v>6724</v>
      </c>
      <c r="E2834" s="7" t="s">
        <v>6295</v>
      </c>
      <c r="F2834" s="7" t="s">
        <v>6725</v>
      </c>
      <c r="G2834" s="7" t="s">
        <v>7150</v>
      </c>
      <c r="H2834" s="7" t="s">
        <v>7156</v>
      </c>
      <c r="I2834" s="7"/>
      <c r="J2834" s="10">
        <v>36711</v>
      </c>
      <c r="K2834" s="7" t="s">
        <v>7164</v>
      </c>
      <c r="L2834" s="7"/>
      <c r="M2834" s="7"/>
    </row>
    <row r="2835" spans="1:13" x14ac:dyDescent="0.3">
      <c r="A2835" s="7">
        <v>11484</v>
      </c>
      <c r="B2835" s="7" t="s">
        <v>2843</v>
      </c>
      <c r="C2835" s="7" t="s">
        <v>6327</v>
      </c>
      <c r="D2835" s="7" t="s">
        <v>6724</v>
      </c>
      <c r="E2835" s="7" t="s">
        <v>6295</v>
      </c>
      <c r="F2835" s="7" t="s">
        <v>6725</v>
      </c>
      <c r="G2835" s="7" t="s">
        <v>7150</v>
      </c>
      <c r="H2835" s="7" t="s">
        <v>7156</v>
      </c>
      <c r="I2835" s="7"/>
      <c r="J2835" s="10">
        <v>42751</v>
      </c>
      <c r="K2835" s="7" t="s">
        <v>7164</v>
      </c>
      <c r="L2835" s="7"/>
      <c r="M2835" s="7"/>
    </row>
    <row r="2836" spans="1:13" x14ac:dyDescent="0.3">
      <c r="A2836" s="7">
        <v>17221</v>
      </c>
      <c r="B2836" s="7" t="s">
        <v>2844</v>
      </c>
      <c r="C2836" s="7" t="s">
        <v>6327</v>
      </c>
      <c r="D2836" s="7" t="s">
        <v>6724</v>
      </c>
      <c r="E2836" s="7" t="s">
        <v>6295</v>
      </c>
      <c r="F2836" s="7" t="s">
        <v>6725</v>
      </c>
      <c r="G2836" s="7" t="s">
        <v>7150</v>
      </c>
      <c r="H2836" s="7" t="s">
        <v>7156</v>
      </c>
      <c r="I2836" s="7"/>
      <c r="J2836" s="10">
        <v>45666</v>
      </c>
      <c r="K2836" s="7" t="s">
        <v>7164</v>
      </c>
      <c r="L2836" s="7"/>
      <c r="M2836" s="7"/>
    </row>
    <row r="2837" spans="1:13" x14ac:dyDescent="0.3">
      <c r="A2837" s="7">
        <v>15536</v>
      </c>
      <c r="B2837" s="7" t="s">
        <v>2845</v>
      </c>
      <c r="C2837" s="7" t="s">
        <v>6327</v>
      </c>
      <c r="D2837" s="7" t="s">
        <v>6724</v>
      </c>
      <c r="E2837" s="7" t="s">
        <v>6295</v>
      </c>
      <c r="F2837" s="7" t="s">
        <v>6728</v>
      </c>
      <c r="G2837" s="7" t="s">
        <v>7150</v>
      </c>
      <c r="H2837" s="7" t="s">
        <v>7156</v>
      </c>
      <c r="I2837" s="7"/>
      <c r="J2837" s="10">
        <v>45113</v>
      </c>
      <c r="K2837" s="7" t="s">
        <v>7164</v>
      </c>
      <c r="L2837" s="7"/>
      <c r="M2837" s="7"/>
    </row>
    <row r="2838" spans="1:13" x14ac:dyDescent="0.3">
      <c r="A2838" s="7">
        <v>17227</v>
      </c>
      <c r="B2838" s="7" t="s">
        <v>2846</v>
      </c>
      <c r="C2838" s="7" t="s">
        <v>6327</v>
      </c>
      <c r="D2838" s="7" t="s">
        <v>6724</v>
      </c>
      <c r="E2838" s="7" t="s">
        <v>6295</v>
      </c>
      <c r="F2838" s="7" t="s">
        <v>6725</v>
      </c>
      <c r="G2838" s="7" t="s">
        <v>7150</v>
      </c>
      <c r="H2838" s="7" t="s">
        <v>7156</v>
      </c>
      <c r="I2838" s="7"/>
      <c r="J2838" s="10">
        <v>45678</v>
      </c>
      <c r="K2838" s="7" t="s">
        <v>7164</v>
      </c>
      <c r="L2838" s="7"/>
      <c r="M2838" s="7"/>
    </row>
    <row r="2839" spans="1:13" x14ac:dyDescent="0.3">
      <c r="A2839" s="7">
        <v>17232</v>
      </c>
      <c r="B2839" s="7" t="s">
        <v>2847</v>
      </c>
      <c r="C2839" s="7" t="s">
        <v>6327</v>
      </c>
      <c r="D2839" s="7" t="s">
        <v>6724</v>
      </c>
      <c r="E2839" s="7" t="s">
        <v>6295</v>
      </c>
      <c r="F2839" s="7" t="s">
        <v>6725</v>
      </c>
      <c r="G2839" s="7" t="s">
        <v>7150</v>
      </c>
      <c r="H2839" s="7" t="s">
        <v>7156</v>
      </c>
      <c r="I2839" s="7"/>
      <c r="J2839" s="10">
        <v>45678</v>
      </c>
      <c r="K2839" s="7" t="s">
        <v>7164</v>
      </c>
      <c r="L2839" s="7"/>
      <c r="M2839" s="7"/>
    </row>
    <row r="2840" spans="1:13" x14ac:dyDescent="0.3">
      <c r="A2840" s="7">
        <v>16004</v>
      </c>
      <c r="B2840" s="7" t="s">
        <v>2848</v>
      </c>
      <c r="C2840" s="7" t="s">
        <v>6327</v>
      </c>
      <c r="D2840" s="7" t="s">
        <v>6724</v>
      </c>
      <c r="E2840" s="7" t="s">
        <v>6295</v>
      </c>
      <c r="F2840" s="7" t="s">
        <v>6725</v>
      </c>
      <c r="G2840" s="7" t="s">
        <v>7150</v>
      </c>
      <c r="H2840" s="7" t="s">
        <v>7156</v>
      </c>
      <c r="I2840" s="7"/>
      <c r="J2840" s="10">
        <v>45261</v>
      </c>
      <c r="K2840" s="7" t="s">
        <v>7164</v>
      </c>
      <c r="L2840" s="7"/>
      <c r="M2840" s="7"/>
    </row>
    <row r="2841" spans="1:13" x14ac:dyDescent="0.3">
      <c r="A2841" s="7">
        <v>17960</v>
      </c>
      <c r="B2841" s="7" t="s">
        <v>2849</v>
      </c>
      <c r="C2841" s="7" t="s">
        <v>6327</v>
      </c>
      <c r="D2841" s="7" t="s">
        <v>6724</v>
      </c>
      <c r="E2841" s="7" t="s">
        <v>6295</v>
      </c>
      <c r="F2841" s="7" t="s">
        <v>6725</v>
      </c>
      <c r="G2841" s="7" t="s">
        <v>7150</v>
      </c>
      <c r="H2841" s="7" t="s">
        <v>7156</v>
      </c>
      <c r="I2841" s="7"/>
      <c r="J2841" s="10">
        <v>45938</v>
      </c>
      <c r="K2841" s="7" t="s">
        <v>7164</v>
      </c>
      <c r="L2841" s="7"/>
      <c r="M2841" s="7"/>
    </row>
    <row r="2842" spans="1:13" x14ac:dyDescent="0.3">
      <c r="A2842" s="7">
        <v>15995</v>
      </c>
      <c r="B2842" s="7" t="s">
        <v>2850</v>
      </c>
      <c r="C2842" s="7" t="s">
        <v>6322</v>
      </c>
      <c r="D2842" s="7" t="s">
        <v>6724</v>
      </c>
      <c r="E2842" s="7" t="s">
        <v>6295</v>
      </c>
      <c r="F2842" s="7" t="s">
        <v>6725</v>
      </c>
      <c r="G2842" s="7" t="s">
        <v>7150</v>
      </c>
      <c r="H2842" s="7" t="s">
        <v>7156</v>
      </c>
      <c r="I2842" s="7"/>
      <c r="J2842" s="10">
        <v>45261</v>
      </c>
      <c r="K2842" s="7" t="s">
        <v>7164</v>
      </c>
      <c r="L2842" s="7"/>
      <c r="M2842" s="7"/>
    </row>
    <row r="2843" spans="1:13" x14ac:dyDescent="0.3">
      <c r="A2843" s="7">
        <v>16984</v>
      </c>
      <c r="B2843" s="7" t="s">
        <v>2851</v>
      </c>
      <c r="C2843" s="7" t="s">
        <v>6327</v>
      </c>
      <c r="D2843" s="7" t="s">
        <v>6724</v>
      </c>
      <c r="E2843" s="7" t="s">
        <v>6295</v>
      </c>
      <c r="F2843" s="7" t="s">
        <v>6725</v>
      </c>
      <c r="G2843" s="7" t="s">
        <v>7150</v>
      </c>
      <c r="H2843" s="7" t="s">
        <v>7156</v>
      </c>
      <c r="I2843" s="7"/>
      <c r="J2843" s="10">
        <v>45583</v>
      </c>
      <c r="K2843" s="7" t="s">
        <v>7164</v>
      </c>
      <c r="L2843" s="7"/>
      <c r="M2843" s="7"/>
    </row>
    <row r="2844" spans="1:13" x14ac:dyDescent="0.3">
      <c r="A2844" s="7">
        <v>17090</v>
      </c>
      <c r="B2844" s="7" t="s">
        <v>2852</v>
      </c>
      <c r="C2844" s="7" t="s">
        <v>6327</v>
      </c>
      <c r="D2844" s="7" t="s">
        <v>6724</v>
      </c>
      <c r="E2844" s="7" t="s">
        <v>6295</v>
      </c>
      <c r="F2844" s="7" t="s">
        <v>6725</v>
      </c>
      <c r="G2844" s="7" t="s">
        <v>7150</v>
      </c>
      <c r="H2844" s="7" t="s">
        <v>7156</v>
      </c>
      <c r="I2844" s="7"/>
      <c r="J2844" s="10">
        <v>45630</v>
      </c>
      <c r="K2844" s="7" t="s">
        <v>7164</v>
      </c>
      <c r="L2844" s="7"/>
      <c r="M2844" s="7"/>
    </row>
    <row r="2845" spans="1:13" x14ac:dyDescent="0.3">
      <c r="A2845" s="7">
        <v>12489</v>
      </c>
      <c r="B2845" s="7" t="s">
        <v>2853</v>
      </c>
      <c r="C2845" s="7" t="s">
        <v>6327</v>
      </c>
      <c r="D2845" s="7" t="s">
        <v>6724</v>
      </c>
      <c r="E2845" s="7" t="s">
        <v>6295</v>
      </c>
      <c r="F2845" s="7" t="s">
        <v>6727</v>
      </c>
      <c r="G2845" s="7" t="s">
        <v>7150</v>
      </c>
      <c r="H2845" s="7" t="s">
        <v>7156</v>
      </c>
      <c r="I2845" s="7"/>
      <c r="J2845" s="10">
        <v>43774</v>
      </c>
      <c r="K2845" s="7" t="s">
        <v>7164</v>
      </c>
      <c r="L2845" s="7"/>
      <c r="M2845" s="7"/>
    </row>
    <row r="2846" spans="1:13" x14ac:dyDescent="0.3">
      <c r="A2846" s="7">
        <v>13092</v>
      </c>
      <c r="B2846" s="7" t="s">
        <v>2854</v>
      </c>
      <c r="C2846" s="7" t="s">
        <v>6327</v>
      </c>
      <c r="D2846" s="7" t="s">
        <v>6724</v>
      </c>
      <c r="E2846" s="7" t="s">
        <v>6295</v>
      </c>
      <c r="F2846" s="7" t="s">
        <v>6324</v>
      </c>
      <c r="G2846" s="7" t="s">
        <v>7150</v>
      </c>
      <c r="H2846" s="7" t="s">
        <v>7156</v>
      </c>
      <c r="I2846" s="7"/>
      <c r="J2846" s="10">
        <v>44250</v>
      </c>
      <c r="K2846" s="7" t="s">
        <v>7164</v>
      </c>
      <c r="L2846" s="7"/>
      <c r="M2846" s="7"/>
    </row>
    <row r="2847" spans="1:13" x14ac:dyDescent="0.3">
      <c r="A2847" s="7">
        <v>13009</v>
      </c>
      <c r="B2847" s="7" t="s">
        <v>2855</v>
      </c>
      <c r="C2847" s="7" t="s">
        <v>6327</v>
      </c>
      <c r="D2847" s="7" t="s">
        <v>6724</v>
      </c>
      <c r="E2847" s="7" t="s">
        <v>6295</v>
      </c>
      <c r="F2847" s="7" t="s">
        <v>6725</v>
      </c>
      <c r="G2847" s="7" t="s">
        <v>7150</v>
      </c>
      <c r="H2847" s="7" t="s">
        <v>7156</v>
      </c>
      <c r="I2847" s="7"/>
      <c r="J2847" s="10">
        <v>44190</v>
      </c>
      <c r="K2847" s="7" t="s">
        <v>7164</v>
      </c>
      <c r="L2847" s="7"/>
      <c r="M2847" s="7"/>
    </row>
    <row r="2848" spans="1:13" x14ac:dyDescent="0.3">
      <c r="A2848" s="7">
        <v>18915</v>
      </c>
      <c r="B2848" s="7" t="s">
        <v>2856</v>
      </c>
      <c r="C2848" s="7" t="s">
        <v>6327</v>
      </c>
      <c r="D2848" s="7" t="s">
        <v>6323</v>
      </c>
      <c r="E2848" s="7" t="s">
        <v>6295</v>
      </c>
      <c r="F2848" s="7" t="s">
        <v>6725</v>
      </c>
      <c r="G2848" s="7" t="s">
        <v>7150</v>
      </c>
      <c r="H2848" s="7" t="s">
        <v>7156</v>
      </c>
      <c r="I2848" s="7" t="s">
        <v>7159</v>
      </c>
      <c r="J2848" s="10">
        <v>46237</v>
      </c>
      <c r="K2848" s="7" t="s">
        <v>7164</v>
      </c>
      <c r="L2848" s="7"/>
      <c r="M2848" s="7"/>
    </row>
    <row r="2849" spans="1:13" x14ac:dyDescent="0.3">
      <c r="A2849" s="7">
        <v>13008</v>
      </c>
      <c r="B2849" s="7" t="s">
        <v>2857</v>
      </c>
      <c r="C2849" s="7" t="s">
        <v>6327</v>
      </c>
      <c r="D2849" s="7" t="s">
        <v>6724</v>
      </c>
      <c r="E2849" s="7" t="s">
        <v>6295</v>
      </c>
      <c r="F2849" s="7" t="s">
        <v>6725</v>
      </c>
      <c r="G2849" s="7" t="s">
        <v>7150</v>
      </c>
      <c r="H2849" s="7" t="s">
        <v>7156</v>
      </c>
      <c r="I2849" s="7"/>
      <c r="J2849" s="10">
        <v>44190</v>
      </c>
      <c r="K2849" s="7" t="s">
        <v>7164</v>
      </c>
      <c r="L2849" s="7"/>
      <c r="M2849" s="7"/>
    </row>
    <row r="2850" spans="1:13" x14ac:dyDescent="0.3">
      <c r="A2850" s="7">
        <v>13010</v>
      </c>
      <c r="B2850" s="7" t="s">
        <v>2858</v>
      </c>
      <c r="C2850" s="7" t="s">
        <v>6327</v>
      </c>
      <c r="D2850" s="7" t="s">
        <v>6724</v>
      </c>
      <c r="E2850" s="7" t="s">
        <v>6295</v>
      </c>
      <c r="F2850" s="7" t="s">
        <v>6725</v>
      </c>
      <c r="G2850" s="7" t="s">
        <v>7150</v>
      </c>
      <c r="H2850" s="7" t="s">
        <v>7156</v>
      </c>
      <c r="I2850" s="7"/>
      <c r="J2850" s="10">
        <v>44204</v>
      </c>
      <c r="K2850" s="7" t="s">
        <v>7164</v>
      </c>
      <c r="L2850" s="7"/>
      <c r="M2850" s="7"/>
    </row>
    <row r="2851" spans="1:13" x14ac:dyDescent="0.3">
      <c r="A2851" s="7">
        <v>16233</v>
      </c>
      <c r="B2851" s="7" t="s">
        <v>2859</v>
      </c>
      <c r="C2851" s="7" t="s">
        <v>6322</v>
      </c>
      <c r="D2851" s="7" t="s">
        <v>6724</v>
      </c>
      <c r="E2851" s="7" t="s">
        <v>6295</v>
      </c>
      <c r="F2851" s="7" t="s">
        <v>6725</v>
      </c>
      <c r="G2851" s="7" t="s">
        <v>7150</v>
      </c>
      <c r="H2851" s="7" t="s">
        <v>7156</v>
      </c>
      <c r="I2851" s="7"/>
      <c r="J2851" s="10">
        <v>45327</v>
      </c>
      <c r="K2851" s="7" t="s">
        <v>7164</v>
      </c>
      <c r="L2851" s="7"/>
      <c r="M2851" s="7"/>
    </row>
    <row r="2852" spans="1:13" x14ac:dyDescent="0.3">
      <c r="A2852" s="7">
        <v>11299</v>
      </c>
      <c r="B2852" s="7" t="s">
        <v>2860</v>
      </c>
      <c r="C2852" s="7" t="s">
        <v>6322</v>
      </c>
      <c r="D2852" s="7" t="s">
        <v>6724</v>
      </c>
      <c r="E2852" s="7" t="s">
        <v>6295</v>
      </c>
      <c r="F2852" s="7" t="s">
        <v>6414</v>
      </c>
      <c r="G2852" s="7" t="s">
        <v>7150</v>
      </c>
      <c r="H2852" s="7" t="s">
        <v>7156</v>
      </c>
      <c r="I2852" s="7"/>
      <c r="J2852" s="10">
        <v>42506</v>
      </c>
      <c r="K2852" s="7" t="s">
        <v>7164</v>
      </c>
      <c r="L2852" s="7"/>
      <c r="M2852" s="7"/>
    </row>
    <row r="2853" spans="1:13" x14ac:dyDescent="0.3">
      <c r="A2853" s="7">
        <v>17660</v>
      </c>
      <c r="B2853" s="7" t="s">
        <v>2861</v>
      </c>
      <c r="C2853" s="7" t="s">
        <v>6322</v>
      </c>
      <c r="D2853" s="7" t="s">
        <v>6724</v>
      </c>
      <c r="E2853" s="7" t="s">
        <v>6295</v>
      </c>
      <c r="F2853" s="7" t="s">
        <v>6725</v>
      </c>
      <c r="G2853" s="7" t="s">
        <v>7150</v>
      </c>
      <c r="H2853" s="7" t="s">
        <v>7156</v>
      </c>
      <c r="I2853" s="7"/>
      <c r="J2853" s="10">
        <v>45839</v>
      </c>
      <c r="K2853" s="7" t="s">
        <v>7164</v>
      </c>
      <c r="L2853" s="7"/>
      <c r="M2853" s="7"/>
    </row>
    <row r="2854" spans="1:13" x14ac:dyDescent="0.3">
      <c r="A2854" s="7">
        <v>11629</v>
      </c>
      <c r="B2854" s="7" t="s">
        <v>2862</v>
      </c>
      <c r="C2854" s="7" t="s">
        <v>6729</v>
      </c>
      <c r="D2854" s="7" t="s">
        <v>6295</v>
      </c>
      <c r="E2854" s="7" t="s">
        <v>6295</v>
      </c>
      <c r="F2854" s="7" t="s">
        <v>6353</v>
      </c>
      <c r="G2854" s="7" t="s">
        <v>7150</v>
      </c>
      <c r="H2854" s="7" t="s">
        <v>7156</v>
      </c>
      <c r="I2854" s="7"/>
      <c r="J2854" s="10">
        <v>42949</v>
      </c>
      <c r="K2854" s="7" t="s">
        <v>7164</v>
      </c>
      <c r="L2854" s="7"/>
      <c r="M2854" s="7"/>
    </row>
    <row r="2855" spans="1:13" x14ac:dyDescent="0.3">
      <c r="A2855" s="7">
        <v>18034</v>
      </c>
      <c r="B2855" s="7" t="s">
        <v>2863</v>
      </c>
      <c r="C2855" s="7" t="s">
        <v>6322</v>
      </c>
      <c r="D2855" s="7" t="s">
        <v>6724</v>
      </c>
      <c r="E2855" s="7" t="s">
        <v>6295</v>
      </c>
      <c r="F2855" s="7" t="s">
        <v>6725</v>
      </c>
      <c r="G2855" s="7" t="s">
        <v>7150</v>
      </c>
      <c r="H2855" s="7" t="s">
        <v>7156</v>
      </c>
      <c r="I2855" s="7"/>
      <c r="J2855" s="10">
        <v>45974</v>
      </c>
      <c r="K2855" s="7" t="s">
        <v>7164</v>
      </c>
      <c r="L2855" s="7"/>
      <c r="M2855" s="7"/>
    </row>
    <row r="2856" spans="1:13" x14ac:dyDescent="0.3">
      <c r="A2856" s="7">
        <v>18046</v>
      </c>
      <c r="B2856" s="7" t="s">
        <v>2864</v>
      </c>
      <c r="C2856" s="7" t="s">
        <v>6322</v>
      </c>
      <c r="D2856" s="7" t="s">
        <v>6724</v>
      </c>
      <c r="E2856" s="7" t="s">
        <v>6295</v>
      </c>
      <c r="F2856" s="7" t="s">
        <v>6725</v>
      </c>
      <c r="G2856" s="7" t="s">
        <v>7150</v>
      </c>
      <c r="H2856" s="7" t="s">
        <v>7156</v>
      </c>
      <c r="I2856" s="7"/>
      <c r="J2856" s="10">
        <v>45975</v>
      </c>
      <c r="K2856" s="7" t="s">
        <v>7164</v>
      </c>
      <c r="L2856" s="7"/>
      <c r="M2856" s="7"/>
    </row>
    <row r="2857" spans="1:13" x14ac:dyDescent="0.3">
      <c r="A2857" s="7">
        <v>11877</v>
      </c>
      <c r="B2857" s="7" t="s">
        <v>2865</v>
      </c>
      <c r="C2857" s="7" t="s">
        <v>6322</v>
      </c>
      <c r="D2857" s="7" t="s">
        <v>6724</v>
      </c>
      <c r="E2857" s="7" t="s">
        <v>6295</v>
      </c>
      <c r="F2857" s="7" t="s">
        <v>6725</v>
      </c>
      <c r="G2857" s="7" t="s">
        <v>7150</v>
      </c>
      <c r="H2857" s="7" t="s">
        <v>7156</v>
      </c>
      <c r="I2857" s="7"/>
      <c r="J2857" s="10">
        <v>43230</v>
      </c>
      <c r="K2857" s="7" t="s">
        <v>7164</v>
      </c>
      <c r="L2857" s="7"/>
      <c r="M2857" s="7"/>
    </row>
    <row r="2858" spans="1:13" x14ac:dyDescent="0.3">
      <c r="A2858" s="7">
        <v>12022</v>
      </c>
      <c r="B2858" s="7" t="s">
        <v>2866</v>
      </c>
      <c r="C2858" s="7" t="s">
        <v>6322</v>
      </c>
      <c r="D2858" s="7" t="s">
        <v>6724</v>
      </c>
      <c r="E2858" s="7" t="s">
        <v>6295</v>
      </c>
      <c r="F2858" s="7" t="s">
        <v>6725</v>
      </c>
      <c r="G2858" s="7" t="s">
        <v>7150</v>
      </c>
      <c r="H2858" s="7" t="s">
        <v>7156</v>
      </c>
      <c r="I2858" s="7"/>
      <c r="J2858" s="10">
        <v>43391</v>
      </c>
      <c r="K2858" s="7" t="s">
        <v>7164</v>
      </c>
      <c r="L2858" s="7"/>
      <c r="M2858" s="7"/>
    </row>
    <row r="2859" spans="1:13" x14ac:dyDescent="0.3">
      <c r="A2859" s="7">
        <v>10841</v>
      </c>
      <c r="B2859" s="7" t="s">
        <v>2867</v>
      </c>
      <c r="C2859" s="7" t="s">
        <v>6322</v>
      </c>
      <c r="D2859" s="7" t="s">
        <v>6724</v>
      </c>
      <c r="E2859" s="7" t="s">
        <v>6295</v>
      </c>
      <c r="F2859" s="7" t="s">
        <v>6725</v>
      </c>
      <c r="G2859" s="7" t="s">
        <v>7150</v>
      </c>
      <c r="H2859" s="7" t="s">
        <v>7156</v>
      </c>
      <c r="I2859" s="7"/>
      <c r="J2859" s="10">
        <v>41975</v>
      </c>
      <c r="K2859" s="7" t="s">
        <v>7164</v>
      </c>
      <c r="L2859" s="7"/>
      <c r="M2859" s="7"/>
    </row>
    <row r="2860" spans="1:13" x14ac:dyDescent="0.3">
      <c r="A2860" s="7">
        <v>13209</v>
      </c>
      <c r="B2860" s="7" t="s">
        <v>2868</v>
      </c>
      <c r="C2860" s="7" t="s">
        <v>6322</v>
      </c>
      <c r="D2860" s="7" t="s">
        <v>6724</v>
      </c>
      <c r="E2860" s="7" t="s">
        <v>6295</v>
      </c>
      <c r="F2860" s="7" t="s">
        <v>6725</v>
      </c>
      <c r="G2860" s="7" t="s">
        <v>7150</v>
      </c>
      <c r="H2860" s="7" t="s">
        <v>7156</v>
      </c>
      <c r="I2860" s="7"/>
      <c r="J2860" s="10">
        <v>44322</v>
      </c>
      <c r="K2860" s="7" t="s">
        <v>7164</v>
      </c>
      <c r="L2860" s="7"/>
      <c r="M2860" s="7"/>
    </row>
    <row r="2861" spans="1:13" x14ac:dyDescent="0.3">
      <c r="A2861" s="7">
        <v>18630</v>
      </c>
      <c r="B2861" s="7" t="s">
        <v>2869</v>
      </c>
      <c r="C2861" s="7" t="s">
        <v>6322</v>
      </c>
      <c r="D2861" s="7" t="s">
        <v>6724</v>
      </c>
      <c r="E2861" s="7" t="s">
        <v>6295</v>
      </c>
      <c r="F2861" s="7" t="s">
        <v>6725</v>
      </c>
      <c r="G2861" s="7" t="s">
        <v>7150</v>
      </c>
      <c r="H2861" s="7" t="s">
        <v>7156</v>
      </c>
      <c r="I2861" s="7"/>
      <c r="J2861" s="10">
        <v>46177</v>
      </c>
      <c r="K2861" s="7" t="s">
        <v>7164</v>
      </c>
      <c r="L2861" s="7"/>
      <c r="M2861" s="7"/>
    </row>
    <row r="2862" spans="1:13" x14ac:dyDescent="0.3">
      <c r="A2862" s="7">
        <v>11978</v>
      </c>
      <c r="B2862" s="7" t="s">
        <v>2870</v>
      </c>
      <c r="C2862" s="7" t="s">
        <v>6322</v>
      </c>
      <c r="D2862" s="7" t="s">
        <v>6724</v>
      </c>
      <c r="E2862" s="7" t="s">
        <v>6295</v>
      </c>
      <c r="F2862" s="7" t="s">
        <v>6725</v>
      </c>
      <c r="G2862" s="7" t="s">
        <v>7150</v>
      </c>
      <c r="H2862" s="7" t="s">
        <v>7156</v>
      </c>
      <c r="I2862" s="7"/>
      <c r="J2862" s="10">
        <v>43353</v>
      </c>
      <c r="K2862" s="7" t="s">
        <v>7164</v>
      </c>
      <c r="L2862" s="7"/>
      <c r="M2862" s="7"/>
    </row>
    <row r="2863" spans="1:13" x14ac:dyDescent="0.3">
      <c r="A2863" s="7">
        <v>12951</v>
      </c>
      <c r="B2863" s="7" t="s">
        <v>2871</v>
      </c>
      <c r="C2863" s="7" t="s">
        <v>6322</v>
      </c>
      <c r="D2863" s="7" t="s">
        <v>6724</v>
      </c>
      <c r="E2863" s="7" t="s">
        <v>6295</v>
      </c>
      <c r="F2863" s="7" t="s">
        <v>6725</v>
      </c>
      <c r="G2863" s="7" t="s">
        <v>7150</v>
      </c>
      <c r="H2863" s="7" t="s">
        <v>7156</v>
      </c>
      <c r="I2863" s="7"/>
      <c r="J2863" s="10">
        <v>44139</v>
      </c>
      <c r="K2863" s="7" t="s">
        <v>7164</v>
      </c>
      <c r="L2863" s="7"/>
      <c r="M2863" s="7"/>
    </row>
    <row r="2864" spans="1:13" x14ac:dyDescent="0.3">
      <c r="A2864" s="7">
        <v>13160</v>
      </c>
      <c r="B2864" s="7" t="s">
        <v>2872</v>
      </c>
      <c r="C2864" s="7" t="s">
        <v>6322</v>
      </c>
      <c r="D2864" s="7" t="s">
        <v>6724</v>
      </c>
      <c r="E2864" s="7" t="s">
        <v>6295</v>
      </c>
      <c r="F2864" s="7" t="s">
        <v>6725</v>
      </c>
      <c r="G2864" s="7" t="s">
        <v>7150</v>
      </c>
      <c r="H2864" s="7" t="s">
        <v>7156</v>
      </c>
      <c r="I2864" s="7"/>
      <c r="J2864" s="10">
        <v>44293</v>
      </c>
      <c r="K2864" s="7" t="s">
        <v>7164</v>
      </c>
      <c r="L2864" s="7"/>
      <c r="M2864" s="7"/>
    </row>
    <row r="2865" spans="1:13" x14ac:dyDescent="0.3">
      <c r="A2865" s="7">
        <v>11359</v>
      </c>
      <c r="B2865" s="7" t="s">
        <v>2873</v>
      </c>
      <c r="C2865" s="7" t="s">
        <v>6322</v>
      </c>
      <c r="D2865" s="7" t="s">
        <v>6724</v>
      </c>
      <c r="E2865" s="7" t="s">
        <v>6295</v>
      </c>
      <c r="F2865" s="7" t="s">
        <v>6414</v>
      </c>
      <c r="G2865" s="7" t="s">
        <v>7150</v>
      </c>
      <c r="H2865" s="7" t="s">
        <v>7156</v>
      </c>
      <c r="I2865" s="7"/>
      <c r="J2865" s="10">
        <v>42590</v>
      </c>
      <c r="K2865" s="7" t="s">
        <v>7164</v>
      </c>
      <c r="L2865" s="7"/>
      <c r="M2865" s="7"/>
    </row>
    <row r="2866" spans="1:13" x14ac:dyDescent="0.3">
      <c r="A2866" s="7">
        <v>12131</v>
      </c>
      <c r="B2866" s="7" t="s">
        <v>2874</v>
      </c>
      <c r="C2866" s="7" t="s">
        <v>6322</v>
      </c>
      <c r="D2866" s="7" t="s">
        <v>6724</v>
      </c>
      <c r="E2866" s="7" t="s">
        <v>6295</v>
      </c>
      <c r="F2866" s="7" t="s">
        <v>6725</v>
      </c>
      <c r="G2866" s="7" t="s">
        <v>7150</v>
      </c>
      <c r="H2866" s="7" t="s">
        <v>7156</v>
      </c>
      <c r="I2866" s="7"/>
      <c r="J2866" s="10">
        <v>43508</v>
      </c>
      <c r="K2866" s="7" t="s">
        <v>7164</v>
      </c>
      <c r="L2866" s="7"/>
      <c r="M2866" s="7"/>
    </row>
    <row r="2867" spans="1:13" x14ac:dyDescent="0.3">
      <c r="A2867" s="7">
        <v>17555</v>
      </c>
      <c r="B2867" s="7" t="s">
        <v>2875</v>
      </c>
      <c r="C2867" s="7" t="s">
        <v>6322</v>
      </c>
      <c r="D2867" s="7" t="s">
        <v>6724</v>
      </c>
      <c r="E2867" s="7" t="s">
        <v>6295</v>
      </c>
      <c r="F2867" s="7" t="s">
        <v>6725</v>
      </c>
      <c r="G2867" s="7" t="s">
        <v>7150</v>
      </c>
      <c r="H2867" s="7" t="s">
        <v>7156</v>
      </c>
      <c r="I2867" s="7"/>
      <c r="J2867" s="10">
        <v>45789</v>
      </c>
      <c r="K2867" s="7" t="s">
        <v>7164</v>
      </c>
      <c r="L2867" s="7"/>
      <c r="M2867" s="7"/>
    </row>
    <row r="2868" spans="1:13" x14ac:dyDescent="0.3">
      <c r="A2868" s="7">
        <v>13043</v>
      </c>
      <c r="B2868" s="7" t="s">
        <v>2876</v>
      </c>
      <c r="C2868" s="7" t="s">
        <v>6322</v>
      </c>
      <c r="D2868" s="7" t="s">
        <v>6724</v>
      </c>
      <c r="E2868" s="7" t="s">
        <v>6295</v>
      </c>
      <c r="F2868" s="7" t="s">
        <v>6725</v>
      </c>
      <c r="G2868" s="7" t="s">
        <v>7150</v>
      </c>
      <c r="H2868" s="7" t="s">
        <v>7156</v>
      </c>
      <c r="I2868" s="7"/>
      <c r="J2868" s="10">
        <v>44214</v>
      </c>
      <c r="K2868" s="7" t="s">
        <v>7164</v>
      </c>
      <c r="L2868" s="7"/>
      <c r="M2868" s="7"/>
    </row>
    <row r="2869" spans="1:13" x14ac:dyDescent="0.3">
      <c r="A2869" s="7">
        <v>13402</v>
      </c>
      <c r="B2869" s="7" t="s">
        <v>2877</v>
      </c>
      <c r="C2869" s="7" t="s">
        <v>6322</v>
      </c>
      <c r="D2869" s="7" t="s">
        <v>6724</v>
      </c>
      <c r="E2869" s="7" t="s">
        <v>6295</v>
      </c>
      <c r="F2869" s="7" t="s">
        <v>6725</v>
      </c>
      <c r="G2869" s="7" t="s">
        <v>7150</v>
      </c>
      <c r="H2869" s="7" t="s">
        <v>7156</v>
      </c>
      <c r="I2869" s="7"/>
      <c r="J2869" s="10">
        <v>44425</v>
      </c>
      <c r="K2869" s="7" t="s">
        <v>7164</v>
      </c>
      <c r="L2869" s="7"/>
      <c r="M2869" s="7"/>
    </row>
    <row r="2870" spans="1:13" x14ac:dyDescent="0.3">
      <c r="A2870" s="7">
        <v>15399</v>
      </c>
      <c r="B2870" s="7" t="s">
        <v>2878</v>
      </c>
      <c r="C2870" s="7" t="s">
        <v>6322</v>
      </c>
      <c r="D2870" s="7" t="s">
        <v>6724</v>
      </c>
      <c r="E2870" s="7" t="s">
        <v>6295</v>
      </c>
      <c r="F2870" s="7" t="s">
        <v>6725</v>
      </c>
      <c r="G2870" s="7" t="s">
        <v>7150</v>
      </c>
      <c r="H2870" s="7" t="s">
        <v>7156</v>
      </c>
      <c r="I2870" s="7"/>
      <c r="J2870" s="10">
        <v>45057</v>
      </c>
      <c r="K2870" s="7" t="s">
        <v>7164</v>
      </c>
      <c r="L2870" s="7"/>
      <c r="M2870" s="7"/>
    </row>
    <row r="2871" spans="1:13" x14ac:dyDescent="0.3">
      <c r="A2871" s="7">
        <v>17361</v>
      </c>
      <c r="B2871" s="7" t="s">
        <v>2879</v>
      </c>
      <c r="C2871" s="7" t="s">
        <v>6646</v>
      </c>
      <c r="D2871" s="7" t="s">
        <v>6708</v>
      </c>
      <c r="E2871" s="7" t="s">
        <v>6295</v>
      </c>
      <c r="F2871" s="7" t="s">
        <v>6725</v>
      </c>
      <c r="G2871" s="7" t="s">
        <v>7150</v>
      </c>
      <c r="H2871" s="7" t="s">
        <v>7156</v>
      </c>
      <c r="I2871" s="7"/>
      <c r="J2871" s="10">
        <v>45719</v>
      </c>
      <c r="K2871" s="7" t="s">
        <v>7164</v>
      </c>
      <c r="L2871" s="7"/>
      <c r="M2871" s="7"/>
    </row>
    <row r="2872" spans="1:13" x14ac:dyDescent="0.3">
      <c r="A2872" s="7">
        <v>16792</v>
      </c>
      <c r="B2872" s="7" t="s">
        <v>2880</v>
      </c>
      <c r="C2872" s="7" t="s">
        <v>6646</v>
      </c>
      <c r="D2872" s="7" t="s">
        <v>6708</v>
      </c>
      <c r="E2872" s="7" t="s">
        <v>6295</v>
      </c>
      <c r="F2872" s="7" t="s">
        <v>6726</v>
      </c>
      <c r="G2872" s="7" t="s">
        <v>7150</v>
      </c>
      <c r="H2872" s="7" t="s">
        <v>7156</v>
      </c>
      <c r="I2872" s="7"/>
      <c r="J2872" s="10">
        <v>45546</v>
      </c>
      <c r="K2872" s="7" t="s">
        <v>7164</v>
      </c>
      <c r="L2872" s="7"/>
      <c r="M2872" s="7"/>
    </row>
    <row r="2873" spans="1:13" x14ac:dyDescent="0.3">
      <c r="A2873" s="7">
        <v>18013</v>
      </c>
      <c r="B2873" s="7" t="s">
        <v>2881</v>
      </c>
      <c r="C2873" s="7" t="s">
        <v>6646</v>
      </c>
      <c r="D2873" s="7" t="s">
        <v>6708</v>
      </c>
      <c r="E2873" s="7" t="s">
        <v>6295</v>
      </c>
      <c r="F2873" s="7" t="s">
        <v>6726</v>
      </c>
      <c r="G2873" s="7" t="s">
        <v>7150</v>
      </c>
      <c r="H2873" s="7" t="s">
        <v>7156</v>
      </c>
      <c r="I2873" s="7"/>
      <c r="J2873" s="10">
        <v>45964</v>
      </c>
      <c r="K2873" s="7" t="s">
        <v>7164</v>
      </c>
      <c r="L2873" s="7"/>
      <c r="M2873" s="7"/>
    </row>
    <row r="2874" spans="1:13" x14ac:dyDescent="0.3">
      <c r="A2874" s="7">
        <v>18101</v>
      </c>
      <c r="B2874" s="7" t="s">
        <v>2882</v>
      </c>
      <c r="C2874" s="7" t="s">
        <v>6327</v>
      </c>
      <c r="D2874" s="7" t="s">
        <v>6724</v>
      </c>
      <c r="E2874" s="7" t="s">
        <v>6295</v>
      </c>
      <c r="F2874" s="7" t="s">
        <v>6726</v>
      </c>
      <c r="G2874" s="7" t="s">
        <v>7150</v>
      </c>
      <c r="H2874" s="7" t="s">
        <v>7156</v>
      </c>
      <c r="I2874" s="7"/>
      <c r="J2874" s="10">
        <v>45995</v>
      </c>
      <c r="K2874" s="7" t="s">
        <v>7164</v>
      </c>
      <c r="L2874" s="7"/>
      <c r="M2874" s="7"/>
    </row>
    <row r="2875" spans="1:13" x14ac:dyDescent="0.3">
      <c r="A2875" s="7">
        <v>17603</v>
      </c>
      <c r="B2875" s="7" t="s">
        <v>2883</v>
      </c>
      <c r="C2875" s="7" t="s">
        <v>6646</v>
      </c>
      <c r="D2875" s="7" t="s">
        <v>6708</v>
      </c>
      <c r="E2875" s="7" t="s">
        <v>6295</v>
      </c>
      <c r="F2875" s="7" t="s">
        <v>6324</v>
      </c>
      <c r="G2875" s="7" t="s">
        <v>7150</v>
      </c>
      <c r="H2875" s="7" t="s">
        <v>7156</v>
      </c>
      <c r="I2875" s="7"/>
      <c r="J2875" s="10">
        <v>45825</v>
      </c>
      <c r="K2875" s="7" t="s">
        <v>7164</v>
      </c>
      <c r="L2875" s="7"/>
      <c r="M2875" s="7"/>
    </row>
    <row r="2876" spans="1:13" x14ac:dyDescent="0.3">
      <c r="A2876" s="7">
        <v>18343</v>
      </c>
      <c r="B2876" s="7" t="s">
        <v>2884</v>
      </c>
      <c r="C2876" s="7" t="s">
        <v>6646</v>
      </c>
      <c r="D2876" s="7" t="s">
        <v>6708</v>
      </c>
      <c r="E2876" s="7" t="s">
        <v>6295</v>
      </c>
      <c r="F2876" s="7" t="s">
        <v>6726</v>
      </c>
      <c r="G2876" s="7" t="s">
        <v>7150</v>
      </c>
      <c r="H2876" s="7" t="s">
        <v>7156</v>
      </c>
      <c r="I2876" s="7"/>
      <c r="J2876" s="10">
        <v>46097</v>
      </c>
      <c r="K2876" s="7" t="s">
        <v>7164</v>
      </c>
      <c r="L2876" s="7"/>
      <c r="M2876" s="7"/>
    </row>
    <row r="2877" spans="1:13" x14ac:dyDescent="0.3">
      <c r="A2877" s="7">
        <v>17588</v>
      </c>
      <c r="B2877" s="7" t="s">
        <v>2885</v>
      </c>
      <c r="C2877" s="7" t="s">
        <v>6646</v>
      </c>
      <c r="D2877" s="7" t="s">
        <v>6708</v>
      </c>
      <c r="E2877" s="7" t="s">
        <v>6295</v>
      </c>
      <c r="F2877" s="7" t="s">
        <v>6324</v>
      </c>
      <c r="G2877" s="7" t="s">
        <v>7150</v>
      </c>
      <c r="H2877" s="7" t="s">
        <v>7156</v>
      </c>
      <c r="I2877" s="7"/>
      <c r="J2877" s="10">
        <v>45810</v>
      </c>
      <c r="K2877" s="7" t="s">
        <v>7164</v>
      </c>
      <c r="L2877" s="7"/>
      <c r="M2877" s="7"/>
    </row>
    <row r="2878" spans="1:13" x14ac:dyDescent="0.3">
      <c r="A2878" s="7">
        <v>16528</v>
      </c>
      <c r="B2878" s="7" t="s">
        <v>2886</v>
      </c>
      <c r="C2878" s="7" t="s">
        <v>6322</v>
      </c>
      <c r="D2878" s="7" t="s">
        <v>6724</v>
      </c>
      <c r="E2878" s="7" t="s">
        <v>6295</v>
      </c>
      <c r="F2878" s="7" t="s">
        <v>6726</v>
      </c>
      <c r="G2878" s="7" t="s">
        <v>7150</v>
      </c>
      <c r="H2878" s="7" t="s">
        <v>7156</v>
      </c>
      <c r="I2878" s="7"/>
      <c r="J2878" s="10">
        <v>45446</v>
      </c>
      <c r="K2878" s="7" t="s">
        <v>7164</v>
      </c>
      <c r="L2878" s="7"/>
      <c r="M2878" s="7"/>
    </row>
    <row r="2879" spans="1:13" x14ac:dyDescent="0.3">
      <c r="A2879" s="7">
        <v>18012</v>
      </c>
      <c r="B2879" s="7" t="s">
        <v>2887</v>
      </c>
      <c r="C2879" s="7" t="s">
        <v>6646</v>
      </c>
      <c r="D2879" s="7" t="s">
        <v>6708</v>
      </c>
      <c r="E2879" s="7" t="s">
        <v>6295</v>
      </c>
      <c r="F2879" s="7" t="s">
        <v>6726</v>
      </c>
      <c r="G2879" s="7" t="s">
        <v>7150</v>
      </c>
      <c r="H2879" s="7" t="s">
        <v>7156</v>
      </c>
      <c r="I2879" s="7"/>
      <c r="J2879" s="10">
        <v>45965</v>
      </c>
      <c r="K2879" s="7" t="s">
        <v>7164</v>
      </c>
      <c r="L2879" s="7"/>
      <c r="M2879" s="7"/>
    </row>
    <row r="2880" spans="1:13" x14ac:dyDescent="0.3">
      <c r="A2880" s="7">
        <v>18388</v>
      </c>
      <c r="B2880" s="7" t="s">
        <v>2888</v>
      </c>
      <c r="C2880" s="7" t="s">
        <v>6646</v>
      </c>
      <c r="D2880" s="7" t="s">
        <v>6708</v>
      </c>
      <c r="E2880" s="7" t="s">
        <v>6295</v>
      </c>
      <c r="F2880" s="7" t="s">
        <v>6726</v>
      </c>
      <c r="G2880" s="7" t="s">
        <v>7150</v>
      </c>
      <c r="H2880" s="7" t="s">
        <v>7156</v>
      </c>
      <c r="I2880" s="7"/>
      <c r="J2880" s="10">
        <v>46119</v>
      </c>
      <c r="K2880" s="7" t="s">
        <v>7164</v>
      </c>
      <c r="L2880" s="7"/>
      <c r="M2880" s="7"/>
    </row>
    <row r="2881" spans="1:13" x14ac:dyDescent="0.3">
      <c r="A2881" s="7">
        <v>17975</v>
      </c>
      <c r="B2881" s="7" t="s">
        <v>2889</v>
      </c>
      <c r="C2881" s="7" t="s">
        <v>6322</v>
      </c>
      <c r="D2881" s="7" t="s">
        <v>6724</v>
      </c>
      <c r="E2881" s="7" t="s">
        <v>6295</v>
      </c>
      <c r="F2881" s="7" t="s">
        <v>6726</v>
      </c>
      <c r="G2881" s="7" t="s">
        <v>7150</v>
      </c>
      <c r="H2881" s="7" t="s">
        <v>7156</v>
      </c>
      <c r="I2881" s="7"/>
      <c r="J2881" s="10">
        <v>45944</v>
      </c>
      <c r="K2881" s="7" t="s">
        <v>7164</v>
      </c>
      <c r="L2881" s="7"/>
      <c r="M2881" s="7"/>
    </row>
    <row r="2882" spans="1:13" x14ac:dyDescent="0.3">
      <c r="A2882" s="7">
        <v>17578</v>
      </c>
      <c r="B2882" s="7" t="s">
        <v>2890</v>
      </c>
      <c r="C2882" s="7" t="s">
        <v>6322</v>
      </c>
      <c r="D2882" s="7" t="s">
        <v>6724</v>
      </c>
      <c r="E2882" s="7" t="s">
        <v>6295</v>
      </c>
      <c r="F2882" s="7" t="s">
        <v>6726</v>
      </c>
      <c r="G2882" s="7" t="s">
        <v>7150</v>
      </c>
      <c r="H2882" s="7" t="s">
        <v>7156</v>
      </c>
      <c r="I2882" s="7"/>
      <c r="J2882" s="10">
        <v>45798</v>
      </c>
      <c r="K2882" s="7" t="s">
        <v>7164</v>
      </c>
      <c r="L2882" s="7"/>
      <c r="M2882" s="7"/>
    </row>
    <row r="2883" spans="1:13" x14ac:dyDescent="0.3">
      <c r="A2883" s="7">
        <v>13288</v>
      </c>
      <c r="B2883" s="7" t="s">
        <v>2891</v>
      </c>
      <c r="C2883" s="7" t="s">
        <v>6327</v>
      </c>
      <c r="D2883" s="7" t="s">
        <v>6724</v>
      </c>
      <c r="E2883" s="7" t="s">
        <v>6295</v>
      </c>
      <c r="F2883" s="7" t="s">
        <v>6324</v>
      </c>
      <c r="G2883" s="7" t="s">
        <v>7150</v>
      </c>
      <c r="H2883" s="7" t="s">
        <v>7156</v>
      </c>
      <c r="I2883" s="7"/>
      <c r="J2883" s="10">
        <v>44368</v>
      </c>
      <c r="K2883" s="7" t="s">
        <v>7164</v>
      </c>
      <c r="L2883" s="7"/>
      <c r="M2883" s="7"/>
    </row>
    <row r="2884" spans="1:13" x14ac:dyDescent="0.3">
      <c r="A2884" s="7">
        <v>17433</v>
      </c>
      <c r="B2884" s="7" t="s">
        <v>2892</v>
      </c>
      <c r="C2884" s="7" t="s">
        <v>6327</v>
      </c>
      <c r="D2884" s="7" t="s">
        <v>6724</v>
      </c>
      <c r="E2884" s="7" t="s">
        <v>6295</v>
      </c>
      <c r="F2884" s="7" t="s">
        <v>6726</v>
      </c>
      <c r="G2884" s="7" t="s">
        <v>7150</v>
      </c>
      <c r="H2884" s="7" t="s">
        <v>7156</v>
      </c>
      <c r="I2884" s="7"/>
      <c r="J2884" s="10">
        <v>45770</v>
      </c>
      <c r="K2884" s="7" t="s">
        <v>7164</v>
      </c>
      <c r="L2884" s="7"/>
      <c r="M2884" s="7"/>
    </row>
    <row r="2885" spans="1:13" x14ac:dyDescent="0.3">
      <c r="A2885" s="7">
        <v>13785</v>
      </c>
      <c r="B2885" s="7" t="s">
        <v>2893</v>
      </c>
      <c r="C2885" s="7" t="s">
        <v>6646</v>
      </c>
      <c r="D2885" s="7" t="s">
        <v>6708</v>
      </c>
      <c r="E2885" s="7" t="s">
        <v>6295</v>
      </c>
      <c r="F2885" s="7" t="s">
        <v>6324</v>
      </c>
      <c r="G2885" s="7" t="s">
        <v>7150</v>
      </c>
      <c r="H2885" s="7" t="s">
        <v>7156</v>
      </c>
      <c r="I2885" s="7"/>
      <c r="J2885" s="10">
        <v>44575</v>
      </c>
      <c r="K2885" s="7" t="s">
        <v>7164</v>
      </c>
      <c r="L2885" s="7"/>
      <c r="M2885" s="7"/>
    </row>
    <row r="2886" spans="1:13" x14ac:dyDescent="0.3">
      <c r="A2886" s="7">
        <v>13289</v>
      </c>
      <c r="B2886" s="7" t="s">
        <v>2894</v>
      </c>
      <c r="C2886" s="7" t="s">
        <v>6327</v>
      </c>
      <c r="D2886" s="7" t="s">
        <v>6724</v>
      </c>
      <c r="E2886" s="7" t="s">
        <v>6295</v>
      </c>
      <c r="F2886" s="7" t="s">
        <v>6726</v>
      </c>
      <c r="G2886" s="7" t="s">
        <v>7150</v>
      </c>
      <c r="H2886" s="7" t="s">
        <v>7156</v>
      </c>
      <c r="I2886" s="7"/>
      <c r="J2886" s="10">
        <v>44368</v>
      </c>
      <c r="K2886" s="7" t="s">
        <v>7164</v>
      </c>
      <c r="L2886" s="7"/>
      <c r="M2886" s="7"/>
    </row>
    <row r="2887" spans="1:13" x14ac:dyDescent="0.3">
      <c r="A2887" s="7">
        <v>16379</v>
      </c>
      <c r="B2887" s="7" t="s">
        <v>2895</v>
      </c>
      <c r="C2887" s="7" t="s">
        <v>6322</v>
      </c>
      <c r="D2887" s="7" t="s">
        <v>6724</v>
      </c>
      <c r="E2887" s="7" t="s">
        <v>6295</v>
      </c>
      <c r="F2887" s="7" t="s">
        <v>6726</v>
      </c>
      <c r="G2887" s="7" t="s">
        <v>7150</v>
      </c>
      <c r="H2887" s="7" t="s">
        <v>7156</v>
      </c>
      <c r="I2887" s="7"/>
      <c r="J2887" s="10">
        <v>45384</v>
      </c>
      <c r="K2887" s="7" t="s">
        <v>7164</v>
      </c>
      <c r="L2887" s="7"/>
      <c r="M2887" s="7"/>
    </row>
    <row r="2888" spans="1:13" x14ac:dyDescent="0.3">
      <c r="A2888" s="7">
        <v>11819</v>
      </c>
      <c r="B2888" s="7" t="s">
        <v>2896</v>
      </c>
      <c r="C2888" s="7" t="s">
        <v>6322</v>
      </c>
      <c r="D2888" s="7" t="s">
        <v>6724</v>
      </c>
      <c r="E2888" s="7" t="s">
        <v>6295</v>
      </c>
      <c r="F2888" s="7" t="s">
        <v>6414</v>
      </c>
      <c r="G2888" s="7" t="s">
        <v>7150</v>
      </c>
      <c r="H2888" s="7" t="s">
        <v>7156</v>
      </c>
      <c r="I2888" s="7"/>
      <c r="J2888" s="10">
        <v>43161</v>
      </c>
      <c r="K2888" s="7" t="s">
        <v>7164</v>
      </c>
      <c r="L2888" s="7"/>
      <c r="M2888" s="7"/>
    </row>
    <row r="2889" spans="1:13" x14ac:dyDescent="0.3">
      <c r="A2889" s="7">
        <v>12260</v>
      </c>
      <c r="B2889" s="7" t="s">
        <v>2897</v>
      </c>
      <c r="C2889" s="7" t="s">
        <v>6322</v>
      </c>
      <c r="D2889" s="7" t="s">
        <v>6724</v>
      </c>
      <c r="E2889" s="7" t="s">
        <v>6295</v>
      </c>
      <c r="F2889" s="7" t="s">
        <v>6725</v>
      </c>
      <c r="G2889" s="7" t="s">
        <v>7150</v>
      </c>
      <c r="H2889" s="7" t="s">
        <v>7156</v>
      </c>
      <c r="I2889" s="7"/>
      <c r="J2889" s="10">
        <v>43650</v>
      </c>
      <c r="K2889" s="7" t="s">
        <v>7164</v>
      </c>
      <c r="L2889" s="7"/>
      <c r="M2889" s="7"/>
    </row>
    <row r="2890" spans="1:13" x14ac:dyDescent="0.3">
      <c r="A2890" s="7">
        <v>12496</v>
      </c>
      <c r="B2890" s="7" t="s">
        <v>2898</v>
      </c>
      <c r="C2890" s="7" t="s">
        <v>6322</v>
      </c>
      <c r="D2890" s="7" t="s">
        <v>6724</v>
      </c>
      <c r="E2890" s="7" t="s">
        <v>6295</v>
      </c>
      <c r="F2890" s="7" t="s">
        <v>6725</v>
      </c>
      <c r="G2890" s="7" t="s">
        <v>7150</v>
      </c>
      <c r="H2890" s="7" t="s">
        <v>7156</v>
      </c>
      <c r="I2890" s="7"/>
      <c r="J2890" s="10">
        <v>43777</v>
      </c>
      <c r="K2890" s="7" t="s">
        <v>7164</v>
      </c>
      <c r="L2890" s="7"/>
      <c r="M2890" s="7"/>
    </row>
    <row r="2891" spans="1:13" x14ac:dyDescent="0.3">
      <c r="A2891" s="7">
        <v>17593</v>
      </c>
      <c r="B2891" s="7" t="s">
        <v>2899</v>
      </c>
      <c r="C2891" s="7" t="s">
        <v>6327</v>
      </c>
      <c r="D2891" s="7" t="s">
        <v>6724</v>
      </c>
      <c r="E2891" s="7" t="s">
        <v>6295</v>
      </c>
      <c r="F2891" s="7" t="s">
        <v>6725</v>
      </c>
      <c r="G2891" s="7" t="s">
        <v>7150</v>
      </c>
      <c r="H2891" s="7" t="s">
        <v>7156</v>
      </c>
      <c r="I2891" s="7"/>
      <c r="J2891" s="10">
        <v>45811</v>
      </c>
      <c r="K2891" s="7" t="s">
        <v>7164</v>
      </c>
      <c r="L2891" s="7"/>
      <c r="M2891" s="7"/>
    </row>
    <row r="2892" spans="1:13" x14ac:dyDescent="0.3">
      <c r="A2892" s="7">
        <v>12901</v>
      </c>
      <c r="B2892" s="7" t="s">
        <v>2900</v>
      </c>
      <c r="C2892" s="7" t="s">
        <v>6327</v>
      </c>
      <c r="D2892" s="7" t="s">
        <v>6724</v>
      </c>
      <c r="E2892" s="7" t="s">
        <v>6295</v>
      </c>
      <c r="F2892" s="7" t="s">
        <v>6728</v>
      </c>
      <c r="G2892" s="7" t="s">
        <v>7150</v>
      </c>
      <c r="H2892" s="7" t="s">
        <v>7156</v>
      </c>
      <c r="I2892" s="7"/>
      <c r="J2892" s="10">
        <v>44091</v>
      </c>
      <c r="K2892" s="7" t="s">
        <v>7164</v>
      </c>
      <c r="L2892" s="7"/>
      <c r="M2892" s="7"/>
    </row>
    <row r="2893" spans="1:13" x14ac:dyDescent="0.3">
      <c r="A2893" s="7">
        <v>11975</v>
      </c>
      <c r="B2893" s="7" t="s">
        <v>2901</v>
      </c>
      <c r="C2893" s="7" t="s">
        <v>6327</v>
      </c>
      <c r="D2893" s="7" t="s">
        <v>6724</v>
      </c>
      <c r="E2893" s="7" t="s">
        <v>6295</v>
      </c>
      <c r="F2893" s="7" t="s">
        <v>6726</v>
      </c>
      <c r="G2893" s="7" t="s">
        <v>7150</v>
      </c>
      <c r="H2893" s="7" t="s">
        <v>7156</v>
      </c>
      <c r="I2893" s="7"/>
      <c r="J2893" s="10">
        <v>43347</v>
      </c>
      <c r="K2893" s="7" t="s">
        <v>7164</v>
      </c>
      <c r="L2893" s="7"/>
      <c r="M2893" s="7"/>
    </row>
    <row r="2894" spans="1:13" x14ac:dyDescent="0.3">
      <c r="A2894" s="7">
        <v>14762</v>
      </c>
      <c r="B2894" s="7" t="s">
        <v>2902</v>
      </c>
      <c r="C2894" s="7" t="s">
        <v>6327</v>
      </c>
      <c r="D2894" s="7" t="s">
        <v>6724</v>
      </c>
      <c r="E2894" s="7" t="s">
        <v>6295</v>
      </c>
      <c r="F2894" s="7" t="s">
        <v>6726</v>
      </c>
      <c r="G2894" s="7" t="s">
        <v>7150</v>
      </c>
      <c r="H2894" s="7" t="s">
        <v>7156</v>
      </c>
      <c r="I2894" s="7"/>
      <c r="J2894" s="10">
        <v>44852</v>
      </c>
      <c r="K2894" s="7" t="s">
        <v>7164</v>
      </c>
      <c r="L2894" s="7"/>
      <c r="M2894" s="7"/>
    </row>
    <row r="2895" spans="1:13" x14ac:dyDescent="0.3">
      <c r="A2895" s="7">
        <v>17938</v>
      </c>
      <c r="B2895" s="7" t="s">
        <v>2903</v>
      </c>
      <c r="C2895" s="7" t="s">
        <v>6327</v>
      </c>
      <c r="D2895" s="7" t="s">
        <v>6724</v>
      </c>
      <c r="E2895" s="7" t="s">
        <v>6295</v>
      </c>
      <c r="F2895" s="7" t="s">
        <v>6726</v>
      </c>
      <c r="G2895" s="7" t="s">
        <v>7150</v>
      </c>
      <c r="H2895" s="7" t="s">
        <v>7156</v>
      </c>
      <c r="I2895" s="7"/>
      <c r="J2895" s="10">
        <v>45931</v>
      </c>
      <c r="K2895" s="7" t="s">
        <v>7164</v>
      </c>
      <c r="L2895" s="7"/>
      <c r="M2895" s="7"/>
    </row>
    <row r="2896" spans="1:13" x14ac:dyDescent="0.3">
      <c r="A2896" s="7">
        <v>15313</v>
      </c>
      <c r="B2896" s="7" t="s">
        <v>2904</v>
      </c>
      <c r="C2896" s="7" t="s">
        <v>6327</v>
      </c>
      <c r="D2896" s="7" t="s">
        <v>6724</v>
      </c>
      <c r="E2896" s="7" t="s">
        <v>6295</v>
      </c>
      <c r="F2896" s="7" t="s">
        <v>6725</v>
      </c>
      <c r="G2896" s="7" t="s">
        <v>7150</v>
      </c>
      <c r="H2896" s="7" t="s">
        <v>7156</v>
      </c>
      <c r="I2896" s="7"/>
      <c r="J2896" s="10">
        <v>45023</v>
      </c>
      <c r="K2896" s="7" t="s">
        <v>7164</v>
      </c>
      <c r="L2896" s="7"/>
      <c r="M2896" s="7"/>
    </row>
    <row r="2897" spans="1:13" x14ac:dyDescent="0.3">
      <c r="A2897" s="7">
        <v>13886</v>
      </c>
      <c r="B2897" s="7" t="s">
        <v>2905</v>
      </c>
      <c r="C2897" s="7" t="s">
        <v>6627</v>
      </c>
      <c r="D2897" s="7" t="s">
        <v>6295</v>
      </c>
      <c r="E2897" s="7" t="s">
        <v>6295</v>
      </c>
      <c r="F2897" s="7" t="s">
        <v>6728</v>
      </c>
      <c r="G2897" s="7" t="s">
        <v>7150</v>
      </c>
      <c r="H2897" s="7" t="s">
        <v>7156</v>
      </c>
      <c r="I2897" s="7"/>
      <c r="J2897" s="10">
        <v>44616</v>
      </c>
      <c r="K2897" s="7" t="s">
        <v>7164</v>
      </c>
      <c r="L2897" s="7"/>
      <c r="M2897" s="7"/>
    </row>
    <row r="2898" spans="1:13" x14ac:dyDescent="0.3">
      <c r="A2898" s="7">
        <v>15363</v>
      </c>
      <c r="B2898" s="7" t="s">
        <v>2906</v>
      </c>
      <c r="C2898" s="7" t="s">
        <v>6322</v>
      </c>
      <c r="D2898" s="7" t="s">
        <v>6724</v>
      </c>
      <c r="E2898" s="7" t="s">
        <v>6295</v>
      </c>
      <c r="F2898" s="7" t="s">
        <v>6726</v>
      </c>
      <c r="G2898" s="7" t="s">
        <v>7150</v>
      </c>
      <c r="H2898" s="7" t="s">
        <v>7156</v>
      </c>
      <c r="I2898" s="7"/>
      <c r="J2898" s="10">
        <v>45047</v>
      </c>
      <c r="K2898" s="7" t="s">
        <v>7164</v>
      </c>
      <c r="L2898" s="7"/>
      <c r="M2898" s="7"/>
    </row>
    <row r="2899" spans="1:13" x14ac:dyDescent="0.3">
      <c r="A2899" s="7">
        <v>17575</v>
      </c>
      <c r="B2899" s="7" t="s">
        <v>2907</v>
      </c>
      <c r="C2899" s="7" t="s">
        <v>6322</v>
      </c>
      <c r="D2899" s="7" t="s">
        <v>6724</v>
      </c>
      <c r="E2899" s="7" t="s">
        <v>6295</v>
      </c>
      <c r="F2899" s="7" t="s">
        <v>6716</v>
      </c>
      <c r="G2899" s="7" t="s">
        <v>7150</v>
      </c>
      <c r="H2899" s="7" t="s">
        <v>7156</v>
      </c>
      <c r="I2899" s="7"/>
      <c r="J2899" s="10">
        <v>45796</v>
      </c>
      <c r="K2899" s="7" t="s">
        <v>7164</v>
      </c>
      <c r="L2899" s="7"/>
      <c r="M2899" s="7"/>
    </row>
    <row r="2900" spans="1:13" x14ac:dyDescent="0.3">
      <c r="A2900" s="7">
        <v>13784</v>
      </c>
      <c r="B2900" s="7" t="s">
        <v>2908</v>
      </c>
      <c r="C2900" s="7" t="s">
        <v>6646</v>
      </c>
      <c r="D2900" s="7" t="s">
        <v>6708</v>
      </c>
      <c r="E2900" s="7" t="s">
        <v>6295</v>
      </c>
      <c r="F2900" s="7" t="s">
        <v>6726</v>
      </c>
      <c r="G2900" s="7" t="s">
        <v>7150</v>
      </c>
      <c r="H2900" s="7" t="s">
        <v>7156</v>
      </c>
      <c r="I2900" s="7"/>
      <c r="J2900" s="10">
        <v>44575</v>
      </c>
      <c r="K2900" s="7" t="s">
        <v>7164</v>
      </c>
      <c r="L2900" s="7"/>
      <c r="M2900" s="7"/>
    </row>
    <row r="2901" spans="1:13" x14ac:dyDescent="0.3">
      <c r="A2901" s="7">
        <v>18366</v>
      </c>
      <c r="B2901" s="7" t="s">
        <v>2909</v>
      </c>
      <c r="C2901" s="7" t="s">
        <v>6322</v>
      </c>
      <c r="D2901" s="7" t="s">
        <v>6724</v>
      </c>
      <c r="E2901" s="7" t="s">
        <v>6295</v>
      </c>
      <c r="F2901" s="7" t="s">
        <v>6726</v>
      </c>
      <c r="G2901" s="7" t="s">
        <v>7150</v>
      </c>
      <c r="H2901" s="7" t="s">
        <v>7156</v>
      </c>
      <c r="I2901" s="7"/>
      <c r="J2901" s="10">
        <v>46114</v>
      </c>
      <c r="K2901" s="7" t="s">
        <v>7164</v>
      </c>
      <c r="L2901" s="7"/>
      <c r="M2901" s="7"/>
    </row>
    <row r="2902" spans="1:13" x14ac:dyDescent="0.3">
      <c r="A2902" s="7">
        <v>13787</v>
      </c>
      <c r="B2902" s="7" t="s">
        <v>2910</v>
      </c>
      <c r="C2902" s="7" t="s">
        <v>6322</v>
      </c>
      <c r="D2902" s="7" t="s">
        <v>6724</v>
      </c>
      <c r="E2902" s="7" t="s">
        <v>6295</v>
      </c>
      <c r="F2902" s="7" t="s">
        <v>6726</v>
      </c>
      <c r="G2902" s="7" t="s">
        <v>7150</v>
      </c>
      <c r="H2902" s="7" t="s">
        <v>7156</v>
      </c>
      <c r="I2902" s="7"/>
      <c r="J2902" s="10">
        <v>44575</v>
      </c>
      <c r="K2902" s="7" t="s">
        <v>7164</v>
      </c>
      <c r="L2902" s="7"/>
      <c r="M2902" s="7"/>
    </row>
    <row r="2903" spans="1:13" x14ac:dyDescent="0.3">
      <c r="A2903" s="7">
        <v>17967</v>
      </c>
      <c r="B2903" s="7" t="s">
        <v>2911</v>
      </c>
      <c r="C2903" s="7" t="s">
        <v>6327</v>
      </c>
      <c r="D2903" s="7" t="s">
        <v>6724</v>
      </c>
      <c r="E2903" s="7" t="s">
        <v>6295</v>
      </c>
      <c r="F2903" s="7" t="s">
        <v>6726</v>
      </c>
      <c r="G2903" s="7" t="s">
        <v>7150</v>
      </c>
      <c r="H2903" s="7" t="s">
        <v>7156</v>
      </c>
      <c r="I2903" s="7"/>
      <c r="J2903" s="10">
        <v>45943</v>
      </c>
      <c r="K2903" s="7" t="s">
        <v>7164</v>
      </c>
      <c r="L2903" s="7"/>
      <c r="M2903" s="7"/>
    </row>
    <row r="2904" spans="1:13" x14ac:dyDescent="0.3">
      <c r="A2904" s="7">
        <v>13783</v>
      </c>
      <c r="B2904" s="7" t="s">
        <v>2912</v>
      </c>
      <c r="C2904" s="7" t="s">
        <v>6646</v>
      </c>
      <c r="D2904" s="7" t="s">
        <v>6708</v>
      </c>
      <c r="E2904" s="7" t="s">
        <v>6295</v>
      </c>
      <c r="F2904" s="7" t="s">
        <v>6726</v>
      </c>
      <c r="G2904" s="7" t="s">
        <v>7150</v>
      </c>
      <c r="H2904" s="7" t="s">
        <v>7156</v>
      </c>
      <c r="I2904" s="7"/>
      <c r="J2904" s="10">
        <v>44575</v>
      </c>
      <c r="K2904" s="7" t="s">
        <v>7164</v>
      </c>
      <c r="L2904" s="7"/>
      <c r="M2904" s="7"/>
    </row>
    <row r="2905" spans="1:13" x14ac:dyDescent="0.3">
      <c r="A2905" s="7">
        <v>14302</v>
      </c>
      <c r="B2905" s="7" t="s">
        <v>2913</v>
      </c>
      <c r="C2905" s="7" t="s">
        <v>6646</v>
      </c>
      <c r="D2905" s="7" t="s">
        <v>6708</v>
      </c>
      <c r="E2905" s="7" t="s">
        <v>6295</v>
      </c>
      <c r="F2905" s="7" t="s">
        <v>6414</v>
      </c>
      <c r="G2905" s="7" t="s">
        <v>7150</v>
      </c>
      <c r="H2905" s="7" t="s">
        <v>7156</v>
      </c>
      <c r="I2905" s="7"/>
      <c r="J2905" s="10">
        <v>44721</v>
      </c>
      <c r="K2905" s="7" t="s">
        <v>7164</v>
      </c>
      <c r="L2905" s="7"/>
      <c r="M2905" s="7"/>
    </row>
    <row r="2906" spans="1:13" x14ac:dyDescent="0.3">
      <c r="A2906" s="7">
        <v>12421</v>
      </c>
      <c r="B2906" s="7" t="s">
        <v>2914</v>
      </c>
      <c r="C2906" s="7" t="s">
        <v>6646</v>
      </c>
      <c r="D2906" s="7" t="s">
        <v>6708</v>
      </c>
      <c r="E2906" s="7" t="s">
        <v>6295</v>
      </c>
      <c r="F2906" s="7" t="s">
        <v>6716</v>
      </c>
      <c r="G2906" s="7" t="s">
        <v>7150</v>
      </c>
      <c r="H2906" s="7" t="s">
        <v>7156</v>
      </c>
      <c r="I2906" s="7"/>
      <c r="J2906" s="10">
        <v>43740</v>
      </c>
      <c r="K2906" s="7" t="s">
        <v>7164</v>
      </c>
      <c r="L2906" s="7"/>
      <c r="M2906" s="7"/>
    </row>
    <row r="2907" spans="1:13" x14ac:dyDescent="0.3">
      <c r="A2907" s="7">
        <v>15603</v>
      </c>
      <c r="B2907" s="7" t="s">
        <v>2915</v>
      </c>
      <c r="C2907" s="7" t="s">
        <v>6646</v>
      </c>
      <c r="D2907" s="7" t="s">
        <v>6708</v>
      </c>
      <c r="E2907" s="7" t="s">
        <v>6295</v>
      </c>
      <c r="F2907" s="7" t="s">
        <v>6730</v>
      </c>
      <c r="G2907" s="7" t="s">
        <v>7150</v>
      </c>
      <c r="H2907" s="7" t="s">
        <v>7156</v>
      </c>
      <c r="I2907" s="7"/>
      <c r="J2907" s="10">
        <v>45133</v>
      </c>
      <c r="K2907" s="7" t="s">
        <v>7164</v>
      </c>
      <c r="L2907" s="7"/>
      <c r="M2907" s="7"/>
    </row>
    <row r="2908" spans="1:13" x14ac:dyDescent="0.3">
      <c r="A2908" s="7">
        <v>16696</v>
      </c>
      <c r="B2908" s="7" t="s">
        <v>2916</v>
      </c>
      <c r="C2908" s="7" t="s">
        <v>6646</v>
      </c>
      <c r="D2908" s="7" t="s">
        <v>6708</v>
      </c>
      <c r="E2908" s="7" t="s">
        <v>6295</v>
      </c>
      <c r="F2908" s="7" t="s">
        <v>6730</v>
      </c>
      <c r="G2908" s="7" t="s">
        <v>7150</v>
      </c>
      <c r="H2908" s="7" t="s">
        <v>7156</v>
      </c>
      <c r="I2908" s="7"/>
      <c r="J2908" s="10">
        <v>45527</v>
      </c>
      <c r="K2908" s="7" t="s">
        <v>7164</v>
      </c>
      <c r="L2908" s="7"/>
      <c r="M2908" s="7"/>
    </row>
    <row r="2909" spans="1:13" x14ac:dyDescent="0.3">
      <c r="A2909" s="7">
        <v>18402</v>
      </c>
      <c r="B2909" s="7" t="s">
        <v>2917</v>
      </c>
      <c r="C2909" s="7" t="s">
        <v>6327</v>
      </c>
      <c r="D2909" s="7" t="s">
        <v>6724</v>
      </c>
      <c r="E2909" s="7" t="s">
        <v>6295</v>
      </c>
      <c r="F2909" s="7" t="s">
        <v>6730</v>
      </c>
      <c r="G2909" s="7" t="s">
        <v>7150</v>
      </c>
      <c r="H2909" s="7" t="s">
        <v>7156</v>
      </c>
      <c r="I2909" s="7"/>
      <c r="J2909" s="10">
        <v>46136</v>
      </c>
      <c r="K2909" s="7" t="s">
        <v>7164</v>
      </c>
      <c r="L2909" s="7"/>
      <c r="M2909" s="7"/>
    </row>
    <row r="2910" spans="1:13" x14ac:dyDescent="0.3">
      <c r="A2910" s="7">
        <v>18436</v>
      </c>
      <c r="B2910" s="7" t="s">
        <v>2918</v>
      </c>
      <c r="C2910" s="7" t="s">
        <v>6327</v>
      </c>
      <c r="D2910" s="7" t="s">
        <v>6724</v>
      </c>
      <c r="E2910" s="7" t="s">
        <v>6295</v>
      </c>
      <c r="F2910" s="7" t="s">
        <v>6725</v>
      </c>
      <c r="G2910" s="7" t="s">
        <v>7150</v>
      </c>
      <c r="H2910" s="7" t="s">
        <v>7156</v>
      </c>
      <c r="I2910" s="7"/>
      <c r="J2910" s="10">
        <v>46143</v>
      </c>
      <c r="K2910" s="7" t="s">
        <v>7164</v>
      </c>
      <c r="L2910" s="7"/>
      <c r="M2910" s="7"/>
    </row>
    <row r="2911" spans="1:13" x14ac:dyDescent="0.3">
      <c r="A2911" s="7">
        <v>13794</v>
      </c>
      <c r="B2911" s="7" t="s">
        <v>2919</v>
      </c>
      <c r="C2911" s="7" t="s">
        <v>6646</v>
      </c>
      <c r="D2911" s="7" t="s">
        <v>6708</v>
      </c>
      <c r="E2911" s="7" t="s">
        <v>6295</v>
      </c>
      <c r="F2911" s="7" t="s">
        <v>6730</v>
      </c>
      <c r="G2911" s="7" t="s">
        <v>7150</v>
      </c>
      <c r="H2911" s="7" t="s">
        <v>7156</v>
      </c>
      <c r="I2911" s="7"/>
      <c r="J2911" s="10">
        <v>44579</v>
      </c>
      <c r="K2911" s="7" t="s">
        <v>7164</v>
      </c>
      <c r="L2911" s="7"/>
      <c r="M2911" s="7"/>
    </row>
    <row r="2912" spans="1:13" x14ac:dyDescent="0.3">
      <c r="A2912" s="7">
        <v>13786</v>
      </c>
      <c r="B2912" s="7" t="s">
        <v>2920</v>
      </c>
      <c r="C2912" s="7" t="s">
        <v>6322</v>
      </c>
      <c r="D2912" s="7" t="s">
        <v>6724</v>
      </c>
      <c r="E2912" s="7" t="s">
        <v>6295</v>
      </c>
      <c r="F2912" s="7" t="s">
        <v>6730</v>
      </c>
      <c r="G2912" s="7" t="s">
        <v>7150</v>
      </c>
      <c r="H2912" s="7" t="s">
        <v>7156</v>
      </c>
      <c r="I2912" s="7"/>
      <c r="J2912" s="10">
        <v>44575</v>
      </c>
      <c r="K2912" s="7" t="s">
        <v>7164</v>
      </c>
      <c r="L2912" s="7"/>
      <c r="M2912" s="7"/>
    </row>
    <row r="2913" spans="1:13" x14ac:dyDescent="0.3">
      <c r="A2913" s="7">
        <v>16615</v>
      </c>
      <c r="B2913" s="7" t="s">
        <v>2921</v>
      </c>
      <c r="C2913" s="7" t="s">
        <v>6646</v>
      </c>
      <c r="D2913" s="7" t="s">
        <v>6708</v>
      </c>
      <c r="E2913" s="7" t="s">
        <v>6295</v>
      </c>
      <c r="F2913" s="7" t="s">
        <v>6730</v>
      </c>
      <c r="G2913" s="7" t="s">
        <v>7150</v>
      </c>
      <c r="H2913" s="7" t="s">
        <v>7156</v>
      </c>
      <c r="I2913" s="7"/>
      <c r="J2913" s="10">
        <v>45497</v>
      </c>
      <c r="K2913" s="7" t="s">
        <v>7164</v>
      </c>
      <c r="L2913" s="7"/>
      <c r="M2913" s="7"/>
    </row>
    <row r="2914" spans="1:13" x14ac:dyDescent="0.3">
      <c r="A2914" s="7">
        <v>16175</v>
      </c>
      <c r="B2914" s="7" t="s">
        <v>2922</v>
      </c>
      <c r="C2914" s="7" t="s">
        <v>6322</v>
      </c>
      <c r="D2914" s="7" t="s">
        <v>6724</v>
      </c>
      <c r="E2914" s="7" t="s">
        <v>6295</v>
      </c>
      <c r="F2914" s="7" t="s">
        <v>6730</v>
      </c>
      <c r="G2914" s="7" t="s">
        <v>7150</v>
      </c>
      <c r="H2914" s="7" t="s">
        <v>7156</v>
      </c>
      <c r="I2914" s="7"/>
      <c r="J2914" s="10">
        <v>45310</v>
      </c>
      <c r="K2914" s="7" t="s">
        <v>7164</v>
      </c>
      <c r="L2914" s="7"/>
      <c r="M2914" s="7"/>
    </row>
    <row r="2915" spans="1:13" x14ac:dyDescent="0.3">
      <c r="A2915" s="7">
        <v>19277</v>
      </c>
      <c r="B2915" s="7" t="s">
        <v>2923</v>
      </c>
      <c r="C2915" s="7" t="s">
        <v>6322</v>
      </c>
      <c r="D2915" s="7" t="s">
        <v>6724</v>
      </c>
      <c r="E2915" s="7" t="s">
        <v>6295</v>
      </c>
      <c r="F2915" s="7" t="s">
        <v>6730</v>
      </c>
      <c r="G2915" s="7" t="s">
        <v>7150</v>
      </c>
      <c r="H2915" s="7" t="s">
        <v>7156</v>
      </c>
      <c r="I2915" s="7"/>
      <c r="J2915" s="10">
        <v>46296</v>
      </c>
      <c r="K2915" s="7" t="s">
        <v>7164</v>
      </c>
      <c r="L2915" s="7"/>
      <c r="M2915" s="7"/>
    </row>
    <row r="2916" spans="1:13" x14ac:dyDescent="0.3">
      <c r="A2916" s="7">
        <v>15377</v>
      </c>
      <c r="B2916" s="7" t="s">
        <v>2924</v>
      </c>
      <c r="C2916" s="7" t="s">
        <v>6327</v>
      </c>
      <c r="D2916" s="7" t="s">
        <v>6724</v>
      </c>
      <c r="E2916" s="7" t="s">
        <v>6295</v>
      </c>
      <c r="F2916" s="7" t="s">
        <v>6712</v>
      </c>
      <c r="G2916" s="7" t="s">
        <v>7150</v>
      </c>
      <c r="H2916" s="7" t="s">
        <v>7156</v>
      </c>
      <c r="I2916" s="7"/>
      <c r="J2916" s="10">
        <v>45050</v>
      </c>
      <c r="K2916" s="7" t="s">
        <v>7164</v>
      </c>
      <c r="L2916" s="7"/>
      <c r="M2916" s="7"/>
    </row>
    <row r="2917" spans="1:13" x14ac:dyDescent="0.3">
      <c r="A2917" s="7">
        <v>18094</v>
      </c>
      <c r="B2917" s="7" t="s">
        <v>2925</v>
      </c>
      <c r="C2917" s="7" t="s">
        <v>6327</v>
      </c>
      <c r="D2917" s="7" t="s">
        <v>6724</v>
      </c>
      <c r="E2917" s="7" t="s">
        <v>6295</v>
      </c>
      <c r="F2917" s="7" t="s">
        <v>6730</v>
      </c>
      <c r="G2917" s="7" t="s">
        <v>7150</v>
      </c>
      <c r="H2917" s="7" t="s">
        <v>7156</v>
      </c>
      <c r="I2917" s="7"/>
      <c r="J2917" s="10">
        <v>45987</v>
      </c>
      <c r="K2917" s="7" t="s">
        <v>7164</v>
      </c>
      <c r="L2917" s="7"/>
      <c r="M2917" s="7"/>
    </row>
    <row r="2918" spans="1:13" x14ac:dyDescent="0.3">
      <c r="A2918" s="7">
        <v>18142</v>
      </c>
      <c r="B2918" s="7" t="s">
        <v>2926</v>
      </c>
      <c r="C2918" s="7" t="s">
        <v>6322</v>
      </c>
      <c r="D2918" s="7" t="s">
        <v>6724</v>
      </c>
      <c r="E2918" s="7" t="s">
        <v>6295</v>
      </c>
      <c r="F2918" s="7" t="s">
        <v>6730</v>
      </c>
      <c r="G2918" s="7" t="s">
        <v>7150</v>
      </c>
      <c r="H2918" s="7" t="s">
        <v>7156</v>
      </c>
      <c r="I2918" s="7"/>
      <c r="J2918" s="10">
        <v>46010</v>
      </c>
      <c r="K2918" s="7" t="s">
        <v>7164</v>
      </c>
      <c r="L2918" s="7"/>
      <c r="M2918" s="7"/>
    </row>
    <row r="2919" spans="1:13" x14ac:dyDescent="0.3">
      <c r="A2919" s="7">
        <v>13013</v>
      </c>
      <c r="B2919" s="7" t="s">
        <v>2927</v>
      </c>
      <c r="C2919" s="7" t="s">
        <v>6646</v>
      </c>
      <c r="D2919" s="7" t="s">
        <v>6708</v>
      </c>
      <c r="E2919" s="7" t="s">
        <v>6295</v>
      </c>
      <c r="F2919" s="7" t="s">
        <v>6730</v>
      </c>
      <c r="G2919" s="7" t="s">
        <v>7150</v>
      </c>
      <c r="H2919" s="7" t="s">
        <v>7156</v>
      </c>
      <c r="I2919" s="7"/>
      <c r="J2919" s="10">
        <v>44202</v>
      </c>
      <c r="K2919" s="7" t="s">
        <v>7164</v>
      </c>
      <c r="L2919" s="7"/>
      <c r="M2919" s="7"/>
    </row>
    <row r="2920" spans="1:13" x14ac:dyDescent="0.3">
      <c r="A2920" s="7">
        <v>17358</v>
      </c>
      <c r="B2920" s="7" t="s">
        <v>2928</v>
      </c>
      <c r="C2920" s="7" t="s">
        <v>6327</v>
      </c>
      <c r="D2920" s="7" t="s">
        <v>6724</v>
      </c>
      <c r="E2920" s="7" t="s">
        <v>6295</v>
      </c>
      <c r="F2920" s="7" t="s">
        <v>6730</v>
      </c>
      <c r="G2920" s="7" t="s">
        <v>7150</v>
      </c>
      <c r="H2920" s="7" t="s">
        <v>7156</v>
      </c>
      <c r="I2920" s="7"/>
      <c r="J2920" s="10">
        <v>45720</v>
      </c>
      <c r="K2920" s="7" t="s">
        <v>7164</v>
      </c>
      <c r="L2920" s="7"/>
      <c r="M2920" s="7"/>
    </row>
    <row r="2921" spans="1:13" x14ac:dyDescent="0.3">
      <c r="A2921" s="7">
        <v>18010</v>
      </c>
      <c r="B2921" s="7" t="s">
        <v>2929</v>
      </c>
      <c r="C2921" s="7" t="s">
        <v>6322</v>
      </c>
      <c r="D2921" s="7" t="s">
        <v>6724</v>
      </c>
      <c r="E2921" s="7" t="s">
        <v>6295</v>
      </c>
      <c r="F2921" s="7" t="s">
        <v>6730</v>
      </c>
      <c r="G2921" s="7" t="s">
        <v>7150</v>
      </c>
      <c r="H2921" s="7" t="s">
        <v>7156</v>
      </c>
      <c r="I2921" s="7"/>
      <c r="J2921" s="10">
        <v>45964</v>
      </c>
      <c r="K2921" s="7" t="s">
        <v>7164</v>
      </c>
      <c r="L2921" s="7"/>
      <c r="M2921" s="7"/>
    </row>
    <row r="2922" spans="1:13" x14ac:dyDescent="0.3">
      <c r="A2922" s="7">
        <v>14362</v>
      </c>
      <c r="B2922" s="7" t="s">
        <v>2930</v>
      </c>
      <c r="C2922" s="7" t="s">
        <v>6646</v>
      </c>
      <c r="D2922" s="7" t="s">
        <v>6708</v>
      </c>
      <c r="E2922" s="7" t="s">
        <v>6295</v>
      </c>
      <c r="F2922" s="7" t="s">
        <v>6730</v>
      </c>
      <c r="G2922" s="7" t="s">
        <v>7150</v>
      </c>
      <c r="H2922" s="7" t="s">
        <v>7156</v>
      </c>
      <c r="I2922" s="7"/>
      <c r="J2922" s="10">
        <v>44743</v>
      </c>
      <c r="K2922" s="7" t="s">
        <v>7164</v>
      </c>
      <c r="L2922" s="7"/>
      <c r="M2922" s="7"/>
    </row>
    <row r="2923" spans="1:13" x14ac:dyDescent="0.3">
      <c r="A2923" s="7">
        <v>18315</v>
      </c>
      <c r="B2923" s="7" t="s">
        <v>2931</v>
      </c>
      <c r="C2923" s="7" t="s">
        <v>6327</v>
      </c>
      <c r="D2923" s="7" t="s">
        <v>6724</v>
      </c>
      <c r="E2923" s="7" t="s">
        <v>6295</v>
      </c>
      <c r="F2923" s="7" t="s">
        <v>6730</v>
      </c>
      <c r="G2923" s="7" t="s">
        <v>7150</v>
      </c>
      <c r="H2923" s="7" t="s">
        <v>7156</v>
      </c>
      <c r="I2923" s="7"/>
      <c r="J2923" s="10">
        <v>46086</v>
      </c>
      <c r="K2923" s="7" t="s">
        <v>7164</v>
      </c>
      <c r="L2923" s="7"/>
      <c r="M2923" s="7"/>
    </row>
    <row r="2924" spans="1:13" x14ac:dyDescent="0.3">
      <c r="A2924" s="7">
        <v>16776</v>
      </c>
      <c r="B2924" s="7" t="s">
        <v>2932</v>
      </c>
      <c r="C2924" s="7" t="s">
        <v>6322</v>
      </c>
      <c r="D2924" s="7" t="s">
        <v>6724</v>
      </c>
      <c r="E2924" s="7" t="s">
        <v>6295</v>
      </c>
      <c r="F2924" s="7" t="s">
        <v>6730</v>
      </c>
      <c r="G2924" s="7" t="s">
        <v>7150</v>
      </c>
      <c r="H2924" s="7" t="s">
        <v>7156</v>
      </c>
      <c r="I2924" s="7"/>
      <c r="J2924" s="10">
        <v>45552</v>
      </c>
      <c r="K2924" s="7" t="s">
        <v>7164</v>
      </c>
      <c r="L2924" s="7"/>
      <c r="M2924" s="7"/>
    </row>
    <row r="2925" spans="1:13" x14ac:dyDescent="0.3">
      <c r="A2925" s="7">
        <v>16821</v>
      </c>
      <c r="B2925" s="7" t="s">
        <v>2933</v>
      </c>
      <c r="C2925" s="7" t="s">
        <v>6327</v>
      </c>
      <c r="D2925" s="7" t="s">
        <v>6724</v>
      </c>
      <c r="E2925" s="7" t="s">
        <v>6295</v>
      </c>
      <c r="F2925" s="7" t="s">
        <v>6730</v>
      </c>
      <c r="G2925" s="7" t="s">
        <v>7150</v>
      </c>
      <c r="H2925" s="7" t="s">
        <v>7156</v>
      </c>
      <c r="I2925" s="7"/>
      <c r="J2925" s="10">
        <v>45560</v>
      </c>
      <c r="K2925" s="7" t="s">
        <v>7164</v>
      </c>
      <c r="L2925" s="7"/>
      <c r="M2925" s="7"/>
    </row>
    <row r="2926" spans="1:13" x14ac:dyDescent="0.3">
      <c r="A2926" s="7">
        <v>13074</v>
      </c>
      <c r="B2926" s="7" t="s">
        <v>2934</v>
      </c>
      <c r="C2926" s="7" t="s">
        <v>6327</v>
      </c>
      <c r="D2926" s="7" t="s">
        <v>6724</v>
      </c>
      <c r="E2926" s="7" t="s">
        <v>6295</v>
      </c>
      <c r="F2926" s="7" t="s">
        <v>6730</v>
      </c>
      <c r="G2926" s="7" t="s">
        <v>7150</v>
      </c>
      <c r="H2926" s="7" t="s">
        <v>7156</v>
      </c>
      <c r="I2926" s="7"/>
      <c r="J2926" s="10">
        <v>44238</v>
      </c>
      <c r="K2926" s="7" t="s">
        <v>7164</v>
      </c>
      <c r="L2926" s="7"/>
      <c r="M2926" s="7"/>
    </row>
    <row r="2927" spans="1:13" x14ac:dyDescent="0.3">
      <c r="A2927" s="7">
        <v>13014</v>
      </c>
      <c r="B2927" s="7" t="s">
        <v>2935</v>
      </c>
      <c r="C2927" s="7" t="s">
        <v>6327</v>
      </c>
      <c r="D2927" s="7" t="s">
        <v>6724</v>
      </c>
      <c r="E2927" s="7" t="s">
        <v>6295</v>
      </c>
      <c r="F2927" s="7" t="s">
        <v>6712</v>
      </c>
      <c r="G2927" s="7" t="s">
        <v>7150</v>
      </c>
      <c r="H2927" s="7" t="s">
        <v>7156</v>
      </c>
      <c r="I2927" s="7"/>
      <c r="J2927" s="10">
        <v>44202</v>
      </c>
      <c r="K2927" s="7" t="s">
        <v>7164</v>
      </c>
      <c r="L2927" s="7"/>
      <c r="M2927" s="7"/>
    </row>
    <row r="2928" spans="1:13" x14ac:dyDescent="0.3">
      <c r="A2928" s="7">
        <v>14829</v>
      </c>
      <c r="B2928" s="7" t="s">
        <v>2936</v>
      </c>
      <c r="C2928" s="7" t="s">
        <v>6327</v>
      </c>
      <c r="D2928" s="7" t="s">
        <v>6724</v>
      </c>
      <c r="E2928" s="7" t="s">
        <v>6295</v>
      </c>
      <c r="F2928" s="7" t="s">
        <v>6730</v>
      </c>
      <c r="G2928" s="7" t="s">
        <v>7150</v>
      </c>
      <c r="H2928" s="7" t="s">
        <v>7156</v>
      </c>
      <c r="I2928" s="7"/>
      <c r="J2928" s="10">
        <v>44869</v>
      </c>
      <c r="K2928" s="7" t="s">
        <v>7164</v>
      </c>
      <c r="L2928" s="7"/>
      <c r="M2928" s="7"/>
    </row>
    <row r="2929" spans="1:13" x14ac:dyDescent="0.3">
      <c r="A2929" s="7">
        <v>18093</v>
      </c>
      <c r="B2929" s="7" t="s">
        <v>2937</v>
      </c>
      <c r="C2929" s="7" t="s">
        <v>6327</v>
      </c>
      <c r="D2929" s="7" t="s">
        <v>6724</v>
      </c>
      <c r="E2929" s="7" t="s">
        <v>6295</v>
      </c>
      <c r="F2929" s="7" t="s">
        <v>6730</v>
      </c>
      <c r="G2929" s="7" t="s">
        <v>7150</v>
      </c>
      <c r="H2929" s="7" t="s">
        <v>7156</v>
      </c>
      <c r="I2929" s="7"/>
      <c r="J2929" s="10">
        <v>45987</v>
      </c>
      <c r="K2929" s="7" t="s">
        <v>7164</v>
      </c>
      <c r="L2929" s="7"/>
      <c r="M2929" s="7"/>
    </row>
    <row r="2930" spans="1:13" x14ac:dyDescent="0.3">
      <c r="A2930" s="7">
        <v>13349</v>
      </c>
      <c r="B2930" s="7" t="s">
        <v>2938</v>
      </c>
      <c r="C2930" s="7" t="s">
        <v>6327</v>
      </c>
      <c r="D2930" s="7" t="s">
        <v>6724</v>
      </c>
      <c r="E2930" s="7" t="s">
        <v>6295</v>
      </c>
      <c r="F2930" s="7" t="s">
        <v>6730</v>
      </c>
      <c r="G2930" s="7" t="s">
        <v>7150</v>
      </c>
      <c r="H2930" s="7" t="s">
        <v>7156</v>
      </c>
      <c r="I2930" s="7"/>
      <c r="J2930" s="10">
        <v>44399</v>
      </c>
      <c r="K2930" s="7" t="s">
        <v>7164</v>
      </c>
      <c r="L2930" s="7"/>
      <c r="M2930" s="7"/>
    </row>
    <row r="2931" spans="1:13" x14ac:dyDescent="0.3">
      <c r="A2931" s="7">
        <v>18657</v>
      </c>
      <c r="B2931" s="7" t="s">
        <v>2939</v>
      </c>
      <c r="C2931" s="7" t="s">
        <v>6327</v>
      </c>
      <c r="D2931" s="7" t="s">
        <v>6724</v>
      </c>
      <c r="E2931" s="7" t="s">
        <v>6295</v>
      </c>
      <c r="F2931" s="7" t="s">
        <v>6730</v>
      </c>
      <c r="G2931" s="7" t="s">
        <v>7150</v>
      </c>
      <c r="H2931" s="7" t="s">
        <v>7156</v>
      </c>
      <c r="I2931" s="7"/>
      <c r="J2931" s="10">
        <v>46196</v>
      </c>
      <c r="K2931" s="7" t="s">
        <v>7164</v>
      </c>
      <c r="L2931" s="7"/>
      <c r="M2931" s="7"/>
    </row>
    <row r="2932" spans="1:13" x14ac:dyDescent="0.3">
      <c r="A2932" s="7">
        <v>18004</v>
      </c>
      <c r="B2932" s="7" t="s">
        <v>2940</v>
      </c>
      <c r="C2932" s="7" t="s">
        <v>6646</v>
      </c>
      <c r="D2932" s="7" t="s">
        <v>6708</v>
      </c>
      <c r="E2932" s="7" t="s">
        <v>6295</v>
      </c>
      <c r="F2932" s="7" t="s">
        <v>6730</v>
      </c>
      <c r="G2932" s="7" t="s">
        <v>7150</v>
      </c>
      <c r="H2932" s="7" t="s">
        <v>7156</v>
      </c>
      <c r="I2932" s="7"/>
      <c r="J2932" s="10">
        <v>45954</v>
      </c>
      <c r="K2932" s="7" t="s">
        <v>7164</v>
      </c>
      <c r="L2932" s="7"/>
      <c r="M2932" s="7"/>
    </row>
    <row r="2933" spans="1:13" x14ac:dyDescent="0.3">
      <c r="A2933" s="7">
        <v>17538</v>
      </c>
      <c r="B2933" s="7" t="s">
        <v>2941</v>
      </c>
      <c r="C2933" s="7" t="s">
        <v>6646</v>
      </c>
      <c r="D2933" s="7" t="s">
        <v>6708</v>
      </c>
      <c r="E2933" s="7" t="s">
        <v>6295</v>
      </c>
      <c r="F2933" s="7" t="s">
        <v>6730</v>
      </c>
      <c r="G2933" s="7" t="s">
        <v>7150</v>
      </c>
      <c r="H2933" s="7" t="s">
        <v>7156</v>
      </c>
      <c r="I2933" s="7"/>
      <c r="J2933" s="10">
        <v>45779</v>
      </c>
      <c r="K2933" s="7" t="s">
        <v>7164</v>
      </c>
      <c r="L2933" s="7"/>
      <c r="M2933" s="7"/>
    </row>
    <row r="2934" spans="1:13" x14ac:dyDescent="0.3">
      <c r="A2934" s="7">
        <v>17380</v>
      </c>
      <c r="B2934" s="7" t="s">
        <v>2942</v>
      </c>
      <c r="C2934" s="7" t="s">
        <v>6322</v>
      </c>
      <c r="D2934" s="7" t="s">
        <v>6724</v>
      </c>
      <c r="E2934" s="7" t="s">
        <v>6295</v>
      </c>
      <c r="F2934" s="7" t="s">
        <v>6730</v>
      </c>
      <c r="G2934" s="7" t="s">
        <v>7151</v>
      </c>
      <c r="H2934" s="7" t="s">
        <v>7156</v>
      </c>
      <c r="I2934" s="7"/>
      <c r="J2934" s="10">
        <v>45729</v>
      </c>
      <c r="K2934" s="7" t="s">
        <v>7164</v>
      </c>
      <c r="L2934" s="7"/>
      <c r="M2934" s="7"/>
    </row>
    <row r="2935" spans="1:13" x14ac:dyDescent="0.3">
      <c r="A2935" s="7">
        <v>18178</v>
      </c>
      <c r="B2935" s="7" t="s">
        <v>2943</v>
      </c>
      <c r="C2935" s="7" t="s">
        <v>6322</v>
      </c>
      <c r="D2935" s="7" t="s">
        <v>6724</v>
      </c>
      <c r="E2935" s="7" t="s">
        <v>6295</v>
      </c>
      <c r="F2935" s="7" t="s">
        <v>6731</v>
      </c>
      <c r="G2935" s="7" t="s">
        <v>7150</v>
      </c>
      <c r="H2935" s="7" t="s">
        <v>7157</v>
      </c>
      <c r="I2935" s="7"/>
      <c r="J2935" s="10">
        <v>46034</v>
      </c>
      <c r="K2935" s="7" t="s">
        <v>7164</v>
      </c>
      <c r="L2935" s="7"/>
      <c r="M2935" s="7"/>
    </row>
    <row r="2936" spans="1:13" x14ac:dyDescent="0.3">
      <c r="A2936" s="7">
        <v>16620</v>
      </c>
      <c r="B2936" s="7" t="s">
        <v>2944</v>
      </c>
      <c r="C2936" s="7" t="s">
        <v>6646</v>
      </c>
      <c r="D2936" s="7" t="s">
        <v>6708</v>
      </c>
      <c r="E2936" s="7" t="s">
        <v>6295</v>
      </c>
      <c r="F2936" s="7" t="s">
        <v>6730</v>
      </c>
      <c r="G2936" s="7" t="s">
        <v>7150</v>
      </c>
      <c r="H2936" s="7" t="s">
        <v>7156</v>
      </c>
      <c r="I2936" s="7"/>
      <c r="J2936" s="10">
        <v>45498</v>
      </c>
      <c r="K2936" s="7" t="s">
        <v>7164</v>
      </c>
      <c r="L2936" s="7"/>
      <c r="M2936" s="7"/>
    </row>
    <row r="2937" spans="1:13" x14ac:dyDescent="0.3">
      <c r="A2937" s="7">
        <v>16697</v>
      </c>
      <c r="B2937" s="7" t="s">
        <v>2945</v>
      </c>
      <c r="C2937" s="7" t="s">
        <v>6322</v>
      </c>
      <c r="D2937" s="7" t="s">
        <v>6724</v>
      </c>
      <c r="E2937" s="7" t="s">
        <v>6295</v>
      </c>
      <c r="F2937" s="7" t="s">
        <v>6730</v>
      </c>
      <c r="G2937" s="7" t="s">
        <v>7150</v>
      </c>
      <c r="H2937" s="7" t="s">
        <v>7156</v>
      </c>
      <c r="I2937" s="7"/>
      <c r="J2937" s="10">
        <v>45527</v>
      </c>
      <c r="K2937" s="7" t="s">
        <v>7164</v>
      </c>
      <c r="L2937" s="7"/>
      <c r="M2937" s="7"/>
    </row>
    <row r="2938" spans="1:13" x14ac:dyDescent="0.3">
      <c r="A2938" s="7">
        <v>15798</v>
      </c>
      <c r="B2938" s="7" t="s">
        <v>2946</v>
      </c>
      <c r="C2938" s="7" t="s">
        <v>6322</v>
      </c>
      <c r="D2938" s="7" t="s">
        <v>6724</v>
      </c>
      <c r="E2938" s="7" t="s">
        <v>6295</v>
      </c>
      <c r="F2938" s="7" t="s">
        <v>6414</v>
      </c>
      <c r="G2938" s="7" t="s">
        <v>7150</v>
      </c>
      <c r="H2938" s="7" t="s">
        <v>7156</v>
      </c>
      <c r="I2938" s="7"/>
      <c r="J2938" s="10">
        <v>45201</v>
      </c>
      <c r="K2938" s="7" t="s">
        <v>7164</v>
      </c>
      <c r="L2938" s="7"/>
      <c r="M2938" s="7"/>
    </row>
    <row r="2939" spans="1:13" x14ac:dyDescent="0.3">
      <c r="A2939" s="7">
        <v>16272</v>
      </c>
      <c r="B2939" s="7" t="s">
        <v>2947</v>
      </c>
      <c r="C2939" s="7" t="s">
        <v>6322</v>
      </c>
      <c r="D2939" s="7" t="s">
        <v>6724</v>
      </c>
      <c r="E2939" s="7" t="s">
        <v>6295</v>
      </c>
      <c r="F2939" s="7" t="s">
        <v>6730</v>
      </c>
      <c r="G2939" s="7" t="s">
        <v>7150</v>
      </c>
      <c r="H2939" s="7" t="s">
        <v>7156</v>
      </c>
      <c r="I2939" s="7"/>
      <c r="J2939" s="10">
        <v>45341</v>
      </c>
      <c r="K2939" s="7" t="s">
        <v>7164</v>
      </c>
      <c r="L2939" s="7"/>
      <c r="M2939" s="7"/>
    </row>
    <row r="2940" spans="1:13" x14ac:dyDescent="0.3">
      <c r="A2940" s="7">
        <v>18073</v>
      </c>
      <c r="B2940" s="7" t="s">
        <v>2948</v>
      </c>
      <c r="C2940" s="7" t="s">
        <v>6322</v>
      </c>
      <c r="D2940" s="7" t="s">
        <v>6724</v>
      </c>
      <c r="E2940" s="7" t="s">
        <v>6295</v>
      </c>
      <c r="F2940" s="7" t="s">
        <v>6730</v>
      </c>
      <c r="G2940" s="7" t="s">
        <v>7150</v>
      </c>
      <c r="H2940" s="7" t="s">
        <v>7156</v>
      </c>
      <c r="I2940" s="7"/>
      <c r="J2940" s="10">
        <v>45985</v>
      </c>
      <c r="K2940" s="7" t="s">
        <v>7164</v>
      </c>
      <c r="L2940" s="7"/>
      <c r="M2940" s="7"/>
    </row>
    <row r="2941" spans="1:13" x14ac:dyDescent="0.3">
      <c r="A2941" s="7">
        <v>15841</v>
      </c>
      <c r="B2941" s="7" t="s">
        <v>2949</v>
      </c>
      <c r="C2941" s="7" t="s">
        <v>6646</v>
      </c>
      <c r="D2941" s="7" t="s">
        <v>6708</v>
      </c>
      <c r="E2941" s="7" t="s">
        <v>6295</v>
      </c>
      <c r="F2941" s="7" t="s">
        <v>6730</v>
      </c>
      <c r="G2941" s="7" t="s">
        <v>7150</v>
      </c>
      <c r="H2941" s="7" t="s">
        <v>7156</v>
      </c>
      <c r="I2941" s="7"/>
      <c r="J2941" s="10">
        <v>45212</v>
      </c>
      <c r="K2941" s="7" t="s">
        <v>7164</v>
      </c>
      <c r="L2941" s="7"/>
      <c r="M2941" s="7"/>
    </row>
    <row r="2942" spans="1:13" x14ac:dyDescent="0.3">
      <c r="A2942" s="7">
        <v>16191</v>
      </c>
      <c r="B2942" s="7" t="s">
        <v>2950</v>
      </c>
      <c r="C2942" s="7" t="s">
        <v>6322</v>
      </c>
      <c r="D2942" s="7" t="s">
        <v>6724</v>
      </c>
      <c r="E2942" s="7" t="s">
        <v>6295</v>
      </c>
      <c r="F2942" s="7" t="s">
        <v>6730</v>
      </c>
      <c r="G2942" s="7" t="s">
        <v>7150</v>
      </c>
      <c r="H2942" s="7" t="s">
        <v>7156</v>
      </c>
      <c r="I2942" s="7"/>
      <c r="J2942" s="10">
        <v>45314</v>
      </c>
      <c r="K2942" s="7" t="s">
        <v>7164</v>
      </c>
      <c r="L2942" s="7"/>
      <c r="M2942" s="7"/>
    </row>
    <row r="2943" spans="1:13" x14ac:dyDescent="0.3">
      <c r="A2943" s="7">
        <v>17993</v>
      </c>
      <c r="B2943" s="7" t="s">
        <v>2951</v>
      </c>
      <c r="C2943" s="7" t="s">
        <v>6322</v>
      </c>
      <c r="D2943" s="7" t="s">
        <v>6724</v>
      </c>
      <c r="E2943" s="7" t="s">
        <v>6295</v>
      </c>
      <c r="F2943" s="7" t="s">
        <v>6730</v>
      </c>
      <c r="G2943" s="7" t="s">
        <v>7150</v>
      </c>
      <c r="H2943" s="7" t="s">
        <v>7156</v>
      </c>
      <c r="I2943" s="7"/>
      <c r="J2943" s="10">
        <v>45951</v>
      </c>
      <c r="K2943" s="7" t="s">
        <v>7164</v>
      </c>
      <c r="L2943" s="7"/>
      <c r="M2943" s="7"/>
    </row>
    <row r="2944" spans="1:13" x14ac:dyDescent="0.3">
      <c r="A2944" s="7">
        <v>19258</v>
      </c>
      <c r="B2944" s="7" t="s">
        <v>2952</v>
      </c>
      <c r="C2944" s="7" t="s">
        <v>6322</v>
      </c>
      <c r="D2944" s="7" t="s">
        <v>6295</v>
      </c>
      <c r="E2944" s="7" t="s">
        <v>6295</v>
      </c>
      <c r="F2944" s="7" t="s">
        <v>6730</v>
      </c>
      <c r="G2944" s="7" t="s">
        <v>7150</v>
      </c>
      <c r="H2944" s="7" t="s">
        <v>7156</v>
      </c>
      <c r="I2944" s="7"/>
      <c r="J2944" s="10">
        <v>46288</v>
      </c>
      <c r="K2944" s="7" t="s">
        <v>7164</v>
      </c>
      <c r="L2944" s="7"/>
      <c r="M2944" s="7"/>
    </row>
    <row r="2945" spans="1:13" x14ac:dyDescent="0.3">
      <c r="A2945" s="7">
        <v>18030</v>
      </c>
      <c r="B2945" s="7" t="s">
        <v>2953</v>
      </c>
      <c r="C2945" s="7" t="s">
        <v>6322</v>
      </c>
      <c r="D2945" s="7" t="s">
        <v>6724</v>
      </c>
      <c r="E2945" s="7" t="s">
        <v>6295</v>
      </c>
      <c r="F2945" s="7" t="s">
        <v>6730</v>
      </c>
      <c r="G2945" s="7" t="s">
        <v>7150</v>
      </c>
      <c r="H2945" s="7" t="s">
        <v>7156</v>
      </c>
      <c r="I2945" s="7"/>
      <c r="J2945" s="10">
        <v>45967</v>
      </c>
      <c r="K2945" s="7" t="s">
        <v>7164</v>
      </c>
      <c r="L2945" s="7"/>
      <c r="M2945" s="7"/>
    </row>
    <row r="2946" spans="1:13" x14ac:dyDescent="0.3">
      <c r="A2946" s="7">
        <v>18023</v>
      </c>
      <c r="B2946" s="7" t="s">
        <v>2954</v>
      </c>
      <c r="C2946" s="7" t="s">
        <v>6646</v>
      </c>
      <c r="D2946" s="7" t="s">
        <v>6708</v>
      </c>
      <c r="E2946" s="7" t="s">
        <v>6295</v>
      </c>
      <c r="F2946" s="7" t="s">
        <v>6730</v>
      </c>
      <c r="G2946" s="7" t="s">
        <v>7150</v>
      </c>
      <c r="H2946" s="7" t="s">
        <v>7156</v>
      </c>
      <c r="I2946" s="7"/>
      <c r="J2946" s="10">
        <v>45966</v>
      </c>
      <c r="K2946" s="7" t="s">
        <v>7164</v>
      </c>
      <c r="L2946" s="7"/>
      <c r="M2946" s="7"/>
    </row>
    <row r="2947" spans="1:13" x14ac:dyDescent="0.3">
      <c r="A2947" s="7">
        <v>16198</v>
      </c>
      <c r="B2947" s="7" t="s">
        <v>2955</v>
      </c>
      <c r="C2947" s="7" t="s">
        <v>6646</v>
      </c>
      <c r="D2947" s="7" t="s">
        <v>6708</v>
      </c>
      <c r="E2947" s="7" t="s">
        <v>6295</v>
      </c>
      <c r="F2947" s="7" t="s">
        <v>6730</v>
      </c>
      <c r="G2947" s="7" t="s">
        <v>7150</v>
      </c>
      <c r="H2947" s="7" t="s">
        <v>7156</v>
      </c>
      <c r="I2947" s="7"/>
      <c r="J2947" s="10">
        <v>45316</v>
      </c>
      <c r="K2947" s="7" t="s">
        <v>7164</v>
      </c>
      <c r="L2947" s="7"/>
      <c r="M2947" s="7"/>
    </row>
    <row r="2948" spans="1:13" x14ac:dyDescent="0.3">
      <c r="A2948" s="7">
        <v>13073</v>
      </c>
      <c r="B2948" s="7" t="s">
        <v>2956</v>
      </c>
      <c r="C2948" s="7" t="s">
        <v>6322</v>
      </c>
      <c r="D2948" s="7" t="s">
        <v>6724</v>
      </c>
      <c r="E2948" s="7" t="s">
        <v>6295</v>
      </c>
      <c r="F2948" s="7" t="s">
        <v>6730</v>
      </c>
      <c r="G2948" s="7" t="s">
        <v>7150</v>
      </c>
      <c r="H2948" s="7" t="s">
        <v>7156</v>
      </c>
      <c r="I2948" s="7"/>
      <c r="J2948" s="10">
        <v>44238</v>
      </c>
      <c r="K2948" s="7" t="s">
        <v>7164</v>
      </c>
      <c r="L2948" s="7"/>
      <c r="M2948" s="7"/>
    </row>
    <row r="2949" spans="1:13" x14ac:dyDescent="0.3">
      <c r="A2949" s="7">
        <v>16103</v>
      </c>
      <c r="B2949" s="7" t="s">
        <v>2957</v>
      </c>
      <c r="C2949" s="7" t="s">
        <v>6322</v>
      </c>
      <c r="D2949" s="7" t="s">
        <v>6724</v>
      </c>
      <c r="E2949" s="7" t="s">
        <v>6295</v>
      </c>
      <c r="F2949" s="7" t="s">
        <v>6730</v>
      </c>
      <c r="G2949" s="7" t="s">
        <v>7150</v>
      </c>
      <c r="H2949" s="7" t="s">
        <v>7156</v>
      </c>
      <c r="I2949" s="7"/>
      <c r="J2949" s="10">
        <v>45286</v>
      </c>
      <c r="K2949" s="7" t="s">
        <v>7164</v>
      </c>
      <c r="L2949" s="7"/>
      <c r="M2949" s="7"/>
    </row>
    <row r="2950" spans="1:13" x14ac:dyDescent="0.3">
      <c r="A2950" s="7">
        <v>16797</v>
      </c>
      <c r="B2950" s="7" t="s">
        <v>2958</v>
      </c>
      <c r="C2950" s="7" t="s">
        <v>6322</v>
      </c>
      <c r="D2950" s="7" t="s">
        <v>6724</v>
      </c>
      <c r="E2950" s="7" t="s">
        <v>6295</v>
      </c>
      <c r="F2950" s="7" t="s">
        <v>6730</v>
      </c>
      <c r="G2950" s="7" t="s">
        <v>7150</v>
      </c>
      <c r="H2950" s="7" t="s">
        <v>7156</v>
      </c>
      <c r="I2950" s="7"/>
      <c r="J2950" s="10">
        <v>45568</v>
      </c>
      <c r="K2950" s="7" t="s">
        <v>7164</v>
      </c>
      <c r="L2950" s="7"/>
      <c r="M2950" s="7"/>
    </row>
    <row r="2951" spans="1:13" x14ac:dyDescent="0.3">
      <c r="A2951" s="7">
        <v>15422</v>
      </c>
      <c r="B2951" s="7" t="s">
        <v>2959</v>
      </c>
      <c r="C2951" s="7" t="s">
        <v>6327</v>
      </c>
      <c r="D2951" s="7" t="s">
        <v>6724</v>
      </c>
      <c r="E2951" s="7" t="s">
        <v>6295</v>
      </c>
      <c r="F2951" s="7" t="s">
        <v>6725</v>
      </c>
      <c r="G2951" s="7" t="s">
        <v>7150</v>
      </c>
      <c r="H2951" s="7" t="s">
        <v>7156</v>
      </c>
      <c r="I2951" s="7"/>
      <c r="J2951" s="10">
        <v>45064</v>
      </c>
      <c r="K2951" s="7" t="s">
        <v>7164</v>
      </c>
      <c r="L2951" s="7"/>
      <c r="M2951" s="7"/>
    </row>
    <row r="2952" spans="1:13" x14ac:dyDescent="0.3">
      <c r="A2952" s="7">
        <v>13177</v>
      </c>
      <c r="B2952" s="7" t="s">
        <v>2960</v>
      </c>
      <c r="C2952" s="7" t="s">
        <v>6646</v>
      </c>
      <c r="D2952" s="7" t="s">
        <v>6708</v>
      </c>
      <c r="E2952" s="7" t="s">
        <v>6295</v>
      </c>
      <c r="F2952" s="7" t="s">
        <v>6324</v>
      </c>
      <c r="G2952" s="7" t="s">
        <v>7150</v>
      </c>
      <c r="H2952" s="7" t="s">
        <v>7156</v>
      </c>
      <c r="I2952" s="7"/>
      <c r="J2952" s="10">
        <v>44302</v>
      </c>
      <c r="K2952" s="7" t="s">
        <v>7164</v>
      </c>
      <c r="L2952" s="7"/>
      <c r="M2952" s="7"/>
    </row>
    <row r="2953" spans="1:13" x14ac:dyDescent="0.3">
      <c r="A2953" s="7">
        <v>13803</v>
      </c>
      <c r="B2953" s="7" t="s">
        <v>2961</v>
      </c>
      <c r="C2953" s="7" t="s">
        <v>6646</v>
      </c>
      <c r="D2953" s="7" t="s">
        <v>6708</v>
      </c>
      <c r="E2953" s="7" t="s">
        <v>6295</v>
      </c>
      <c r="F2953" s="7" t="s">
        <v>6725</v>
      </c>
      <c r="G2953" s="7" t="s">
        <v>7150</v>
      </c>
      <c r="H2953" s="7" t="s">
        <v>7156</v>
      </c>
      <c r="I2953" s="7"/>
      <c r="J2953" s="10">
        <v>44582</v>
      </c>
      <c r="K2953" s="7" t="s">
        <v>7164</v>
      </c>
      <c r="L2953" s="7"/>
      <c r="M2953" s="7"/>
    </row>
    <row r="2954" spans="1:13" x14ac:dyDescent="0.3">
      <c r="A2954" s="7">
        <v>16200</v>
      </c>
      <c r="B2954" s="7" t="s">
        <v>2962</v>
      </c>
      <c r="C2954" s="7" t="s">
        <v>6646</v>
      </c>
      <c r="D2954" s="7" t="s">
        <v>6708</v>
      </c>
      <c r="E2954" s="7" t="s">
        <v>6295</v>
      </c>
      <c r="F2954" s="7" t="s">
        <v>6324</v>
      </c>
      <c r="G2954" s="7" t="s">
        <v>7150</v>
      </c>
      <c r="H2954" s="7" t="s">
        <v>7156</v>
      </c>
      <c r="I2954" s="7"/>
      <c r="J2954" s="10">
        <v>45317</v>
      </c>
      <c r="K2954" s="7" t="s">
        <v>7164</v>
      </c>
      <c r="L2954" s="7"/>
      <c r="M2954" s="7"/>
    </row>
    <row r="2955" spans="1:13" x14ac:dyDescent="0.3">
      <c r="A2955" s="7">
        <v>11956</v>
      </c>
      <c r="B2955" s="7" t="s">
        <v>2963</v>
      </c>
      <c r="C2955" s="7" t="s">
        <v>6327</v>
      </c>
      <c r="D2955" s="7" t="s">
        <v>6724</v>
      </c>
      <c r="E2955" s="7" t="s">
        <v>6295</v>
      </c>
      <c r="F2955" s="7" t="s">
        <v>6712</v>
      </c>
      <c r="G2955" s="7" t="s">
        <v>7150</v>
      </c>
      <c r="H2955" s="7" t="s">
        <v>7156</v>
      </c>
      <c r="I2955" s="7"/>
      <c r="J2955" s="10">
        <v>43333</v>
      </c>
      <c r="K2955" s="7" t="s">
        <v>7164</v>
      </c>
      <c r="L2955" s="7"/>
      <c r="M2955" s="7"/>
    </row>
    <row r="2956" spans="1:13" x14ac:dyDescent="0.3">
      <c r="A2956" s="7">
        <v>12312</v>
      </c>
      <c r="B2956" s="7" t="s">
        <v>2964</v>
      </c>
      <c r="C2956" s="7" t="s">
        <v>6327</v>
      </c>
      <c r="D2956" s="7" t="s">
        <v>6724</v>
      </c>
      <c r="E2956" s="7" t="s">
        <v>6295</v>
      </c>
      <c r="F2956" s="7" t="s">
        <v>6726</v>
      </c>
      <c r="G2956" s="7" t="s">
        <v>7150</v>
      </c>
      <c r="H2956" s="7" t="s">
        <v>7156</v>
      </c>
      <c r="I2956" s="7"/>
      <c r="J2956" s="10">
        <v>43678</v>
      </c>
      <c r="K2956" s="7" t="s">
        <v>7164</v>
      </c>
      <c r="L2956" s="7"/>
      <c r="M2956" s="7"/>
    </row>
    <row r="2957" spans="1:13" x14ac:dyDescent="0.3">
      <c r="A2957" s="7">
        <v>15736</v>
      </c>
      <c r="B2957" s="7" t="s">
        <v>2965</v>
      </c>
      <c r="C2957" s="7" t="s">
        <v>6327</v>
      </c>
      <c r="D2957" s="7" t="s">
        <v>6724</v>
      </c>
      <c r="E2957" s="7" t="s">
        <v>6295</v>
      </c>
      <c r="F2957" s="7" t="s">
        <v>6725</v>
      </c>
      <c r="G2957" s="7" t="s">
        <v>7150</v>
      </c>
      <c r="H2957" s="7" t="s">
        <v>7156</v>
      </c>
      <c r="I2957" s="7"/>
      <c r="J2957" s="10">
        <v>45176</v>
      </c>
      <c r="K2957" s="7" t="s">
        <v>7164</v>
      </c>
      <c r="L2957" s="7"/>
      <c r="M2957" s="7"/>
    </row>
    <row r="2958" spans="1:13" x14ac:dyDescent="0.3">
      <c r="A2958" s="7">
        <v>17769</v>
      </c>
      <c r="B2958" s="7" t="s">
        <v>2966</v>
      </c>
      <c r="C2958" s="7" t="s">
        <v>6327</v>
      </c>
      <c r="D2958" s="7" t="s">
        <v>6724</v>
      </c>
      <c r="E2958" s="7" t="s">
        <v>6295</v>
      </c>
      <c r="F2958" s="7" t="s">
        <v>6725</v>
      </c>
      <c r="G2958" s="7" t="s">
        <v>7150</v>
      </c>
      <c r="H2958" s="7" t="s">
        <v>7156</v>
      </c>
      <c r="I2958" s="7"/>
      <c r="J2958" s="10">
        <v>45874</v>
      </c>
      <c r="K2958" s="7" t="s">
        <v>7164</v>
      </c>
      <c r="L2958" s="7"/>
      <c r="M2958" s="7"/>
    </row>
    <row r="2959" spans="1:13" x14ac:dyDescent="0.3">
      <c r="A2959" s="7">
        <v>17796</v>
      </c>
      <c r="B2959" s="7" t="s">
        <v>2967</v>
      </c>
      <c r="C2959" s="7" t="s">
        <v>6646</v>
      </c>
      <c r="D2959" s="7" t="s">
        <v>6708</v>
      </c>
      <c r="E2959" s="7" t="s">
        <v>6295</v>
      </c>
      <c r="F2959" s="7" t="s">
        <v>6726</v>
      </c>
      <c r="G2959" s="7" t="s">
        <v>7150</v>
      </c>
      <c r="H2959" s="7" t="s">
        <v>7156</v>
      </c>
      <c r="I2959" s="7"/>
      <c r="J2959" s="10">
        <v>45877</v>
      </c>
      <c r="K2959" s="7" t="s">
        <v>7164</v>
      </c>
      <c r="L2959" s="7"/>
      <c r="M2959" s="7"/>
    </row>
    <row r="2960" spans="1:13" x14ac:dyDescent="0.3">
      <c r="A2960" s="7">
        <v>18936</v>
      </c>
      <c r="B2960" s="7" t="s">
        <v>2968</v>
      </c>
      <c r="C2960" s="7" t="s">
        <v>6646</v>
      </c>
      <c r="D2960" s="7" t="s">
        <v>6708</v>
      </c>
      <c r="E2960" s="7" t="s">
        <v>6295</v>
      </c>
      <c r="F2960" s="7" t="s">
        <v>6726</v>
      </c>
      <c r="G2960" s="7" t="s">
        <v>7150</v>
      </c>
      <c r="H2960" s="7" t="s">
        <v>7156</v>
      </c>
      <c r="I2960" s="7"/>
      <c r="J2960" s="10">
        <v>46244</v>
      </c>
      <c r="K2960" s="7" t="s">
        <v>7164</v>
      </c>
      <c r="L2960" s="7"/>
      <c r="M2960" s="7"/>
    </row>
    <row r="2961" spans="1:13" x14ac:dyDescent="0.3">
      <c r="A2961" s="7">
        <v>14612</v>
      </c>
      <c r="B2961" s="7" t="s">
        <v>2969</v>
      </c>
      <c r="C2961" s="7" t="s">
        <v>6327</v>
      </c>
      <c r="D2961" s="7" t="s">
        <v>6724</v>
      </c>
      <c r="E2961" s="7" t="s">
        <v>6295</v>
      </c>
      <c r="F2961" s="7" t="s">
        <v>6725</v>
      </c>
      <c r="G2961" s="7" t="s">
        <v>7150</v>
      </c>
      <c r="H2961" s="7" t="s">
        <v>7156</v>
      </c>
      <c r="I2961" s="7"/>
      <c r="J2961" s="10">
        <v>44805</v>
      </c>
      <c r="K2961" s="7" t="s">
        <v>7164</v>
      </c>
      <c r="L2961" s="7"/>
      <c r="M2961" s="7"/>
    </row>
    <row r="2962" spans="1:13" x14ac:dyDescent="0.3">
      <c r="A2962" s="7">
        <v>14046</v>
      </c>
      <c r="B2962" s="7" t="s">
        <v>2970</v>
      </c>
      <c r="C2962" s="7" t="s">
        <v>6327</v>
      </c>
      <c r="D2962" s="7" t="s">
        <v>6724</v>
      </c>
      <c r="E2962" s="7" t="s">
        <v>6295</v>
      </c>
      <c r="F2962" s="7" t="s">
        <v>6725</v>
      </c>
      <c r="G2962" s="7" t="s">
        <v>7150</v>
      </c>
      <c r="H2962" s="7" t="s">
        <v>7156</v>
      </c>
      <c r="I2962" s="7"/>
      <c r="J2962" s="10">
        <v>44634</v>
      </c>
      <c r="K2962" s="7" t="s">
        <v>7164</v>
      </c>
      <c r="L2962" s="7"/>
      <c r="M2962" s="7"/>
    </row>
    <row r="2963" spans="1:13" x14ac:dyDescent="0.3">
      <c r="A2963" s="7">
        <v>15228</v>
      </c>
      <c r="B2963" s="7" t="s">
        <v>2971</v>
      </c>
      <c r="C2963" s="7" t="s">
        <v>6327</v>
      </c>
      <c r="D2963" s="7" t="s">
        <v>6724</v>
      </c>
      <c r="E2963" s="7" t="s">
        <v>6295</v>
      </c>
      <c r="F2963" s="7" t="s">
        <v>6725</v>
      </c>
      <c r="G2963" s="7" t="s">
        <v>7150</v>
      </c>
      <c r="H2963" s="7" t="s">
        <v>7156</v>
      </c>
      <c r="I2963" s="7"/>
      <c r="J2963" s="10">
        <v>44994</v>
      </c>
      <c r="K2963" s="7" t="s">
        <v>7164</v>
      </c>
      <c r="L2963" s="7"/>
      <c r="M2963" s="7"/>
    </row>
    <row r="2964" spans="1:13" x14ac:dyDescent="0.3">
      <c r="A2964" s="7">
        <v>15223</v>
      </c>
      <c r="B2964" s="7" t="s">
        <v>2972</v>
      </c>
      <c r="C2964" s="7" t="s">
        <v>6327</v>
      </c>
      <c r="D2964" s="7" t="s">
        <v>6724</v>
      </c>
      <c r="E2964" s="7" t="s">
        <v>6295</v>
      </c>
      <c r="F2964" s="7" t="s">
        <v>6725</v>
      </c>
      <c r="G2964" s="7" t="s">
        <v>7150</v>
      </c>
      <c r="H2964" s="7" t="s">
        <v>7156</v>
      </c>
      <c r="I2964" s="7"/>
      <c r="J2964" s="10">
        <v>44994</v>
      </c>
      <c r="K2964" s="7" t="s">
        <v>7164</v>
      </c>
      <c r="L2964" s="7"/>
      <c r="M2964" s="7"/>
    </row>
    <row r="2965" spans="1:13" x14ac:dyDescent="0.3">
      <c r="A2965" s="7">
        <v>14097</v>
      </c>
      <c r="B2965" s="7" t="s">
        <v>2973</v>
      </c>
      <c r="C2965" s="7" t="s">
        <v>6327</v>
      </c>
      <c r="D2965" s="7" t="s">
        <v>6724</v>
      </c>
      <c r="E2965" s="7" t="s">
        <v>6295</v>
      </c>
      <c r="F2965" s="7" t="s">
        <v>6725</v>
      </c>
      <c r="G2965" s="7" t="s">
        <v>7150</v>
      </c>
      <c r="H2965" s="7" t="s">
        <v>7156</v>
      </c>
      <c r="I2965" s="7"/>
      <c r="J2965" s="10">
        <v>44658</v>
      </c>
      <c r="K2965" s="7" t="s">
        <v>7164</v>
      </c>
      <c r="L2965" s="7"/>
      <c r="M2965" s="7"/>
    </row>
    <row r="2966" spans="1:13" x14ac:dyDescent="0.3">
      <c r="A2966" s="7">
        <v>14047</v>
      </c>
      <c r="B2966" s="7" t="s">
        <v>2974</v>
      </c>
      <c r="C2966" s="7" t="s">
        <v>6327</v>
      </c>
      <c r="D2966" s="7" t="s">
        <v>6724</v>
      </c>
      <c r="E2966" s="7" t="s">
        <v>6295</v>
      </c>
      <c r="F2966" s="7" t="s">
        <v>6725</v>
      </c>
      <c r="G2966" s="7" t="s">
        <v>7150</v>
      </c>
      <c r="H2966" s="7" t="s">
        <v>7156</v>
      </c>
      <c r="I2966" s="7"/>
      <c r="J2966" s="10">
        <v>44634</v>
      </c>
      <c r="K2966" s="7" t="s">
        <v>7164</v>
      </c>
      <c r="L2966" s="7"/>
      <c r="M2966" s="7"/>
    </row>
    <row r="2967" spans="1:13" x14ac:dyDescent="0.3">
      <c r="A2967" s="7">
        <v>16144</v>
      </c>
      <c r="B2967" s="7" t="s">
        <v>2975</v>
      </c>
      <c r="C2967" s="7" t="s">
        <v>6646</v>
      </c>
      <c r="D2967" s="7" t="s">
        <v>6708</v>
      </c>
      <c r="E2967" s="7" t="s">
        <v>6295</v>
      </c>
      <c r="F2967" s="7" t="s">
        <v>6732</v>
      </c>
      <c r="G2967" s="7" t="s">
        <v>7150</v>
      </c>
      <c r="H2967" s="7" t="s">
        <v>7156</v>
      </c>
      <c r="I2967" s="7"/>
      <c r="J2967" s="10">
        <v>45302</v>
      </c>
      <c r="K2967" s="7" t="s">
        <v>7164</v>
      </c>
      <c r="L2967" s="7"/>
      <c r="M2967" s="7"/>
    </row>
    <row r="2968" spans="1:13" x14ac:dyDescent="0.3">
      <c r="A2968" s="7">
        <v>11700</v>
      </c>
      <c r="B2968" s="7" t="s">
        <v>2976</v>
      </c>
      <c r="C2968" s="7" t="s">
        <v>6322</v>
      </c>
      <c r="D2968" s="7" t="s">
        <v>6724</v>
      </c>
      <c r="E2968" s="7" t="s">
        <v>6295</v>
      </c>
      <c r="F2968" s="7" t="s">
        <v>6324</v>
      </c>
      <c r="G2968" s="7" t="s">
        <v>7150</v>
      </c>
      <c r="H2968" s="7" t="s">
        <v>7156</v>
      </c>
      <c r="I2968" s="7"/>
      <c r="J2968" s="10">
        <v>43028</v>
      </c>
      <c r="K2968" s="7" t="s">
        <v>7164</v>
      </c>
      <c r="L2968" s="7"/>
      <c r="M2968" s="7"/>
    </row>
    <row r="2969" spans="1:13" x14ac:dyDescent="0.3">
      <c r="A2969" s="7">
        <v>16453</v>
      </c>
      <c r="B2969" s="7" t="s">
        <v>2977</v>
      </c>
      <c r="C2969" s="7" t="s">
        <v>6322</v>
      </c>
      <c r="D2969" s="7" t="s">
        <v>6724</v>
      </c>
      <c r="E2969" s="7" t="s">
        <v>6295</v>
      </c>
      <c r="F2969" s="7" t="s">
        <v>6414</v>
      </c>
      <c r="G2969" s="7" t="s">
        <v>7150</v>
      </c>
      <c r="H2969" s="7" t="s">
        <v>7156</v>
      </c>
      <c r="I2969" s="7"/>
      <c r="J2969" s="10">
        <v>45446</v>
      </c>
      <c r="K2969" s="7" t="s">
        <v>7164</v>
      </c>
      <c r="L2969" s="7"/>
      <c r="M2969" s="7"/>
    </row>
    <row r="2970" spans="1:13" x14ac:dyDescent="0.3">
      <c r="A2970" s="7">
        <v>15491</v>
      </c>
      <c r="B2970" s="7" t="s">
        <v>2978</v>
      </c>
      <c r="C2970" s="7" t="s">
        <v>6322</v>
      </c>
      <c r="D2970" s="7" t="s">
        <v>6724</v>
      </c>
      <c r="E2970" s="7" t="s">
        <v>6295</v>
      </c>
      <c r="F2970" s="7" t="s">
        <v>6725</v>
      </c>
      <c r="G2970" s="7" t="s">
        <v>7150</v>
      </c>
      <c r="H2970" s="7" t="s">
        <v>7156</v>
      </c>
      <c r="I2970" s="7"/>
      <c r="J2970" s="10">
        <v>45093</v>
      </c>
      <c r="K2970" s="7" t="s">
        <v>7164</v>
      </c>
      <c r="L2970" s="7"/>
      <c r="M2970" s="7"/>
    </row>
    <row r="2971" spans="1:13" x14ac:dyDescent="0.3">
      <c r="A2971" s="7">
        <v>17639</v>
      </c>
      <c r="B2971" s="7" t="s">
        <v>2979</v>
      </c>
      <c r="C2971" s="7" t="s">
        <v>6322</v>
      </c>
      <c r="D2971" s="7" t="s">
        <v>6724</v>
      </c>
      <c r="E2971" s="7" t="s">
        <v>6295</v>
      </c>
      <c r="F2971" s="7" t="s">
        <v>6726</v>
      </c>
      <c r="G2971" s="7" t="s">
        <v>7150</v>
      </c>
      <c r="H2971" s="7" t="s">
        <v>7156</v>
      </c>
      <c r="I2971" s="7"/>
      <c r="J2971" s="10">
        <v>45826</v>
      </c>
      <c r="K2971" s="7" t="s">
        <v>7164</v>
      </c>
      <c r="L2971" s="7"/>
      <c r="M2971" s="7"/>
    </row>
    <row r="2972" spans="1:13" x14ac:dyDescent="0.3">
      <c r="A2972" s="7">
        <v>17527</v>
      </c>
      <c r="B2972" s="7" t="s">
        <v>2980</v>
      </c>
      <c r="C2972" s="7" t="s">
        <v>6322</v>
      </c>
      <c r="D2972" s="7" t="s">
        <v>6724</v>
      </c>
      <c r="E2972" s="7" t="s">
        <v>6295</v>
      </c>
      <c r="F2972" s="7" t="s">
        <v>6726</v>
      </c>
      <c r="G2972" s="7" t="s">
        <v>7150</v>
      </c>
      <c r="H2972" s="7" t="s">
        <v>7156</v>
      </c>
      <c r="I2972" s="7"/>
      <c r="J2972" s="10">
        <v>45792</v>
      </c>
      <c r="K2972" s="7" t="s">
        <v>7164</v>
      </c>
      <c r="L2972" s="7"/>
      <c r="M2972" s="7"/>
    </row>
    <row r="2973" spans="1:13" x14ac:dyDescent="0.3">
      <c r="A2973" s="7">
        <v>18482</v>
      </c>
      <c r="B2973" s="7" t="s">
        <v>2981</v>
      </c>
      <c r="C2973" s="7" t="s">
        <v>6322</v>
      </c>
      <c r="D2973" s="7" t="s">
        <v>6724</v>
      </c>
      <c r="E2973" s="7" t="s">
        <v>6295</v>
      </c>
      <c r="F2973" s="7" t="s">
        <v>6726</v>
      </c>
      <c r="G2973" s="7" t="s">
        <v>7150</v>
      </c>
      <c r="H2973" s="7" t="s">
        <v>7156</v>
      </c>
      <c r="I2973" s="7"/>
      <c r="J2973" s="10">
        <v>46136</v>
      </c>
      <c r="K2973" s="7" t="s">
        <v>7164</v>
      </c>
      <c r="L2973" s="7"/>
      <c r="M2973" s="7"/>
    </row>
    <row r="2974" spans="1:13" x14ac:dyDescent="0.3">
      <c r="A2974" s="7">
        <v>12957</v>
      </c>
      <c r="B2974" s="7" t="s">
        <v>2982</v>
      </c>
      <c r="C2974" s="7" t="s">
        <v>6322</v>
      </c>
      <c r="D2974" s="7" t="s">
        <v>6724</v>
      </c>
      <c r="E2974" s="7" t="s">
        <v>6295</v>
      </c>
      <c r="F2974" s="7" t="s">
        <v>6324</v>
      </c>
      <c r="G2974" s="7" t="s">
        <v>7150</v>
      </c>
      <c r="H2974" s="7" t="s">
        <v>7156</v>
      </c>
      <c r="I2974" s="7"/>
      <c r="J2974" s="10">
        <v>44147</v>
      </c>
      <c r="K2974" s="7" t="s">
        <v>7164</v>
      </c>
      <c r="L2974" s="7"/>
      <c r="M2974" s="7"/>
    </row>
    <row r="2975" spans="1:13" x14ac:dyDescent="0.3">
      <c r="A2975" s="7">
        <v>13061</v>
      </c>
      <c r="B2975" s="7" t="s">
        <v>2983</v>
      </c>
      <c r="C2975" s="7" t="s">
        <v>6322</v>
      </c>
      <c r="D2975" s="7" t="s">
        <v>6724</v>
      </c>
      <c r="E2975" s="7" t="s">
        <v>6295</v>
      </c>
      <c r="F2975" s="7" t="s">
        <v>6324</v>
      </c>
      <c r="G2975" s="7" t="s">
        <v>7150</v>
      </c>
      <c r="H2975" s="7" t="s">
        <v>7156</v>
      </c>
      <c r="I2975" s="7"/>
      <c r="J2975" s="10">
        <v>44230</v>
      </c>
      <c r="K2975" s="7" t="s">
        <v>7164</v>
      </c>
      <c r="L2975" s="7"/>
      <c r="M2975" s="7"/>
    </row>
    <row r="2976" spans="1:13" x14ac:dyDescent="0.3">
      <c r="A2976" s="7">
        <v>14295</v>
      </c>
      <c r="B2976" s="7" t="s">
        <v>2984</v>
      </c>
      <c r="C2976" s="7" t="s">
        <v>6646</v>
      </c>
      <c r="D2976" s="7" t="s">
        <v>6708</v>
      </c>
      <c r="E2976" s="7" t="s">
        <v>6295</v>
      </c>
      <c r="F2976" s="7" t="s">
        <v>6726</v>
      </c>
      <c r="G2976" s="7" t="s">
        <v>7150</v>
      </c>
      <c r="H2976" s="7" t="s">
        <v>7156</v>
      </c>
      <c r="I2976" s="7"/>
      <c r="J2976" s="10">
        <v>44718</v>
      </c>
      <c r="K2976" s="7" t="s">
        <v>7164</v>
      </c>
      <c r="L2976" s="7"/>
      <c r="M2976" s="7"/>
    </row>
    <row r="2977" spans="1:13" x14ac:dyDescent="0.3">
      <c r="A2977" s="7">
        <v>18238</v>
      </c>
      <c r="B2977" s="7" t="s">
        <v>2985</v>
      </c>
      <c r="C2977" s="7" t="s">
        <v>6646</v>
      </c>
      <c r="D2977" s="7" t="s">
        <v>6708</v>
      </c>
      <c r="E2977" s="7" t="s">
        <v>6295</v>
      </c>
      <c r="F2977" s="7" t="s">
        <v>6324</v>
      </c>
      <c r="G2977" s="7" t="s">
        <v>7150</v>
      </c>
      <c r="H2977" s="7" t="s">
        <v>7156</v>
      </c>
      <c r="I2977" s="7"/>
      <c r="J2977" s="10">
        <v>46065</v>
      </c>
      <c r="K2977" s="7" t="s">
        <v>7164</v>
      </c>
      <c r="L2977" s="7"/>
      <c r="M2977" s="7"/>
    </row>
    <row r="2978" spans="1:13" x14ac:dyDescent="0.3">
      <c r="A2978" s="7">
        <v>17000</v>
      </c>
      <c r="B2978" s="7" t="s">
        <v>2986</v>
      </c>
      <c r="C2978" s="7" t="s">
        <v>6322</v>
      </c>
      <c r="D2978" s="7" t="s">
        <v>6724</v>
      </c>
      <c r="E2978" s="7" t="s">
        <v>6295</v>
      </c>
      <c r="F2978" s="7" t="s">
        <v>6324</v>
      </c>
      <c r="G2978" s="7" t="s">
        <v>7150</v>
      </c>
      <c r="H2978" s="7" t="s">
        <v>7156</v>
      </c>
      <c r="I2978" s="7"/>
      <c r="J2978" s="10">
        <v>45593</v>
      </c>
      <c r="K2978" s="7" t="s">
        <v>7164</v>
      </c>
      <c r="L2978" s="7"/>
      <c r="M2978" s="7"/>
    </row>
    <row r="2979" spans="1:13" x14ac:dyDescent="0.3">
      <c r="A2979" s="7">
        <v>17367</v>
      </c>
      <c r="B2979" s="7" t="s">
        <v>2987</v>
      </c>
      <c r="C2979" s="7" t="s">
        <v>6322</v>
      </c>
      <c r="D2979" s="7" t="s">
        <v>6724</v>
      </c>
      <c r="E2979" s="7" t="s">
        <v>6295</v>
      </c>
      <c r="F2979" s="7" t="s">
        <v>6324</v>
      </c>
      <c r="G2979" s="7" t="s">
        <v>7150</v>
      </c>
      <c r="H2979" s="7" t="s">
        <v>7156</v>
      </c>
      <c r="I2979" s="7"/>
      <c r="J2979" s="10">
        <v>45722</v>
      </c>
      <c r="K2979" s="7" t="s">
        <v>7164</v>
      </c>
      <c r="L2979" s="7"/>
      <c r="M2979" s="7"/>
    </row>
    <row r="2980" spans="1:13" x14ac:dyDescent="0.3">
      <c r="A2980" s="7">
        <v>18217</v>
      </c>
      <c r="B2980" s="7" t="s">
        <v>2988</v>
      </c>
      <c r="C2980" s="7" t="s">
        <v>6322</v>
      </c>
      <c r="D2980" s="7" t="s">
        <v>6724</v>
      </c>
      <c r="E2980" s="7" t="s">
        <v>6295</v>
      </c>
      <c r="F2980" s="7" t="s">
        <v>6726</v>
      </c>
      <c r="G2980" s="7" t="s">
        <v>7150</v>
      </c>
      <c r="H2980" s="7" t="s">
        <v>7156</v>
      </c>
      <c r="I2980" s="7"/>
      <c r="J2980" s="10">
        <v>46063</v>
      </c>
      <c r="K2980" s="7" t="s">
        <v>7164</v>
      </c>
      <c r="L2980" s="7"/>
      <c r="M2980" s="7"/>
    </row>
    <row r="2981" spans="1:13" x14ac:dyDescent="0.3">
      <c r="A2981" s="7">
        <v>18468</v>
      </c>
      <c r="B2981" s="7" t="s">
        <v>2989</v>
      </c>
      <c r="C2981" s="7" t="s">
        <v>6322</v>
      </c>
      <c r="D2981" s="7" t="s">
        <v>6724</v>
      </c>
      <c r="E2981" s="7" t="s">
        <v>6295</v>
      </c>
      <c r="F2981" s="7" t="s">
        <v>6726</v>
      </c>
      <c r="G2981" s="7" t="s">
        <v>7150</v>
      </c>
      <c r="H2981" s="7" t="s">
        <v>7156</v>
      </c>
      <c r="I2981" s="7"/>
      <c r="J2981" s="10">
        <v>46133</v>
      </c>
      <c r="K2981" s="7" t="s">
        <v>7164</v>
      </c>
      <c r="L2981" s="7"/>
      <c r="M2981" s="7"/>
    </row>
    <row r="2982" spans="1:13" x14ac:dyDescent="0.3">
      <c r="A2982" s="7">
        <v>18493</v>
      </c>
      <c r="B2982" s="7" t="s">
        <v>2990</v>
      </c>
      <c r="C2982" s="7" t="s">
        <v>6322</v>
      </c>
      <c r="D2982" s="7" t="s">
        <v>6724</v>
      </c>
      <c r="E2982" s="7" t="s">
        <v>6295</v>
      </c>
      <c r="F2982" s="7" t="s">
        <v>6414</v>
      </c>
      <c r="G2982" s="7" t="s">
        <v>7150</v>
      </c>
      <c r="H2982" s="7" t="s">
        <v>7156</v>
      </c>
      <c r="I2982" s="7" t="s">
        <v>7159</v>
      </c>
      <c r="J2982" s="10">
        <v>46136</v>
      </c>
      <c r="K2982" s="7" t="s">
        <v>7164</v>
      </c>
      <c r="L2982" s="7"/>
      <c r="M2982" s="7"/>
    </row>
    <row r="2983" spans="1:13" x14ac:dyDescent="0.3">
      <c r="A2983" s="7">
        <v>16607</v>
      </c>
      <c r="B2983" s="7" t="s">
        <v>2991</v>
      </c>
      <c r="C2983" s="7" t="s">
        <v>6322</v>
      </c>
      <c r="D2983" s="7" t="s">
        <v>6724</v>
      </c>
      <c r="E2983" s="7" t="s">
        <v>6295</v>
      </c>
      <c r="F2983" s="7" t="s">
        <v>6726</v>
      </c>
      <c r="G2983" s="7" t="s">
        <v>7150</v>
      </c>
      <c r="H2983" s="7" t="s">
        <v>7156</v>
      </c>
      <c r="I2983" s="7"/>
      <c r="J2983" s="10">
        <v>45496</v>
      </c>
      <c r="K2983" s="7" t="s">
        <v>7164</v>
      </c>
      <c r="L2983" s="7"/>
      <c r="M2983" s="7"/>
    </row>
    <row r="2984" spans="1:13" x14ac:dyDescent="0.3">
      <c r="A2984" s="7">
        <v>17939</v>
      </c>
      <c r="B2984" s="7" t="s">
        <v>2992</v>
      </c>
      <c r="C2984" s="7" t="s">
        <v>6322</v>
      </c>
      <c r="D2984" s="7" t="s">
        <v>6724</v>
      </c>
      <c r="E2984" s="7" t="s">
        <v>6295</v>
      </c>
      <c r="F2984" s="7" t="s">
        <v>6726</v>
      </c>
      <c r="G2984" s="7" t="s">
        <v>7150</v>
      </c>
      <c r="H2984" s="7" t="s">
        <v>7156</v>
      </c>
      <c r="I2984" s="7"/>
      <c r="J2984" s="10">
        <v>45931</v>
      </c>
      <c r="K2984" s="7" t="s">
        <v>7164</v>
      </c>
      <c r="L2984" s="7"/>
      <c r="M2984" s="7"/>
    </row>
    <row r="2985" spans="1:13" x14ac:dyDescent="0.3">
      <c r="A2985" s="7">
        <v>18175</v>
      </c>
      <c r="B2985" s="7" t="s">
        <v>2993</v>
      </c>
      <c r="C2985" s="7" t="s">
        <v>6322</v>
      </c>
      <c r="D2985" s="7" t="s">
        <v>6724</v>
      </c>
      <c r="E2985" s="7" t="s">
        <v>6295</v>
      </c>
      <c r="F2985" s="7" t="s">
        <v>6726</v>
      </c>
      <c r="G2985" s="7" t="s">
        <v>7150</v>
      </c>
      <c r="H2985" s="7" t="s">
        <v>7156</v>
      </c>
      <c r="I2985" s="7"/>
      <c r="J2985" s="10">
        <v>46029</v>
      </c>
      <c r="K2985" s="7" t="s">
        <v>7164</v>
      </c>
      <c r="L2985" s="7"/>
      <c r="M2985" s="7"/>
    </row>
    <row r="2986" spans="1:13" x14ac:dyDescent="0.3">
      <c r="A2986" s="7">
        <v>17418</v>
      </c>
      <c r="B2986" s="7" t="s">
        <v>2994</v>
      </c>
      <c r="C2986" s="7" t="s">
        <v>6322</v>
      </c>
      <c r="D2986" s="7" t="s">
        <v>6724</v>
      </c>
      <c r="E2986" s="7" t="s">
        <v>6295</v>
      </c>
      <c r="F2986" s="7" t="s">
        <v>6324</v>
      </c>
      <c r="G2986" s="7" t="s">
        <v>7150</v>
      </c>
      <c r="H2986" s="7" t="s">
        <v>7156</v>
      </c>
      <c r="I2986" s="7"/>
      <c r="J2986" s="10">
        <v>45755</v>
      </c>
      <c r="K2986" s="7" t="s">
        <v>7164</v>
      </c>
      <c r="L2986" s="7"/>
      <c r="M2986" s="7"/>
    </row>
    <row r="2987" spans="1:13" x14ac:dyDescent="0.3">
      <c r="A2987" s="7">
        <v>18037</v>
      </c>
      <c r="B2987" s="7" t="s">
        <v>2995</v>
      </c>
      <c r="C2987" s="7" t="s">
        <v>6322</v>
      </c>
      <c r="D2987" s="7" t="s">
        <v>6724</v>
      </c>
      <c r="E2987" s="7" t="s">
        <v>6295</v>
      </c>
      <c r="F2987" s="7" t="s">
        <v>6324</v>
      </c>
      <c r="G2987" s="7" t="s">
        <v>7150</v>
      </c>
      <c r="H2987" s="7" t="s">
        <v>7156</v>
      </c>
      <c r="I2987" s="7"/>
      <c r="J2987" s="10">
        <v>45973</v>
      </c>
      <c r="K2987" s="7" t="s">
        <v>7164</v>
      </c>
      <c r="L2987" s="7"/>
      <c r="M2987" s="7"/>
    </row>
    <row r="2988" spans="1:13" x14ac:dyDescent="0.3">
      <c r="A2988" s="7">
        <v>11973</v>
      </c>
      <c r="B2988" s="7" t="s">
        <v>2996</v>
      </c>
      <c r="C2988" s="7" t="s">
        <v>6322</v>
      </c>
      <c r="D2988" s="7" t="s">
        <v>6724</v>
      </c>
      <c r="E2988" s="7" t="s">
        <v>6295</v>
      </c>
      <c r="F2988" s="7" t="s">
        <v>6726</v>
      </c>
      <c r="G2988" s="7" t="s">
        <v>7150</v>
      </c>
      <c r="H2988" s="7" t="s">
        <v>7156</v>
      </c>
      <c r="I2988" s="7"/>
      <c r="J2988" s="10">
        <v>43349</v>
      </c>
      <c r="K2988" s="7" t="s">
        <v>7164</v>
      </c>
      <c r="L2988" s="7"/>
      <c r="M2988" s="7"/>
    </row>
    <row r="2989" spans="1:13" x14ac:dyDescent="0.3">
      <c r="A2989" s="7">
        <v>17867</v>
      </c>
      <c r="B2989" s="7" t="s">
        <v>2997</v>
      </c>
      <c r="C2989" s="7" t="s">
        <v>6322</v>
      </c>
      <c r="D2989" s="7" t="s">
        <v>6724</v>
      </c>
      <c r="E2989" s="7" t="s">
        <v>6295</v>
      </c>
      <c r="F2989" s="7" t="s">
        <v>6726</v>
      </c>
      <c r="G2989" s="7" t="s">
        <v>7150</v>
      </c>
      <c r="H2989" s="7" t="s">
        <v>7156</v>
      </c>
      <c r="I2989" s="7"/>
      <c r="J2989" s="10">
        <v>45901</v>
      </c>
      <c r="K2989" s="7" t="s">
        <v>7164</v>
      </c>
      <c r="L2989" s="7"/>
      <c r="M2989" s="7"/>
    </row>
    <row r="2990" spans="1:13" x14ac:dyDescent="0.3">
      <c r="A2990" s="7">
        <v>17755</v>
      </c>
      <c r="B2990" s="7" t="s">
        <v>2998</v>
      </c>
      <c r="C2990" s="7" t="s">
        <v>6322</v>
      </c>
      <c r="D2990" s="7" t="s">
        <v>6724</v>
      </c>
      <c r="E2990" s="7" t="s">
        <v>6295</v>
      </c>
      <c r="F2990" s="7" t="s">
        <v>6726</v>
      </c>
      <c r="G2990" s="7" t="s">
        <v>7150</v>
      </c>
      <c r="H2990" s="7" t="s">
        <v>7156</v>
      </c>
      <c r="I2990" s="7"/>
      <c r="J2990" s="10">
        <v>45866</v>
      </c>
      <c r="K2990" s="7" t="s">
        <v>7164</v>
      </c>
      <c r="L2990" s="7"/>
      <c r="M2990" s="7"/>
    </row>
    <row r="2991" spans="1:13" x14ac:dyDescent="0.3">
      <c r="A2991" s="7">
        <v>17373</v>
      </c>
      <c r="B2991" s="7" t="s">
        <v>2999</v>
      </c>
      <c r="C2991" s="7" t="s">
        <v>6322</v>
      </c>
      <c r="D2991" s="7" t="s">
        <v>6724</v>
      </c>
      <c r="E2991" s="7" t="s">
        <v>6295</v>
      </c>
      <c r="F2991" s="7" t="s">
        <v>6716</v>
      </c>
      <c r="G2991" s="7" t="s">
        <v>7150</v>
      </c>
      <c r="H2991" s="7" t="s">
        <v>7156</v>
      </c>
      <c r="I2991" s="7"/>
      <c r="J2991" s="10">
        <v>45726</v>
      </c>
      <c r="K2991" s="7" t="s">
        <v>7164</v>
      </c>
      <c r="L2991" s="7"/>
      <c r="M2991" s="7"/>
    </row>
    <row r="2992" spans="1:13" x14ac:dyDescent="0.3">
      <c r="A2992" s="7">
        <v>17432</v>
      </c>
      <c r="B2992" s="7" t="s">
        <v>3000</v>
      </c>
      <c r="C2992" s="7" t="s">
        <v>6322</v>
      </c>
      <c r="D2992" s="7" t="s">
        <v>6724</v>
      </c>
      <c r="E2992" s="7" t="s">
        <v>6295</v>
      </c>
      <c r="F2992" s="7" t="s">
        <v>6726</v>
      </c>
      <c r="G2992" s="7" t="s">
        <v>7150</v>
      </c>
      <c r="H2992" s="7" t="s">
        <v>7156</v>
      </c>
      <c r="I2992" s="7"/>
      <c r="J2992" s="10">
        <v>45761</v>
      </c>
      <c r="K2992" s="7" t="s">
        <v>7164</v>
      </c>
      <c r="L2992" s="7"/>
      <c r="M2992" s="7"/>
    </row>
    <row r="2993" spans="1:13" x14ac:dyDescent="0.3">
      <c r="A2993" s="7">
        <v>12953</v>
      </c>
      <c r="B2993" s="7" t="s">
        <v>3001</v>
      </c>
      <c r="C2993" s="7" t="s">
        <v>6327</v>
      </c>
      <c r="D2993" s="7" t="s">
        <v>6724</v>
      </c>
      <c r="E2993" s="7" t="s">
        <v>6295</v>
      </c>
      <c r="F2993" s="7" t="s">
        <v>6726</v>
      </c>
      <c r="G2993" s="7" t="s">
        <v>7150</v>
      </c>
      <c r="H2993" s="7" t="s">
        <v>7156</v>
      </c>
      <c r="I2993" s="7"/>
      <c r="J2993" s="10">
        <v>44139</v>
      </c>
      <c r="K2993" s="7" t="s">
        <v>7164</v>
      </c>
      <c r="L2993" s="7"/>
      <c r="M2993" s="7"/>
    </row>
    <row r="2994" spans="1:13" x14ac:dyDescent="0.3">
      <c r="A2994" s="7">
        <v>12143</v>
      </c>
      <c r="B2994" s="7" t="s">
        <v>3002</v>
      </c>
      <c r="C2994" s="7" t="s">
        <v>6322</v>
      </c>
      <c r="D2994" s="7" t="s">
        <v>6724</v>
      </c>
      <c r="E2994" s="7" t="s">
        <v>6295</v>
      </c>
      <c r="F2994" s="7" t="s">
        <v>6726</v>
      </c>
      <c r="G2994" s="7" t="s">
        <v>7150</v>
      </c>
      <c r="H2994" s="7" t="s">
        <v>7156</v>
      </c>
      <c r="I2994" s="7"/>
      <c r="J2994" s="10">
        <v>43516</v>
      </c>
      <c r="K2994" s="7" t="s">
        <v>7164</v>
      </c>
      <c r="L2994" s="7"/>
      <c r="M2994" s="7"/>
    </row>
    <row r="2995" spans="1:13" x14ac:dyDescent="0.3">
      <c r="A2995" s="7">
        <v>16658</v>
      </c>
      <c r="B2995" s="7" t="s">
        <v>3003</v>
      </c>
      <c r="C2995" s="7" t="s">
        <v>6322</v>
      </c>
      <c r="D2995" s="7" t="s">
        <v>6724</v>
      </c>
      <c r="E2995" s="7" t="s">
        <v>6295</v>
      </c>
      <c r="F2995" s="7" t="s">
        <v>6726</v>
      </c>
      <c r="G2995" s="7" t="s">
        <v>7150</v>
      </c>
      <c r="H2995" s="7" t="s">
        <v>7156</v>
      </c>
      <c r="I2995" s="7"/>
      <c r="J2995" s="10">
        <v>45516</v>
      </c>
      <c r="K2995" s="7" t="s">
        <v>7164</v>
      </c>
      <c r="L2995" s="7"/>
      <c r="M2995" s="7"/>
    </row>
    <row r="2996" spans="1:13" x14ac:dyDescent="0.3">
      <c r="A2996" s="7">
        <v>14768</v>
      </c>
      <c r="B2996" s="7" t="s">
        <v>3004</v>
      </c>
      <c r="C2996" s="7" t="s">
        <v>6322</v>
      </c>
      <c r="D2996" s="7" t="s">
        <v>6724</v>
      </c>
      <c r="E2996" s="7" t="s">
        <v>6295</v>
      </c>
      <c r="F2996" s="7" t="s">
        <v>6324</v>
      </c>
      <c r="G2996" s="7" t="s">
        <v>7150</v>
      </c>
      <c r="H2996" s="7" t="s">
        <v>7156</v>
      </c>
      <c r="I2996" s="7"/>
      <c r="J2996" s="10">
        <v>44854</v>
      </c>
      <c r="K2996" s="7" t="s">
        <v>7164</v>
      </c>
      <c r="L2996" s="7"/>
      <c r="M2996" s="7"/>
    </row>
    <row r="2997" spans="1:13" x14ac:dyDescent="0.3">
      <c r="A2997" s="7">
        <v>17080</v>
      </c>
      <c r="B2997" s="7" t="s">
        <v>3005</v>
      </c>
      <c r="C2997" s="7" t="s">
        <v>6733</v>
      </c>
      <c r="D2997" s="7" t="s">
        <v>6295</v>
      </c>
      <c r="E2997" s="7" t="s">
        <v>6295</v>
      </c>
      <c r="F2997" s="7" t="s">
        <v>6712</v>
      </c>
      <c r="G2997" s="7" t="s">
        <v>7150</v>
      </c>
      <c r="H2997" s="7" t="s">
        <v>7156</v>
      </c>
      <c r="I2997" s="7"/>
      <c r="J2997" s="10">
        <v>45624</v>
      </c>
      <c r="K2997" s="7" t="s">
        <v>7164</v>
      </c>
      <c r="L2997" s="7"/>
      <c r="M2997" s="7"/>
    </row>
    <row r="2998" spans="1:13" x14ac:dyDescent="0.3">
      <c r="A2998" s="7">
        <v>18637</v>
      </c>
      <c r="B2998" s="7" t="s">
        <v>3006</v>
      </c>
      <c r="C2998" s="7" t="s">
        <v>6733</v>
      </c>
      <c r="D2998" s="7" t="s">
        <v>6295</v>
      </c>
      <c r="E2998" s="7" t="s">
        <v>6295</v>
      </c>
      <c r="F2998" s="7" t="s">
        <v>6721</v>
      </c>
      <c r="G2998" s="7" t="s">
        <v>7150</v>
      </c>
      <c r="H2998" s="7" t="s">
        <v>7156</v>
      </c>
      <c r="I2998" s="7"/>
      <c r="J2998" s="10">
        <v>46178</v>
      </c>
      <c r="K2998" s="7" t="s">
        <v>7164</v>
      </c>
      <c r="L2998" s="7"/>
      <c r="M2998" s="7"/>
    </row>
    <row r="2999" spans="1:13" x14ac:dyDescent="0.3">
      <c r="A2999" s="7">
        <v>18787</v>
      </c>
      <c r="B2999" s="7" t="s">
        <v>3007</v>
      </c>
      <c r="C2999" s="7" t="s">
        <v>6733</v>
      </c>
      <c r="D2999" s="7" t="s">
        <v>6295</v>
      </c>
      <c r="E2999" s="7" t="s">
        <v>6295</v>
      </c>
      <c r="F2999" s="7" t="s">
        <v>6722</v>
      </c>
      <c r="G2999" s="7" t="s">
        <v>7150</v>
      </c>
      <c r="H2999" s="7" t="s">
        <v>7156</v>
      </c>
      <c r="I2999" s="7"/>
      <c r="J2999" s="10">
        <v>46212</v>
      </c>
      <c r="K2999" s="7" t="s">
        <v>7164</v>
      </c>
      <c r="L2999" s="7"/>
      <c r="M2999" s="7"/>
    </row>
    <row r="3000" spans="1:13" x14ac:dyDescent="0.3">
      <c r="A3000" s="7">
        <v>13791</v>
      </c>
      <c r="B3000" s="7" t="s">
        <v>3008</v>
      </c>
      <c r="C3000" s="7" t="s">
        <v>6322</v>
      </c>
      <c r="D3000" s="7" t="s">
        <v>6724</v>
      </c>
      <c r="E3000" s="7" t="s">
        <v>6295</v>
      </c>
      <c r="F3000" s="7" t="s">
        <v>6324</v>
      </c>
      <c r="G3000" s="7" t="s">
        <v>7150</v>
      </c>
      <c r="H3000" s="7" t="s">
        <v>7156</v>
      </c>
      <c r="I3000" s="7"/>
      <c r="J3000" s="10">
        <v>44578</v>
      </c>
      <c r="K3000" s="7" t="s">
        <v>7164</v>
      </c>
      <c r="L3000" s="7"/>
      <c r="M3000" s="7"/>
    </row>
    <row r="3001" spans="1:13" x14ac:dyDescent="0.3">
      <c r="A3001" s="7">
        <v>18935</v>
      </c>
      <c r="B3001" s="7" t="s">
        <v>3009</v>
      </c>
      <c r="C3001" s="7" t="s">
        <v>6322</v>
      </c>
      <c r="D3001" s="7" t="s">
        <v>6724</v>
      </c>
      <c r="E3001" s="7" t="s">
        <v>6295</v>
      </c>
      <c r="F3001" s="7" t="s">
        <v>6324</v>
      </c>
      <c r="G3001" s="7" t="s">
        <v>7150</v>
      </c>
      <c r="H3001" s="7" t="s">
        <v>7156</v>
      </c>
      <c r="I3001" s="7"/>
      <c r="J3001" s="10">
        <v>46245</v>
      </c>
      <c r="K3001" s="7" t="s">
        <v>7164</v>
      </c>
      <c r="L3001" s="7"/>
      <c r="M3001" s="7"/>
    </row>
    <row r="3002" spans="1:13" x14ac:dyDescent="0.3">
      <c r="A3002" s="7">
        <v>17810</v>
      </c>
      <c r="B3002" s="7" t="s">
        <v>3010</v>
      </c>
      <c r="C3002" s="7" t="s">
        <v>6322</v>
      </c>
      <c r="D3002" s="7" t="s">
        <v>6724</v>
      </c>
      <c r="E3002" s="7" t="s">
        <v>6295</v>
      </c>
      <c r="F3002" s="7" t="s">
        <v>6726</v>
      </c>
      <c r="G3002" s="7" t="s">
        <v>7150</v>
      </c>
      <c r="H3002" s="7" t="s">
        <v>7156</v>
      </c>
      <c r="I3002" s="7"/>
      <c r="J3002" s="10">
        <v>45888</v>
      </c>
      <c r="K3002" s="7" t="s">
        <v>7164</v>
      </c>
      <c r="L3002" s="7"/>
      <c r="M3002" s="7"/>
    </row>
    <row r="3003" spans="1:13" x14ac:dyDescent="0.3">
      <c r="A3003" s="7">
        <v>17646</v>
      </c>
      <c r="B3003" s="7" t="s">
        <v>3011</v>
      </c>
      <c r="C3003" s="7" t="s">
        <v>6322</v>
      </c>
      <c r="D3003" s="7" t="s">
        <v>6724</v>
      </c>
      <c r="E3003" s="7" t="s">
        <v>6295</v>
      </c>
      <c r="F3003" s="7" t="s">
        <v>6726</v>
      </c>
      <c r="G3003" s="7" t="s">
        <v>7150</v>
      </c>
      <c r="H3003" s="7" t="s">
        <v>7156</v>
      </c>
      <c r="I3003" s="7"/>
      <c r="J3003" s="10">
        <v>45827</v>
      </c>
      <c r="K3003" s="7" t="s">
        <v>7164</v>
      </c>
      <c r="L3003" s="7"/>
      <c r="M3003" s="7"/>
    </row>
    <row r="3004" spans="1:13" x14ac:dyDescent="0.3">
      <c r="A3004" s="7">
        <v>13804</v>
      </c>
      <c r="B3004" s="7" t="s">
        <v>3012</v>
      </c>
      <c r="C3004" s="7" t="s">
        <v>6322</v>
      </c>
      <c r="D3004" s="7" t="s">
        <v>6724</v>
      </c>
      <c r="E3004" s="7" t="s">
        <v>6295</v>
      </c>
      <c r="F3004" s="7" t="s">
        <v>6726</v>
      </c>
      <c r="G3004" s="7" t="s">
        <v>7150</v>
      </c>
      <c r="H3004" s="7" t="s">
        <v>7156</v>
      </c>
      <c r="I3004" s="7"/>
      <c r="J3004" s="10">
        <v>44582</v>
      </c>
      <c r="K3004" s="7" t="s">
        <v>7164</v>
      </c>
      <c r="L3004" s="7"/>
      <c r="M3004" s="7"/>
    </row>
    <row r="3005" spans="1:13" x14ac:dyDescent="0.3">
      <c r="A3005" s="7">
        <v>14769</v>
      </c>
      <c r="B3005" s="7" t="s">
        <v>3013</v>
      </c>
      <c r="C3005" s="7" t="s">
        <v>6646</v>
      </c>
      <c r="D3005" s="7" t="s">
        <v>6708</v>
      </c>
      <c r="E3005" s="7" t="s">
        <v>6295</v>
      </c>
      <c r="F3005" s="7" t="s">
        <v>6726</v>
      </c>
      <c r="G3005" s="7" t="s">
        <v>7150</v>
      </c>
      <c r="H3005" s="7" t="s">
        <v>7156</v>
      </c>
      <c r="I3005" s="7"/>
      <c r="J3005" s="10">
        <v>44854</v>
      </c>
      <c r="K3005" s="7" t="s">
        <v>7164</v>
      </c>
      <c r="L3005" s="7"/>
      <c r="M3005" s="7"/>
    </row>
    <row r="3006" spans="1:13" x14ac:dyDescent="0.3">
      <c r="A3006" s="7">
        <v>17952</v>
      </c>
      <c r="B3006" s="7" t="s">
        <v>3014</v>
      </c>
      <c r="C3006" s="7" t="s">
        <v>6646</v>
      </c>
      <c r="D3006" s="7" t="s">
        <v>6708</v>
      </c>
      <c r="E3006" s="7" t="s">
        <v>6295</v>
      </c>
      <c r="F3006" s="7" t="s">
        <v>6726</v>
      </c>
      <c r="G3006" s="7" t="s">
        <v>7150</v>
      </c>
      <c r="H3006" s="7" t="s">
        <v>7156</v>
      </c>
      <c r="I3006" s="7"/>
      <c r="J3006" s="10">
        <v>45936</v>
      </c>
      <c r="K3006" s="7" t="s">
        <v>7164</v>
      </c>
      <c r="L3006" s="7"/>
      <c r="M3006" s="7"/>
    </row>
    <row r="3007" spans="1:13" x14ac:dyDescent="0.3">
      <c r="A3007" s="7">
        <v>14973</v>
      </c>
      <c r="B3007" s="7" t="s">
        <v>3015</v>
      </c>
      <c r="C3007" s="7" t="s">
        <v>6327</v>
      </c>
      <c r="D3007" s="7" t="s">
        <v>6724</v>
      </c>
      <c r="E3007" s="7" t="s">
        <v>6295</v>
      </c>
      <c r="F3007" s="7" t="s">
        <v>6324</v>
      </c>
      <c r="G3007" s="7" t="s">
        <v>7150</v>
      </c>
      <c r="H3007" s="7" t="s">
        <v>7156</v>
      </c>
      <c r="I3007" s="7"/>
      <c r="J3007" s="10">
        <v>44908</v>
      </c>
      <c r="K3007" s="7" t="s">
        <v>7164</v>
      </c>
      <c r="L3007" s="7"/>
      <c r="M3007" s="7"/>
    </row>
    <row r="3008" spans="1:13" x14ac:dyDescent="0.3">
      <c r="A3008" s="7">
        <v>16790</v>
      </c>
      <c r="B3008" s="7" t="s">
        <v>3016</v>
      </c>
      <c r="C3008" s="7" t="s">
        <v>6327</v>
      </c>
      <c r="D3008" s="7" t="s">
        <v>6724</v>
      </c>
      <c r="E3008" s="7" t="s">
        <v>6295</v>
      </c>
      <c r="F3008" s="7" t="s">
        <v>6734</v>
      </c>
      <c r="G3008" s="7" t="s">
        <v>7150</v>
      </c>
      <c r="H3008" s="7" t="s">
        <v>7156</v>
      </c>
      <c r="I3008" s="7"/>
      <c r="J3008" s="10">
        <v>45548</v>
      </c>
      <c r="K3008" s="7" t="s">
        <v>7164</v>
      </c>
      <c r="L3008" s="7"/>
      <c r="M3008" s="7"/>
    </row>
    <row r="3009" spans="1:13" x14ac:dyDescent="0.3">
      <c r="A3009" s="7">
        <v>16228</v>
      </c>
      <c r="B3009" s="7" t="s">
        <v>3017</v>
      </c>
      <c r="C3009" s="7" t="s">
        <v>6327</v>
      </c>
      <c r="D3009" s="7" t="s">
        <v>6724</v>
      </c>
      <c r="E3009" s="7" t="s">
        <v>6295</v>
      </c>
      <c r="F3009" s="7" t="s">
        <v>6725</v>
      </c>
      <c r="G3009" s="7" t="s">
        <v>7150</v>
      </c>
      <c r="H3009" s="7" t="s">
        <v>7156</v>
      </c>
      <c r="I3009" s="7"/>
      <c r="J3009" s="10">
        <v>45324</v>
      </c>
      <c r="K3009" s="7" t="s">
        <v>7164</v>
      </c>
      <c r="L3009" s="7"/>
      <c r="M3009" s="7"/>
    </row>
    <row r="3010" spans="1:13" x14ac:dyDescent="0.3">
      <c r="A3010" s="7">
        <v>12941</v>
      </c>
      <c r="B3010" s="7" t="s">
        <v>3018</v>
      </c>
      <c r="C3010" s="7" t="s">
        <v>6327</v>
      </c>
      <c r="D3010" s="7" t="s">
        <v>6724</v>
      </c>
      <c r="E3010" s="7" t="s">
        <v>6295</v>
      </c>
      <c r="F3010" s="7" t="s">
        <v>6712</v>
      </c>
      <c r="G3010" s="7" t="s">
        <v>7150</v>
      </c>
      <c r="H3010" s="7" t="s">
        <v>7156</v>
      </c>
      <c r="I3010" s="7"/>
      <c r="J3010" s="10">
        <v>44124</v>
      </c>
      <c r="K3010" s="7" t="s">
        <v>7164</v>
      </c>
      <c r="L3010" s="7"/>
      <c r="M3010" s="7"/>
    </row>
    <row r="3011" spans="1:13" x14ac:dyDescent="0.3">
      <c r="A3011" s="7">
        <v>16610</v>
      </c>
      <c r="B3011" s="7" t="s">
        <v>3019</v>
      </c>
      <c r="C3011" s="7" t="s">
        <v>6327</v>
      </c>
      <c r="D3011" s="7" t="s">
        <v>6724</v>
      </c>
      <c r="E3011" s="7" t="s">
        <v>6295</v>
      </c>
      <c r="F3011" s="7" t="s">
        <v>6725</v>
      </c>
      <c r="G3011" s="7" t="s">
        <v>7150</v>
      </c>
      <c r="H3011" s="7" t="s">
        <v>7156</v>
      </c>
      <c r="I3011" s="7"/>
      <c r="J3011" s="10">
        <v>45495</v>
      </c>
      <c r="K3011" s="7" t="s">
        <v>7164</v>
      </c>
      <c r="L3011" s="7"/>
      <c r="M3011" s="7"/>
    </row>
    <row r="3012" spans="1:13" x14ac:dyDescent="0.3">
      <c r="A3012" s="7">
        <v>17811</v>
      </c>
      <c r="B3012" s="7" t="s">
        <v>3020</v>
      </c>
      <c r="C3012" s="7" t="s">
        <v>6327</v>
      </c>
      <c r="D3012" s="7" t="s">
        <v>6724</v>
      </c>
      <c r="E3012" s="7" t="s">
        <v>6295</v>
      </c>
      <c r="F3012" s="7" t="s">
        <v>6725</v>
      </c>
      <c r="G3012" s="7" t="s">
        <v>7150</v>
      </c>
      <c r="H3012" s="7" t="s">
        <v>7156</v>
      </c>
      <c r="I3012" s="7"/>
      <c r="J3012" s="10">
        <v>45881</v>
      </c>
      <c r="K3012" s="7" t="s">
        <v>7164</v>
      </c>
      <c r="L3012" s="7"/>
      <c r="M3012" s="7"/>
    </row>
    <row r="3013" spans="1:13" x14ac:dyDescent="0.3">
      <c r="A3013" s="7">
        <v>17865</v>
      </c>
      <c r="B3013" s="7" t="s">
        <v>3021</v>
      </c>
      <c r="C3013" s="7" t="s">
        <v>6327</v>
      </c>
      <c r="D3013" s="7" t="s">
        <v>6724</v>
      </c>
      <c r="E3013" s="7" t="s">
        <v>6295</v>
      </c>
      <c r="F3013" s="7" t="s">
        <v>6725</v>
      </c>
      <c r="G3013" s="7" t="s">
        <v>7150</v>
      </c>
      <c r="H3013" s="7" t="s">
        <v>7156</v>
      </c>
      <c r="I3013" s="7"/>
      <c r="J3013" s="10">
        <v>45896</v>
      </c>
      <c r="K3013" s="7" t="s">
        <v>7164</v>
      </c>
      <c r="L3013" s="7"/>
      <c r="M3013" s="7"/>
    </row>
    <row r="3014" spans="1:13" x14ac:dyDescent="0.3">
      <c r="A3014" s="7">
        <v>16618</v>
      </c>
      <c r="B3014" s="7" t="s">
        <v>3022</v>
      </c>
      <c r="C3014" s="7" t="s">
        <v>6327</v>
      </c>
      <c r="D3014" s="7" t="s">
        <v>6724</v>
      </c>
      <c r="E3014" s="7" t="s">
        <v>6295</v>
      </c>
      <c r="F3014" s="7" t="s">
        <v>6725</v>
      </c>
      <c r="G3014" s="7" t="s">
        <v>7150</v>
      </c>
      <c r="H3014" s="7" t="s">
        <v>7156</v>
      </c>
      <c r="I3014" s="7"/>
      <c r="J3014" s="10">
        <v>45497</v>
      </c>
      <c r="K3014" s="7" t="s">
        <v>7164</v>
      </c>
      <c r="L3014" s="7"/>
      <c r="M3014" s="7"/>
    </row>
    <row r="3015" spans="1:13" x14ac:dyDescent="0.3">
      <c r="A3015" s="7">
        <v>13204</v>
      </c>
      <c r="B3015" s="7" t="s">
        <v>3023</v>
      </c>
      <c r="C3015" s="7" t="s">
        <v>6322</v>
      </c>
      <c r="D3015" s="7" t="s">
        <v>6724</v>
      </c>
      <c r="E3015" s="7" t="s">
        <v>6295</v>
      </c>
      <c r="F3015" s="7" t="s">
        <v>6725</v>
      </c>
      <c r="G3015" s="7" t="s">
        <v>7150</v>
      </c>
      <c r="H3015" s="7" t="s">
        <v>7156</v>
      </c>
      <c r="I3015" s="7"/>
      <c r="J3015" s="10">
        <v>44321</v>
      </c>
      <c r="K3015" s="7" t="s">
        <v>7164</v>
      </c>
      <c r="L3015" s="7"/>
      <c r="M3015" s="7"/>
    </row>
    <row r="3016" spans="1:13" x14ac:dyDescent="0.3">
      <c r="A3016" s="7">
        <v>13205</v>
      </c>
      <c r="B3016" s="7" t="s">
        <v>3024</v>
      </c>
      <c r="C3016" s="7" t="s">
        <v>6327</v>
      </c>
      <c r="D3016" s="7" t="s">
        <v>6724</v>
      </c>
      <c r="E3016" s="7" t="s">
        <v>6295</v>
      </c>
      <c r="F3016" s="7" t="s">
        <v>6725</v>
      </c>
      <c r="G3016" s="7" t="s">
        <v>7150</v>
      </c>
      <c r="H3016" s="7" t="s">
        <v>7156</v>
      </c>
      <c r="I3016" s="7"/>
      <c r="J3016" s="10">
        <v>44321</v>
      </c>
      <c r="K3016" s="7" t="s">
        <v>7164</v>
      </c>
      <c r="L3016" s="7"/>
      <c r="M3016" s="7"/>
    </row>
    <row r="3017" spans="1:13" x14ac:dyDescent="0.3">
      <c r="A3017" s="7">
        <v>15958</v>
      </c>
      <c r="B3017" s="7" t="s">
        <v>3025</v>
      </c>
      <c r="C3017" s="7" t="s">
        <v>6327</v>
      </c>
      <c r="D3017" s="7" t="s">
        <v>6724</v>
      </c>
      <c r="E3017" s="7" t="s">
        <v>6295</v>
      </c>
      <c r="F3017" s="7" t="s">
        <v>6725</v>
      </c>
      <c r="G3017" s="7" t="s">
        <v>7150</v>
      </c>
      <c r="H3017" s="7" t="s">
        <v>7156</v>
      </c>
      <c r="I3017" s="7"/>
      <c r="J3017" s="10">
        <v>45251</v>
      </c>
      <c r="K3017" s="7" t="s">
        <v>7164</v>
      </c>
      <c r="L3017" s="7"/>
      <c r="M3017" s="7"/>
    </row>
    <row r="3018" spans="1:13" x14ac:dyDescent="0.3">
      <c r="A3018" s="7">
        <v>12340</v>
      </c>
      <c r="B3018" s="7" t="s">
        <v>3026</v>
      </c>
      <c r="C3018" s="7" t="s">
        <v>6327</v>
      </c>
      <c r="D3018" s="7" t="s">
        <v>6724</v>
      </c>
      <c r="E3018" s="7" t="s">
        <v>6295</v>
      </c>
      <c r="F3018" s="7" t="s">
        <v>6712</v>
      </c>
      <c r="G3018" s="7" t="s">
        <v>7150</v>
      </c>
      <c r="H3018" s="7" t="s">
        <v>7156</v>
      </c>
      <c r="I3018" s="7"/>
      <c r="J3018" s="10">
        <v>43692</v>
      </c>
      <c r="K3018" s="7" t="s">
        <v>7164</v>
      </c>
      <c r="L3018" s="7"/>
      <c r="M3018" s="7"/>
    </row>
    <row r="3019" spans="1:13" x14ac:dyDescent="0.3">
      <c r="A3019" s="7">
        <v>12578</v>
      </c>
      <c r="B3019" s="7" t="s">
        <v>3027</v>
      </c>
      <c r="C3019" s="7" t="s">
        <v>6327</v>
      </c>
      <c r="D3019" s="7" t="s">
        <v>6724</v>
      </c>
      <c r="E3019" s="7" t="s">
        <v>6295</v>
      </c>
      <c r="F3019" s="7" t="s">
        <v>6726</v>
      </c>
      <c r="G3019" s="7" t="s">
        <v>7150</v>
      </c>
      <c r="H3019" s="7" t="s">
        <v>7156</v>
      </c>
      <c r="I3019" s="7"/>
      <c r="J3019" s="10">
        <v>43816</v>
      </c>
      <c r="K3019" s="7" t="s">
        <v>7164</v>
      </c>
      <c r="L3019" s="7"/>
      <c r="M3019" s="7"/>
    </row>
    <row r="3020" spans="1:13" x14ac:dyDescent="0.3">
      <c r="A3020" s="7">
        <v>17954</v>
      </c>
      <c r="B3020" s="7" t="s">
        <v>3028</v>
      </c>
      <c r="C3020" s="7" t="s">
        <v>6327</v>
      </c>
      <c r="D3020" s="7" t="s">
        <v>6724</v>
      </c>
      <c r="E3020" s="7" t="s">
        <v>6295</v>
      </c>
      <c r="F3020" s="7" t="s">
        <v>6726</v>
      </c>
      <c r="G3020" s="7" t="s">
        <v>7150</v>
      </c>
      <c r="H3020" s="7" t="s">
        <v>7156</v>
      </c>
      <c r="I3020" s="7"/>
      <c r="J3020" s="10">
        <v>45936</v>
      </c>
      <c r="K3020" s="7" t="s">
        <v>7164</v>
      </c>
      <c r="L3020" s="7"/>
      <c r="M3020" s="7"/>
    </row>
    <row r="3021" spans="1:13" x14ac:dyDescent="0.3">
      <c r="A3021" s="7">
        <v>17530</v>
      </c>
      <c r="B3021" s="7" t="s">
        <v>3029</v>
      </c>
      <c r="C3021" s="7" t="s">
        <v>6327</v>
      </c>
      <c r="D3021" s="7" t="s">
        <v>6724</v>
      </c>
      <c r="E3021" s="7" t="s">
        <v>6295</v>
      </c>
      <c r="F3021" s="7" t="s">
        <v>6726</v>
      </c>
      <c r="G3021" s="7" t="s">
        <v>7150</v>
      </c>
      <c r="H3021" s="7" t="s">
        <v>7156</v>
      </c>
      <c r="I3021" s="7"/>
      <c r="J3021" s="10">
        <v>45789</v>
      </c>
      <c r="K3021" s="7" t="s">
        <v>7164</v>
      </c>
      <c r="L3021" s="7"/>
      <c r="M3021" s="7"/>
    </row>
    <row r="3022" spans="1:13" x14ac:dyDescent="0.3">
      <c r="A3022" s="7">
        <v>17883</v>
      </c>
      <c r="B3022" s="7" t="s">
        <v>3030</v>
      </c>
      <c r="C3022" s="7" t="s">
        <v>6327</v>
      </c>
      <c r="D3022" s="7" t="s">
        <v>6724</v>
      </c>
      <c r="E3022" s="7" t="s">
        <v>6295</v>
      </c>
      <c r="F3022" s="7" t="s">
        <v>6726</v>
      </c>
      <c r="G3022" s="7" t="s">
        <v>7150</v>
      </c>
      <c r="H3022" s="7" t="s">
        <v>7156</v>
      </c>
      <c r="I3022" s="7"/>
      <c r="J3022" s="10">
        <v>45912</v>
      </c>
      <c r="K3022" s="7" t="s">
        <v>7164</v>
      </c>
      <c r="L3022" s="7"/>
      <c r="M3022" s="7"/>
    </row>
    <row r="3023" spans="1:13" x14ac:dyDescent="0.3">
      <c r="A3023" s="7">
        <v>15682</v>
      </c>
      <c r="B3023" s="7" t="s">
        <v>3031</v>
      </c>
      <c r="C3023" s="7" t="s">
        <v>6327</v>
      </c>
      <c r="D3023" s="7" t="s">
        <v>6724</v>
      </c>
      <c r="E3023" s="7" t="s">
        <v>6295</v>
      </c>
      <c r="F3023" s="7" t="s">
        <v>6716</v>
      </c>
      <c r="G3023" s="7" t="s">
        <v>7150</v>
      </c>
      <c r="H3023" s="7" t="s">
        <v>7156</v>
      </c>
      <c r="I3023" s="7"/>
      <c r="J3023" s="10">
        <v>45163</v>
      </c>
      <c r="K3023" s="7" t="s">
        <v>7164</v>
      </c>
      <c r="L3023" s="7"/>
      <c r="M3023" s="7"/>
    </row>
    <row r="3024" spans="1:13" x14ac:dyDescent="0.3">
      <c r="A3024" s="7">
        <v>13054</v>
      </c>
      <c r="B3024" s="7" t="s">
        <v>3032</v>
      </c>
      <c r="C3024" s="7" t="s">
        <v>6322</v>
      </c>
      <c r="D3024" s="7" t="s">
        <v>6724</v>
      </c>
      <c r="E3024" s="7" t="s">
        <v>6295</v>
      </c>
      <c r="F3024" s="7" t="s">
        <v>6324</v>
      </c>
      <c r="G3024" s="7" t="s">
        <v>7150</v>
      </c>
      <c r="H3024" s="7" t="s">
        <v>7156</v>
      </c>
      <c r="I3024" s="7"/>
      <c r="J3024" s="10">
        <v>44229</v>
      </c>
      <c r="K3024" s="7" t="s">
        <v>7164</v>
      </c>
      <c r="L3024" s="7"/>
      <c r="M3024" s="7"/>
    </row>
    <row r="3025" spans="1:13" x14ac:dyDescent="0.3">
      <c r="A3025" s="7">
        <v>16242</v>
      </c>
      <c r="B3025" s="7" t="s">
        <v>3033</v>
      </c>
      <c r="C3025" s="7" t="s">
        <v>6327</v>
      </c>
      <c r="D3025" s="7" t="s">
        <v>6724</v>
      </c>
      <c r="E3025" s="7" t="s">
        <v>6295</v>
      </c>
      <c r="F3025" s="7" t="s">
        <v>6726</v>
      </c>
      <c r="G3025" s="7" t="s">
        <v>7150</v>
      </c>
      <c r="H3025" s="7" t="s">
        <v>7156</v>
      </c>
      <c r="I3025" s="7"/>
      <c r="J3025" s="10">
        <v>45335</v>
      </c>
      <c r="K3025" s="7" t="s">
        <v>7164</v>
      </c>
      <c r="L3025" s="7"/>
      <c r="M3025" s="7"/>
    </row>
    <row r="3026" spans="1:13" x14ac:dyDescent="0.3">
      <c r="A3026" s="7">
        <v>15486</v>
      </c>
      <c r="B3026" s="7" t="s">
        <v>3034</v>
      </c>
      <c r="C3026" s="7" t="s">
        <v>6327</v>
      </c>
      <c r="D3026" s="7" t="s">
        <v>6724</v>
      </c>
      <c r="E3026" s="7" t="s">
        <v>6295</v>
      </c>
      <c r="F3026" s="7" t="s">
        <v>6726</v>
      </c>
      <c r="G3026" s="7" t="s">
        <v>7150</v>
      </c>
      <c r="H3026" s="7" t="s">
        <v>7156</v>
      </c>
      <c r="I3026" s="7"/>
      <c r="J3026" s="10">
        <v>45089</v>
      </c>
      <c r="K3026" s="7" t="s">
        <v>7164</v>
      </c>
      <c r="L3026" s="7"/>
      <c r="M3026" s="7"/>
    </row>
    <row r="3027" spans="1:13" x14ac:dyDescent="0.3">
      <c r="A3027" s="7">
        <v>16549</v>
      </c>
      <c r="B3027" s="7" t="s">
        <v>3035</v>
      </c>
      <c r="C3027" s="7" t="s">
        <v>6327</v>
      </c>
      <c r="D3027" s="7" t="s">
        <v>6724</v>
      </c>
      <c r="E3027" s="7" t="s">
        <v>6295</v>
      </c>
      <c r="F3027" s="7" t="s">
        <v>6726</v>
      </c>
      <c r="G3027" s="7" t="s">
        <v>7150</v>
      </c>
      <c r="H3027" s="7" t="s">
        <v>7156</v>
      </c>
      <c r="I3027" s="7"/>
      <c r="J3027" s="10">
        <v>45482</v>
      </c>
      <c r="K3027" s="7" t="s">
        <v>7164</v>
      </c>
      <c r="L3027" s="7"/>
      <c r="M3027" s="7"/>
    </row>
    <row r="3028" spans="1:13" x14ac:dyDescent="0.3">
      <c r="A3028" s="7">
        <v>14347</v>
      </c>
      <c r="B3028" s="7" t="s">
        <v>3036</v>
      </c>
      <c r="C3028" s="7" t="s">
        <v>6327</v>
      </c>
      <c r="D3028" s="7" t="s">
        <v>6724</v>
      </c>
      <c r="E3028" s="7" t="s">
        <v>6295</v>
      </c>
      <c r="F3028" s="7" t="s">
        <v>6726</v>
      </c>
      <c r="G3028" s="7" t="s">
        <v>7150</v>
      </c>
      <c r="H3028" s="7" t="s">
        <v>7156</v>
      </c>
      <c r="I3028" s="7"/>
      <c r="J3028" s="10">
        <v>44740</v>
      </c>
      <c r="K3028" s="7" t="s">
        <v>7164</v>
      </c>
      <c r="L3028" s="7"/>
      <c r="M3028" s="7"/>
    </row>
    <row r="3029" spans="1:13" x14ac:dyDescent="0.3">
      <c r="A3029" s="7">
        <v>12650</v>
      </c>
      <c r="B3029" s="7" t="s">
        <v>3037</v>
      </c>
      <c r="C3029" s="7" t="s">
        <v>6327</v>
      </c>
      <c r="D3029" s="7" t="s">
        <v>6724</v>
      </c>
      <c r="E3029" s="7" t="s">
        <v>6295</v>
      </c>
      <c r="F3029" s="7" t="s">
        <v>6726</v>
      </c>
      <c r="G3029" s="7" t="s">
        <v>7150</v>
      </c>
      <c r="H3029" s="7" t="s">
        <v>7156</v>
      </c>
      <c r="I3029" s="7"/>
      <c r="J3029" s="10">
        <v>43853</v>
      </c>
      <c r="K3029" s="7" t="s">
        <v>7164</v>
      </c>
      <c r="L3029" s="7"/>
      <c r="M3029" s="7"/>
    </row>
    <row r="3030" spans="1:13" x14ac:dyDescent="0.3">
      <c r="A3030" s="7">
        <v>13473</v>
      </c>
      <c r="B3030" s="7" t="s">
        <v>3038</v>
      </c>
      <c r="C3030" s="7" t="s">
        <v>6327</v>
      </c>
      <c r="D3030" s="7" t="s">
        <v>6724</v>
      </c>
      <c r="E3030" s="7" t="s">
        <v>6295</v>
      </c>
      <c r="F3030" s="7" t="s">
        <v>6726</v>
      </c>
      <c r="G3030" s="7" t="s">
        <v>7150</v>
      </c>
      <c r="H3030" s="7" t="s">
        <v>7156</v>
      </c>
      <c r="I3030" s="7"/>
      <c r="J3030" s="10">
        <v>44473</v>
      </c>
      <c r="K3030" s="7" t="s">
        <v>7164</v>
      </c>
      <c r="L3030" s="7"/>
      <c r="M3030" s="7"/>
    </row>
    <row r="3031" spans="1:13" x14ac:dyDescent="0.3">
      <c r="A3031" s="7">
        <v>16529</v>
      </c>
      <c r="B3031" s="7" t="s">
        <v>3039</v>
      </c>
      <c r="C3031" s="7" t="s">
        <v>6327</v>
      </c>
      <c r="D3031" s="7" t="s">
        <v>6724</v>
      </c>
      <c r="E3031" s="7" t="s">
        <v>6295</v>
      </c>
      <c r="F3031" s="7" t="s">
        <v>6726</v>
      </c>
      <c r="G3031" s="7" t="s">
        <v>7150</v>
      </c>
      <c r="H3031" s="7" t="s">
        <v>7156</v>
      </c>
      <c r="I3031" s="7"/>
      <c r="J3031" s="10">
        <v>45446</v>
      </c>
      <c r="K3031" s="7" t="s">
        <v>7164</v>
      </c>
      <c r="L3031" s="7"/>
      <c r="M3031" s="7"/>
    </row>
    <row r="3032" spans="1:13" x14ac:dyDescent="0.3">
      <c r="A3032" s="7">
        <v>16477</v>
      </c>
      <c r="B3032" s="7" t="s">
        <v>3040</v>
      </c>
      <c r="C3032" s="7" t="s">
        <v>6327</v>
      </c>
      <c r="D3032" s="7" t="s">
        <v>6724</v>
      </c>
      <c r="E3032" s="7" t="s">
        <v>6295</v>
      </c>
      <c r="F3032" s="7" t="s">
        <v>6726</v>
      </c>
      <c r="G3032" s="7" t="s">
        <v>7150</v>
      </c>
      <c r="H3032" s="7" t="s">
        <v>7156</v>
      </c>
      <c r="I3032" s="7"/>
      <c r="J3032" s="10">
        <v>45426</v>
      </c>
      <c r="K3032" s="7" t="s">
        <v>7164</v>
      </c>
      <c r="L3032" s="7"/>
      <c r="M3032" s="7"/>
    </row>
    <row r="3033" spans="1:13" x14ac:dyDescent="0.3">
      <c r="A3033" s="7">
        <v>16796</v>
      </c>
      <c r="B3033" s="7" t="s">
        <v>3041</v>
      </c>
      <c r="C3033" s="7" t="s">
        <v>6327</v>
      </c>
      <c r="D3033" s="7" t="s">
        <v>6724</v>
      </c>
      <c r="E3033" s="7" t="s">
        <v>6295</v>
      </c>
      <c r="F3033" s="7" t="s">
        <v>6324</v>
      </c>
      <c r="G3033" s="7" t="s">
        <v>7150</v>
      </c>
      <c r="H3033" s="7" t="s">
        <v>7156</v>
      </c>
      <c r="I3033" s="7"/>
      <c r="J3033" s="10">
        <v>45558</v>
      </c>
      <c r="K3033" s="7" t="s">
        <v>7164</v>
      </c>
      <c r="L3033" s="7"/>
      <c r="M3033" s="7"/>
    </row>
    <row r="3034" spans="1:13" x14ac:dyDescent="0.3">
      <c r="A3034" s="7">
        <v>11699</v>
      </c>
      <c r="B3034" s="7" t="s">
        <v>3042</v>
      </c>
      <c r="C3034" s="7" t="s">
        <v>6322</v>
      </c>
      <c r="D3034" s="7" t="s">
        <v>6724</v>
      </c>
      <c r="E3034" s="7" t="s">
        <v>6295</v>
      </c>
      <c r="F3034" s="7" t="s">
        <v>6726</v>
      </c>
      <c r="G3034" s="7" t="s">
        <v>7150</v>
      </c>
      <c r="H3034" s="7" t="s">
        <v>7156</v>
      </c>
      <c r="I3034" s="7"/>
      <c r="J3034" s="10">
        <v>43028</v>
      </c>
      <c r="K3034" s="7" t="s">
        <v>7164</v>
      </c>
      <c r="L3034" s="7"/>
      <c r="M3034" s="7"/>
    </row>
    <row r="3035" spans="1:13" x14ac:dyDescent="0.3">
      <c r="A3035" s="7">
        <v>18720</v>
      </c>
      <c r="B3035" s="7" t="s">
        <v>3043</v>
      </c>
      <c r="C3035" s="7" t="s">
        <v>6322</v>
      </c>
      <c r="D3035" s="7" t="s">
        <v>6724</v>
      </c>
      <c r="E3035" s="7" t="s">
        <v>6295</v>
      </c>
      <c r="F3035" s="7" t="s">
        <v>6726</v>
      </c>
      <c r="G3035" s="7" t="s">
        <v>7150</v>
      </c>
      <c r="H3035" s="7" t="s">
        <v>7156</v>
      </c>
      <c r="I3035" s="7" t="s">
        <v>7159</v>
      </c>
      <c r="J3035" s="10">
        <v>46192</v>
      </c>
      <c r="K3035" s="7" t="s">
        <v>7164</v>
      </c>
      <c r="L3035" s="7"/>
      <c r="M3035" s="7"/>
    </row>
    <row r="3036" spans="1:13" x14ac:dyDescent="0.3">
      <c r="A3036" s="7">
        <v>17756</v>
      </c>
      <c r="B3036" s="7" t="s">
        <v>3044</v>
      </c>
      <c r="C3036" s="7" t="s">
        <v>6327</v>
      </c>
      <c r="D3036" s="7" t="s">
        <v>6724</v>
      </c>
      <c r="E3036" s="7" t="s">
        <v>6295</v>
      </c>
      <c r="F3036" s="7" t="s">
        <v>6726</v>
      </c>
      <c r="G3036" s="7" t="s">
        <v>7150</v>
      </c>
      <c r="H3036" s="7" t="s">
        <v>7156</v>
      </c>
      <c r="I3036" s="7"/>
      <c r="J3036" s="10">
        <v>45866</v>
      </c>
      <c r="K3036" s="7" t="s">
        <v>7164</v>
      </c>
      <c r="L3036" s="7"/>
      <c r="M3036" s="7"/>
    </row>
    <row r="3037" spans="1:13" x14ac:dyDescent="0.3">
      <c r="A3037" s="7">
        <v>17051</v>
      </c>
      <c r="B3037" s="7" t="s">
        <v>3045</v>
      </c>
      <c r="C3037" s="7" t="s">
        <v>6327</v>
      </c>
      <c r="D3037" s="7" t="s">
        <v>6724</v>
      </c>
      <c r="E3037" s="7" t="s">
        <v>6295</v>
      </c>
      <c r="F3037" s="7" t="s">
        <v>6726</v>
      </c>
      <c r="G3037" s="7" t="s">
        <v>7150</v>
      </c>
      <c r="H3037" s="7" t="s">
        <v>7156</v>
      </c>
      <c r="I3037" s="7"/>
      <c r="J3037" s="10">
        <v>45602</v>
      </c>
      <c r="K3037" s="7" t="s">
        <v>7164</v>
      </c>
      <c r="L3037" s="7"/>
      <c r="M3037" s="7"/>
    </row>
    <row r="3038" spans="1:13" x14ac:dyDescent="0.3">
      <c r="A3038" s="7">
        <v>17457</v>
      </c>
      <c r="B3038" s="7" t="s">
        <v>3046</v>
      </c>
      <c r="C3038" s="7" t="s">
        <v>6322</v>
      </c>
      <c r="D3038" s="7" t="s">
        <v>6724</v>
      </c>
      <c r="E3038" s="7" t="s">
        <v>6295</v>
      </c>
      <c r="F3038" s="7" t="s">
        <v>6726</v>
      </c>
      <c r="G3038" s="7" t="s">
        <v>7150</v>
      </c>
      <c r="H3038" s="7" t="s">
        <v>7156</v>
      </c>
      <c r="I3038" s="7"/>
      <c r="J3038" s="10">
        <v>45756</v>
      </c>
      <c r="K3038" s="7" t="s">
        <v>7164</v>
      </c>
      <c r="L3038" s="7"/>
      <c r="M3038" s="7"/>
    </row>
    <row r="3039" spans="1:13" x14ac:dyDescent="0.3">
      <c r="A3039" s="7">
        <v>17463</v>
      </c>
      <c r="B3039" s="7" t="s">
        <v>3047</v>
      </c>
      <c r="C3039" s="7" t="s">
        <v>6327</v>
      </c>
      <c r="D3039" s="7" t="s">
        <v>6724</v>
      </c>
      <c r="E3039" s="7" t="s">
        <v>6295</v>
      </c>
      <c r="F3039" s="7" t="s">
        <v>6726</v>
      </c>
      <c r="G3039" s="7" t="s">
        <v>7150</v>
      </c>
      <c r="H3039" s="7" t="s">
        <v>7156</v>
      </c>
      <c r="I3039" s="7"/>
      <c r="J3039" s="10">
        <v>45768</v>
      </c>
      <c r="K3039" s="7" t="s">
        <v>7164</v>
      </c>
      <c r="L3039" s="7"/>
      <c r="M3039" s="7"/>
    </row>
    <row r="3040" spans="1:13" x14ac:dyDescent="0.3">
      <c r="A3040" s="7">
        <v>14863</v>
      </c>
      <c r="B3040" s="7" t="s">
        <v>3048</v>
      </c>
      <c r="C3040" s="7" t="s">
        <v>6327</v>
      </c>
      <c r="D3040" s="7" t="s">
        <v>6724</v>
      </c>
      <c r="E3040" s="7" t="s">
        <v>6295</v>
      </c>
      <c r="F3040" s="7" t="s">
        <v>6726</v>
      </c>
      <c r="G3040" s="7" t="s">
        <v>7150</v>
      </c>
      <c r="H3040" s="7" t="s">
        <v>7156</v>
      </c>
      <c r="I3040" s="7"/>
      <c r="J3040" s="10">
        <v>44882</v>
      </c>
      <c r="K3040" s="7" t="s">
        <v>7164</v>
      </c>
      <c r="L3040" s="7"/>
      <c r="M3040" s="7"/>
    </row>
    <row r="3041" spans="1:13" x14ac:dyDescent="0.3">
      <c r="A3041" s="7">
        <v>18352</v>
      </c>
      <c r="B3041" s="7" t="s">
        <v>3049</v>
      </c>
      <c r="C3041" s="7" t="s">
        <v>6327</v>
      </c>
      <c r="D3041" s="7" t="s">
        <v>6724</v>
      </c>
      <c r="E3041" s="7" t="s">
        <v>6295</v>
      </c>
      <c r="F3041" s="7" t="s">
        <v>6726</v>
      </c>
      <c r="G3041" s="7" t="s">
        <v>7150</v>
      </c>
      <c r="H3041" s="7" t="s">
        <v>7156</v>
      </c>
      <c r="I3041" s="7"/>
      <c r="J3041" s="10">
        <v>46114</v>
      </c>
      <c r="K3041" s="7" t="s">
        <v>7164</v>
      </c>
      <c r="L3041" s="7"/>
      <c r="M3041" s="7"/>
    </row>
    <row r="3042" spans="1:13" x14ac:dyDescent="0.3">
      <c r="A3042" s="7">
        <v>16735</v>
      </c>
      <c r="B3042" s="7" t="s">
        <v>3050</v>
      </c>
      <c r="C3042" s="7" t="s">
        <v>6327</v>
      </c>
      <c r="D3042" s="7" t="s">
        <v>6724</v>
      </c>
      <c r="E3042" s="7" t="s">
        <v>6295</v>
      </c>
      <c r="F3042" s="7" t="s">
        <v>6726</v>
      </c>
      <c r="G3042" s="7" t="s">
        <v>7150</v>
      </c>
      <c r="H3042" s="7" t="s">
        <v>7156</v>
      </c>
      <c r="I3042" s="7"/>
      <c r="J3042" s="10">
        <v>45537</v>
      </c>
      <c r="K3042" s="7" t="s">
        <v>7164</v>
      </c>
      <c r="L3042" s="7"/>
      <c r="M3042" s="7"/>
    </row>
    <row r="3043" spans="1:13" x14ac:dyDescent="0.3">
      <c r="A3043" s="7">
        <v>15685</v>
      </c>
      <c r="B3043" s="7" t="s">
        <v>3051</v>
      </c>
      <c r="C3043" s="7" t="s">
        <v>6327</v>
      </c>
      <c r="D3043" s="7" t="s">
        <v>6724</v>
      </c>
      <c r="E3043" s="7" t="s">
        <v>6295</v>
      </c>
      <c r="F3043" s="7" t="s">
        <v>6726</v>
      </c>
      <c r="G3043" s="7" t="s">
        <v>7150</v>
      </c>
      <c r="H3043" s="7" t="s">
        <v>7156</v>
      </c>
      <c r="I3043" s="7"/>
      <c r="J3043" s="10">
        <v>45163</v>
      </c>
      <c r="K3043" s="7" t="s">
        <v>7164</v>
      </c>
      <c r="L3043" s="7"/>
      <c r="M3043" s="7"/>
    </row>
    <row r="3044" spans="1:13" x14ac:dyDescent="0.3">
      <c r="A3044" s="7">
        <v>12341</v>
      </c>
      <c r="B3044" s="7" t="s">
        <v>3052</v>
      </c>
      <c r="C3044" s="7" t="s">
        <v>6327</v>
      </c>
      <c r="D3044" s="7" t="s">
        <v>6724</v>
      </c>
      <c r="E3044" s="7" t="s">
        <v>6295</v>
      </c>
      <c r="F3044" s="7" t="s">
        <v>6712</v>
      </c>
      <c r="G3044" s="7" t="s">
        <v>7150</v>
      </c>
      <c r="H3044" s="7" t="s">
        <v>7156</v>
      </c>
      <c r="I3044" s="7"/>
      <c r="J3044" s="10">
        <v>43692</v>
      </c>
      <c r="K3044" s="7" t="s">
        <v>7164</v>
      </c>
      <c r="L3044" s="7"/>
      <c r="M3044" s="7"/>
    </row>
    <row r="3045" spans="1:13" x14ac:dyDescent="0.3">
      <c r="A3045" s="7">
        <v>16154</v>
      </c>
      <c r="B3045" s="7" t="s">
        <v>3053</v>
      </c>
      <c r="C3045" s="7" t="s">
        <v>6327</v>
      </c>
      <c r="D3045" s="7" t="s">
        <v>6724</v>
      </c>
      <c r="E3045" s="7" t="s">
        <v>6295</v>
      </c>
      <c r="F3045" s="7" t="s">
        <v>6726</v>
      </c>
      <c r="G3045" s="7" t="s">
        <v>7150</v>
      </c>
      <c r="H3045" s="7" t="s">
        <v>7156</v>
      </c>
      <c r="I3045" s="7"/>
      <c r="J3045" s="10">
        <v>45306</v>
      </c>
      <c r="K3045" s="7" t="s">
        <v>7164</v>
      </c>
      <c r="L3045" s="7"/>
      <c r="M3045" s="7"/>
    </row>
    <row r="3046" spans="1:13" x14ac:dyDescent="0.3">
      <c r="A3046" s="7">
        <v>18147</v>
      </c>
      <c r="B3046" s="7" t="s">
        <v>3054</v>
      </c>
      <c r="C3046" s="7" t="s">
        <v>6327</v>
      </c>
      <c r="D3046" s="7" t="s">
        <v>6724</v>
      </c>
      <c r="E3046" s="7" t="s">
        <v>6295</v>
      </c>
      <c r="F3046" s="7" t="s">
        <v>6726</v>
      </c>
      <c r="G3046" s="7" t="s">
        <v>7150</v>
      </c>
      <c r="H3046" s="7" t="s">
        <v>7156</v>
      </c>
      <c r="I3046" s="7"/>
      <c r="J3046" s="10">
        <v>46014</v>
      </c>
      <c r="K3046" s="7" t="s">
        <v>7164</v>
      </c>
      <c r="L3046" s="7"/>
      <c r="M3046" s="7"/>
    </row>
    <row r="3047" spans="1:13" x14ac:dyDescent="0.3">
      <c r="A3047" s="7">
        <v>17683</v>
      </c>
      <c r="B3047" s="7" t="s">
        <v>3055</v>
      </c>
      <c r="C3047" s="7" t="s">
        <v>6327</v>
      </c>
      <c r="D3047" s="7" t="s">
        <v>6724</v>
      </c>
      <c r="E3047" s="7" t="s">
        <v>6295</v>
      </c>
      <c r="F3047" s="7" t="s">
        <v>6726</v>
      </c>
      <c r="G3047" s="7" t="s">
        <v>7150</v>
      </c>
      <c r="H3047" s="7" t="s">
        <v>7156</v>
      </c>
      <c r="I3047" s="7"/>
      <c r="J3047" s="10">
        <v>45845</v>
      </c>
      <c r="K3047" s="7" t="s">
        <v>7164</v>
      </c>
      <c r="L3047" s="7"/>
      <c r="M3047" s="7"/>
    </row>
    <row r="3048" spans="1:13" x14ac:dyDescent="0.3">
      <c r="A3048" s="7">
        <v>17409</v>
      </c>
      <c r="B3048" s="7" t="s">
        <v>3056</v>
      </c>
      <c r="C3048" s="7" t="s">
        <v>6327</v>
      </c>
      <c r="D3048" s="7" t="s">
        <v>6724</v>
      </c>
      <c r="E3048" s="7" t="s">
        <v>6295</v>
      </c>
      <c r="F3048" s="7" t="s">
        <v>6726</v>
      </c>
      <c r="G3048" s="7" t="s">
        <v>7150</v>
      </c>
      <c r="H3048" s="7" t="s">
        <v>7156</v>
      </c>
      <c r="I3048" s="7"/>
      <c r="J3048" s="10">
        <v>45733</v>
      </c>
      <c r="K3048" s="7" t="s">
        <v>7164</v>
      </c>
      <c r="L3048" s="7"/>
      <c r="M3048" s="7"/>
    </row>
    <row r="3049" spans="1:13" x14ac:dyDescent="0.3">
      <c r="A3049" s="7">
        <v>17211</v>
      </c>
      <c r="B3049" s="7" t="s">
        <v>3057</v>
      </c>
      <c r="C3049" s="7" t="s">
        <v>6327</v>
      </c>
      <c r="D3049" s="7" t="s">
        <v>6724</v>
      </c>
      <c r="E3049" s="7" t="s">
        <v>6295</v>
      </c>
      <c r="F3049" s="7" t="s">
        <v>6726</v>
      </c>
      <c r="G3049" s="7" t="s">
        <v>7150</v>
      </c>
      <c r="H3049" s="7" t="s">
        <v>7156</v>
      </c>
      <c r="I3049" s="7"/>
      <c r="J3049" s="10">
        <v>45664</v>
      </c>
      <c r="K3049" s="7" t="s">
        <v>7164</v>
      </c>
      <c r="L3049" s="7"/>
      <c r="M3049" s="7"/>
    </row>
    <row r="3050" spans="1:13" x14ac:dyDescent="0.3">
      <c r="A3050" s="7">
        <v>16136</v>
      </c>
      <c r="B3050" s="7" t="s">
        <v>3058</v>
      </c>
      <c r="C3050" s="7" t="s">
        <v>6327</v>
      </c>
      <c r="D3050" s="7" t="s">
        <v>6724</v>
      </c>
      <c r="E3050" s="7" t="s">
        <v>6295</v>
      </c>
      <c r="F3050" s="7" t="s">
        <v>6726</v>
      </c>
      <c r="G3050" s="7" t="s">
        <v>7150</v>
      </c>
      <c r="H3050" s="7" t="s">
        <v>7156</v>
      </c>
      <c r="I3050" s="7"/>
      <c r="J3050" s="10">
        <v>45300</v>
      </c>
      <c r="K3050" s="7" t="s">
        <v>7164</v>
      </c>
      <c r="L3050" s="7"/>
      <c r="M3050" s="7"/>
    </row>
    <row r="3051" spans="1:13" x14ac:dyDescent="0.3">
      <c r="A3051" s="7">
        <v>18758</v>
      </c>
      <c r="B3051" s="7" t="s">
        <v>3059</v>
      </c>
      <c r="C3051" s="7" t="s">
        <v>6327</v>
      </c>
      <c r="D3051" s="7" t="s">
        <v>6724</v>
      </c>
      <c r="E3051" s="7" t="s">
        <v>6295</v>
      </c>
      <c r="F3051" s="7" t="s">
        <v>6726</v>
      </c>
      <c r="G3051" s="7" t="s">
        <v>7150</v>
      </c>
      <c r="H3051" s="7" t="s">
        <v>7156</v>
      </c>
      <c r="I3051" s="7"/>
      <c r="J3051" s="10">
        <v>46206</v>
      </c>
      <c r="K3051" s="7" t="s">
        <v>7164</v>
      </c>
      <c r="L3051" s="7"/>
      <c r="M3051" s="7"/>
    </row>
    <row r="3052" spans="1:13" x14ac:dyDescent="0.3">
      <c r="A3052" s="7">
        <v>14824</v>
      </c>
      <c r="B3052" s="7" t="s">
        <v>3060</v>
      </c>
      <c r="C3052" s="7" t="s">
        <v>6327</v>
      </c>
      <c r="D3052" s="7" t="s">
        <v>6724</v>
      </c>
      <c r="E3052" s="7" t="s">
        <v>6295</v>
      </c>
      <c r="F3052" s="7" t="s">
        <v>6716</v>
      </c>
      <c r="G3052" s="7" t="s">
        <v>7150</v>
      </c>
      <c r="H3052" s="7" t="s">
        <v>7156</v>
      </c>
      <c r="I3052" s="7"/>
      <c r="J3052" s="10">
        <v>44868</v>
      </c>
      <c r="K3052" s="7" t="s">
        <v>7164</v>
      </c>
      <c r="L3052" s="7"/>
      <c r="M3052" s="7"/>
    </row>
    <row r="3053" spans="1:13" x14ac:dyDescent="0.3">
      <c r="A3053" s="7">
        <v>15766</v>
      </c>
      <c r="B3053" s="7" t="s">
        <v>3061</v>
      </c>
      <c r="C3053" s="7" t="s">
        <v>6327</v>
      </c>
      <c r="D3053" s="7" t="s">
        <v>6724</v>
      </c>
      <c r="E3053" s="7" t="s">
        <v>6295</v>
      </c>
      <c r="F3053" s="7" t="s">
        <v>6726</v>
      </c>
      <c r="G3053" s="7" t="s">
        <v>7150</v>
      </c>
      <c r="H3053" s="7" t="s">
        <v>7156</v>
      </c>
      <c r="I3053" s="7"/>
      <c r="J3053" s="10">
        <v>45191</v>
      </c>
      <c r="K3053" s="7" t="s">
        <v>7164</v>
      </c>
      <c r="L3053" s="7"/>
      <c r="M3053" s="7"/>
    </row>
    <row r="3054" spans="1:13" x14ac:dyDescent="0.3">
      <c r="A3054" s="7">
        <v>12954</v>
      </c>
      <c r="B3054" s="7" t="s">
        <v>3062</v>
      </c>
      <c r="C3054" s="7" t="s">
        <v>6327</v>
      </c>
      <c r="D3054" s="7" t="s">
        <v>6724</v>
      </c>
      <c r="E3054" s="7" t="s">
        <v>6295</v>
      </c>
      <c r="F3054" s="7" t="s">
        <v>6726</v>
      </c>
      <c r="G3054" s="7" t="s">
        <v>7151</v>
      </c>
      <c r="H3054" s="7" t="s">
        <v>7156</v>
      </c>
      <c r="I3054" s="7"/>
      <c r="J3054" s="10">
        <v>44139</v>
      </c>
      <c r="K3054" s="7" t="s">
        <v>7164</v>
      </c>
      <c r="L3054" s="7"/>
      <c r="M3054" s="7"/>
    </row>
    <row r="3055" spans="1:13" x14ac:dyDescent="0.3">
      <c r="A3055" s="7">
        <v>14202</v>
      </c>
      <c r="B3055" s="7" t="s">
        <v>3063</v>
      </c>
      <c r="C3055" s="7" t="s">
        <v>6327</v>
      </c>
      <c r="D3055" s="7" t="s">
        <v>6724</v>
      </c>
      <c r="E3055" s="7" t="s">
        <v>6295</v>
      </c>
      <c r="F3055" s="7" t="s">
        <v>6712</v>
      </c>
      <c r="G3055" s="7" t="s">
        <v>7150</v>
      </c>
      <c r="H3055" s="7" t="s">
        <v>7156</v>
      </c>
      <c r="I3055" s="7"/>
      <c r="J3055" s="10">
        <v>44694</v>
      </c>
      <c r="K3055" s="7" t="s">
        <v>7164</v>
      </c>
      <c r="L3055" s="7"/>
      <c r="M3055" s="7"/>
    </row>
    <row r="3056" spans="1:13" x14ac:dyDescent="0.3">
      <c r="A3056" s="7">
        <v>15889</v>
      </c>
      <c r="B3056" s="7" t="s">
        <v>3064</v>
      </c>
      <c r="C3056" s="7" t="s">
        <v>6327</v>
      </c>
      <c r="D3056" s="7" t="s">
        <v>6724</v>
      </c>
      <c r="E3056" s="7" t="s">
        <v>6295</v>
      </c>
      <c r="F3056" s="7" t="s">
        <v>6734</v>
      </c>
      <c r="G3056" s="7" t="s">
        <v>7150</v>
      </c>
      <c r="H3056" s="7" t="s">
        <v>7156</v>
      </c>
      <c r="I3056" s="7"/>
      <c r="J3056" s="10">
        <v>45233</v>
      </c>
      <c r="K3056" s="7" t="s">
        <v>7164</v>
      </c>
      <c r="L3056" s="7"/>
      <c r="M3056" s="7"/>
    </row>
    <row r="3057" spans="1:13" x14ac:dyDescent="0.3">
      <c r="A3057" s="7">
        <v>17874</v>
      </c>
      <c r="B3057" s="7" t="s">
        <v>3065</v>
      </c>
      <c r="C3057" s="7" t="s">
        <v>6327</v>
      </c>
      <c r="D3057" s="7" t="s">
        <v>6724</v>
      </c>
      <c r="E3057" s="7" t="s">
        <v>6295</v>
      </c>
      <c r="F3057" s="7" t="s">
        <v>6734</v>
      </c>
      <c r="G3057" s="7" t="s">
        <v>7150</v>
      </c>
      <c r="H3057" s="7" t="s">
        <v>7156</v>
      </c>
      <c r="I3057" s="7"/>
      <c r="J3057" s="10">
        <v>45901</v>
      </c>
      <c r="K3057" s="7" t="s">
        <v>7164</v>
      </c>
      <c r="L3057" s="7"/>
      <c r="M3057" s="7"/>
    </row>
    <row r="3058" spans="1:13" x14ac:dyDescent="0.3">
      <c r="A3058" s="7">
        <v>17537</v>
      </c>
      <c r="B3058" s="7" t="s">
        <v>3066</v>
      </c>
      <c r="C3058" s="7" t="s">
        <v>6322</v>
      </c>
      <c r="D3058" s="7" t="s">
        <v>6724</v>
      </c>
      <c r="E3058" s="7" t="s">
        <v>6295</v>
      </c>
      <c r="F3058" s="7" t="s">
        <v>6734</v>
      </c>
      <c r="G3058" s="7" t="s">
        <v>7150</v>
      </c>
      <c r="H3058" s="7" t="s">
        <v>7156</v>
      </c>
      <c r="I3058" s="7"/>
      <c r="J3058" s="10">
        <v>45783</v>
      </c>
      <c r="K3058" s="7" t="s">
        <v>7164</v>
      </c>
      <c r="L3058" s="7"/>
      <c r="M3058" s="7"/>
    </row>
    <row r="3059" spans="1:13" x14ac:dyDescent="0.3">
      <c r="A3059" s="7">
        <v>19267</v>
      </c>
      <c r="B3059" s="7" t="s">
        <v>3067</v>
      </c>
      <c r="C3059" s="7" t="s">
        <v>6322</v>
      </c>
      <c r="D3059" s="7" t="s">
        <v>6724</v>
      </c>
      <c r="E3059" s="7" t="s">
        <v>6295</v>
      </c>
      <c r="F3059" s="7" t="s">
        <v>6734</v>
      </c>
      <c r="G3059" s="7" t="s">
        <v>7150</v>
      </c>
      <c r="H3059" s="7" t="s">
        <v>7156</v>
      </c>
      <c r="I3059" s="7"/>
      <c r="J3059" s="10">
        <v>46297</v>
      </c>
      <c r="K3059" s="7" t="s">
        <v>7164</v>
      </c>
      <c r="L3059" s="7"/>
      <c r="M3059" s="7"/>
    </row>
    <row r="3060" spans="1:13" x14ac:dyDescent="0.3">
      <c r="A3060" s="7">
        <v>18717</v>
      </c>
      <c r="B3060" s="7" t="s">
        <v>3068</v>
      </c>
      <c r="C3060" s="7" t="s">
        <v>6322</v>
      </c>
      <c r="D3060" s="7" t="s">
        <v>6724</v>
      </c>
      <c r="E3060" s="7" t="s">
        <v>6295</v>
      </c>
      <c r="F3060" s="7" t="s">
        <v>6734</v>
      </c>
      <c r="G3060" s="7" t="s">
        <v>7150</v>
      </c>
      <c r="H3060" s="7" t="s">
        <v>7156</v>
      </c>
      <c r="I3060" s="7" t="s">
        <v>7159</v>
      </c>
      <c r="J3060" s="10">
        <v>46192</v>
      </c>
      <c r="K3060" s="7" t="s">
        <v>7164</v>
      </c>
      <c r="L3060" s="7"/>
      <c r="M3060" s="7"/>
    </row>
    <row r="3061" spans="1:13" x14ac:dyDescent="0.3">
      <c r="A3061" s="7">
        <v>18820</v>
      </c>
      <c r="B3061" s="7" t="s">
        <v>3069</v>
      </c>
      <c r="C3061" s="7" t="s">
        <v>6322</v>
      </c>
      <c r="D3061" s="7" t="s">
        <v>6724</v>
      </c>
      <c r="E3061" s="7" t="s">
        <v>6295</v>
      </c>
      <c r="F3061" s="7" t="s">
        <v>6734</v>
      </c>
      <c r="G3061" s="7" t="s">
        <v>7150</v>
      </c>
      <c r="H3061" s="7" t="s">
        <v>7156</v>
      </c>
      <c r="I3061" s="7" t="s">
        <v>7159</v>
      </c>
      <c r="J3061" s="10">
        <v>46213</v>
      </c>
      <c r="K3061" s="7" t="s">
        <v>7164</v>
      </c>
      <c r="L3061" s="7"/>
      <c r="M3061" s="7"/>
    </row>
    <row r="3062" spans="1:13" x14ac:dyDescent="0.3">
      <c r="A3062" s="7">
        <v>17448</v>
      </c>
      <c r="B3062" s="7" t="s">
        <v>3070</v>
      </c>
      <c r="C3062" s="7" t="s">
        <v>6327</v>
      </c>
      <c r="D3062" s="7" t="s">
        <v>6724</v>
      </c>
      <c r="E3062" s="7" t="s">
        <v>6295</v>
      </c>
      <c r="F3062" s="7" t="s">
        <v>6734</v>
      </c>
      <c r="G3062" s="7" t="s">
        <v>7150</v>
      </c>
      <c r="H3062" s="7" t="s">
        <v>7156</v>
      </c>
      <c r="I3062" s="7"/>
      <c r="J3062" s="10">
        <v>45754</v>
      </c>
      <c r="K3062" s="7" t="s">
        <v>7164</v>
      </c>
      <c r="L3062" s="7"/>
      <c r="M3062" s="7"/>
    </row>
    <row r="3063" spans="1:13" x14ac:dyDescent="0.3">
      <c r="A3063" s="7">
        <v>17379</v>
      </c>
      <c r="B3063" s="7" t="s">
        <v>3071</v>
      </c>
      <c r="C3063" s="7" t="s">
        <v>6327</v>
      </c>
      <c r="D3063" s="7" t="s">
        <v>6724</v>
      </c>
      <c r="E3063" s="7" t="s">
        <v>6295</v>
      </c>
      <c r="F3063" s="7" t="s">
        <v>6734</v>
      </c>
      <c r="G3063" s="7" t="s">
        <v>7150</v>
      </c>
      <c r="H3063" s="7" t="s">
        <v>7156</v>
      </c>
      <c r="I3063" s="7"/>
      <c r="J3063" s="10">
        <v>45727</v>
      </c>
      <c r="K3063" s="7" t="s">
        <v>7164</v>
      </c>
      <c r="L3063" s="7"/>
      <c r="M3063" s="7"/>
    </row>
    <row r="3064" spans="1:13" x14ac:dyDescent="0.3">
      <c r="A3064" s="7">
        <v>17172</v>
      </c>
      <c r="B3064" s="7" t="s">
        <v>3072</v>
      </c>
      <c r="C3064" s="7" t="s">
        <v>6327</v>
      </c>
      <c r="D3064" s="7" t="s">
        <v>6724</v>
      </c>
      <c r="E3064" s="7" t="s">
        <v>6295</v>
      </c>
      <c r="F3064" s="7" t="s">
        <v>6734</v>
      </c>
      <c r="G3064" s="7" t="s">
        <v>7150</v>
      </c>
      <c r="H3064" s="7" t="s">
        <v>7156</v>
      </c>
      <c r="I3064" s="7"/>
      <c r="J3064" s="10">
        <v>45653</v>
      </c>
      <c r="K3064" s="7" t="s">
        <v>7164</v>
      </c>
      <c r="L3064" s="7"/>
      <c r="M3064" s="7"/>
    </row>
    <row r="3065" spans="1:13" x14ac:dyDescent="0.3">
      <c r="A3065" s="7">
        <v>13535</v>
      </c>
      <c r="B3065" s="7" t="s">
        <v>3073</v>
      </c>
      <c r="C3065" s="7" t="s">
        <v>6327</v>
      </c>
      <c r="D3065" s="7" t="s">
        <v>6724</v>
      </c>
      <c r="E3065" s="7" t="s">
        <v>6295</v>
      </c>
      <c r="F3065" s="7" t="s">
        <v>6734</v>
      </c>
      <c r="G3065" s="7" t="s">
        <v>7150</v>
      </c>
      <c r="H3065" s="7" t="s">
        <v>7156</v>
      </c>
      <c r="I3065" s="7"/>
      <c r="J3065" s="10">
        <v>44489</v>
      </c>
      <c r="K3065" s="7" t="s">
        <v>7164</v>
      </c>
      <c r="L3065" s="7"/>
      <c r="M3065" s="7"/>
    </row>
    <row r="3066" spans="1:13" x14ac:dyDescent="0.3">
      <c r="A3066" s="7">
        <v>12715</v>
      </c>
      <c r="B3066" s="7" t="s">
        <v>3074</v>
      </c>
      <c r="C3066" s="7" t="s">
        <v>6327</v>
      </c>
      <c r="D3066" s="7" t="s">
        <v>6724</v>
      </c>
      <c r="E3066" s="7" t="s">
        <v>6295</v>
      </c>
      <c r="F3066" s="7" t="s">
        <v>6734</v>
      </c>
      <c r="G3066" s="7" t="s">
        <v>7150</v>
      </c>
      <c r="H3066" s="7" t="s">
        <v>7156</v>
      </c>
      <c r="I3066" s="7"/>
      <c r="J3066" s="10">
        <v>43875</v>
      </c>
      <c r="K3066" s="7" t="s">
        <v>7164</v>
      </c>
      <c r="L3066" s="7"/>
      <c r="M3066" s="7"/>
    </row>
    <row r="3067" spans="1:13" x14ac:dyDescent="0.3">
      <c r="A3067" s="7">
        <v>16029</v>
      </c>
      <c r="B3067" s="7" t="s">
        <v>3075</v>
      </c>
      <c r="C3067" s="7" t="s">
        <v>6327</v>
      </c>
      <c r="D3067" s="7" t="s">
        <v>6724</v>
      </c>
      <c r="E3067" s="7" t="s">
        <v>6295</v>
      </c>
      <c r="F3067" s="7" t="s">
        <v>6734</v>
      </c>
      <c r="G3067" s="7" t="s">
        <v>7150</v>
      </c>
      <c r="H3067" s="7" t="s">
        <v>7156</v>
      </c>
      <c r="I3067" s="7"/>
      <c r="J3067" s="10">
        <v>45267</v>
      </c>
      <c r="K3067" s="7" t="s">
        <v>7164</v>
      </c>
      <c r="L3067" s="7"/>
      <c r="M3067" s="7"/>
    </row>
    <row r="3068" spans="1:13" x14ac:dyDescent="0.3">
      <c r="A3068" s="7">
        <v>16199</v>
      </c>
      <c r="B3068" s="7" t="s">
        <v>3076</v>
      </c>
      <c r="C3068" s="7" t="s">
        <v>6322</v>
      </c>
      <c r="D3068" s="7" t="s">
        <v>6724</v>
      </c>
      <c r="E3068" s="7" t="s">
        <v>6295</v>
      </c>
      <c r="F3068" s="7" t="s">
        <v>6734</v>
      </c>
      <c r="G3068" s="7" t="s">
        <v>7150</v>
      </c>
      <c r="H3068" s="7" t="s">
        <v>7156</v>
      </c>
      <c r="I3068" s="7"/>
      <c r="J3068" s="10">
        <v>45316</v>
      </c>
      <c r="K3068" s="7" t="s">
        <v>7164</v>
      </c>
      <c r="L3068" s="7"/>
      <c r="M3068" s="7"/>
    </row>
    <row r="3069" spans="1:13" x14ac:dyDescent="0.3">
      <c r="A3069" s="7">
        <v>17970</v>
      </c>
      <c r="B3069" s="7" t="s">
        <v>3077</v>
      </c>
      <c r="C3069" s="7" t="s">
        <v>6327</v>
      </c>
      <c r="D3069" s="7" t="s">
        <v>6724</v>
      </c>
      <c r="E3069" s="7" t="s">
        <v>6295</v>
      </c>
      <c r="F3069" s="7" t="s">
        <v>6734</v>
      </c>
      <c r="G3069" s="7" t="s">
        <v>7150</v>
      </c>
      <c r="H3069" s="7" t="s">
        <v>7156</v>
      </c>
      <c r="I3069" s="7"/>
      <c r="J3069" s="10">
        <v>45940</v>
      </c>
      <c r="K3069" s="7" t="s">
        <v>7164</v>
      </c>
      <c r="L3069" s="7"/>
      <c r="M3069" s="7"/>
    </row>
    <row r="3070" spans="1:13" x14ac:dyDescent="0.3">
      <c r="A3070" s="7">
        <v>17308</v>
      </c>
      <c r="B3070" s="7" t="s">
        <v>3078</v>
      </c>
      <c r="C3070" s="7" t="s">
        <v>6327</v>
      </c>
      <c r="D3070" s="7" t="s">
        <v>6724</v>
      </c>
      <c r="E3070" s="7" t="s">
        <v>6295</v>
      </c>
      <c r="F3070" s="7" t="s">
        <v>6730</v>
      </c>
      <c r="G3070" s="7" t="s">
        <v>7150</v>
      </c>
      <c r="H3070" s="7" t="s">
        <v>7156</v>
      </c>
      <c r="I3070" s="7"/>
      <c r="J3070" s="10">
        <v>45705</v>
      </c>
      <c r="K3070" s="7" t="s">
        <v>7164</v>
      </c>
      <c r="L3070" s="7"/>
      <c r="M3070" s="7"/>
    </row>
    <row r="3071" spans="1:13" x14ac:dyDescent="0.3">
      <c r="A3071" s="7">
        <v>13093</v>
      </c>
      <c r="B3071" s="7" t="s">
        <v>3079</v>
      </c>
      <c r="C3071" s="7" t="s">
        <v>6327</v>
      </c>
      <c r="D3071" s="7" t="s">
        <v>6724</v>
      </c>
      <c r="E3071" s="7" t="s">
        <v>6295</v>
      </c>
      <c r="F3071" s="7" t="s">
        <v>6324</v>
      </c>
      <c r="G3071" s="7" t="s">
        <v>7150</v>
      </c>
      <c r="H3071" s="7" t="s">
        <v>7156</v>
      </c>
      <c r="I3071" s="7"/>
      <c r="J3071" s="10">
        <v>44256</v>
      </c>
      <c r="K3071" s="7" t="s">
        <v>7164</v>
      </c>
      <c r="L3071" s="7"/>
      <c r="M3071" s="7"/>
    </row>
    <row r="3072" spans="1:13" x14ac:dyDescent="0.3">
      <c r="A3072" s="7">
        <v>16301</v>
      </c>
      <c r="B3072" s="7" t="s">
        <v>3080</v>
      </c>
      <c r="C3072" s="7" t="s">
        <v>6327</v>
      </c>
      <c r="D3072" s="7" t="s">
        <v>6724</v>
      </c>
      <c r="E3072" s="7" t="s">
        <v>6295</v>
      </c>
      <c r="F3072" s="7" t="s">
        <v>6730</v>
      </c>
      <c r="G3072" s="7" t="s">
        <v>7150</v>
      </c>
      <c r="H3072" s="7" t="s">
        <v>7156</v>
      </c>
      <c r="I3072" s="7"/>
      <c r="J3072" s="10">
        <v>45343</v>
      </c>
      <c r="K3072" s="7" t="s">
        <v>7164</v>
      </c>
      <c r="L3072" s="7"/>
      <c r="M3072" s="7"/>
    </row>
    <row r="3073" spans="1:13" x14ac:dyDescent="0.3">
      <c r="A3073" s="7">
        <v>17888</v>
      </c>
      <c r="B3073" s="7" t="s">
        <v>3081</v>
      </c>
      <c r="C3073" s="7" t="s">
        <v>6327</v>
      </c>
      <c r="D3073" s="7" t="s">
        <v>6724</v>
      </c>
      <c r="E3073" s="7" t="s">
        <v>6295</v>
      </c>
      <c r="F3073" s="7" t="s">
        <v>6730</v>
      </c>
      <c r="G3073" s="7" t="s">
        <v>7150</v>
      </c>
      <c r="H3073" s="7" t="s">
        <v>7156</v>
      </c>
      <c r="I3073" s="7"/>
      <c r="J3073" s="10">
        <v>45904</v>
      </c>
      <c r="K3073" s="7" t="s">
        <v>7164</v>
      </c>
      <c r="L3073" s="7"/>
      <c r="M3073" s="7"/>
    </row>
    <row r="3074" spans="1:13" x14ac:dyDescent="0.3">
      <c r="A3074" s="7">
        <v>17797</v>
      </c>
      <c r="B3074" s="7" t="s">
        <v>3082</v>
      </c>
      <c r="C3074" s="7" t="s">
        <v>6327</v>
      </c>
      <c r="D3074" s="7" t="s">
        <v>6724</v>
      </c>
      <c r="E3074" s="7" t="s">
        <v>6295</v>
      </c>
      <c r="F3074" s="7" t="s">
        <v>6730</v>
      </c>
      <c r="G3074" s="7" t="s">
        <v>7150</v>
      </c>
      <c r="H3074" s="7" t="s">
        <v>7156</v>
      </c>
      <c r="I3074" s="7"/>
      <c r="J3074" s="10">
        <v>45881</v>
      </c>
      <c r="K3074" s="7" t="s">
        <v>7164</v>
      </c>
      <c r="L3074" s="7"/>
      <c r="M3074" s="7"/>
    </row>
    <row r="3075" spans="1:13" x14ac:dyDescent="0.3">
      <c r="A3075" s="7">
        <v>19005</v>
      </c>
      <c r="B3075" s="7" t="s">
        <v>3083</v>
      </c>
      <c r="C3075" s="7" t="s">
        <v>6327</v>
      </c>
      <c r="D3075" s="7" t="s">
        <v>6724</v>
      </c>
      <c r="E3075" s="7" t="s">
        <v>6295</v>
      </c>
      <c r="F3075" s="7" t="s">
        <v>6730</v>
      </c>
      <c r="G3075" s="7" t="s">
        <v>7150</v>
      </c>
      <c r="H3075" s="7" t="s">
        <v>7156</v>
      </c>
      <c r="I3075" s="7"/>
      <c r="J3075" s="10">
        <v>46259</v>
      </c>
      <c r="K3075" s="7" t="s">
        <v>7164</v>
      </c>
      <c r="L3075" s="7"/>
      <c r="M3075" s="7"/>
    </row>
    <row r="3076" spans="1:13" x14ac:dyDescent="0.3">
      <c r="A3076" s="7">
        <v>12860</v>
      </c>
      <c r="B3076" s="7" t="s">
        <v>3084</v>
      </c>
      <c r="C3076" s="7" t="s">
        <v>6327</v>
      </c>
      <c r="D3076" s="7" t="s">
        <v>6724</v>
      </c>
      <c r="E3076" s="7" t="s">
        <v>6295</v>
      </c>
      <c r="F3076" s="7" t="s">
        <v>6716</v>
      </c>
      <c r="G3076" s="7" t="s">
        <v>7150</v>
      </c>
      <c r="H3076" s="7" t="s">
        <v>7156</v>
      </c>
      <c r="I3076" s="7"/>
      <c r="J3076" s="10">
        <v>44054</v>
      </c>
      <c r="K3076" s="7" t="s">
        <v>7164</v>
      </c>
      <c r="L3076" s="7"/>
      <c r="M3076" s="7"/>
    </row>
    <row r="3077" spans="1:13" x14ac:dyDescent="0.3">
      <c r="A3077" s="7">
        <v>16383</v>
      </c>
      <c r="B3077" s="7" t="s">
        <v>3085</v>
      </c>
      <c r="C3077" s="7" t="s">
        <v>6322</v>
      </c>
      <c r="D3077" s="7" t="s">
        <v>6724</v>
      </c>
      <c r="E3077" s="7" t="s">
        <v>6295</v>
      </c>
      <c r="F3077" s="7" t="s">
        <v>6730</v>
      </c>
      <c r="G3077" s="7" t="s">
        <v>7150</v>
      </c>
      <c r="H3077" s="7" t="s">
        <v>7156</v>
      </c>
      <c r="I3077" s="7"/>
      <c r="J3077" s="10">
        <v>45365</v>
      </c>
      <c r="K3077" s="7" t="s">
        <v>7164</v>
      </c>
      <c r="L3077" s="7"/>
      <c r="M3077" s="7"/>
    </row>
    <row r="3078" spans="1:13" x14ac:dyDescent="0.3">
      <c r="A3078" s="7">
        <v>16404</v>
      </c>
      <c r="B3078" s="7" t="s">
        <v>3086</v>
      </c>
      <c r="C3078" s="7" t="s">
        <v>6327</v>
      </c>
      <c r="D3078" s="7" t="s">
        <v>6724</v>
      </c>
      <c r="E3078" s="7" t="s">
        <v>6295</v>
      </c>
      <c r="F3078" s="7" t="s">
        <v>6730</v>
      </c>
      <c r="G3078" s="7" t="s">
        <v>7150</v>
      </c>
      <c r="H3078" s="7" t="s">
        <v>7156</v>
      </c>
      <c r="I3078" s="7"/>
      <c r="J3078" s="10">
        <v>45383</v>
      </c>
      <c r="K3078" s="7" t="s">
        <v>7164</v>
      </c>
      <c r="L3078" s="7"/>
      <c r="M3078" s="7"/>
    </row>
    <row r="3079" spans="1:13" x14ac:dyDescent="0.3">
      <c r="A3079" s="7">
        <v>18784</v>
      </c>
      <c r="B3079" s="7" t="s">
        <v>3087</v>
      </c>
      <c r="C3079" s="7" t="s">
        <v>6327</v>
      </c>
      <c r="D3079" s="7" t="s">
        <v>6724</v>
      </c>
      <c r="E3079" s="7" t="s">
        <v>6295</v>
      </c>
      <c r="F3079" s="7" t="s">
        <v>6730</v>
      </c>
      <c r="G3079" s="7" t="s">
        <v>7150</v>
      </c>
      <c r="H3079" s="7" t="s">
        <v>7156</v>
      </c>
      <c r="I3079" s="7"/>
      <c r="J3079" s="10">
        <v>46211</v>
      </c>
      <c r="K3079" s="7" t="s">
        <v>7164</v>
      </c>
      <c r="L3079" s="7"/>
      <c r="M3079" s="7"/>
    </row>
    <row r="3080" spans="1:13" x14ac:dyDescent="0.3">
      <c r="A3080" s="7">
        <v>17141</v>
      </c>
      <c r="B3080" s="7" t="s">
        <v>3088</v>
      </c>
      <c r="C3080" s="7" t="s">
        <v>6327</v>
      </c>
      <c r="D3080" s="7" t="s">
        <v>6724</v>
      </c>
      <c r="E3080" s="7" t="s">
        <v>6295</v>
      </c>
      <c r="F3080" s="7" t="s">
        <v>6730</v>
      </c>
      <c r="G3080" s="7" t="s">
        <v>7150</v>
      </c>
      <c r="H3080" s="7" t="s">
        <v>7156</v>
      </c>
      <c r="I3080" s="7"/>
      <c r="J3080" s="10">
        <v>45646</v>
      </c>
      <c r="K3080" s="7" t="s">
        <v>7164</v>
      </c>
      <c r="L3080" s="7"/>
      <c r="M3080" s="7"/>
    </row>
    <row r="3081" spans="1:13" x14ac:dyDescent="0.3">
      <c r="A3081" s="7">
        <v>18394</v>
      </c>
      <c r="B3081" s="7" t="s">
        <v>3089</v>
      </c>
      <c r="C3081" s="7" t="s">
        <v>6327</v>
      </c>
      <c r="D3081" s="7" t="s">
        <v>6724</v>
      </c>
      <c r="E3081" s="7" t="s">
        <v>6295</v>
      </c>
      <c r="F3081" s="7" t="s">
        <v>6730</v>
      </c>
      <c r="G3081" s="7" t="s">
        <v>7150</v>
      </c>
      <c r="H3081" s="7" t="s">
        <v>7156</v>
      </c>
      <c r="I3081" s="7"/>
      <c r="J3081" s="10">
        <v>46120</v>
      </c>
      <c r="K3081" s="7" t="s">
        <v>7164</v>
      </c>
      <c r="L3081" s="7"/>
      <c r="M3081" s="7"/>
    </row>
    <row r="3082" spans="1:13" x14ac:dyDescent="0.3">
      <c r="A3082" s="7">
        <v>16454</v>
      </c>
      <c r="B3082" s="7" t="s">
        <v>3090</v>
      </c>
      <c r="C3082" s="7" t="s">
        <v>6327</v>
      </c>
      <c r="D3082" s="7" t="s">
        <v>6724</v>
      </c>
      <c r="E3082" s="7" t="s">
        <v>6295</v>
      </c>
      <c r="F3082" s="7" t="s">
        <v>6712</v>
      </c>
      <c r="G3082" s="7" t="s">
        <v>7150</v>
      </c>
      <c r="H3082" s="7" t="s">
        <v>7156</v>
      </c>
      <c r="I3082" s="7"/>
      <c r="J3082" s="10">
        <v>45418</v>
      </c>
      <c r="K3082" s="7" t="s">
        <v>7164</v>
      </c>
      <c r="L3082" s="7"/>
      <c r="M3082" s="7"/>
    </row>
    <row r="3083" spans="1:13" x14ac:dyDescent="0.3">
      <c r="A3083" s="7">
        <v>13064</v>
      </c>
      <c r="B3083" s="7" t="s">
        <v>3091</v>
      </c>
      <c r="C3083" s="7" t="s">
        <v>6327</v>
      </c>
      <c r="D3083" s="7" t="s">
        <v>6724</v>
      </c>
      <c r="E3083" s="7" t="s">
        <v>6295</v>
      </c>
      <c r="F3083" s="7" t="s">
        <v>6730</v>
      </c>
      <c r="G3083" s="7" t="s">
        <v>7150</v>
      </c>
      <c r="H3083" s="7" t="s">
        <v>7156</v>
      </c>
      <c r="I3083" s="7"/>
      <c r="J3083" s="10">
        <v>44236</v>
      </c>
      <c r="K3083" s="7" t="s">
        <v>7164</v>
      </c>
      <c r="L3083" s="7"/>
      <c r="M3083" s="7"/>
    </row>
    <row r="3084" spans="1:13" x14ac:dyDescent="0.3">
      <c r="A3084" s="7">
        <v>17857</v>
      </c>
      <c r="B3084" s="7" t="s">
        <v>3092</v>
      </c>
      <c r="C3084" s="7" t="s">
        <v>6327</v>
      </c>
      <c r="D3084" s="7" t="s">
        <v>6724</v>
      </c>
      <c r="E3084" s="7" t="s">
        <v>6295</v>
      </c>
      <c r="F3084" s="7" t="s">
        <v>6730</v>
      </c>
      <c r="G3084" s="7" t="s">
        <v>7150</v>
      </c>
      <c r="H3084" s="7" t="s">
        <v>7156</v>
      </c>
      <c r="I3084" s="7"/>
      <c r="J3084" s="10">
        <v>45891</v>
      </c>
      <c r="K3084" s="7" t="s">
        <v>7164</v>
      </c>
      <c r="L3084" s="7"/>
      <c r="M3084" s="7"/>
    </row>
    <row r="3085" spans="1:13" x14ac:dyDescent="0.3">
      <c r="A3085" s="7">
        <v>17839</v>
      </c>
      <c r="B3085" s="7" t="s">
        <v>3093</v>
      </c>
      <c r="C3085" s="7" t="s">
        <v>6322</v>
      </c>
      <c r="D3085" s="7" t="s">
        <v>6724</v>
      </c>
      <c r="E3085" s="7" t="s">
        <v>6295</v>
      </c>
      <c r="F3085" s="7" t="s">
        <v>6730</v>
      </c>
      <c r="G3085" s="7" t="s">
        <v>7150</v>
      </c>
      <c r="H3085" s="7" t="s">
        <v>7156</v>
      </c>
      <c r="I3085" s="7"/>
      <c r="J3085" s="10">
        <v>45894</v>
      </c>
      <c r="K3085" s="7" t="s">
        <v>7164</v>
      </c>
      <c r="L3085" s="7"/>
      <c r="M3085" s="7"/>
    </row>
    <row r="3086" spans="1:13" x14ac:dyDescent="0.3">
      <c r="A3086" s="7">
        <v>17365</v>
      </c>
      <c r="B3086" s="7" t="s">
        <v>3094</v>
      </c>
      <c r="C3086" s="7" t="s">
        <v>6327</v>
      </c>
      <c r="D3086" s="7" t="s">
        <v>6724</v>
      </c>
      <c r="E3086" s="7" t="s">
        <v>6295</v>
      </c>
      <c r="F3086" s="7" t="s">
        <v>6730</v>
      </c>
      <c r="G3086" s="7" t="s">
        <v>7150</v>
      </c>
      <c r="H3086" s="7" t="s">
        <v>7156</v>
      </c>
      <c r="I3086" s="7"/>
      <c r="J3086" s="10">
        <v>45721</v>
      </c>
      <c r="K3086" s="7" t="s">
        <v>7164</v>
      </c>
      <c r="L3086" s="7"/>
      <c r="M3086" s="7"/>
    </row>
    <row r="3087" spans="1:13" x14ac:dyDescent="0.3">
      <c r="A3087" s="7">
        <v>18210</v>
      </c>
      <c r="B3087" s="7" t="s">
        <v>3095</v>
      </c>
      <c r="C3087" s="7" t="s">
        <v>6327</v>
      </c>
      <c r="D3087" s="7" t="s">
        <v>6724</v>
      </c>
      <c r="E3087" s="7" t="s">
        <v>6295</v>
      </c>
      <c r="F3087" s="7" t="s">
        <v>6730</v>
      </c>
      <c r="G3087" s="7" t="s">
        <v>7150</v>
      </c>
      <c r="H3087" s="7" t="s">
        <v>7156</v>
      </c>
      <c r="I3087" s="7"/>
      <c r="J3087" s="10">
        <v>46056</v>
      </c>
      <c r="K3087" s="7" t="s">
        <v>7164</v>
      </c>
      <c r="L3087" s="7"/>
      <c r="M3087" s="7"/>
    </row>
    <row r="3088" spans="1:13" x14ac:dyDescent="0.3">
      <c r="A3088" s="7">
        <v>17663</v>
      </c>
      <c r="B3088" s="7" t="s">
        <v>3096</v>
      </c>
      <c r="C3088" s="7" t="s">
        <v>6327</v>
      </c>
      <c r="D3088" s="7" t="s">
        <v>6724</v>
      </c>
      <c r="E3088" s="7" t="s">
        <v>6295</v>
      </c>
      <c r="F3088" s="7" t="s">
        <v>6730</v>
      </c>
      <c r="G3088" s="7" t="s">
        <v>7150</v>
      </c>
      <c r="H3088" s="7" t="s">
        <v>7156</v>
      </c>
      <c r="I3088" s="7"/>
      <c r="J3088" s="10">
        <v>45848</v>
      </c>
      <c r="K3088" s="7" t="s">
        <v>7164</v>
      </c>
      <c r="L3088" s="7"/>
      <c r="M3088" s="7"/>
    </row>
    <row r="3089" spans="1:13" x14ac:dyDescent="0.3">
      <c r="A3089" s="7">
        <v>13072</v>
      </c>
      <c r="B3089" s="7" t="s">
        <v>3097</v>
      </c>
      <c r="C3089" s="7" t="s">
        <v>6646</v>
      </c>
      <c r="D3089" s="7" t="s">
        <v>6708</v>
      </c>
      <c r="E3089" s="7" t="s">
        <v>6295</v>
      </c>
      <c r="F3089" s="7" t="s">
        <v>6414</v>
      </c>
      <c r="G3089" s="7" t="s">
        <v>7150</v>
      </c>
      <c r="H3089" s="7" t="s">
        <v>7156</v>
      </c>
      <c r="I3089" s="7"/>
      <c r="J3089" s="10">
        <v>44238</v>
      </c>
      <c r="K3089" s="7" t="s">
        <v>7164</v>
      </c>
      <c r="L3089" s="7"/>
      <c r="M3089" s="7"/>
    </row>
    <row r="3090" spans="1:13" x14ac:dyDescent="0.3">
      <c r="A3090" s="7">
        <v>17259</v>
      </c>
      <c r="B3090" s="7" t="s">
        <v>3098</v>
      </c>
      <c r="C3090" s="7" t="s">
        <v>6327</v>
      </c>
      <c r="D3090" s="7" t="s">
        <v>6724</v>
      </c>
      <c r="E3090" s="7" t="s">
        <v>6295</v>
      </c>
      <c r="F3090" s="7" t="s">
        <v>6730</v>
      </c>
      <c r="G3090" s="7" t="s">
        <v>7150</v>
      </c>
      <c r="H3090" s="7" t="s">
        <v>7156</v>
      </c>
      <c r="I3090" s="7"/>
      <c r="J3090" s="10">
        <v>45691</v>
      </c>
      <c r="K3090" s="7" t="s">
        <v>7164</v>
      </c>
      <c r="L3090" s="7"/>
      <c r="M3090" s="7"/>
    </row>
    <row r="3091" spans="1:13" x14ac:dyDescent="0.3">
      <c r="A3091" s="7">
        <v>17536</v>
      </c>
      <c r="B3091" s="7" t="s">
        <v>3099</v>
      </c>
      <c r="C3091" s="7" t="s">
        <v>6322</v>
      </c>
      <c r="D3091" s="7" t="s">
        <v>6724</v>
      </c>
      <c r="E3091" s="7" t="s">
        <v>6295</v>
      </c>
      <c r="F3091" s="7" t="s">
        <v>6730</v>
      </c>
      <c r="G3091" s="7" t="s">
        <v>7150</v>
      </c>
      <c r="H3091" s="7" t="s">
        <v>7156</v>
      </c>
      <c r="I3091" s="7"/>
      <c r="J3091" s="10">
        <v>45790</v>
      </c>
      <c r="K3091" s="7" t="s">
        <v>7164</v>
      </c>
      <c r="L3091" s="7"/>
      <c r="M3091" s="7"/>
    </row>
    <row r="3092" spans="1:13" x14ac:dyDescent="0.3">
      <c r="A3092" s="7">
        <v>16685</v>
      </c>
      <c r="B3092" s="7" t="s">
        <v>3100</v>
      </c>
      <c r="C3092" s="7" t="s">
        <v>6327</v>
      </c>
      <c r="D3092" s="7" t="s">
        <v>6724</v>
      </c>
      <c r="E3092" s="7" t="s">
        <v>6295</v>
      </c>
      <c r="F3092" s="7" t="s">
        <v>6730</v>
      </c>
      <c r="G3092" s="7" t="s">
        <v>7150</v>
      </c>
      <c r="H3092" s="7" t="s">
        <v>7156</v>
      </c>
      <c r="I3092" s="7"/>
      <c r="J3092" s="10">
        <v>45524</v>
      </c>
      <c r="K3092" s="7" t="s">
        <v>7164</v>
      </c>
      <c r="L3092" s="7"/>
      <c r="M3092" s="7"/>
    </row>
    <row r="3093" spans="1:13" x14ac:dyDescent="0.3">
      <c r="A3093" s="7">
        <v>16751</v>
      </c>
      <c r="B3093" s="7" t="s">
        <v>3101</v>
      </c>
      <c r="C3093" s="7" t="s">
        <v>6327</v>
      </c>
      <c r="D3093" s="7" t="s">
        <v>6724</v>
      </c>
      <c r="E3093" s="7" t="s">
        <v>6295</v>
      </c>
      <c r="F3093" s="7" t="s">
        <v>6730</v>
      </c>
      <c r="G3093" s="7" t="s">
        <v>7150</v>
      </c>
      <c r="H3093" s="7" t="s">
        <v>7156</v>
      </c>
      <c r="I3093" s="7"/>
      <c r="J3093" s="10">
        <v>45539</v>
      </c>
      <c r="K3093" s="7" t="s">
        <v>7164</v>
      </c>
      <c r="L3093" s="7"/>
      <c r="M3093" s="7"/>
    </row>
    <row r="3094" spans="1:13" x14ac:dyDescent="0.3">
      <c r="A3094" s="7">
        <v>16688</v>
      </c>
      <c r="B3094" s="7" t="s">
        <v>3102</v>
      </c>
      <c r="C3094" s="7" t="s">
        <v>6646</v>
      </c>
      <c r="D3094" s="7" t="s">
        <v>6708</v>
      </c>
      <c r="E3094" s="7" t="s">
        <v>6295</v>
      </c>
      <c r="F3094" s="7" t="s">
        <v>6730</v>
      </c>
      <c r="G3094" s="7" t="s">
        <v>7150</v>
      </c>
      <c r="H3094" s="7" t="s">
        <v>7156</v>
      </c>
      <c r="I3094" s="7"/>
      <c r="J3094" s="10">
        <v>45524</v>
      </c>
      <c r="K3094" s="7" t="s">
        <v>7164</v>
      </c>
      <c r="L3094" s="7"/>
      <c r="M3094" s="7"/>
    </row>
    <row r="3095" spans="1:13" x14ac:dyDescent="0.3">
      <c r="A3095" s="7">
        <v>18651</v>
      </c>
      <c r="B3095" s="7" t="s">
        <v>3103</v>
      </c>
      <c r="C3095" s="7" t="s">
        <v>6646</v>
      </c>
      <c r="D3095" s="7" t="s">
        <v>6708</v>
      </c>
      <c r="E3095" s="7" t="s">
        <v>6295</v>
      </c>
      <c r="F3095" s="7" t="s">
        <v>6730</v>
      </c>
      <c r="G3095" s="7" t="s">
        <v>7150</v>
      </c>
      <c r="H3095" s="7" t="s">
        <v>7156</v>
      </c>
      <c r="I3095" s="7"/>
      <c r="J3095" s="10">
        <v>46184</v>
      </c>
      <c r="K3095" s="7" t="s">
        <v>7164</v>
      </c>
      <c r="L3095" s="7"/>
      <c r="M3095" s="7"/>
    </row>
    <row r="3096" spans="1:13" x14ac:dyDescent="0.3">
      <c r="A3096" s="7">
        <v>12543</v>
      </c>
      <c r="B3096" s="7" t="s">
        <v>3104</v>
      </c>
      <c r="C3096" s="7" t="s">
        <v>6646</v>
      </c>
      <c r="D3096" s="7" t="s">
        <v>6708</v>
      </c>
      <c r="E3096" s="7" t="s">
        <v>6295</v>
      </c>
      <c r="F3096" s="7" t="s">
        <v>6725</v>
      </c>
      <c r="G3096" s="7" t="s">
        <v>7150</v>
      </c>
      <c r="H3096" s="7" t="s">
        <v>7156</v>
      </c>
      <c r="I3096" s="7"/>
      <c r="J3096" s="10">
        <v>43805</v>
      </c>
      <c r="K3096" s="7" t="s">
        <v>7164</v>
      </c>
      <c r="L3096" s="7"/>
      <c r="M3096" s="7"/>
    </row>
    <row r="3097" spans="1:13" x14ac:dyDescent="0.3">
      <c r="A3097" s="7">
        <v>16605</v>
      </c>
      <c r="B3097" s="7" t="s">
        <v>3105</v>
      </c>
      <c r="C3097" s="7" t="s">
        <v>6327</v>
      </c>
      <c r="D3097" s="7" t="s">
        <v>6724</v>
      </c>
      <c r="E3097" s="7" t="s">
        <v>6295</v>
      </c>
      <c r="F3097" s="7" t="s">
        <v>6730</v>
      </c>
      <c r="G3097" s="7" t="s">
        <v>7150</v>
      </c>
      <c r="H3097" s="7" t="s">
        <v>7156</v>
      </c>
      <c r="I3097" s="7"/>
      <c r="J3097" s="10">
        <v>45492</v>
      </c>
      <c r="K3097" s="7" t="s">
        <v>7164</v>
      </c>
      <c r="L3097" s="7"/>
      <c r="M3097" s="7"/>
    </row>
    <row r="3098" spans="1:13" x14ac:dyDescent="0.3">
      <c r="A3098" s="7">
        <v>11835</v>
      </c>
      <c r="B3098" s="7" t="s">
        <v>3106</v>
      </c>
      <c r="C3098" s="7" t="s">
        <v>6327</v>
      </c>
      <c r="D3098" s="7" t="s">
        <v>6724</v>
      </c>
      <c r="E3098" s="7" t="s">
        <v>6295</v>
      </c>
      <c r="F3098" s="7" t="s">
        <v>6725</v>
      </c>
      <c r="G3098" s="7" t="s">
        <v>7150</v>
      </c>
      <c r="H3098" s="7" t="s">
        <v>7156</v>
      </c>
      <c r="I3098" s="7"/>
      <c r="J3098" s="10">
        <v>43175</v>
      </c>
      <c r="K3098" s="7" t="s">
        <v>7164</v>
      </c>
      <c r="L3098" s="7"/>
      <c r="M3098" s="7"/>
    </row>
    <row r="3099" spans="1:13" x14ac:dyDescent="0.3">
      <c r="A3099" s="7">
        <v>16784</v>
      </c>
      <c r="B3099" s="7" t="s">
        <v>3107</v>
      </c>
      <c r="C3099" s="7" t="s">
        <v>6327</v>
      </c>
      <c r="D3099" s="7" t="s">
        <v>6724</v>
      </c>
      <c r="E3099" s="7" t="s">
        <v>6295</v>
      </c>
      <c r="F3099" s="7" t="s">
        <v>6725</v>
      </c>
      <c r="G3099" s="7" t="s">
        <v>7150</v>
      </c>
      <c r="H3099" s="7" t="s">
        <v>7156</v>
      </c>
      <c r="I3099" s="7"/>
      <c r="J3099" s="10">
        <v>45548</v>
      </c>
      <c r="K3099" s="7" t="s">
        <v>7164</v>
      </c>
      <c r="L3099" s="7"/>
      <c r="M3099" s="7"/>
    </row>
    <row r="3100" spans="1:13" x14ac:dyDescent="0.3">
      <c r="A3100" s="7">
        <v>12023</v>
      </c>
      <c r="B3100" s="7" t="s">
        <v>3108</v>
      </c>
      <c r="C3100" s="7" t="s">
        <v>6327</v>
      </c>
      <c r="D3100" s="7" t="s">
        <v>6724</v>
      </c>
      <c r="E3100" s="7" t="s">
        <v>6295</v>
      </c>
      <c r="F3100" s="7" t="s">
        <v>6712</v>
      </c>
      <c r="G3100" s="7" t="s">
        <v>7150</v>
      </c>
      <c r="H3100" s="7" t="s">
        <v>7156</v>
      </c>
      <c r="I3100" s="7"/>
      <c r="J3100" s="10">
        <v>43391</v>
      </c>
      <c r="K3100" s="7" t="s">
        <v>7164</v>
      </c>
      <c r="L3100" s="7"/>
      <c r="M3100" s="7"/>
    </row>
    <row r="3101" spans="1:13" x14ac:dyDescent="0.3">
      <c r="A3101" s="7">
        <v>12392</v>
      </c>
      <c r="B3101" s="7" t="s">
        <v>3109</v>
      </c>
      <c r="C3101" s="7" t="s">
        <v>6322</v>
      </c>
      <c r="D3101" s="7" t="s">
        <v>6724</v>
      </c>
      <c r="E3101" s="7" t="s">
        <v>6295</v>
      </c>
      <c r="F3101" s="7" t="s">
        <v>6726</v>
      </c>
      <c r="G3101" s="7" t="s">
        <v>7150</v>
      </c>
      <c r="H3101" s="7" t="s">
        <v>7156</v>
      </c>
      <c r="I3101" s="7"/>
      <c r="J3101" s="10">
        <v>43728</v>
      </c>
      <c r="K3101" s="7" t="s">
        <v>7164</v>
      </c>
      <c r="L3101" s="7"/>
      <c r="M3101" s="7"/>
    </row>
    <row r="3102" spans="1:13" x14ac:dyDescent="0.3">
      <c r="A3102" s="7">
        <v>17871</v>
      </c>
      <c r="B3102" s="7" t="s">
        <v>3110</v>
      </c>
      <c r="C3102" s="7" t="s">
        <v>6327</v>
      </c>
      <c r="D3102" s="7" t="s">
        <v>6724</v>
      </c>
      <c r="E3102" s="7" t="s">
        <v>6295</v>
      </c>
      <c r="F3102" s="7" t="s">
        <v>6726</v>
      </c>
      <c r="G3102" s="7" t="s">
        <v>7150</v>
      </c>
      <c r="H3102" s="7" t="s">
        <v>7156</v>
      </c>
      <c r="I3102" s="7"/>
      <c r="J3102" s="10">
        <v>45901</v>
      </c>
      <c r="K3102" s="7" t="s">
        <v>7164</v>
      </c>
      <c r="L3102" s="7"/>
      <c r="M3102" s="7"/>
    </row>
    <row r="3103" spans="1:13" x14ac:dyDescent="0.3">
      <c r="A3103" s="7">
        <v>15699</v>
      </c>
      <c r="B3103" s="7" t="s">
        <v>3111</v>
      </c>
      <c r="C3103" s="7" t="s">
        <v>6327</v>
      </c>
      <c r="D3103" s="7" t="s">
        <v>6724</v>
      </c>
      <c r="E3103" s="7" t="s">
        <v>6295</v>
      </c>
      <c r="F3103" s="7" t="s">
        <v>6324</v>
      </c>
      <c r="G3103" s="7" t="s">
        <v>7150</v>
      </c>
      <c r="H3103" s="7" t="s">
        <v>7156</v>
      </c>
      <c r="I3103" s="7"/>
      <c r="J3103" s="10">
        <v>45170</v>
      </c>
      <c r="K3103" s="7" t="s">
        <v>7164</v>
      </c>
      <c r="L3103" s="7"/>
      <c r="M3103" s="7"/>
    </row>
    <row r="3104" spans="1:13" x14ac:dyDescent="0.3">
      <c r="A3104" s="7">
        <v>17289</v>
      </c>
      <c r="B3104" s="7" t="s">
        <v>3112</v>
      </c>
      <c r="C3104" s="7" t="s">
        <v>6327</v>
      </c>
      <c r="D3104" s="7" t="s">
        <v>6724</v>
      </c>
      <c r="E3104" s="7" t="s">
        <v>6295</v>
      </c>
      <c r="F3104" s="7" t="s">
        <v>6324</v>
      </c>
      <c r="G3104" s="7" t="s">
        <v>7150</v>
      </c>
      <c r="H3104" s="7" t="s">
        <v>7156</v>
      </c>
      <c r="I3104" s="7"/>
      <c r="J3104" s="10">
        <v>45693</v>
      </c>
      <c r="K3104" s="7" t="s">
        <v>7164</v>
      </c>
      <c r="L3104" s="7"/>
      <c r="M3104" s="7"/>
    </row>
    <row r="3105" spans="1:13" x14ac:dyDescent="0.3">
      <c r="A3105" s="7">
        <v>16800</v>
      </c>
      <c r="B3105" s="7" t="s">
        <v>3113</v>
      </c>
      <c r="C3105" s="7" t="s">
        <v>6327</v>
      </c>
      <c r="D3105" s="7" t="s">
        <v>6724</v>
      </c>
      <c r="E3105" s="7" t="s">
        <v>6295</v>
      </c>
      <c r="F3105" s="7" t="s">
        <v>6726</v>
      </c>
      <c r="G3105" s="7" t="s">
        <v>7150</v>
      </c>
      <c r="H3105" s="7" t="s">
        <v>7156</v>
      </c>
      <c r="I3105" s="7"/>
      <c r="J3105" s="10">
        <v>45567</v>
      </c>
      <c r="K3105" s="7" t="s">
        <v>7164</v>
      </c>
      <c r="L3105" s="7"/>
      <c r="M3105" s="7"/>
    </row>
    <row r="3106" spans="1:13" x14ac:dyDescent="0.3">
      <c r="A3106" s="7">
        <v>13287</v>
      </c>
      <c r="B3106" s="7" t="s">
        <v>3114</v>
      </c>
      <c r="C3106" s="7" t="s">
        <v>6327</v>
      </c>
      <c r="D3106" s="7" t="s">
        <v>6724</v>
      </c>
      <c r="E3106" s="7" t="s">
        <v>6295</v>
      </c>
      <c r="F3106" s="7" t="s">
        <v>6324</v>
      </c>
      <c r="G3106" s="7" t="s">
        <v>7150</v>
      </c>
      <c r="H3106" s="7" t="s">
        <v>7156</v>
      </c>
      <c r="I3106" s="7"/>
      <c r="J3106" s="10">
        <v>44368</v>
      </c>
      <c r="K3106" s="7" t="s">
        <v>7164</v>
      </c>
      <c r="L3106" s="7"/>
      <c r="M3106" s="7"/>
    </row>
    <row r="3107" spans="1:13" x14ac:dyDescent="0.3">
      <c r="A3107" s="7">
        <v>13793</v>
      </c>
      <c r="B3107" s="7" t="s">
        <v>3115</v>
      </c>
      <c r="C3107" s="7" t="s">
        <v>6327</v>
      </c>
      <c r="D3107" s="7" t="s">
        <v>6724</v>
      </c>
      <c r="E3107" s="7" t="s">
        <v>6295</v>
      </c>
      <c r="F3107" s="7" t="s">
        <v>6726</v>
      </c>
      <c r="G3107" s="7" t="s">
        <v>7150</v>
      </c>
      <c r="H3107" s="7" t="s">
        <v>7156</v>
      </c>
      <c r="I3107" s="7"/>
      <c r="J3107" s="10">
        <v>44579</v>
      </c>
      <c r="K3107" s="7" t="s">
        <v>7164</v>
      </c>
      <c r="L3107" s="7"/>
      <c r="M3107" s="7"/>
    </row>
    <row r="3108" spans="1:13" x14ac:dyDescent="0.3">
      <c r="A3108" s="7">
        <v>13790</v>
      </c>
      <c r="B3108" s="7" t="s">
        <v>3116</v>
      </c>
      <c r="C3108" s="7" t="s">
        <v>6327</v>
      </c>
      <c r="D3108" s="7" t="s">
        <v>6724</v>
      </c>
      <c r="E3108" s="7" t="s">
        <v>6295</v>
      </c>
      <c r="F3108" s="7" t="s">
        <v>6726</v>
      </c>
      <c r="G3108" s="7" t="s">
        <v>7150</v>
      </c>
      <c r="H3108" s="7" t="s">
        <v>7156</v>
      </c>
      <c r="I3108" s="7"/>
      <c r="J3108" s="10">
        <v>44578</v>
      </c>
      <c r="K3108" s="7" t="s">
        <v>7164</v>
      </c>
      <c r="L3108" s="7"/>
      <c r="M3108" s="7"/>
    </row>
    <row r="3109" spans="1:13" x14ac:dyDescent="0.3">
      <c r="A3109" s="7">
        <v>12771</v>
      </c>
      <c r="B3109" s="7" t="s">
        <v>3117</v>
      </c>
      <c r="C3109" s="7" t="s">
        <v>6327</v>
      </c>
      <c r="D3109" s="7" t="s">
        <v>6724</v>
      </c>
      <c r="E3109" s="7" t="s">
        <v>6295</v>
      </c>
      <c r="F3109" s="7" t="s">
        <v>6712</v>
      </c>
      <c r="G3109" s="7" t="s">
        <v>7150</v>
      </c>
      <c r="H3109" s="7" t="s">
        <v>7156</v>
      </c>
      <c r="I3109" s="7"/>
      <c r="J3109" s="10">
        <v>43906</v>
      </c>
      <c r="K3109" s="7" t="s">
        <v>7164</v>
      </c>
      <c r="L3109" s="7"/>
      <c r="M3109" s="7"/>
    </row>
    <row r="3110" spans="1:13" x14ac:dyDescent="0.3">
      <c r="A3110" s="7">
        <v>15915</v>
      </c>
      <c r="B3110" s="7" t="s">
        <v>3118</v>
      </c>
      <c r="C3110" s="7" t="s">
        <v>6327</v>
      </c>
      <c r="D3110" s="7" t="s">
        <v>6724</v>
      </c>
      <c r="E3110" s="7" t="s">
        <v>6295</v>
      </c>
      <c r="F3110" s="7" t="s">
        <v>6726</v>
      </c>
      <c r="G3110" s="7" t="s">
        <v>7150</v>
      </c>
      <c r="H3110" s="7" t="s">
        <v>7156</v>
      </c>
      <c r="I3110" s="7"/>
      <c r="J3110" s="10">
        <v>45237</v>
      </c>
      <c r="K3110" s="7" t="s">
        <v>7164</v>
      </c>
      <c r="L3110" s="7"/>
      <c r="M3110" s="7"/>
    </row>
    <row r="3111" spans="1:13" x14ac:dyDescent="0.3">
      <c r="A3111" s="7">
        <v>18066</v>
      </c>
      <c r="B3111" s="7" t="s">
        <v>3119</v>
      </c>
      <c r="C3111" s="7" t="s">
        <v>6327</v>
      </c>
      <c r="D3111" s="7" t="s">
        <v>6724</v>
      </c>
      <c r="E3111" s="7" t="s">
        <v>6295</v>
      </c>
      <c r="F3111" s="7" t="s">
        <v>6726</v>
      </c>
      <c r="G3111" s="7" t="s">
        <v>7150</v>
      </c>
      <c r="H3111" s="7" t="s">
        <v>7156</v>
      </c>
      <c r="I3111" s="7"/>
      <c r="J3111" s="10">
        <v>45978</v>
      </c>
      <c r="K3111" s="7" t="s">
        <v>7164</v>
      </c>
      <c r="L3111" s="7"/>
      <c r="M3111" s="7"/>
    </row>
    <row r="3112" spans="1:13" x14ac:dyDescent="0.3">
      <c r="A3112" s="7">
        <v>17770</v>
      </c>
      <c r="B3112" s="7" t="s">
        <v>3120</v>
      </c>
      <c r="C3112" s="7" t="s">
        <v>6322</v>
      </c>
      <c r="D3112" s="7" t="s">
        <v>6724</v>
      </c>
      <c r="E3112" s="7" t="s">
        <v>6295</v>
      </c>
      <c r="F3112" s="7" t="s">
        <v>6726</v>
      </c>
      <c r="G3112" s="7" t="s">
        <v>7150</v>
      </c>
      <c r="H3112" s="7" t="s">
        <v>7156</v>
      </c>
      <c r="I3112" s="7"/>
      <c r="J3112" s="10">
        <v>45874</v>
      </c>
      <c r="K3112" s="7" t="s">
        <v>7164</v>
      </c>
      <c r="L3112" s="7"/>
      <c r="M3112" s="7"/>
    </row>
    <row r="3113" spans="1:13" x14ac:dyDescent="0.3">
      <c r="A3113" s="7">
        <v>17501</v>
      </c>
      <c r="B3113" s="7" t="s">
        <v>3121</v>
      </c>
      <c r="C3113" s="7" t="s">
        <v>6327</v>
      </c>
      <c r="D3113" s="7" t="s">
        <v>6724</v>
      </c>
      <c r="E3113" s="7" t="s">
        <v>6295</v>
      </c>
      <c r="F3113" s="7" t="s">
        <v>6726</v>
      </c>
      <c r="G3113" s="7" t="s">
        <v>7150</v>
      </c>
      <c r="H3113" s="7" t="s">
        <v>7156</v>
      </c>
      <c r="I3113" s="7"/>
      <c r="J3113" s="10">
        <v>45778</v>
      </c>
      <c r="K3113" s="7" t="s">
        <v>7164</v>
      </c>
      <c r="L3113" s="7"/>
      <c r="M3113" s="7"/>
    </row>
    <row r="3114" spans="1:13" x14ac:dyDescent="0.3">
      <c r="A3114" s="7">
        <v>17345</v>
      </c>
      <c r="B3114" s="7" t="s">
        <v>3122</v>
      </c>
      <c r="C3114" s="7" t="s">
        <v>6327</v>
      </c>
      <c r="D3114" s="7" t="s">
        <v>6724</v>
      </c>
      <c r="E3114" s="7" t="s">
        <v>6295</v>
      </c>
      <c r="F3114" s="7" t="s">
        <v>6726</v>
      </c>
      <c r="G3114" s="7" t="s">
        <v>7150</v>
      </c>
      <c r="H3114" s="7" t="s">
        <v>7156</v>
      </c>
      <c r="I3114" s="7"/>
      <c r="J3114" s="10">
        <v>45719</v>
      </c>
      <c r="K3114" s="7" t="s">
        <v>7164</v>
      </c>
      <c r="L3114" s="7"/>
      <c r="M3114" s="7"/>
    </row>
    <row r="3115" spans="1:13" x14ac:dyDescent="0.3">
      <c r="A3115" s="7">
        <v>14386</v>
      </c>
      <c r="B3115" s="7" t="s">
        <v>3123</v>
      </c>
      <c r="C3115" s="7" t="s">
        <v>6327</v>
      </c>
      <c r="D3115" s="7" t="s">
        <v>6724</v>
      </c>
      <c r="E3115" s="7" t="s">
        <v>6295</v>
      </c>
      <c r="F3115" s="7" t="s">
        <v>6726</v>
      </c>
      <c r="G3115" s="7" t="s">
        <v>7150</v>
      </c>
      <c r="H3115" s="7" t="s">
        <v>7156</v>
      </c>
      <c r="I3115" s="7"/>
      <c r="J3115" s="10">
        <v>44743</v>
      </c>
      <c r="K3115" s="7" t="s">
        <v>7164</v>
      </c>
      <c r="L3115" s="7"/>
      <c r="M3115" s="7"/>
    </row>
    <row r="3116" spans="1:13" x14ac:dyDescent="0.3">
      <c r="A3116" s="7">
        <v>12361</v>
      </c>
      <c r="B3116" s="7" t="s">
        <v>3124</v>
      </c>
      <c r="C3116" s="7" t="s">
        <v>6327</v>
      </c>
      <c r="D3116" s="7" t="s">
        <v>6724</v>
      </c>
      <c r="E3116" s="7" t="s">
        <v>6295</v>
      </c>
      <c r="F3116" s="7" t="s">
        <v>6324</v>
      </c>
      <c r="G3116" s="7" t="s">
        <v>7150</v>
      </c>
      <c r="H3116" s="7" t="s">
        <v>7156</v>
      </c>
      <c r="I3116" s="7"/>
      <c r="J3116" s="10">
        <v>43710</v>
      </c>
      <c r="K3116" s="7" t="s">
        <v>7164</v>
      </c>
      <c r="L3116" s="7"/>
      <c r="M3116" s="7"/>
    </row>
    <row r="3117" spans="1:13" x14ac:dyDescent="0.3">
      <c r="A3117" s="7">
        <v>14371</v>
      </c>
      <c r="B3117" s="7" t="s">
        <v>3125</v>
      </c>
      <c r="C3117" s="7" t="s">
        <v>6322</v>
      </c>
      <c r="D3117" s="7" t="s">
        <v>6724</v>
      </c>
      <c r="E3117" s="7" t="s">
        <v>6295</v>
      </c>
      <c r="F3117" s="7" t="s">
        <v>6726</v>
      </c>
      <c r="G3117" s="7" t="s">
        <v>7150</v>
      </c>
      <c r="H3117" s="7" t="s">
        <v>7156</v>
      </c>
      <c r="I3117" s="7"/>
      <c r="J3117" s="10">
        <v>44743</v>
      </c>
      <c r="K3117" s="7" t="s">
        <v>7164</v>
      </c>
      <c r="L3117" s="7"/>
      <c r="M3117" s="7"/>
    </row>
    <row r="3118" spans="1:13" x14ac:dyDescent="0.3">
      <c r="A3118" s="7">
        <v>11348</v>
      </c>
      <c r="B3118" s="7" t="s">
        <v>3126</v>
      </c>
      <c r="C3118" s="7" t="s">
        <v>6322</v>
      </c>
      <c r="D3118" s="7" t="s">
        <v>6724</v>
      </c>
      <c r="E3118" s="7" t="s">
        <v>6295</v>
      </c>
      <c r="F3118" s="7" t="s">
        <v>6414</v>
      </c>
      <c r="G3118" s="7" t="s">
        <v>7150</v>
      </c>
      <c r="H3118" s="7" t="s">
        <v>7156</v>
      </c>
      <c r="I3118" s="7"/>
      <c r="J3118" s="10">
        <v>42573</v>
      </c>
      <c r="K3118" s="7" t="s">
        <v>7164</v>
      </c>
      <c r="L3118" s="7"/>
      <c r="M3118" s="7"/>
    </row>
    <row r="3119" spans="1:13" x14ac:dyDescent="0.3">
      <c r="A3119" s="7">
        <v>18088</v>
      </c>
      <c r="B3119" s="7" t="s">
        <v>3127</v>
      </c>
      <c r="C3119" s="7" t="s">
        <v>6322</v>
      </c>
      <c r="D3119" s="7" t="s">
        <v>6724</v>
      </c>
      <c r="E3119" s="7" t="s">
        <v>6295</v>
      </c>
      <c r="F3119" s="7" t="s">
        <v>6726</v>
      </c>
      <c r="G3119" s="7" t="s">
        <v>7150</v>
      </c>
      <c r="H3119" s="7" t="s">
        <v>7156</v>
      </c>
      <c r="I3119" s="7"/>
      <c r="J3119" s="10">
        <v>45992</v>
      </c>
      <c r="K3119" s="7" t="s">
        <v>7164</v>
      </c>
      <c r="L3119" s="7"/>
      <c r="M3119" s="7"/>
    </row>
    <row r="3120" spans="1:13" x14ac:dyDescent="0.3">
      <c r="A3120" s="7">
        <v>18870</v>
      </c>
      <c r="B3120" s="7" t="s">
        <v>3128</v>
      </c>
      <c r="C3120" s="7" t="s">
        <v>6322</v>
      </c>
      <c r="D3120" s="7" t="s">
        <v>6724</v>
      </c>
      <c r="E3120" s="7" t="s">
        <v>6295</v>
      </c>
      <c r="F3120" s="7" t="s">
        <v>6726</v>
      </c>
      <c r="G3120" s="7" t="s">
        <v>7150</v>
      </c>
      <c r="H3120" s="7" t="s">
        <v>7156</v>
      </c>
      <c r="I3120" s="7" t="s">
        <v>7159</v>
      </c>
      <c r="J3120" s="10">
        <v>46223</v>
      </c>
      <c r="K3120" s="7" t="s">
        <v>7164</v>
      </c>
      <c r="L3120" s="7"/>
      <c r="M3120" s="7"/>
    </row>
    <row r="3121" spans="1:13" x14ac:dyDescent="0.3">
      <c r="A3121" s="7">
        <v>18901</v>
      </c>
      <c r="B3121" s="7" t="s">
        <v>3129</v>
      </c>
      <c r="C3121" s="7" t="s">
        <v>6322</v>
      </c>
      <c r="D3121" s="7" t="s">
        <v>6724</v>
      </c>
      <c r="E3121" s="7" t="s">
        <v>6295</v>
      </c>
      <c r="F3121" s="7" t="s">
        <v>6726</v>
      </c>
      <c r="G3121" s="7" t="s">
        <v>7150</v>
      </c>
      <c r="H3121" s="7" t="s">
        <v>7156</v>
      </c>
      <c r="I3121" s="7"/>
      <c r="J3121" s="10">
        <v>46238</v>
      </c>
      <c r="K3121" s="7" t="s">
        <v>7164</v>
      </c>
      <c r="L3121" s="7"/>
      <c r="M3121" s="7"/>
    </row>
    <row r="3122" spans="1:13" x14ac:dyDescent="0.3">
      <c r="A3122" s="7">
        <v>19002</v>
      </c>
      <c r="B3122" s="7" t="s">
        <v>3130</v>
      </c>
      <c r="C3122" s="7" t="s">
        <v>6322</v>
      </c>
      <c r="D3122" s="7" t="s">
        <v>6724</v>
      </c>
      <c r="E3122" s="7" t="s">
        <v>6295</v>
      </c>
      <c r="F3122" s="7" t="s">
        <v>6726</v>
      </c>
      <c r="G3122" s="7" t="s">
        <v>7150</v>
      </c>
      <c r="H3122" s="7" t="s">
        <v>7156</v>
      </c>
      <c r="I3122" s="7"/>
      <c r="J3122" s="10">
        <v>46259</v>
      </c>
      <c r="K3122" s="7" t="s">
        <v>7164</v>
      </c>
      <c r="L3122" s="7"/>
      <c r="M3122" s="7"/>
    </row>
    <row r="3123" spans="1:13" x14ac:dyDescent="0.3">
      <c r="A3123" s="7">
        <v>13015</v>
      </c>
      <c r="B3123" s="7" t="s">
        <v>3131</v>
      </c>
      <c r="C3123" s="7" t="s">
        <v>6327</v>
      </c>
      <c r="D3123" s="7" t="s">
        <v>6724</v>
      </c>
      <c r="E3123" s="7" t="s">
        <v>6295</v>
      </c>
      <c r="F3123" s="7" t="s">
        <v>6324</v>
      </c>
      <c r="G3123" s="7" t="s">
        <v>7150</v>
      </c>
      <c r="H3123" s="7" t="s">
        <v>7156</v>
      </c>
      <c r="I3123" s="7"/>
      <c r="J3123" s="10">
        <v>44202</v>
      </c>
      <c r="K3123" s="7" t="s">
        <v>7164</v>
      </c>
      <c r="L3123" s="7"/>
      <c r="M3123" s="7"/>
    </row>
    <row r="3124" spans="1:13" x14ac:dyDescent="0.3">
      <c r="A3124" s="7">
        <v>12540</v>
      </c>
      <c r="B3124" s="7" t="s">
        <v>3132</v>
      </c>
      <c r="C3124" s="7" t="s">
        <v>6327</v>
      </c>
      <c r="D3124" s="7" t="s">
        <v>6724</v>
      </c>
      <c r="E3124" s="7" t="s">
        <v>6295</v>
      </c>
      <c r="F3124" s="7" t="s">
        <v>6726</v>
      </c>
      <c r="G3124" s="7" t="s">
        <v>7150</v>
      </c>
      <c r="H3124" s="7" t="s">
        <v>7156</v>
      </c>
      <c r="I3124" s="7"/>
      <c r="J3124" s="10">
        <v>43803</v>
      </c>
      <c r="K3124" s="7" t="s">
        <v>7164</v>
      </c>
      <c r="L3124" s="7"/>
      <c r="M3124" s="7"/>
    </row>
    <row r="3125" spans="1:13" x14ac:dyDescent="0.3">
      <c r="A3125" s="7">
        <v>18704</v>
      </c>
      <c r="B3125" s="7" t="s">
        <v>3133</v>
      </c>
      <c r="C3125" s="7" t="s">
        <v>6327</v>
      </c>
      <c r="D3125" s="7" t="s">
        <v>6724</v>
      </c>
      <c r="E3125" s="7" t="s">
        <v>6295</v>
      </c>
      <c r="F3125" s="7" t="s">
        <v>6726</v>
      </c>
      <c r="G3125" s="7" t="s">
        <v>7150</v>
      </c>
      <c r="H3125" s="7" t="s">
        <v>7156</v>
      </c>
      <c r="I3125" s="7"/>
      <c r="J3125" s="10">
        <v>46195</v>
      </c>
      <c r="K3125" s="7" t="s">
        <v>7164</v>
      </c>
      <c r="L3125" s="7"/>
      <c r="M3125" s="7"/>
    </row>
    <row r="3126" spans="1:13" x14ac:dyDescent="0.3">
      <c r="A3126" s="7">
        <v>17872</v>
      </c>
      <c r="B3126" s="7" t="s">
        <v>3134</v>
      </c>
      <c r="C3126" s="7" t="s">
        <v>6646</v>
      </c>
      <c r="D3126" s="7" t="s">
        <v>6708</v>
      </c>
      <c r="E3126" s="7" t="s">
        <v>6295</v>
      </c>
      <c r="F3126" s="7" t="s">
        <v>6726</v>
      </c>
      <c r="G3126" s="7" t="s">
        <v>7150</v>
      </c>
      <c r="H3126" s="7" t="s">
        <v>7156</v>
      </c>
      <c r="I3126" s="7"/>
      <c r="J3126" s="10">
        <v>45902</v>
      </c>
      <c r="K3126" s="7" t="s">
        <v>7164</v>
      </c>
      <c r="L3126" s="7"/>
      <c r="M3126" s="7"/>
    </row>
    <row r="3127" spans="1:13" x14ac:dyDescent="0.3">
      <c r="A3127" s="7">
        <v>17873</v>
      </c>
      <c r="B3127" s="7" t="s">
        <v>3135</v>
      </c>
      <c r="C3127" s="7" t="s">
        <v>6322</v>
      </c>
      <c r="D3127" s="7" t="s">
        <v>6724</v>
      </c>
      <c r="E3127" s="7" t="s">
        <v>6295</v>
      </c>
      <c r="F3127" s="7" t="s">
        <v>6726</v>
      </c>
      <c r="G3127" s="7" t="s">
        <v>7150</v>
      </c>
      <c r="H3127" s="7" t="s">
        <v>7156</v>
      </c>
      <c r="I3127" s="7"/>
      <c r="J3127" s="10">
        <v>45902</v>
      </c>
      <c r="K3127" s="7" t="s">
        <v>7164</v>
      </c>
      <c r="L3127" s="7"/>
      <c r="M3127" s="7"/>
    </row>
    <row r="3128" spans="1:13" x14ac:dyDescent="0.3">
      <c r="A3128" s="7">
        <v>17807</v>
      </c>
      <c r="B3128" s="7" t="s">
        <v>3136</v>
      </c>
      <c r="C3128" s="7" t="s">
        <v>6322</v>
      </c>
      <c r="D3128" s="7" t="s">
        <v>6724</v>
      </c>
      <c r="E3128" s="7" t="s">
        <v>6295</v>
      </c>
      <c r="F3128" s="7" t="s">
        <v>6726</v>
      </c>
      <c r="G3128" s="7" t="s">
        <v>7150</v>
      </c>
      <c r="H3128" s="7" t="s">
        <v>7156</v>
      </c>
      <c r="I3128" s="7"/>
      <c r="J3128" s="10">
        <v>45887</v>
      </c>
      <c r="K3128" s="7" t="s">
        <v>7164</v>
      </c>
      <c r="L3128" s="7"/>
      <c r="M3128" s="7"/>
    </row>
    <row r="3129" spans="1:13" x14ac:dyDescent="0.3">
      <c r="A3129" s="7">
        <v>17092</v>
      </c>
      <c r="B3129" s="7" t="s">
        <v>3137</v>
      </c>
      <c r="C3129" s="7" t="s">
        <v>6327</v>
      </c>
      <c r="D3129" s="7" t="s">
        <v>6724</v>
      </c>
      <c r="E3129" s="7" t="s">
        <v>6295</v>
      </c>
      <c r="F3129" s="7" t="s">
        <v>6726</v>
      </c>
      <c r="G3129" s="7" t="s">
        <v>7150</v>
      </c>
      <c r="H3129" s="7" t="s">
        <v>7156</v>
      </c>
      <c r="I3129" s="7"/>
      <c r="J3129" s="10">
        <v>45629</v>
      </c>
      <c r="K3129" s="7" t="s">
        <v>7164</v>
      </c>
      <c r="L3129" s="7"/>
      <c r="M3129" s="7"/>
    </row>
    <row r="3130" spans="1:13" x14ac:dyDescent="0.3">
      <c r="A3130" s="7">
        <v>12058</v>
      </c>
      <c r="B3130" s="7" t="s">
        <v>3138</v>
      </c>
      <c r="C3130" s="7" t="s">
        <v>6322</v>
      </c>
      <c r="D3130" s="7" t="s">
        <v>6724</v>
      </c>
      <c r="E3130" s="7" t="s">
        <v>6295</v>
      </c>
      <c r="F3130" s="7" t="s">
        <v>6726</v>
      </c>
      <c r="G3130" s="7" t="s">
        <v>7150</v>
      </c>
      <c r="H3130" s="7" t="s">
        <v>7156</v>
      </c>
      <c r="I3130" s="7"/>
      <c r="J3130" s="10">
        <v>43437</v>
      </c>
      <c r="K3130" s="7" t="s">
        <v>7164</v>
      </c>
      <c r="L3130" s="7"/>
      <c r="M3130" s="7"/>
    </row>
    <row r="3131" spans="1:13" x14ac:dyDescent="0.3">
      <c r="A3131" s="7">
        <v>15638</v>
      </c>
      <c r="B3131" s="7" t="s">
        <v>3139</v>
      </c>
      <c r="C3131" s="7" t="s">
        <v>6646</v>
      </c>
      <c r="D3131" s="7" t="s">
        <v>6708</v>
      </c>
      <c r="E3131" s="7" t="s">
        <v>6295</v>
      </c>
      <c r="F3131" s="7" t="s">
        <v>6716</v>
      </c>
      <c r="G3131" s="7" t="s">
        <v>7150</v>
      </c>
      <c r="H3131" s="7" t="s">
        <v>7156</v>
      </c>
      <c r="I3131" s="7"/>
      <c r="J3131" s="10">
        <v>45149</v>
      </c>
      <c r="K3131" s="7" t="s">
        <v>7164</v>
      </c>
      <c r="L3131" s="7"/>
      <c r="M3131" s="7"/>
    </row>
    <row r="3132" spans="1:13" x14ac:dyDescent="0.3">
      <c r="A3132" s="7">
        <v>13310</v>
      </c>
      <c r="B3132" s="7" t="s">
        <v>3140</v>
      </c>
      <c r="C3132" s="7" t="s">
        <v>6327</v>
      </c>
      <c r="D3132" s="7" t="s">
        <v>6724</v>
      </c>
      <c r="E3132" s="7" t="s">
        <v>6295</v>
      </c>
      <c r="F3132" s="7" t="s">
        <v>6726</v>
      </c>
      <c r="G3132" s="7" t="s">
        <v>7150</v>
      </c>
      <c r="H3132" s="7" t="s">
        <v>7156</v>
      </c>
      <c r="I3132" s="7"/>
      <c r="J3132" s="10">
        <v>44379</v>
      </c>
      <c r="K3132" s="7" t="s">
        <v>7164</v>
      </c>
      <c r="L3132" s="7"/>
      <c r="M3132" s="7"/>
    </row>
    <row r="3133" spans="1:13" x14ac:dyDescent="0.3">
      <c r="A3133" s="7">
        <v>14370</v>
      </c>
      <c r="B3133" s="7" t="s">
        <v>3141</v>
      </c>
      <c r="C3133" s="7" t="s">
        <v>6327</v>
      </c>
      <c r="D3133" s="7" t="s">
        <v>6724</v>
      </c>
      <c r="E3133" s="7" t="s">
        <v>6295</v>
      </c>
      <c r="F3133" s="7" t="s">
        <v>6726</v>
      </c>
      <c r="G3133" s="7" t="s">
        <v>7150</v>
      </c>
      <c r="H3133" s="7" t="s">
        <v>7156</v>
      </c>
      <c r="I3133" s="7"/>
      <c r="J3133" s="10">
        <v>44743</v>
      </c>
      <c r="K3133" s="7" t="s">
        <v>7164</v>
      </c>
      <c r="L3133" s="7"/>
      <c r="M3133" s="7"/>
    </row>
    <row r="3134" spans="1:13" x14ac:dyDescent="0.3">
      <c r="A3134" s="7">
        <v>14675</v>
      </c>
      <c r="B3134" s="7" t="s">
        <v>3142</v>
      </c>
      <c r="C3134" s="7" t="s">
        <v>6646</v>
      </c>
      <c r="D3134" s="7" t="s">
        <v>6708</v>
      </c>
      <c r="E3134" s="7" t="s">
        <v>6295</v>
      </c>
      <c r="F3134" s="7" t="s">
        <v>6414</v>
      </c>
      <c r="G3134" s="7" t="s">
        <v>7150</v>
      </c>
      <c r="H3134" s="7" t="s">
        <v>7156</v>
      </c>
      <c r="I3134" s="7"/>
      <c r="J3134" s="10">
        <v>44819</v>
      </c>
      <c r="K3134" s="7" t="s">
        <v>7164</v>
      </c>
      <c r="L3134" s="7"/>
      <c r="M3134" s="7"/>
    </row>
    <row r="3135" spans="1:13" x14ac:dyDescent="0.3">
      <c r="A3135" s="7">
        <v>18794</v>
      </c>
      <c r="B3135" s="7" t="s">
        <v>3143</v>
      </c>
      <c r="C3135" s="7" t="s">
        <v>6646</v>
      </c>
      <c r="D3135" s="7" t="s">
        <v>6708</v>
      </c>
      <c r="E3135" s="7" t="s">
        <v>6295</v>
      </c>
      <c r="F3135" s="7" t="s">
        <v>6735</v>
      </c>
      <c r="G3135" s="7" t="s">
        <v>7150</v>
      </c>
      <c r="H3135" s="7" t="s">
        <v>7156</v>
      </c>
      <c r="I3135" s="7"/>
      <c r="J3135" s="10">
        <v>46216</v>
      </c>
      <c r="K3135" s="7" t="s">
        <v>7164</v>
      </c>
      <c r="L3135" s="7"/>
      <c r="M3135" s="7"/>
    </row>
    <row r="3136" spans="1:13" x14ac:dyDescent="0.3">
      <c r="A3136" s="7">
        <v>17021</v>
      </c>
      <c r="B3136" s="7" t="s">
        <v>3144</v>
      </c>
      <c r="C3136" s="7" t="s">
        <v>6646</v>
      </c>
      <c r="D3136" s="7" t="s">
        <v>6708</v>
      </c>
      <c r="E3136" s="7" t="s">
        <v>6295</v>
      </c>
      <c r="F3136" s="7" t="s">
        <v>6734</v>
      </c>
      <c r="G3136" s="7" t="s">
        <v>7150</v>
      </c>
      <c r="H3136" s="7" t="s">
        <v>7156</v>
      </c>
      <c r="I3136" s="7"/>
      <c r="J3136" s="10">
        <v>45622</v>
      </c>
      <c r="K3136" s="7" t="s">
        <v>7164</v>
      </c>
      <c r="L3136" s="7"/>
      <c r="M3136" s="7"/>
    </row>
    <row r="3137" spans="1:13" x14ac:dyDescent="0.3">
      <c r="A3137" s="7">
        <v>12725</v>
      </c>
      <c r="B3137" s="7" t="s">
        <v>3145</v>
      </c>
      <c r="C3137" s="7" t="s">
        <v>6646</v>
      </c>
      <c r="D3137" s="7" t="s">
        <v>6708</v>
      </c>
      <c r="E3137" s="7" t="s">
        <v>6295</v>
      </c>
      <c r="F3137" s="7" t="s">
        <v>6734</v>
      </c>
      <c r="G3137" s="7" t="s">
        <v>7150</v>
      </c>
      <c r="H3137" s="7" t="s">
        <v>7156</v>
      </c>
      <c r="I3137" s="7"/>
      <c r="J3137" s="10">
        <v>43879</v>
      </c>
      <c r="K3137" s="7" t="s">
        <v>7164</v>
      </c>
      <c r="L3137" s="7"/>
      <c r="M3137" s="7"/>
    </row>
    <row r="3138" spans="1:13" x14ac:dyDescent="0.3">
      <c r="A3138" s="7">
        <v>18469</v>
      </c>
      <c r="B3138" s="7" t="s">
        <v>3146</v>
      </c>
      <c r="C3138" s="7" t="s">
        <v>6646</v>
      </c>
      <c r="D3138" s="7" t="s">
        <v>6708</v>
      </c>
      <c r="E3138" s="7" t="s">
        <v>6295</v>
      </c>
      <c r="F3138" s="7" t="s">
        <v>6726</v>
      </c>
      <c r="G3138" s="7" t="s">
        <v>7150</v>
      </c>
      <c r="H3138" s="7" t="s">
        <v>7156</v>
      </c>
      <c r="I3138" s="7"/>
      <c r="J3138" s="10">
        <v>46134</v>
      </c>
      <c r="K3138" s="7" t="s">
        <v>7164</v>
      </c>
      <c r="L3138" s="7"/>
      <c r="M3138" s="7"/>
    </row>
    <row r="3139" spans="1:13" x14ac:dyDescent="0.3">
      <c r="A3139" s="7">
        <v>19274</v>
      </c>
      <c r="B3139" s="7" t="s">
        <v>3147</v>
      </c>
      <c r="C3139" s="7" t="s">
        <v>6646</v>
      </c>
      <c r="D3139" s="7" t="s">
        <v>6708</v>
      </c>
      <c r="E3139" s="7" t="s">
        <v>6295</v>
      </c>
      <c r="F3139" s="7" t="s">
        <v>6726</v>
      </c>
      <c r="G3139" s="7" t="s">
        <v>7150</v>
      </c>
      <c r="H3139" s="7" t="s">
        <v>7156</v>
      </c>
      <c r="I3139" s="7" t="s">
        <v>7159</v>
      </c>
      <c r="J3139" s="10">
        <v>46289</v>
      </c>
      <c r="K3139" s="7" t="s">
        <v>7164</v>
      </c>
      <c r="L3139" s="7"/>
      <c r="M3139" s="7"/>
    </row>
    <row r="3140" spans="1:13" x14ac:dyDescent="0.3">
      <c r="A3140" s="7">
        <v>12722</v>
      </c>
      <c r="B3140" s="7" t="s">
        <v>3148</v>
      </c>
      <c r="C3140" s="7" t="s">
        <v>6646</v>
      </c>
      <c r="D3140" s="7" t="s">
        <v>6708</v>
      </c>
      <c r="E3140" s="7" t="s">
        <v>6295</v>
      </c>
      <c r="F3140" s="7" t="s">
        <v>6734</v>
      </c>
      <c r="G3140" s="7" t="s">
        <v>7150</v>
      </c>
      <c r="H3140" s="7" t="s">
        <v>7156</v>
      </c>
      <c r="I3140" s="7"/>
      <c r="J3140" s="10">
        <v>43878</v>
      </c>
      <c r="K3140" s="7" t="s">
        <v>7164</v>
      </c>
      <c r="L3140" s="7"/>
      <c r="M3140" s="7"/>
    </row>
    <row r="3141" spans="1:13" x14ac:dyDescent="0.3">
      <c r="A3141" s="7">
        <v>12269</v>
      </c>
      <c r="B3141" s="7" t="s">
        <v>3149</v>
      </c>
      <c r="C3141" s="7" t="s">
        <v>6646</v>
      </c>
      <c r="D3141" s="7" t="s">
        <v>6708</v>
      </c>
      <c r="E3141" s="7" t="s">
        <v>6295</v>
      </c>
      <c r="F3141" s="7" t="s">
        <v>6734</v>
      </c>
      <c r="G3141" s="7" t="s">
        <v>7150</v>
      </c>
      <c r="H3141" s="7" t="s">
        <v>7156</v>
      </c>
      <c r="I3141" s="7"/>
      <c r="J3141" s="10">
        <v>43657</v>
      </c>
      <c r="K3141" s="7" t="s">
        <v>7164</v>
      </c>
      <c r="L3141" s="7"/>
      <c r="M3141" s="7"/>
    </row>
    <row r="3142" spans="1:13" x14ac:dyDescent="0.3">
      <c r="A3142" s="7">
        <v>12302</v>
      </c>
      <c r="B3142" s="7" t="s">
        <v>3150</v>
      </c>
      <c r="C3142" s="7" t="s">
        <v>6646</v>
      </c>
      <c r="D3142" s="7" t="s">
        <v>6708</v>
      </c>
      <c r="E3142" s="7" t="s">
        <v>6295</v>
      </c>
      <c r="F3142" s="7" t="s">
        <v>6734</v>
      </c>
      <c r="G3142" s="7" t="s">
        <v>7150</v>
      </c>
      <c r="H3142" s="7" t="s">
        <v>7156</v>
      </c>
      <c r="I3142" s="7"/>
      <c r="J3142" s="10">
        <v>43671</v>
      </c>
      <c r="K3142" s="7" t="s">
        <v>7164</v>
      </c>
      <c r="L3142" s="7"/>
      <c r="M3142" s="7"/>
    </row>
    <row r="3143" spans="1:13" x14ac:dyDescent="0.3">
      <c r="A3143" s="7">
        <v>12537</v>
      </c>
      <c r="B3143" s="7" t="s">
        <v>3151</v>
      </c>
      <c r="C3143" s="7" t="s">
        <v>6322</v>
      </c>
      <c r="D3143" s="7" t="s">
        <v>6724</v>
      </c>
      <c r="E3143" s="7" t="s">
        <v>6295</v>
      </c>
      <c r="F3143" s="7" t="s">
        <v>6734</v>
      </c>
      <c r="G3143" s="7" t="s">
        <v>7150</v>
      </c>
      <c r="H3143" s="7" t="s">
        <v>7156</v>
      </c>
      <c r="I3143" s="7"/>
      <c r="J3143" s="10">
        <v>43801</v>
      </c>
      <c r="K3143" s="7" t="s">
        <v>7164</v>
      </c>
      <c r="L3143" s="7"/>
      <c r="M3143" s="7"/>
    </row>
    <row r="3144" spans="1:13" x14ac:dyDescent="0.3">
      <c r="A3144" s="7">
        <v>12896</v>
      </c>
      <c r="B3144" s="7" t="s">
        <v>3152</v>
      </c>
      <c r="C3144" s="7" t="s">
        <v>6322</v>
      </c>
      <c r="D3144" s="7" t="s">
        <v>6724</v>
      </c>
      <c r="E3144" s="7" t="s">
        <v>6295</v>
      </c>
      <c r="F3144" s="7" t="s">
        <v>6734</v>
      </c>
      <c r="G3144" s="7" t="s">
        <v>7150</v>
      </c>
      <c r="H3144" s="7" t="s">
        <v>7156</v>
      </c>
      <c r="I3144" s="7"/>
      <c r="J3144" s="10">
        <v>44084</v>
      </c>
      <c r="K3144" s="7" t="s">
        <v>7164</v>
      </c>
      <c r="L3144" s="7"/>
      <c r="M3144" s="7"/>
    </row>
    <row r="3145" spans="1:13" x14ac:dyDescent="0.3">
      <c r="A3145" s="7">
        <v>12726</v>
      </c>
      <c r="B3145" s="7" t="s">
        <v>3153</v>
      </c>
      <c r="C3145" s="7" t="s">
        <v>6327</v>
      </c>
      <c r="D3145" s="7" t="s">
        <v>6724</v>
      </c>
      <c r="E3145" s="7" t="s">
        <v>6295</v>
      </c>
      <c r="F3145" s="7" t="s">
        <v>6734</v>
      </c>
      <c r="G3145" s="7" t="s">
        <v>7151</v>
      </c>
      <c r="H3145" s="7" t="s">
        <v>7156</v>
      </c>
      <c r="I3145" s="7"/>
      <c r="J3145" s="10">
        <v>43879</v>
      </c>
      <c r="K3145" s="7" t="s">
        <v>7164</v>
      </c>
      <c r="L3145" s="7"/>
      <c r="M3145" s="7"/>
    </row>
    <row r="3146" spans="1:13" x14ac:dyDescent="0.3">
      <c r="A3146" s="7">
        <v>17553</v>
      </c>
      <c r="B3146" s="7" t="s">
        <v>3154</v>
      </c>
      <c r="C3146" s="7" t="s">
        <v>6646</v>
      </c>
      <c r="D3146" s="7" t="s">
        <v>6708</v>
      </c>
      <c r="E3146" s="7" t="s">
        <v>6295</v>
      </c>
      <c r="F3146" s="7" t="s">
        <v>6734</v>
      </c>
      <c r="G3146" s="7" t="s">
        <v>7150</v>
      </c>
      <c r="H3146" s="7" t="s">
        <v>7156</v>
      </c>
      <c r="I3146" s="7"/>
      <c r="J3146" s="10">
        <v>45790</v>
      </c>
      <c r="K3146" s="7" t="s">
        <v>7164</v>
      </c>
      <c r="L3146" s="7"/>
      <c r="M3146" s="7"/>
    </row>
    <row r="3147" spans="1:13" x14ac:dyDescent="0.3">
      <c r="A3147" s="7">
        <v>18864</v>
      </c>
      <c r="B3147" s="7" t="s">
        <v>3155</v>
      </c>
      <c r="C3147" s="7" t="s">
        <v>6646</v>
      </c>
      <c r="D3147" s="7" t="s">
        <v>6708</v>
      </c>
      <c r="E3147" s="7" t="s">
        <v>6295</v>
      </c>
      <c r="F3147" s="7" t="s">
        <v>6734</v>
      </c>
      <c r="G3147" s="7" t="s">
        <v>7150</v>
      </c>
      <c r="H3147" s="7" t="s">
        <v>7156</v>
      </c>
      <c r="I3147" s="7" t="s">
        <v>7158</v>
      </c>
      <c r="J3147" s="10">
        <v>46220</v>
      </c>
      <c r="K3147" s="7" t="s">
        <v>7164</v>
      </c>
      <c r="L3147" s="7"/>
      <c r="M3147" s="7"/>
    </row>
    <row r="3148" spans="1:13" x14ac:dyDescent="0.3">
      <c r="A3148" s="7">
        <v>16759</v>
      </c>
      <c r="B3148" s="7" t="s">
        <v>3156</v>
      </c>
      <c r="C3148" s="7" t="s">
        <v>6327</v>
      </c>
      <c r="D3148" s="7" t="s">
        <v>6724</v>
      </c>
      <c r="E3148" s="7" t="s">
        <v>6295</v>
      </c>
      <c r="F3148" s="7" t="s">
        <v>6734</v>
      </c>
      <c r="G3148" s="7" t="s">
        <v>7150</v>
      </c>
      <c r="H3148" s="7" t="s">
        <v>7156</v>
      </c>
      <c r="I3148" s="7"/>
      <c r="J3148" s="10">
        <v>45540</v>
      </c>
      <c r="K3148" s="7" t="s">
        <v>7164</v>
      </c>
      <c r="L3148" s="7"/>
      <c r="M3148" s="7"/>
    </row>
    <row r="3149" spans="1:13" x14ac:dyDescent="0.3">
      <c r="A3149" s="7">
        <v>16656</v>
      </c>
      <c r="B3149" s="7" t="s">
        <v>3157</v>
      </c>
      <c r="C3149" s="7" t="s">
        <v>6327</v>
      </c>
      <c r="D3149" s="7" t="s">
        <v>6724</v>
      </c>
      <c r="E3149" s="7" t="s">
        <v>6295</v>
      </c>
      <c r="F3149" s="7" t="s">
        <v>6726</v>
      </c>
      <c r="G3149" s="7" t="s">
        <v>7150</v>
      </c>
      <c r="H3149" s="7" t="s">
        <v>7156</v>
      </c>
      <c r="I3149" s="7"/>
      <c r="J3149" s="10">
        <v>45516</v>
      </c>
      <c r="K3149" s="7" t="s">
        <v>7164</v>
      </c>
      <c r="L3149" s="7"/>
      <c r="M3149" s="7"/>
    </row>
    <row r="3150" spans="1:13" x14ac:dyDescent="0.3">
      <c r="A3150" s="7">
        <v>13052</v>
      </c>
      <c r="B3150" s="7" t="s">
        <v>3158</v>
      </c>
      <c r="C3150" s="7" t="s">
        <v>6327</v>
      </c>
      <c r="D3150" s="7" t="s">
        <v>6724</v>
      </c>
      <c r="E3150" s="7" t="s">
        <v>6295</v>
      </c>
      <c r="F3150" s="7" t="s">
        <v>6324</v>
      </c>
      <c r="G3150" s="7" t="s">
        <v>7150</v>
      </c>
      <c r="H3150" s="7" t="s">
        <v>7156</v>
      </c>
      <c r="I3150" s="7"/>
      <c r="J3150" s="10">
        <v>44228</v>
      </c>
      <c r="K3150" s="7" t="s">
        <v>7164</v>
      </c>
      <c r="L3150" s="7"/>
      <c r="M3150" s="7"/>
    </row>
    <row r="3151" spans="1:13" x14ac:dyDescent="0.3">
      <c r="A3151" s="7">
        <v>12395</v>
      </c>
      <c r="B3151" s="7" t="s">
        <v>3159</v>
      </c>
      <c r="C3151" s="7" t="s">
        <v>6327</v>
      </c>
      <c r="D3151" s="7" t="s">
        <v>6724</v>
      </c>
      <c r="E3151" s="7" t="s">
        <v>6295</v>
      </c>
      <c r="F3151" s="7" t="s">
        <v>6726</v>
      </c>
      <c r="G3151" s="7" t="s">
        <v>7150</v>
      </c>
      <c r="H3151" s="7" t="s">
        <v>7156</v>
      </c>
      <c r="I3151" s="7"/>
      <c r="J3151" s="10">
        <v>43728</v>
      </c>
      <c r="K3151" s="7" t="s">
        <v>7164</v>
      </c>
      <c r="L3151" s="7"/>
      <c r="M3151" s="7"/>
    </row>
    <row r="3152" spans="1:13" x14ac:dyDescent="0.3">
      <c r="A3152" s="7">
        <v>13096</v>
      </c>
      <c r="B3152" s="7" t="s">
        <v>3160</v>
      </c>
      <c r="C3152" s="7" t="s">
        <v>6322</v>
      </c>
      <c r="D3152" s="7" t="s">
        <v>6724</v>
      </c>
      <c r="E3152" s="7" t="s">
        <v>6295</v>
      </c>
      <c r="F3152" s="7" t="s">
        <v>6726</v>
      </c>
      <c r="G3152" s="7" t="s">
        <v>7150</v>
      </c>
      <c r="H3152" s="7" t="s">
        <v>7156</v>
      </c>
      <c r="I3152" s="7"/>
      <c r="J3152" s="10">
        <v>44250</v>
      </c>
      <c r="K3152" s="7" t="s">
        <v>7164</v>
      </c>
      <c r="L3152" s="7"/>
      <c r="M3152" s="7"/>
    </row>
    <row r="3153" spans="1:13" x14ac:dyDescent="0.3">
      <c r="A3153" s="7">
        <v>19250</v>
      </c>
      <c r="B3153" s="7" t="s">
        <v>3161</v>
      </c>
      <c r="C3153" s="7" t="s">
        <v>6322</v>
      </c>
      <c r="D3153" s="7" t="s">
        <v>6724</v>
      </c>
      <c r="E3153" s="7" t="s">
        <v>6295</v>
      </c>
      <c r="F3153" s="7" t="s">
        <v>6726</v>
      </c>
      <c r="G3153" s="7" t="s">
        <v>7150</v>
      </c>
      <c r="H3153" s="7" t="s">
        <v>7156</v>
      </c>
      <c r="I3153" s="7"/>
      <c r="J3153" s="10">
        <v>46287</v>
      </c>
      <c r="K3153" s="7" t="s">
        <v>7164</v>
      </c>
      <c r="L3153" s="7"/>
      <c r="M3153" s="7"/>
    </row>
    <row r="3154" spans="1:13" x14ac:dyDescent="0.3">
      <c r="A3154" s="7">
        <v>12208</v>
      </c>
      <c r="B3154" s="7" t="s">
        <v>3162</v>
      </c>
      <c r="C3154" s="7" t="s">
        <v>6327</v>
      </c>
      <c r="D3154" s="7" t="s">
        <v>6724</v>
      </c>
      <c r="E3154" s="7" t="s">
        <v>6295</v>
      </c>
      <c r="F3154" s="7" t="s">
        <v>6324</v>
      </c>
      <c r="G3154" s="7" t="s">
        <v>7150</v>
      </c>
      <c r="H3154" s="7" t="s">
        <v>7156</v>
      </c>
      <c r="I3154" s="7"/>
      <c r="J3154" s="10">
        <v>43587</v>
      </c>
      <c r="K3154" s="7" t="s">
        <v>7164</v>
      </c>
      <c r="L3154" s="7"/>
      <c r="M3154" s="7"/>
    </row>
    <row r="3155" spans="1:13" x14ac:dyDescent="0.3">
      <c r="A3155" s="7">
        <v>12016</v>
      </c>
      <c r="B3155" s="7" t="s">
        <v>3163</v>
      </c>
      <c r="C3155" s="7" t="s">
        <v>6327</v>
      </c>
      <c r="D3155" s="7" t="s">
        <v>6724</v>
      </c>
      <c r="E3155" s="7" t="s">
        <v>6295</v>
      </c>
      <c r="F3155" s="7" t="s">
        <v>6716</v>
      </c>
      <c r="G3155" s="7" t="s">
        <v>7150</v>
      </c>
      <c r="H3155" s="7" t="s">
        <v>7156</v>
      </c>
      <c r="I3155" s="7"/>
      <c r="J3155" s="10">
        <v>43385</v>
      </c>
      <c r="K3155" s="7" t="s">
        <v>7164</v>
      </c>
      <c r="L3155" s="7"/>
      <c r="M3155" s="7"/>
    </row>
    <row r="3156" spans="1:13" x14ac:dyDescent="0.3">
      <c r="A3156" s="7">
        <v>16217</v>
      </c>
      <c r="B3156" s="7" t="s">
        <v>3164</v>
      </c>
      <c r="C3156" s="7" t="s">
        <v>6646</v>
      </c>
      <c r="D3156" s="7" t="s">
        <v>6708</v>
      </c>
      <c r="E3156" s="7" t="s">
        <v>6295</v>
      </c>
      <c r="F3156" s="7" t="s">
        <v>6712</v>
      </c>
      <c r="G3156" s="7" t="s">
        <v>7150</v>
      </c>
      <c r="H3156" s="7" t="s">
        <v>7156</v>
      </c>
      <c r="I3156" s="7"/>
      <c r="J3156" s="10">
        <v>45323</v>
      </c>
      <c r="K3156" s="7" t="s">
        <v>7164</v>
      </c>
      <c r="L3156" s="7"/>
      <c r="M3156" s="7"/>
    </row>
    <row r="3157" spans="1:13" x14ac:dyDescent="0.3">
      <c r="A3157" s="7">
        <v>12307</v>
      </c>
      <c r="B3157" s="7" t="s">
        <v>3165</v>
      </c>
      <c r="C3157" s="7" t="s">
        <v>6327</v>
      </c>
      <c r="D3157" s="7" t="s">
        <v>6724</v>
      </c>
      <c r="E3157" s="7" t="s">
        <v>6295</v>
      </c>
      <c r="F3157" s="7" t="s">
        <v>6324</v>
      </c>
      <c r="G3157" s="7" t="s">
        <v>7150</v>
      </c>
      <c r="H3157" s="7" t="s">
        <v>7156</v>
      </c>
      <c r="I3157" s="7"/>
      <c r="J3157" s="10">
        <v>43672</v>
      </c>
      <c r="K3157" s="7" t="s">
        <v>7164</v>
      </c>
      <c r="L3157" s="7"/>
      <c r="M3157" s="7"/>
    </row>
    <row r="3158" spans="1:13" x14ac:dyDescent="0.3">
      <c r="A3158" s="7">
        <v>15504</v>
      </c>
      <c r="B3158" s="7" t="s">
        <v>3166</v>
      </c>
      <c r="C3158" s="7" t="s">
        <v>6327</v>
      </c>
      <c r="D3158" s="7" t="s">
        <v>6724</v>
      </c>
      <c r="E3158" s="7" t="s">
        <v>6295</v>
      </c>
      <c r="F3158" s="7" t="s">
        <v>6726</v>
      </c>
      <c r="G3158" s="7" t="s">
        <v>7150</v>
      </c>
      <c r="H3158" s="7" t="s">
        <v>7156</v>
      </c>
      <c r="I3158" s="7"/>
      <c r="J3158" s="10">
        <v>45099</v>
      </c>
      <c r="K3158" s="7" t="s">
        <v>7164</v>
      </c>
      <c r="L3158" s="7"/>
      <c r="M3158" s="7"/>
    </row>
    <row r="3159" spans="1:13" x14ac:dyDescent="0.3">
      <c r="A3159" s="7">
        <v>17465</v>
      </c>
      <c r="B3159" s="7" t="s">
        <v>3167</v>
      </c>
      <c r="C3159" s="7" t="s">
        <v>6327</v>
      </c>
      <c r="D3159" s="7" t="s">
        <v>6724</v>
      </c>
      <c r="E3159" s="7" t="s">
        <v>6295</v>
      </c>
      <c r="F3159" s="7" t="s">
        <v>6736</v>
      </c>
      <c r="G3159" s="7" t="s">
        <v>7150</v>
      </c>
      <c r="H3159" s="7" t="s">
        <v>7156</v>
      </c>
      <c r="I3159" s="7"/>
      <c r="J3159" s="10">
        <v>45758</v>
      </c>
      <c r="K3159" s="7" t="s">
        <v>7164</v>
      </c>
      <c r="L3159" s="7"/>
      <c r="M3159" s="7"/>
    </row>
    <row r="3160" spans="1:13" x14ac:dyDescent="0.3">
      <c r="A3160" s="7">
        <v>14576</v>
      </c>
      <c r="B3160" s="7" t="s">
        <v>3168</v>
      </c>
      <c r="C3160" s="7" t="s">
        <v>6646</v>
      </c>
      <c r="D3160" s="7" t="s">
        <v>6708</v>
      </c>
      <c r="E3160" s="7" t="s">
        <v>6295</v>
      </c>
      <c r="F3160" s="7" t="s">
        <v>6726</v>
      </c>
      <c r="G3160" s="7" t="s">
        <v>7150</v>
      </c>
      <c r="H3160" s="7" t="s">
        <v>7156</v>
      </c>
      <c r="I3160" s="7"/>
      <c r="J3160" s="10">
        <v>44791</v>
      </c>
      <c r="K3160" s="7" t="s">
        <v>7164</v>
      </c>
      <c r="L3160" s="7"/>
      <c r="M3160" s="7"/>
    </row>
    <row r="3161" spans="1:13" x14ac:dyDescent="0.3">
      <c r="A3161" s="7">
        <v>17988</v>
      </c>
      <c r="B3161" s="7" t="s">
        <v>3169</v>
      </c>
      <c r="C3161" s="7" t="s">
        <v>6646</v>
      </c>
      <c r="D3161" s="7" t="s">
        <v>6708</v>
      </c>
      <c r="E3161" s="7" t="s">
        <v>6295</v>
      </c>
      <c r="F3161" s="7" t="s">
        <v>6726</v>
      </c>
      <c r="G3161" s="7" t="s">
        <v>7150</v>
      </c>
      <c r="H3161" s="7" t="s">
        <v>7156</v>
      </c>
      <c r="I3161" s="7"/>
      <c r="J3161" s="10">
        <v>45947</v>
      </c>
      <c r="K3161" s="7" t="s">
        <v>7164</v>
      </c>
      <c r="L3161" s="7"/>
      <c r="M3161" s="7"/>
    </row>
    <row r="3162" spans="1:13" x14ac:dyDescent="0.3">
      <c r="A3162" s="7">
        <v>16660</v>
      </c>
      <c r="B3162" s="7" t="s">
        <v>3170</v>
      </c>
      <c r="C3162" s="7" t="s">
        <v>6322</v>
      </c>
      <c r="D3162" s="7" t="s">
        <v>6724</v>
      </c>
      <c r="E3162" s="7" t="s">
        <v>6295</v>
      </c>
      <c r="F3162" s="7" t="s">
        <v>6324</v>
      </c>
      <c r="G3162" s="7" t="s">
        <v>7150</v>
      </c>
      <c r="H3162" s="7" t="s">
        <v>7156</v>
      </c>
      <c r="I3162" s="7"/>
      <c r="J3162" s="10">
        <v>45516</v>
      </c>
      <c r="K3162" s="7" t="s">
        <v>7164</v>
      </c>
      <c r="L3162" s="7"/>
      <c r="M3162" s="7"/>
    </row>
    <row r="3163" spans="1:13" x14ac:dyDescent="0.3">
      <c r="A3163" s="7">
        <v>18623</v>
      </c>
      <c r="B3163" s="7" t="s">
        <v>3171</v>
      </c>
      <c r="C3163" s="7" t="s">
        <v>6327</v>
      </c>
      <c r="D3163" s="7" t="s">
        <v>6724</v>
      </c>
      <c r="E3163" s="7" t="s">
        <v>6295</v>
      </c>
      <c r="F3163" s="7" t="s">
        <v>6726</v>
      </c>
      <c r="G3163" s="7" t="s">
        <v>7150</v>
      </c>
      <c r="H3163" s="7" t="s">
        <v>7156</v>
      </c>
      <c r="I3163" s="7"/>
      <c r="J3163" s="10">
        <v>46174</v>
      </c>
      <c r="K3163" s="7" t="s">
        <v>7164</v>
      </c>
      <c r="L3163" s="7"/>
      <c r="M3163" s="7"/>
    </row>
    <row r="3164" spans="1:13" x14ac:dyDescent="0.3">
      <c r="A3164" s="7">
        <v>18735</v>
      </c>
      <c r="B3164" s="7" t="s">
        <v>3172</v>
      </c>
      <c r="C3164" s="7" t="s">
        <v>6327</v>
      </c>
      <c r="D3164" s="7" t="s">
        <v>6724</v>
      </c>
      <c r="E3164" s="7" t="s">
        <v>6295</v>
      </c>
      <c r="F3164" s="7" t="s">
        <v>6726</v>
      </c>
      <c r="G3164" s="7" t="s">
        <v>7150</v>
      </c>
      <c r="H3164" s="7" t="s">
        <v>7156</v>
      </c>
      <c r="I3164" s="7"/>
      <c r="J3164" s="10">
        <v>46198</v>
      </c>
      <c r="K3164" s="7" t="s">
        <v>7164</v>
      </c>
      <c r="L3164" s="7"/>
      <c r="M3164" s="7"/>
    </row>
    <row r="3165" spans="1:13" x14ac:dyDescent="0.3">
      <c r="A3165" s="7">
        <v>11500</v>
      </c>
      <c r="B3165" s="7" t="s">
        <v>3173</v>
      </c>
      <c r="C3165" s="7" t="s">
        <v>6327</v>
      </c>
      <c r="D3165" s="7" t="s">
        <v>6724</v>
      </c>
      <c r="E3165" s="7" t="s">
        <v>6295</v>
      </c>
      <c r="F3165" s="7" t="s">
        <v>6712</v>
      </c>
      <c r="G3165" s="7" t="s">
        <v>7150</v>
      </c>
      <c r="H3165" s="7" t="s">
        <v>7156</v>
      </c>
      <c r="I3165" s="7"/>
      <c r="J3165" s="10">
        <v>42768</v>
      </c>
      <c r="K3165" s="7" t="s">
        <v>7164</v>
      </c>
      <c r="L3165" s="7"/>
      <c r="M3165" s="7"/>
    </row>
    <row r="3166" spans="1:13" x14ac:dyDescent="0.3">
      <c r="A3166" s="7">
        <v>12803</v>
      </c>
      <c r="B3166" s="7" t="s">
        <v>3174</v>
      </c>
      <c r="C3166" s="7" t="s">
        <v>6646</v>
      </c>
      <c r="D3166" s="7" t="s">
        <v>6708</v>
      </c>
      <c r="E3166" s="7" t="s">
        <v>6295</v>
      </c>
      <c r="F3166" s="7" t="s">
        <v>6726</v>
      </c>
      <c r="G3166" s="7" t="s">
        <v>7150</v>
      </c>
      <c r="H3166" s="7" t="s">
        <v>7156</v>
      </c>
      <c r="I3166" s="7"/>
      <c r="J3166" s="10">
        <v>43936</v>
      </c>
      <c r="K3166" s="7" t="s">
        <v>7164</v>
      </c>
      <c r="L3166" s="7"/>
      <c r="M3166" s="7"/>
    </row>
    <row r="3167" spans="1:13" x14ac:dyDescent="0.3">
      <c r="A3167" s="7">
        <v>15894</v>
      </c>
      <c r="B3167" s="7" t="s">
        <v>3175</v>
      </c>
      <c r="C3167" s="7" t="s">
        <v>6327</v>
      </c>
      <c r="D3167" s="7" t="s">
        <v>6724</v>
      </c>
      <c r="E3167" s="7" t="s">
        <v>6295</v>
      </c>
      <c r="F3167" s="7" t="s">
        <v>6726</v>
      </c>
      <c r="G3167" s="7" t="s">
        <v>7150</v>
      </c>
      <c r="H3167" s="7" t="s">
        <v>7156</v>
      </c>
      <c r="I3167" s="7"/>
      <c r="J3167" s="10">
        <v>45233</v>
      </c>
      <c r="K3167" s="7" t="s">
        <v>7164</v>
      </c>
      <c r="L3167" s="7"/>
      <c r="M3167" s="7"/>
    </row>
    <row r="3168" spans="1:13" x14ac:dyDescent="0.3">
      <c r="A3168" s="7">
        <v>17981</v>
      </c>
      <c r="B3168" s="7" t="s">
        <v>3176</v>
      </c>
      <c r="C3168" s="7" t="s">
        <v>6327</v>
      </c>
      <c r="D3168" s="7" t="s">
        <v>6724</v>
      </c>
      <c r="E3168" s="7" t="s">
        <v>6295</v>
      </c>
      <c r="F3168" s="7" t="s">
        <v>6726</v>
      </c>
      <c r="G3168" s="7" t="s">
        <v>7150</v>
      </c>
      <c r="H3168" s="7" t="s">
        <v>7156</v>
      </c>
      <c r="I3168" s="7"/>
      <c r="J3168" s="10">
        <v>45945</v>
      </c>
      <c r="K3168" s="7" t="s">
        <v>7164</v>
      </c>
      <c r="L3168" s="7"/>
      <c r="M3168" s="7"/>
    </row>
    <row r="3169" spans="1:13" x14ac:dyDescent="0.3">
      <c r="A3169" s="7">
        <v>17531</v>
      </c>
      <c r="B3169" s="7" t="s">
        <v>3177</v>
      </c>
      <c r="C3169" s="7" t="s">
        <v>6327</v>
      </c>
      <c r="D3169" s="7" t="s">
        <v>6724</v>
      </c>
      <c r="E3169" s="7" t="s">
        <v>6295</v>
      </c>
      <c r="F3169" s="7" t="s">
        <v>6726</v>
      </c>
      <c r="G3169" s="7" t="s">
        <v>7150</v>
      </c>
      <c r="H3169" s="7" t="s">
        <v>7156</v>
      </c>
      <c r="I3169" s="7"/>
      <c r="J3169" s="10">
        <v>45789</v>
      </c>
      <c r="K3169" s="7" t="s">
        <v>7164</v>
      </c>
      <c r="L3169" s="7"/>
      <c r="M3169" s="7"/>
    </row>
    <row r="3170" spans="1:13" x14ac:dyDescent="0.3">
      <c r="A3170" s="7">
        <v>18607</v>
      </c>
      <c r="B3170" s="7" t="s">
        <v>3178</v>
      </c>
      <c r="C3170" s="7" t="s">
        <v>6327</v>
      </c>
      <c r="D3170" s="7" t="s">
        <v>6724</v>
      </c>
      <c r="E3170" s="7" t="s">
        <v>6295</v>
      </c>
      <c r="F3170" s="7" t="s">
        <v>6726</v>
      </c>
      <c r="G3170" s="7" t="s">
        <v>7150</v>
      </c>
      <c r="H3170" s="7" t="s">
        <v>7156</v>
      </c>
      <c r="I3170" s="7"/>
      <c r="J3170" s="10">
        <v>46164</v>
      </c>
      <c r="K3170" s="7" t="s">
        <v>7164</v>
      </c>
      <c r="L3170" s="7"/>
      <c r="M3170" s="7"/>
    </row>
    <row r="3171" spans="1:13" x14ac:dyDescent="0.3">
      <c r="A3171" s="7">
        <v>17426</v>
      </c>
      <c r="B3171" s="7" t="s">
        <v>3179</v>
      </c>
      <c r="C3171" s="7" t="s">
        <v>6327</v>
      </c>
      <c r="D3171" s="7" t="s">
        <v>6724</v>
      </c>
      <c r="E3171" s="7" t="s">
        <v>6295</v>
      </c>
      <c r="F3171" s="7" t="s">
        <v>6726</v>
      </c>
      <c r="G3171" s="7" t="s">
        <v>7150</v>
      </c>
      <c r="H3171" s="7" t="s">
        <v>7156</v>
      </c>
      <c r="I3171" s="7"/>
      <c r="J3171" s="10">
        <v>45750</v>
      </c>
      <c r="K3171" s="7" t="s">
        <v>7164</v>
      </c>
      <c r="L3171" s="7"/>
      <c r="M3171" s="7"/>
    </row>
    <row r="3172" spans="1:13" x14ac:dyDescent="0.3">
      <c r="A3172" s="7">
        <v>17440</v>
      </c>
      <c r="B3172" s="7" t="s">
        <v>3180</v>
      </c>
      <c r="C3172" s="7" t="s">
        <v>6327</v>
      </c>
      <c r="D3172" s="7" t="s">
        <v>6724</v>
      </c>
      <c r="E3172" s="7" t="s">
        <v>6295</v>
      </c>
      <c r="F3172" s="7" t="s">
        <v>6726</v>
      </c>
      <c r="G3172" s="7" t="s">
        <v>7150</v>
      </c>
      <c r="H3172" s="7" t="s">
        <v>7156</v>
      </c>
      <c r="I3172" s="7"/>
      <c r="J3172" s="10">
        <v>45751</v>
      </c>
      <c r="K3172" s="7" t="s">
        <v>7164</v>
      </c>
      <c r="L3172" s="7"/>
      <c r="M3172" s="7"/>
    </row>
    <row r="3173" spans="1:13" x14ac:dyDescent="0.3">
      <c r="A3173" s="7">
        <v>12223</v>
      </c>
      <c r="B3173" s="7" t="s">
        <v>3181</v>
      </c>
      <c r="C3173" s="7" t="s">
        <v>6327</v>
      </c>
      <c r="D3173" s="7" t="s">
        <v>6724</v>
      </c>
      <c r="E3173" s="7" t="s">
        <v>6295</v>
      </c>
      <c r="F3173" s="7" t="s">
        <v>6726</v>
      </c>
      <c r="G3173" s="7" t="s">
        <v>7150</v>
      </c>
      <c r="H3173" s="7" t="s">
        <v>7156</v>
      </c>
      <c r="I3173" s="7"/>
      <c r="J3173" s="10">
        <v>43619</v>
      </c>
      <c r="K3173" s="7" t="s">
        <v>7164</v>
      </c>
      <c r="L3173" s="7"/>
      <c r="M3173" s="7"/>
    </row>
    <row r="3174" spans="1:13" x14ac:dyDescent="0.3">
      <c r="A3174" s="7">
        <v>16703</v>
      </c>
      <c r="B3174" s="7" t="s">
        <v>3182</v>
      </c>
      <c r="C3174" s="7" t="s">
        <v>6646</v>
      </c>
      <c r="D3174" s="7" t="s">
        <v>6708</v>
      </c>
      <c r="E3174" s="7" t="s">
        <v>6295</v>
      </c>
      <c r="F3174" s="7" t="s">
        <v>6726</v>
      </c>
      <c r="G3174" s="7" t="s">
        <v>7150</v>
      </c>
      <c r="H3174" s="7" t="s">
        <v>7156</v>
      </c>
      <c r="I3174" s="7"/>
      <c r="J3174" s="10">
        <v>45531</v>
      </c>
      <c r="K3174" s="7" t="s">
        <v>7164</v>
      </c>
      <c r="L3174" s="7"/>
      <c r="M3174" s="7"/>
    </row>
    <row r="3175" spans="1:13" x14ac:dyDescent="0.3">
      <c r="A3175" s="7">
        <v>13089</v>
      </c>
      <c r="B3175" s="7" t="s">
        <v>3183</v>
      </c>
      <c r="C3175" s="7" t="s">
        <v>6327</v>
      </c>
      <c r="D3175" s="7" t="s">
        <v>6724</v>
      </c>
      <c r="E3175" s="7" t="s">
        <v>6295</v>
      </c>
      <c r="F3175" s="7" t="s">
        <v>6324</v>
      </c>
      <c r="G3175" s="7" t="s">
        <v>7150</v>
      </c>
      <c r="H3175" s="7" t="s">
        <v>7156</v>
      </c>
      <c r="I3175" s="7"/>
      <c r="J3175" s="10">
        <v>44246</v>
      </c>
      <c r="K3175" s="7" t="s">
        <v>7164</v>
      </c>
      <c r="L3175" s="7"/>
      <c r="M3175" s="7"/>
    </row>
    <row r="3176" spans="1:13" x14ac:dyDescent="0.3">
      <c r="A3176" s="7">
        <v>13167</v>
      </c>
      <c r="B3176" s="7" t="s">
        <v>3184</v>
      </c>
      <c r="C3176" s="7" t="s">
        <v>6327</v>
      </c>
      <c r="D3176" s="7" t="s">
        <v>6724</v>
      </c>
      <c r="E3176" s="7" t="s">
        <v>6295</v>
      </c>
      <c r="F3176" s="7" t="s">
        <v>6726</v>
      </c>
      <c r="G3176" s="7" t="s">
        <v>7150</v>
      </c>
      <c r="H3176" s="7" t="s">
        <v>7156</v>
      </c>
      <c r="I3176" s="7"/>
      <c r="J3176" s="10">
        <v>44299</v>
      </c>
      <c r="K3176" s="7" t="s">
        <v>7164</v>
      </c>
      <c r="L3176" s="7"/>
      <c r="M3176" s="7"/>
    </row>
    <row r="3177" spans="1:13" x14ac:dyDescent="0.3">
      <c r="A3177" s="7">
        <v>14363</v>
      </c>
      <c r="B3177" s="7" t="s">
        <v>3185</v>
      </c>
      <c r="C3177" s="7" t="s">
        <v>6327</v>
      </c>
      <c r="D3177" s="7" t="s">
        <v>6724</v>
      </c>
      <c r="E3177" s="7" t="s">
        <v>6295</v>
      </c>
      <c r="F3177" s="7" t="s">
        <v>6726</v>
      </c>
      <c r="G3177" s="7" t="s">
        <v>7150</v>
      </c>
      <c r="H3177" s="7" t="s">
        <v>7156</v>
      </c>
      <c r="I3177" s="7"/>
      <c r="J3177" s="10">
        <v>44743</v>
      </c>
      <c r="K3177" s="7" t="s">
        <v>7164</v>
      </c>
      <c r="L3177" s="7"/>
      <c r="M3177" s="7"/>
    </row>
    <row r="3178" spans="1:13" x14ac:dyDescent="0.3">
      <c r="A3178" s="7">
        <v>12675</v>
      </c>
      <c r="B3178" s="7" t="s">
        <v>3186</v>
      </c>
      <c r="C3178" s="7" t="s">
        <v>6327</v>
      </c>
      <c r="D3178" s="7" t="s">
        <v>6724</v>
      </c>
      <c r="E3178" s="7" t="s">
        <v>6295</v>
      </c>
      <c r="F3178" s="7" t="s">
        <v>6734</v>
      </c>
      <c r="G3178" s="7" t="s">
        <v>7151</v>
      </c>
      <c r="H3178" s="7" t="s">
        <v>7156</v>
      </c>
      <c r="I3178" s="7"/>
      <c r="J3178" s="10">
        <v>43864</v>
      </c>
      <c r="K3178" s="7" t="s">
        <v>7164</v>
      </c>
      <c r="L3178" s="7"/>
      <c r="M3178" s="7"/>
    </row>
    <row r="3179" spans="1:13" x14ac:dyDescent="0.3">
      <c r="A3179" s="7">
        <v>17123</v>
      </c>
      <c r="B3179" s="7" t="s">
        <v>3187</v>
      </c>
      <c r="C3179" s="7" t="s">
        <v>6327</v>
      </c>
      <c r="D3179" s="7" t="s">
        <v>6724</v>
      </c>
      <c r="E3179" s="7" t="s">
        <v>6295</v>
      </c>
      <c r="F3179" s="7" t="s">
        <v>6737</v>
      </c>
      <c r="G3179" s="7" t="s">
        <v>7150</v>
      </c>
      <c r="H3179" s="7" t="s">
        <v>7157</v>
      </c>
      <c r="I3179" s="7"/>
      <c r="J3179" s="10">
        <v>45639</v>
      </c>
      <c r="K3179" s="7" t="s">
        <v>7164</v>
      </c>
      <c r="L3179" s="7"/>
      <c r="M3179" s="7"/>
    </row>
    <row r="3180" spans="1:13" x14ac:dyDescent="0.3">
      <c r="A3180" s="7">
        <v>13691</v>
      </c>
      <c r="B3180" s="7" t="s">
        <v>3188</v>
      </c>
      <c r="C3180" s="7" t="s">
        <v>6327</v>
      </c>
      <c r="D3180" s="7" t="s">
        <v>6724</v>
      </c>
      <c r="E3180" s="7" t="s">
        <v>6295</v>
      </c>
      <c r="F3180" s="7" t="s">
        <v>6734</v>
      </c>
      <c r="G3180" s="7" t="s">
        <v>7150</v>
      </c>
      <c r="H3180" s="7" t="s">
        <v>7156</v>
      </c>
      <c r="I3180" s="7"/>
      <c r="J3180" s="10">
        <v>44537</v>
      </c>
      <c r="K3180" s="7" t="s">
        <v>7164</v>
      </c>
      <c r="L3180" s="7"/>
      <c r="M3180" s="7"/>
    </row>
    <row r="3181" spans="1:13" x14ac:dyDescent="0.3">
      <c r="A3181" s="7">
        <v>18316</v>
      </c>
      <c r="B3181" s="7" t="s">
        <v>3189</v>
      </c>
      <c r="C3181" s="7" t="s">
        <v>6327</v>
      </c>
      <c r="D3181" s="7" t="s">
        <v>6724</v>
      </c>
      <c r="E3181" s="7" t="s">
        <v>6295</v>
      </c>
      <c r="F3181" s="7" t="s">
        <v>6734</v>
      </c>
      <c r="G3181" s="7" t="s">
        <v>7150</v>
      </c>
      <c r="H3181" s="7" t="s">
        <v>7156</v>
      </c>
      <c r="I3181" s="7"/>
      <c r="J3181" s="10">
        <v>46086</v>
      </c>
      <c r="K3181" s="7" t="s">
        <v>7164</v>
      </c>
      <c r="L3181" s="7"/>
      <c r="M3181" s="7"/>
    </row>
    <row r="3182" spans="1:13" x14ac:dyDescent="0.3">
      <c r="A3182" s="7">
        <v>14296</v>
      </c>
      <c r="B3182" s="7" t="s">
        <v>3190</v>
      </c>
      <c r="C3182" s="7" t="s">
        <v>6327</v>
      </c>
      <c r="D3182" s="7" t="s">
        <v>6724</v>
      </c>
      <c r="E3182" s="7" t="s">
        <v>6295</v>
      </c>
      <c r="F3182" s="7" t="s">
        <v>6712</v>
      </c>
      <c r="G3182" s="7" t="s">
        <v>7150</v>
      </c>
      <c r="H3182" s="7" t="s">
        <v>7156</v>
      </c>
      <c r="I3182" s="7"/>
      <c r="J3182" s="10">
        <v>44718</v>
      </c>
      <c r="K3182" s="7" t="s">
        <v>7164</v>
      </c>
      <c r="L3182" s="7"/>
      <c r="M3182" s="7"/>
    </row>
    <row r="3183" spans="1:13" x14ac:dyDescent="0.3">
      <c r="A3183" s="7">
        <v>13032</v>
      </c>
      <c r="B3183" s="7" t="s">
        <v>3191</v>
      </c>
      <c r="C3183" s="7" t="s">
        <v>6646</v>
      </c>
      <c r="D3183" s="7" t="s">
        <v>6708</v>
      </c>
      <c r="E3183" s="7" t="s">
        <v>6295</v>
      </c>
      <c r="F3183" s="7" t="s">
        <v>6734</v>
      </c>
      <c r="G3183" s="7" t="s">
        <v>7150</v>
      </c>
      <c r="H3183" s="7" t="s">
        <v>7156</v>
      </c>
      <c r="I3183" s="7"/>
      <c r="J3183" s="10">
        <v>44207</v>
      </c>
      <c r="K3183" s="7" t="s">
        <v>7164</v>
      </c>
      <c r="L3183" s="7"/>
      <c r="M3183" s="7"/>
    </row>
    <row r="3184" spans="1:13" x14ac:dyDescent="0.3">
      <c r="A3184" s="7">
        <v>13076</v>
      </c>
      <c r="B3184" s="7" t="s">
        <v>3192</v>
      </c>
      <c r="C3184" s="7" t="s">
        <v>6327</v>
      </c>
      <c r="D3184" s="7" t="s">
        <v>6724</v>
      </c>
      <c r="E3184" s="7" t="s">
        <v>6295</v>
      </c>
      <c r="F3184" s="7" t="s">
        <v>6734</v>
      </c>
      <c r="G3184" s="7" t="s">
        <v>7150</v>
      </c>
      <c r="H3184" s="7" t="s">
        <v>7156</v>
      </c>
      <c r="I3184" s="7"/>
      <c r="J3184" s="10">
        <v>44238</v>
      </c>
      <c r="K3184" s="7" t="s">
        <v>7164</v>
      </c>
      <c r="L3184" s="7"/>
      <c r="M3184" s="7"/>
    </row>
    <row r="3185" spans="1:13" x14ac:dyDescent="0.3">
      <c r="A3185" s="7">
        <v>15718</v>
      </c>
      <c r="B3185" s="7" t="s">
        <v>3193</v>
      </c>
      <c r="C3185" s="7" t="s">
        <v>6327</v>
      </c>
      <c r="D3185" s="7" t="s">
        <v>6724</v>
      </c>
      <c r="E3185" s="7" t="s">
        <v>6295</v>
      </c>
      <c r="F3185" s="7" t="s">
        <v>6734</v>
      </c>
      <c r="G3185" s="7" t="s">
        <v>7150</v>
      </c>
      <c r="H3185" s="7" t="s">
        <v>7156</v>
      </c>
      <c r="I3185" s="7"/>
      <c r="J3185" s="10">
        <v>45176</v>
      </c>
      <c r="K3185" s="7" t="s">
        <v>7164</v>
      </c>
      <c r="L3185" s="7"/>
      <c r="M3185" s="7"/>
    </row>
    <row r="3186" spans="1:13" x14ac:dyDescent="0.3">
      <c r="A3186" s="7">
        <v>14368</v>
      </c>
      <c r="B3186" s="7" t="s">
        <v>3194</v>
      </c>
      <c r="C3186" s="7" t="s">
        <v>6327</v>
      </c>
      <c r="D3186" s="7" t="s">
        <v>6724</v>
      </c>
      <c r="E3186" s="7" t="s">
        <v>6295</v>
      </c>
      <c r="F3186" s="7" t="s">
        <v>6734</v>
      </c>
      <c r="G3186" s="7" t="s">
        <v>7150</v>
      </c>
      <c r="H3186" s="7" t="s">
        <v>7156</v>
      </c>
      <c r="I3186" s="7"/>
      <c r="J3186" s="10">
        <v>44743</v>
      </c>
      <c r="K3186" s="7" t="s">
        <v>7164</v>
      </c>
      <c r="L3186" s="7"/>
      <c r="M3186" s="7"/>
    </row>
    <row r="3187" spans="1:13" x14ac:dyDescent="0.3">
      <c r="A3187" s="7">
        <v>13075</v>
      </c>
      <c r="B3187" s="7" t="s">
        <v>3195</v>
      </c>
      <c r="C3187" s="7" t="s">
        <v>6327</v>
      </c>
      <c r="D3187" s="7" t="s">
        <v>6724</v>
      </c>
      <c r="E3187" s="7" t="s">
        <v>6295</v>
      </c>
      <c r="F3187" s="7" t="s">
        <v>6734</v>
      </c>
      <c r="G3187" s="7" t="s">
        <v>7150</v>
      </c>
      <c r="H3187" s="7" t="s">
        <v>7156</v>
      </c>
      <c r="I3187" s="7"/>
      <c r="J3187" s="10">
        <v>44238</v>
      </c>
      <c r="K3187" s="7" t="s">
        <v>7164</v>
      </c>
      <c r="L3187" s="7"/>
      <c r="M3187" s="7"/>
    </row>
    <row r="3188" spans="1:13" x14ac:dyDescent="0.3">
      <c r="A3188" s="7">
        <v>15663</v>
      </c>
      <c r="B3188" s="7" t="s">
        <v>3196</v>
      </c>
      <c r="C3188" s="7" t="s">
        <v>6322</v>
      </c>
      <c r="D3188" s="7" t="s">
        <v>6724</v>
      </c>
      <c r="E3188" s="7" t="s">
        <v>6295</v>
      </c>
      <c r="F3188" s="7" t="s">
        <v>6414</v>
      </c>
      <c r="G3188" s="7" t="s">
        <v>7150</v>
      </c>
      <c r="H3188" s="7" t="s">
        <v>7156</v>
      </c>
      <c r="I3188" s="7"/>
      <c r="J3188" s="10">
        <v>45159</v>
      </c>
      <c r="K3188" s="7" t="s">
        <v>7164</v>
      </c>
      <c r="L3188" s="7"/>
      <c r="M3188" s="7"/>
    </row>
    <row r="3189" spans="1:13" x14ac:dyDescent="0.3">
      <c r="A3189" s="7">
        <v>15074</v>
      </c>
      <c r="B3189" s="7" t="s">
        <v>3197</v>
      </c>
      <c r="C3189" s="7" t="s">
        <v>6322</v>
      </c>
      <c r="D3189" s="7" t="s">
        <v>6724</v>
      </c>
      <c r="E3189" s="7" t="s">
        <v>6295</v>
      </c>
      <c r="F3189" s="7" t="s">
        <v>6730</v>
      </c>
      <c r="G3189" s="7" t="s">
        <v>7150</v>
      </c>
      <c r="H3189" s="7" t="s">
        <v>7156</v>
      </c>
      <c r="I3189" s="7"/>
      <c r="J3189" s="10">
        <v>44942</v>
      </c>
      <c r="K3189" s="7" t="s">
        <v>7164</v>
      </c>
      <c r="L3189" s="7"/>
      <c r="M3189" s="7"/>
    </row>
    <row r="3190" spans="1:13" x14ac:dyDescent="0.3">
      <c r="A3190" s="7">
        <v>18201</v>
      </c>
      <c r="B3190" s="7" t="s">
        <v>3198</v>
      </c>
      <c r="C3190" s="7" t="s">
        <v>6322</v>
      </c>
      <c r="D3190" s="7" t="s">
        <v>6724</v>
      </c>
      <c r="E3190" s="7" t="s">
        <v>6295</v>
      </c>
      <c r="F3190" s="7" t="s">
        <v>6730</v>
      </c>
      <c r="G3190" s="7" t="s">
        <v>7150</v>
      </c>
      <c r="H3190" s="7" t="s">
        <v>7156</v>
      </c>
      <c r="I3190" s="7"/>
      <c r="J3190" s="10">
        <v>46057</v>
      </c>
      <c r="K3190" s="7" t="s">
        <v>7164</v>
      </c>
      <c r="L3190" s="7"/>
      <c r="M3190" s="7"/>
    </row>
    <row r="3191" spans="1:13" x14ac:dyDescent="0.3">
      <c r="A3191" s="7">
        <v>18187</v>
      </c>
      <c r="B3191" s="7" t="s">
        <v>3199</v>
      </c>
      <c r="C3191" s="7" t="s">
        <v>6322</v>
      </c>
      <c r="D3191" s="7" t="s">
        <v>6724</v>
      </c>
      <c r="E3191" s="7" t="s">
        <v>6295</v>
      </c>
      <c r="F3191" s="7" t="s">
        <v>6730</v>
      </c>
      <c r="G3191" s="7" t="s">
        <v>7150</v>
      </c>
      <c r="H3191" s="7" t="s">
        <v>7156</v>
      </c>
      <c r="I3191" s="7"/>
      <c r="J3191" s="10">
        <v>46038</v>
      </c>
      <c r="K3191" s="7" t="s">
        <v>7164</v>
      </c>
      <c r="L3191" s="7"/>
      <c r="M3191" s="7"/>
    </row>
    <row r="3192" spans="1:13" x14ac:dyDescent="0.3">
      <c r="A3192" s="7">
        <v>17744</v>
      </c>
      <c r="B3192" s="7" t="s">
        <v>3200</v>
      </c>
      <c r="C3192" s="7" t="s">
        <v>6322</v>
      </c>
      <c r="D3192" s="7" t="s">
        <v>6724</v>
      </c>
      <c r="E3192" s="7" t="s">
        <v>6295</v>
      </c>
      <c r="F3192" s="7" t="s">
        <v>6730</v>
      </c>
      <c r="G3192" s="7" t="s">
        <v>7150</v>
      </c>
      <c r="H3192" s="7" t="s">
        <v>7156</v>
      </c>
      <c r="I3192" s="7"/>
      <c r="J3192" s="10">
        <v>45861</v>
      </c>
      <c r="K3192" s="7" t="s">
        <v>7164</v>
      </c>
      <c r="L3192" s="7"/>
      <c r="M3192" s="7"/>
    </row>
    <row r="3193" spans="1:13" x14ac:dyDescent="0.3">
      <c r="A3193" s="7">
        <v>17563</v>
      </c>
      <c r="B3193" s="7" t="s">
        <v>3201</v>
      </c>
      <c r="C3193" s="7" t="s">
        <v>6327</v>
      </c>
      <c r="D3193" s="7" t="s">
        <v>6724</v>
      </c>
      <c r="E3193" s="7" t="s">
        <v>6295</v>
      </c>
      <c r="F3193" s="7" t="s">
        <v>6730</v>
      </c>
      <c r="G3193" s="7" t="s">
        <v>7150</v>
      </c>
      <c r="H3193" s="7" t="s">
        <v>7156</v>
      </c>
      <c r="I3193" s="7"/>
      <c r="J3193" s="10">
        <v>45796</v>
      </c>
      <c r="K3193" s="7" t="s">
        <v>7164</v>
      </c>
      <c r="L3193" s="7"/>
      <c r="M3193" s="7"/>
    </row>
    <row r="3194" spans="1:13" x14ac:dyDescent="0.3">
      <c r="A3194" s="7">
        <v>17292</v>
      </c>
      <c r="B3194" s="7" t="s">
        <v>3202</v>
      </c>
      <c r="C3194" s="7" t="s">
        <v>6322</v>
      </c>
      <c r="D3194" s="7" t="s">
        <v>6724</v>
      </c>
      <c r="E3194" s="7" t="s">
        <v>6295</v>
      </c>
      <c r="F3194" s="7" t="s">
        <v>6730</v>
      </c>
      <c r="G3194" s="7" t="s">
        <v>7150</v>
      </c>
      <c r="H3194" s="7" t="s">
        <v>7156</v>
      </c>
      <c r="I3194" s="7"/>
      <c r="J3194" s="10">
        <v>45698</v>
      </c>
      <c r="K3194" s="7" t="s">
        <v>7164</v>
      </c>
      <c r="L3194" s="7"/>
      <c r="M3194" s="7"/>
    </row>
    <row r="3195" spans="1:13" x14ac:dyDescent="0.3">
      <c r="A3195" s="7">
        <v>16413</v>
      </c>
      <c r="B3195" s="7" t="s">
        <v>3203</v>
      </c>
      <c r="C3195" s="7" t="s">
        <v>6322</v>
      </c>
      <c r="D3195" s="7" t="s">
        <v>6724</v>
      </c>
      <c r="E3195" s="7" t="s">
        <v>6295</v>
      </c>
      <c r="F3195" s="7" t="s">
        <v>6730</v>
      </c>
      <c r="G3195" s="7" t="s">
        <v>7150</v>
      </c>
      <c r="H3195" s="7" t="s">
        <v>7156</v>
      </c>
      <c r="I3195" s="7"/>
      <c r="J3195" s="10">
        <v>45384</v>
      </c>
      <c r="K3195" s="7" t="s">
        <v>7164</v>
      </c>
      <c r="L3195" s="7"/>
      <c r="M3195" s="7"/>
    </row>
    <row r="3196" spans="1:13" x14ac:dyDescent="0.3">
      <c r="A3196" s="7">
        <v>16548</v>
      </c>
      <c r="B3196" s="7" t="s">
        <v>3204</v>
      </c>
      <c r="C3196" s="7" t="s">
        <v>6322</v>
      </c>
      <c r="D3196" s="7" t="s">
        <v>6724</v>
      </c>
      <c r="E3196" s="7" t="s">
        <v>6295</v>
      </c>
      <c r="F3196" s="7" t="s">
        <v>6730</v>
      </c>
      <c r="G3196" s="7" t="s">
        <v>7150</v>
      </c>
      <c r="H3196" s="7" t="s">
        <v>7156</v>
      </c>
      <c r="I3196" s="7"/>
      <c r="J3196" s="10">
        <v>45482</v>
      </c>
      <c r="K3196" s="7" t="s">
        <v>7164</v>
      </c>
      <c r="L3196" s="7"/>
      <c r="M3196" s="7"/>
    </row>
    <row r="3197" spans="1:13" x14ac:dyDescent="0.3">
      <c r="A3197" s="7">
        <v>12846</v>
      </c>
      <c r="B3197" s="7" t="s">
        <v>3205</v>
      </c>
      <c r="C3197" s="7" t="s">
        <v>6327</v>
      </c>
      <c r="D3197" s="7" t="s">
        <v>6724</v>
      </c>
      <c r="E3197" s="7" t="s">
        <v>6295</v>
      </c>
      <c r="F3197" s="7" t="s">
        <v>6712</v>
      </c>
      <c r="G3197" s="7" t="s">
        <v>7150</v>
      </c>
      <c r="H3197" s="7" t="s">
        <v>7156</v>
      </c>
      <c r="I3197" s="7"/>
      <c r="J3197" s="10">
        <v>44032</v>
      </c>
      <c r="K3197" s="7" t="s">
        <v>7164</v>
      </c>
      <c r="L3197" s="7"/>
      <c r="M3197" s="7"/>
    </row>
    <row r="3198" spans="1:13" x14ac:dyDescent="0.3">
      <c r="A3198" s="7">
        <v>17081</v>
      </c>
      <c r="B3198" s="7" t="s">
        <v>3206</v>
      </c>
      <c r="C3198" s="7" t="s">
        <v>6327</v>
      </c>
      <c r="D3198" s="7" t="s">
        <v>6724</v>
      </c>
      <c r="E3198" s="7" t="s">
        <v>6295</v>
      </c>
      <c r="F3198" s="7" t="s">
        <v>6725</v>
      </c>
      <c r="G3198" s="7" t="s">
        <v>7150</v>
      </c>
      <c r="H3198" s="7" t="s">
        <v>7156</v>
      </c>
      <c r="I3198" s="7"/>
      <c r="J3198" s="10">
        <v>45621</v>
      </c>
      <c r="K3198" s="7" t="s">
        <v>7164</v>
      </c>
      <c r="L3198" s="7"/>
      <c r="M3198" s="7"/>
    </row>
    <row r="3199" spans="1:13" x14ac:dyDescent="0.3">
      <c r="A3199" s="7">
        <v>15221</v>
      </c>
      <c r="B3199" s="7" t="s">
        <v>3207</v>
      </c>
      <c r="C3199" s="7" t="s">
        <v>6327</v>
      </c>
      <c r="D3199" s="7" t="s">
        <v>6724</v>
      </c>
      <c r="E3199" s="7" t="s">
        <v>6295</v>
      </c>
      <c r="F3199" s="7" t="s">
        <v>6725</v>
      </c>
      <c r="G3199" s="7" t="s">
        <v>7150</v>
      </c>
      <c r="H3199" s="7" t="s">
        <v>7156</v>
      </c>
      <c r="I3199" s="7"/>
      <c r="J3199" s="10">
        <v>44992</v>
      </c>
      <c r="K3199" s="7" t="s">
        <v>7164</v>
      </c>
      <c r="L3199" s="7"/>
      <c r="M3199" s="7"/>
    </row>
    <row r="3200" spans="1:13" x14ac:dyDescent="0.3">
      <c r="A3200" s="7">
        <v>15800</v>
      </c>
      <c r="B3200" s="7" t="s">
        <v>3208</v>
      </c>
      <c r="C3200" s="7" t="s">
        <v>6327</v>
      </c>
      <c r="D3200" s="7" t="s">
        <v>6724</v>
      </c>
      <c r="E3200" s="7" t="s">
        <v>6295</v>
      </c>
      <c r="F3200" s="7" t="s">
        <v>6725</v>
      </c>
      <c r="G3200" s="7" t="s">
        <v>7150</v>
      </c>
      <c r="H3200" s="7" t="s">
        <v>7156</v>
      </c>
      <c r="I3200" s="7"/>
      <c r="J3200" s="10">
        <v>45196</v>
      </c>
      <c r="K3200" s="7" t="s">
        <v>7164</v>
      </c>
      <c r="L3200" s="7"/>
      <c r="M3200" s="7"/>
    </row>
    <row r="3201" spans="1:13" x14ac:dyDescent="0.3">
      <c r="A3201" s="7">
        <v>16842</v>
      </c>
      <c r="B3201" s="7" t="s">
        <v>3209</v>
      </c>
      <c r="C3201" s="7" t="s">
        <v>6646</v>
      </c>
      <c r="D3201" s="7" t="s">
        <v>6708</v>
      </c>
      <c r="E3201" s="7" t="s">
        <v>6295</v>
      </c>
      <c r="F3201" s="7" t="s">
        <v>6351</v>
      </c>
      <c r="G3201" s="7" t="s">
        <v>7150</v>
      </c>
      <c r="H3201" s="7" t="s">
        <v>7156</v>
      </c>
      <c r="I3201" s="7"/>
      <c r="J3201" s="10">
        <v>45567</v>
      </c>
      <c r="K3201" s="7" t="s">
        <v>7164</v>
      </c>
      <c r="L3201" s="7"/>
      <c r="M3201" s="7"/>
    </row>
    <row r="3202" spans="1:13" x14ac:dyDescent="0.3">
      <c r="A3202" s="7">
        <v>17400</v>
      </c>
      <c r="B3202" s="7" t="s">
        <v>3210</v>
      </c>
      <c r="C3202" s="7" t="s">
        <v>6322</v>
      </c>
      <c r="D3202" s="7" t="s">
        <v>6738</v>
      </c>
      <c r="E3202" s="7" t="s">
        <v>6295</v>
      </c>
      <c r="F3202" s="7" t="s">
        <v>6414</v>
      </c>
      <c r="G3202" s="7" t="s">
        <v>7150</v>
      </c>
      <c r="H3202" s="7" t="s">
        <v>7156</v>
      </c>
      <c r="I3202" s="7"/>
      <c r="J3202" s="10">
        <v>45748</v>
      </c>
      <c r="K3202" s="7" t="s">
        <v>7164</v>
      </c>
      <c r="L3202" s="7"/>
      <c r="M3202" s="7"/>
    </row>
    <row r="3203" spans="1:13" x14ac:dyDescent="0.3">
      <c r="A3203" s="7">
        <v>15432</v>
      </c>
      <c r="B3203" s="7" t="s">
        <v>3211</v>
      </c>
      <c r="C3203" s="7" t="s">
        <v>6646</v>
      </c>
      <c r="D3203" s="7" t="s">
        <v>6708</v>
      </c>
      <c r="E3203" s="7" t="s">
        <v>6295</v>
      </c>
      <c r="F3203" s="7" t="s">
        <v>6414</v>
      </c>
      <c r="G3203" s="7" t="s">
        <v>7150</v>
      </c>
      <c r="H3203" s="7" t="s">
        <v>7156</v>
      </c>
      <c r="I3203" s="7"/>
      <c r="J3203" s="10">
        <v>45070</v>
      </c>
      <c r="K3203" s="7" t="s">
        <v>7164</v>
      </c>
      <c r="L3203" s="7"/>
      <c r="M3203" s="7"/>
    </row>
    <row r="3204" spans="1:13" x14ac:dyDescent="0.3">
      <c r="A3204" s="7">
        <v>18165</v>
      </c>
      <c r="B3204" s="7" t="s">
        <v>3212</v>
      </c>
      <c r="C3204" s="7" t="s">
        <v>6646</v>
      </c>
      <c r="D3204" s="7" t="s">
        <v>6708</v>
      </c>
      <c r="E3204" s="7" t="s">
        <v>6295</v>
      </c>
      <c r="F3204" s="7" t="s">
        <v>6739</v>
      </c>
      <c r="G3204" s="7" t="s">
        <v>7150</v>
      </c>
      <c r="H3204" s="7" t="s">
        <v>7156</v>
      </c>
      <c r="I3204" s="7"/>
      <c r="J3204" s="10">
        <v>46029</v>
      </c>
      <c r="K3204" s="7" t="s">
        <v>7164</v>
      </c>
      <c r="L3204" s="7"/>
      <c r="M3204" s="7"/>
    </row>
    <row r="3205" spans="1:13" x14ac:dyDescent="0.3">
      <c r="A3205" s="7">
        <v>17788</v>
      </c>
      <c r="B3205" s="7" t="s">
        <v>3213</v>
      </c>
      <c r="C3205" s="7" t="s">
        <v>6646</v>
      </c>
      <c r="D3205" s="7" t="s">
        <v>6708</v>
      </c>
      <c r="E3205" s="7" t="s">
        <v>6295</v>
      </c>
      <c r="F3205" s="7" t="s">
        <v>6740</v>
      </c>
      <c r="G3205" s="7" t="s">
        <v>7150</v>
      </c>
      <c r="H3205" s="7" t="s">
        <v>7156</v>
      </c>
      <c r="I3205" s="7"/>
      <c r="J3205" s="10">
        <v>45870</v>
      </c>
      <c r="K3205" s="7" t="s">
        <v>7164</v>
      </c>
      <c r="L3205" s="7"/>
      <c r="M3205" s="7"/>
    </row>
    <row r="3206" spans="1:13" x14ac:dyDescent="0.3">
      <c r="A3206" s="7">
        <v>18146</v>
      </c>
      <c r="B3206" s="7" t="s">
        <v>3214</v>
      </c>
      <c r="C3206" s="7" t="s">
        <v>6646</v>
      </c>
      <c r="D3206" s="7" t="s">
        <v>6708</v>
      </c>
      <c r="E3206" s="7" t="s">
        <v>6295</v>
      </c>
      <c r="F3206" s="7" t="s">
        <v>6741</v>
      </c>
      <c r="G3206" s="7" t="s">
        <v>7150</v>
      </c>
      <c r="H3206" s="7" t="s">
        <v>7156</v>
      </c>
      <c r="I3206" s="7"/>
      <c r="J3206" s="10">
        <v>46010</v>
      </c>
      <c r="K3206" s="7" t="s">
        <v>7164</v>
      </c>
      <c r="L3206" s="7"/>
      <c r="M3206" s="7"/>
    </row>
    <row r="3207" spans="1:13" x14ac:dyDescent="0.3">
      <c r="A3207" s="7">
        <v>18413</v>
      </c>
      <c r="B3207" s="7" t="s">
        <v>3215</v>
      </c>
      <c r="C3207" s="7" t="s">
        <v>6646</v>
      </c>
      <c r="D3207" s="7" t="s">
        <v>6708</v>
      </c>
      <c r="E3207" s="7" t="s">
        <v>6295</v>
      </c>
      <c r="F3207" s="7" t="s">
        <v>6740</v>
      </c>
      <c r="G3207" s="7" t="s">
        <v>7150</v>
      </c>
      <c r="H3207" s="7" t="s">
        <v>7156</v>
      </c>
      <c r="I3207" s="7"/>
      <c r="J3207" s="10">
        <v>46125</v>
      </c>
      <c r="K3207" s="7" t="s">
        <v>7164</v>
      </c>
      <c r="L3207" s="7"/>
      <c r="M3207" s="7"/>
    </row>
    <row r="3208" spans="1:13" x14ac:dyDescent="0.3">
      <c r="A3208" s="7">
        <v>18351</v>
      </c>
      <c r="B3208" s="7" t="s">
        <v>3216</v>
      </c>
      <c r="C3208" s="7" t="s">
        <v>6646</v>
      </c>
      <c r="D3208" s="7" t="s">
        <v>6708</v>
      </c>
      <c r="E3208" s="7" t="s">
        <v>6295</v>
      </c>
      <c r="F3208" s="7" t="s">
        <v>6740</v>
      </c>
      <c r="G3208" s="7" t="s">
        <v>7150</v>
      </c>
      <c r="H3208" s="7" t="s">
        <v>7156</v>
      </c>
      <c r="I3208" s="7"/>
      <c r="J3208" s="10">
        <v>46097</v>
      </c>
      <c r="K3208" s="7" t="s">
        <v>7164</v>
      </c>
      <c r="L3208" s="7"/>
      <c r="M3208" s="7"/>
    </row>
    <row r="3209" spans="1:13" x14ac:dyDescent="0.3">
      <c r="A3209" s="7">
        <v>17135</v>
      </c>
      <c r="B3209" s="7" t="s">
        <v>3217</v>
      </c>
      <c r="C3209" s="7" t="s">
        <v>6322</v>
      </c>
      <c r="D3209" s="7" t="s">
        <v>6738</v>
      </c>
      <c r="E3209" s="7" t="s">
        <v>6295</v>
      </c>
      <c r="F3209" s="7" t="s">
        <v>6414</v>
      </c>
      <c r="G3209" s="7" t="s">
        <v>7150</v>
      </c>
      <c r="H3209" s="7" t="s">
        <v>7156</v>
      </c>
      <c r="I3209" s="7"/>
      <c r="J3209" s="10">
        <v>45644</v>
      </c>
      <c r="K3209" s="7" t="s">
        <v>7164</v>
      </c>
      <c r="L3209" s="7"/>
      <c r="M3209" s="7"/>
    </row>
    <row r="3210" spans="1:13" x14ac:dyDescent="0.3">
      <c r="A3210" s="7">
        <v>18156</v>
      </c>
      <c r="B3210" s="7" t="s">
        <v>3218</v>
      </c>
      <c r="C3210" s="7" t="s">
        <v>6322</v>
      </c>
      <c r="D3210" s="7" t="s">
        <v>6738</v>
      </c>
      <c r="E3210" s="7" t="s">
        <v>6295</v>
      </c>
      <c r="F3210" s="7" t="s">
        <v>6735</v>
      </c>
      <c r="G3210" s="7" t="s">
        <v>7150</v>
      </c>
      <c r="H3210" s="7" t="s">
        <v>7156</v>
      </c>
      <c r="I3210" s="7"/>
      <c r="J3210" s="10">
        <v>46016</v>
      </c>
      <c r="K3210" s="7" t="s">
        <v>7164</v>
      </c>
      <c r="L3210" s="7"/>
      <c r="M3210" s="7"/>
    </row>
    <row r="3211" spans="1:13" x14ac:dyDescent="0.3">
      <c r="A3211" s="7">
        <v>17344</v>
      </c>
      <c r="B3211" s="7" t="s">
        <v>3219</v>
      </c>
      <c r="C3211" s="7" t="s">
        <v>6322</v>
      </c>
      <c r="D3211" s="7" t="s">
        <v>6738</v>
      </c>
      <c r="E3211" s="7" t="s">
        <v>6295</v>
      </c>
      <c r="F3211" s="7" t="s">
        <v>6735</v>
      </c>
      <c r="G3211" s="7" t="s">
        <v>7150</v>
      </c>
      <c r="H3211" s="7" t="s">
        <v>7156</v>
      </c>
      <c r="I3211" s="7"/>
      <c r="J3211" s="10">
        <v>45708</v>
      </c>
      <c r="K3211" s="7" t="s">
        <v>7164</v>
      </c>
      <c r="L3211" s="7"/>
      <c r="M3211" s="7"/>
    </row>
    <row r="3212" spans="1:13" x14ac:dyDescent="0.3">
      <c r="A3212" s="7">
        <v>17737</v>
      </c>
      <c r="B3212" s="7" t="s">
        <v>3220</v>
      </c>
      <c r="C3212" s="7" t="s">
        <v>6646</v>
      </c>
      <c r="D3212" s="7" t="s">
        <v>6708</v>
      </c>
      <c r="E3212" s="7" t="s">
        <v>6295</v>
      </c>
      <c r="F3212" s="7" t="s">
        <v>6414</v>
      </c>
      <c r="G3212" s="7" t="s">
        <v>7150</v>
      </c>
      <c r="H3212" s="7" t="s">
        <v>7156</v>
      </c>
      <c r="I3212" s="7"/>
      <c r="J3212" s="10">
        <v>45866</v>
      </c>
      <c r="K3212" s="7" t="s">
        <v>7164</v>
      </c>
      <c r="L3212" s="7"/>
      <c r="M3212" s="7"/>
    </row>
    <row r="3213" spans="1:13" x14ac:dyDescent="0.3">
      <c r="A3213" s="7">
        <v>17097</v>
      </c>
      <c r="B3213" s="7" t="s">
        <v>3221</v>
      </c>
      <c r="C3213" s="7" t="s">
        <v>6322</v>
      </c>
      <c r="D3213" s="7" t="s">
        <v>6738</v>
      </c>
      <c r="E3213" s="7" t="s">
        <v>6295</v>
      </c>
      <c r="F3213" s="7" t="s">
        <v>6735</v>
      </c>
      <c r="G3213" s="7" t="s">
        <v>7150</v>
      </c>
      <c r="H3213" s="7" t="s">
        <v>7156</v>
      </c>
      <c r="I3213" s="7"/>
      <c r="J3213" s="10">
        <v>45624</v>
      </c>
      <c r="K3213" s="7" t="s">
        <v>7164</v>
      </c>
      <c r="L3213" s="7"/>
      <c r="M3213" s="7"/>
    </row>
    <row r="3214" spans="1:13" x14ac:dyDescent="0.3">
      <c r="A3214" s="7">
        <v>17672</v>
      </c>
      <c r="B3214" s="7" t="s">
        <v>3222</v>
      </c>
      <c r="C3214" s="7" t="s">
        <v>6322</v>
      </c>
      <c r="D3214" s="7" t="s">
        <v>6738</v>
      </c>
      <c r="E3214" s="7" t="s">
        <v>6295</v>
      </c>
      <c r="F3214" s="7" t="s">
        <v>6735</v>
      </c>
      <c r="G3214" s="7" t="s">
        <v>7150</v>
      </c>
      <c r="H3214" s="7" t="s">
        <v>7156</v>
      </c>
      <c r="I3214" s="7"/>
      <c r="J3214" s="10">
        <v>45845</v>
      </c>
      <c r="K3214" s="7" t="s">
        <v>7164</v>
      </c>
      <c r="L3214" s="7"/>
      <c r="M3214" s="7"/>
    </row>
    <row r="3215" spans="1:13" x14ac:dyDescent="0.3">
      <c r="A3215" s="7">
        <v>18168</v>
      </c>
      <c r="B3215" s="7" t="s">
        <v>3223</v>
      </c>
      <c r="C3215" s="7" t="s">
        <v>6327</v>
      </c>
      <c r="D3215" s="7" t="s">
        <v>6738</v>
      </c>
      <c r="E3215" s="7" t="s">
        <v>6295</v>
      </c>
      <c r="F3215" s="7" t="s">
        <v>6735</v>
      </c>
      <c r="G3215" s="7" t="s">
        <v>7150</v>
      </c>
      <c r="H3215" s="7" t="s">
        <v>7156</v>
      </c>
      <c r="I3215" s="7"/>
      <c r="J3215" s="10">
        <v>46031</v>
      </c>
      <c r="K3215" s="7" t="s">
        <v>7164</v>
      </c>
      <c r="L3215" s="7"/>
      <c r="M3215" s="7"/>
    </row>
    <row r="3216" spans="1:13" x14ac:dyDescent="0.3">
      <c r="A3216" s="7">
        <v>19125</v>
      </c>
      <c r="B3216" s="7" t="s">
        <v>3224</v>
      </c>
      <c r="C3216" s="7" t="s">
        <v>6322</v>
      </c>
      <c r="D3216" s="7" t="s">
        <v>6738</v>
      </c>
      <c r="E3216" s="7" t="s">
        <v>6295</v>
      </c>
      <c r="F3216" s="7" t="s">
        <v>6735</v>
      </c>
      <c r="G3216" s="7" t="s">
        <v>7150</v>
      </c>
      <c r="H3216" s="7" t="s">
        <v>7156</v>
      </c>
      <c r="I3216" s="7"/>
      <c r="J3216" s="10">
        <v>46273</v>
      </c>
      <c r="K3216" s="7" t="s">
        <v>7164</v>
      </c>
      <c r="L3216" s="7"/>
      <c r="M3216" s="7"/>
    </row>
    <row r="3217" spans="1:13" x14ac:dyDescent="0.3">
      <c r="A3217" s="7">
        <v>19143</v>
      </c>
      <c r="B3217" s="7" t="s">
        <v>3225</v>
      </c>
      <c r="C3217" s="7" t="s">
        <v>6322</v>
      </c>
      <c r="D3217" s="7" t="s">
        <v>6738</v>
      </c>
      <c r="E3217" s="7" t="s">
        <v>6295</v>
      </c>
      <c r="F3217" s="7" t="s">
        <v>6735</v>
      </c>
      <c r="G3217" s="7" t="s">
        <v>7150</v>
      </c>
      <c r="H3217" s="7" t="s">
        <v>7156</v>
      </c>
      <c r="I3217" s="7"/>
      <c r="J3217" s="10">
        <v>46274</v>
      </c>
      <c r="K3217" s="7" t="s">
        <v>7164</v>
      </c>
      <c r="L3217" s="7"/>
      <c r="M3217" s="7"/>
    </row>
    <row r="3218" spans="1:13" x14ac:dyDescent="0.3">
      <c r="A3218" s="7">
        <v>18127</v>
      </c>
      <c r="B3218" s="7" t="s">
        <v>3226</v>
      </c>
      <c r="C3218" s="7" t="s">
        <v>6646</v>
      </c>
      <c r="D3218" s="7" t="s">
        <v>6708</v>
      </c>
      <c r="E3218" s="7" t="s">
        <v>6295</v>
      </c>
      <c r="F3218" s="7" t="s">
        <v>6735</v>
      </c>
      <c r="G3218" s="7" t="s">
        <v>7150</v>
      </c>
      <c r="H3218" s="7" t="s">
        <v>7156</v>
      </c>
      <c r="I3218" s="7"/>
      <c r="J3218" s="10">
        <v>46007</v>
      </c>
      <c r="K3218" s="7" t="s">
        <v>7164</v>
      </c>
      <c r="L3218" s="7"/>
      <c r="M3218" s="7"/>
    </row>
    <row r="3219" spans="1:13" x14ac:dyDescent="0.3">
      <c r="A3219" s="7">
        <v>19017</v>
      </c>
      <c r="B3219" s="7" t="s">
        <v>3227</v>
      </c>
      <c r="C3219" s="7" t="s">
        <v>6646</v>
      </c>
      <c r="D3219" s="7" t="s">
        <v>6708</v>
      </c>
      <c r="E3219" s="7" t="s">
        <v>6295</v>
      </c>
      <c r="F3219" s="7" t="s">
        <v>6735</v>
      </c>
      <c r="G3219" s="7" t="s">
        <v>7150</v>
      </c>
      <c r="H3219" s="7" t="s">
        <v>7156</v>
      </c>
      <c r="I3219" s="7"/>
      <c r="J3219" s="10">
        <v>46259</v>
      </c>
      <c r="K3219" s="7" t="s">
        <v>7164</v>
      </c>
      <c r="L3219" s="7"/>
      <c r="M3219" s="7"/>
    </row>
    <row r="3220" spans="1:13" x14ac:dyDescent="0.3">
      <c r="A3220" s="7">
        <v>19032</v>
      </c>
      <c r="B3220" s="7" t="s">
        <v>3228</v>
      </c>
      <c r="C3220" s="7" t="s">
        <v>6646</v>
      </c>
      <c r="D3220" s="7" t="s">
        <v>6708</v>
      </c>
      <c r="E3220" s="7" t="s">
        <v>6295</v>
      </c>
      <c r="F3220" s="7" t="s">
        <v>6735</v>
      </c>
      <c r="G3220" s="7" t="s">
        <v>7150</v>
      </c>
      <c r="H3220" s="7" t="s">
        <v>7156</v>
      </c>
      <c r="I3220" s="7"/>
      <c r="J3220" s="10">
        <v>46260</v>
      </c>
      <c r="K3220" s="7" t="s">
        <v>7164</v>
      </c>
      <c r="L3220" s="7"/>
      <c r="M3220" s="7"/>
    </row>
    <row r="3221" spans="1:13" x14ac:dyDescent="0.3">
      <c r="A3221" s="7">
        <v>18544</v>
      </c>
      <c r="B3221" s="7" t="s">
        <v>3229</v>
      </c>
      <c r="C3221" s="7" t="s">
        <v>6646</v>
      </c>
      <c r="D3221" s="7" t="s">
        <v>6708</v>
      </c>
      <c r="E3221" s="7" t="s">
        <v>6295</v>
      </c>
      <c r="F3221" s="7" t="s">
        <v>6735</v>
      </c>
      <c r="G3221" s="7" t="s">
        <v>7150</v>
      </c>
      <c r="H3221" s="7" t="s">
        <v>7156</v>
      </c>
      <c r="I3221" s="7"/>
      <c r="J3221" s="10">
        <v>46154</v>
      </c>
      <c r="K3221" s="7" t="s">
        <v>7164</v>
      </c>
      <c r="L3221" s="7"/>
      <c r="M3221" s="7"/>
    </row>
    <row r="3222" spans="1:13" x14ac:dyDescent="0.3">
      <c r="A3222" s="7">
        <v>18865</v>
      </c>
      <c r="B3222" s="7" t="s">
        <v>3230</v>
      </c>
      <c r="C3222" s="7" t="s">
        <v>6646</v>
      </c>
      <c r="D3222" s="7" t="s">
        <v>6708</v>
      </c>
      <c r="E3222" s="7" t="s">
        <v>6295</v>
      </c>
      <c r="F3222" s="7" t="s">
        <v>6735</v>
      </c>
      <c r="G3222" s="7" t="s">
        <v>7150</v>
      </c>
      <c r="H3222" s="7" t="s">
        <v>7156</v>
      </c>
      <c r="I3222" s="7" t="s">
        <v>7158</v>
      </c>
      <c r="J3222" s="10">
        <v>46220</v>
      </c>
      <c r="K3222" s="7" t="s">
        <v>7164</v>
      </c>
      <c r="L3222" s="7"/>
      <c r="M3222" s="7"/>
    </row>
    <row r="3223" spans="1:13" x14ac:dyDescent="0.3">
      <c r="A3223" s="7">
        <v>18309</v>
      </c>
      <c r="B3223" s="7" t="s">
        <v>3231</v>
      </c>
      <c r="C3223" s="7" t="s">
        <v>6322</v>
      </c>
      <c r="D3223" s="7" t="s">
        <v>6738</v>
      </c>
      <c r="E3223" s="7" t="s">
        <v>6295</v>
      </c>
      <c r="F3223" s="7" t="s">
        <v>6735</v>
      </c>
      <c r="G3223" s="7" t="s">
        <v>7150</v>
      </c>
      <c r="H3223" s="7" t="s">
        <v>7156</v>
      </c>
      <c r="I3223" s="7"/>
      <c r="J3223" s="10">
        <v>46084</v>
      </c>
      <c r="K3223" s="7" t="s">
        <v>7164</v>
      </c>
      <c r="L3223" s="7"/>
      <c r="M3223" s="7"/>
    </row>
    <row r="3224" spans="1:13" x14ac:dyDescent="0.3">
      <c r="A3224" s="7">
        <v>19108</v>
      </c>
      <c r="B3224" s="7" t="s">
        <v>3232</v>
      </c>
      <c r="C3224" s="7" t="s">
        <v>6322</v>
      </c>
      <c r="D3224" s="7" t="s">
        <v>6738</v>
      </c>
      <c r="E3224" s="7" t="s">
        <v>6295</v>
      </c>
      <c r="F3224" s="7" t="s">
        <v>6735</v>
      </c>
      <c r="G3224" s="7" t="s">
        <v>7150</v>
      </c>
      <c r="H3224" s="7" t="s">
        <v>7156</v>
      </c>
      <c r="I3224" s="7"/>
      <c r="J3224" s="10">
        <v>46272</v>
      </c>
      <c r="K3224" s="7" t="s">
        <v>7164</v>
      </c>
      <c r="L3224" s="7"/>
      <c r="M3224" s="7"/>
    </row>
    <row r="3225" spans="1:13" x14ac:dyDescent="0.3">
      <c r="A3225" s="7">
        <v>19107</v>
      </c>
      <c r="B3225" s="7" t="s">
        <v>3233</v>
      </c>
      <c r="C3225" s="7" t="s">
        <v>6742</v>
      </c>
      <c r="D3225" s="7" t="s">
        <v>6738</v>
      </c>
      <c r="E3225" s="7" t="s">
        <v>6295</v>
      </c>
      <c r="F3225" s="7" t="s">
        <v>6735</v>
      </c>
      <c r="G3225" s="7" t="s">
        <v>7150</v>
      </c>
      <c r="H3225" s="7" t="s">
        <v>7156</v>
      </c>
      <c r="I3225" s="7"/>
      <c r="J3225" s="10">
        <v>46272</v>
      </c>
      <c r="K3225" s="7" t="s">
        <v>7164</v>
      </c>
      <c r="L3225" s="7"/>
      <c r="M3225" s="7"/>
    </row>
    <row r="3226" spans="1:13" x14ac:dyDescent="0.3">
      <c r="A3226" s="7">
        <v>19178</v>
      </c>
      <c r="B3226" s="7" t="s">
        <v>3234</v>
      </c>
      <c r="C3226" s="7" t="s">
        <v>6322</v>
      </c>
      <c r="D3226" s="7" t="s">
        <v>6738</v>
      </c>
      <c r="E3226" s="7" t="s">
        <v>6295</v>
      </c>
      <c r="F3226" s="7" t="s">
        <v>6735</v>
      </c>
      <c r="G3226" s="7" t="s">
        <v>7150</v>
      </c>
      <c r="H3226" s="7" t="s">
        <v>7156</v>
      </c>
      <c r="I3226" s="7"/>
      <c r="J3226" s="10">
        <v>46281</v>
      </c>
      <c r="K3226" s="7" t="s">
        <v>7164</v>
      </c>
      <c r="L3226" s="7"/>
      <c r="M3226" s="7"/>
    </row>
    <row r="3227" spans="1:13" x14ac:dyDescent="0.3">
      <c r="A3227" s="7">
        <v>18615</v>
      </c>
      <c r="B3227" s="7" t="s">
        <v>3235</v>
      </c>
      <c r="C3227" s="7" t="s">
        <v>6322</v>
      </c>
      <c r="D3227" s="7" t="s">
        <v>6738</v>
      </c>
      <c r="E3227" s="7" t="s">
        <v>6295</v>
      </c>
      <c r="F3227" s="7" t="s">
        <v>6735</v>
      </c>
      <c r="G3227" s="7" t="s">
        <v>7150</v>
      </c>
      <c r="H3227" s="7" t="s">
        <v>7156</v>
      </c>
      <c r="I3227" s="7"/>
      <c r="J3227" s="10">
        <v>46174</v>
      </c>
      <c r="K3227" s="7" t="s">
        <v>7164</v>
      </c>
      <c r="L3227" s="7"/>
      <c r="M3227" s="7"/>
    </row>
    <row r="3228" spans="1:13" x14ac:dyDescent="0.3">
      <c r="A3228" s="7">
        <v>18656</v>
      </c>
      <c r="B3228" s="7" t="s">
        <v>3236</v>
      </c>
      <c r="C3228" s="7" t="s">
        <v>6322</v>
      </c>
      <c r="D3228" s="7" t="s">
        <v>6738</v>
      </c>
      <c r="E3228" s="7" t="s">
        <v>6295</v>
      </c>
      <c r="F3228" s="7" t="s">
        <v>6735</v>
      </c>
      <c r="G3228" s="7" t="s">
        <v>7150</v>
      </c>
      <c r="H3228" s="7" t="s">
        <v>7156</v>
      </c>
      <c r="I3228" s="7"/>
      <c r="J3228" s="10">
        <v>46190</v>
      </c>
      <c r="K3228" s="7" t="s">
        <v>7164</v>
      </c>
      <c r="L3228" s="7"/>
      <c r="M3228" s="7"/>
    </row>
    <row r="3229" spans="1:13" x14ac:dyDescent="0.3">
      <c r="A3229" s="7">
        <v>18721</v>
      </c>
      <c r="B3229" s="7" t="s">
        <v>3237</v>
      </c>
      <c r="C3229" s="7" t="s">
        <v>6322</v>
      </c>
      <c r="D3229" s="7" t="s">
        <v>6738</v>
      </c>
      <c r="E3229" s="7" t="s">
        <v>6295</v>
      </c>
      <c r="F3229" s="7" t="s">
        <v>6735</v>
      </c>
      <c r="G3229" s="7" t="s">
        <v>7150</v>
      </c>
      <c r="H3229" s="7" t="s">
        <v>7156</v>
      </c>
      <c r="I3229" s="7" t="s">
        <v>7159</v>
      </c>
      <c r="J3229" s="10">
        <v>46192</v>
      </c>
      <c r="K3229" s="7" t="s">
        <v>7164</v>
      </c>
      <c r="L3229" s="7"/>
      <c r="M3229" s="7"/>
    </row>
    <row r="3230" spans="1:13" x14ac:dyDescent="0.3">
      <c r="A3230" s="7">
        <v>18400</v>
      </c>
      <c r="B3230" s="7" t="s">
        <v>3238</v>
      </c>
      <c r="C3230" s="7" t="s">
        <v>6327</v>
      </c>
      <c r="D3230" s="7" t="s">
        <v>6738</v>
      </c>
      <c r="E3230" s="7" t="s">
        <v>6295</v>
      </c>
      <c r="F3230" s="7" t="s">
        <v>6735</v>
      </c>
      <c r="G3230" s="7" t="s">
        <v>7150</v>
      </c>
      <c r="H3230" s="7" t="s">
        <v>7156</v>
      </c>
      <c r="I3230" s="7"/>
      <c r="J3230" s="10">
        <v>46136</v>
      </c>
      <c r="K3230" s="7" t="s">
        <v>7164</v>
      </c>
      <c r="L3230" s="7"/>
      <c r="M3230" s="7"/>
    </row>
    <row r="3231" spans="1:13" x14ac:dyDescent="0.3">
      <c r="A3231" s="7">
        <v>18062</v>
      </c>
      <c r="B3231" s="7" t="s">
        <v>3239</v>
      </c>
      <c r="C3231" s="7" t="s">
        <v>6322</v>
      </c>
      <c r="D3231" s="7" t="s">
        <v>6738</v>
      </c>
      <c r="E3231" s="7" t="s">
        <v>6295</v>
      </c>
      <c r="F3231" s="7" t="s">
        <v>6735</v>
      </c>
      <c r="G3231" s="7" t="s">
        <v>7150</v>
      </c>
      <c r="H3231" s="7" t="s">
        <v>7156</v>
      </c>
      <c r="I3231" s="7"/>
      <c r="J3231" s="10">
        <v>45980</v>
      </c>
      <c r="K3231" s="7" t="s">
        <v>7164</v>
      </c>
      <c r="L3231" s="7"/>
      <c r="M3231" s="7"/>
    </row>
    <row r="3232" spans="1:13" x14ac:dyDescent="0.3">
      <c r="A3232" s="7">
        <v>17630</v>
      </c>
      <c r="B3232" s="7" t="s">
        <v>3240</v>
      </c>
      <c r="C3232" s="7" t="s">
        <v>6327</v>
      </c>
      <c r="D3232" s="7" t="s">
        <v>6738</v>
      </c>
      <c r="E3232" s="7" t="s">
        <v>6295</v>
      </c>
      <c r="F3232" s="7" t="s">
        <v>6735</v>
      </c>
      <c r="G3232" s="7" t="s">
        <v>7151</v>
      </c>
      <c r="H3232" s="7" t="s">
        <v>7156</v>
      </c>
      <c r="I3232" s="7"/>
      <c r="J3232" s="10">
        <v>45825</v>
      </c>
      <c r="K3232" s="7" t="s">
        <v>7164</v>
      </c>
      <c r="L3232" s="7"/>
      <c r="M3232" s="7"/>
    </row>
    <row r="3233" spans="1:13" x14ac:dyDescent="0.3">
      <c r="A3233" s="7">
        <v>18186</v>
      </c>
      <c r="B3233" s="7" t="s">
        <v>3241</v>
      </c>
      <c r="C3233" s="7" t="s">
        <v>6327</v>
      </c>
      <c r="D3233" s="7" t="s">
        <v>6738</v>
      </c>
      <c r="E3233" s="7" t="s">
        <v>6295</v>
      </c>
      <c r="F3233" s="7" t="s">
        <v>6743</v>
      </c>
      <c r="G3233" s="7" t="s">
        <v>7150</v>
      </c>
      <c r="H3233" s="7" t="s">
        <v>7157</v>
      </c>
      <c r="I3233" s="7"/>
      <c r="J3233" s="10">
        <v>46036</v>
      </c>
      <c r="K3233" s="7" t="s">
        <v>7164</v>
      </c>
      <c r="L3233" s="7"/>
      <c r="M3233" s="7"/>
    </row>
    <row r="3234" spans="1:13" x14ac:dyDescent="0.3">
      <c r="A3234" s="7">
        <v>17533</v>
      </c>
      <c r="B3234" s="7" t="s">
        <v>3242</v>
      </c>
      <c r="C3234" s="7" t="s">
        <v>6322</v>
      </c>
      <c r="D3234" s="7" t="s">
        <v>6738</v>
      </c>
      <c r="E3234" s="7" t="s">
        <v>6295</v>
      </c>
      <c r="F3234" s="7" t="s">
        <v>6735</v>
      </c>
      <c r="G3234" s="7" t="s">
        <v>7150</v>
      </c>
      <c r="H3234" s="7" t="s">
        <v>7156</v>
      </c>
      <c r="I3234" s="7"/>
      <c r="J3234" s="10">
        <v>45783</v>
      </c>
      <c r="K3234" s="7" t="s">
        <v>7164</v>
      </c>
      <c r="L3234" s="7"/>
      <c r="M3234" s="7"/>
    </row>
    <row r="3235" spans="1:13" x14ac:dyDescent="0.3">
      <c r="A3235" s="7">
        <v>17442</v>
      </c>
      <c r="B3235" s="7" t="s">
        <v>3243</v>
      </c>
      <c r="C3235" s="7" t="s">
        <v>6327</v>
      </c>
      <c r="D3235" s="7" t="s">
        <v>6738</v>
      </c>
      <c r="E3235" s="7" t="s">
        <v>6295</v>
      </c>
      <c r="F3235" s="7" t="s">
        <v>6735</v>
      </c>
      <c r="G3235" s="7" t="s">
        <v>7150</v>
      </c>
      <c r="H3235" s="7" t="s">
        <v>7156</v>
      </c>
      <c r="I3235" s="7"/>
      <c r="J3235" s="10">
        <v>45754</v>
      </c>
      <c r="K3235" s="7" t="s">
        <v>7164</v>
      </c>
      <c r="L3235" s="7"/>
      <c r="M3235" s="7"/>
    </row>
    <row r="3236" spans="1:13" x14ac:dyDescent="0.3">
      <c r="A3236" s="7">
        <v>17459</v>
      </c>
      <c r="B3236" s="7" t="s">
        <v>3244</v>
      </c>
      <c r="C3236" s="7" t="s">
        <v>6322</v>
      </c>
      <c r="D3236" s="7" t="s">
        <v>6738</v>
      </c>
      <c r="E3236" s="7" t="s">
        <v>6295</v>
      </c>
      <c r="F3236" s="7" t="s">
        <v>6735</v>
      </c>
      <c r="G3236" s="7" t="s">
        <v>7150</v>
      </c>
      <c r="H3236" s="7" t="s">
        <v>7156</v>
      </c>
      <c r="I3236" s="7"/>
      <c r="J3236" s="10">
        <v>45757</v>
      </c>
      <c r="K3236" s="7" t="s">
        <v>7164</v>
      </c>
      <c r="L3236" s="7"/>
      <c r="M3236" s="7"/>
    </row>
    <row r="3237" spans="1:13" x14ac:dyDescent="0.3">
      <c r="A3237" s="7">
        <v>17460</v>
      </c>
      <c r="B3237" s="7" t="s">
        <v>3245</v>
      </c>
      <c r="C3237" s="7" t="s">
        <v>6322</v>
      </c>
      <c r="D3237" s="7" t="s">
        <v>6738</v>
      </c>
      <c r="E3237" s="7" t="s">
        <v>6295</v>
      </c>
      <c r="F3237" s="7" t="s">
        <v>6735</v>
      </c>
      <c r="G3237" s="7" t="s">
        <v>7150</v>
      </c>
      <c r="H3237" s="7" t="s">
        <v>7156</v>
      </c>
      <c r="I3237" s="7"/>
      <c r="J3237" s="10">
        <v>45757</v>
      </c>
      <c r="K3237" s="7" t="s">
        <v>7164</v>
      </c>
      <c r="L3237" s="7"/>
      <c r="M3237" s="7"/>
    </row>
    <row r="3238" spans="1:13" x14ac:dyDescent="0.3">
      <c r="A3238" s="7">
        <v>18648</v>
      </c>
      <c r="B3238" s="7" t="s">
        <v>3246</v>
      </c>
      <c r="C3238" s="7" t="s">
        <v>6322</v>
      </c>
      <c r="D3238" s="7" t="s">
        <v>6738</v>
      </c>
      <c r="E3238" s="7" t="s">
        <v>6295</v>
      </c>
      <c r="F3238" s="7" t="s">
        <v>6735</v>
      </c>
      <c r="G3238" s="7" t="s">
        <v>7150</v>
      </c>
      <c r="H3238" s="7" t="s">
        <v>7156</v>
      </c>
      <c r="I3238" s="7"/>
      <c r="J3238" s="10">
        <v>46182</v>
      </c>
      <c r="K3238" s="7" t="s">
        <v>7164</v>
      </c>
      <c r="L3238" s="7"/>
      <c r="M3238" s="7"/>
    </row>
    <row r="3239" spans="1:13" x14ac:dyDescent="0.3">
      <c r="A3239" s="7">
        <v>17483</v>
      </c>
      <c r="B3239" s="7" t="s">
        <v>3247</v>
      </c>
      <c r="C3239" s="7" t="s">
        <v>6327</v>
      </c>
      <c r="D3239" s="7" t="s">
        <v>6738</v>
      </c>
      <c r="E3239" s="7" t="s">
        <v>6295</v>
      </c>
      <c r="F3239" s="7" t="s">
        <v>6735</v>
      </c>
      <c r="G3239" s="7" t="s">
        <v>7150</v>
      </c>
      <c r="H3239" s="7" t="s">
        <v>7156</v>
      </c>
      <c r="I3239" s="7"/>
      <c r="J3239" s="10">
        <v>45770</v>
      </c>
      <c r="K3239" s="7" t="s">
        <v>7164</v>
      </c>
      <c r="L3239" s="7"/>
      <c r="M3239" s="7"/>
    </row>
    <row r="3240" spans="1:13" x14ac:dyDescent="0.3">
      <c r="A3240" s="7">
        <v>17356</v>
      </c>
      <c r="B3240" s="7" t="s">
        <v>3248</v>
      </c>
      <c r="C3240" s="7" t="s">
        <v>6322</v>
      </c>
      <c r="D3240" s="7" t="s">
        <v>6738</v>
      </c>
      <c r="E3240" s="7" t="s">
        <v>6295</v>
      </c>
      <c r="F3240" s="7" t="s">
        <v>6735</v>
      </c>
      <c r="G3240" s="7" t="s">
        <v>7150</v>
      </c>
      <c r="H3240" s="7" t="s">
        <v>7156</v>
      </c>
      <c r="I3240" s="7"/>
      <c r="J3240" s="10">
        <v>45719</v>
      </c>
      <c r="K3240" s="7" t="s">
        <v>7164</v>
      </c>
      <c r="L3240" s="7"/>
      <c r="M3240" s="7"/>
    </row>
    <row r="3241" spans="1:13" x14ac:dyDescent="0.3">
      <c r="A3241" s="7">
        <v>17402</v>
      </c>
      <c r="B3241" s="7" t="s">
        <v>3249</v>
      </c>
      <c r="C3241" s="7" t="s">
        <v>6322</v>
      </c>
      <c r="D3241" s="7" t="s">
        <v>6738</v>
      </c>
      <c r="E3241" s="7" t="s">
        <v>6295</v>
      </c>
      <c r="F3241" s="7" t="s">
        <v>6735</v>
      </c>
      <c r="G3241" s="7" t="s">
        <v>7150</v>
      </c>
      <c r="H3241" s="7" t="s">
        <v>7156</v>
      </c>
      <c r="I3241" s="7"/>
      <c r="J3241" s="10">
        <v>45765</v>
      </c>
      <c r="K3241" s="7" t="s">
        <v>7164</v>
      </c>
      <c r="L3241" s="7"/>
      <c r="M3241" s="7"/>
    </row>
    <row r="3242" spans="1:13" x14ac:dyDescent="0.3">
      <c r="A3242" s="7">
        <v>16467</v>
      </c>
      <c r="B3242" s="7" t="s">
        <v>3250</v>
      </c>
      <c r="C3242" s="7" t="s">
        <v>6327</v>
      </c>
      <c r="D3242" s="7" t="s">
        <v>6738</v>
      </c>
      <c r="E3242" s="7" t="s">
        <v>6295</v>
      </c>
      <c r="F3242" s="7" t="s">
        <v>6735</v>
      </c>
      <c r="G3242" s="7" t="s">
        <v>7150</v>
      </c>
      <c r="H3242" s="7" t="s">
        <v>7156</v>
      </c>
      <c r="I3242" s="7"/>
      <c r="J3242" s="10">
        <v>45418</v>
      </c>
      <c r="K3242" s="7" t="s">
        <v>7164</v>
      </c>
      <c r="L3242" s="7"/>
      <c r="M3242" s="7"/>
    </row>
    <row r="3243" spans="1:13" x14ac:dyDescent="0.3">
      <c r="A3243" s="7">
        <v>18788</v>
      </c>
      <c r="B3243" s="7" t="s">
        <v>3251</v>
      </c>
      <c r="C3243" s="7" t="s">
        <v>6327</v>
      </c>
      <c r="D3243" s="7" t="s">
        <v>6738</v>
      </c>
      <c r="E3243" s="7" t="s">
        <v>6295</v>
      </c>
      <c r="F3243" s="7" t="s">
        <v>6735</v>
      </c>
      <c r="G3243" s="7" t="s">
        <v>7150</v>
      </c>
      <c r="H3243" s="7" t="s">
        <v>7156</v>
      </c>
      <c r="I3243" s="7"/>
      <c r="J3243" s="10">
        <v>46212</v>
      </c>
      <c r="K3243" s="7" t="s">
        <v>7164</v>
      </c>
      <c r="L3243" s="7"/>
      <c r="M3243" s="7"/>
    </row>
    <row r="3244" spans="1:13" x14ac:dyDescent="0.3">
      <c r="A3244" s="7">
        <v>18805</v>
      </c>
      <c r="B3244" s="7" t="s">
        <v>3252</v>
      </c>
      <c r="C3244" s="7" t="s">
        <v>6327</v>
      </c>
      <c r="D3244" s="7" t="s">
        <v>6738</v>
      </c>
      <c r="E3244" s="7" t="s">
        <v>6295</v>
      </c>
      <c r="F3244" s="7" t="s">
        <v>6735</v>
      </c>
      <c r="G3244" s="7" t="s">
        <v>7150</v>
      </c>
      <c r="H3244" s="7" t="s">
        <v>7156</v>
      </c>
      <c r="I3244" s="7"/>
      <c r="J3244" s="10">
        <v>46218</v>
      </c>
      <c r="K3244" s="7" t="s">
        <v>7164</v>
      </c>
      <c r="L3244" s="7"/>
      <c r="M3244" s="7"/>
    </row>
    <row r="3245" spans="1:13" x14ac:dyDescent="0.3">
      <c r="A3245" s="7">
        <v>13172</v>
      </c>
      <c r="B3245" s="7" t="s">
        <v>3253</v>
      </c>
      <c r="C3245" s="7" t="s">
        <v>6322</v>
      </c>
      <c r="D3245" s="7" t="s">
        <v>6738</v>
      </c>
      <c r="E3245" s="7" t="s">
        <v>6295</v>
      </c>
      <c r="F3245" s="7" t="s">
        <v>6735</v>
      </c>
      <c r="G3245" s="7" t="s">
        <v>7150</v>
      </c>
      <c r="H3245" s="7" t="s">
        <v>7156</v>
      </c>
      <c r="I3245" s="7"/>
      <c r="J3245" s="10">
        <v>44301</v>
      </c>
      <c r="K3245" s="7" t="s">
        <v>7164</v>
      </c>
      <c r="L3245" s="7"/>
      <c r="M3245" s="7"/>
    </row>
    <row r="3246" spans="1:13" x14ac:dyDescent="0.3">
      <c r="A3246" s="7">
        <v>17022</v>
      </c>
      <c r="B3246" s="7" t="s">
        <v>3254</v>
      </c>
      <c r="C3246" s="7" t="s">
        <v>6322</v>
      </c>
      <c r="D3246" s="7" t="s">
        <v>6738</v>
      </c>
      <c r="E3246" s="7" t="s">
        <v>6295</v>
      </c>
      <c r="F3246" s="7" t="s">
        <v>6735</v>
      </c>
      <c r="G3246" s="7" t="s">
        <v>7150</v>
      </c>
      <c r="H3246" s="7" t="s">
        <v>7156</v>
      </c>
      <c r="I3246" s="7"/>
      <c r="J3246" s="10">
        <v>45622</v>
      </c>
      <c r="K3246" s="7" t="s">
        <v>7164</v>
      </c>
      <c r="L3246" s="7"/>
      <c r="M3246" s="7"/>
    </row>
    <row r="3247" spans="1:13" x14ac:dyDescent="0.3">
      <c r="A3247" s="7">
        <v>18999</v>
      </c>
      <c r="B3247" s="7" t="s">
        <v>3255</v>
      </c>
      <c r="C3247" s="7" t="s">
        <v>6322</v>
      </c>
      <c r="D3247" s="7" t="s">
        <v>6738</v>
      </c>
      <c r="E3247" s="7" t="s">
        <v>6295</v>
      </c>
      <c r="F3247" s="7" t="s">
        <v>6735</v>
      </c>
      <c r="G3247" s="7" t="s">
        <v>7150</v>
      </c>
      <c r="H3247" s="7" t="s">
        <v>7156</v>
      </c>
      <c r="I3247" s="7"/>
      <c r="J3247" s="10">
        <v>46253</v>
      </c>
      <c r="K3247" s="7" t="s">
        <v>7164</v>
      </c>
      <c r="L3247" s="7"/>
      <c r="M3247" s="7"/>
    </row>
    <row r="3248" spans="1:13" x14ac:dyDescent="0.3">
      <c r="A3248" s="7">
        <v>17377</v>
      </c>
      <c r="B3248" s="7" t="s">
        <v>3256</v>
      </c>
      <c r="C3248" s="7" t="s">
        <v>6327</v>
      </c>
      <c r="D3248" s="7" t="s">
        <v>6738</v>
      </c>
      <c r="E3248" s="7" t="s">
        <v>6295</v>
      </c>
      <c r="F3248" s="7" t="s">
        <v>6735</v>
      </c>
      <c r="G3248" s="7" t="s">
        <v>7150</v>
      </c>
      <c r="H3248" s="7" t="s">
        <v>7156</v>
      </c>
      <c r="I3248" s="7"/>
      <c r="J3248" s="10">
        <v>45749</v>
      </c>
      <c r="K3248" s="7" t="s">
        <v>7164</v>
      </c>
      <c r="L3248" s="7"/>
      <c r="M3248" s="7"/>
    </row>
    <row r="3249" spans="1:13" x14ac:dyDescent="0.3">
      <c r="A3249" s="7">
        <v>16384</v>
      </c>
      <c r="B3249" s="7" t="s">
        <v>3257</v>
      </c>
      <c r="C3249" s="7" t="s">
        <v>6327</v>
      </c>
      <c r="D3249" s="7" t="s">
        <v>6738</v>
      </c>
      <c r="E3249" s="7" t="s">
        <v>6295</v>
      </c>
      <c r="F3249" s="7" t="s">
        <v>6735</v>
      </c>
      <c r="G3249" s="7" t="s">
        <v>7150</v>
      </c>
      <c r="H3249" s="7" t="s">
        <v>7156</v>
      </c>
      <c r="I3249" s="7"/>
      <c r="J3249" s="10">
        <v>45384</v>
      </c>
      <c r="K3249" s="7" t="s">
        <v>7164</v>
      </c>
      <c r="L3249" s="7"/>
      <c r="M3249" s="7"/>
    </row>
    <row r="3250" spans="1:13" x14ac:dyDescent="0.3">
      <c r="A3250" s="7">
        <v>18511</v>
      </c>
      <c r="B3250" s="7" t="s">
        <v>3258</v>
      </c>
      <c r="C3250" s="7" t="s">
        <v>6327</v>
      </c>
      <c r="D3250" s="7" t="s">
        <v>6738</v>
      </c>
      <c r="E3250" s="7" t="s">
        <v>6295</v>
      </c>
      <c r="F3250" s="7" t="s">
        <v>6735</v>
      </c>
      <c r="G3250" s="7" t="s">
        <v>7150</v>
      </c>
      <c r="H3250" s="7" t="s">
        <v>7156</v>
      </c>
      <c r="I3250" s="7"/>
      <c r="J3250" s="10">
        <v>46146</v>
      </c>
      <c r="K3250" s="7" t="s">
        <v>7164</v>
      </c>
      <c r="L3250" s="7"/>
      <c r="M3250" s="7"/>
    </row>
    <row r="3251" spans="1:13" x14ac:dyDescent="0.3">
      <c r="A3251" s="7">
        <v>18550</v>
      </c>
      <c r="B3251" s="7" t="s">
        <v>3259</v>
      </c>
      <c r="C3251" s="7" t="s">
        <v>6327</v>
      </c>
      <c r="D3251" s="7" t="s">
        <v>6738</v>
      </c>
      <c r="E3251" s="7" t="s">
        <v>6295</v>
      </c>
      <c r="F3251" s="7" t="s">
        <v>6735</v>
      </c>
      <c r="G3251" s="7" t="s">
        <v>7150</v>
      </c>
      <c r="H3251" s="7" t="s">
        <v>7156</v>
      </c>
      <c r="I3251" s="7"/>
      <c r="J3251" s="10">
        <v>46160</v>
      </c>
      <c r="K3251" s="7" t="s">
        <v>7164</v>
      </c>
      <c r="L3251" s="7"/>
      <c r="M3251" s="7"/>
    </row>
    <row r="3252" spans="1:13" x14ac:dyDescent="0.3">
      <c r="A3252" s="7">
        <v>16394</v>
      </c>
      <c r="B3252" s="7" t="s">
        <v>3260</v>
      </c>
      <c r="C3252" s="7" t="s">
        <v>6327</v>
      </c>
      <c r="D3252" s="7" t="s">
        <v>6738</v>
      </c>
      <c r="E3252" s="7" t="s">
        <v>6295</v>
      </c>
      <c r="F3252" s="7" t="s">
        <v>6735</v>
      </c>
      <c r="G3252" s="7" t="s">
        <v>7150</v>
      </c>
      <c r="H3252" s="7" t="s">
        <v>7156</v>
      </c>
      <c r="I3252" s="7"/>
      <c r="J3252" s="10">
        <v>45383</v>
      </c>
      <c r="K3252" s="7" t="s">
        <v>7164</v>
      </c>
      <c r="L3252" s="7"/>
      <c r="M3252" s="7"/>
    </row>
    <row r="3253" spans="1:13" x14ac:dyDescent="0.3">
      <c r="A3253" s="7">
        <v>14726</v>
      </c>
      <c r="B3253" s="7" t="s">
        <v>3261</v>
      </c>
      <c r="C3253" s="7" t="s">
        <v>6322</v>
      </c>
      <c r="D3253" s="7" t="s">
        <v>6738</v>
      </c>
      <c r="E3253" s="7" t="s">
        <v>6295</v>
      </c>
      <c r="F3253" s="7" t="s">
        <v>6735</v>
      </c>
      <c r="G3253" s="7" t="s">
        <v>7150</v>
      </c>
      <c r="H3253" s="7" t="s">
        <v>7156</v>
      </c>
      <c r="I3253" s="7"/>
      <c r="J3253" s="10">
        <v>44840</v>
      </c>
      <c r="K3253" s="7" t="s">
        <v>7164</v>
      </c>
      <c r="L3253" s="7"/>
      <c r="M3253" s="7"/>
    </row>
    <row r="3254" spans="1:13" x14ac:dyDescent="0.3">
      <c r="A3254" s="7">
        <v>18350</v>
      </c>
      <c r="B3254" s="7" t="s">
        <v>3262</v>
      </c>
      <c r="C3254" s="7" t="s">
        <v>6322</v>
      </c>
      <c r="D3254" s="7" t="s">
        <v>6738</v>
      </c>
      <c r="E3254" s="7" t="s">
        <v>6295</v>
      </c>
      <c r="F3254" s="7" t="s">
        <v>6735</v>
      </c>
      <c r="G3254" s="7" t="s">
        <v>7150</v>
      </c>
      <c r="H3254" s="7" t="s">
        <v>7156</v>
      </c>
      <c r="I3254" s="7"/>
      <c r="J3254" s="10">
        <v>46098</v>
      </c>
      <c r="K3254" s="7" t="s">
        <v>7164</v>
      </c>
      <c r="L3254" s="7"/>
      <c r="M3254" s="7"/>
    </row>
    <row r="3255" spans="1:13" x14ac:dyDescent="0.3">
      <c r="A3255" s="7">
        <v>16322</v>
      </c>
      <c r="B3255" s="7" t="s">
        <v>3263</v>
      </c>
      <c r="C3255" s="7" t="s">
        <v>6646</v>
      </c>
      <c r="D3255" s="7" t="s">
        <v>6708</v>
      </c>
      <c r="E3255" s="7" t="s">
        <v>6295</v>
      </c>
      <c r="F3255" s="7" t="s">
        <v>6739</v>
      </c>
      <c r="G3255" s="7" t="s">
        <v>7150</v>
      </c>
      <c r="H3255" s="7" t="s">
        <v>7156</v>
      </c>
      <c r="I3255" s="7"/>
      <c r="J3255" s="10">
        <v>45349</v>
      </c>
      <c r="K3255" s="7" t="s">
        <v>7164</v>
      </c>
      <c r="L3255" s="7"/>
      <c r="M3255" s="7"/>
    </row>
    <row r="3256" spans="1:13" x14ac:dyDescent="0.3">
      <c r="A3256" s="7">
        <v>16246</v>
      </c>
      <c r="B3256" s="7" t="s">
        <v>3264</v>
      </c>
      <c r="C3256" s="7" t="s">
        <v>6646</v>
      </c>
      <c r="D3256" s="7" t="s">
        <v>6708</v>
      </c>
      <c r="E3256" s="7" t="s">
        <v>6295</v>
      </c>
      <c r="F3256" s="7" t="s">
        <v>6739</v>
      </c>
      <c r="G3256" s="7" t="s">
        <v>7150</v>
      </c>
      <c r="H3256" s="7" t="s">
        <v>7156</v>
      </c>
      <c r="I3256" s="7"/>
      <c r="J3256" s="10">
        <v>45335</v>
      </c>
      <c r="K3256" s="7" t="s">
        <v>7164</v>
      </c>
      <c r="L3256" s="7"/>
      <c r="M3256" s="7"/>
    </row>
    <row r="3257" spans="1:13" x14ac:dyDescent="0.3">
      <c r="A3257" s="7">
        <v>18207</v>
      </c>
      <c r="B3257" s="7" t="s">
        <v>3265</v>
      </c>
      <c r="C3257" s="7" t="s">
        <v>6327</v>
      </c>
      <c r="D3257" s="7" t="s">
        <v>6738</v>
      </c>
      <c r="E3257" s="7" t="s">
        <v>6295</v>
      </c>
      <c r="F3257" s="7" t="s">
        <v>6744</v>
      </c>
      <c r="G3257" s="7" t="s">
        <v>7150</v>
      </c>
      <c r="H3257" s="7" t="s">
        <v>7156</v>
      </c>
      <c r="I3257" s="7"/>
      <c r="J3257" s="10">
        <v>46055</v>
      </c>
      <c r="K3257" s="7" t="s">
        <v>7164</v>
      </c>
      <c r="L3257" s="7"/>
      <c r="M3257" s="7"/>
    </row>
    <row r="3258" spans="1:13" x14ac:dyDescent="0.3">
      <c r="A3258" s="7">
        <v>15109</v>
      </c>
      <c r="B3258" s="7" t="s">
        <v>3266</v>
      </c>
      <c r="C3258" s="7" t="s">
        <v>6322</v>
      </c>
      <c r="D3258" s="7" t="s">
        <v>6738</v>
      </c>
      <c r="E3258" s="7" t="s">
        <v>6295</v>
      </c>
      <c r="F3258" s="7" t="s">
        <v>6735</v>
      </c>
      <c r="G3258" s="7" t="s">
        <v>7150</v>
      </c>
      <c r="H3258" s="7" t="s">
        <v>7156</v>
      </c>
      <c r="I3258" s="7"/>
      <c r="J3258" s="10">
        <v>44952</v>
      </c>
      <c r="K3258" s="7" t="s">
        <v>7164</v>
      </c>
      <c r="L3258" s="7"/>
      <c r="M3258" s="7"/>
    </row>
    <row r="3259" spans="1:13" x14ac:dyDescent="0.3">
      <c r="A3259" s="7">
        <v>14086</v>
      </c>
      <c r="B3259" s="7" t="s">
        <v>3267</v>
      </c>
      <c r="C3259" s="7" t="s">
        <v>6322</v>
      </c>
      <c r="D3259" s="7" t="s">
        <v>6738</v>
      </c>
      <c r="E3259" s="7" t="s">
        <v>6295</v>
      </c>
      <c r="F3259" s="7" t="s">
        <v>6735</v>
      </c>
      <c r="G3259" s="7" t="s">
        <v>7150</v>
      </c>
      <c r="H3259" s="7" t="s">
        <v>7156</v>
      </c>
      <c r="I3259" s="7"/>
      <c r="J3259" s="10">
        <v>44655</v>
      </c>
      <c r="K3259" s="7" t="s">
        <v>7164</v>
      </c>
      <c r="L3259" s="7"/>
      <c r="M3259" s="7"/>
    </row>
    <row r="3260" spans="1:13" x14ac:dyDescent="0.3">
      <c r="A3260" s="7">
        <v>16023</v>
      </c>
      <c r="B3260" s="7" t="s">
        <v>3268</v>
      </c>
      <c r="C3260" s="7" t="s">
        <v>6327</v>
      </c>
      <c r="D3260" s="7" t="s">
        <v>6738</v>
      </c>
      <c r="E3260" s="7" t="s">
        <v>6295</v>
      </c>
      <c r="F3260" s="7" t="s">
        <v>6712</v>
      </c>
      <c r="G3260" s="7" t="s">
        <v>7150</v>
      </c>
      <c r="H3260" s="7" t="s">
        <v>7156</v>
      </c>
      <c r="I3260" s="7"/>
      <c r="J3260" s="10">
        <v>45267</v>
      </c>
      <c r="K3260" s="7" t="s">
        <v>7164</v>
      </c>
      <c r="L3260" s="7"/>
      <c r="M3260" s="7"/>
    </row>
    <row r="3261" spans="1:13" x14ac:dyDescent="0.3">
      <c r="A3261" s="7">
        <v>17370</v>
      </c>
      <c r="B3261" s="7" t="s">
        <v>3269</v>
      </c>
      <c r="C3261" s="7" t="s">
        <v>6646</v>
      </c>
      <c r="D3261" s="7" t="s">
        <v>6708</v>
      </c>
      <c r="E3261" s="7" t="s">
        <v>6295</v>
      </c>
      <c r="F3261" s="7" t="s">
        <v>6735</v>
      </c>
      <c r="G3261" s="7" t="s">
        <v>7150</v>
      </c>
      <c r="H3261" s="7" t="s">
        <v>7156</v>
      </c>
      <c r="I3261" s="7"/>
      <c r="J3261" s="10">
        <v>45729</v>
      </c>
      <c r="K3261" s="7" t="s">
        <v>7164</v>
      </c>
      <c r="L3261" s="7"/>
      <c r="M3261" s="7"/>
    </row>
    <row r="3262" spans="1:13" x14ac:dyDescent="0.3">
      <c r="A3262" s="7">
        <v>18884</v>
      </c>
      <c r="B3262" s="7" t="s">
        <v>3270</v>
      </c>
      <c r="C3262" s="7" t="s">
        <v>6646</v>
      </c>
      <c r="D3262" s="7" t="s">
        <v>6708</v>
      </c>
      <c r="E3262" s="7" t="s">
        <v>6295</v>
      </c>
      <c r="F3262" s="7" t="s">
        <v>6735</v>
      </c>
      <c r="G3262" s="7" t="s">
        <v>7150</v>
      </c>
      <c r="H3262" s="7" t="s">
        <v>7156</v>
      </c>
      <c r="I3262" s="7"/>
      <c r="J3262" s="10">
        <v>46226</v>
      </c>
      <c r="K3262" s="7" t="s">
        <v>7164</v>
      </c>
      <c r="L3262" s="7"/>
      <c r="M3262" s="7"/>
    </row>
    <row r="3263" spans="1:13" x14ac:dyDescent="0.3">
      <c r="A3263" s="7">
        <v>18595</v>
      </c>
      <c r="B3263" s="7" t="s">
        <v>3271</v>
      </c>
      <c r="C3263" s="7" t="s">
        <v>6646</v>
      </c>
      <c r="D3263" s="7" t="s">
        <v>6708</v>
      </c>
      <c r="E3263" s="7" t="s">
        <v>6295</v>
      </c>
      <c r="F3263" s="7" t="s">
        <v>6735</v>
      </c>
      <c r="G3263" s="7" t="s">
        <v>7150</v>
      </c>
      <c r="H3263" s="7" t="s">
        <v>7156</v>
      </c>
      <c r="I3263" s="7"/>
      <c r="J3263" s="10">
        <v>46163</v>
      </c>
      <c r="K3263" s="7" t="s">
        <v>7164</v>
      </c>
      <c r="L3263" s="7"/>
      <c r="M3263" s="7"/>
    </row>
    <row r="3264" spans="1:13" x14ac:dyDescent="0.3">
      <c r="A3264" s="7">
        <v>17765</v>
      </c>
      <c r="B3264" s="7" t="s">
        <v>3272</v>
      </c>
      <c r="C3264" s="7" t="s">
        <v>6327</v>
      </c>
      <c r="D3264" s="7" t="s">
        <v>6738</v>
      </c>
      <c r="E3264" s="7" t="s">
        <v>6295</v>
      </c>
      <c r="F3264" s="7" t="s">
        <v>6735</v>
      </c>
      <c r="G3264" s="7" t="s">
        <v>7150</v>
      </c>
      <c r="H3264" s="7" t="s">
        <v>7156</v>
      </c>
      <c r="I3264" s="7"/>
      <c r="J3264" s="10">
        <v>45873</v>
      </c>
      <c r="K3264" s="7" t="s">
        <v>7164</v>
      </c>
      <c r="L3264" s="7"/>
      <c r="M3264" s="7"/>
    </row>
    <row r="3265" spans="1:13" x14ac:dyDescent="0.3">
      <c r="A3265" s="7">
        <v>17766</v>
      </c>
      <c r="B3265" s="7" t="s">
        <v>3273</v>
      </c>
      <c r="C3265" s="7" t="s">
        <v>6327</v>
      </c>
      <c r="D3265" s="7" t="s">
        <v>6738</v>
      </c>
      <c r="E3265" s="7" t="s">
        <v>6295</v>
      </c>
      <c r="F3265" s="7" t="s">
        <v>6735</v>
      </c>
      <c r="G3265" s="7" t="s">
        <v>7150</v>
      </c>
      <c r="H3265" s="7" t="s">
        <v>7156</v>
      </c>
      <c r="I3265" s="7"/>
      <c r="J3265" s="10">
        <v>45873</v>
      </c>
      <c r="K3265" s="7" t="s">
        <v>7164</v>
      </c>
      <c r="L3265" s="7"/>
      <c r="M3265" s="7"/>
    </row>
    <row r="3266" spans="1:13" x14ac:dyDescent="0.3">
      <c r="A3266" s="7">
        <v>18837</v>
      </c>
      <c r="B3266" s="7" t="s">
        <v>3274</v>
      </c>
      <c r="C3266" s="7" t="s">
        <v>6327</v>
      </c>
      <c r="D3266" s="7" t="s">
        <v>6738</v>
      </c>
      <c r="E3266" s="7" t="s">
        <v>6295</v>
      </c>
      <c r="F3266" s="7" t="s">
        <v>6735</v>
      </c>
      <c r="G3266" s="7" t="s">
        <v>7150</v>
      </c>
      <c r="H3266" s="7" t="s">
        <v>7156</v>
      </c>
      <c r="I3266" s="7"/>
      <c r="J3266" s="10">
        <v>46224</v>
      </c>
      <c r="K3266" s="7" t="s">
        <v>7164</v>
      </c>
      <c r="L3266" s="7"/>
      <c r="M3266" s="7"/>
    </row>
    <row r="3267" spans="1:13" x14ac:dyDescent="0.3">
      <c r="A3267" s="7">
        <v>12235</v>
      </c>
      <c r="B3267" s="7" t="s">
        <v>3275</v>
      </c>
      <c r="C3267" s="7" t="s">
        <v>6646</v>
      </c>
      <c r="D3267" s="7" t="s">
        <v>6708</v>
      </c>
      <c r="E3267" s="7" t="s">
        <v>6295</v>
      </c>
      <c r="F3267" s="7" t="s">
        <v>6735</v>
      </c>
      <c r="G3267" s="7" t="s">
        <v>7151</v>
      </c>
      <c r="H3267" s="7" t="s">
        <v>7156</v>
      </c>
      <c r="I3267" s="7"/>
      <c r="J3267" s="10">
        <v>43623</v>
      </c>
      <c r="K3267" s="7" t="s">
        <v>7164</v>
      </c>
      <c r="L3267" s="7"/>
      <c r="M3267" s="7"/>
    </row>
    <row r="3268" spans="1:13" x14ac:dyDescent="0.3">
      <c r="A3268" s="7">
        <v>18363</v>
      </c>
      <c r="B3268" s="7" t="s">
        <v>3276</v>
      </c>
      <c r="C3268" s="7" t="s">
        <v>6646</v>
      </c>
      <c r="D3268" s="7" t="s">
        <v>6708</v>
      </c>
      <c r="E3268" s="7" t="s">
        <v>6295</v>
      </c>
      <c r="F3268" s="7" t="s">
        <v>6743</v>
      </c>
      <c r="G3268" s="7" t="s">
        <v>7150</v>
      </c>
      <c r="H3268" s="7" t="s">
        <v>7157</v>
      </c>
      <c r="I3268" s="7"/>
      <c r="J3268" s="10">
        <v>46113</v>
      </c>
      <c r="K3268" s="7" t="s">
        <v>7164</v>
      </c>
      <c r="L3268" s="7"/>
      <c r="M3268" s="7"/>
    </row>
    <row r="3269" spans="1:13" x14ac:dyDescent="0.3">
      <c r="A3269" s="7">
        <v>17669</v>
      </c>
      <c r="B3269" s="7" t="s">
        <v>3277</v>
      </c>
      <c r="C3269" s="7" t="s">
        <v>6646</v>
      </c>
      <c r="D3269" s="7" t="s">
        <v>6708</v>
      </c>
      <c r="E3269" s="7" t="s">
        <v>6295</v>
      </c>
      <c r="F3269" s="7" t="s">
        <v>6735</v>
      </c>
      <c r="G3269" s="7" t="s">
        <v>7150</v>
      </c>
      <c r="H3269" s="7" t="s">
        <v>7156</v>
      </c>
      <c r="I3269" s="7"/>
      <c r="J3269" s="10">
        <v>45839</v>
      </c>
      <c r="K3269" s="7" t="s">
        <v>7164</v>
      </c>
      <c r="L3269" s="7"/>
      <c r="M3269" s="7"/>
    </row>
    <row r="3270" spans="1:13" x14ac:dyDescent="0.3">
      <c r="A3270" s="7">
        <v>17681</v>
      </c>
      <c r="B3270" s="7" t="s">
        <v>3278</v>
      </c>
      <c r="C3270" s="7" t="s">
        <v>6646</v>
      </c>
      <c r="D3270" s="7" t="s">
        <v>6708</v>
      </c>
      <c r="E3270" s="7" t="s">
        <v>6295</v>
      </c>
      <c r="F3270" s="7" t="s">
        <v>6735</v>
      </c>
      <c r="G3270" s="7" t="s">
        <v>7150</v>
      </c>
      <c r="H3270" s="7" t="s">
        <v>7156</v>
      </c>
      <c r="I3270" s="7"/>
      <c r="J3270" s="10">
        <v>45839</v>
      </c>
      <c r="K3270" s="7" t="s">
        <v>7164</v>
      </c>
      <c r="L3270" s="7"/>
      <c r="M3270" s="7"/>
    </row>
    <row r="3271" spans="1:13" x14ac:dyDescent="0.3">
      <c r="A3271" s="7">
        <v>17671</v>
      </c>
      <c r="B3271" s="7" t="s">
        <v>3279</v>
      </c>
      <c r="C3271" s="7" t="s">
        <v>6646</v>
      </c>
      <c r="D3271" s="7" t="s">
        <v>6708</v>
      </c>
      <c r="E3271" s="7" t="s">
        <v>6295</v>
      </c>
      <c r="F3271" s="7" t="s">
        <v>6735</v>
      </c>
      <c r="G3271" s="7" t="s">
        <v>7150</v>
      </c>
      <c r="H3271" s="7" t="s">
        <v>7156</v>
      </c>
      <c r="I3271" s="7"/>
      <c r="J3271" s="10">
        <v>45840</v>
      </c>
      <c r="K3271" s="7" t="s">
        <v>7164</v>
      </c>
      <c r="L3271" s="7"/>
      <c r="M3271" s="7"/>
    </row>
    <row r="3272" spans="1:13" x14ac:dyDescent="0.3">
      <c r="A3272" s="7">
        <v>17728</v>
      </c>
      <c r="B3272" s="7" t="s">
        <v>3280</v>
      </c>
      <c r="C3272" s="7" t="s">
        <v>6327</v>
      </c>
      <c r="D3272" s="7" t="s">
        <v>6738</v>
      </c>
      <c r="E3272" s="7" t="s">
        <v>6295</v>
      </c>
      <c r="F3272" s="7" t="s">
        <v>6735</v>
      </c>
      <c r="G3272" s="7" t="s">
        <v>7150</v>
      </c>
      <c r="H3272" s="7" t="s">
        <v>7156</v>
      </c>
      <c r="I3272" s="7"/>
      <c r="J3272" s="10">
        <v>45855</v>
      </c>
      <c r="K3272" s="7" t="s">
        <v>7164</v>
      </c>
      <c r="L3272" s="7"/>
      <c r="M3272" s="7"/>
    </row>
    <row r="3273" spans="1:13" x14ac:dyDescent="0.3">
      <c r="A3273" s="7">
        <v>15843</v>
      </c>
      <c r="B3273" s="7" t="s">
        <v>3281</v>
      </c>
      <c r="C3273" s="7" t="s">
        <v>6327</v>
      </c>
      <c r="D3273" s="7" t="s">
        <v>6738</v>
      </c>
      <c r="E3273" s="7" t="s">
        <v>6295</v>
      </c>
      <c r="F3273" s="7" t="s">
        <v>6735</v>
      </c>
      <c r="G3273" s="7" t="s">
        <v>7150</v>
      </c>
      <c r="H3273" s="7" t="s">
        <v>7156</v>
      </c>
      <c r="I3273" s="7"/>
      <c r="J3273" s="10">
        <v>45211</v>
      </c>
      <c r="K3273" s="7" t="s">
        <v>7164</v>
      </c>
      <c r="L3273" s="7"/>
      <c r="M3273" s="7"/>
    </row>
    <row r="3274" spans="1:13" x14ac:dyDescent="0.3">
      <c r="A3274" s="7">
        <v>18933</v>
      </c>
      <c r="B3274" s="7" t="s">
        <v>3282</v>
      </c>
      <c r="C3274" s="7" t="s">
        <v>6327</v>
      </c>
      <c r="D3274" s="7" t="s">
        <v>6738</v>
      </c>
      <c r="E3274" s="7" t="s">
        <v>6295</v>
      </c>
      <c r="F3274" s="7" t="s">
        <v>6735</v>
      </c>
      <c r="G3274" s="7" t="s">
        <v>7150</v>
      </c>
      <c r="H3274" s="7" t="s">
        <v>7156</v>
      </c>
      <c r="I3274" s="7"/>
      <c r="J3274" s="10">
        <v>46245</v>
      </c>
      <c r="K3274" s="7" t="s">
        <v>7164</v>
      </c>
      <c r="L3274" s="7"/>
      <c r="M3274" s="7"/>
    </row>
    <row r="3275" spans="1:13" x14ac:dyDescent="0.3">
      <c r="A3275" s="7">
        <v>17534</v>
      </c>
      <c r="B3275" s="7" t="s">
        <v>3283</v>
      </c>
      <c r="C3275" s="7" t="s">
        <v>6327</v>
      </c>
      <c r="D3275" s="7" t="s">
        <v>6738</v>
      </c>
      <c r="E3275" s="7" t="s">
        <v>6295</v>
      </c>
      <c r="F3275" s="7" t="s">
        <v>6735</v>
      </c>
      <c r="G3275" s="7" t="s">
        <v>7150</v>
      </c>
      <c r="H3275" s="7" t="s">
        <v>7156</v>
      </c>
      <c r="I3275" s="7"/>
      <c r="J3275" s="10">
        <v>45782</v>
      </c>
      <c r="K3275" s="7" t="s">
        <v>7164</v>
      </c>
      <c r="L3275" s="7"/>
      <c r="M3275" s="7"/>
    </row>
    <row r="3276" spans="1:13" x14ac:dyDescent="0.3">
      <c r="A3276" s="7">
        <v>19183</v>
      </c>
      <c r="B3276" s="7" t="s">
        <v>3284</v>
      </c>
      <c r="C3276" s="7" t="s">
        <v>6327</v>
      </c>
      <c r="D3276" s="7" t="s">
        <v>6738</v>
      </c>
      <c r="E3276" s="7" t="s">
        <v>6295</v>
      </c>
      <c r="F3276" s="7" t="s">
        <v>6735</v>
      </c>
      <c r="G3276" s="7" t="s">
        <v>7150</v>
      </c>
      <c r="H3276" s="7" t="s">
        <v>7156</v>
      </c>
      <c r="I3276" s="7"/>
      <c r="J3276" s="10">
        <v>46279</v>
      </c>
      <c r="K3276" s="7" t="s">
        <v>7164</v>
      </c>
      <c r="L3276" s="7"/>
      <c r="M3276" s="7"/>
    </row>
    <row r="3277" spans="1:13" x14ac:dyDescent="0.3">
      <c r="A3277" s="7">
        <v>18975</v>
      </c>
      <c r="B3277" s="7" t="s">
        <v>3285</v>
      </c>
      <c r="C3277" s="7" t="s">
        <v>6327</v>
      </c>
      <c r="D3277" s="7" t="s">
        <v>6738</v>
      </c>
      <c r="E3277" s="7" t="s">
        <v>6295</v>
      </c>
      <c r="F3277" s="7" t="s">
        <v>6735</v>
      </c>
      <c r="G3277" s="7" t="s">
        <v>7150</v>
      </c>
      <c r="H3277" s="7" t="s">
        <v>7156</v>
      </c>
      <c r="I3277" s="7"/>
      <c r="J3277" s="10">
        <v>46254</v>
      </c>
      <c r="K3277" s="7" t="s">
        <v>7164</v>
      </c>
      <c r="L3277" s="7"/>
      <c r="M3277" s="7"/>
    </row>
    <row r="3278" spans="1:13" x14ac:dyDescent="0.3">
      <c r="A3278" s="7">
        <v>18428</v>
      </c>
      <c r="B3278" s="7" t="s">
        <v>3286</v>
      </c>
      <c r="C3278" s="7" t="s">
        <v>6322</v>
      </c>
      <c r="D3278" s="7" t="s">
        <v>6738</v>
      </c>
      <c r="E3278" s="7" t="s">
        <v>6295</v>
      </c>
      <c r="F3278" s="7" t="s">
        <v>6735</v>
      </c>
      <c r="G3278" s="7" t="s">
        <v>7150</v>
      </c>
      <c r="H3278" s="7" t="s">
        <v>7156</v>
      </c>
      <c r="I3278" s="7"/>
      <c r="J3278" s="10">
        <v>46128</v>
      </c>
      <c r="K3278" s="7" t="s">
        <v>7164</v>
      </c>
      <c r="L3278" s="7"/>
      <c r="M3278" s="7"/>
    </row>
    <row r="3279" spans="1:13" x14ac:dyDescent="0.3">
      <c r="A3279" s="7">
        <v>18797</v>
      </c>
      <c r="B3279" s="7" t="s">
        <v>3287</v>
      </c>
      <c r="C3279" s="7" t="s">
        <v>6322</v>
      </c>
      <c r="D3279" s="7" t="s">
        <v>6738</v>
      </c>
      <c r="E3279" s="7" t="s">
        <v>6295</v>
      </c>
      <c r="F3279" s="7" t="s">
        <v>6735</v>
      </c>
      <c r="G3279" s="7" t="s">
        <v>7150</v>
      </c>
      <c r="H3279" s="7" t="s">
        <v>7156</v>
      </c>
      <c r="I3279" s="7"/>
      <c r="J3279" s="10">
        <v>46213</v>
      </c>
      <c r="K3279" s="7" t="s">
        <v>7164</v>
      </c>
      <c r="L3279" s="7"/>
      <c r="M3279" s="7"/>
    </row>
    <row r="3280" spans="1:13" x14ac:dyDescent="0.3">
      <c r="A3280" s="7">
        <v>12463</v>
      </c>
      <c r="B3280" s="7" t="s">
        <v>3288</v>
      </c>
      <c r="C3280" s="7" t="s">
        <v>6646</v>
      </c>
      <c r="D3280" s="7" t="s">
        <v>6708</v>
      </c>
      <c r="E3280" s="7" t="s">
        <v>6295</v>
      </c>
      <c r="F3280" s="7" t="s">
        <v>6735</v>
      </c>
      <c r="G3280" s="7" t="s">
        <v>7150</v>
      </c>
      <c r="H3280" s="7" t="s">
        <v>7156</v>
      </c>
      <c r="I3280" s="7"/>
      <c r="J3280" s="10">
        <v>43759</v>
      </c>
      <c r="K3280" s="7" t="s">
        <v>7164</v>
      </c>
      <c r="L3280" s="7"/>
      <c r="M3280" s="7"/>
    </row>
    <row r="3281" spans="1:13" x14ac:dyDescent="0.3">
      <c r="A3281" s="7">
        <v>17996</v>
      </c>
      <c r="B3281" s="7" t="s">
        <v>3289</v>
      </c>
      <c r="C3281" s="7" t="s">
        <v>6322</v>
      </c>
      <c r="D3281" s="7" t="s">
        <v>6738</v>
      </c>
      <c r="E3281" s="7" t="s">
        <v>6295</v>
      </c>
      <c r="F3281" s="7" t="s">
        <v>6735</v>
      </c>
      <c r="G3281" s="7" t="s">
        <v>7150</v>
      </c>
      <c r="H3281" s="7" t="s">
        <v>7156</v>
      </c>
      <c r="I3281" s="7"/>
      <c r="J3281" s="10">
        <v>45952</v>
      </c>
      <c r="K3281" s="7" t="s">
        <v>7164</v>
      </c>
      <c r="L3281" s="7"/>
      <c r="M3281" s="7"/>
    </row>
    <row r="3282" spans="1:13" x14ac:dyDescent="0.3">
      <c r="A3282" s="7">
        <v>17233</v>
      </c>
      <c r="B3282" s="7" t="s">
        <v>3290</v>
      </c>
      <c r="C3282" s="7" t="s">
        <v>6322</v>
      </c>
      <c r="D3282" s="7" t="s">
        <v>6738</v>
      </c>
      <c r="E3282" s="7" t="s">
        <v>6295</v>
      </c>
      <c r="F3282" s="7" t="s">
        <v>6735</v>
      </c>
      <c r="G3282" s="7" t="s">
        <v>7150</v>
      </c>
      <c r="H3282" s="7" t="s">
        <v>7156</v>
      </c>
      <c r="I3282" s="7"/>
      <c r="J3282" s="10">
        <v>45678</v>
      </c>
      <c r="K3282" s="7" t="s">
        <v>7164</v>
      </c>
      <c r="L3282" s="7"/>
      <c r="M3282" s="7"/>
    </row>
    <row r="3283" spans="1:13" x14ac:dyDescent="0.3">
      <c r="A3283" s="7">
        <v>17529</v>
      </c>
      <c r="B3283" s="7" t="s">
        <v>3291</v>
      </c>
      <c r="C3283" s="7" t="s">
        <v>6327</v>
      </c>
      <c r="D3283" s="7" t="s">
        <v>6738</v>
      </c>
      <c r="E3283" s="7" t="s">
        <v>6295</v>
      </c>
      <c r="F3283" s="7" t="s">
        <v>6735</v>
      </c>
      <c r="G3283" s="7" t="s">
        <v>7150</v>
      </c>
      <c r="H3283" s="7" t="s">
        <v>7156</v>
      </c>
      <c r="I3283" s="7"/>
      <c r="J3283" s="10">
        <v>45783</v>
      </c>
      <c r="K3283" s="7" t="s">
        <v>7164</v>
      </c>
      <c r="L3283" s="7"/>
      <c r="M3283" s="7"/>
    </row>
    <row r="3284" spans="1:13" x14ac:dyDescent="0.3">
      <c r="A3284" s="7">
        <v>18330</v>
      </c>
      <c r="B3284" s="7" t="s">
        <v>3292</v>
      </c>
      <c r="C3284" s="7" t="s">
        <v>6327</v>
      </c>
      <c r="D3284" s="7" t="s">
        <v>6738</v>
      </c>
      <c r="E3284" s="7" t="s">
        <v>6295</v>
      </c>
      <c r="F3284" s="7" t="s">
        <v>6735</v>
      </c>
      <c r="G3284" s="7" t="s">
        <v>7150</v>
      </c>
      <c r="H3284" s="7" t="s">
        <v>7156</v>
      </c>
      <c r="I3284" s="7"/>
      <c r="J3284" s="10">
        <v>46092</v>
      </c>
      <c r="K3284" s="7" t="s">
        <v>7164</v>
      </c>
      <c r="L3284" s="7"/>
      <c r="M3284" s="7"/>
    </row>
    <row r="3285" spans="1:13" x14ac:dyDescent="0.3">
      <c r="A3285" s="7">
        <v>15936</v>
      </c>
      <c r="B3285" s="7" t="s">
        <v>3293</v>
      </c>
      <c r="C3285" s="7" t="s">
        <v>6646</v>
      </c>
      <c r="D3285" s="7" t="s">
        <v>6708</v>
      </c>
      <c r="E3285" s="7" t="s">
        <v>6295</v>
      </c>
      <c r="F3285" s="7" t="s">
        <v>6735</v>
      </c>
      <c r="G3285" s="7" t="s">
        <v>7150</v>
      </c>
      <c r="H3285" s="7" t="s">
        <v>7156</v>
      </c>
      <c r="I3285" s="7"/>
      <c r="J3285" s="10">
        <v>45244</v>
      </c>
      <c r="K3285" s="7" t="s">
        <v>7164</v>
      </c>
      <c r="L3285" s="7"/>
      <c r="M3285" s="7"/>
    </row>
    <row r="3286" spans="1:13" x14ac:dyDescent="0.3">
      <c r="A3286" s="7">
        <v>11298</v>
      </c>
      <c r="B3286" s="7" t="s">
        <v>3294</v>
      </c>
      <c r="C3286" s="7" t="s">
        <v>6327</v>
      </c>
      <c r="D3286" s="7" t="s">
        <v>6738</v>
      </c>
      <c r="E3286" s="7" t="s">
        <v>6295</v>
      </c>
      <c r="F3286" s="7" t="s">
        <v>6735</v>
      </c>
      <c r="G3286" s="7" t="s">
        <v>7150</v>
      </c>
      <c r="H3286" s="7" t="s">
        <v>7156</v>
      </c>
      <c r="I3286" s="7"/>
      <c r="J3286" s="10">
        <v>42506</v>
      </c>
      <c r="K3286" s="7" t="s">
        <v>7164</v>
      </c>
      <c r="L3286" s="7"/>
      <c r="M3286" s="7"/>
    </row>
    <row r="3287" spans="1:13" x14ac:dyDescent="0.3">
      <c r="A3287" s="7">
        <v>16426</v>
      </c>
      <c r="B3287" s="7" t="s">
        <v>3295</v>
      </c>
      <c r="C3287" s="7" t="s">
        <v>6327</v>
      </c>
      <c r="D3287" s="7" t="s">
        <v>6738</v>
      </c>
      <c r="E3287" s="7" t="s">
        <v>6295</v>
      </c>
      <c r="F3287" s="7" t="s">
        <v>6735</v>
      </c>
      <c r="G3287" s="7" t="s">
        <v>7150</v>
      </c>
      <c r="H3287" s="7" t="s">
        <v>7156</v>
      </c>
      <c r="I3287" s="7"/>
      <c r="J3287" s="10">
        <v>45397</v>
      </c>
      <c r="K3287" s="7" t="s">
        <v>7164</v>
      </c>
      <c r="L3287" s="7"/>
      <c r="M3287" s="7"/>
    </row>
    <row r="3288" spans="1:13" x14ac:dyDescent="0.3">
      <c r="A3288" s="7">
        <v>16206</v>
      </c>
      <c r="B3288" s="7" t="s">
        <v>3296</v>
      </c>
      <c r="C3288" s="7" t="s">
        <v>6646</v>
      </c>
      <c r="D3288" s="7" t="s">
        <v>6708</v>
      </c>
      <c r="E3288" s="7" t="s">
        <v>6295</v>
      </c>
      <c r="F3288" s="7" t="s">
        <v>6735</v>
      </c>
      <c r="G3288" s="7" t="s">
        <v>7150</v>
      </c>
      <c r="H3288" s="7" t="s">
        <v>7156</v>
      </c>
      <c r="I3288" s="7"/>
      <c r="J3288" s="10">
        <v>45317</v>
      </c>
      <c r="K3288" s="7" t="s">
        <v>7164</v>
      </c>
      <c r="L3288" s="7"/>
      <c r="M3288" s="7"/>
    </row>
    <row r="3289" spans="1:13" x14ac:dyDescent="0.3">
      <c r="A3289" s="7">
        <v>16239</v>
      </c>
      <c r="B3289" s="7" t="s">
        <v>3297</v>
      </c>
      <c r="C3289" s="7" t="s">
        <v>6322</v>
      </c>
      <c r="D3289" s="7" t="s">
        <v>6738</v>
      </c>
      <c r="E3289" s="7" t="s">
        <v>6295</v>
      </c>
      <c r="F3289" s="7" t="s">
        <v>6735</v>
      </c>
      <c r="G3289" s="7" t="s">
        <v>7150</v>
      </c>
      <c r="H3289" s="7" t="s">
        <v>7156</v>
      </c>
      <c r="I3289" s="7"/>
      <c r="J3289" s="10">
        <v>45328</v>
      </c>
      <c r="K3289" s="7" t="s">
        <v>7164</v>
      </c>
      <c r="L3289" s="7"/>
      <c r="M3289" s="7"/>
    </row>
    <row r="3290" spans="1:13" x14ac:dyDescent="0.3">
      <c r="A3290" s="7">
        <v>16292</v>
      </c>
      <c r="B3290" s="7" t="s">
        <v>3298</v>
      </c>
      <c r="C3290" s="7" t="s">
        <v>6327</v>
      </c>
      <c r="D3290" s="7" t="s">
        <v>6738</v>
      </c>
      <c r="E3290" s="7" t="s">
        <v>6295</v>
      </c>
      <c r="F3290" s="7" t="s">
        <v>6735</v>
      </c>
      <c r="G3290" s="7" t="s">
        <v>7150</v>
      </c>
      <c r="H3290" s="7" t="s">
        <v>7156</v>
      </c>
      <c r="I3290" s="7"/>
      <c r="J3290" s="10">
        <v>45342</v>
      </c>
      <c r="K3290" s="7" t="s">
        <v>7164</v>
      </c>
      <c r="L3290" s="7"/>
      <c r="M3290" s="7"/>
    </row>
    <row r="3291" spans="1:13" x14ac:dyDescent="0.3">
      <c r="A3291" s="7">
        <v>16299</v>
      </c>
      <c r="B3291" s="7" t="s">
        <v>3299</v>
      </c>
      <c r="C3291" s="7" t="s">
        <v>6322</v>
      </c>
      <c r="D3291" s="7" t="s">
        <v>6738</v>
      </c>
      <c r="E3291" s="7" t="s">
        <v>6295</v>
      </c>
      <c r="F3291" s="7" t="s">
        <v>6735</v>
      </c>
      <c r="G3291" s="7" t="s">
        <v>7152</v>
      </c>
      <c r="H3291" s="7" t="s">
        <v>7156</v>
      </c>
      <c r="I3291" s="7"/>
      <c r="J3291" s="10">
        <v>45345</v>
      </c>
      <c r="K3291" s="7" t="s">
        <v>7164</v>
      </c>
      <c r="L3291" s="7"/>
      <c r="M3291" s="7"/>
    </row>
    <row r="3292" spans="1:13" x14ac:dyDescent="0.3">
      <c r="A3292" s="7">
        <v>16077</v>
      </c>
      <c r="B3292" s="7" t="s">
        <v>3300</v>
      </c>
      <c r="C3292" s="7" t="s">
        <v>6327</v>
      </c>
      <c r="D3292" s="7" t="s">
        <v>6738</v>
      </c>
      <c r="E3292" s="7" t="s">
        <v>6295</v>
      </c>
      <c r="F3292" s="7" t="s">
        <v>6735</v>
      </c>
      <c r="G3292" s="7" t="s">
        <v>7150</v>
      </c>
      <c r="H3292" s="7" t="s">
        <v>7156</v>
      </c>
      <c r="I3292" s="7"/>
      <c r="J3292" s="10">
        <v>45279</v>
      </c>
      <c r="K3292" s="7" t="s">
        <v>7164</v>
      </c>
      <c r="L3292" s="7"/>
      <c r="M3292" s="7"/>
    </row>
    <row r="3293" spans="1:13" x14ac:dyDescent="0.3">
      <c r="A3293" s="7">
        <v>16078</v>
      </c>
      <c r="B3293" s="7" t="s">
        <v>3301</v>
      </c>
      <c r="C3293" s="7" t="s">
        <v>6322</v>
      </c>
      <c r="D3293" s="7" t="s">
        <v>6738</v>
      </c>
      <c r="E3293" s="7" t="s">
        <v>6295</v>
      </c>
      <c r="F3293" s="7" t="s">
        <v>6735</v>
      </c>
      <c r="G3293" s="7" t="s">
        <v>7150</v>
      </c>
      <c r="H3293" s="7" t="s">
        <v>7156</v>
      </c>
      <c r="I3293" s="7"/>
      <c r="J3293" s="10">
        <v>45279</v>
      </c>
      <c r="K3293" s="7" t="s">
        <v>7164</v>
      </c>
      <c r="L3293" s="7"/>
      <c r="M3293" s="7"/>
    </row>
    <row r="3294" spans="1:13" x14ac:dyDescent="0.3">
      <c r="A3294" s="7">
        <v>16082</v>
      </c>
      <c r="B3294" s="7" t="s">
        <v>3302</v>
      </c>
      <c r="C3294" s="7" t="s">
        <v>6322</v>
      </c>
      <c r="D3294" s="7" t="s">
        <v>6738</v>
      </c>
      <c r="E3294" s="7" t="s">
        <v>6295</v>
      </c>
      <c r="F3294" s="7" t="s">
        <v>6735</v>
      </c>
      <c r="G3294" s="7" t="s">
        <v>7150</v>
      </c>
      <c r="H3294" s="7" t="s">
        <v>7156</v>
      </c>
      <c r="I3294" s="7"/>
      <c r="J3294" s="10">
        <v>45279</v>
      </c>
      <c r="K3294" s="7" t="s">
        <v>7164</v>
      </c>
      <c r="L3294" s="7"/>
      <c r="M3294" s="7"/>
    </row>
    <row r="3295" spans="1:13" x14ac:dyDescent="0.3">
      <c r="A3295" s="7">
        <v>17613</v>
      </c>
      <c r="B3295" s="7" t="s">
        <v>3303</v>
      </c>
      <c r="C3295" s="7" t="s">
        <v>6327</v>
      </c>
      <c r="D3295" s="7" t="s">
        <v>6738</v>
      </c>
      <c r="E3295" s="7" t="s">
        <v>6295</v>
      </c>
      <c r="F3295" s="7" t="s">
        <v>6735</v>
      </c>
      <c r="G3295" s="7" t="s">
        <v>7150</v>
      </c>
      <c r="H3295" s="7" t="s">
        <v>7156</v>
      </c>
      <c r="I3295" s="7"/>
      <c r="J3295" s="10">
        <v>45812</v>
      </c>
      <c r="K3295" s="7" t="s">
        <v>7164</v>
      </c>
      <c r="L3295" s="7"/>
      <c r="M3295" s="7"/>
    </row>
    <row r="3296" spans="1:13" x14ac:dyDescent="0.3">
      <c r="A3296" s="7">
        <v>12017</v>
      </c>
      <c r="B3296" s="7" t="s">
        <v>3304</v>
      </c>
      <c r="C3296" s="7" t="s">
        <v>6327</v>
      </c>
      <c r="D3296" s="7" t="s">
        <v>6738</v>
      </c>
      <c r="E3296" s="7" t="s">
        <v>6295</v>
      </c>
      <c r="F3296" s="7" t="s">
        <v>6712</v>
      </c>
      <c r="G3296" s="7" t="s">
        <v>7150</v>
      </c>
      <c r="H3296" s="7" t="s">
        <v>7156</v>
      </c>
      <c r="I3296" s="7"/>
      <c r="J3296" s="10">
        <v>43385</v>
      </c>
      <c r="K3296" s="7" t="s">
        <v>7164</v>
      </c>
      <c r="L3296" s="7"/>
      <c r="M3296" s="7"/>
    </row>
    <row r="3297" spans="1:13" x14ac:dyDescent="0.3">
      <c r="A3297" s="7">
        <v>17896</v>
      </c>
      <c r="B3297" s="7" t="s">
        <v>3305</v>
      </c>
      <c r="C3297" s="7" t="s">
        <v>6327</v>
      </c>
      <c r="D3297" s="7" t="s">
        <v>6738</v>
      </c>
      <c r="E3297" s="7" t="s">
        <v>6295</v>
      </c>
      <c r="F3297" s="7" t="s">
        <v>6735</v>
      </c>
      <c r="G3297" s="7" t="s">
        <v>7150</v>
      </c>
      <c r="H3297" s="7" t="s">
        <v>7156</v>
      </c>
      <c r="I3297" s="7"/>
      <c r="J3297" s="10">
        <v>45915</v>
      </c>
      <c r="K3297" s="7" t="s">
        <v>7164</v>
      </c>
      <c r="L3297" s="7"/>
      <c r="M3297" s="7"/>
    </row>
    <row r="3298" spans="1:13" x14ac:dyDescent="0.3">
      <c r="A3298" s="7">
        <v>18158</v>
      </c>
      <c r="B3298" s="7" t="s">
        <v>3306</v>
      </c>
      <c r="C3298" s="7" t="s">
        <v>6327</v>
      </c>
      <c r="D3298" s="7" t="s">
        <v>6738</v>
      </c>
      <c r="E3298" s="7" t="s">
        <v>6295</v>
      </c>
      <c r="F3298" s="7" t="s">
        <v>6735</v>
      </c>
      <c r="G3298" s="7" t="s">
        <v>7150</v>
      </c>
      <c r="H3298" s="7" t="s">
        <v>7156</v>
      </c>
      <c r="I3298" s="7"/>
      <c r="J3298" s="10">
        <v>46028</v>
      </c>
      <c r="K3298" s="7" t="s">
        <v>7164</v>
      </c>
      <c r="L3298" s="7"/>
      <c r="M3298" s="7"/>
    </row>
    <row r="3299" spans="1:13" x14ac:dyDescent="0.3">
      <c r="A3299" s="7">
        <v>15429</v>
      </c>
      <c r="B3299" s="7" t="s">
        <v>3307</v>
      </c>
      <c r="C3299" s="7" t="s">
        <v>6327</v>
      </c>
      <c r="D3299" s="7" t="s">
        <v>6738</v>
      </c>
      <c r="E3299" s="7" t="s">
        <v>6295</v>
      </c>
      <c r="F3299" s="7" t="s">
        <v>6712</v>
      </c>
      <c r="G3299" s="7" t="s">
        <v>7150</v>
      </c>
      <c r="H3299" s="7" t="s">
        <v>7156</v>
      </c>
      <c r="I3299" s="7"/>
      <c r="J3299" s="10">
        <v>45069</v>
      </c>
      <c r="K3299" s="7" t="s">
        <v>7164</v>
      </c>
      <c r="L3299" s="7"/>
      <c r="M3299" s="7"/>
    </row>
    <row r="3300" spans="1:13" x14ac:dyDescent="0.3">
      <c r="A3300" s="7">
        <v>16641</v>
      </c>
      <c r="B3300" s="7" t="s">
        <v>3308</v>
      </c>
      <c r="C3300" s="7" t="s">
        <v>6327</v>
      </c>
      <c r="D3300" s="7" t="s">
        <v>6738</v>
      </c>
      <c r="E3300" s="7" t="s">
        <v>6295</v>
      </c>
      <c r="F3300" s="7" t="s">
        <v>6735</v>
      </c>
      <c r="G3300" s="7" t="s">
        <v>7150</v>
      </c>
      <c r="H3300" s="7" t="s">
        <v>7156</v>
      </c>
      <c r="I3300" s="7"/>
      <c r="J3300" s="10">
        <v>45506</v>
      </c>
      <c r="K3300" s="7" t="s">
        <v>7164</v>
      </c>
      <c r="L3300" s="7"/>
      <c r="M3300" s="7"/>
    </row>
    <row r="3301" spans="1:13" x14ac:dyDescent="0.3">
      <c r="A3301" s="7">
        <v>17869</v>
      </c>
      <c r="B3301" s="7" t="s">
        <v>3309</v>
      </c>
      <c r="C3301" s="7" t="s">
        <v>6327</v>
      </c>
      <c r="D3301" s="7" t="s">
        <v>6738</v>
      </c>
      <c r="E3301" s="7" t="s">
        <v>6295</v>
      </c>
      <c r="F3301" s="7" t="s">
        <v>6735</v>
      </c>
      <c r="G3301" s="7" t="s">
        <v>7150</v>
      </c>
      <c r="H3301" s="7" t="s">
        <v>7156</v>
      </c>
      <c r="I3301" s="7"/>
      <c r="J3301" s="10">
        <v>45902</v>
      </c>
      <c r="K3301" s="7" t="s">
        <v>7164</v>
      </c>
      <c r="L3301" s="7"/>
      <c r="M3301" s="7"/>
    </row>
    <row r="3302" spans="1:13" x14ac:dyDescent="0.3">
      <c r="A3302" s="7">
        <v>18628</v>
      </c>
      <c r="B3302" s="7" t="s">
        <v>3310</v>
      </c>
      <c r="C3302" s="7" t="s">
        <v>6327</v>
      </c>
      <c r="D3302" s="7" t="s">
        <v>6738</v>
      </c>
      <c r="E3302" s="7" t="s">
        <v>6295</v>
      </c>
      <c r="F3302" s="7" t="s">
        <v>6735</v>
      </c>
      <c r="G3302" s="7" t="s">
        <v>7150</v>
      </c>
      <c r="H3302" s="7" t="s">
        <v>7156</v>
      </c>
      <c r="I3302" s="7"/>
      <c r="J3302" s="10">
        <v>46176</v>
      </c>
      <c r="K3302" s="7" t="s">
        <v>7164</v>
      </c>
      <c r="L3302" s="7"/>
      <c r="M3302" s="7"/>
    </row>
    <row r="3303" spans="1:13" x14ac:dyDescent="0.3">
      <c r="A3303" s="7">
        <v>17761</v>
      </c>
      <c r="B3303" s="7" t="s">
        <v>3311</v>
      </c>
      <c r="C3303" s="7" t="s">
        <v>6327</v>
      </c>
      <c r="D3303" s="7" t="s">
        <v>6738</v>
      </c>
      <c r="E3303" s="7" t="s">
        <v>6295</v>
      </c>
      <c r="F3303" s="7" t="s">
        <v>6735</v>
      </c>
      <c r="G3303" s="7" t="s">
        <v>7150</v>
      </c>
      <c r="H3303" s="7" t="s">
        <v>7156</v>
      </c>
      <c r="I3303" s="7"/>
      <c r="J3303" s="10">
        <v>45870</v>
      </c>
      <c r="K3303" s="7" t="s">
        <v>7164</v>
      </c>
      <c r="L3303" s="7"/>
      <c r="M3303" s="7"/>
    </row>
    <row r="3304" spans="1:13" x14ac:dyDescent="0.3">
      <c r="A3304" s="7">
        <v>17800</v>
      </c>
      <c r="B3304" s="7" t="s">
        <v>3312</v>
      </c>
      <c r="C3304" s="7" t="s">
        <v>6646</v>
      </c>
      <c r="D3304" s="7" t="s">
        <v>6708</v>
      </c>
      <c r="E3304" s="7" t="s">
        <v>6295</v>
      </c>
      <c r="F3304" s="7" t="s">
        <v>6745</v>
      </c>
      <c r="G3304" s="7" t="s">
        <v>7150</v>
      </c>
      <c r="H3304" s="7" t="s">
        <v>7156</v>
      </c>
      <c r="I3304" s="7"/>
      <c r="J3304" s="10">
        <v>45882</v>
      </c>
      <c r="K3304" s="7" t="s">
        <v>7164</v>
      </c>
      <c r="L3304" s="7"/>
      <c r="M3304" s="7"/>
    </row>
    <row r="3305" spans="1:13" x14ac:dyDescent="0.3">
      <c r="A3305" s="7">
        <v>18992</v>
      </c>
      <c r="B3305" s="7" t="s">
        <v>3313</v>
      </c>
      <c r="C3305" s="7" t="s">
        <v>6646</v>
      </c>
      <c r="D3305" s="7" t="s">
        <v>6708</v>
      </c>
      <c r="E3305" s="7" t="s">
        <v>6295</v>
      </c>
      <c r="F3305" s="7" t="s">
        <v>6739</v>
      </c>
      <c r="G3305" s="7" t="s">
        <v>7150</v>
      </c>
      <c r="H3305" s="7" t="s">
        <v>7156</v>
      </c>
      <c r="I3305" s="7"/>
      <c r="J3305" s="10">
        <v>46255</v>
      </c>
      <c r="K3305" s="7" t="s">
        <v>7164</v>
      </c>
      <c r="L3305" s="7"/>
      <c r="M3305" s="7"/>
    </row>
    <row r="3306" spans="1:13" x14ac:dyDescent="0.3">
      <c r="A3306" s="7">
        <v>17664</v>
      </c>
      <c r="B3306" s="7" t="s">
        <v>3314</v>
      </c>
      <c r="C3306" s="7" t="s">
        <v>6327</v>
      </c>
      <c r="D3306" s="7" t="s">
        <v>6738</v>
      </c>
      <c r="E3306" s="7" t="s">
        <v>6295</v>
      </c>
      <c r="F3306" s="7" t="s">
        <v>6735</v>
      </c>
      <c r="G3306" s="7" t="s">
        <v>7150</v>
      </c>
      <c r="H3306" s="7" t="s">
        <v>7156</v>
      </c>
      <c r="I3306" s="7"/>
      <c r="J3306" s="10">
        <v>45852</v>
      </c>
      <c r="K3306" s="7" t="s">
        <v>7164</v>
      </c>
      <c r="L3306" s="7"/>
      <c r="M3306" s="7"/>
    </row>
    <row r="3307" spans="1:13" x14ac:dyDescent="0.3">
      <c r="A3307" s="7">
        <v>18000</v>
      </c>
      <c r="B3307" s="7" t="s">
        <v>3315</v>
      </c>
      <c r="C3307" s="7" t="s">
        <v>6327</v>
      </c>
      <c r="D3307" s="7" t="s">
        <v>6738</v>
      </c>
      <c r="E3307" s="7" t="s">
        <v>6295</v>
      </c>
      <c r="F3307" s="7" t="s">
        <v>6735</v>
      </c>
      <c r="G3307" s="7" t="s">
        <v>7150</v>
      </c>
      <c r="H3307" s="7" t="s">
        <v>7156</v>
      </c>
      <c r="I3307" s="7"/>
      <c r="J3307" s="10">
        <v>45953</v>
      </c>
      <c r="K3307" s="7" t="s">
        <v>7164</v>
      </c>
      <c r="L3307" s="7"/>
      <c r="M3307" s="7"/>
    </row>
    <row r="3308" spans="1:13" x14ac:dyDescent="0.3">
      <c r="A3308" s="7">
        <v>17616</v>
      </c>
      <c r="B3308" s="7" t="s">
        <v>3316</v>
      </c>
      <c r="C3308" s="7" t="s">
        <v>6327</v>
      </c>
      <c r="D3308" s="7" t="s">
        <v>6738</v>
      </c>
      <c r="E3308" s="7" t="s">
        <v>6295</v>
      </c>
      <c r="F3308" s="7" t="s">
        <v>6735</v>
      </c>
      <c r="G3308" s="7" t="s">
        <v>7150</v>
      </c>
      <c r="H3308" s="7" t="s">
        <v>7156</v>
      </c>
      <c r="I3308" s="7"/>
      <c r="J3308" s="10">
        <v>45818</v>
      </c>
      <c r="K3308" s="7" t="s">
        <v>7164</v>
      </c>
      <c r="L3308" s="7"/>
      <c r="M3308" s="7"/>
    </row>
    <row r="3309" spans="1:13" x14ac:dyDescent="0.3">
      <c r="A3309" s="7">
        <v>13046</v>
      </c>
      <c r="B3309" s="7" t="s">
        <v>3317</v>
      </c>
      <c r="C3309" s="7" t="s">
        <v>6327</v>
      </c>
      <c r="D3309" s="7" t="s">
        <v>6738</v>
      </c>
      <c r="E3309" s="7" t="s">
        <v>6295</v>
      </c>
      <c r="F3309" s="7" t="s">
        <v>6735</v>
      </c>
      <c r="G3309" s="7" t="s">
        <v>7150</v>
      </c>
      <c r="H3309" s="7" t="s">
        <v>7156</v>
      </c>
      <c r="I3309" s="7"/>
      <c r="J3309" s="10">
        <v>44218</v>
      </c>
      <c r="K3309" s="7" t="s">
        <v>7164</v>
      </c>
      <c r="L3309" s="7"/>
      <c r="M3309" s="7"/>
    </row>
    <row r="3310" spans="1:13" x14ac:dyDescent="0.3">
      <c r="A3310" s="7">
        <v>16130</v>
      </c>
      <c r="B3310" s="7" t="s">
        <v>3318</v>
      </c>
      <c r="C3310" s="7" t="s">
        <v>6327</v>
      </c>
      <c r="D3310" s="7" t="s">
        <v>6738</v>
      </c>
      <c r="E3310" s="7" t="s">
        <v>6295</v>
      </c>
      <c r="F3310" s="7" t="s">
        <v>6735</v>
      </c>
      <c r="G3310" s="7" t="s">
        <v>7150</v>
      </c>
      <c r="H3310" s="7" t="s">
        <v>7156</v>
      </c>
      <c r="I3310" s="7"/>
      <c r="J3310" s="10">
        <v>45298</v>
      </c>
      <c r="K3310" s="7" t="s">
        <v>7164</v>
      </c>
      <c r="L3310" s="7"/>
      <c r="M3310" s="7"/>
    </row>
    <row r="3311" spans="1:13" x14ac:dyDescent="0.3">
      <c r="A3311" s="7">
        <v>18665</v>
      </c>
      <c r="B3311" s="7" t="s">
        <v>3319</v>
      </c>
      <c r="C3311" s="7" t="s">
        <v>6327</v>
      </c>
      <c r="D3311" s="7" t="s">
        <v>6738</v>
      </c>
      <c r="E3311" s="7" t="s">
        <v>6295</v>
      </c>
      <c r="F3311" s="7" t="s">
        <v>6735</v>
      </c>
      <c r="G3311" s="7" t="s">
        <v>7150</v>
      </c>
      <c r="H3311" s="7" t="s">
        <v>7156</v>
      </c>
      <c r="I3311" s="7"/>
      <c r="J3311" s="10">
        <v>46190</v>
      </c>
      <c r="K3311" s="7" t="s">
        <v>7164</v>
      </c>
      <c r="L3311" s="7"/>
      <c r="M3311" s="7"/>
    </row>
    <row r="3312" spans="1:13" x14ac:dyDescent="0.3">
      <c r="A3312" s="7">
        <v>13118</v>
      </c>
      <c r="B3312" s="7" t="s">
        <v>3320</v>
      </c>
      <c r="C3312" s="7" t="s">
        <v>6327</v>
      </c>
      <c r="D3312" s="7" t="s">
        <v>6738</v>
      </c>
      <c r="E3312" s="7" t="s">
        <v>6295</v>
      </c>
      <c r="F3312" s="7" t="s">
        <v>6735</v>
      </c>
      <c r="G3312" s="7" t="s">
        <v>7150</v>
      </c>
      <c r="H3312" s="7" t="s">
        <v>7156</v>
      </c>
      <c r="I3312" s="7"/>
      <c r="J3312" s="10">
        <v>44266</v>
      </c>
      <c r="K3312" s="7" t="s">
        <v>7164</v>
      </c>
      <c r="L3312" s="7"/>
      <c r="M3312" s="7"/>
    </row>
    <row r="3313" spans="1:13" x14ac:dyDescent="0.3">
      <c r="A3313" s="7">
        <v>17157</v>
      </c>
      <c r="B3313" s="7" t="s">
        <v>3321</v>
      </c>
      <c r="C3313" s="7" t="s">
        <v>6327</v>
      </c>
      <c r="D3313" s="7" t="s">
        <v>6738</v>
      </c>
      <c r="E3313" s="7" t="s">
        <v>6295</v>
      </c>
      <c r="F3313" s="7" t="s">
        <v>6735</v>
      </c>
      <c r="G3313" s="7" t="s">
        <v>7150</v>
      </c>
      <c r="H3313" s="7" t="s">
        <v>7156</v>
      </c>
      <c r="I3313" s="7"/>
      <c r="J3313" s="10">
        <v>45652</v>
      </c>
      <c r="K3313" s="7" t="s">
        <v>7164</v>
      </c>
      <c r="L3313" s="7"/>
      <c r="M3313" s="7"/>
    </row>
    <row r="3314" spans="1:13" x14ac:dyDescent="0.3">
      <c r="A3314" s="7">
        <v>16631</v>
      </c>
      <c r="B3314" s="7" t="s">
        <v>3322</v>
      </c>
      <c r="C3314" s="7" t="s">
        <v>6327</v>
      </c>
      <c r="D3314" s="7" t="s">
        <v>6738</v>
      </c>
      <c r="E3314" s="7" t="s">
        <v>6295</v>
      </c>
      <c r="F3314" s="7" t="s">
        <v>6735</v>
      </c>
      <c r="G3314" s="7" t="s">
        <v>7150</v>
      </c>
      <c r="H3314" s="7" t="s">
        <v>7156</v>
      </c>
      <c r="I3314" s="7"/>
      <c r="J3314" s="10">
        <v>45505</v>
      </c>
      <c r="K3314" s="7" t="s">
        <v>7164</v>
      </c>
      <c r="L3314" s="7"/>
      <c r="M3314" s="7"/>
    </row>
    <row r="3315" spans="1:13" x14ac:dyDescent="0.3">
      <c r="A3315" s="7">
        <v>16676</v>
      </c>
      <c r="B3315" s="7" t="s">
        <v>3323</v>
      </c>
      <c r="C3315" s="7" t="s">
        <v>6327</v>
      </c>
      <c r="D3315" s="7" t="s">
        <v>6738</v>
      </c>
      <c r="E3315" s="7" t="s">
        <v>6295</v>
      </c>
      <c r="F3315" s="7" t="s">
        <v>6735</v>
      </c>
      <c r="G3315" s="7" t="s">
        <v>7150</v>
      </c>
      <c r="H3315" s="7" t="s">
        <v>7156</v>
      </c>
      <c r="I3315" s="7"/>
      <c r="J3315" s="10">
        <v>45517</v>
      </c>
      <c r="K3315" s="7" t="s">
        <v>7164</v>
      </c>
      <c r="L3315" s="7"/>
      <c r="M3315" s="7"/>
    </row>
    <row r="3316" spans="1:13" x14ac:dyDescent="0.3">
      <c r="A3316" s="7">
        <v>17249</v>
      </c>
      <c r="B3316" s="7" t="s">
        <v>3324</v>
      </c>
      <c r="C3316" s="7" t="s">
        <v>6327</v>
      </c>
      <c r="D3316" s="7" t="s">
        <v>6738</v>
      </c>
      <c r="E3316" s="7" t="s">
        <v>6295</v>
      </c>
      <c r="F3316" s="7" t="s">
        <v>6735</v>
      </c>
      <c r="G3316" s="7" t="s">
        <v>7150</v>
      </c>
      <c r="H3316" s="7" t="s">
        <v>7156</v>
      </c>
      <c r="I3316" s="7"/>
      <c r="J3316" s="10">
        <v>45681</v>
      </c>
      <c r="K3316" s="7" t="s">
        <v>7164</v>
      </c>
      <c r="L3316" s="7"/>
      <c r="M3316" s="7"/>
    </row>
    <row r="3317" spans="1:13" x14ac:dyDescent="0.3">
      <c r="A3317" s="7">
        <v>15914</v>
      </c>
      <c r="B3317" s="7" t="s">
        <v>3325</v>
      </c>
      <c r="C3317" s="7" t="s">
        <v>6327</v>
      </c>
      <c r="D3317" s="7" t="s">
        <v>6738</v>
      </c>
      <c r="E3317" s="7" t="s">
        <v>6295</v>
      </c>
      <c r="F3317" s="7" t="s">
        <v>6735</v>
      </c>
      <c r="G3317" s="7" t="s">
        <v>7150</v>
      </c>
      <c r="H3317" s="7" t="s">
        <v>7156</v>
      </c>
      <c r="I3317" s="7"/>
      <c r="J3317" s="10">
        <v>45237</v>
      </c>
      <c r="K3317" s="7" t="s">
        <v>7164</v>
      </c>
      <c r="L3317" s="7"/>
      <c r="M3317" s="7"/>
    </row>
    <row r="3318" spans="1:13" x14ac:dyDescent="0.3">
      <c r="A3318" s="7">
        <v>18231</v>
      </c>
      <c r="B3318" s="7" t="s">
        <v>3326</v>
      </c>
      <c r="C3318" s="7" t="s">
        <v>6327</v>
      </c>
      <c r="D3318" s="7" t="s">
        <v>6738</v>
      </c>
      <c r="E3318" s="7" t="s">
        <v>6295</v>
      </c>
      <c r="F3318" s="7" t="s">
        <v>6744</v>
      </c>
      <c r="G3318" s="7" t="s">
        <v>7150</v>
      </c>
      <c r="H3318" s="7" t="s">
        <v>7156</v>
      </c>
      <c r="I3318" s="7"/>
      <c r="J3318" s="10">
        <v>46065</v>
      </c>
      <c r="K3318" s="7" t="s">
        <v>7164</v>
      </c>
      <c r="L3318" s="7"/>
      <c r="M3318" s="7"/>
    </row>
    <row r="3319" spans="1:13" x14ac:dyDescent="0.3">
      <c r="A3319" s="7">
        <v>16083</v>
      </c>
      <c r="B3319" s="7" t="s">
        <v>3327</v>
      </c>
      <c r="C3319" s="7" t="s">
        <v>6327</v>
      </c>
      <c r="D3319" s="7" t="s">
        <v>6738</v>
      </c>
      <c r="E3319" s="7" t="s">
        <v>6295</v>
      </c>
      <c r="F3319" s="7" t="s">
        <v>6735</v>
      </c>
      <c r="G3319" s="7" t="s">
        <v>7150</v>
      </c>
      <c r="H3319" s="7" t="s">
        <v>7156</v>
      </c>
      <c r="I3319" s="7"/>
      <c r="J3319" s="10">
        <v>45279</v>
      </c>
      <c r="K3319" s="7" t="s">
        <v>7164</v>
      </c>
      <c r="L3319" s="7"/>
      <c r="M3319" s="7"/>
    </row>
    <row r="3320" spans="1:13" x14ac:dyDescent="0.3">
      <c r="A3320" s="7">
        <v>15912</v>
      </c>
      <c r="B3320" s="7" t="s">
        <v>3328</v>
      </c>
      <c r="C3320" s="7" t="s">
        <v>6646</v>
      </c>
      <c r="D3320" s="7" t="s">
        <v>6708</v>
      </c>
      <c r="E3320" s="7" t="s">
        <v>6295</v>
      </c>
      <c r="F3320" s="7" t="s">
        <v>6739</v>
      </c>
      <c r="G3320" s="7" t="s">
        <v>7150</v>
      </c>
      <c r="H3320" s="7" t="s">
        <v>7156</v>
      </c>
      <c r="I3320" s="7"/>
      <c r="J3320" s="10">
        <v>45237</v>
      </c>
      <c r="K3320" s="7" t="s">
        <v>7164</v>
      </c>
      <c r="L3320" s="7"/>
      <c r="M3320" s="7"/>
    </row>
    <row r="3321" spans="1:13" x14ac:dyDescent="0.3">
      <c r="A3321" s="7">
        <v>16954</v>
      </c>
      <c r="B3321" s="7" t="s">
        <v>3329</v>
      </c>
      <c r="C3321" s="7" t="s">
        <v>6327</v>
      </c>
      <c r="D3321" s="7" t="s">
        <v>6738</v>
      </c>
      <c r="E3321" s="7" t="s">
        <v>6295</v>
      </c>
      <c r="F3321" s="7" t="s">
        <v>6735</v>
      </c>
      <c r="G3321" s="7" t="s">
        <v>7150</v>
      </c>
      <c r="H3321" s="7" t="s">
        <v>7156</v>
      </c>
      <c r="I3321" s="7"/>
      <c r="J3321" s="10">
        <v>45576</v>
      </c>
      <c r="K3321" s="7" t="s">
        <v>7164</v>
      </c>
      <c r="L3321" s="7"/>
      <c r="M3321" s="7"/>
    </row>
    <row r="3322" spans="1:13" x14ac:dyDescent="0.3">
      <c r="A3322" s="7">
        <v>16197</v>
      </c>
      <c r="B3322" s="7" t="s">
        <v>3330</v>
      </c>
      <c r="C3322" s="7" t="s">
        <v>6322</v>
      </c>
      <c r="D3322" s="7" t="s">
        <v>6738</v>
      </c>
      <c r="E3322" s="7" t="s">
        <v>6295</v>
      </c>
      <c r="F3322" s="7" t="s">
        <v>6735</v>
      </c>
      <c r="G3322" s="7" t="s">
        <v>7150</v>
      </c>
      <c r="H3322" s="7" t="s">
        <v>7156</v>
      </c>
      <c r="I3322" s="7"/>
      <c r="J3322" s="10">
        <v>45316</v>
      </c>
      <c r="K3322" s="7" t="s">
        <v>7164</v>
      </c>
      <c r="L3322" s="7"/>
      <c r="M3322" s="7"/>
    </row>
    <row r="3323" spans="1:13" x14ac:dyDescent="0.3">
      <c r="A3323" s="7">
        <v>17413</v>
      </c>
      <c r="B3323" s="7" t="s">
        <v>3331</v>
      </c>
      <c r="C3323" s="7" t="s">
        <v>6646</v>
      </c>
      <c r="D3323" s="7" t="s">
        <v>6708</v>
      </c>
      <c r="E3323" s="7" t="s">
        <v>6295</v>
      </c>
      <c r="F3323" s="7" t="s">
        <v>6739</v>
      </c>
      <c r="G3323" s="7" t="s">
        <v>7150</v>
      </c>
      <c r="H3323" s="7" t="s">
        <v>7156</v>
      </c>
      <c r="I3323" s="7"/>
      <c r="J3323" s="10">
        <v>45748</v>
      </c>
      <c r="K3323" s="7" t="s">
        <v>7164</v>
      </c>
      <c r="L3323" s="7"/>
      <c r="M3323" s="7"/>
    </row>
    <row r="3324" spans="1:13" x14ac:dyDescent="0.3">
      <c r="A3324" s="7">
        <v>17357</v>
      </c>
      <c r="B3324" s="7" t="s">
        <v>3332</v>
      </c>
      <c r="C3324" s="7" t="s">
        <v>6322</v>
      </c>
      <c r="D3324" s="7" t="s">
        <v>6535</v>
      </c>
      <c r="E3324" s="7" t="s">
        <v>6295</v>
      </c>
      <c r="F3324" s="7" t="s">
        <v>6637</v>
      </c>
      <c r="G3324" s="7" t="s">
        <v>7150</v>
      </c>
      <c r="H3324" s="7" t="s">
        <v>7156</v>
      </c>
      <c r="I3324" s="7"/>
      <c r="J3324" s="10">
        <v>45719</v>
      </c>
      <c r="K3324" s="7" t="s">
        <v>7164</v>
      </c>
      <c r="L3324" s="7"/>
      <c r="M3324" s="7"/>
    </row>
    <row r="3325" spans="1:13" x14ac:dyDescent="0.3">
      <c r="A3325" s="7">
        <v>17197</v>
      </c>
      <c r="B3325" s="7" t="s">
        <v>3333</v>
      </c>
      <c r="C3325" s="7" t="s">
        <v>6646</v>
      </c>
      <c r="D3325" s="7" t="s">
        <v>6708</v>
      </c>
      <c r="E3325" s="7" t="s">
        <v>6295</v>
      </c>
      <c r="F3325" s="7" t="s">
        <v>6536</v>
      </c>
      <c r="G3325" s="7" t="s">
        <v>7150</v>
      </c>
      <c r="H3325" s="7" t="s">
        <v>7156</v>
      </c>
      <c r="I3325" s="7"/>
      <c r="J3325" s="10">
        <v>45664</v>
      </c>
      <c r="K3325" s="7" t="s">
        <v>7164</v>
      </c>
      <c r="L3325" s="7"/>
      <c r="M3325" s="7"/>
    </row>
    <row r="3326" spans="1:13" x14ac:dyDescent="0.3">
      <c r="A3326" s="7">
        <v>11410</v>
      </c>
      <c r="B3326" s="7" t="s">
        <v>3334</v>
      </c>
      <c r="C3326" s="7" t="s">
        <v>6646</v>
      </c>
      <c r="D3326" s="7" t="s">
        <v>6708</v>
      </c>
      <c r="E3326" s="7" t="s">
        <v>6295</v>
      </c>
      <c r="F3326" s="7" t="s">
        <v>6536</v>
      </c>
      <c r="G3326" s="7" t="s">
        <v>7150</v>
      </c>
      <c r="H3326" s="7" t="s">
        <v>7156</v>
      </c>
      <c r="I3326" s="7"/>
      <c r="J3326" s="10">
        <v>42667</v>
      </c>
      <c r="K3326" s="7" t="s">
        <v>7164</v>
      </c>
      <c r="L3326" s="7"/>
      <c r="M3326" s="7"/>
    </row>
    <row r="3327" spans="1:13" x14ac:dyDescent="0.3">
      <c r="A3327" s="7">
        <v>18877</v>
      </c>
      <c r="B3327" s="7" t="s">
        <v>3335</v>
      </c>
      <c r="C3327" s="7" t="s">
        <v>6646</v>
      </c>
      <c r="D3327" s="7" t="s">
        <v>6708</v>
      </c>
      <c r="E3327" s="7" t="s">
        <v>6295</v>
      </c>
      <c r="F3327" s="7" t="s">
        <v>6536</v>
      </c>
      <c r="G3327" s="7" t="s">
        <v>7150</v>
      </c>
      <c r="H3327" s="7" t="s">
        <v>7156</v>
      </c>
      <c r="I3327" s="7"/>
      <c r="J3327" s="10">
        <v>46227</v>
      </c>
      <c r="K3327" s="7" t="s">
        <v>7164</v>
      </c>
      <c r="L3327" s="7"/>
      <c r="M3327" s="7"/>
    </row>
    <row r="3328" spans="1:13" x14ac:dyDescent="0.3">
      <c r="A3328" s="7">
        <v>12164</v>
      </c>
      <c r="B3328" s="7" t="s">
        <v>3336</v>
      </c>
      <c r="C3328" s="7" t="s">
        <v>6674</v>
      </c>
      <c r="D3328" s="7" t="s">
        <v>6746</v>
      </c>
      <c r="E3328" s="7" t="s">
        <v>6295</v>
      </c>
      <c r="F3328" s="7" t="s">
        <v>6333</v>
      </c>
      <c r="G3328" s="7" t="s">
        <v>7150</v>
      </c>
      <c r="H3328" s="7" t="s">
        <v>7156</v>
      </c>
      <c r="I3328" s="7"/>
      <c r="J3328" s="10">
        <v>43535</v>
      </c>
      <c r="K3328" s="7" t="s">
        <v>7164</v>
      </c>
      <c r="L3328" s="7"/>
      <c r="M3328" s="7"/>
    </row>
    <row r="3329" spans="1:13" x14ac:dyDescent="0.3">
      <c r="A3329" s="7">
        <v>12617</v>
      </c>
      <c r="B3329" s="7" t="s">
        <v>3337</v>
      </c>
      <c r="C3329" s="7" t="s">
        <v>6646</v>
      </c>
      <c r="D3329" s="7" t="s">
        <v>6708</v>
      </c>
      <c r="E3329" s="7" t="s">
        <v>6295</v>
      </c>
      <c r="F3329" s="7" t="s">
        <v>6536</v>
      </c>
      <c r="G3329" s="7" t="s">
        <v>7150</v>
      </c>
      <c r="H3329" s="7" t="s">
        <v>7156</v>
      </c>
      <c r="I3329" s="7"/>
      <c r="J3329" s="10">
        <v>43839</v>
      </c>
      <c r="K3329" s="7" t="s">
        <v>7164</v>
      </c>
      <c r="L3329" s="7"/>
      <c r="M3329" s="7"/>
    </row>
    <row r="3330" spans="1:13" x14ac:dyDescent="0.3">
      <c r="A3330" s="7">
        <v>17893</v>
      </c>
      <c r="B3330" s="7" t="s">
        <v>3338</v>
      </c>
      <c r="C3330" s="7" t="s">
        <v>6327</v>
      </c>
      <c r="D3330" s="7" t="s">
        <v>6535</v>
      </c>
      <c r="E3330" s="7" t="s">
        <v>6295</v>
      </c>
      <c r="F3330" s="7" t="s">
        <v>6536</v>
      </c>
      <c r="G3330" s="7" t="s">
        <v>7150</v>
      </c>
      <c r="H3330" s="7" t="s">
        <v>7156</v>
      </c>
      <c r="I3330" s="7"/>
      <c r="J3330" s="10">
        <v>45910</v>
      </c>
      <c r="K3330" s="7" t="s">
        <v>7164</v>
      </c>
      <c r="L3330" s="7"/>
      <c r="M3330" s="7"/>
    </row>
    <row r="3331" spans="1:13" x14ac:dyDescent="0.3">
      <c r="A3331" s="7">
        <v>13247</v>
      </c>
      <c r="B3331" s="7" t="s">
        <v>3339</v>
      </c>
      <c r="C3331" s="7" t="s">
        <v>6461</v>
      </c>
      <c r="D3331" s="7" t="s">
        <v>6462</v>
      </c>
      <c r="E3331" s="7" t="s">
        <v>6295</v>
      </c>
      <c r="F3331" s="7" t="s">
        <v>6341</v>
      </c>
      <c r="G3331" s="7" t="s">
        <v>7150</v>
      </c>
      <c r="H3331" s="7" t="s">
        <v>7156</v>
      </c>
      <c r="I3331" s="7"/>
      <c r="J3331" s="10">
        <v>44337</v>
      </c>
      <c r="K3331" s="7" t="s">
        <v>7163</v>
      </c>
      <c r="L3331" s="7"/>
      <c r="M3331" s="7"/>
    </row>
    <row r="3332" spans="1:13" x14ac:dyDescent="0.3">
      <c r="A3332" s="7">
        <v>17414</v>
      </c>
      <c r="B3332" s="7" t="s">
        <v>3340</v>
      </c>
      <c r="C3332" s="7" t="s">
        <v>6327</v>
      </c>
      <c r="D3332" s="7" t="s">
        <v>6535</v>
      </c>
      <c r="E3332" s="7" t="s">
        <v>6295</v>
      </c>
      <c r="F3332" s="7" t="s">
        <v>6536</v>
      </c>
      <c r="G3332" s="7" t="s">
        <v>7150</v>
      </c>
      <c r="H3332" s="7" t="s">
        <v>7156</v>
      </c>
      <c r="I3332" s="7"/>
      <c r="J3332" s="10">
        <v>45748</v>
      </c>
      <c r="K3332" s="7" t="s">
        <v>7164</v>
      </c>
      <c r="L3332" s="7"/>
      <c r="M3332" s="7"/>
    </row>
    <row r="3333" spans="1:13" x14ac:dyDescent="0.3">
      <c r="A3333" s="7">
        <v>17381</v>
      </c>
      <c r="B3333" s="7" t="s">
        <v>3341</v>
      </c>
      <c r="C3333" s="7" t="s">
        <v>6327</v>
      </c>
      <c r="D3333" s="7" t="s">
        <v>6535</v>
      </c>
      <c r="E3333" s="7" t="s">
        <v>6295</v>
      </c>
      <c r="F3333" s="7" t="s">
        <v>6536</v>
      </c>
      <c r="G3333" s="7" t="s">
        <v>7150</v>
      </c>
      <c r="H3333" s="7" t="s">
        <v>7156</v>
      </c>
      <c r="I3333" s="7"/>
      <c r="J3333" s="10">
        <v>45749</v>
      </c>
      <c r="K3333" s="7" t="s">
        <v>7164</v>
      </c>
      <c r="L3333" s="7"/>
      <c r="M3333" s="7"/>
    </row>
    <row r="3334" spans="1:13" x14ac:dyDescent="0.3">
      <c r="A3334" s="7">
        <v>17425</v>
      </c>
      <c r="B3334" s="7" t="s">
        <v>3342</v>
      </c>
      <c r="C3334" s="7" t="s">
        <v>6322</v>
      </c>
      <c r="D3334" s="7" t="s">
        <v>6535</v>
      </c>
      <c r="E3334" s="7" t="s">
        <v>6295</v>
      </c>
      <c r="F3334" s="7" t="s">
        <v>6536</v>
      </c>
      <c r="G3334" s="7" t="s">
        <v>7150</v>
      </c>
      <c r="H3334" s="7" t="s">
        <v>7156</v>
      </c>
      <c r="I3334" s="7"/>
      <c r="J3334" s="10">
        <v>45749</v>
      </c>
      <c r="K3334" s="7" t="s">
        <v>7164</v>
      </c>
      <c r="L3334" s="7"/>
      <c r="M3334" s="7"/>
    </row>
    <row r="3335" spans="1:13" x14ac:dyDescent="0.3">
      <c r="A3335" s="7">
        <v>13226</v>
      </c>
      <c r="B3335" s="7" t="s">
        <v>3343</v>
      </c>
      <c r="C3335" s="7" t="s">
        <v>6646</v>
      </c>
      <c r="D3335" s="7" t="s">
        <v>6708</v>
      </c>
      <c r="E3335" s="7" t="s">
        <v>6295</v>
      </c>
      <c r="F3335" s="7" t="s">
        <v>6536</v>
      </c>
      <c r="G3335" s="7" t="s">
        <v>7150</v>
      </c>
      <c r="H3335" s="7" t="s">
        <v>7156</v>
      </c>
      <c r="I3335" s="7"/>
      <c r="J3335" s="10">
        <v>44324</v>
      </c>
      <c r="K3335" s="7" t="s">
        <v>7164</v>
      </c>
      <c r="L3335" s="7"/>
      <c r="M3335" s="7"/>
    </row>
    <row r="3336" spans="1:13" x14ac:dyDescent="0.3">
      <c r="A3336" s="7">
        <v>16388</v>
      </c>
      <c r="B3336" s="7" t="s">
        <v>3344</v>
      </c>
      <c r="C3336" s="7" t="s">
        <v>6322</v>
      </c>
      <c r="D3336" s="7" t="s">
        <v>6535</v>
      </c>
      <c r="E3336" s="7" t="s">
        <v>6295</v>
      </c>
      <c r="F3336" s="7" t="s">
        <v>6536</v>
      </c>
      <c r="G3336" s="7" t="s">
        <v>7150</v>
      </c>
      <c r="H3336" s="7" t="s">
        <v>7156</v>
      </c>
      <c r="I3336" s="7"/>
      <c r="J3336" s="10">
        <v>45383</v>
      </c>
      <c r="K3336" s="7" t="s">
        <v>7164</v>
      </c>
      <c r="L3336" s="7"/>
      <c r="M3336" s="7"/>
    </row>
    <row r="3337" spans="1:13" x14ac:dyDescent="0.3">
      <c r="A3337" s="7">
        <v>19121</v>
      </c>
      <c r="B3337" s="7" t="s">
        <v>3345</v>
      </c>
      <c r="C3337" s="7" t="s">
        <v>6322</v>
      </c>
      <c r="D3337" s="7" t="s">
        <v>6535</v>
      </c>
      <c r="E3337" s="7" t="s">
        <v>6295</v>
      </c>
      <c r="F3337" s="7" t="s">
        <v>6747</v>
      </c>
      <c r="G3337" s="7" t="s">
        <v>7150</v>
      </c>
      <c r="H3337" s="7" t="s">
        <v>7156</v>
      </c>
      <c r="I3337" s="7" t="s">
        <v>7159</v>
      </c>
      <c r="J3337" s="10">
        <v>46267</v>
      </c>
      <c r="K3337" s="7" t="s">
        <v>7164</v>
      </c>
      <c r="L3337" s="7"/>
      <c r="M3337" s="7"/>
    </row>
    <row r="3338" spans="1:13" x14ac:dyDescent="0.3">
      <c r="A3338" s="7">
        <v>11367</v>
      </c>
      <c r="B3338" s="7" t="s">
        <v>3346</v>
      </c>
      <c r="C3338" s="7" t="s">
        <v>6327</v>
      </c>
      <c r="D3338" s="7" t="s">
        <v>6535</v>
      </c>
      <c r="E3338" s="7" t="s">
        <v>6295</v>
      </c>
      <c r="F3338" s="7" t="s">
        <v>6536</v>
      </c>
      <c r="G3338" s="7" t="s">
        <v>7150</v>
      </c>
      <c r="H3338" s="7" t="s">
        <v>7156</v>
      </c>
      <c r="I3338" s="7"/>
      <c r="J3338" s="10">
        <v>42597</v>
      </c>
      <c r="K3338" s="7" t="s">
        <v>7164</v>
      </c>
      <c r="L3338" s="7"/>
      <c r="M3338" s="7"/>
    </row>
    <row r="3339" spans="1:13" x14ac:dyDescent="0.3">
      <c r="A3339" s="7">
        <v>660035</v>
      </c>
      <c r="B3339" s="7" t="s">
        <v>3347</v>
      </c>
      <c r="C3339" s="7" t="s">
        <v>6327</v>
      </c>
      <c r="D3339" s="7" t="s">
        <v>6535</v>
      </c>
      <c r="E3339" s="7" t="s">
        <v>6295</v>
      </c>
      <c r="F3339" s="7" t="s">
        <v>6536</v>
      </c>
      <c r="G3339" s="7" t="s">
        <v>7150</v>
      </c>
      <c r="H3339" s="7" t="s">
        <v>7156</v>
      </c>
      <c r="I3339" s="7"/>
      <c r="J3339" s="10">
        <v>43063</v>
      </c>
      <c r="K3339" s="7" t="s">
        <v>7164</v>
      </c>
      <c r="L3339" s="7"/>
      <c r="M3339" s="7"/>
    </row>
    <row r="3340" spans="1:13" x14ac:dyDescent="0.3">
      <c r="A3340" s="7">
        <v>11368</v>
      </c>
      <c r="B3340" s="7" t="s">
        <v>3348</v>
      </c>
      <c r="C3340" s="7" t="s">
        <v>6322</v>
      </c>
      <c r="D3340" s="7" t="s">
        <v>6535</v>
      </c>
      <c r="E3340" s="7" t="s">
        <v>6295</v>
      </c>
      <c r="F3340" s="7" t="s">
        <v>6536</v>
      </c>
      <c r="G3340" s="7" t="s">
        <v>7151</v>
      </c>
      <c r="H3340" s="7" t="s">
        <v>7156</v>
      </c>
      <c r="I3340" s="7"/>
      <c r="J3340" s="10">
        <v>42597</v>
      </c>
      <c r="K3340" s="7" t="s">
        <v>7164</v>
      </c>
      <c r="L3340" s="7"/>
      <c r="M3340" s="7"/>
    </row>
    <row r="3341" spans="1:13" x14ac:dyDescent="0.3">
      <c r="A3341" s="7">
        <v>300073</v>
      </c>
      <c r="B3341" s="7" t="s">
        <v>3349</v>
      </c>
      <c r="C3341" s="7" t="s">
        <v>6523</v>
      </c>
      <c r="D3341" s="7" t="s">
        <v>6532</v>
      </c>
      <c r="E3341" s="7" t="s">
        <v>6295</v>
      </c>
      <c r="F3341" s="7" t="s">
        <v>6340</v>
      </c>
      <c r="G3341" s="7" t="s">
        <v>7150</v>
      </c>
      <c r="H3341" s="7" t="s">
        <v>7156</v>
      </c>
      <c r="I3341" s="7"/>
      <c r="J3341" s="10">
        <v>42839</v>
      </c>
      <c r="K3341" s="7" t="s">
        <v>7164</v>
      </c>
      <c r="L3341" s="7"/>
      <c r="M3341" s="7"/>
    </row>
    <row r="3342" spans="1:13" x14ac:dyDescent="0.3">
      <c r="A3342" s="7">
        <v>15526</v>
      </c>
      <c r="B3342" s="7" t="s">
        <v>3350</v>
      </c>
      <c r="C3342" s="7" t="s">
        <v>6327</v>
      </c>
      <c r="D3342" s="7" t="s">
        <v>6535</v>
      </c>
      <c r="E3342" s="7" t="s">
        <v>6295</v>
      </c>
      <c r="F3342" s="7" t="s">
        <v>6536</v>
      </c>
      <c r="G3342" s="7" t="s">
        <v>7150</v>
      </c>
      <c r="H3342" s="7" t="s">
        <v>7156</v>
      </c>
      <c r="I3342" s="7"/>
      <c r="J3342" s="10">
        <v>45101</v>
      </c>
      <c r="K3342" s="7" t="s">
        <v>7164</v>
      </c>
      <c r="L3342" s="7"/>
      <c r="M3342" s="7"/>
    </row>
    <row r="3343" spans="1:13" x14ac:dyDescent="0.3">
      <c r="A3343" s="7">
        <v>12079</v>
      </c>
      <c r="B3343" s="7" t="s">
        <v>3351</v>
      </c>
      <c r="C3343" s="7" t="s">
        <v>6322</v>
      </c>
      <c r="D3343" s="7" t="s">
        <v>6535</v>
      </c>
      <c r="E3343" s="7" t="s">
        <v>6295</v>
      </c>
      <c r="F3343" s="7" t="s">
        <v>6414</v>
      </c>
      <c r="G3343" s="7" t="s">
        <v>7150</v>
      </c>
      <c r="H3343" s="7" t="s">
        <v>7156</v>
      </c>
      <c r="I3343" s="7"/>
      <c r="J3343" s="10">
        <v>43455</v>
      </c>
      <c r="K3343" s="7" t="s">
        <v>7164</v>
      </c>
      <c r="L3343" s="7"/>
      <c r="M3343" s="7"/>
    </row>
    <row r="3344" spans="1:13" x14ac:dyDescent="0.3">
      <c r="A3344" s="7">
        <v>19261</v>
      </c>
      <c r="B3344" s="7" t="s">
        <v>3352</v>
      </c>
      <c r="C3344" s="7" t="s">
        <v>6322</v>
      </c>
      <c r="D3344" s="7" t="s">
        <v>6535</v>
      </c>
      <c r="E3344" s="7" t="s">
        <v>6295</v>
      </c>
      <c r="F3344" s="7" t="s">
        <v>6414</v>
      </c>
      <c r="G3344" s="7" t="s">
        <v>7150</v>
      </c>
      <c r="H3344" s="7" t="s">
        <v>7156</v>
      </c>
      <c r="I3344" s="7" t="s">
        <v>7159</v>
      </c>
      <c r="J3344" s="10">
        <v>46283</v>
      </c>
      <c r="K3344" s="7" t="s">
        <v>7164</v>
      </c>
      <c r="L3344" s="7"/>
      <c r="M3344" s="7"/>
    </row>
    <row r="3345" spans="1:13" x14ac:dyDescent="0.3">
      <c r="A3345" s="7">
        <v>12679</v>
      </c>
      <c r="B3345" s="7" t="s">
        <v>3353</v>
      </c>
      <c r="C3345" s="7" t="s">
        <v>6322</v>
      </c>
      <c r="D3345" s="7" t="s">
        <v>6535</v>
      </c>
      <c r="E3345" s="7" t="s">
        <v>6295</v>
      </c>
      <c r="F3345" s="7" t="s">
        <v>6536</v>
      </c>
      <c r="G3345" s="7" t="s">
        <v>7150</v>
      </c>
      <c r="H3345" s="7" t="s">
        <v>7156</v>
      </c>
      <c r="I3345" s="7"/>
      <c r="J3345" s="10">
        <v>43866</v>
      </c>
      <c r="K3345" s="7" t="s">
        <v>7164</v>
      </c>
      <c r="L3345" s="7"/>
      <c r="M3345" s="7"/>
    </row>
    <row r="3346" spans="1:13" x14ac:dyDescent="0.3">
      <c r="A3346" s="7">
        <v>11889</v>
      </c>
      <c r="B3346" s="7" t="s">
        <v>3354</v>
      </c>
      <c r="C3346" s="7" t="s">
        <v>6646</v>
      </c>
      <c r="D3346" s="7" t="s">
        <v>6708</v>
      </c>
      <c r="E3346" s="7" t="s">
        <v>6295</v>
      </c>
      <c r="F3346" s="7" t="s">
        <v>6536</v>
      </c>
      <c r="G3346" s="7" t="s">
        <v>7150</v>
      </c>
      <c r="H3346" s="7" t="s">
        <v>7156</v>
      </c>
      <c r="I3346" s="7"/>
      <c r="J3346" s="10">
        <v>43242</v>
      </c>
      <c r="K3346" s="7" t="s">
        <v>7164</v>
      </c>
      <c r="L3346" s="7"/>
      <c r="M3346" s="7"/>
    </row>
    <row r="3347" spans="1:13" x14ac:dyDescent="0.3">
      <c r="A3347" s="7">
        <v>17868</v>
      </c>
      <c r="B3347" s="7" t="s">
        <v>3355</v>
      </c>
      <c r="C3347" s="7" t="s">
        <v>6322</v>
      </c>
      <c r="D3347" s="7" t="s">
        <v>6535</v>
      </c>
      <c r="E3347" s="7" t="s">
        <v>6295</v>
      </c>
      <c r="F3347" s="7" t="s">
        <v>6536</v>
      </c>
      <c r="G3347" s="7" t="s">
        <v>7150</v>
      </c>
      <c r="H3347" s="7" t="s">
        <v>7156</v>
      </c>
      <c r="I3347" s="7"/>
      <c r="J3347" s="10">
        <v>45908</v>
      </c>
      <c r="K3347" s="7" t="s">
        <v>7164</v>
      </c>
      <c r="L3347" s="7"/>
      <c r="M3347" s="7"/>
    </row>
    <row r="3348" spans="1:13" x14ac:dyDescent="0.3">
      <c r="A3348" s="7">
        <v>18959</v>
      </c>
      <c r="B3348" s="7" t="s">
        <v>3356</v>
      </c>
      <c r="C3348" s="7" t="s">
        <v>6322</v>
      </c>
      <c r="D3348" s="7" t="s">
        <v>6535</v>
      </c>
      <c r="E3348" s="7" t="s">
        <v>6295</v>
      </c>
      <c r="F3348" s="7" t="s">
        <v>6536</v>
      </c>
      <c r="G3348" s="7" t="s">
        <v>7150</v>
      </c>
      <c r="H3348" s="7" t="s">
        <v>7156</v>
      </c>
      <c r="I3348" s="7"/>
      <c r="J3348" s="10">
        <v>46252</v>
      </c>
      <c r="K3348" s="7" t="s">
        <v>7164</v>
      </c>
      <c r="L3348" s="7"/>
      <c r="M3348" s="7"/>
    </row>
    <row r="3349" spans="1:13" x14ac:dyDescent="0.3">
      <c r="A3349" s="7">
        <v>18990</v>
      </c>
      <c r="B3349" s="7" t="s">
        <v>3357</v>
      </c>
      <c r="C3349" s="7" t="s">
        <v>6322</v>
      </c>
      <c r="D3349" s="7" t="s">
        <v>6535</v>
      </c>
      <c r="E3349" s="7" t="s">
        <v>6295</v>
      </c>
      <c r="F3349" s="7" t="s">
        <v>6536</v>
      </c>
      <c r="G3349" s="7" t="s">
        <v>7150</v>
      </c>
      <c r="H3349" s="7" t="s">
        <v>7156</v>
      </c>
      <c r="I3349" s="7"/>
      <c r="J3349" s="10">
        <v>46255</v>
      </c>
      <c r="K3349" s="7" t="s">
        <v>7164</v>
      </c>
      <c r="L3349" s="7"/>
      <c r="M3349" s="7"/>
    </row>
    <row r="3350" spans="1:13" x14ac:dyDescent="0.3">
      <c r="A3350" s="7">
        <v>19006</v>
      </c>
      <c r="B3350" s="7" t="s">
        <v>3358</v>
      </c>
      <c r="C3350" s="7" t="s">
        <v>6322</v>
      </c>
      <c r="D3350" s="7" t="s">
        <v>6535</v>
      </c>
      <c r="E3350" s="7" t="s">
        <v>6295</v>
      </c>
      <c r="F3350" s="7" t="s">
        <v>6536</v>
      </c>
      <c r="G3350" s="7" t="s">
        <v>7150</v>
      </c>
      <c r="H3350" s="7" t="s">
        <v>7156</v>
      </c>
      <c r="I3350" s="7"/>
      <c r="J3350" s="10">
        <v>46259</v>
      </c>
      <c r="K3350" s="7" t="s">
        <v>7164</v>
      </c>
      <c r="L3350" s="7"/>
      <c r="M3350" s="7"/>
    </row>
    <row r="3351" spans="1:13" x14ac:dyDescent="0.3">
      <c r="A3351" s="7">
        <v>18419</v>
      </c>
      <c r="B3351" s="7" t="s">
        <v>3359</v>
      </c>
      <c r="C3351" s="7" t="s">
        <v>6322</v>
      </c>
      <c r="D3351" s="7" t="s">
        <v>6535</v>
      </c>
      <c r="E3351" s="7" t="s">
        <v>6295</v>
      </c>
      <c r="F3351" s="7" t="s">
        <v>6536</v>
      </c>
      <c r="G3351" s="7" t="s">
        <v>7150</v>
      </c>
      <c r="H3351" s="7" t="s">
        <v>7156</v>
      </c>
      <c r="I3351" s="7"/>
      <c r="J3351" s="10">
        <v>46127</v>
      </c>
      <c r="K3351" s="7" t="s">
        <v>7164</v>
      </c>
      <c r="L3351" s="7"/>
      <c r="M3351" s="7"/>
    </row>
    <row r="3352" spans="1:13" x14ac:dyDescent="0.3">
      <c r="A3352" s="7">
        <v>12502</v>
      </c>
      <c r="B3352" s="7" t="s">
        <v>3360</v>
      </c>
      <c r="C3352" s="7" t="s">
        <v>6322</v>
      </c>
      <c r="D3352" s="7" t="s">
        <v>6535</v>
      </c>
      <c r="E3352" s="7" t="s">
        <v>6295</v>
      </c>
      <c r="F3352" s="7" t="s">
        <v>6536</v>
      </c>
      <c r="G3352" s="7" t="s">
        <v>7151</v>
      </c>
      <c r="H3352" s="7" t="s">
        <v>7156</v>
      </c>
      <c r="I3352" s="7"/>
      <c r="J3352" s="10">
        <v>43777</v>
      </c>
      <c r="K3352" s="7" t="s">
        <v>7164</v>
      </c>
      <c r="L3352" s="7"/>
      <c r="M3352" s="7"/>
    </row>
    <row r="3353" spans="1:13" x14ac:dyDescent="0.3">
      <c r="A3353" s="7">
        <v>17260</v>
      </c>
      <c r="B3353" s="7" t="s">
        <v>3361</v>
      </c>
      <c r="C3353" s="7" t="s">
        <v>6327</v>
      </c>
      <c r="D3353" s="7" t="s">
        <v>6535</v>
      </c>
      <c r="E3353" s="7" t="s">
        <v>6295</v>
      </c>
      <c r="F3353" s="7" t="s">
        <v>6536</v>
      </c>
      <c r="G3353" s="7" t="s">
        <v>7150</v>
      </c>
      <c r="H3353" s="7" t="s">
        <v>7156</v>
      </c>
      <c r="I3353" s="7"/>
      <c r="J3353" s="10">
        <v>45692</v>
      </c>
      <c r="K3353" s="7" t="s">
        <v>7164</v>
      </c>
      <c r="L3353" s="7"/>
      <c r="M3353" s="7"/>
    </row>
    <row r="3354" spans="1:13" x14ac:dyDescent="0.3">
      <c r="A3354" s="7">
        <v>18785</v>
      </c>
      <c r="B3354" s="7" t="s">
        <v>3362</v>
      </c>
      <c r="C3354" s="7" t="s">
        <v>6327</v>
      </c>
      <c r="D3354" s="7" t="s">
        <v>6535</v>
      </c>
      <c r="E3354" s="7" t="s">
        <v>6295</v>
      </c>
      <c r="F3354" s="7" t="s">
        <v>6536</v>
      </c>
      <c r="G3354" s="7" t="s">
        <v>7150</v>
      </c>
      <c r="H3354" s="7" t="s">
        <v>7156</v>
      </c>
      <c r="I3354" s="7"/>
      <c r="J3354" s="10">
        <v>46211</v>
      </c>
      <c r="K3354" s="7" t="s">
        <v>7164</v>
      </c>
      <c r="L3354" s="7"/>
      <c r="M3354" s="7"/>
    </row>
    <row r="3355" spans="1:13" x14ac:dyDescent="0.3">
      <c r="A3355" s="7">
        <v>18771</v>
      </c>
      <c r="B3355" s="7" t="s">
        <v>3363</v>
      </c>
      <c r="C3355" s="7" t="s">
        <v>6327</v>
      </c>
      <c r="D3355" s="7" t="s">
        <v>6535</v>
      </c>
      <c r="E3355" s="7" t="s">
        <v>6295</v>
      </c>
      <c r="F3355" s="7" t="s">
        <v>6536</v>
      </c>
      <c r="G3355" s="7" t="s">
        <v>7150</v>
      </c>
      <c r="H3355" s="7" t="s">
        <v>7156</v>
      </c>
      <c r="I3355" s="7"/>
      <c r="J3355" s="10">
        <v>46216</v>
      </c>
      <c r="K3355" s="7" t="s">
        <v>7164</v>
      </c>
      <c r="L3355" s="7"/>
      <c r="M3355" s="7"/>
    </row>
    <row r="3356" spans="1:13" x14ac:dyDescent="0.3">
      <c r="A3356" s="7">
        <v>13528</v>
      </c>
      <c r="B3356" s="7" t="s">
        <v>3364</v>
      </c>
      <c r="C3356" s="7" t="s">
        <v>6322</v>
      </c>
      <c r="D3356" s="7" t="s">
        <v>6535</v>
      </c>
      <c r="E3356" s="7" t="s">
        <v>6295</v>
      </c>
      <c r="F3356" s="7" t="s">
        <v>6536</v>
      </c>
      <c r="G3356" s="7" t="s">
        <v>7150</v>
      </c>
      <c r="H3356" s="7" t="s">
        <v>7156</v>
      </c>
      <c r="I3356" s="7"/>
      <c r="J3356" s="10">
        <v>44483</v>
      </c>
      <c r="K3356" s="7" t="s">
        <v>7164</v>
      </c>
      <c r="L3356" s="7"/>
      <c r="M3356" s="7"/>
    </row>
    <row r="3357" spans="1:13" x14ac:dyDescent="0.3">
      <c r="A3357" s="7">
        <v>17407</v>
      </c>
      <c r="B3357" s="7" t="s">
        <v>3365</v>
      </c>
      <c r="C3357" s="7" t="s">
        <v>6322</v>
      </c>
      <c r="D3357" s="7" t="s">
        <v>6535</v>
      </c>
      <c r="E3357" s="7" t="s">
        <v>6295</v>
      </c>
      <c r="F3357" s="7" t="s">
        <v>6536</v>
      </c>
      <c r="G3357" s="7" t="s">
        <v>7150</v>
      </c>
      <c r="H3357" s="7" t="s">
        <v>7156</v>
      </c>
      <c r="I3357" s="7"/>
      <c r="J3357" s="10">
        <v>45730</v>
      </c>
      <c r="K3357" s="7" t="s">
        <v>7164</v>
      </c>
      <c r="L3357" s="7"/>
      <c r="M3357" s="7"/>
    </row>
    <row r="3358" spans="1:13" x14ac:dyDescent="0.3">
      <c r="A3358" s="7">
        <v>12498</v>
      </c>
      <c r="B3358" s="7" t="s">
        <v>3366</v>
      </c>
      <c r="C3358" s="7" t="s">
        <v>6322</v>
      </c>
      <c r="D3358" s="7" t="s">
        <v>6535</v>
      </c>
      <c r="E3358" s="7" t="s">
        <v>6295</v>
      </c>
      <c r="F3358" s="7" t="s">
        <v>6536</v>
      </c>
      <c r="G3358" s="7" t="s">
        <v>7150</v>
      </c>
      <c r="H3358" s="7" t="s">
        <v>7156</v>
      </c>
      <c r="I3358" s="7"/>
      <c r="J3358" s="10">
        <v>43777</v>
      </c>
      <c r="K3358" s="7" t="s">
        <v>7164</v>
      </c>
      <c r="L3358" s="7"/>
      <c r="M3358" s="7"/>
    </row>
    <row r="3359" spans="1:13" x14ac:dyDescent="0.3">
      <c r="A3359" s="7">
        <v>12577</v>
      </c>
      <c r="B3359" s="7" t="s">
        <v>3367</v>
      </c>
      <c r="C3359" s="7" t="s">
        <v>6322</v>
      </c>
      <c r="D3359" s="7" t="s">
        <v>6748</v>
      </c>
      <c r="E3359" s="7" t="s">
        <v>6295</v>
      </c>
      <c r="F3359" s="7" t="s">
        <v>6536</v>
      </c>
      <c r="G3359" s="7" t="s">
        <v>7150</v>
      </c>
      <c r="H3359" s="7" t="s">
        <v>7156</v>
      </c>
      <c r="I3359" s="7"/>
      <c r="J3359" s="10">
        <v>43816</v>
      </c>
      <c r="K3359" s="7" t="s">
        <v>7164</v>
      </c>
      <c r="L3359" s="7"/>
      <c r="M3359" s="7"/>
    </row>
    <row r="3360" spans="1:13" x14ac:dyDescent="0.3">
      <c r="A3360" s="7">
        <v>600017</v>
      </c>
      <c r="B3360" s="7" t="s">
        <v>3368</v>
      </c>
      <c r="C3360" s="7" t="s">
        <v>6327</v>
      </c>
      <c r="D3360" s="7" t="s">
        <v>6535</v>
      </c>
      <c r="E3360" s="7" t="s">
        <v>6295</v>
      </c>
      <c r="F3360" s="7" t="s">
        <v>6536</v>
      </c>
      <c r="G3360" s="7" t="s">
        <v>7150</v>
      </c>
      <c r="H3360" s="7" t="s">
        <v>7156</v>
      </c>
      <c r="I3360" s="7"/>
      <c r="J3360" s="10">
        <v>40093</v>
      </c>
      <c r="K3360" s="7" t="s">
        <v>7164</v>
      </c>
      <c r="L3360" s="7"/>
      <c r="M3360" s="7"/>
    </row>
    <row r="3361" spans="1:13" x14ac:dyDescent="0.3">
      <c r="A3361" s="7">
        <v>230024</v>
      </c>
      <c r="B3361" s="7" t="s">
        <v>3369</v>
      </c>
      <c r="C3361" s="7" t="s">
        <v>6327</v>
      </c>
      <c r="D3361" s="7" t="s">
        <v>6535</v>
      </c>
      <c r="E3361" s="7" t="s">
        <v>6295</v>
      </c>
      <c r="F3361" s="7" t="s">
        <v>6536</v>
      </c>
      <c r="G3361" s="7" t="s">
        <v>7150</v>
      </c>
      <c r="H3361" s="7" t="s">
        <v>7156</v>
      </c>
      <c r="I3361" s="7"/>
      <c r="J3361" s="10">
        <v>41061</v>
      </c>
      <c r="K3361" s="7" t="s">
        <v>7164</v>
      </c>
      <c r="L3361" s="7"/>
      <c r="M3361" s="7"/>
    </row>
    <row r="3362" spans="1:13" x14ac:dyDescent="0.3">
      <c r="A3362" s="7">
        <v>220016</v>
      </c>
      <c r="B3362" s="7" t="s">
        <v>3370</v>
      </c>
      <c r="C3362" s="7" t="s">
        <v>6327</v>
      </c>
      <c r="D3362" s="7" t="s">
        <v>6535</v>
      </c>
      <c r="E3362" s="7" t="s">
        <v>6295</v>
      </c>
      <c r="F3362" s="7" t="s">
        <v>6536</v>
      </c>
      <c r="G3362" s="7" t="s">
        <v>7150</v>
      </c>
      <c r="H3362" s="7" t="s">
        <v>7156</v>
      </c>
      <c r="I3362" s="7"/>
      <c r="J3362" s="10">
        <v>40813</v>
      </c>
      <c r="K3362" s="7" t="s">
        <v>7164</v>
      </c>
      <c r="L3362" s="7"/>
      <c r="M3362" s="7"/>
    </row>
    <row r="3363" spans="1:13" x14ac:dyDescent="0.3">
      <c r="A3363" s="7">
        <v>14716</v>
      </c>
      <c r="B3363" s="7" t="s">
        <v>3371</v>
      </c>
      <c r="C3363" s="7" t="s">
        <v>6322</v>
      </c>
      <c r="D3363" s="7" t="s">
        <v>6535</v>
      </c>
      <c r="E3363" s="7" t="s">
        <v>6295</v>
      </c>
      <c r="F3363" s="7" t="s">
        <v>6536</v>
      </c>
      <c r="G3363" s="7" t="s">
        <v>7150</v>
      </c>
      <c r="H3363" s="7" t="s">
        <v>7156</v>
      </c>
      <c r="I3363" s="7"/>
      <c r="J3363" s="10">
        <v>44846</v>
      </c>
      <c r="K3363" s="7" t="s">
        <v>7164</v>
      </c>
      <c r="L3363" s="7"/>
      <c r="M3363" s="7"/>
    </row>
    <row r="3364" spans="1:13" x14ac:dyDescent="0.3">
      <c r="A3364" s="7">
        <v>13175</v>
      </c>
      <c r="B3364" s="7" t="s">
        <v>3372</v>
      </c>
      <c r="C3364" s="7" t="s">
        <v>6327</v>
      </c>
      <c r="D3364" s="7" t="s">
        <v>6535</v>
      </c>
      <c r="E3364" s="7" t="s">
        <v>6295</v>
      </c>
      <c r="F3364" s="7" t="s">
        <v>6536</v>
      </c>
      <c r="G3364" s="7" t="s">
        <v>7150</v>
      </c>
      <c r="H3364" s="7" t="s">
        <v>7156</v>
      </c>
      <c r="I3364" s="7"/>
      <c r="J3364" s="10">
        <v>44302</v>
      </c>
      <c r="K3364" s="7" t="s">
        <v>7164</v>
      </c>
      <c r="L3364" s="7"/>
      <c r="M3364" s="7"/>
    </row>
    <row r="3365" spans="1:13" x14ac:dyDescent="0.3">
      <c r="A3365" s="7">
        <v>11554</v>
      </c>
      <c r="B3365" s="7" t="s">
        <v>3373</v>
      </c>
      <c r="C3365" s="7" t="s">
        <v>6327</v>
      </c>
      <c r="D3365" s="7" t="s">
        <v>6535</v>
      </c>
      <c r="E3365" s="7" t="s">
        <v>6295</v>
      </c>
      <c r="F3365" s="7" t="s">
        <v>6712</v>
      </c>
      <c r="G3365" s="7" t="s">
        <v>7150</v>
      </c>
      <c r="H3365" s="7" t="s">
        <v>7156</v>
      </c>
      <c r="I3365" s="7"/>
      <c r="J3365" s="10">
        <v>42832</v>
      </c>
      <c r="K3365" s="7" t="s">
        <v>7164</v>
      </c>
      <c r="L3365" s="7"/>
      <c r="M3365" s="7"/>
    </row>
    <row r="3366" spans="1:13" x14ac:dyDescent="0.3">
      <c r="A3366" s="7">
        <v>600044</v>
      </c>
      <c r="B3366" s="7" t="s">
        <v>3374</v>
      </c>
      <c r="C3366" s="7" t="s">
        <v>6327</v>
      </c>
      <c r="D3366" s="7" t="s">
        <v>6535</v>
      </c>
      <c r="E3366" s="7" t="s">
        <v>6295</v>
      </c>
      <c r="F3366" s="7" t="s">
        <v>6536</v>
      </c>
      <c r="G3366" s="7" t="s">
        <v>7150</v>
      </c>
      <c r="H3366" s="7" t="s">
        <v>7156</v>
      </c>
      <c r="I3366" s="7"/>
      <c r="J3366" s="10">
        <v>43577</v>
      </c>
      <c r="K3366" s="7" t="s">
        <v>7164</v>
      </c>
      <c r="L3366" s="7"/>
      <c r="M3366" s="7"/>
    </row>
    <row r="3367" spans="1:13" x14ac:dyDescent="0.3">
      <c r="A3367" s="7">
        <v>980009</v>
      </c>
      <c r="B3367" s="7" t="s">
        <v>3375</v>
      </c>
      <c r="C3367" s="7" t="s">
        <v>6322</v>
      </c>
      <c r="D3367" s="7" t="s">
        <v>6535</v>
      </c>
      <c r="E3367" s="7" t="s">
        <v>6295</v>
      </c>
      <c r="F3367" s="7" t="s">
        <v>6536</v>
      </c>
      <c r="G3367" s="7" t="s">
        <v>7150</v>
      </c>
      <c r="H3367" s="7" t="s">
        <v>7156</v>
      </c>
      <c r="I3367" s="7"/>
      <c r="J3367" s="10">
        <v>42500</v>
      </c>
      <c r="K3367" s="7" t="s">
        <v>7164</v>
      </c>
      <c r="L3367" s="7"/>
      <c r="M3367" s="7"/>
    </row>
    <row r="3368" spans="1:13" x14ac:dyDescent="0.3">
      <c r="A3368" s="7">
        <v>18819</v>
      </c>
      <c r="B3368" s="7" t="s">
        <v>3376</v>
      </c>
      <c r="C3368" s="7" t="s">
        <v>6322</v>
      </c>
      <c r="D3368" s="7" t="s">
        <v>6535</v>
      </c>
      <c r="E3368" s="7" t="s">
        <v>6295</v>
      </c>
      <c r="F3368" s="7" t="s">
        <v>6747</v>
      </c>
      <c r="G3368" s="7" t="s">
        <v>7150</v>
      </c>
      <c r="H3368" s="7" t="s">
        <v>7156</v>
      </c>
      <c r="I3368" s="7" t="s">
        <v>7159</v>
      </c>
      <c r="J3368" s="10">
        <v>46213</v>
      </c>
      <c r="K3368" s="7" t="s">
        <v>7164</v>
      </c>
      <c r="L3368" s="7"/>
      <c r="M3368" s="7"/>
    </row>
    <row r="3369" spans="1:13" x14ac:dyDescent="0.3">
      <c r="A3369" s="7">
        <v>18148</v>
      </c>
      <c r="B3369" s="7" t="s">
        <v>3377</v>
      </c>
      <c r="C3369" s="7" t="s">
        <v>6327</v>
      </c>
      <c r="D3369" s="7" t="s">
        <v>6535</v>
      </c>
      <c r="E3369" s="7" t="s">
        <v>6295</v>
      </c>
      <c r="F3369" s="7" t="s">
        <v>6536</v>
      </c>
      <c r="G3369" s="7" t="s">
        <v>7150</v>
      </c>
      <c r="H3369" s="7" t="s">
        <v>7156</v>
      </c>
      <c r="I3369" s="7"/>
      <c r="J3369" s="10">
        <v>46014</v>
      </c>
      <c r="K3369" s="7" t="s">
        <v>7164</v>
      </c>
      <c r="L3369" s="7"/>
      <c r="M3369" s="7"/>
    </row>
    <row r="3370" spans="1:13" x14ac:dyDescent="0.3">
      <c r="A3370" s="7">
        <v>20008</v>
      </c>
      <c r="B3370" s="7" t="s">
        <v>3378</v>
      </c>
      <c r="C3370" s="7" t="s">
        <v>6322</v>
      </c>
      <c r="D3370" s="7" t="s">
        <v>6535</v>
      </c>
      <c r="E3370" s="7" t="s">
        <v>6295</v>
      </c>
      <c r="F3370" s="7" t="s">
        <v>6536</v>
      </c>
      <c r="G3370" s="7" t="s">
        <v>7150</v>
      </c>
      <c r="H3370" s="7" t="s">
        <v>7156</v>
      </c>
      <c r="I3370" s="7"/>
      <c r="J3370" s="10">
        <v>41061</v>
      </c>
      <c r="K3370" s="7" t="s">
        <v>7164</v>
      </c>
      <c r="L3370" s="7"/>
      <c r="M3370" s="7"/>
    </row>
    <row r="3371" spans="1:13" x14ac:dyDescent="0.3">
      <c r="A3371" s="7">
        <v>14224</v>
      </c>
      <c r="B3371" s="7" t="s">
        <v>3379</v>
      </c>
      <c r="C3371" s="7" t="s">
        <v>6327</v>
      </c>
      <c r="D3371" s="7" t="s">
        <v>6535</v>
      </c>
      <c r="E3371" s="7" t="s">
        <v>6295</v>
      </c>
      <c r="F3371" s="7" t="s">
        <v>6536</v>
      </c>
      <c r="G3371" s="7" t="s">
        <v>7150</v>
      </c>
      <c r="H3371" s="7" t="s">
        <v>7156</v>
      </c>
      <c r="I3371" s="7"/>
      <c r="J3371" s="10">
        <v>44700</v>
      </c>
      <c r="K3371" s="7" t="s">
        <v>7164</v>
      </c>
      <c r="L3371" s="7"/>
      <c r="M3371" s="7"/>
    </row>
    <row r="3372" spans="1:13" x14ac:dyDescent="0.3">
      <c r="A3372" s="7">
        <v>13353</v>
      </c>
      <c r="B3372" s="7" t="s">
        <v>3380</v>
      </c>
      <c r="C3372" s="7" t="s">
        <v>6327</v>
      </c>
      <c r="D3372" s="7" t="s">
        <v>6535</v>
      </c>
      <c r="E3372" s="7" t="s">
        <v>6295</v>
      </c>
      <c r="F3372" s="7" t="s">
        <v>6536</v>
      </c>
      <c r="G3372" s="7" t="s">
        <v>7150</v>
      </c>
      <c r="H3372" s="7" t="s">
        <v>7156</v>
      </c>
      <c r="I3372" s="7"/>
      <c r="J3372" s="10">
        <v>44399</v>
      </c>
      <c r="K3372" s="7" t="s">
        <v>7164</v>
      </c>
      <c r="L3372" s="7"/>
      <c r="M3372" s="7"/>
    </row>
    <row r="3373" spans="1:13" x14ac:dyDescent="0.3">
      <c r="A3373" s="7">
        <v>18205</v>
      </c>
      <c r="B3373" s="7" t="s">
        <v>3381</v>
      </c>
      <c r="C3373" s="7" t="s">
        <v>6327</v>
      </c>
      <c r="D3373" s="7" t="s">
        <v>6535</v>
      </c>
      <c r="E3373" s="7" t="s">
        <v>6295</v>
      </c>
      <c r="F3373" s="7" t="s">
        <v>6536</v>
      </c>
      <c r="G3373" s="7" t="s">
        <v>7150</v>
      </c>
      <c r="H3373" s="7" t="s">
        <v>7156</v>
      </c>
      <c r="I3373" s="7"/>
      <c r="J3373" s="10">
        <v>46055</v>
      </c>
      <c r="K3373" s="7" t="s">
        <v>7164</v>
      </c>
      <c r="L3373" s="7"/>
      <c r="M3373" s="7"/>
    </row>
    <row r="3374" spans="1:13" x14ac:dyDescent="0.3">
      <c r="A3374" s="7">
        <v>18308</v>
      </c>
      <c r="B3374" s="7" t="s">
        <v>3382</v>
      </c>
      <c r="C3374" s="7" t="s">
        <v>6646</v>
      </c>
      <c r="D3374" s="7" t="s">
        <v>6708</v>
      </c>
      <c r="E3374" s="7" t="s">
        <v>6295</v>
      </c>
      <c r="F3374" s="7" t="s">
        <v>6536</v>
      </c>
      <c r="G3374" s="7" t="s">
        <v>7150</v>
      </c>
      <c r="H3374" s="7" t="s">
        <v>7156</v>
      </c>
      <c r="I3374" s="7"/>
      <c r="J3374" s="10">
        <v>46084</v>
      </c>
      <c r="K3374" s="7" t="s">
        <v>7164</v>
      </c>
      <c r="L3374" s="7"/>
      <c r="M3374" s="7"/>
    </row>
    <row r="3375" spans="1:13" x14ac:dyDescent="0.3">
      <c r="A3375" s="7">
        <v>11641</v>
      </c>
      <c r="B3375" s="7" t="s">
        <v>3383</v>
      </c>
      <c r="C3375" s="7" t="s">
        <v>6327</v>
      </c>
      <c r="D3375" s="7" t="s">
        <v>6535</v>
      </c>
      <c r="E3375" s="7" t="s">
        <v>6295</v>
      </c>
      <c r="F3375" s="7" t="s">
        <v>6536</v>
      </c>
      <c r="G3375" s="7" t="s">
        <v>7150</v>
      </c>
      <c r="H3375" s="7" t="s">
        <v>7156</v>
      </c>
      <c r="I3375" s="7"/>
      <c r="J3375" s="10">
        <v>42970</v>
      </c>
      <c r="K3375" s="7" t="s">
        <v>7164</v>
      </c>
      <c r="L3375" s="7"/>
      <c r="M3375" s="7"/>
    </row>
    <row r="3376" spans="1:13" x14ac:dyDescent="0.3">
      <c r="A3376" s="7">
        <v>18909</v>
      </c>
      <c r="B3376" s="7" t="s">
        <v>3384</v>
      </c>
      <c r="C3376" s="7" t="s">
        <v>6646</v>
      </c>
      <c r="D3376" s="7" t="s">
        <v>6708</v>
      </c>
      <c r="E3376" s="7" t="s">
        <v>6295</v>
      </c>
      <c r="F3376" s="7" t="s">
        <v>6536</v>
      </c>
      <c r="G3376" s="7" t="s">
        <v>7150</v>
      </c>
      <c r="H3376" s="7" t="s">
        <v>7156</v>
      </c>
      <c r="I3376" s="7"/>
      <c r="J3376" s="10">
        <v>46238</v>
      </c>
      <c r="K3376" s="7" t="s">
        <v>7164</v>
      </c>
      <c r="L3376" s="7"/>
      <c r="M3376" s="7"/>
    </row>
    <row r="3377" spans="1:13" x14ac:dyDescent="0.3">
      <c r="A3377" s="7">
        <v>18338</v>
      </c>
      <c r="B3377" s="7" t="s">
        <v>3385</v>
      </c>
      <c r="C3377" s="7" t="s">
        <v>6327</v>
      </c>
      <c r="D3377" s="7" t="s">
        <v>6535</v>
      </c>
      <c r="E3377" s="7" t="s">
        <v>6295</v>
      </c>
      <c r="F3377" s="7" t="s">
        <v>6536</v>
      </c>
      <c r="G3377" s="7" t="s">
        <v>7150</v>
      </c>
      <c r="H3377" s="7" t="s">
        <v>7156</v>
      </c>
      <c r="I3377" s="7"/>
      <c r="J3377" s="10">
        <v>46097</v>
      </c>
      <c r="K3377" s="7" t="s">
        <v>7164</v>
      </c>
      <c r="L3377" s="7"/>
      <c r="M3377" s="7"/>
    </row>
    <row r="3378" spans="1:13" x14ac:dyDescent="0.3">
      <c r="A3378" s="7">
        <v>18333</v>
      </c>
      <c r="B3378" s="7" t="s">
        <v>3386</v>
      </c>
      <c r="C3378" s="7" t="s">
        <v>6327</v>
      </c>
      <c r="D3378" s="7" t="s">
        <v>6535</v>
      </c>
      <c r="E3378" s="7" t="s">
        <v>6295</v>
      </c>
      <c r="F3378" s="7" t="s">
        <v>6536</v>
      </c>
      <c r="G3378" s="7" t="s">
        <v>7150</v>
      </c>
      <c r="H3378" s="7" t="s">
        <v>7156</v>
      </c>
      <c r="I3378" s="7"/>
      <c r="J3378" s="10">
        <v>46094</v>
      </c>
      <c r="K3378" s="7" t="s">
        <v>7164</v>
      </c>
      <c r="L3378" s="7"/>
      <c r="M3378" s="7"/>
    </row>
    <row r="3379" spans="1:13" x14ac:dyDescent="0.3">
      <c r="A3379" s="7">
        <v>11292</v>
      </c>
      <c r="B3379" s="7" t="s">
        <v>3387</v>
      </c>
      <c r="C3379" s="7" t="s">
        <v>6327</v>
      </c>
      <c r="D3379" s="7" t="s">
        <v>6535</v>
      </c>
      <c r="E3379" s="7" t="s">
        <v>6295</v>
      </c>
      <c r="F3379" s="7" t="s">
        <v>6712</v>
      </c>
      <c r="G3379" s="7" t="s">
        <v>7150</v>
      </c>
      <c r="H3379" s="7" t="s">
        <v>7156</v>
      </c>
      <c r="I3379" s="7"/>
      <c r="J3379" s="10">
        <v>42502</v>
      </c>
      <c r="K3379" s="7" t="s">
        <v>7164</v>
      </c>
      <c r="L3379" s="7"/>
      <c r="M3379" s="7"/>
    </row>
    <row r="3380" spans="1:13" x14ac:dyDescent="0.3">
      <c r="A3380" s="7">
        <v>300108</v>
      </c>
      <c r="B3380" s="7" t="s">
        <v>3388</v>
      </c>
      <c r="C3380" s="7" t="s">
        <v>6327</v>
      </c>
      <c r="D3380" s="7" t="s">
        <v>6535</v>
      </c>
      <c r="E3380" s="7" t="s">
        <v>6295</v>
      </c>
      <c r="F3380" s="7" t="s">
        <v>6536</v>
      </c>
      <c r="G3380" s="7" t="s">
        <v>7150</v>
      </c>
      <c r="H3380" s="7" t="s">
        <v>7156</v>
      </c>
      <c r="I3380" s="7"/>
      <c r="J3380" s="10">
        <v>43075</v>
      </c>
      <c r="K3380" s="7" t="s">
        <v>7164</v>
      </c>
      <c r="L3380" s="7"/>
      <c r="M3380" s="7"/>
    </row>
    <row r="3381" spans="1:13" x14ac:dyDescent="0.3">
      <c r="A3381" s="7">
        <v>17809</v>
      </c>
      <c r="B3381" s="7" t="s">
        <v>3389</v>
      </c>
      <c r="C3381" s="7" t="s">
        <v>6327</v>
      </c>
      <c r="D3381" s="7" t="s">
        <v>6535</v>
      </c>
      <c r="E3381" s="7" t="s">
        <v>6295</v>
      </c>
      <c r="F3381" s="7" t="s">
        <v>6536</v>
      </c>
      <c r="G3381" s="7" t="s">
        <v>7150</v>
      </c>
      <c r="H3381" s="7" t="s">
        <v>7156</v>
      </c>
      <c r="I3381" s="7"/>
      <c r="J3381" s="10">
        <v>45888</v>
      </c>
      <c r="K3381" s="7" t="s">
        <v>7164</v>
      </c>
      <c r="L3381" s="7"/>
      <c r="M3381" s="7"/>
    </row>
    <row r="3382" spans="1:13" x14ac:dyDescent="0.3">
      <c r="A3382" s="7">
        <v>12761</v>
      </c>
      <c r="B3382" s="7" t="s">
        <v>3390</v>
      </c>
      <c r="C3382" s="7" t="s">
        <v>6327</v>
      </c>
      <c r="D3382" s="7" t="s">
        <v>6535</v>
      </c>
      <c r="E3382" s="7" t="s">
        <v>6295</v>
      </c>
      <c r="F3382" s="7" t="s">
        <v>6536</v>
      </c>
      <c r="G3382" s="7" t="s">
        <v>7150</v>
      </c>
      <c r="H3382" s="7" t="s">
        <v>7156</v>
      </c>
      <c r="I3382" s="7"/>
      <c r="J3382" s="10">
        <v>43901</v>
      </c>
      <c r="K3382" s="7" t="s">
        <v>7164</v>
      </c>
      <c r="L3382" s="7"/>
      <c r="M3382" s="7"/>
    </row>
    <row r="3383" spans="1:13" x14ac:dyDescent="0.3">
      <c r="A3383" s="7">
        <v>10836</v>
      </c>
      <c r="B3383" s="7" t="s">
        <v>3391</v>
      </c>
      <c r="C3383" s="7" t="s">
        <v>6327</v>
      </c>
      <c r="D3383" s="7" t="s">
        <v>6535</v>
      </c>
      <c r="E3383" s="7" t="s">
        <v>6295</v>
      </c>
      <c r="F3383" s="7" t="s">
        <v>6536</v>
      </c>
      <c r="G3383" s="7" t="s">
        <v>7150</v>
      </c>
      <c r="H3383" s="7" t="s">
        <v>7156</v>
      </c>
      <c r="I3383" s="7"/>
      <c r="J3383" s="10">
        <v>41989</v>
      </c>
      <c r="K3383" s="7" t="s">
        <v>7164</v>
      </c>
      <c r="L3383" s="7"/>
      <c r="M3383" s="7"/>
    </row>
    <row r="3384" spans="1:13" x14ac:dyDescent="0.3">
      <c r="A3384" s="7">
        <v>16026</v>
      </c>
      <c r="B3384" s="7" t="s">
        <v>3392</v>
      </c>
      <c r="C3384" s="7" t="s">
        <v>6327</v>
      </c>
      <c r="D3384" s="7" t="s">
        <v>6535</v>
      </c>
      <c r="E3384" s="7" t="s">
        <v>6295</v>
      </c>
      <c r="F3384" s="7" t="s">
        <v>6536</v>
      </c>
      <c r="G3384" s="7" t="s">
        <v>7151</v>
      </c>
      <c r="H3384" s="7" t="s">
        <v>7156</v>
      </c>
      <c r="I3384" s="7"/>
      <c r="J3384" s="10">
        <v>45266</v>
      </c>
      <c r="K3384" s="7" t="s">
        <v>7164</v>
      </c>
      <c r="L3384" s="7"/>
      <c r="M3384" s="7"/>
    </row>
    <row r="3385" spans="1:13" x14ac:dyDescent="0.3">
      <c r="A3385" s="7">
        <v>17372</v>
      </c>
      <c r="B3385" s="7" t="s">
        <v>3393</v>
      </c>
      <c r="C3385" s="7" t="s">
        <v>6327</v>
      </c>
      <c r="D3385" s="7" t="s">
        <v>6535</v>
      </c>
      <c r="E3385" s="7" t="s">
        <v>6295</v>
      </c>
      <c r="F3385" s="7" t="s">
        <v>6536</v>
      </c>
      <c r="G3385" s="7" t="s">
        <v>7150</v>
      </c>
      <c r="H3385" s="7" t="s">
        <v>7156</v>
      </c>
      <c r="I3385" s="7"/>
      <c r="J3385" s="10">
        <v>45727</v>
      </c>
      <c r="K3385" s="7" t="s">
        <v>7164</v>
      </c>
      <c r="L3385" s="7"/>
      <c r="M3385" s="7"/>
    </row>
    <row r="3386" spans="1:13" x14ac:dyDescent="0.3">
      <c r="A3386" s="7">
        <v>16638</v>
      </c>
      <c r="B3386" s="7" t="s">
        <v>3394</v>
      </c>
      <c r="C3386" s="7" t="s">
        <v>6327</v>
      </c>
      <c r="D3386" s="7" t="s">
        <v>6535</v>
      </c>
      <c r="E3386" s="7" t="s">
        <v>6295</v>
      </c>
      <c r="F3386" s="7" t="s">
        <v>6536</v>
      </c>
      <c r="G3386" s="7" t="s">
        <v>7150</v>
      </c>
      <c r="H3386" s="7" t="s">
        <v>7156</v>
      </c>
      <c r="I3386" s="7"/>
      <c r="J3386" s="10">
        <v>45524</v>
      </c>
      <c r="K3386" s="7" t="s">
        <v>7164</v>
      </c>
      <c r="L3386" s="7"/>
      <c r="M3386" s="7"/>
    </row>
    <row r="3387" spans="1:13" x14ac:dyDescent="0.3">
      <c r="A3387" s="7">
        <v>16531</v>
      </c>
      <c r="B3387" s="7" t="s">
        <v>3395</v>
      </c>
      <c r="C3387" s="7" t="s">
        <v>6327</v>
      </c>
      <c r="D3387" s="7" t="s">
        <v>6535</v>
      </c>
      <c r="E3387" s="7" t="s">
        <v>6295</v>
      </c>
      <c r="F3387" s="7" t="s">
        <v>6536</v>
      </c>
      <c r="G3387" s="7" t="s">
        <v>7150</v>
      </c>
      <c r="H3387" s="7" t="s">
        <v>7156</v>
      </c>
      <c r="I3387" s="7"/>
      <c r="J3387" s="10">
        <v>45446</v>
      </c>
      <c r="K3387" s="7" t="s">
        <v>7164</v>
      </c>
      <c r="L3387" s="7"/>
      <c r="M3387" s="7"/>
    </row>
    <row r="3388" spans="1:13" x14ac:dyDescent="0.3">
      <c r="A3388" s="7">
        <v>600018</v>
      </c>
      <c r="B3388" s="7" t="s">
        <v>3396</v>
      </c>
      <c r="C3388" s="7" t="s">
        <v>6327</v>
      </c>
      <c r="D3388" s="7" t="s">
        <v>6535</v>
      </c>
      <c r="E3388" s="7" t="s">
        <v>6295</v>
      </c>
      <c r="F3388" s="7" t="s">
        <v>6536</v>
      </c>
      <c r="G3388" s="7" t="s">
        <v>7150</v>
      </c>
      <c r="H3388" s="7" t="s">
        <v>7156</v>
      </c>
      <c r="I3388" s="7"/>
      <c r="J3388" s="10">
        <v>39026</v>
      </c>
      <c r="K3388" s="7" t="s">
        <v>7164</v>
      </c>
      <c r="L3388" s="7"/>
      <c r="M3388" s="7"/>
    </row>
    <row r="3389" spans="1:13" x14ac:dyDescent="0.3">
      <c r="A3389" s="7">
        <v>500029</v>
      </c>
      <c r="B3389" s="7" t="s">
        <v>3397</v>
      </c>
      <c r="C3389" s="7" t="s">
        <v>6327</v>
      </c>
      <c r="D3389" s="7" t="s">
        <v>6535</v>
      </c>
      <c r="E3389" s="7" t="s">
        <v>6295</v>
      </c>
      <c r="F3389" s="7" t="s">
        <v>6536</v>
      </c>
      <c r="G3389" s="7" t="s">
        <v>7150</v>
      </c>
      <c r="H3389" s="7" t="s">
        <v>7156</v>
      </c>
      <c r="I3389" s="7"/>
      <c r="J3389" s="10">
        <v>42331</v>
      </c>
      <c r="K3389" s="7" t="s">
        <v>7164</v>
      </c>
      <c r="L3389" s="7"/>
      <c r="M3389" s="7"/>
    </row>
    <row r="3390" spans="1:13" x14ac:dyDescent="0.3">
      <c r="A3390" s="7">
        <v>12275</v>
      </c>
      <c r="B3390" s="7" t="s">
        <v>3398</v>
      </c>
      <c r="C3390" s="7" t="s">
        <v>6322</v>
      </c>
      <c r="D3390" s="7" t="s">
        <v>6535</v>
      </c>
      <c r="E3390" s="7" t="s">
        <v>6295</v>
      </c>
      <c r="F3390" s="7" t="s">
        <v>6536</v>
      </c>
      <c r="G3390" s="7" t="s">
        <v>7150</v>
      </c>
      <c r="H3390" s="7" t="s">
        <v>7156</v>
      </c>
      <c r="I3390" s="7"/>
      <c r="J3390" s="10">
        <v>43658</v>
      </c>
      <c r="K3390" s="7" t="s">
        <v>7164</v>
      </c>
      <c r="L3390" s="7"/>
      <c r="M3390" s="7"/>
    </row>
    <row r="3391" spans="1:13" x14ac:dyDescent="0.3">
      <c r="A3391" s="7">
        <v>190040</v>
      </c>
      <c r="B3391" s="7" t="s">
        <v>3399</v>
      </c>
      <c r="C3391" s="7" t="s">
        <v>6327</v>
      </c>
      <c r="D3391" s="7" t="s">
        <v>6535</v>
      </c>
      <c r="E3391" s="7" t="s">
        <v>6295</v>
      </c>
      <c r="F3391" s="7" t="s">
        <v>6536</v>
      </c>
      <c r="G3391" s="7" t="s">
        <v>7150</v>
      </c>
      <c r="H3391" s="7" t="s">
        <v>7156</v>
      </c>
      <c r="I3391" s="7"/>
      <c r="J3391" s="10">
        <v>42753</v>
      </c>
      <c r="K3391" s="7" t="s">
        <v>7164</v>
      </c>
      <c r="L3391" s="7"/>
      <c r="M3391" s="7"/>
    </row>
    <row r="3392" spans="1:13" x14ac:dyDescent="0.3">
      <c r="A3392" s="7">
        <v>11768</v>
      </c>
      <c r="B3392" s="7" t="s">
        <v>3400</v>
      </c>
      <c r="C3392" s="7" t="s">
        <v>6327</v>
      </c>
      <c r="D3392" s="7" t="s">
        <v>6535</v>
      </c>
      <c r="E3392" s="7" t="s">
        <v>6295</v>
      </c>
      <c r="F3392" s="7" t="s">
        <v>6536</v>
      </c>
      <c r="G3392" s="7" t="s">
        <v>7150</v>
      </c>
      <c r="H3392" s="7" t="s">
        <v>7156</v>
      </c>
      <c r="I3392" s="7"/>
      <c r="J3392" s="10">
        <v>43090</v>
      </c>
      <c r="K3392" s="7" t="s">
        <v>7164</v>
      </c>
      <c r="L3392" s="7"/>
      <c r="M3392" s="7"/>
    </row>
    <row r="3393" spans="1:13" x14ac:dyDescent="0.3">
      <c r="A3393" s="7">
        <v>11999</v>
      </c>
      <c r="B3393" s="7" t="s">
        <v>3401</v>
      </c>
      <c r="C3393" s="7" t="s">
        <v>6533</v>
      </c>
      <c r="D3393" s="7" t="s">
        <v>6534</v>
      </c>
      <c r="E3393" s="7" t="s">
        <v>6295</v>
      </c>
      <c r="F3393" s="7" t="s">
        <v>6340</v>
      </c>
      <c r="G3393" s="7" t="s">
        <v>7150</v>
      </c>
      <c r="H3393" s="7" t="s">
        <v>7156</v>
      </c>
      <c r="I3393" s="7"/>
      <c r="J3393" s="10">
        <v>43367</v>
      </c>
      <c r="K3393" s="7" t="s">
        <v>7163</v>
      </c>
      <c r="L3393" s="7"/>
      <c r="M3393" s="7"/>
    </row>
    <row r="3394" spans="1:13" x14ac:dyDescent="0.3">
      <c r="A3394" s="7">
        <v>13779</v>
      </c>
      <c r="B3394" s="7" t="s">
        <v>3402</v>
      </c>
      <c r="C3394" s="7" t="s">
        <v>6749</v>
      </c>
      <c r="D3394" s="7" t="s">
        <v>6750</v>
      </c>
      <c r="E3394" s="7" t="s">
        <v>6295</v>
      </c>
      <c r="F3394" s="7" t="s">
        <v>6333</v>
      </c>
      <c r="G3394" s="7" t="s">
        <v>7150</v>
      </c>
      <c r="H3394" s="7" t="s">
        <v>7156</v>
      </c>
      <c r="I3394" s="7"/>
      <c r="J3394" s="10">
        <v>44574</v>
      </c>
      <c r="K3394" s="7" t="s">
        <v>7164</v>
      </c>
      <c r="L3394" s="7"/>
      <c r="M3394" s="7"/>
    </row>
    <row r="3395" spans="1:13" x14ac:dyDescent="0.3">
      <c r="A3395" s="7">
        <v>11196</v>
      </c>
      <c r="B3395" s="7" t="s">
        <v>3403</v>
      </c>
      <c r="C3395" s="7" t="s">
        <v>6327</v>
      </c>
      <c r="D3395" s="7" t="s">
        <v>6535</v>
      </c>
      <c r="E3395" s="7" t="s">
        <v>6295</v>
      </c>
      <c r="F3395" s="7" t="s">
        <v>6712</v>
      </c>
      <c r="G3395" s="7" t="s">
        <v>7150</v>
      </c>
      <c r="H3395" s="7" t="s">
        <v>7156</v>
      </c>
      <c r="I3395" s="7"/>
      <c r="J3395" s="10">
        <v>42410</v>
      </c>
      <c r="K3395" s="7" t="s">
        <v>7164</v>
      </c>
      <c r="L3395" s="7"/>
      <c r="M3395" s="7"/>
    </row>
    <row r="3396" spans="1:13" x14ac:dyDescent="0.3">
      <c r="A3396" s="7">
        <v>11520</v>
      </c>
      <c r="B3396" s="7" t="s">
        <v>3404</v>
      </c>
      <c r="C3396" s="7" t="s">
        <v>6327</v>
      </c>
      <c r="D3396" s="7" t="s">
        <v>6535</v>
      </c>
      <c r="E3396" s="7" t="s">
        <v>6295</v>
      </c>
      <c r="F3396" s="7" t="s">
        <v>6536</v>
      </c>
      <c r="G3396" s="7" t="s">
        <v>7150</v>
      </c>
      <c r="H3396" s="7" t="s">
        <v>7156</v>
      </c>
      <c r="I3396" s="7"/>
      <c r="J3396" s="10">
        <v>42795</v>
      </c>
      <c r="K3396" s="7" t="s">
        <v>7164</v>
      </c>
      <c r="L3396" s="7"/>
      <c r="M3396" s="7"/>
    </row>
    <row r="3397" spans="1:13" x14ac:dyDescent="0.3">
      <c r="A3397" s="7">
        <v>17906</v>
      </c>
      <c r="B3397" s="7" t="s">
        <v>3405</v>
      </c>
      <c r="C3397" s="7" t="s">
        <v>6327</v>
      </c>
      <c r="D3397" s="7" t="s">
        <v>6535</v>
      </c>
      <c r="E3397" s="7" t="s">
        <v>6295</v>
      </c>
      <c r="F3397" s="7" t="s">
        <v>6536</v>
      </c>
      <c r="G3397" s="7" t="s">
        <v>7150</v>
      </c>
      <c r="H3397" s="7" t="s">
        <v>7156</v>
      </c>
      <c r="I3397" s="7"/>
      <c r="J3397" s="10">
        <v>45911</v>
      </c>
      <c r="K3397" s="7" t="s">
        <v>7164</v>
      </c>
      <c r="L3397" s="7"/>
      <c r="M3397" s="7"/>
    </row>
    <row r="3398" spans="1:13" x14ac:dyDescent="0.3">
      <c r="A3398" s="7">
        <v>18653</v>
      </c>
      <c r="B3398" s="7" t="s">
        <v>3406</v>
      </c>
      <c r="C3398" s="7" t="s">
        <v>6327</v>
      </c>
      <c r="D3398" s="7" t="s">
        <v>6535</v>
      </c>
      <c r="E3398" s="7" t="s">
        <v>6295</v>
      </c>
      <c r="F3398" s="7" t="s">
        <v>6536</v>
      </c>
      <c r="G3398" s="7" t="s">
        <v>7150</v>
      </c>
      <c r="H3398" s="7" t="s">
        <v>7156</v>
      </c>
      <c r="I3398" s="7"/>
      <c r="J3398" s="10">
        <v>46185</v>
      </c>
      <c r="K3398" s="7" t="s">
        <v>7164</v>
      </c>
      <c r="L3398" s="7"/>
      <c r="M3398" s="7"/>
    </row>
    <row r="3399" spans="1:13" x14ac:dyDescent="0.3">
      <c r="A3399" s="7">
        <v>12526</v>
      </c>
      <c r="B3399" s="7" t="s">
        <v>3407</v>
      </c>
      <c r="C3399" s="7" t="s">
        <v>6327</v>
      </c>
      <c r="D3399" s="7" t="s">
        <v>6535</v>
      </c>
      <c r="E3399" s="7" t="s">
        <v>6295</v>
      </c>
      <c r="F3399" s="7" t="s">
        <v>6536</v>
      </c>
      <c r="G3399" s="7" t="s">
        <v>7150</v>
      </c>
      <c r="H3399" s="7" t="s">
        <v>7156</v>
      </c>
      <c r="I3399" s="7"/>
      <c r="J3399" s="10">
        <v>43794</v>
      </c>
      <c r="K3399" s="7" t="s">
        <v>7164</v>
      </c>
      <c r="L3399" s="7"/>
      <c r="M3399" s="7"/>
    </row>
    <row r="3400" spans="1:13" x14ac:dyDescent="0.3">
      <c r="A3400" s="7">
        <v>18241</v>
      </c>
      <c r="B3400" s="7" t="s">
        <v>3408</v>
      </c>
      <c r="C3400" s="7" t="s">
        <v>6327</v>
      </c>
      <c r="D3400" s="7" t="s">
        <v>6535</v>
      </c>
      <c r="E3400" s="7" t="s">
        <v>6295</v>
      </c>
      <c r="F3400" s="7" t="s">
        <v>6536</v>
      </c>
      <c r="G3400" s="7" t="s">
        <v>7150</v>
      </c>
      <c r="H3400" s="7" t="s">
        <v>7156</v>
      </c>
      <c r="I3400" s="7"/>
      <c r="J3400" s="10">
        <v>46070</v>
      </c>
      <c r="K3400" s="7" t="s">
        <v>7164</v>
      </c>
      <c r="L3400" s="7"/>
      <c r="M3400" s="7"/>
    </row>
    <row r="3401" spans="1:13" x14ac:dyDescent="0.3">
      <c r="A3401" s="7">
        <v>18273</v>
      </c>
      <c r="B3401" s="7" t="s">
        <v>3409</v>
      </c>
      <c r="C3401" s="7" t="s">
        <v>6322</v>
      </c>
      <c r="D3401" s="7" t="s">
        <v>6535</v>
      </c>
      <c r="E3401" s="7" t="s">
        <v>6295</v>
      </c>
      <c r="F3401" s="7" t="s">
        <v>6536</v>
      </c>
      <c r="G3401" s="7" t="s">
        <v>7150</v>
      </c>
      <c r="H3401" s="7" t="s">
        <v>7156</v>
      </c>
      <c r="I3401" s="7"/>
      <c r="J3401" s="10">
        <v>46072</v>
      </c>
      <c r="K3401" s="7" t="s">
        <v>7164</v>
      </c>
      <c r="L3401" s="7"/>
      <c r="M3401" s="7"/>
    </row>
    <row r="3402" spans="1:13" x14ac:dyDescent="0.3">
      <c r="A3402" s="7">
        <v>12461</v>
      </c>
      <c r="B3402" s="7" t="s">
        <v>3410</v>
      </c>
      <c r="C3402" s="7" t="s">
        <v>6327</v>
      </c>
      <c r="D3402" s="7" t="s">
        <v>6535</v>
      </c>
      <c r="E3402" s="7" t="s">
        <v>6295</v>
      </c>
      <c r="F3402" s="7" t="s">
        <v>6536</v>
      </c>
      <c r="G3402" s="7" t="s">
        <v>7150</v>
      </c>
      <c r="H3402" s="7" t="s">
        <v>7156</v>
      </c>
      <c r="I3402" s="7"/>
      <c r="J3402" s="10">
        <v>43756</v>
      </c>
      <c r="K3402" s="7" t="s">
        <v>7164</v>
      </c>
      <c r="L3402" s="7"/>
      <c r="M3402" s="7"/>
    </row>
    <row r="3403" spans="1:13" x14ac:dyDescent="0.3">
      <c r="A3403" s="7">
        <v>280027</v>
      </c>
      <c r="B3403" s="7" t="s">
        <v>3411</v>
      </c>
      <c r="C3403" s="7" t="s">
        <v>6327</v>
      </c>
      <c r="D3403" s="7" t="s">
        <v>6535</v>
      </c>
      <c r="E3403" s="7" t="s">
        <v>6295</v>
      </c>
      <c r="F3403" s="7" t="s">
        <v>6536</v>
      </c>
      <c r="G3403" s="7" t="s">
        <v>7150</v>
      </c>
      <c r="H3403" s="7" t="s">
        <v>7156</v>
      </c>
      <c r="I3403" s="7"/>
      <c r="J3403" s="10">
        <v>43238</v>
      </c>
      <c r="K3403" s="7" t="s">
        <v>7164</v>
      </c>
      <c r="L3403" s="7"/>
      <c r="M3403" s="7"/>
    </row>
    <row r="3404" spans="1:13" x14ac:dyDescent="0.3">
      <c r="A3404" s="7">
        <v>12706</v>
      </c>
      <c r="B3404" s="7" t="s">
        <v>3412</v>
      </c>
      <c r="C3404" s="7" t="s">
        <v>6327</v>
      </c>
      <c r="D3404" s="7" t="s">
        <v>6535</v>
      </c>
      <c r="E3404" s="7" t="s">
        <v>6295</v>
      </c>
      <c r="F3404" s="7" t="s">
        <v>6536</v>
      </c>
      <c r="G3404" s="7" t="s">
        <v>7150</v>
      </c>
      <c r="H3404" s="7" t="s">
        <v>7156</v>
      </c>
      <c r="I3404" s="7"/>
      <c r="J3404" s="10">
        <v>43873</v>
      </c>
      <c r="K3404" s="7" t="s">
        <v>7164</v>
      </c>
      <c r="L3404" s="7"/>
      <c r="M3404" s="7"/>
    </row>
    <row r="3405" spans="1:13" x14ac:dyDescent="0.3">
      <c r="A3405" s="7">
        <v>17940</v>
      </c>
      <c r="B3405" s="7" t="s">
        <v>3413</v>
      </c>
      <c r="C3405" s="7" t="s">
        <v>6327</v>
      </c>
      <c r="D3405" s="7" t="s">
        <v>6535</v>
      </c>
      <c r="E3405" s="7" t="s">
        <v>6295</v>
      </c>
      <c r="F3405" s="7" t="s">
        <v>6536</v>
      </c>
      <c r="G3405" s="7" t="s">
        <v>7150</v>
      </c>
      <c r="H3405" s="7" t="s">
        <v>7156</v>
      </c>
      <c r="I3405" s="7"/>
      <c r="J3405" s="10">
        <v>45931</v>
      </c>
      <c r="K3405" s="7" t="s">
        <v>7164</v>
      </c>
      <c r="L3405" s="7"/>
      <c r="M3405" s="7"/>
    </row>
    <row r="3406" spans="1:13" x14ac:dyDescent="0.3">
      <c r="A3406" s="7">
        <v>11100</v>
      </c>
      <c r="B3406" s="7" t="s">
        <v>3414</v>
      </c>
      <c r="C3406" s="7" t="s">
        <v>6327</v>
      </c>
      <c r="D3406" s="7" t="s">
        <v>6535</v>
      </c>
      <c r="E3406" s="7" t="s">
        <v>6295</v>
      </c>
      <c r="F3406" s="7" t="s">
        <v>6712</v>
      </c>
      <c r="G3406" s="7" t="s">
        <v>7150</v>
      </c>
      <c r="H3406" s="7" t="s">
        <v>7156</v>
      </c>
      <c r="I3406" s="7"/>
      <c r="J3406" s="10">
        <v>42264</v>
      </c>
      <c r="K3406" s="7" t="s">
        <v>7164</v>
      </c>
      <c r="L3406" s="7"/>
      <c r="M3406" s="7"/>
    </row>
    <row r="3407" spans="1:13" x14ac:dyDescent="0.3">
      <c r="A3407" s="7">
        <v>13415</v>
      </c>
      <c r="B3407" s="7" t="s">
        <v>3415</v>
      </c>
      <c r="C3407" s="7" t="s">
        <v>6327</v>
      </c>
      <c r="D3407" s="7" t="s">
        <v>6535</v>
      </c>
      <c r="E3407" s="7" t="s">
        <v>6295</v>
      </c>
      <c r="F3407" s="7" t="s">
        <v>6712</v>
      </c>
      <c r="G3407" s="7" t="s">
        <v>7150</v>
      </c>
      <c r="H3407" s="7" t="s">
        <v>7156</v>
      </c>
      <c r="I3407" s="7"/>
      <c r="J3407" s="10">
        <v>44440</v>
      </c>
      <c r="K3407" s="7" t="s">
        <v>7164</v>
      </c>
      <c r="L3407" s="7"/>
      <c r="M3407" s="7"/>
    </row>
    <row r="3408" spans="1:13" x14ac:dyDescent="0.3">
      <c r="A3408" s="7">
        <v>14314</v>
      </c>
      <c r="B3408" s="7" t="s">
        <v>3416</v>
      </c>
      <c r="C3408" s="7" t="s">
        <v>6322</v>
      </c>
      <c r="D3408" s="7" t="s">
        <v>6535</v>
      </c>
      <c r="E3408" s="7" t="s">
        <v>6295</v>
      </c>
      <c r="F3408" s="7" t="s">
        <v>6536</v>
      </c>
      <c r="G3408" s="7" t="s">
        <v>7150</v>
      </c>
      <c r="H3408" s="7" t="s">
        <v>7156</v>
      </c>
      <c r="I3408" s="7"/>
      <c r="J3408" s="10">
        <v>44729</v>
      </c>
      <c r="K3408" s="7" t="s">
        <v>7164</v>
      </c>
      <c r="L3408" s="7"/>
      <c r="M3408" s="7"/>
    </row>
    <row r="3409" spans="1:13" x14ac:dyDescent="0.3">
      <c r="A3409" s="7">
        <v>18889</v>
      </c>
      <c r="B3409" s="7" t="s">
        <v>3417</v>
      </c>
      <c r="C3409" s="7" t="s">
        <v>6322</v>
      </c>
      <c r="D3409" s="7" t="s">
        <v>6535</v>
      </c>
      <c r="E3409" s="7" t="s">
        <v>6295</v>
      </c>
      <c r="F3409" s="7" t="s">
        <v>6536</v>
      </c>
      <c r="G3409" s="7" t="s">
        <v>7150</v>
      </c>
      <c r="H3409" s="7" t="s">
        <v>7156</v>
      </c>
      <c r="I3409" s="7"/>
      <c r="J3409" s="10">
        <v>46232</v>
      </c>
      <c r="K3409" s="7" t="s">
        <v>7164</v>
      </c>
      <c r="L3409" s="7"/>
      <c r="M3409" s="7"/>
    </row>
    <row r="3410" spans="1:13" x14ac:dyDescent="0.3">
      <c r="A3410" s="7">
        <v>18084</v>
      </c>
      <c r="B3410" s="7" t="s">
        <v>3418</v>
      </c>
      <c r="C3410" s="7" t="s">
        <v>6327</v>
      </c>
      <c r="D3410" s="7" t="s">
        <v>6535</v>
      </c>
      <c r="E3410" s="7" t="s">
        <v>6295</v>
      </c>
      <c r="F3410" s="7" t="s">
        <v>6536</v>
      </c>
      <c r="G3410" s="7" t="s">
        <v>7150</v>
      </c>
      <c r="H3410" s="7" t="s">
        <v>7156</v>
      </c>
      <c r="I3410" s="7"/>
      <c r="J3410" s="10">
        <v>45987</v>
      </c>
      <c r="K3410" s="7" t="s">
        <v>7164</v>
      </c>
      <c r="L3410" s="7"/>
      <c r="M3410" s="7"/>
    </row>
    <row r="3411" spans="1:13" x14ac:dyDescent="0.3">
      <c r="A3411" s="7">
        <v>18136</v>
      </c>
      <c r="B3411" s="7" t="s">
        <v>3419</v>
      </c>
      <c r="C3411" s="7" t="s">
        <v>6327</v>
      </c>
      <c r="D3411" s="7" t="s">
        <v>6535</v>
      </c>
      <c r="E3411" s="7" t="s">
        <v>6295</v>
      </c>
      <c r="F3411" s="7" t="s">
        <v>6536</v>
      </c>
      <c r="G3411" s="7" t="s">
        <v>7150</v>
      </c>
      <c r="H3411" s="7" t="s">
        <v>7156</v>
      </c>
      <c r="I3411" s="7"/>
      <c r="J3411" s="10">
        <v>46008</v>
      </c>
      <c r="K3411" s="7" t="s">
        <v>7164</v>
      </c>
      <c r="L3411" s="7"/>
      <c r="M3411" s="7"/>
    </row>
    <row r="3412" spans="1:13" x14ac:dyDescent="0.3">
      <c r="A3412" s="7">
        <v>12497</v>
      </c>
      <c r="B3412" s="7" t="s">
        <v>3420</v>
      </c>
      <c r="C3412" s="7" t="s">
        <v>6327</v>
      </c>
      <c r="D3412" s="7" t="s">
        <v>6535</v>
      </c>
      <c r="E3412" s="7" t="s">
        <v>6295</v>
      </c>
      <c r="F3412" s="7" t="s">
        <v>6536</v>
      </c>
      <c r="G3412" s="7" t="s">
        <v>7150</v>
      </c>
      <c r="H3412" s="7" t="s">
        <v>7156</v>
      </c>
      <c r="I3412" s="7"/>
      <c r="J3412" s="10">
        <v>43777</v>
      </c>
      <c r="K3412" s="7" t="s">
        <v>7164</v>
      </c>
      <c r="L3412" s="7"/>
      <c r="M3412" s="7"/>
    </row>
    <row r="3413" spans="1:13" x14ac:dyDescent="0.3">
      <c r="A3413" s="7">
        <v>12681</v>
      </c>
      <c r="B3413" s="7" t="s">
        <v>3421</v>
      </c>
      <c r="C3413" s="7" t="s">
        <v>6327</v>
      </c>
      <c r="D3413" s="7" t="s">
        <v>6535</v>
      </c>
      <c r="E3413" s="7" t="s">
        <v>6295</v>
      </c>
      <c r="F3413" s="7" t="s">
        <v>6536</v>
      </c>
      <c r="G3413" s="7" t="s">
        <v>7150</v>
      </c>
      <c r="H3413" s="7" t="s">
        <v>7156</v>
      </c>
      <c r="I3413" s="7"/>
      <c r="J3413" s="10">
        <v>43866</v>
      </c>
      <c r="K3413" s="7" t="s">
        <v>7164</v>
      </c>
      <c r="L3413" s="7"/>
      <c r="M3413" s="7"/>
    </row>
    <row r="3414" spans="1:13" x14ac:dyDescent="0.3">
      <c r="A3414" s="7">
        <v>13049</v>
      </c>
      <c r="B3414" s="7" t="s">
        <v>3422</v>
      </c>
      <c r="C3414" s="7" t="s">
        <v>6327</v>
      </c>
      <c r="D3414" s="7" t="s">
        <v>6535</v>
      </c>
      <c r="E3414" s="7" t="s">
        <v>6295</v>
      </c>
      <c r="F3414" s="7" t="s">
        <v>6536</v>
      </c>
      <c r="G3414" s="7" t="s">
        <v>7150</v>
      </c>
      <c r="H3414" s="7" t="s">
        <v>7156</v>
      </c>
      <c r="I3414" s="7"/>
      <c r="J3414" s="10">
        <v>44217</v>
      </c>
      <c r="K3414" s="7" t="s">
        <v>7164</v>
      </c>
      <c r="L3414" s="7"/>
      <c r="M3414" s="7"/>
    </row>
    <row r="3415" spans="1:13" x14ac:dyDescent="0.3">
      <c r="A3415" s="7">
        <v>16647</v>
      </c>
      <c r="B3415" s="7" t="s">
        <v>3423</v>
      </c>
      <c r="C3415" s="7" t="s">
        <v>6327</v>
      </c>
      <c r="D3415" s="7" t="s">
        <v>6535</v>
      </c>
      <c r="E3415" s="7" t="s">
        <v>6295</v>
      </c>
      <c r="F3415" s="7" t="s">
        <v>6536</v>
      </c>
      <c r="G3415" s="7" t="s">
        <v>7150</v>
      </c>
      <c r="H3415" s="7" t="s">
        <v>7156</v>
      </c>
      <c r="I3415" s="7"/>
      <c r="J3415" s="10">
        <v>45538</v>
      </c>
      <c r="K3415" s="7" t="s">
        <v>7164</v>
      </c>
      <c r="L3415" s="7"/>
      <c r="M3415" s="7"/>
    </row>
    <row r="3416" spans="1:13" x14ac:dyDescent="0.3">
      <c r="A3416" s="7">
        <v>10863</v>
      </c>
      <c r="B3416" s="7" t="s">
        <v>3424</v>
      </c>
      <c r="C3416" s="7" t="s">
        <v>6322</v>
      </c>
      <c r="D3416" s="7" t="s">
        <v>6535</v>
      </c>
      <c r="E3416" s="7" t="s">
        <v>6295</v>
      </c>
      <c r="F3416" s="7" t="s">
        <v>6414</v>
      </c>
      <c r="G3416" s="7" t="s">
        <v>7150</v>
      </c>
      <c r="H3416" s="7" t="s">
        <v>7156</v>
      </c>
      <c r="I3416" s="7"/>
      <c r="J3416" s="10">
        <v>42019</v>
      </c>
      <c r="K3416" s="7" t="s">
        <v>7164</v>
      </c>
      <c r="L3416" s="7"/>
      <c r="M3416" s="7"/>
    </row>
    <row r="3417" spans="1:13" x14ac:dyDescent="0.3">
      <c r="A3417" s="7">
        <v>12654</v>
      </c>
      <c r="B3417" s="7" t="s">
        <v>3425</v>
      </c>
      <c r="C3417" s="7" t="s">
        <v>6322</v>
      </c>
      <c r="D3417" s="7" t="s">
        <v>6535</v>
      </c>
      <c r="E3417" s="7" t="s">
        <v>6295</v>
      </c>
      <c r="F3417" s="7" t="s">
        <v>6536</v>
      </c>
      <c r="G3417" s="7" t="s">
        <v>7150</v>
      </c>
      <c r="H3417" s="7" t="s">
        <v>7156</v>
      </c>
      <c r="I3417" s="7"/>
      <c r="J3417" s="10">
        <v>43853</v>
      </c>
      <c r="K3417" s="7" t="s">
        <v>7164</v>
      </c>
      <c r="L3417" s="7"/>
      <c r="M3417" s="7"/>
    </row>
    <row r="3418" spans="1:13" x14ac:dyDescent="0.3">
      <c r="A3418" s="7">
        <v>16530</v>
      </c>
      <c r="B3418" s="7" t="s">
        <v>3426</v>
      </c>
      <c r="C3418" s="7" t="s">
        <v>6322</v>
      </c>
      <c r="D3418" s="7" t="s">
        <v>6535</v>
      </c>
      <c r="E3418" s="7" t="s">
        <v>6295</v>
      </c>
      <c r="F3418" s="7" t="s">
        <v>6536</v>
      </c>
      <c r="G3418" s="7" t="s">
        <v>7150</v>
      </c>
      <c r="H3418" s="7" t="s">
        <v>7156</v>
      </c>
      <c r="I3418" s="7"/>
      <c r="J3418" s="10">
        <v>45453</v>
      </c>
      <c r="K3418" s="7" t="s">
        <v>7164</v>
      </c>
      <c r="L3418" s="7"/>
      <c r="M3418" s="7"/>
    </row>
    <row r="3419" spans="1:13" x14ac:dyDescent="0.3">
      <c r="A3419" s="7">
        <v>11581</v>
      </c>
      <c r="B3419" s="7" t="s">
        <v>3427</v>
      </c>
      <c r="C3419" s="7" t="s">
        <v>6646</v>
      </c>
      <c r="D3419" s="7" t="s">
        <v>6708</v>
      </c>
      <c r="E3419" s="7" t="s">
        <v>6295</v>
      </c>
      <c r="F3419" s="7" t="s">
        <v>6536</v>
      </c>
      <c r="G3419" s="7" t="s">
        <v>7150</v>
      </c>
      <c r="H3419" s="7" t="s">
        <v>7156</v>
      </c>
      <c r="I3419" s="7"/>
      <c r="J3419" s="10">
        <v>42866</v>
      </c>
      <c r="K3419" s="7" t="s">
        <v>7164</v>
      </c>
      <c r="L3419" s="7"/>
      <c r="M3419" s="7"/>
    </row>
    <row r="3420" spans="1:13" x14ac:dyDescent="0.3">
      <c r="A3420" s="7">
        <v>12303</v>
      </c>
      <c r="B3420" s="7" t="s">
        <v>3428</v>
      </c>
      <c r="C3420" s="7" t="s">
        <v>6646</v>
      </c>
      <c r="D3420" s="7" t="s">
        <v>6708</v>
      </c>
      <c r="E3420" s="7" t="s">
        <v>6295</v>
      </c>
      <c r="F3420" s="7" t="s">
        <v>6536</v>
      </c>
      <c r="G3420" s="7" t="s">
        <v>7150</v>
      </c>
      <c r="H3420" s="7" t="s">
        <v>7156</v>
      </c>
      <c r="I3420" s="7"/>
      <c r="J3420" s="10">
        <v>43671</v>
      </c>
      <c r="K3420" s="7" t="s">
        <v>7164</v>
      </c>
      <c r="L3420" s="7"/>
      <c r="M3420" s="7"/>
    </row>
    <row r="3421" spans="1:13" x14ac:dyDescent="0.3">
      <c r="A3421" s="7">
        <v>11705</v>
      </c>
      <c r="B3421" s="7" t="s">
        <v>3429</v>
      </c>
      <c r="C3421" s="7" t="s">
        <v>6322</v>
      </c>
      <c r="D3421" s="7" t="s">
        <v>6535</v>
      </c>
      <c r="E3421" s="7" t="s">
        <v>6295</v>
      </c>
      <c r="F3421" s="7" t="s">
        <v>6414</v>
      </c>
      <c r="G3421" s="7" t="s">
        <v>7150</v>
      </c>
      <c r="H3421" s="7" t="s">
        <v>7156</v>
      </c>
      <c r="I3421" s="7"/>
      <c r="J3421" s="10">
        <v>43040</v>
      </c>
      <c r="K3421" s="7" t="s">
        <v>7164</v>
      </c>
      <c r="L3421" s="7"/>
      <c r="M3421" s="7"/>
    </row>
    <row r="3422" spans="1:13" x14ac:dyDescent="0.3">
      <c r="A3422" s="7">
        <v>18219</v>
      </c>
      <c r="B3422" s="7" t="s">
        <v>3430</v>
      </c>
      <c r="C3422" s="7" t="s">
        <v>6322</v>
      </c>
      <c r="D3422" s="7" t="s">
        <v>6535</v>
      </c>
      <c r="E3422" s="7" t="s">
        <v>6295</v>
      </c>
      <c r="F3422" s="7" t="s">
        <v>6536</v>
      </c>
      <c r="G3422" s="7" t="s">
        <v>7150</v>
      </c>
      <c r="H3422" s="7" t="s">
        <v>7156</v>
      </c>
      <c r="I3422" s="7"/>
      <c r="J3422" s="10">
        <v>46063</v>
      </c>
      <c r="K3422" s="7" t="s">
        <v>7164</v>
      </c>
      <c r="L3422" s="7"/>
      <c r="M3422" s="7"/>
    </row>
    <row r="3423" spans="1:13" x14ac:dyDescent="0.3">
      <c r="A3423" s="7">
        <v>10553</v>
      </c>
      <c r="B3423" s="7" t="s">
        <v>3431</v>
      </c>
      <c r="C3423" s="7" t="s">
        <v>6751</v>
      </c>
      <c r="D3423" s="7" t="s">
        <v>6752</v>
      </c>
      <c r="E3423" s="7" t="s">
        <v>6295</v>
      </c>
      <c r="F3423" s="7" t="s">
        <v>6333</v>
      </c>
      <c r="G3423" s="7" t="s">
        <v>7150</v>
      </c>
      <c r="H3423" s="7" t="s">
        <v>7156</v>
      </c>
      <c r="I3423" s="7"/>
      <c r="J3423" s="10">
        <v>41008</v>
      </c>
      <c r="K3423" s="7" t="s">
        <v>7164</v>
      </c>
      <c r="L3423" s="7"/>
      <c r="M3423" s="7"/>
    </row>
    <row r="3424" spans="1:13" x14ac:dyDescent="0.3">
      <c r="A3424" s="7">
        <v>13485</v>
      </c>
      <c r="B3424" s="7" t="s">
        <v>3432</v>
      </c>
      <c r="C3424" s="7" t="s">
        <v>6322</v>
      </c>
      <c r="D3424" s="7" t="s">
        <v>6535</v>
      </c>
      <c r="E3424" s="7" t="s">
        <v>6295</v>
      </c>
      <c r="F3424" s="7" t="s">
        <v>6536</v>
      </c>
      <c r="G3424" s="7" t="s">
        <v>7150</v>
      </c>
      <c r="H3424" s="7" t="s">
        <v>7156</v>
      </c>
      <c r="I3424" s="7"/>
      <c r="J3424" s="10">
        <v>44474</v>
      </c>
      <c r="K3424" s="7" t="s">
        <v>7164</v>
      </c>
      <c r="L3424" s="7"/>
      <c r="M3424" s="7"/>
    </row>
    <row r="3425" spans="1:13" x14ac:dyDescent="0.3">
      <c r="A3425" s="7">
        <v>10755</v>
      </c>
      <c r="B3425" s="7" t="s">
        <v>3433</v>
      </c>
      <c r="C3425" s="7" t="s">
        <v>6322</v>
      </c>
      <c r="D3425" s="7" t="s">
        <v>6535</v>
      </c>
      <c r="E3425" s="7" t="s">
        <v>6295</v>
      </c>
      <c r="F3425" s="7" t="s">
        <v>6536</v>
      </c>
      <c r="G3425" s="7" t="s">
        <v>7150</v>
      </c>
      <c r="H3425" s="7" t="s">
        <v>7156</v>
      </c>
      <c r="I3425" s="7"/>
      <c r="J3425" s="10">
        <v>41821</v>
      </c>
      <c r="K3425" s="7" t="s">
        <v>7164</v>
      </c>
      <c r="L3425" s="7"/>
      <c r="M3425" s="7"/>
    </row>
    <row r="3426" spans="1:13" x14ac:dyDescent="0.3">
      <c r="A3426" s="7">
        <v>12564</v>
      </c>
      <c r="B3426" s="7" t="s">
        <v>3434</v>
      </c>
      <c r="C3426" s="7" t="s">
        <v>6322</v>
      </c>
      <c r="D3426" s="7" t="s">
        <v>6535</v>
      </c>
      <c r="E3426" s="7" t="s">
        <v>6295</v>
      </c>
      <c r="F3426" s="7" t="s">
        <v>6536</v>
      </c>
      <c r="G3426" s="7" t="s">
        <v>7150</v>
      </c>
      <c r="H3426" s="7" t="s">
        <v>7156</v>
      </c>
      <c r="I3426" s="7"/>
      <c r="J3426" s="10">
        <v>43810</v>
      </c>
      <c r="K3426" s="7" t="s">
        <v>7164</v>
      </c>
      <c r="L3426" s="7"/>
      <c r="M3426" s="7"/>
    </row>
    <row r="3427" spans="1:13" x14ac:dyDescent="0.3">
      <c r="A3427" s="7">
        <v>12356</v>
      </c>
      <c r="B3427" s="7" t="s">
        <v>3435</v>
      </c>
      <c r="C3427" s="7" t="s">
        <v>6322</v>
      </c>
      <c r="D3427" s="7" t="s">
        <v>6535</v>
      </c>
      <c r="E3427" s="7" t="s">
        <v>6295</v>
      </c>
      <c r="F3427" s="7" t="s">
        <v>6536</v>
      </c>
      <c r="G3427" s="7" t="s">
        <v>7150</v>
      </c>
      <c r="H3427" s="7" t="s">
        <v>7156</v>
      </c>
      <c r="I3427" s="7"/>
      <c r="J3427" s="10">
        <v>43710</v>
      </c>
      <c r="K3427" s="7" t="s">
        <v>7164</v>
      </c>
      <c r="L3427" s="7"/>
      <c r="M3427" s="7"/>
    </row>
    <row r="3428" spans="1:13" x14ac:dyDescent="0.3">
      <c r="A3428" s="7">
        <v>15886</v>
      </c>
      <c r="B3428" s="7" t="s">
        <v>3436</v>
      </c>
      <c r="C3428" s="7" t="s">
        <v>6322</v>
      </c>
      <c r="D3428" s="7" t="s">
        <v>6535</v>
      </c>
      <c r="E3428" s="7" t="s">
        <v>6295</v>
      </c>
      <c r="F3428" s="7" t="s">
        <v>6536</v>
      </c>
      <c r="G3428" s="7" t="s">
        <v>7150</v>
      </c>
      <c r="H3428" s="7" t="s">
        <v>7156</v>
      </c>
      <c r="I3428" s="7"/>
      <c r="J3428" s="10">
        <v>45232</v>
      </c>
      <c r="K3428" s="7" t="s">
        <v>7164</v>
      </c>
      <c r="L3428" s="7"/>
      <c r="M3428" s="7"/>
    </row>
    <row r="3429" spans="1:13" x14ac:dyDescent="0.3">
      <c r="A3429" s="7">
        <v>11944</v>
      </c>
      <c r="B3429" s="7" t="s">
        <v>3437</v>
      </c>
      <c r="C3429" s="7" t="s">
        <v>6753</v>
      </c>
      <c r="D3429" s="7" t="s">
        <v>6754</v>
      </c>
      <c r="E3429" s="7" t="s">
        <v>6295</v>
      </c>
      <c r="F3429" s="7" t="s">
        <v>6333</v>
      </c>
      <c r="G3429" s="7" t="s">
        <v>7150</v>
      </c>
      <c r="H3429" s="7" t="s">
        <v>7156</v>
      </c>
      <c r="I3429" s="7"/>
      <c r="J3429" s="10">
        <v>43313</v>
      </c>
      <c r="K3429" s="7" t="s">
        <v>7164</v>
      </c>
      <c r="L3429" s="7"/>
      <c r="M3429" s="7"/>
    </row>
    <row r="3430" spans="1:13" x14ac:dyDescent="0.3">
      <c r="A3430" s="7">
        <v>18660</v>
      </c>
      <c r="B3430" s="7" t="s">
        <v>3438</v>
      </c>
      <c r="C3430" s="7" t="s">
        <v>6753</v>
      </c>
      <c r="D3430" s="7" t="s">
        <v>6755</v>
      </c>
      <c r="E3430" s="7" t="s">
        <v>6295</v>
      </c>
      <c r="F3430" s="7" t="s">
        <v>6324</v>
      </c>
      <c r="G3430" s="7" t="s">
        <v>7150</v>
      </c>
      <c r="H3430" s="7" t="s">
        <v>7156</v>
      </c>
      <c r="I3430" s="7"/>
      <c r="J3430" s="10">
        <v>46189</v>
      </c>
      <c r="K3430" s="7" t="s">
        <v>7164</v>
      </c>
      <c r="L3430" s="7"/>
      <c r="M3430" s="7"/>
    </row>
    <row r="3431" spans="1:13" x14ac:dyDescent="0.3">
      <c r="A3431" s="7">
        <v>12566</v>
      </c>
      <c r="B3431" s="7" t="s">
        <v>3439</v>
      </c>
      <c r="C3431" s="7" t="s">
        <v>6322</v>
      </c>
      <c r="D3431" s="7" t="s">
        <v>6535</v>
      </c>
      <c r="E3431" s="7" t="s">
        <v>6295</v>
      </c>
      <c r="F3431" s="7" t="s">
        <v>6536</v>
      </c>
      <c r="G3431" s="7" t="s">
        <v>7150</v>
      </c>
      <c r="H3431" s="7" t="s">
        <v>7156</v>
      </c>
      <c r="I3431" s="7"/>
      <c r="J3431" s="10">
        <v>43810</v>
      </c>
      <c r="K3431" s="7" t="s">
        <v>7164</v>
      </c>
      <c r="L3431" s="7"/>
      <c r="M3431" s="7"/>
    </row>
    <row r="3432" spans="1:13" x14ac:dyDescent="0.3">
      <c r="A3432" s="7">
        <v>12397</v>
      </c>
      <c r="B3432" s="7" t="s">
        <v>3440</v>
      </c>
      <c r="C3432" s="7" t="s">
        <v>6756</v>
      </c>
      <c r="D3432" s="7" t="s">
        <v>6757</v>
      </c>
      <c r="E3432" s="7" t="s">
        <v>6295</v>
      </c>
      <c r="F3432" s="7" t="s">
        <v>6338</v>
      </c>
      <c r="G3432" s="7" t="s">
        <v>7150</v>
      </c>
      <c r="H3432" s="7" t="s">
        <v>7156</v>
      </c>
      <c r="I3432" s="7"/>
      <c r="J3432" s="10">
        <v>43728</v>
      </c>
      <c r="K3432" s="7" t="s">
        <v>7164</v>
      </c>
      <c r="L3432" s="7"/>
      <c r="M3432" s="7"/>
    </row>
    <row r="3433" spans="1:13" x14ac:dyDescent="0.3">
      <c r="A3433" s="7">
        <v>17376</v>
      </c>
      <c r="B3433" s="7" t="s">
        <v>3441</v>
      </c>
      <c r="C3433" s="7" t="s">
        <v>6327</v>
      </c>
      <c r="D3433" s="7" t="s">
        <v>6535</v>
      </c>
      <c r="E3433" s="7" t="s">
        <v>6295</v>
      </c>
      <c r="F3433" s="7" t="s">
        <v>6536</v>
      </c>
      <c r="G3433" s="7" t="s">
        <v>7150</v>
      </c>
      <c r="H3433" s="7" t="s">
        <v>7156</v>
      </c>
      <c r="I3433" s="7"/>
      <c r="J3433" s="10">
        <v>45726</v>
      </c>
      <c r="K3433" s="7" t="s">
        <v>7164</v>
      </c>
      <c r="L3433" s="7"/>
      <c r="M3433" s="7"/>
    </row>
    <row r="3434" spans="1:13" x14ac:dyDescent="0.3">
      <c r="A3434" s="7">
        <v>17378</v>
      </c>
      <c r="B3434" s="7" t="s">
        <v>3442</v>
      </c>
      <c r="C3434" s="7" t="s">
        <v>6327</v>
      </c>
      <c r="D3434" s="7" t="s">
        <v>6535</v>
      </c>
      <c r="E3434" s="7" t="s">
        <v>6295</v>
      </c>
      <c r="F3434" s="7" t="s">
        <v>6536</v>
      </c>
      <c r="G3434" s="7" t="s">
        <v>7150</v>
      </c>
      <c r="H3434" s="7" t="s">
        <v>7156</v>
      </c>
      <c r="I3434" s="7"/>
      <c r="J3434" s="10">
        <v>45750</v>
      </c>
      <c r="K3434" s="7" t="s">
        <v>7164</v>
      </c>
      <c r="L3434" s="7"/>
      <c r="M3434" s="7"/>
    </row>
    <row r="3435" spans="1:13" x14ac:dyDescent="0.3">
      <c r="A3435" s="7">
        <v>13300</v>
      </c>
      <c r="B3435" s="7" t="s">
        <v>3443</v>
      </c>
      <c r="C3435" s="7" t="s">
        <v>6327</v>
      </c>
      <c r="D3435" s="7" t="s">
        <v>6535</v>
      </c>
      <c r="E3435" s="7" t="s">
        <v>6295</v>
      </c>
      <c r="F3435" s="7" t="s">
        <v>6536</v>
      </c>
      <c r="G3435" s="7" t="s">
        <v>7150</v>
      </c>
      <c r="H3435" s="7" t="s">
        <v>7156</v>
      </c>
      <c r="I3435" s="7"/>
      <c r="J3435" s="10">
        <v>44378</v>
      </c>
      <c r="K3435" s="7" t="s">
        <v>7164</v>
      </c>
      <c r="L3435" s="7"/>
      <c r="M3435" s="7"/>
    </row>
    <row r="3436" spans="1:13" x14ac:dyDescent="0.3">
      <c r="A3436" s="7">
        <v>17212</v>
      </c>
      <c r="B3436" s="7" t="s">
        <v>3444</v>
      </c>
      <c r="C3436" s="7" t="s">
        <v>6753</v>
      </c>
      <c r="D3436" s="7" t="s">
        <v>6755</v>
      </c>
      <c r="E3436" s="7" t="s">
        <v>6295</v>
      </c>
      <c r="F3436" s="7" t="s">
        <v>6333</v>
      </c>
      <c r="G3436" s="7" t="s">
        <v>7150</v>
      </c>
      <c r="H3436" s="7" t="s">
        <v>7156</v>
      </c>
      <c r="I3436" s="7"/>
      <c r="J3436" s="10">
        <v>45664</v>
      </c>
      <c r="K3436" s="7" t="s">
        <v>7164</v>
      </c>
      <c r="L3436" s="7"/>
      <c r="M3436" s="7"/>
    </row>
    <row r="3437" spans="1:13" x14ac:dyDescent="0.3">
      <c r="A3437" s="7">
        <v>17959</v>
      </c>
      <c r="B3437" s="7" t="s">
        <v>3445</v>
      </c>
      <c r="C3437" s="7" t="s">
        <v>6322</v>
      </c>
      <c r="D3437" s="7" t="s">
        <v>6535</v>
      </c>
      <c r="E3437" s="7" t="s">
        <v>6295</v>
      </c>
      <c r="F3437" s="7" t="s">
        <v>6536</v>
      </c>
      <c r="G3437" s="7" t="s">
        <v>7150</v>
      </c>
      <c r="H3437" s="7" t="s">
        <v>7156</v>
      </c>
      <c r="I3437" s="7"/>
      <c r="J3437" s="10">
        <v>45937</v>
      </c>
      <c r="K3437" s="7" t="s">
        <v>7164</v>
      </c>
      <c r="L3437" s="7"/>
      <c r="M3437" s="7"/>
    </row>
    <row r="3438" spans="1:13" x14ac:dyDescent="0.3">
      <c r="A3438" s="7">
        <v>17658</v>
      </c>
      <c r="B3438" s="7" t="s">
        <v>3446</v>
      </c>
      <c r="C3438" s="7" t="s">
        <v>6322</v>
      </c>
      <c r="D3438" s="7" t="s">
        <v>6535</v>
      </c>
      <c r="E3438" s="7" t="s">
        <v>6295</v>
      </c>
      <c r="F3438" s="7" t="s">
        <v>6414</v>
      </c>
      <c r="G3438" s="7" t="s">
        <v>7150</v>
      </c>
      <c r="H3438" s="7" t="s">
        <v>7156</v>
      </c>
      <c r="I3438" s="7"/>
      <c r="J3438" s="10">
        <v>45839</v>
      </c>
      <c r="K3438" s="7" t="s">
        <v>7164</v>
      </c>
      <c r="L3438" s="7"/>
      <c r="M3438" s="7"/>
    </row>
    <row r="3439" spans="1:13" x14ac:dyDescent="0.3">
      <c r="A3439" s="7">
        <v>300200</v>
      </c>
      <c r="B3439" s="7" t="s">
        <v>3447</v>
      </c>
      <c r="C3439" s="7" t="s">
        <v>6322</v>
      </c>
      <c r="D3439" s="7" t="s">
        <v>6535</v>
      </c>
      <c r="E3439" s="7" t="s">
        <v>6295</v>
      </c>
      <c r="F3439" s="7" t="s">
        <v>6758</v>
      </c>
      <c r="G3439" s="7" t="s">
        <v>7150</v>
      </c>
      <c r="H3439" s="7" t="s">
        <v>7156</v>
      </c>
      <c r="I3439" s="7"/>
      <c r="J3439" s="10">
        <v>43882</v>
      </c>
      <c r="K3439" s="7" t="s">
        <v>7164</v>
      </c>
      <c r="L3439" s="7"/>
      <c r="M3439" s="7"/>
    </row>
    <row r="3440" spans="1:13" x14ac:dyDescent="0.3">
      <c r="A3440" s="7">
        <v>16104</v>
      </c>
      <c r="B3440" s="7" t="s">
        <v>3448</v>
      </c>
      <c r="C3440" s="7" t="s">
        <v>6322</v>
      </c>
      <c r="D3440" s="7" t="s">
        <v>6535</v>
      </c>
      <c r="E3440" s="7" t="s">
        <v>6295</v>
      </c>
      <c r="F3440" s="7" t="s">
        <v>6536</v>
      </c>
      <c r="G3440" s="7" t="s">
        <v>7150</v>
      </c>
      <c r="H3440" s="7" t="s">
        <v>7156</v>
      </c>
      <c r="I3440" s="7"/>
      <c r="J3440" s="10">
        <v>45286</v>
      </c>
      <c r="K3440" s="7" t="s">
        <v>7164</v>
      </c>
      <c r="L3440" s="7"/>
      <c r="M3440" s="7"/>
    </row>
    <row r="3441" spans="1:13" x14ac:dyDescent="0.3">
      <c r="A3441" s="7">
        <v>18272</v>
      </c>
      <c r="B3441" s="7" t="s">
        <v>3449</v>
      </c>
      <c r="C3441" s="7" t="s">
        <v>6322</v>
      </c>
      <c r="D3441" s="7" t="s">
        <v>6535</v>
      </c>
      <c r="E3441" s="7" t="s">
        <v>6295</v>
      </c>
      <c r="F3441" s="7" t="s">
        <v>6536</v>
      </c>
      <c r="G3441" s="7" t="s">
        <v>7150</v>
      </c>
      <c r="H3441" s="7" t="s">
        <v>7156</v>
      </c>
      <c r="I3441" s="7"/>
      <c r="J3441" s="10">
        <v>46076</v>
      </c>
      <c r="K3441" s="7" t="s">
        <v>7164</v>
      </c>
      <c r="L3441" s="7"/>
      <c r="M3441" s="7"/>
    </row>
    <row r="3442" spans="1:13" x14ac:dyDescent="0.3">
      <c r="A3442" s="7">
        <v>15874</v>
      </c>
      <c r="B3442" s="7" t="s">
        <v>3450</v>
      </c>
      <c r="C3442" s="7" t="s">
        <v>6322</v>
      </c>
      <c r="D3442" s="7" t="s">
        <v>6535</v>
      </c>
      <c r="E3442" s="7" t="s">
        <v>6295</v>
      </c>
      <c r="F3442" s="7" t="s">
        <v>6536</v>
      </c>
      <c r="G3442" s="7" t="s">
        <v>7150</v>
      </c>
      <c r="H3442" s="7" t="s">
        <v>7156</v>
      </c>
      <c r="I3442" s="7"/>
      <c r="J3442" s="10">
        <v>45225</v>
      </c>
      <c r="K3442" s="7" t="s">
        <v>7164</v>
      </c>
      <c r="L3442" s="7"/>
      <c r="M3442" s="7"/>
    </row>
    <row r="3443" spans="1:13" x14ac:dyDescent="0.3">
      <c r="A3443" s="7">
        <v>12981</v>
      </c>
      <c r="B3443" s="7" t="s">
        <v>3451</v>
      </c>
      <c r="C3443" s="7" t="s">
        <v>6322</v>
      </c>
      <c r="D3443" s="7" t="s">
        <v>6535</v>
      </c>
      <c r="E3443" s="7" t="s">
        <v>6295</v>
      </c>
      <c r="F3443" s="7" t="s">
        <v>6536</v>
      </c>
      <c r="G3443" s="7" t="s">
        <v>7150</v>
      </c>
      <c r="H3443" s="7" t="s">
        <v>7156</v>
      </c>
      <c r="I3443" s="7"/>
      <c r="J3443" s="10">
        <v>44160</v>
      </c>
      <c r="K3443" s="7" t="s">
        <v>7164</v>
      </c>
      <c r="L3443" s="7"/>
      <c r="M3443" s="7"/>
    </row>
    <row r="3444" spans="1:13" x14ac:dyDescent="0.3">
      <c r="A3444" s="7">
        <v>16076</v>
      </c>
      <c r="B3444" s="7" t="s">
        <v>3452</v>
      </c>
      <c r="C3444" s="7" t="s">
        <v>6322</v>
      </c>
      <c r="D3444" s="7" t="s">
        <v>6535</v>
      </c>
      <c r="E3444" s="7" t="s">
        <v>6295</v>
      </c>
      <c r="F3444" s="7" t="s">
        <v>6536</v>
      </c>
      <c r="G3444" s="7" t="s">
        <v>7150</v>
      </c>
      <c r="H3444" s="7" t="s">
        <v>7156</v>
      </c>
      <c r="I3444" s="7"/>
      <c r="J3444" s="10">
        <v>45279</v>
      </c>
      <c r="K3444" s="7" t="s">
        <v>7164</v>
      </c>
      <c r="L3444" s="7"/>
      <c r="M3444" s="7"/>
    </row>
    <row r="3445" spans="1:13" x14ac:dyDescent="0.3">
      <c r="A3445" s="7">
        <v>13896</v>
      </c>
      <c r="B3445" s="7" t="s">
        <v>3453</v>
      </c>
      <c r="C3445" s="7" t="s">
        <v>6322</v>
      </c>
      <c r="D3445" s="7" t="s">
        <v>6535</v>
      </c>
      <c r="E3445" s="7" t="s">
        <v>6295</v>
      </c>
      <c r="F3445" s="7" t="s">
        <v>6536</v>
      </c>
      <c r="G3445" s="7" t="s">
        <v>7150</v>
      </c>
      <c r="H3445" s="7" t="s">
        <v>7156</v>
      </c>
      <c r="I3445" s="7"/>
      <c r="J3445" s="10">
        <v>44623</v>
      </c>
      <c r="K3445" s="7" t="s">
        <v>7164</v>
      </c>
      <c r="L3445" s="7"/>
      <c r="M3445" s="7"/>
    </row>
    <row r="3446" spans="1:13" x14ac:dyDescent="0.3">
      <c r="A3446" s="7">
        <v>18496</v>
      </c>
      <c r="B3446" s="7" t="s">
        <v>3454</v>
      </c>
      <c r="C3446" s="7" t="s">
        <v>6322</v>
      </c>
      <c r="D3446" s="7" t="s">
        <v>6295</v>
      </c>
      <c r="E3446" s="7" t="s">
        <v>6295</v>
      </c>
      <c r="F3446" s="7" t="s">
        <v>6536</v>
      </c>
      <c r="G3446" s="7" t="s">
        <v>7150</v>
      </c>
      <c r="H3446" s="7" t="s">
        <v>7156</v>
      </c>
      <c r="I3446" s="7"/>
      <c r="J3446" s="10">
        <v>46143</v>
      </c>
      <c r="K3446" s="7" t="s">
        <v>7164</v>
      </c>
      <c r="L3446" s="7"/>
      <c r="M3446" s="7"/>
    </row>
    <row r="3447" spans="1:13" x14ac:dyDescent="0.3">
      <c r="A3447" s="7">
        <v>18655</v>
      </c>
      <c r="B3447" s="7" t="s">
        <v>3455</v>
      </c>
      <c r="C3447" s="7" t="s">
        <v>6322</v>
      </c>
      <c r="D3447" s="7" t="s">
        <v>6535</v>
      </c>
      <c r="E3447" s="7" t="s">
        <v>6295</v>
      </c>
      <c r="F3447" s="7" t="s">
        <v>6536</v>
      </c>
      <c r="G3447" s="7" t="s">
        <v>7150</v>
      </c>
      <c r="H3447" s="7" t="s">
        <v>7156</v>
      </c>
      <c r="I3447" s="7"/>
      <c r="J3447" s="10">
        <v>46190</v>
      </c>
      <c r="K3447" s="7" t="s">
        <v>7164</v>
      </c>
      <c r="L3447" s="7"/>
      <c r="M3447" s="7"/>
    </row>
    <row r="3448" spans="1:13" x14ac:dyDescent="0.3">
      <c r="A3448" s="7">
        <v>15372</v>
      </c>
      <c r="B3448" s="7" t="s">
        <v>3456</v>
      </c>
      <c r="C3448" s="7" t="s">
        <v>6646</v>
      </c>
      <c r="D3448" s="7" t="s">
        <v>6708</v>
      </c>
      <c r="E3448" s="7" t="s">
        <v>6295</v>
      </c>
      <c r="F3448" s="7" t="s">
        <v>6414</v>
      </c>
      <c r="G3448" s="7" t="s">
        <v>7150</v>
      </c>
      <c r="H3448" s="7" t="s">
        <v>7156</v>
      </c>
      <c r="I3448" s="7"/>
      <c r="J3448" s="10">
        <v>45050</v>
      </c>
      <c r="K3448" s="7" t="s">
        <v>7164</v>
      </c>
      <c r="L3448" s="7"/>
      <c r="M3448" s="7"/>
    </row>
    <row r="3449" spans="1:13" x14ac:dyDescent="0.3">
      <c r="A3449" s="7">
        <v>12707</v>
      </c>
      <c r="B3449" s="7" t="s">
        <v>3457</v>
      </c>
      <c r="C3449" s="7" t="s">
        <v>6646</v>
      </c>
      <c r="D3449" s="7" t="s">
        <v>6708</v>
      </c>
      <c r="E3449" s="7" t="s">
        <v>6295</v>
      </c>
      <c r="F3449" s="7" t="s">
        <v>6536</v>
      </c>
      <c r="G3449" s="7" t="s">
        <v>7150</v>
      </c>
      <c r="H3449" s="7" t="s">
        <v>7156</v>
      </c>
      <c r="I3449" s="7"/>
      <c r="J3449" s="10">
        <v>43873</v>
      </c>
      <c r="K3449" s="7" t="s">
        <v>7164</v>
      </c>
      <c r="L3449" s="7"/>
      <c r="M3449" s="7"/>
    </row>
    <row r="3450" spans="1:13" x14ac:dyDescent="0.3">
      <c r="A3450" s="7">
        <v>12135</v>
      </c>
      <c r="B3450" s="7" t="s">
        <v>3458</v>
      </c>
      <c r="C3450" s="7" t="s">
        <v>6327</v>
      </c>
      <c r="D3450" s="7" t="s">
        <v>6535</v>
      </c>
      <c r="E3450" s="7" t="s">
        <v>6295</v>
      </c>
      <c r="F3450" s="7" t="s">
        <v>6536</v>
      </c>
      <c r="G3450" s="7" t="s">
        <v>7150</v>
      </c>
      <c r="H3450" s="7" t="s">
        <v>7156</v>
      </c>
      <c r="I3450" s="7"/>
      <c r="J3450" s="10">
        <v>43511</v>
      </c>
      <c r="K3450" s="7" t="s">
        <v>7164</v>
      </c>
      <c r="L3450" s="7"/>
      <c r="M3450" s="7"/>
    </row>
    <row r="3451" spans="1:13" x14ac:dyDescent="0.3">
      <c r="A3451" s="7">
        <v>18151</v>
      </c>
      <c r="B3451" s="7" t="s">
        <v>3459</v>
      </c>
      <c r="C3451" s="7" t="s">
        <v>6322</v>
      </c>
      <c r="D3451" s="7" t="s">
        <v>6535</v>
      </c>
      <c r="E3451" s="7" t="s">
        <v>6295</v>
      </c>
      <c r="F3451" s="7" t="s">
        <v>6536</v>
      </c>
      <c r="G3451" s="7" t="s">
        <v>7150</v>
      </c>
      <c r="H3451" s="7" t="s">
        <v>7156</v>
      </c>
      <c r="I3451" s="7"/>
      <c r="J3451" s="10">
        <v>46016</v>
      </c>
      <c r="K3451" s="7" t="s">
        <v>7164</v>
      </c>
      <c r="L3451" s="7"/>
      <c r="M3451" s="7"/>
    </row>
    <row r="3452" spans="1:13" x14ac:dyDescent="0.3">
      <c r="A3452" s="7">
        <v>17898</v>
      </c>
      <c r="B3452" s="7" t="s">
        <v>3460</v>
      </c>
      <c r="C3452" s="7" t="s">
        <v>6322</v>
      </c>
      <c r="D3452" s="7" t="s">
        <v>6535</v>
      </c>
      <c r="E3452" s="7" t="s">
        <v>6295</v>
      </c>
      <c r="F3452" s="7" t="s">
        <v>6536</v>
      </c>
      <c r="G3452" s="7" t="s">
        <v>7150</v>
      </c>
      <c r="H3452" s="7" t="s">
        <v>7156</v>
      </c>
      <c r="I3452" s="7"/>
      <c r="J3452" s="10">
        <v>45915</v>
      </c>
      <c r="K3452" s="7" t="s">
        <v>7164</v>
      </c>
      <c r="L3452" s="7"/>
      <c r="M3452" s="7"/>
    </row>
    <row r="3453" spans="1:13" x14ac:dyDescent="0.3">
      <c r="A3453" s="7">
        <v>15819</v>
      </c>
      <c r="B3453" s="7" t="s">
        <v>3461</v>
      </c>
      <c r="C3453" s="7" t="s">
        <v>6322</v>
      </c>
      <c r="D3453" s="7" t="s">
        <v>6535</v>
      </c>
      <c r="E3453" s="7" t="s">
        <v>6295</v>
      </c>
      <c r="F3453" s="7" t="s">
        <v>6536</v>
      </c>
      <c r="G3453" s="7" t="s">
        <v>7150</v>
      </c>
      <c r="H3453" s="7" t="s">
        <v>7156</v>
      </c>
      <c r="I3453" s="7"/>
      <c r="J3453" s="10">
        <v>45204</v>
      </c>
      <c r="K3453" s="7" t="s">
        <v>7164</v>
      </c>
      <c r="L3453" s="7"/>
      <c r="M3453" s="7"/>
    </row>
    <row r="3454" spans="1:13" x14ac:dyDescent="0.3">
      <c r="A3454" s="7">
        <v>14957</v>
      </c>
      <c r="B3454" s="7" t="s">
        <v>3462</v>
      </c>
      <c r="C3454" s="7" t="s">
        <v>6327</v>
      </c>
      <c r="D3454" s="7" t="s">
        <v>6535</v>
      </c>
      <c r="E3454" s="7" t="s">
        <v>6295</v>
      </c>
      <c r="F3454" s="7" t="s">
        <v>6536</v>
      </c>
      <c r="G3454" s="7" t="s">
        <v>7150</v>
      </c>
      <c r="H3454" s="7" t="s">
        <v>7156</v>
      </c>
      <c r="I3454" s="7"/>
      <c r="J3454" s="10">
        <v>44900</v>
      </c>
      <c r="K3454" s="7" t="s">
        <v>7164</v>
      </c>
      <c r="L3454" s="7"/>
      <c r="M3454" s="7"/>
    </row>
    <row r="3455" spans="1:13" x14ac:dyDescent="0.3">
      <c r="A3455" s="7">
        <v>18406</v>
      </c>
      <c r="B3455" s="7" t="s">
        <v>3463</v>
      </c>
      <c r="C3455" s="7" t="s">
        <v>6646</v>
      </c>
      <c r="D3455" s="7" t="s">
        <v>6708</v>
      </c>
      <c r="E3455" s="7" t="s">
        <v>6295</v>
      </c>
      <c r="F3455" s="7" t="s">
        <v>6536</v>
      </c>
      <c r="G3455" s="7" t="s">
        <v>7150</v>
      </c>
      <c r="H3455" s="7" t="s">
        <v>7156</v>
      </c>
      <c r="I3455" s="7"/>
      <c r="J3455" s="10">
        <v>46122</v>
      </c>
      <c r="K3455" s="7" t="s">
        <v>7164</v>
      </c>
      <c r="L3455" s="7"/>
      <c r="M3455" s="7"/>
    </row>
    <row r="3456" spans="1:13" x14ac:dyDescent="0.3">
      <c r="A3456" s="7">
        <v>11180</v>
      </c>
      <c r="B3456" s="7" t="s">
        <v>3464</v>
      </c>
      <c r="C3456" s="7" t="s">
        <v>6646</v>
      </c>
      <c r="D3456" s="7" t="s">
        <v>6708</v>
      </c>
      <c r="E3456" s="7" t="s">
        <v>6295</v>
      </c>
      <c r="F3456" s="7" t="s">
        <v>6536</v>
      </c>
      <c r="G3456" s="7" t="s">
        <v>7150</v>
      </c>
      <c r="H3456" s="7" t="s">
        <v>7156</v>
      </c>
      <c r="I3456" s="7"/>
      <c r="J3456" s="10">
        <v>42360</v>
      </c>
      <c r="K3456" s="7" t="s">
        <v>7164</v>
      </c>
      <c r="L3456" s="7"/>
      <c r="M3456" s="7"/>
    </row>
    <row r="3457" spans="1:13" x14ac:dyDescent="0.3">
      <c r="A3457" s="7">
        <v>15923</v>
      </c>
      <c r="B3457" s="7" t="s">
        <v>3465</v>
      </c>
      <c r="C3457" s="7" t="s">
        <v>6646</v>
      </c>
      <c r="D3457" s="7" t="s">
        <v>6708</v>
      </c>
      <c r="E3457" s="7" t="s">
        <v>6295</v>
      </c>
      <c r="F3457" s="7" t="s">
        <v>6536</v>
      </c>
      <c r="G3457" s="7" t="s">
        <v>7150</v>
      </c>
      <c r="H3457" s="7" t="s">
        <v>7156</v>
      </c>
      <c r="I3457" s="7"/>
      <c r="J3457" s="10">
        <v>45237</v>
      </c>
      <c r="K3457" s="7" t="s">
        <v>7164</v>
      </c>
      <c r="L3457" s="7"/>
      <c r="M3457" s="7"/>
    </row>
    <row r="3458" spans="1:13" x14ac:dyDescent="0.3">
      <c r="A3458" s="7">
        <v>13452</v>
      </c>
      <c r="B3458" s="7" t="s">
        <v>3466</v>
      </c>
      <c r="C3458" s="7" t="s">
        <v>6322</v>
      </c>
      <c r="D3458" s="7" t="s">
        <v>6535</v>
      </c>
      <c r="E3458" s="7" t="s">
        <v>6295</v>
      </c>
      <c r="F3458" s="7" t="s">
        <v>6536</v>
      </c>
      <c r="G3458" s="7" t="s">
        <v>7150</v>
      </c>
      <c r="H3458" s="7" t="s">
        <v>7156</v>
      </c>
      <c r="I3458" s="7"/>
      <c r="J3458" s="10">
        <v>44462</v>
      </c>
      <c r="K3458" s="7" t="s">
        <v>7164</v>
      </c>
      <c r="L3458" s="7"/>
      <c r="M3458" s="7"/>
    </row>
    <row r="3459" spans="1:13" x14ac:dyDescent="0.3">
      <c r="A3459" s="7">
        <v>12117</v>
      </c>
      <c r="B3459" s="7" t="s">
        <v>3467</v>
      </c>
      <c r="C3459" s="7" t="s">
        <v>6322</v>
      </c>
      <c r="D3459" s="7" t="s">
        <v>6535</v>
      </c>
      <c r="E3459" s="7" t="s">
        <v>6295</v>
      </c>
      <c r="F3459" s="7" t="s">
        <v>6536</v>
      </c>
      <c r="G3459" s="7" t="s">
        <v>7150</v>
      </c>
      <c r="H3459" s="7" t="s">
        <v>7156</v>
      </c>
      <c r="I3459" s="7"/>
      <c r="J3459" s="10">
        <v>43493</v>
      </c>
      <c r="K3459" s="7" t="s">
        <v>7164</v>
      </c>
      <c r="L3459" s="7"/>
      <c r="M3459" s="7"/>
    </row>
    <row r="3460" spans="1:13" x14ac:dyDescent="0.3">
      <c r="A3460" s="7">
        <v>11291</v>
      </c>
      <c r="B3460" s="7" t="s">
        <v>3468</v>
      </c>
      <c r="C3460" s="7" t="s">
        <v>6759</v>
      </c>
      <c r="D3460" s="7" t="s">
        <v>6295</v>
      </c>
      <c r="E3460" s="7" t="s">
        <v>6295</v>
      </c>
      <c r="F3460" s="7" t="s">
        <v>6356</v>
      </c>
      <c r="G3460" s="7" t="s">
        <v>7150</v>
      </c>
      <c r="H3460" s="7" t="s">
        <v>7156</v>
      </c>
      <c r="I3460" s="7"/>
      <c r="J3460" s="10">
        <v>42501</v>
      </c>
      <c r="K3460" s="7" t="s">
        <v>7163</v>
      </c>
      <c r="L3460" s="7"/>
      <c r="M3460" s="7"/>
    </row>
    <row r="3461" spans="1:13" x14ac:dyDescent="0.3">
      <c r="A3461" s="7">
        <v>700010</v>
      </c>
      <c r="B3461" s="7" t="s">
        <v>3469</v>
      </c>
      <c r="C3461" s="7" t="s">
        <v>6759</v>
      </c>
      <c r="D3461" s="7" t="s">
        <v>6760</v>
      </c>
      <c r="E3461" s="7" t="s">
        <v>6295</v>
      </c>
      <c r="F3461" s="7" t="s">
        <v>6338</v>
      </c>
      <c r="G3461" s="7" t="s">
        <v>7150</v>
      </c>
      <c r="H3461" s="7" t="s">
        <v>7156</v>
      </c>
      <c r="I3461" s="7"/>
      <c r="J3461" s="10">
        <v>38617</v>
      </c>
      <c r="K3461" s="7" t="s">
        <v>7163</v>
      </c>
      <c r="L3461" s="7"/>
      <c r="M3461" s="7"/>
    </row>
    <row r="3462" spans="1:13" x14ac:dyDescent="0.3">
      <c r="A3462" s="7">
        <v>12206</v>
      </c>
      <c r="B3462" s="7" t="s">
        <v>3470</v>
      </c>
      <c r="C3462" s="7" t="s">
        <v>6759</v>
      </c>
      <c r="D3462" s="7" t="s">
        <v>6760</v>
      </c>
      <c r="E3462" s="7" t="s">
        <v>6295</v>
      </c>
      <c r="F3462" s="7" t="s">
        <v>6542</v>
      </c>
      <c r="G3462" s="7" t="s">
        <v>7150</v>
      </c>
      <c r="H3462" s="7" t="s">
        <v>7156</v>
      </c>
      <c r="I3462" s="7"/>
      <c r="J3462" s="10">
        <v>43586</v>
      </c>
      <c r="K3462" s="7" t="s">
        <v>7163</v>
      </c>
      <c r="L3462" s="7"/>
      <c r="M3462" s="7"/>
    </row>
    <row r="3463" spans="1:13" x14ac:dyDescent="0.3">
      <c r="A3463" s="7">
        <v>12872</v>
      </c>
      <c r="B3463" s="7" t="s">
        <v>3471</v>
      </c>
      <c r="C3463" s="7" t="s">
        <v>6759</v>
      </c>
      <c r="D3463" s="7" t="s">
        <v>6760</v>
      </c>
      <c r="E3463" s="7" t="s">
        <v>6295</v>
      </c>
      <c r="F3463" s="7" t="s">
        <v>6542</v>
      </c>
      <c r="G3463" s="7" t="s">
        <v>7150</v>
      </c>
      <c r="H3463" s="7" t="s">
        <v>7156</v>
      </c>
      <c r="I3463" s="7"/>
      <c r="J3463" s="10">
        <v>44068</v>
      </c>
      <c r="K3463" s="7" t="s">
        <v>7163</v>
      </c>
      <c r="L3463" s="7"/>
      <c r="M3463" s="7"/>
    </row>
    <row r="3464" spans="1:13" x14ac:dyDescent="0.3">
      <c r="A3464" s="7">
        <v>130018</v>
      </c>
      <c r="B3464" s="7" t="s">
        <v>3472</v>
      </c>
      <c r="C3464" s="7" t="s">
        <v>6759</v>
      </c>
      <c r="D3464" s="7" t="s">
        <v>6760</v>
      </c>
      <c r="E3464" s="7" t="s">
        <v>6295</v>
      </c>
      <c r="F3464" s="7" t="s">
        <v>6353</v>
      </c>
      <c r="G3464" s="7" t="s">
        <v>7150</v>
      </c>
      <c r="H3464" s="7" t="s">
        <v>7156</v>
      </c>
      <c r="I3464" s="7"/>
      <c r="J3464" s="10">
        <v>40290</v>
      </c>
      <c r="K3464" s="7" t="s">
        <v>7163</v>
      </c>
      <c r="L3464" s="7"/>
      <c r="M3464" s="7"/>
    </row>
    <row r="3465" spans="1:13" x14ac:dyDescent="0.3">
      <c r="A3465" s="7">
        <v>10662</v>
      </c>
      <c r="B3465" s="7" t="s">
        <v>3473</v>
      </c>
      <c r="C3465" s="7" t="s">
        <v>6759</v>
      </c>
      <c r="D3465" s="7" t="s">
        <v>6760</v>
      </c>
      <c r="E3465" s="7" t="s">
        <v>6295</v>
      </c>
      <c r="F3465" s="7" t="s">
        <v>6353</v>
      </c>
      <c r="G3465" s="7" t="s">
        <v>7150</v>
      </c>
      <c r="H3465" s="7" t="s">
        <v>7156</v>
      </c>
      <c r="I3465" s="7"/>
      <c r="J3465" s="10">
        <v>41625</v>
      </c>
      <c r="K3465" s="7" t="s">
        <v>7163</v>
      </c>
      <c r="L3465" s="7"/>
      <c r="M3465" s="7"/>
    </row>
    <row r="3466" spans="1:13" x14ac:dyDescent="0.3">
      <c r="A3466" s="7">
        <v>12387</v>
      </c>
      <c r="B3466" s="7" t="s">
        <v>3474</v>
      </c>
      <c r="C3466" s="7" t="s">
        <v>6759</v>
      </c>
      <c r="D3466" s="7" t="s">
        <v>6760</v>
      </c>
      <c r="E3466" s="7" t="s">
        <v>6295</v>
      </c>
      <c r="F3466" s="7" t="s">
        <v>6353</v>
      </c>
      <c r="G3466" s="7" t="s">
        <v>7150</v>
      </c>
      <c r="H3466" s="7" t="s">
        <v>7156</v>
      </c>
      <c r="I3466" s="7"/>
      <c r="J3466" s="10">
        <v>43727</v>
      </c>
      <c r="K3466" s="7" t="s">
        <v>7163</v>
      </c>
      <c r="L3466" s="7"/>
      <c r="M3466" s="7"/>
    </row>
    <row r="3467" spans="1:13" x14ac:dyDescent="0.3">
      <c r="A3467" s="7">
        <v>11588</v>
      </c>
      <c r="B3467" s="7" t="s">
        <v>3475</v>
      </c>
      <c r="C3467" s="7" t="s">
        <v>6759</v>
      </c>
      <c r="D3467" s="7" t="s">
        <v>6760</v>
      </c>
      <c r="E3467" s="7" t="s">
        <v>6295</v>
      </c>
      <c r="F3467" s="7" t="s">
        <v>6353</v>
      </c>
      <c r="G3467" s="7" t="s">
        <v>7150</v>
      </c>
      <c r="H3467" s="7" t="s">
        <v>7156</v>
      </c>
      <c r="I3467" s="7"/>
      <c r="J3467" s="10">
        <v>42887</v>
      </c>
      <c r="K3467" s="7" t="s">
        <v>7163</v>
      </c>
      <c r="L3467" s="7"/>
      <c r="M3467" s="7"/>
    </row>
    <row r="3468" spans="1:13" x14ac:dyDescent="0.3">
      <c r="A3468" s="7">
        <v>13305</v>
      </c>
      <c r="B3468" s="7" t="s">
        <v>3476</v>
      </c>
      <c r="C3468" s="7" t="s">
        <v>6428</v>
      </c>
      <c r="D3468" s="7" t="s">
        <v>6430</v>
      </c>
      <c r="E3468" s="7" t="s">
        <v>6295</v>
      </c>
      <c r="F3468" s="7" t="s">
        <v>6340</v>
      </c>
      <c r="G3468" s="7" t="s">
        <v>7150</v>
      </c>
      <c r="H3468" s="7" t="s">
        <v>7156</v>
      </c>
      <c r="I3468" s="7"/>
      <c r="J3468" s="10">
        <v>44378</v>
      </c>
      <c r="K3468" s="7" t="s">
        <v>7163</v>
      </c>
      <c r="L3468" s="7"/>
      <c r="M3468" s="7"/>
    </row>
    <row r="3469" spans="1:13" x14ac:dyDescent="0.3">
      <c r="A3469" s="7">
        <v>13251</v>
      </c>
      <c r="B3469" s="7" t="s">
        <v>3477</v>
      </c>
      <c r="C3469" s="7" t="s">
        <v>6759</v>
      </c>
      <c r="D3469" s="7" t="s">
        <v>6760</v>
      </c>
      <c r="E3469" s="7" t="s">
        <v>6295</v>
      </c>
      <c r="F3469" s="7" t="s">
        <v>6340</v>
      </c>
      <c r="G3469" s="7" t="s">
        <v>7150</v>
      </c>
      <c r="H3469" s="7" t="s">
        <v>7156</v>
      </c>
      <c r="I3469" s="7"/>
      <c r="J3469" s="10">
        <v>44348</v>
      </c>
      <c r="K3469" s="7" t="s">
        <v>7163</v>
      </c>
      <c r="L3469" s="7"/>
      <c r="M3469" s="7"/>
    </row>
    <row r="3470" spans="1:13" x14ac:dyDescent="0.3">
      <c r="A3470" s="7">
        <v>15307</v>
      </c>
      <c r="B3470" s="7" t="s">
        <v>3478</v>
      </c>
      <c r="C3470" s="7" t="s">
        <v>6759</v>
      </c>
      <c r="D3470" s="7" t="s">
        <v>6760</v>
      </c>
      <c r="E3470" s="7" t="s">
        <v>6295</v>
      </c>
      <c r="F3470" s="7" t="s">
        <v>6340</v>
      </c>
      <c r="G3470" s="7" t="s">
        <v>7150</v>
      </c>
      <c r="H3470" s="7" t="s">
        <v>7156</v>
      </c>
      <c r="I3470" s="7"/>
      <c r="J3470" s="10">
        <v>45022</v>
      </c>
      <c r="K3470" s="7" t="s">
        <v>7163</v>
      </c>
      <c r="L3470" s="7"/>
      <c r="M3470" s="7"/>
    </row>
    <row r="3471" spans="1:13" x14ac:dyDescent="0.3">
      <c r="A3471" s="7">
        <v>10037</v>
      </c>
      <c r="B3471" s="7" t="s">
        <v>3479</v>
      </c>
      <c r="C3471" s="7" t="s">
        <v>6759</v>
      </c>
      <c r="D3471" s="7" t="s">
        <v>6761</v>
      </c>
      <c r="E3471" s="7" t="s">
        <v>6295</v>
      </c>
      <c r="F3471" s="7" t="s">
        <v>6338</v>
      </c>
      <c r="G3471" s="7" t="s">
        <v>7150</v>
      </c>
      <c r="H3471" s="7" t="s">
        <v>7156</v>
      </c>
      <c r="I3471" s="7"/>
      <c r="J3471" s="10">
        <v>36679</v>
      </c>
      <c r="K3471" s="7" t="s">
        <v>7163</v>
      </c>
      <c r="L3471" s="7"/>
      <c r="M3471" s="7"/>
    </row>
    <row r="3472" spans="1:13" x14ac:dyDescent="0.3">
      <c r="A3472" s="7">
        <v>10730</v>
      </c>
      <c r="B3472" s="7" t="s">
        <v>3480</v>
      </c>
      <c r="C3472" s="7" t="s">
        <v>6759</v>
      </c>
      <c r="D3472" s="7" t="s">
        <v>6761</v>
      </c>
      <c r="E3472" s="7" t="s">
        <v>6295</v>
      </c>
      <c r="F3472" s="7" t="s">
        <v>6335</v>
      </c>
      <c r="G3472" s="7" t="s">
        <v>7150</v>
      </c>
      <c r="H3472" s="7" t="s">
        <v>7156</v>
      </c>
      <c r="I3472" s="7"/>
      <c r="J3472" s="10">
        <v>41772</v>
      </c>
      <c r="K3472" s="7" t="s">
        <v>7163</v>
      </c>
      <c r="L3472" s="7"/>
      <c r="M3472" s="7"/>
    </row>
    <row r="3473" spans="1:13" x14ac:dyDescent="0.3">
      <c r="A3473" s="7">
        <v>13235</v>
      </c>
      <c r="B3473" s="7" t="s">
        <v>3481</v>
      </c>
      <c r="C3473" s="7" t="s">
        <v>6759</v>
      </c>
      <c r="D3473" s="7" t="s">
        <v>6761</v>
      </c>
      <c r="E3473" s="7" t="s">
        <v>6295</v>
      </c>
      <c r="F3473" s="7" t="s">
        <v>6542</v>
      </c>
      <c r="G3473" s="7" t="s">
        <v>7150</v>
      </c>
      <c r="H3473" s="7" t="s">
        <v>7156</v>
      </c>
      <c r="I3473" s="7"/>
      <c r="J3473" s="10">
        <v>44333</v>
      </c>
      <c r="K3473" s="7" t="s">
        <v>7163</v>
      </c>
      <c r="L3473" s="7"/>
      <c r="M3473" s="7"/>
    </row>
    <row r="3474" spans="1:13" x14ac:dyDescent="0.3">
      <c r="A3474" s="7">
        <v>12916</v>
      </c>
      <c r="B3474" s="7" t="s">
        <v>3482</v>
      </c>
      <c r="C3474" s="7" t="s">
        <v>6759</v>
      </c>
      <c r="D3474" s="7" t="s">
        <v>6761</v>
      </c>
      <c r="E3474" s="7" t="s">
        <v>6295</v>
      </c>
      <c r="F3474" s="7" t="s">
        <v>6353</v>
      </c>
      <c r="G3474" s="7" t="s">
        <v>7150</v>
      </c>
      <c r="H3474" s="7" t="s">
        <v>7156</v>
      </c>
      <c r="I3474" s="7"/>
      <c r="J3474" s="10">
        <v>44109</v>
      </c>
      <c r="K3474" s="7" t="s">
        <v>7163</v>
      </c>
      <c r="L3474" s="7"/>
      <c r="M3474" s="7"/>
    </row>
    <row r="3475" spans="1:13" x14ac:dyDescent="0.3">
      <c r="A3475" s="7">
        <v>13238</v>
      </c>
      <c r="B3475" s="7" t="s">
        <v>3483</v>
      </c>
      <c r="C3475" s="7" t="s">
        <v>6759</v>
      </c>
      <c r="D3475" s="7" t="s">
        <v>6761</v>
      </c>
      <c r="E3475" s="7" t="s">
        <v>6295</v>
      </c>
      <c r="F3475" s="7" t="s">
        <v>6353</v>
      </c>
      <c r="G3475" s="7" t="s">
        <v>7150</v>
      </c>
      <c r="H3475" s="7" t="s">
        <v>7156</v>
      </c>
      <c r="I3475" s="7"/>
      <c r="J3475" s="10">
        <v>44335</v>
      </c>
      <c r="K3475" s="7" t="s">
        <v>7163</v>
      </c>
      <c r="L3475" s="7"/>
      <c r="M3475" s="7"/>
    </row>
    <row r="3476" spans="1:13" x14ac:dyDescent="0.3">
      <c r="A3476" s="7">
        <v>13199</v>
      </c>
      <c r="B3476" s="7" t="s">
        <v>3484</v>
      </c>
      <c r="C3476" s="7" t="s">
        <v>6759</v>
      </c>
      <c r="D3476" s="7" t="s">
        <v>6761</v>
      </c>
      <c r="E3476" s="7" t="s">
        <v>6295</v>
      </c>
      <c r="F3476" s="7" t="s">
        <v>6340</v>
      </c>
      <c r="G3476" s="7" t="s">
        <v>7150</v>
      </c>
      <c r="H3476" s="7" t="s">
        <v>7156</v>
      </c>
      <c r="I3476" s="7"/>
      <c r="J3476" s="10">
        <v>44313</v>
      </c>
      <c r="K3476" s="7" t="s">
        <v>7163</v>
      </c>
      <c r="L3476" s="7"/>
      <c r="M3476" s="7"/>
    </row>
    <row r="3477" spans="1:13" x14ac:dyDescent="0.3">
      <c r="A3477" s="7">
        <v>13746</v>
      </c>
      <c r="B3477" s="7" t="s">
        <v>3485</v>
      </c>
      <c r="C3477" s="7" t="s">
        <v>6759</v>
      </c>
      <c r="D3477" s="7" t="s">
        <v>6761</v>
      </c>
      <c r="E3477" s="7" t="s">
        <v>6295</v>
      </c>
      <c r="F3477" s="7" t="s">
        <v>6353</v>
      </c>
      <c r="G3477" s="7" t="s">
        <v>7150</v>
      </c>
      <c r="H3477" s="7" t="s">
        <v>7156</v>
      </c>
      <c r="I3477" s="7"/>
      <c r="J3477" s="10">
        <v>44554</v>
      </c>
      <c r="K3477" s="7" t="s">
        <v>7163</v>
      </c>
      <c r="L3477" s="7"/>
      <c r="M3477" s="7"/>
    </row>
    <row r="3478" spans="1:13" x14ac:dyDescent="0.3">
      <c r="A3478" s="7">
        <v>11867</v>
      </c>
      <c r="B3478" s="7" t="s">
        <v>3486</v>
      </c>
      <c r="C3478" s="7" t="s">
        <v>6759</v>
      </c>
      <c r="D3478" s="7" t="s">
        <v>6761</v>
      </c>
      <c r="E3478" s="7" t="s">
        <v>6295</v>
      </c>
      <c r="F3478" s="7" t="s">
        <v>6335</v>
      </c>
      <c r="G3478" s="7" t="s">
        <v>7150</v>
      </c>
      <c r="H3478" s="7" t="s">
        <v>7156</v>
      </c>
      <c r="I3478" s="7"/>
      <c r="J3478" s="10">
        <v>43221</v>
      </c>
      <c r="K3478" s="7" t="s">
        <v>7163</v>
      </c>
      <c r="L3478" s="7"/>
      <c r="M3478" s="7"/>
    </row>
    <row r="3479" spans="1:13" x14ac:dyDescent="0.3">
      <c r="A3479" s="7">
        <v>11293</v>
      </c>
      <c r="B3479" s="7" t="s">
        <v>3487</v>
      </c>
      <c r="C3479" s="7" t="s">
        <v>6759</v>
      </c>
      <c r="D3479" s="7" t="s">
        <v>6761</v>
      </c>
      <c r="E3479" s="7" t="s">
        <v>6295</v>
      </c>
      <c r="F3479" s="7" t="s">
        <v>6353</v>
      </c>
      <c r="G3479" s="7" t="s">
        <v>7151</v>
      </c>
      <c r="H3479" s="7" t="s">
        <v>7156</v>
      </c>
      <c r="I3479" s="7"/>
      <c r="J3479" s="10">
        <v>42502</v>
      </c>
      <c r="K3479" s="7" t="s">
        <v>7163</v>
      </c>
      <c r="L3479" s="7"/>
      <c r="M3479" s="7"/>
    </row>
    <row r="3480" spans="1:13" x14ac:dyDescent="0.3">
      <c r="A3480" s="7">
        <v>11295</v>
      </c>
      <c r="B3480" s="7" t="s">
        <v>3488</v>
      </c>
      <c r="C3480" s="7" t="s">
        <v>6759</v>
      </c>
      <c r="D3480" s="7" t="s">
        <v>6761</v>
      </c>
      <c r="E3480" s="7" t="s">
        <v>6295</v>
      </c>
      <c r="F3480" s="7" t="s">
        <v>6353</v>
      </c>
      <c r="G3480" s="7" t="s">
        <v>7150</v>
      </c>
      <c r="H3480" s="7" t="s">
        <v>7156</v>
      </c>
      <c r="I3480" s="7"/>
      <c r="J3480" s="10">
        <v>42502</v>
      </c>
      <c r="K3480" s="7" t="s">
        <v>7163</v>
      </c>
      <c r="L3480" s="7"/>
      <c r="M3480" s="7"/>
    </row>
    <row r="3481" spans="1:13" x14ac:dyDescent="0.3">
      <c r="A3481" s="7">
        <v>20030</v>
      </c>
      <c r="B3481" s="7" t="s">
        <v>3489</v>
      </c>
      <c r="C3481" s="7" t="s">
        <v>6759</v>
      </c>
      <c r="D3481" s="7" t="s">
        <v>6761</v>
      </c>
      <c r="E3481" s="7" t="s">
        <v>6295</v>
      </c>
      <c r="F3481" s="7" t="s">
        <v>6353</v>
      </c>
      <c r="G3481" s="7" t="s">
        <v>7150</v>
      </c>
      <c r="H3481" s="7" t="s">
        <v>7156</v>
      </c>
      <c r="I3481" s="7"/>
      <c r="J3481" s="10">
        <v>42019</v>
      </c>
      <c r="K3481" s="7" t="s">
        <v>7163</v>
      </c>
      <c r="L3481" s="7"/>
      <c r="M3481" s="7"/>
    </row>
    <row r="3482" spans="1:13" x14ac:dyDescent="0.3">
      <c r="A3482" s="7">
        <v>11183</v>
      </c>
      <c r="B3482" s="7" t="s">
        <v>3490</v>
      </c>
      <c r="C3482" s="7" t="s">
        <v>6759</v>
      </c>
      <c r="D3482" s="7" t="s">
        <v>6761</v>
      </c>
      <c r="E3482" s="7" t="s">
        <v>6295</v>
      </c>
      <c r="F3482" s="7" t="s">
        <v>6353</v>
      </c>
      <c r="G3482" s="7" t="s">
        <v>7150</v>
      </c>
      <c r="H3482" s="7" t="s">
        <v>7156</v>
      </c>
      <c r="I3482" s="7"/>
      <c r="J3482" s="10">
        <v>42363</v>
      </c>
      <c r="K3482" s="7" t="s">
        <v>7163</v>
      </c>
      <c r="L3482" s="7"/>
      <c r="M3482" s="7"/>
    </row>
    <row r="3483" spans="1:13" x14ac:dyDescent="0.3">
      <c r="A3483" s="7">
        <v>12209</v>
      </c>
      <c r="B3483" s="7" t="s">
        <v>3491</v>
      </c>
      <c r="C3483" s="7" t="s">
        <v>6759</v>
      </c>
      <c r="D3483" s="7" t="s">
        <v>6761</v>
      </c>
      <c r="E3483" s="7" t="s">
        <v>6295</v>
      </c>
      <c r="F3483" s="7" t="s">
        <v>6353</v>
      </c>
      <c r="G3483" s="7" t="s">
        <v>7150</v>
      </c>
      <c r="H3483" s="7" t="s">
        <v>7156</v>
      </c>
      <c r="I3483" s="7"/>
      <c r="J3483" s="10">
        <v>43591</v>
      </c>
      <c r="K3483" s="7" t="s">
        <v>7163</v>
      </c>
      <c r="L3483" s="7"/>
      <c r="M3483" s="7"/>
    </row>
    <row r="3484" spans="1:13" x14ac:dyDescent="0.3">
      <c r="A3484" s="7">
        <v>12942</v>
      </c>
      <c r="B3484" s="7" t="s">
        <v>3492</v>
      </c>
      <c r="C3484" s="7" t="s">
        <v>6759</v>
      </c>
      <c r="D3484" s="7" t="s">
        <v>6761</v>
      </c>
      <c r="E3484" s="7" t="s">
        <v>6295</v>
      </c>
      <c r="F3484" s="7" t="s">
        <v>6353</v>
      </c>
      <c r="G3484" s="7" t="s">
        <v>7150</v>
      </c>
      <c r="H3484" s="7" t="s">
        <v>7156</v>
      </c>
      <c r="I3484" s="7"/>
      <c r="J3484" s="10">
        <v>44125</v>
      </c>
      <c r="K3484" s="7" t="s">
        <v>7163</v>
      </c>
      <c r="L3484" s="7"/>
      <c r="M3484" s="7"/>
    </row>
    <row r="3485" spans="1:13" x14ac:dyDescent="0.3">
      <c r="A3485" s="7">
        <v>570036</v>
      </c>
      <c r="B3485" s="7" t="s">
        <v>3493</v>
      </c>
      <c r="C3485" s="7" t="s">
        <v>6759</v>
      </c>
      <c r="D3485" s="7" t="s">
        <v>6761</v>
      </c>
      <c r="E3485" s="7" t="s">
        <v>6295</v>
      </c>
      <c r="F3485" s="7" t="s">
        <v>6353</v>
      </c>
      <c r="G3485" s="7" t="s">
        <v>7150</v>
      </c>
      <c r="H3485" s="7" t="s">
        <v>7156</v>
      </c>
      <c r="I3485" s="7"/>
      <c r="J3485" s="10">
        <v>43383</v>
      </c>
      <c r="K3485" s="7" t="s">
        <v>7163</v>
      </c>
      <c r="L3485" s="7"/>
      <c r="M3485" s="7"/>
    </row>
    <row r="3486" spans="1:13" x14ac:dyDescent="0.3">
      <c r="A3486" s="7">
        <v>270035</v>
      </c>
      <c r="B3486" s="7" t="s">
        <v>3494</v>
      </c>
      <c r="C3486" s="7" t="s">
        <v>6759</v>
      </c>
      <c r="D3486" s="7" t="s">
        <v>6761</v>
      </c>
      <c r="E3486" s="7" t="s">
        <v>6295</v>
      </c>
      <c r="F3486" s="7" t="s">
        <v>6353</v>
      </c>
      <c r="G3486" s="7" t="s">
        <v>7150</v>
      </c>
      <c r="H3486" s="7" t="s">
        <v>7156</v>
      </c>
      <c r="I3486" s="7"/>
      <c r="J3486" s="10">
        <v>42401</v>
      </c>
      <c r="K3486" s="7" t="s">
        <v>7163</v>
      </c>
      <c r="L3486" s="7"/>
      <c r="M3486" s="7"/>
    </row>
    <row r="3487" spans="1:13" x14ac:dyDescent="0.3">
      <c r="A3487" s="7">
        <v>15777</v>
      </c>
      <c r="B3487" s="7" t="s">
        <v>3495</v>
      </c>
      <c r="C3487" s="7" t="s">
        <v>6759</v>
      </c>
      <c r="D3487" s="7" t="s">
        <v>6761</v>
      </c>
      <c r="E3487" s="7" t="s">
        <v>6295</v>
      </c>
      <c r="F3487" s="7" t="s">
        <v>6340</v>
      </c>
      <c r="G3487" s="7" t="s">
        <v>7150</v>
      </c>
      <c r="H3487" s="7" t="s">
        <v>7156</v>
      </c>
      <c r="I3487" s="7"/>
      <c r="J3487" s="10">
        <v>45191</v>
      </c>
      <c r="K3487" s="7" t="s">
        <v>7163</v>
      </c>
      <c r="L3487" s="7"/>
      <c r="M3487" s="7"/>
    </row>
    <row r="3488" spans="1:13" x14ac:dyDescent="0.3">
      <c r="A3488" s="7">
        <v>10657</v>
      </c>
      <c r="B3488" s="7" t="s">
        <v>3496</v>
      </c>
      <c r="C3488" s="7" t="s">
        <v>6759</v>
      </c>
      <c r="D3488" s="7" t="s">
        <v>6761</v>
      </c>
      <c r="E3488" s="7" t="s">
        <v>6295</v>
      </c>
      <c r="F3488" s="7" t="s">
        <v>6542</v>
      </c>
      <c r="G3488" s="7" t="s">
        <v>7150</v>
      </c>
      <c r="H3488" s="7" t="s">
        <v>7156</v>
      </c>
      <c r="I3488" s="7"/>
      <c r="J3488" s="10">
        <v>39854</v>
      </c>
      <c r="K3488" s="7" t="s">
        <v>7163</v>
      </c>
      <c r="L3488" s="7"/>
      <c r="M3488" s="7"/>
    </row>
    <row r="3489" spans="1:13" x14ac:dyDescent="0.3">
      <c r="A3489" s="7">
        <v>11294</v>
      </c>
      <c r="B3489" s="7" t="s">
        <v>3497</v>
      </c>
      <c r="C3489" s="7" t="s">
        <v>6759</v>
      </c>
      <c r="D3489" s="7" t="s">
        <v>6761</v>
      </c>
      <c r="E3489" s="7" t="s">
        <v>6295</v>
      </c>
      <c r="F3489" s="7" t="s">
        <v>6353</v>
      </c>
      <c r="G3489" s="7" t="s">
        <v>7150</v>
      </c>
      <c r="H3489" s="7" t="s">
        <v>7156</v>
      </c>
      <c r="I3489" s="7"/>
      <c r="J3489" s="10">
        <v>42502</v>
      </c>
      <c r="K3489" s="7" t="s">
        <v>7163</v>
      </c>
      <c r="L3489" s="7"/>
      <c r="M3489" s="7"/>
    </row>
    <row r="3490" spans="1:13" x14ac:dyDescent="0.3">
      <c r="A3490" s="7">
        <v>15675</v>
      </c>
      <c r="B3490" s="7" t="s">
        <v>3498</v>
      </c>
      <c r="C3490" s="7" t="s">
        <v>6759</v>
      </c>
      <c r="D3490" s="7" t="s">
        <v>6761</v>
      </c>
      <c r="E3490" s="7" t="s">
        <v>6295</v>
      </c>
      <c r="F3490" s="7" t="s">
        <v>6341</v>
      </c>
      <c r="G3490" s="7" t="s">
        <v>7150</v>
      </c>
      <c r="H3490" s="7" t="s">
        <v>7156</v>
      </c>
      <c r="I3490" s="7"/>
      <c r="J3490" s="10">
        <v>45163</v>
      </c>
      <c r="K3490" s="7" t="s">
        <v>7163</v>
      </c>
      <c r="L3490" s="7"/>
      <c r="M3490" s="7"/>
    </row>
    <row r="3491" spans="1:13" x14ac:dyDescent="0.3">
      <c r="A3491" s="7">
        <v>12198</v>
      </c>
      <c r="B3491" s="7" t="s">
        <v>3499</v>
      </c>
      <c r="C3491" s="7" t="s">
        <v>6759</v>
      </c>
      <c r="D3491" s="7" t="s">
        <v>6295</v>
      </c>
      <c r="E3491" s="7" t="s">
        <v>6295</v>
      </c>
      <c r="F3491" s="7" t="s">
        <v>6336</v>
      </c>
      <c r="G3491" s="7" t="s">
        <v>7150</v>
      </c>
      <c r="H3491" s="7" t="s">
        <v>7156</v>
      </c>
      <c r="I3491" s="7"/>
      <c r="J3491" s="10">
        <v>43573</v>
      </c>
      <c r="K3491" s="7" t="s">
        <v>7163</v>
      </c>
      <c r="L3491" s="7"/>
      <c r="M3491" s="7"/>
    </row>
    <row r="3492" spans="1:13" x14ac:dyDescent="0.3">
      <c r="A3492" s="7">
        <v>15236</v>
      </c>
      <c r="B3492" s="7" t="s">
        <v>3500</v>
      </c>
      <c r="C3492" s="7" t="s">
        <v>6759</v>
      </c>
      <c r="D3492" s="7" t="s">
        <v>6762</v>
      </c>
      <c r="E3492" s="7" t="s">
        <v>6295</v>
      </c>
      <c r="F3492" s="7" t="s">
        <v>6338</v>
      </c>
      <c r="G3492" s="7" t="s">
        <v>7150</v>
      </c>
      <c r="H3492" s="7" t="s">
        <v>7156</v>
      </c>
      <c r="I3492" s="7"/>
      <c r="J3492" s="10">
        <v>44998</v>
      </c>
      <c r="K3492" s="7" t="s">
        <v>7163</v>
      </c>
      <c r="L3492" s="7"/>
      <c r="M3492" s="7"/>
    </row>
    <row r="3493" spans="1:13" x14ac:dyDescent="0.3">
      <c r="A3493" s="7">
        <v>12772</v>
      </c>
      <c r="B3493" s="7" t="s">
        <v>3501</v>
      </c>
      <c r="C3493" s="7" t="s">
        <v>6759</v>
      </c>
      <c r="D3493" s="7" t="s">
        <v>6762</v>
      </c>
      <c r="E3493" s="7" t="s">
        <v>6295</v>
      </c>
      <c r="F3493" s="7" t="s">
        <v>6542</v>
      </c>
      <c r="G3493" s="7" t="s">
        <v>7150</v>
      </c>
      <c r="H3493" s="7" t="s">
        <v>7156</v>
      </c>
      <c r="I3493" s="7"/>
      <c r="J3493" s="10">
        <v>43906</v>
      </c>
      <c r="K3493" s="7" t="s">
        <v>7163</v>
      </c>
      <c r="L3493" s="7"/>
      <c r="M3493" s="7"/>
    </row>
    <row r="3494" spans="1:13" x14ac:dyDescent="0.3">
      <c r="A3494" s="7">
        <v>12746</v>
      </c>
      <c r="B3494" s="7" t="s">
        <v>3502</v>
      </c>
      <c r="C3494" s="7" t="s">
        <v>6759</v>
      </c>
      <c r="D3494" s="7" t="s">
        <v>6762</v>
      </c>
      <c r="E3494" s="7" t="s">
        <v>6295</v>
      </c>
      <c r="F3494" s="7" t="s">
        <v>6335</v>
      </c>
      <c r="G3494" s="7" t="s">
        <v>7150</v>
      </c>
      <c r="H3494" s="7" t="s">
        <v>7156</v>
      </c>
      <c r="I3494" s="7"/>
      <c r="J3494" s="10">
        <v>43892</v>
      </c>
      <c r="K3494" s="7" t="s">
        <v>7163</v>
      </c>
      <c r="L3494" s="7"/>
      <c r="M3494" s="7"/>
    </row>
    <row r="3495" spans="1:13" x14ac:dyDescent="0.3">
      <c r="A3495" s="7">
        <v>13590</v>
      </c>
      <c r="B3495" s="7" t="s">
        <v>3503</v>
      </c>
      <c r="C3495" s="7" t="s">
        <v>6759</v>
      </c>
      <c r="D3495" s="7" t="s">
        <v>6762</v>
      </c>
      <c r="E3495" s="7" t="s">
        <v>6295</v>
      </c>
      <c r="F3495" s="7" t="s">
        <v>6335</v>
      </c>
      <c r="G3495" s="7" t="s">
        <v>7150</v>
      </c>
      <c r="H3495" s="7" t="s">
        <v>7156</v>
      </c>
      <c r="I3495" s="7"/>
      <c r="J3495" s="10">
        <v>44503</v>
      </c>
      <c r="K3495" s="7" t="s">
        <v>7163</v>
      </c>
      <c r="L3495" s="7"/>
      <c r="M3495" s="7"/>
    </row>
    <row r="3496" spans="1:13" x14ac:dyDescent="0.3">
      <c r="A3496" s="7">
        <v>14023</v>
      </c>
      <c r="B3496" s="7" t="s">
        <v>3504</v>
      </c>
      <c r="C3496" s="7" t="s">
        <v>6759</v>
      </c>
      <c r="D3496" s="7" t="s">
        <v>6762</v>
      </c>
      <c r="E3496" s="7" t="s">
        <v>6295</v>
      </c>
      <c r="F3496" s="7" t="s">
        <v>6353</v>
      </c>
      <c r="G3496" s="7" t="s">
        <v>7150</v>
      </c>
      <c r="H3496" s="7" t="s">
        <v>7156</v>
      </c>
      <c r="I3496" s="7"/>
      <c r="J3496" s="10">
        <v>44630</v>
      </c>
      <c r="K3496" s="7" t="s">
        <v>7163</v>
      </c>
      <c r="L3496" s="7"/>
      <c r="M3496" s="7"/>
    </row>
    <row r="3497" spans="1:13" x14ac:dyDescent="0.3">
      <c r="A3497" s="7">
        <v>13471</v>
      </c>
      <c r="B3497" s="7" t="s">
        <v>3505</v>
      </c>
      <c r="C3497" s="7" t="s">
        <v>6759</v>
      </c>
      <c r="D3497" s="7" t="s">
        <v>6762</v>
      </c>
      <c r="E3497" s="7" t="s">
        <v>6295</v>
      </c>
      <c r="F3497" s="7" t="s">
        <v>6353</v>
      </c>
      <c r="G3497" s="7" t="s">
        <v>7150</v>
      </c>
      <c r="H3497" s="7" t="s">
        <v>7156</v>
      </c>
      <c r="I3497" s="7"/>
      <c r="J3497" s="10">
        <v>44470</v>
      </c>
      <c r="K3497" s="7" t="s">
        <v>7163</v>
      </c>
      <c r="L3497" s="7"/>
      <c r="M3497" s="7"/>
    </row>
    <row r="3498" spans="1:13" x14ac:dyDescent="0.3">
      <c r="A3498" s="7">
        <v>15710</v>
      </c>
      <c r="B3498" s="7" t="s">
        <v>3506</v>
      </c>
      <c r="C3498" s="7" t="s">
        <v>6759</v>
      </c>
      <c r="D3498" s="7" t="s">
        <v>6762</v>
      </c>
      <c r="E3498" s="7" t="s">
        <v>6295</v>
      </c>
      <c r="F3498" s="7" t="s">
        <v>6340</v>
      </c>
      <c r="G3498" s="7" t="s">
        <v>7152</v>
      </c>
      <c r="H3498" s="7" t="s">
        <v>7156</v>
      </c>
      <c r="I3498" s="7"/>
      <c r="J3498" s="10">
        <v>45174</v>
      </c>
      <c r="K3498" s="7" t="s">
        <v>7163</v>
      </c>
      <c r="L3498" s="7"/>
      <c r="M3498" s="7"/>
    </row>
    <row r="3499" spans="1:13" x14ac:dyDescent="0.3">
      <c r="A3499" s="7">
        <v>15991</v>
      </c>
      <c r="B3499" s="7" t="s">
        <v>3507</v>
      </c>
      <c r="C3499" s="7" t="s">
        <v>6759</v>
      </c>
      <c r="D3499" s="7" t="s">
        <v>6762</v>
      </c>
      <c r="E3499" s="7" t="s">
        <v>6295</v>
      </c>
      <c r="F3499" s="7" t="s">
        <v>6340</v>
      </c>
      <c r="G3499" s="7" t="s">
        <v>7150</v>
      </c>
      <c r="H3499" s="7" t="s">
        <v>7156</v>
      </c>
      <c r="I3499" s="7"/>
      <c r="J3499" s="10">
        <v>45258</v>
      </c>
      <c r="K3499" s="7" t="s">
        <v>7163</v>
      </c>
      <c r="L3499" s="7"/>
      <c r="M3499" s="7"/>
    </row>
    <row r="3500" spans="1:13" x14ac:dyDescent="0.3">
      <c r="A3500" s="7">
        <v>14348</v>
      </c>
      <c r="B3500" s="7" t="s">
        <v>3508</v>
      </c>
      <c r="C3500" s="7" t="s">
        <v>6759</v>
      </c>
      <c r="D3500" s="7" t="s">
        <v>6762</v>
      </c>
      <c r="E3500" s="7" t="s">
        <v>6295</v>
      </c>
      <c r="F3500" s="7" t="s">
        <v>6340</v>
      </c>
      <c r="G3500" s="7" t="s">
        <v>7150</v>
      </c>
      <c r="H3500" s="7" t="s">
        <v>7156</v>
      </c>
      <c r="I3500" s="7"/>
      <c r="J3500" s="10">
        <v>44740</v>
      </c>
      <c r="K3500" s="7" t="s">
        <v>7163</v>
      </c>
      <c r="L3500" s="7"/>
      <c r="M3500" s="7"/>
    </row>
    <row r="3501" spans="1:13" x14ac:dyDescent="0.3">
      <c r="A3501" s="7">
        <v>17338</v>
      </c>
      <c r="B3501" s="7" t="s">
        <v>3509</v>
      </c>
      <c r="C3501" s="7" t="s">
        <v>6759</v>
      </c>
      <c r="D3501" s="7" t="s">
        <v>6762</v>
      </c>
      <c r="E3501" s="7" t="s">
        <v>6295</v>
      </c>
      <c r="F3501" s="7" t="s">
        <v>6341</v>
      </c>
      <c r="G3501" s="7" t="s">
        <v>7150</v>
      </c>
      <c r="H3501" s="7" t="s">
        <v>7156</v>
      </c>
      <c r="I3501" s="7"/>
      <c r="J3501" s="10">
        <v>45712</v>
      </c>
      <c r="K3501" s="7" t="s">
        <v>7163</v>
      </c>
      <c r="L3501" s="7"/>
      <c r="M3501" s="7"/>
    </row>
    <row r="3502" spans="1:13" x14ac:dyDescent="0.3">
      <c r="A3502" s="7">
        <v>18640</v>
      </c>
      <c r="B3502" s="7" t="s">
        <v>3510</v>
      </c>
      <c r="C3502" s="7" t="s">
        <v>6759</v>
      </c>
      <c r="D3502" s="7" t="s">
        <v>6762</v>
      </c>
      <c r="E3502" s="7" t="s">
        <v>6295</v>
      </c>
      <c r="F3502" s="7" t="s">
        <v>6348</v>
      </c>
      <c r="G3502" s="7" t="s">
        <v>7150</v>
      </c>
      <c r="H3502" s="7" t="s">
        <v>7156</v>
      </c>
      <c r="I3502" s="7"/>
      <c r="J3502" s="10">
        <v>46178</v>
      </c>
      <c r="K3502" s="7" t="s">
        <v>7163</v>
      </c>
      <c r="L3502" s="7"/>
      <c r="M3502" s="7"/>
    </row>
    <row r="3503" spans="1:13" x14ac:dyDescent="0.3">
      <c r="A3503" s="7">
        <v>18326</v>
      </c>
      <c r="B3503" s="7" t="s">
        <v>3511</v>
      </c>
      <c r="C3503" s="7" t="s">
        <v>6759</v>
      </c>
      <c r="D3503" s="7" t="s">
        <v>6762</v>
      </c>
      <c r="E3503" s="7" t="s">
        <v>6295</v>
      </c>
      <c r="F3503" s="7" t="s">
        <v>6348</v>
      </c>
      <c r="G3503" s="7" t="s">
        <v>7150</v>
      </c>
      <c r="H3503" s="7" t="s">
        <v>7156</v>
      </c>
      <c r="I3503" s="7"/>
      <c r="J3503" s="10">
        <v>46091</v>
      </c>
      <c r="K3503" s="7" t="s">
        <v>7163</v>
      </c>
      <c r="L3503" s="7"/>
      <c r="M3503" s="7"/>
    </row>
    <row r="3504" spans="1:13" x14ac:dyDescent="0.3">
      <c r="A3504" s="7">
        <v>12124</v>
      </c>
      <c r="B3504" s="7" t="s">
        <v>3512</v>
      </c>
      <c r="C3504" s="7" t="s">
        <v>6759</v>
      </c>
      <c r="D3504" s="7" t="s">
        <v>6763</v>
      </c>
      <c r="E3504" s="7" t="s">
        <v>6295</v>
      </c>
      <c r="F3504" s="7" t="s">
        <v>6338</v>
      </c>
      <c r="G3504" s="7" t="s">
        <v>7150</v>
      </c>
      <c r="H3504" s="7" t="s">
        <v>7156</v>
      </c>
      <c r="I3504" s="7"/>
      <c r="J3504" s="10">
        <v>43500</v>
      </c>
      <c r="K3504" s="7" t="s">
        <v>7163</v>
      </c>
      <c r="L3504" s="7"/>
      <c r="M3504" s="7"/>
    </row>
    <row r="3505" spans="1:13" x14ac:dyDescent="0.3">
      <c r="A3505" s="7">
        <v>12083</v>
      </c>
      <c r="B3505" s="7" t="s">
        <v>3513</v>
      </c>
      <c r="C3505" s="7" t="s">
        <v>6759</v>
      </c>
      <c r="D3505" s="7" t="s">
        <v>6763</v>
      </c>
      <c r="E3505" s="7" t="s">
        <v>6295</v>
      </c>
      <c r="F3505" s="7" t="s">
        <v>6335</v>
      </c>
      <c r="G3505" s="7" t="s">
        <v>7150</v>
      </c>
      <c r="H3505" s="7" t="s">
        <v>7156</v>
      </c>
      <c r="I3505" s="7"/>
      <c r="J3505" s="10">
        <v>43455</v>
      </c>
      <c r="K3505" s="7" t="s">
        <v>7163</v>
      </c>
      <c r="L3505" s="7"/>
      <c r="M3505" s="7"/>
    </row>
    <row r="3506" spans="1:13" x14ac:dyDescent="0.3">
      <c r="A3506" s="7">
        <v>13098</v>
      </c>
      <c r="B3506" s="7" t="s">
        <v>3514</v>
      </c>
      <c r="C3506" s="7" t="s">
        <v>6759</v>
      </c>
      <c r="D3506" s="7" t="s">
        <v>6763</v>
      </c>
      <c r="E3506" s="7" t="s">
        <v>6295</v>
      </c>
      <c r="F3506" s="7" t="s">
        <v>6335</v>
      </c>
      <c r="G3506" s="7" t="s">
        <v>7150</v>
      </c>
      <c r="H3506" s="7" t="s">
        <v>7156</v>
      </c>
      <c r="I3506" s="7"/>
      <c r="J3506" s="10">
        <v>44251</v>
      </c>
      <c r="K3506" s="7" t="s">
        <v>7163</v>
      </c>
      <c r="L3506" s="7"/>
      <c r="M3506" s="7"/>
    </row>
    <row r="3507" spans="1:13" x14ac:dyDescent="0.3">
      <c r="A3507" s="7">
        <v>13781</v>
      </c>
      <c r="B3507" s="7" t="s">
        <v>3515</v>
      </c>
      <c r="C3507" s="7" t="s">
        <v>6759</v>
      </c>
      <c r="D3507" s="7" t="s">
        <v>6763</v>
      </c>
      <c r="E3507" s="7" t="s">
        <v>6295</v>
      </c>
      <c r="F3507" s="7" t="s">
        <v>6542</v>
      </c>
      <c r="G3507" s="7" t="s">
        <v>7150</v>
      </c>
      <c r="H3507" s="7" t="s">
        <v>7156</v>
      </c>
      <c r="I3507" s="7"/>
      <c r="J3507" s="10">
        <v>44575</v>
      </c>
      <c r="K3507" s="7" t="s">
        <v>7163</v>
      </c>
      <c r="L3507" s="7"/>
      <c r="M3507" s="7"/>
    </row>
    <row r="3508" spans="1:13" x14ac:dyDescent="0.3">
      <c r="A3508" s="7">
        <v>13097</v>
      </c>
      <c r="B3508" s="7" t="s">
        <v>3516</v>
      </c>
      <c r="C3508" s="7" t="s">
        <v>6759</v>
      </c>
      <c r="D3508" s="7" t="s">
        <v>6763</v>
      </c>
      <c r="E3508" s="7" t="s">
        <v>6295</v>
      </c>
      <c r="F3508" s="7" t="s">
        <v>6353</v>
      </c>
      <c r="G3508" s="7" t="s">
        <v>7150</v>
      </c>
      <c r="H3508" s="7" t="s">
        <v>7156</v>
      </c>
      <c r="I3508" s="7"/>
      <c r="J3508" s="10">
        <v>44250</v>
      </c>
      <c r="K3508" s="7" t="s">
        <v>7163</v>
      </c>
      <c r="L3508" s="7"/>
      <c r="M3508" s="7"/>
    </row>
    <row r="3509" spans="1:13" x14ac:dyDescent="0.3">
      <c r="A3509" s="7">
        <v>13307</v>
      </c>
      <c r="B3509" s="7" t="s">
        <v>3517</v>
      </c>
      <c r="C3509" s="7" t="s">
        <v>6759</v>
      </c>
      <c r="D3509" s="7" t="s">
        <v>6763</v>
      </c>
      <c r="E3509" s="7" t="s">
        <v>6295</v>
      </c>
      <c r="F3509" s="7" t="s">
        <v>6353</v>
      </c>
      <c r="G3509" s="7" t="s">
        <v>7150</v>
      </c>
      <c r="H3509" s="7" t="s">
        <v>7156</v>
      </c>
      <c r="I3509" s="7"/>
      <c r="J3509" s="10">
        <v>44379</v>
      </c>
      <c r="K3509" s="7" t="s">
        <v>7163</v>
      </c>
      <c r="L3509" s="7"/>
      <c r="M3509" s="7"/>
    </row>
    <row r="3510" spans="1:13" x14ac:dyDescent="0.3">
      <c r="A3510" s="7">
        <v>13203</v>
      </c>
      <c r="B3510" s="7" t="s">
        <v>3518</v>
      </c>
      <c r="C3510" s="7" t="s">
        <v>6759</v>
      </c>
      <c r="D3510" s="7" t="s">
        <v>6763</v>
      </c>
      <c r="E3510" s="7" t="s">
        <v>6295</v>
      </c>
      <c r="F3510" s="7" t="s">
        <v>6542</v>
      </c>
      <c r="G3510" s="7" t="s">
        <v>7150</v>
      </c>
      <c r="H3510" s="7" t="s">
        <v>7156</v>
      </c>
      <c r="I3510" s="7"/>
      <c r="J3510" s="10">
        <v>44321</v>
      </c>
      <c r="K3510" s="7" t="s">
        <v>7163</v>
      </c>
      <c r="L3510" s="7"/>
      <c r="M3510" s="7"/>
    </row>
    <row r="3511" spans="1:13" x14ac:dyDescent="0.3">
      <c r="A3511" s="7">
        <v>13607</v>
      </c>
      <c r="B3511" s="7" t="s">
        <v>3519</v>
      </c>
      <c r="C3511" s="7" t="s">
        <v>6759</v>
      </c>
      <c r="D3511" s="7" t="s">
        <v>6763</v>
      </c>
      <c r="E3511" s="7" t="s">
        <v>6295</v>
      </c>
      <c r="F3511" s="7" t="s">
        <v>6353</v>
      </c>
      <c r="G3511" s="7" t="s">
        <v>7150</v>
      </c>
      <c r="H3511" s="7" t="s">
        <v>7156</v>
      </c>
      <c r="I3511" s="7"/>
      <c r="J3511" s="10">
        <v>44511</v>
      </c>
      <c r="K3511" s="7" t="s">
        <v>7163</v>
      </c>
      <c r="L3511" s="7"/>
      <c r="M3511" s="7"/>
    </row>
    <row r="3512" spans="1:13" x14ac:dyDescent="0.3">
      <c r="A3512" s="7">
        <v>13498</v>
      </c>
      <c r="B3512" s="7" t="s">
        <v>3520</v>
      </c>
      <c r="C3512" s="7" t="s">
        <v>6759</v>
      </c>
      <c r="D3512" s="7" t="s">
        <v>6763</v>
      </c>
      <c r="E3512" s="7" t="s">
        <v>6295</v>
      </c>
      <c r="F3512" s="7" t="s">
        <v>6353</v>
      </c>
      <c r="G3512" s="7" t="s">
        <v>7150</v>
      </c>
      <c r="H3512" s="7" t="s">
        <v>7156</v>
      </c>
      <c r="I3512" s="7"/>
      <c r="J3512" s="10">
        <v>44477</v>
      </c>
      <c r="K3512" s="7" t="s">
        <v>7163</v>
      </c>
      <c r="L3512" s="7"/>
      <c r="M3512" s="7"/>
    </row>
    <row r="3513" spans="1:13" x14ac:dyDescent="0.3">
      <c r="A3513" s="7">
        <v>14024</v>
      </c>
      <c r="B3513" s="7" t="s">
        <v>3521</v>
      </c>
      <c r="C3513" s="7" t="s">
        <v>6759</v>
      </c>
      <c r="D3513" s="7" t="s">
        <v>6763</v>
      </c>
      <c r="E3513" s="7" t="s">
        <v>6295</v>
      </c>
      <c r="F3513" s="7" t="s">
        <v>6353</v>
      </c>
      <c r="G3513" s="7" t="s">
        <v>7150</v>
      </c>
      <c r="H3513" s="7" t="s">
        <v>7156</v>
      </c>
      <c r="I3513" s="7"/>
      <c r="J3513" s="10">
        <v>44630</v>
      </c>
      <c r="K3513" s="7" t="s">
        <v>7163</v>
      </c>
      <c r="L3513" s="7"/>
      <c r="M3513" s="7"/>
    </row>
    <row r="3514" spans="1:13" x14ac:dyDescent="0.3">
      <c r="A3514" s="7">
        <v>14980</v>
      </c>
      <c r="B3514" s="7" t="s">
        <v>3522</v>
      </c>
      <c r="C3514" s="7" t="s">
        <v>6759</v>
      </c>
      <c r="D3514" s="7" t="s">
        <v>6763</v>
      </c>
      <c r="E3514" s="7" t="s">
        <v>6295</v>
      </c>
      <c r="F3514" s="7" t="s">
        <v>6433</v>
      </c>
      <c r="G3514" s="7" t="s">
        <v>7150</v>
      </c>
      <c r="H3514" s="7" t="s">
        <v>7156</v>
      </c>
      <c r="I3514" s="7"/>
      <c r="J3514" s="10">
        <v>44917</v>
      </c>
      <c r="K3514" s="7" t="s">
        <v>7163</v>
      </c>
      <c r="L3514" s="7"/>
      <c r="M3514" s="7"/>
    </row>
    <row r="3515" spans="1:13" x14ac:dyDescent="0.3">
      <c r="A3515" s="7">
        <v>14872</v>
      </c>
      <c r="B3515" s="7" t="s">
        <v>3523</v>
      </c>
      <c r="C3515" s="7" t="s">
        <v>6759</v>
      </c>
      <c r="D3515" s="7" t="s">
        <v>6763</v>
      </c>
      <c r="E3515" s="7" t="s">
        <v>6295</v>
      </c>
      <c r="F3515" s="7" t="s">
        <v>6353</v>
      </c>
      <c r="G3515" s="7" t="s">
        <v>7150</v>
      </c>
      <c r="H3515" s="7" t="s">
        <v>7156</v>
      </c>
      <c r="I3515" s="7"/>
      <c r="J3515" s="10">
        <v>44890</v>
      </c>
      <c r="K3515" s="7" t="s">
        <v>7163</v>
      </c>
      <c r="L3515" s="7"/>
      <c r="M3515" s="7"/>
    </row>
    <row r="3516" spans="1:13" x14ac:dyDescent="0.3">
      <c r="A3516" s="7">
        <v>14360</v>
      </c>
      <c r="B3516" s="7" t="s">
        <v>3524</v>
      </c>
      <c r="C3516" s="7" t="s">
        <v>6759</v>
      </c>
      <c r="D3516" s="7" t="s">
        <v>6763</v>
      </c>
      <c r="E3516" s="7" t="s">
        <v>6295</v>
      </c>
      <c r="F3516" s="7" t="s">
        <v>6353</v>
      </c>
      <c r="G3516" s="7" t="s">
        <v>7150</v>
      </c>
      <c r="H3516" s="7" t="s">
        <v>7156</v>
      </c>
      <c r="I3516" s="7"/>
      <c r="J3516" s="10">
        <v>44743</v>
      </c>
      <c r="K3516" s="7" t="s">
        <v>7163</v>
      </c>
      <c r="L3516" s="7"/>
      <c r="M3516" s="7"/>
    </row>
    <row r="3517" spans="1:13" x14ac:dyDescent="0.3">
      <c r="A3517" s="7">
        <v>14589</v>
      </c>
      <c r="B3517" s="7" t="s">
        <v>3525</v>
      </c>
      <c r="C3517" s="7" t="s">
        <v>6759</v>
      </c>
      <c r="D3517" s="7" t="s">
        <v>6763</v>
      </c>
      <c r="E3517" s="7" t="s">
        <v>6295</v>
      </c>
      <c r="F3517" s="7" t="s">
        <v>6340</v>
      </c>
      <c r="G3517" s="7" t="s">
        <v>7150</v>
      </c>
      <c r="H3517" s="7" t="s">
        <v>7156</v>
      </c>
      <c r="I3517" s="7"/>
      <c r="J3517" s="10">
        <v>44795</v>
      </c>
      <c r="K3517" s="7" t="s">
        <v>7163</v>
      </c>
      <c r="L3517" s="7"/>
      <c r="M3517" s="7"/>
    </row>
    <row r="3518" spans="1:13" x14ac:dyDescent="0.3">
      <c r="A3518" s="7">
        <v>15456</v>
      </c>
      <c r="B3518" s="7" t="s">
        <v>3526</v>
      </c>
      <c r="C3518" s="7" t="s">
        <v>6759</v>
      </c>
      <c r="D3518" s="7" t="s">
        <v>6763</v>
      </c>
      <c r="E3518" s="7" t="s">
        <v>6295</v>
      </c>
      <c r="F3518" s="7" t="s">
        <v>6353</v>
      </c>
      <c r="G3518" s="7" t="s">
        <v>7150</v>
      </c>
      <c r="H3518" s="7" t="s">
        <v>7156</v>
      </c>
      <c r="I3518" s="7"/>
      <c r="J3518" s="10">
        <v>45079</v>
      </c>
      <c r="K3518" s="7" t="s">
        <v>7163</v>
      </c>
      <c r="L3518" s="7"/>
      <c r="M3518" s="7"/>
    </row>
    <row r="3519" spans="1:13" x14ac:dyDescent="0.3">
      <c r="A3519" s="7">
        <v>13756</v>
      </c>
      <c r="B3519" s="7" t="s">
        <v>3527</v>
      </c>
      <c r="C3519" s="7" t="s">
        <v>6759</v>
      </c>
      <c r="D3519" s="7" t="s">
        <v>6763</v>
      </c>
      <c r="E3519" s="7" t="s">
        <v>6295</v>
      </c>
      <c r="F3519" s="7" t="s">
        <v>6764</v>
      </c>
      <c r="G3519" s="7" t="s">
        <v>7150</v>
      </c>
      <c r="H3519" s="7" t="s">
        <v>7156</v>
      </c>
      <c r="I3519" s="7"/>
      <c r="J3519" s="10">
        <v>44566</v>
      </c>
      <c r="K3519" s="7" t="s">
        <v>7163</v>
      </c>
      <c r="L3519" s="7"/>
      <c r="M3519" s="7"/>
    </row>
    <row r="3520" spans="1:13" x14ac:dyDescent="0.3">
      <c r="A3520" s="7">
        <v>14985</v>
      </c>
      <c r="B3520" s="7" t="s">
        <v>3528</v>
      </c>
      <c r="C3520" s="7" t="s">
        <v>6759</v>
      </c>
      <c r="D3520" s="7" t="s">
        <v>6763</v>
      </c>
      <c r="E3520" s="7" t="s">
        <v>6295</v>
      </c>
      <c r="F3520" s="7" t="s">
        <v>6765</v>
      </c>
      <c r="G3520" s="7" t="s">
        <v>7150</v>
      </c>
      <c r="H3520" s="7" t="s">
        <v>7156</v>
      </c>
      <c r="I3520" s="7"/>
      <c r="J3520" s="10">
        <v>44910</v>
      </c>
      <c r="K3520" s="7" t="s">
        <v>7163</v>
      </c>
      <c r="L3520" s="7"/>
      <c r="M3520" s="7"/>
    </row>
    <row r="3521" spans="1:13" x14ac:dyDescent="0.3">
      <c r="A3521" s="7">
        <v>15575</v>
      </c>
      <c r="B3521" s="7" t="s">
        <v>3529</v>
      </c>
      <c r="C3521" s="7" t="s">
        <v>6759</v>
      </c>
      <c r="D3521" s="7" t="s">
        <v>6763</v>
      </c>
      <c r="E3521" s="7" t="s">
        <v>6295</v>
      </c>
      <c r="F3521" s="7" t="s">
        <v>6766</v>
      </c>
      <c r="G3521" s="7" t="s">
        <v>7150</v>
      </c>
      <c r="H3521" s="7" t="s">
        <v>7156</v>
      </c>
      <c r="I3521" s="7"/>
      <c r="J3521" s="10">
        <v>45128</v>
      </c>
      <c r="K3521" s="7" t="s">
        <v>7163</v>
      </c>
      <c r="L3521" s="7"/>
      <c r="M3521" s="7"/>
    </row>
    <row r="3522" spans="1:13" x14ac:dyDescent="0.3">
      <c r="A3522" s="7">
        <v>17582</v>
      </c>
      <c r="B3522" s="7" t="s">
        <v>3530</v>
      </c>
      <c r="C3522" s="7" t="s">
        <v>6759</v>
      </c>
      <c r="D3522" s="7" t="s">
        <v>6763</v>
      </c>
      <c r="E3522" s="7" t="s">
        <v>6295</v>
      </c>
      <c r="F3522" s="7" t="s">
        <v>6340</v>
      </c>
      <c r="G3522" s="7" t="s">
        <v>7150</v>
      </c>
      <c r="H3522" s="7" t="s">
        <v>7156</v>
      </c>
      <c r="I3522" s="7"/>
      <c r="J3522" s="10">
        <v>45800</v>
      </c>
      <c r="K3522" s="7" t="s">
        <v>7163</v>
      </c>
      <c r="L3522" s="7"/>
      <c r="M3522" s="7"/>
    </row>
    <row r="3523" spans="1:13" x14ac:dyDescent="0.3">
      <c r="A3523" s="7">
        <v>18253</v>
      </c>
      <c r="B3523" s="7" t="s">
        <v>3531</v>
      </c>
      <c r="C3523" s="7" t="s">
        <v>6759</v>
      </c>
      <c r="D3523" s="7" t="s">
        <v>6763</v>
      </c>
      <c r="E3523" s="7" t="s">
        <v>6295</v>
      </c>
      <c r="F3523" s="7" t="s">
        <v>6341</v>
      </c>
      <c r="G3523" s="7" t="s">
        <v>7150</v>
      </c>
      <c r="H3523" s="7" t="s">
        <v>7156</v>
      </c>
      <c r="I3523" s="7"/>
      <c r="J3523" s="10">
        <v>46073</v>
      </c>
      <c r="K3523" s="7" t="s">
        <v>7163</v>
      </c>
      <c r="L3523" s="7"/>
      <c r="M3523" s="7"/>
    </row>
    <row r="3524" spans="1:13" x14ac:dyDescent="0.3">
      <c r="A3524" s="7">
        <v>17878</v>
      </c>
      <c r="B3524" s="7" t="s">
        <v>3532</v>
      </c>
      <c r="C3524" s="7" t="s">
        <v>6759</v>
      </c>
      <c r="D3524" s="7" t="s">
        <v>6763</v>
      </c>
      <c r="E3524" s="7" t="s">
        <v>6295</v>
      </c>
      <c r="F3524" s="7" t="s">
        <v>6340</v>
      </c>
      <c r="G3524" s="7" t="s">
        <v>7150</v>
      </c>
      <c r="H3524" s="7" t="s">
        <v>7156</v>
      </c>
      <c r="I3524" s="7"/>
      <c r="J3524" s="10">
        <v>45903</v>
      </c>
      <c r="K3524" s="7" t="s">
        <v>7163</v>
      </c>
      <c r="L3524" s="7"/>
      <c r="M3524" s="7"/>
    </row>
    <row r="3525" spans="1:13" x14ac:dyDescent="0.3">
      <c r="A3525" s="7">
        <v>17035</v>
      </c>
      <c r="B3525" s="7" t="s">
        <v>3533</v>
      </c>
      <c r="C3525" s="7" t="s">
        <v>6759</v>
      </c>
      <c r="D3525" s="7" t="s">
        <v>6763</v>
      </c>
      <c r="E3525" s="7" t="s">
        <v>6295</v>
      </c>
      <c r="F3525" s="7" t="s">
        <v>6341</v>
      </c>
      <c r="G3525" s="7" t="s">
        <v>7150</v>
      </c>
      <c r="H3525" s="7" t="s">
        <v>7156</v>
      </c>
      <c r="I3525" s="7"/>
      <c r="J3525" s="10">
        <v>45614</v>
      </c>
      <c r="K3525" s="7" t="s">
        <v>7163</v>
      </c>
      <c r="L3525" s="7"/>
      <c r="M3525" s="7"/>
    </row>
    <row r="3526" spans="1:13" x14ac:dyDescent="0.3">
      <c r="A3526" s="7">
        <v>17415</v>
      </c>
      <c r="B3526" s="7" t="s">
        <v>3534</v>
      </c>
      <c r="C3526" s="7" t="s">
        <v>6759</v>
      </c>
      <c r="D3526" s="7" t="s">
        <v>6763</v>
      </c>
      <c r="E3526" s="7" t="s">
        <v>6295</v>
      </c>
      <c r="F3526" s="7" t="s">
        <v>6341</v>
      </c>
      <c r="G3526" s="7" t="s">
        <v>7150</v>
      </c>
      <c r="H3526" s="7" t="s">
        <v>7156</v>
      </c>
      <c r="I3526" s="7"/>
      <c r="J3526" s="10">
        <v>45748</v>
      </c>
      <c r="K3526" s="7" t="s">
        <v>7163</v>
      </c>
      <c r="L3526" s="7"/>
      <c r="M3526" s="7"/>
    </row>
    <row r="3527" spans="1:13" x14ac:dyDescent="0.3">
      <c r="A3527" s="7">
        <v>17417</v>
      </c>
      <c r="B3527" s="7" t="s">
        <v>3535</v>
      </c>
      <c r="C3527" s="7" t="s">
        <v>6759</v>
      </c>
      <c r="D3527" s="7" t="s">
        <v>6763</v>
      </c>
      <c r="E3527" s="7" t="s">
        <v>6295</v>
      </c>
      <c r="F3527" s="7" t="s">
        <v>6341</v>
      </c>
      <c r="G3527" s="7" t="s">
        <v>7150</v>
      </c>
      <c r="H3527" s="7" t="s">
        <v>7156</v>
      </c>
      <c r="I3527" s="7"/>
      <c r="J3527" s="10">
        <v>45748</v>
      </c>
      <c r="K3527" s="7" t="s">
        <v>7163</v>
      </c>
      <c r="L3527" s="7"/>
      <c r="M3527" s="7"/>
    </row>
    <row r="3528" spans="1:13" x14ac:dyDescent="0.3">
      <c r="A3528" s="7">
        <v>18849</v>
      </c>
      <c r="B3528" s="7" t="s">
        <v>3536</v>
      </c>
      <c r="C3528" s="7" t="s">
        <v>6759</v>
      </c>
      <c r="D3528" s="7" t="s">
        <v>6763</v>
      </c>
      <c r="E3528" s="7" t="s">
        <v>6295</v>
      </c>
      <c r="F3528" s="7" t="s">
        <v>6341</v>
      </c>
      <c r="G3528" s="7" t="s">
        <v>7150</v>
      </c>
      <c r="H3528" s="7" t="s">
        <v>7156</v>
      </c>
      <c r="I3528" s="7"/>
      <c r="J3528" s="10">
        <v>46224</v>
      </c>
      <c r="K3528" s="7" t="s">
        <v>7163</v>
      </c>
      <c r="L3528" s="7"/>
      <c r="M3528" s="7"/>
    </row>
    <row r="3529" spans="1:13" x14ac:dyDescent="0.3">
      <c r="A3529" s="7">
        <v>18869</v>
      </c>
      <c r="B3529" s="7" t="s">
        <v>3537</v>
      </c>
      <c r="C3529" s="7" t="s">
        <v>6759</v>
      </c>
      <c r="D3529" s="7" t="s">
        <v>6763</v>
      </c>
      <c r="E3529" s="7" t="s">
        <v>6295</v>
      </c>
      <c r="F3529" s="7" t="s">
        <v>6341</v>
      </c>
      <c r="G3529" s="7" t="s">
        <v>7150</v>
      </c>
      <c r="H3529" s="7" t="s">
        <v>7156</v>
      </c>
      <c r="I3529" s="7"/>
      <c r="J3529" s="10">
        <v>46226</v>
      </c>
      <c r="K3529" s="7" t="s">
        <v>7163</v>
      </c>
      <c r="L3529" s="7"/>
      <c r="M3529" s="7"/>
    </row>
    <row r="3530" spans="1:13" x14ac:dyDescent="0.3">
      <c r="A3530" s="7">
        <v>17712</v>
      </c>
      <c r="B3530" s="7" t="s">
        <v>3538</v>
      </c>
      <c r="C3530" s="7" t="s">
        <v>6759</v>
      </c>
      <c r="D3530" s="7" t="s">
        <v>6763</v>
      </c>
      <c r="E3530" s="7" t="s">
        <v>6295</v>
      </c>
      <c r="F3530" s="7" t="s">
        <v>6341</v>
      </c>
      <c r="G3530" s="7" t="s">
        <v>7150</v>
      </c>
      <c r="H3530" s="7" t="s">
        <v>7156</v>
      </c>
      <c r="I3530" s="7"/>
      <c r="J3530" s="10">
        <v>45849</v>
      </c>
      <c r="K3530" s="7" t="s">
        <v>7163</v>
      </c>
      <c r="L3530" s="7"/>
      <c r="M3530" s="7"/>
    </row>
    <row r="3531" spans="1:13" x14ac:dyDescent="0.3">
      <c r="A3531" s="7">
        <v>18327</v>
      </c>
      <c r="B3531" s="7" t="s">
        <v>3539</v>
      </c>
      <c r="C3531" s="7" t="s">
        <v>6759</v>
      </c>
      <c r="D3531" s="7" t="s">
        <v>6763</v>
      </c>
      <c r="E3531" s="7" t="s">
        <v>6295</v>
      </c>
      <c r="F3531" s="7" t="s">
        <v>6348</v>
      </c>
      <c r="G3531" s="7" t="s">
        <v>7150</v>
      </c>
      <c r="H3531" s="7" t="s">
        <v>7156</v>
      </c>
      <c r="I3531" s="7"/>
      <c r="J3531" s="10">
        <v>46091</v>
      </c>
      <c r="K3531" s="7" t="s">
        <v>7163</v>
      </c>
      <c r="L3531" s="7"/>
      <c r="M3531" s="7"/>
    </row>
    <row r="3532" spans="1:13" x14ac:dyDescent="0.3">
      <c r="A3532" s="7">
        <v>18438</v>
      </c>
      <c r="B3532" s="7" t="s">
        <v>3540</v>
      </c>
      <c r="C3532" s="7" t="s">
        <v>6759</v>
      </c>
      <c r="D3532" s="7" t="s">
        <v>6763</v>
      </c>
      <c r="E3532" s="7" t="s">
        <v>6295</v>
      </c>
      <c r="F3532" s="7" t="s">
        <v>6348</v>
      </c>
      <c r="G3532" s="7" t="s">
        <v>7150</v>
      </c>
      <c r="H3532" s="7" t="s">
        <v>7156</v>
      </c>
      <c r="I3532" s="7"/>
      <c r="J3532" s="10">
        <v>46129</v>
      </c>
      <c r="K3532" s="7" t="s">
        <v>7163</v>
      </c>
      <c r="L3532" s="7"/>
      <c r="M3532" s="7"/>
    </row>
    <row r="3533" spans="1:13" x14ac:dyDescent="0.3">
      <c r="A3533" s="7">
        <v>10626</v>
      </c>
      <c r="B3533" s="7" t="s">
        <v>3541</v>
      </c>
      <c r="C3533" s="7" t="s">
        <v>6759</v>
      </c>
      <c r="D3533" s="7" t="s">
        <v>6767</v>
      </c>
      <c r="E3533" s="7" t="s">
        <v>6295</v>
      </c>
      <c r="F3533" s="7" t="s">
        <v>6338</v>
      </c>
      <c r="G3533" s="7" t="s">
        <v>7150</v>
      </c>
      <c r="H3533" s="7" t="s">
        <v>7156</v>
      </c>
      <c r="I3533" s="7"/>
      <c r="J3533" s="10">
        <v>41536</v>
      </c>
      <c r="K3533" s="7" t="s">
        <v>7163</v>
      </c>
      <c r="L3533" s="7"/>
      <c r="M3533" s="7"/>
    </row>
    <row r="3534" spans="1:13" x14ac:dyDescent="0.3">
      <c r="A3534" s="7">
        <v>11444</v>
      </c>
      <c r="B3534" s="7" t="s">
        <v>3542</v>
      </c>
      <c r="C3534" s="7" t="s">
        <v>6759</v>
      </c>
      <c r="D3534" s="7" t="s">
        <v>6767</v>
      </c>
      <c r="E3534" s="7" t="s">
        <v>6295</v>
      </c>
      <c r="F3534" s="7" t="s">
        <v>6335</v>
      </c>
      <c r="G3534" s="7" t="s">
        <v>7150</v>
      </c>
      <c r="H3534" s="7" t="s">
        <v>7156</v>
      </c>
      <c r="I3534" s="7"/>
      <c r="J3534" s="10">
        <v>42705</v>
      </c>
      <c r="K3534" s="7" t="s">
        <v>7163</v>
      </c>
      <c r="L3534" s="7"/>
      <c r="M3534" s="7"/>
    </row>
    <row r="3535" spans="1:13" x14ac:dyDescent="0.3">
      <c r="A3535" s="7">
        <v>11921</v>
      </c>
      <c r="B3535" s="7" t="s">
        <v>3543</v>
      </c>
      <c r="C3535" s="7" t="s">
        <v>6759</v>
      </c>
      <c r="D3535" s="7" t="s">
        <v>6767</v>
      </c>
      <c r="E3535" s="7" t="s">
        <v>6295</v>
      </c>
      <c r="F3535" s="7" t="s">
        <v>6542</v>
      </c>
      <c r="G3535" s="7" t="s">
        <v>7150</v>
      </c>
      <c r="H3535" s="7" t="s">
        <v>7156</v>
      </c>
      <c r="I3535" s="7"/>
      <c r="J3535" s="10">
        <v>43290</v>
      </c>
      <c r="K3535" s="7" t="s">
        <v>7163</v>
      </c>
      <c r="L3535" s="7"/>
      <c r="M3535" s="7"/>
    </row>
    <row r="3536" spans="1:13" x14ac:dyDescent="0.3">
      <c r="A3536" s="7">
        <v>12712</v>
      </c>
      <c r="B3536" s="7" t="s">
        <v>3544</v>
      </c>
      <c r="C3536" s="7" t="s">
        <v>6759</v>
      </c>
      <c r="D3536" s="7" t="s">
        <v>6767</v>
      </c>
      <c r="E3536" s="7" t="s">
        <v>6295</v>
      </c>
      <c r="F3536" s="7" t="s">
        <v>6542</v>
      </c>
      <c r="G3536" s="7" t="s">
        <v>7150</v>
      </c>
      <c r="H3536" s="7" t="s">
        <v>7156</v>
      </c>
      <c r="I3536" s="7"/>
      <c r="J3536" s="10">
        <v>43875</v>
      </c>
      <c r="K3536" s="7" t="s">
        <v>7163</v>
      </c>
      <c r="L3536" s="7"/>
      <c r="M3536" s="7"/>
    </row>
    <row r="3537" spans="1:13" x14ac:dyDescent="0.3">
      <c r="A3537" s="7">
        <v>600031</v>
      </c>
      <c r="B3537" s="7" t="s">
        <v>3545</v>
      </c>
      <c r="C3537" s="7" t="s">
        <v>6759</v>
      </c>
      <c r="D3537" s="7" t="s">
        <v>6767</v>
      </c>
      <c r="E3537" s="7" t="s">
        <v>6295</v>
      </c>
      <c r="F3537" s="7" t="s">
        <v>6353</v>
      </c>
      <c r="G3537" s="7" t="s">
        <v>7150</v>
      </c>
      <c r="H3537" s="7" t="s">
        <v>7156</v>
      </c>
      <c r="I3537" s="7"/>
      <c r="J3537" s="10">
        <v>42529</v>
      </c>
      <c r="K3537" s="7" t="s">
        <v>7163</v>
      </c>
      <c r="L3537" s="7"/>
      <c r="M3537" s="7"/>
    </row>
    <row r="3538" spans="1:13" x14ac:dyDescent="0.3">
      <c r="A3538" s="7">
        <v>11485</v>
      </c>
      <c r="B3538" s="7" t="s">
        <v>3546</v>
      </c>
      <c r="C3538" s="7" t="s">
        <v>6759</v>
      </c>
      <c r="D3538" s="7" t="s">
        <v>6767</v>
      </c>
      <c r="E3538" s="7" t="s">
        <v>6295</v>
      </c>
      <c r="F3538" s="7" t="s">
        <v>6353</v>
      </c>
      <c r="G3538" s="7" t="s">
        <v>7150</v>
      </c>
      <c r="H3538" s="7" t="s">
        <v>7156</v>
      </c>
      <c r="I3538" s="7"/>
      <c r="J3538" s="10">
        <v>42751</v>
      </c>
      <c r="K3538" s="7" t="s">
        <v>7163</v>
      </c>
      <c r="L3538" s="7"/>
      <c r="M3538" s="7"/>
    </row>
    <row r="3539" spans="1:13" x14ac:dyDescent="0.3">
      <c r="A3539" s="7">
        <v>12983</v>
      </c>
      <c r="B3539" s="7" t="s">
        <v>3547</v>
      </c>
      <c r="C3539" s="7" t="s">
        <v>6759</v>
      </c>
      <c r="D3539" s="7" t="s">
        <v>6767</v>
      </c>
      <c r="E3539" s="7" t="s">
        <v>6295</v>
      </c>
      <c r="F3539" s="7" t="s">
        <v>6353</v>
      </c>
      <c r="G3539" s="7" t="s">
        <v>7150</v>
      </c>
      <c r="H3539" s="7" t="s">
        <v>7156</v>
      </c>
      <c r="I3539" s="7"/>
      <c r="J3539" s="10">
        <v>44166</v>
      </c>
      <c r="K3539" s="7" t="s">
        <v>7163</v>
      </c>
      <c r="L3539" s="7"/>
      <c r="M3539" s="7"/>
    </row>
    <row r="3540" spans="1:13" x14ac:dyDescent="0.3">
      <c r="A3540" s="7">
        <v>13557</v>
      </c>
      <c r="B3540" s="7" t="s">
        <v>3548</v>
      </c>
      <c r="C3540" s="7" t="s">
        <v>6759</v>
      </c>
      <c r="D3540" s="7" t="s">
        <v>6767</v>
      </c>
      <c r="E3540" s="7" t="s">
        <v>6295</v>
      </c>
      <c r="F3540" s="7" t="s">
        <v>6353</v>
      </c>
      <c r="G3540" s="7" t="s">
        <v>7150</v>
      </c>
      <c r="H3540" s="7" t="s">
        <v>7156</v>
      </c>
      <c r="I3540" s="7"/>
      <c r="J3540" s="10">
        <v>44494</v>
      </c>
      <c r="K3540" s="7" t="s">
        <v>7163</v>
      </c>
      <c r="L3540" s="7"/>
      <c r="M3540" s="7"/>
    </row>
    <row r="3541" spans="1:13" x14ac:dyDescent="0.3">
      <c r="A3541" s="7">
        <v>13384</v>
      </c>
      <c r="B3541" s="7" t="s">
        <v>3549</v>
      </c>
      <c r="C3541" s="7" t="s">
        <v>6759</v>
      </c>
      <c r="D3541" s="7" t="s">
        <v>6767</v>
      </c>
      <c r="E3541" s="7" t="s">
        <v>6295</v>
      </c>
      <c r="F3541" s="7" t="s">
        <v>6353</v>
      </c>
      <c r="G3541" s="7" t="s">
        <v>7150</v>
      </c>
      <c r="H3541" s="7" t="s">
        <v>7156</v>
      </c>
      <c r="I3541" s="7"/>
      <c r="J3541" s="10">
        <v>44414</v>
      </c>
      <c r="K3541" s="7" t="s">
        <v>7163</v>
      </c>
      <c r="L3541" s="7"/>
      <c r="M3541" s="7"/>
    </row>
    <row r="3542" spans="1:13" x14ac:dyDescent="0.3">
      <c r="A3542" s="7">
        <v>12620</v>
      </c>
      <c r="B3542" s="7" t="s">
        <v>3550</v>
      </c>
      <c r="C3542" s="7" t="s">
        <v>6759</v>
      </c>
      <c r="D3542" s="7" t="s">
        <v>6767</v>
      </c>
      <c r="E3542" s="7" t="s">
        <v>6295</v>
      </c>
      <c r="F3542" s="7" t="s">
        <v>6340</v>
      </c>
      <c r="G3542" s="7" t="s">
        <v>7151</v>
      </c>
      <c r="H3542" s="7" t="s">
        <v>7156</v>
      </c>
      <c r="I3542" s="7"/>
      <c r="J3542" s="10">
        <v>43840</v>
      </c>
      <c r="K3542" s="7" t="s">
        <v>7163</v>
      </c>
      <c r="L3542" s="7"/>
      <c r="M3542" s="7"/>
    </row>
    <row r="3543" spans="1:13" x14ac:dyDescent="0.3">
      <c r="A3543" s="7">
        <v>14986</v>
      </c>
      <c r="B3543" s="7" t="s">
        <v>3551</v>
      </c>
      <c r="C3543" s="7" t="s">
        <v>6759</v>
      </c>
      <c r="D3543" s="7" t="s">
        <v>6767</v>
      </c>
      <c r="E3543" s="7" t="s">
        <v>6295</v>
      </c>
      <c r="F3543" s="7" t="s">
        <v>6340</v>
      </c>
      <c r="G3543" s="7" t="s">
        <v>7152</v>
      </c>
      <c r="H3543" s="7" t="s">
        <v>7156</v>
      </c>
      <c r="I3543" s="7"/>
      <c r="J3543" s="10">
        <v>44917</v>
      </c>
      <c r="K3543" s="7" t="s">
        <v>7163</v>
      </c>
      <c r="L3543" s="7"/>
      <c r="M3543" s="7"/>
    </row>
    <row r="3544" spans="1:13" x14ac:dyDescent="0.3">
      <c r="A3544" s="7">
        <v>15016</v>
      </c>
      <c r="B3544" s="7" t="s">
        <v>3552</v>
      </c>
      <c r="C3544" s="7" t="s">
        <v>6759</v>
      </c>
      <c r="D3544" s="7" t="s">
        <v>6767</v>
      </c>
      <c r="E3544" s="7" t="s">
        <v>6295</v>
      </c>
      <c r="F3544" s="7" t="s">
        <v>6353</v>
      </c>
      <c r="G3544" s="7" t="s">
        <v>7150</v>
      </c>
      <c r="H3544" s="7" t="s">
        <v>7156</v>
      </c>
      <c r="I3544" s="7"/>
      <c r="J3544" s="10">
        <v>44931</v>
      </c>
      <c r="K3544" s="7" t="s">
        <v>7163</v>
      </c>
      <c r="L3544" s="7"/>
      <c r="M3544" s="7"/>
    </row>
    <row r="3545" spans="1:13" x14ac:dyDescent="0.3">
      <c r="A3545" s="7">
        <v>15063</v>
      </c>
      <c r="B3545" s="7" t="s">
        <v>3553</v>
      </c>
      <c r="C3545" s="7" t="s">
        <v>6759</v>
      </c>
      <c r="D3545" s="7" t="s">
        <v>6767</v>
      </c>
      <c r="E3545" s="7" t="s">
        <v>6295</v>
      </c>
      <c r="F3545" s="7" t="s">
        <v>6340</v>
      </c>
      <c r="G3545" s="7" t="s">
        <v>7150</v>
      </c>
      <c r="H3545" s="7" t="s">
        <v>7156</v>
      </c>
      <c r="I3545" s="7"/>
      <c r="J3545" s="10">
        <v>44938</v>
      </c>
      <c r="K3545" s="7" t="s">
        <v>7163</v>
      </c>
      <c r="L3545" s="7"/>
      <c r="M3545" s="7"/>
    </row>
    <row r="3546" spans="1:13" x14ac:dyDescent="0.3">
      <c r="A3546" s="7">
        <v>12758</v>
      </c>
      <c r="B3546" s="7" t="s">
        <v>3554</v>
      </c>
      <c r="C3546" s="7" t="s">
        <v>6759</v>
      </c>
      <c r="D3546" s="7" t="s">
        <v>6767</v>
      </c>
      <c r="E3546" s="7" t="s">
        <v>6295</v>
      </c>
      <c r="F3546" s="7" t="s">
        <v>6340</v>
      </c>
      <c r="G3546" s="7" t="s">
        <v>7150</v>
      </c>
      <c r="H3546" s="7" t="s">
        <v>7156</v>
      </c>
      <c r="I3546" s="7"/>
      <c r="J3546" s="10">
        <v>43896</v>
      </c>
      <c r="K3546" s="7" t="s">
        <v>7163</v>
      </c>
      <c r="L3546" s="7"/>
      <c r="M3546" s="7"/>
    </row>
    <row r="3547" spans="1:13" x14ac:dyDescent="0.3">
      <c r="A3547" s="7">
        <v>700065</v>
      </c>
      <c r="B3547" s="7" t="s">
        <v>3555</v>
      </c>
      <c r="C3547" s="7" t="s">
        <v>6759</v>
      </c>
      <c r="D3547" s="7" t="s">
        <v>6767</v>
      </c>
      <c r="E3547" s="7" t="s">
        <v>6295</v>
      </c>
      <c r="F3547" s="7" t="s">
        <v>6340</v>
      </c>
      <c r="G3547" s="7" t="s">
        <v>7151</v>
      </c>
      <c r="H3547" s="7" t="s">
        <v>7156</v>
      </c>
      <c r="I3547" s="7"/>
      <c r="J3547" s="10">
        <v>44169</v>
      </c>
      <c r="K3547" s="7" t="s">
        <v>7163</v>
      </c>
      <c r="L3547" s="7"/>
      <c r="M3547" s="7"/>
    </row>
    <row r="3548" spans="1:13" x14ac:dyDescent="0.3">
      <c r="A3548" s="7">
        <v>14966</v>
      </c>
      <c r="B3548" s="7" t="s">
        <v>3556</v>
      </c>
      <c r="C3548" s="7" t="s">
        <v>6759</v>
      </c>
      <c r="D3548" s="7" t="s">
        <v>6767</v>
      </c>
      <c r="E3548" s="7" t="s">
        <v>6295</v>
      </c>
      <c r="F3548" s="7" t="s">
        <v>6353</v>
      </c>
      <c r="G3548" s="7" t="s">
        <v>7150</v>
      </c>
      <c r="H3548" s="7" t="s">
        <v>7156</v>
      </c>
      <c r="I3548" s="7"/>
      <c r="J3548" s="10">
        <v>44907</v>
      </c>
      <c r="K3548" s="7" t="s">
        <v>7163</v>
      </c>
      <c r="L3548" s="7"/>
      <c r="M3548" s="7"/>
    </row>
    <row r="3549" spans="1:13" x14ac:dyDescent="0.3">
      <c r="A3549" s="7">
        <v>14412</v>
      </c>
      <c r="B3549" s="7" t="s">
        <v>3557</v>
      </c>
      <c r="C3549" s="7" t="s">
        <v>6759</v>
      </c>
      <c r="D3549" s="7" t="s">
        <v>6767</v>
      </c>
      <c r="E3549" s="7" t="s">
        <v>6295</v>
      </c>
      <c r="F3549" s="7" t="s">
        <v>6353</v>
      </c>
      <c r="G3549" s="7" t="s">
        <v>7150</v>
      </c>
      <c r="H3549" s="7" t="s">
        <v>7156</v>
      </c>
      <c r="I3549" s="7"/>
      <c r="J3549" s="10">
        <v>44755</v>
      </c>
      <c r="K3549" s="7" t="s">
        <v>7163</v>
      </c>
      <c r="L3549" s="7"/>
      <c r="M3549" s="7"/>
    </row>
    <row r="3550" spans="1:13" x14ac:dyDescent="0.3">
      <c r="A3550" s="7">
        <v>16039</v>
      </c>
      <c r="B3550" s="7" t="s">
        <v>3558</v>
      </c>
      <c r="C3550" s="7" t="s">
        <v>6759</v>
      </c>
      <c r="D3550" s="7" t="s">
        <v>6767</v>
      </c>
      <c r="E3550" s="7" t="s">
        <v>6295</v>
      </c>
      <c r="F3550" s="7" t="s">
        <v>6340</v>
      </c>
      <c r="G3550" s="7" t="s">
        <v>7150</v>
      </c>
      <c r="H3550" s="7" t="s">
        <v>7156</v>
      </c>
      <c r="I3550" s="7"/>
      <c r="J3550" s="10">
        <v>45268</v>
      </c>
      <c r="K3550" s="7" t="s">
        <v>7163</v>
      </c>
      <c r="L3550" s="7"/>
      <c r="M3550" s="7"/>
    </row>
    <row r="3551" spans="1:13" x14ac:dyDescent="0.3">
      <c r="A3551" s="7">
        <v>15088</v>
      </c>
      <c r="B3551" s="7" t="s">
        <v>3559</v>
      </c>
      <c r="C3551" s="7" t="s">
        <v>6759</v>
      </c>
      <c r="D3551" s="7" t="s">
        <v>6767</v>
      </c>
      <c r="E3551" s="7" t="s">
        <v>6295</v>
      </c>
      <c r="F3551" s="7" t="s">
        <v>6340</v>
      </c>
      <c r="G3551" s="7" t="s">
        <v>7150</v>
      </c>
      <c r="H3551" s="7" t="s">
        <v>7156</v>
      </c>
      <c r="I3551" s="7"/>
      <c r="J3551" s="10">
        <v>44945</v>
      </c>
      <c r="K3551" s="7" t="s">
        <v>7163</v>
      </c>
      <c r="L3551" s="7"/>
      <c r="M3551" s="7"/>
    </row>
    <row r="3552" spans="1:13" x14ac:dyDescent="0.3">
      <c r="A3552" s="7">
        <v>17018</v>
      </c>
      <c r="B3552" s="7" t="s">
        <v>3560</v>
      </c>
      <c r="C3552" s="7" t="s">
        <v>6759</v>
      </c>
      <c r="D3552" s="7" t="s">
        <v>6767</v>
      </c>
      <c r="E3552" s="7" t="s">
        <v>6295</v>
      </c>
      <c r="F3552" s="7" t="s">
        <v>6340</v>
      </c>
      <c r="G3552" s="7" t="s">
        <v>7150</v>
      </c>
      <c r="H3552" s="7" t="s">
        <v>7156</v>
      </c>
      <c r="I3552" s="7"/>
      <c r="J3552" s="10">
        <v>45611</v>
      </c>
      <c r="K3552" s="7" t="s">
        <v>7163</v>
      </c>
      <c r="L3552" s="7"/>
      <c r="M3552" s="7"/>
    </row>
    <row r="3553" spans="1:13" x14ac:dyDescent="0.3">
      <c r="A3553" s="7">
        <v>14019</v>
      </c>
      <c r="B3553" s="7" t="s">
        <v>3561</v>
      </c>
      <c r="C3553" s="7" t="s">
        <v>6759</v>
      </c>
      <c r="D3553" s="7" t="s">
        <v>6767</v>
      </c>
      <c r="E3553" s="7" t="s">
        <v>6295</v>
      </c>
      <c r="F3553" s="7" t="s">
        <v>6341</v>
      </c>
      <c r="G3553" s="7" t="s">
        <v>7151</v>
      </c>
      <c r="H3553" s="7" t="s">
        <v>7156</v>
      </c>
      <c r="I3553" s="7"/>
      <c r="J3553" s="10">
        <v>44629</v>
      </c>
      <c r="K3553" s="7" t="s">
        <v>7163</v>
      </c>
      <c r="L3553" s="7"/>
      <c r="M3553" s="7"/>
    </row>
    <row r="3554" spans="1:13" x14ac:dyDescent="0.3">
      <c r="A3554" s="7">
        <v>11628</v>
      </c>
      <c r="B3554" s="7" t="s">
        <v>3562</v>
      </c>
      <c r="C3554" s="7" t="s">
        <v>6759</v>
      </c>
      <c r="D3554" s="7" t="s">
        <v>6768</v>
      </c>
      <c r="E3554" s="7" t="s">
        <v>6295</v>
      </c>
      <c r="F3554" s="7" t="s">
        <v>6338</v>
      </c>
      <c r="G3554" s="7" t="s">
        <v>7150</v>
      </c>
      <c r="H3554" s="7" t="s">
        <v>7156</v>
      </c>
      <c r="I3554" s="7"/>
      <c r="J3554" s="10">
        <v>42948</v>
      </c>
      <c r="K3554" s="7" t="s">
        <v>7163</v>
      </c>
      <c r="L3554" s="7"/>
      <c r="M3554" s="7"/>
    </row>
    <row r="3555" spans="1:13" x14ac:dyDescent="0.3">
      <c r="A3555" s="7">
        <v>12418</v>
      </c>
      <c r="B3555" s="7" t="s">
        <v>3563</v>
      </c>
      <c r="C3555" s="7" t="s">
        <v>6759</v>
      </c>
      <c r="D3555" s="7" t="s">
        <v>6768</v>
      </c>
      <c r="E3555" s="7" t="s">
        <v>6295</v>
      </c>
      <c r="F3555" s="7" t="s">
        <v>6542</v>
      </c>
      <c r="G3555" s="7" t="s">
        <v>7150</v>
      </c>
      <c r="H3555" s="7" t="s">
        <v>7156</v>
      </c>
      <c r="I3555" s="7"/>
      <c r="J3555" s="10">
        <v>43739</v>
      </c>
      <c r="K3555" s="7" t="s">
        <v>7163</v>
      </c>
      <c r="L3555" s="7"/>
      <c r="M3555" s="7"/>
    </row>
    <row r="3556" spans="1:13" x14ac:dyDescent="0.3">
      <c r="A3556" s="7">
        <v>13140</v>
      </c>
      <c r="B3556" s="7" t="s">
        <v>3564</v>
      </c>
      <c r="C3556" s="7" t="s">
        <v>6759</v>
      </c>
      <c r="D3556" s="7" t="s">
        <v>6768</v>
      </c>
      <c r="E3556" s="7" t="s">
        <v>6295</v>
      </c>
      <c r="F3556" s="7" t="s">
        <v>6340</v>
      </c>
      <c r="G3556" s="7" t="s">
        <v>7150</v>
      </c>
      <c r="H3556" s="7" t="s">
        <v>7156</v>
      </c>
      <c r="I3556" s="7"/>
      <c r="J3556" s="10">
        <v>44288</v>
      </c>
      <c r="K3556" s="7" t="s">
        <v>7163</v>
      </c>
      <c r="L3556" s="7"/>
      <c r="M3556" s="7"/>
    </row>
    <row r="3557" spans="1:13" x14ac:dyDescent="0.3">
      <c r="A3557" s="7">
        <v>17772</v>
      </c>
      <c r="B3557" s="7" t="s">
        <v>3565</v>
      </c>
      <c r="C3557" s="7" t="s">
        <v>6759</v>
      </c>
      <c r="D3557" s="7" t="s">
        <v>6768</v>
      </c>
      <c r="E3557" s="7" t="s">
        <v>6295</v>
      </c>
      <c r="F3557" s="7" t="s">
        <v>6340</v>
      </c>
      <c r="G3557" s="7" t="s">
        <v>7150</v>
      </c>
      <c r="H3557" s="7" t="s">
        <v>7156</v>
      </c>
      <c r="I3557" s="7"/>
      <c r="J3557" s="10">
        <v>45874</v>
      </c>
      <c r="K3557" s="7" t="s">
        <v>7163</v>
      </c>
      <c r="L3557" s="7"/>
      <c r="M3557" s="7"/>
    </row>
    <row r="3558" spans="1:13" x14ac:dyDescent="0.3">
      <c r="A3558" s="7">
        <v>13398</v>
      </c>
      <c r="B3558" s="7" t="s">
        <v>3566</v>
      </c>
      <c r="C3558" s="7" t="s">
        <v>6759</v>
      </c>
      <c r="D3558" s="7" t="s">
        <v>6768</v>
      </c>
      <c r="E3558" s="7" t="s">
        <v>6295</v>
      </c>
      <c r="F3558" s="7" t="s">
        <v>6340</v>
      </c>
      <c r="G3558" s="7" t="s">
        <v>7150</v>
      </c>
      <c r="H3558" s="7" t="s">
        <v>7156</v>
      </c>
      <c r="I3558" s="7"/>
      <c r="J3558" s="10">
        <v>44425</v>
      </c>
      <c r="K3558" s="7" t="s">
        <v>7163</v>
      </c>
      <c r="L3558" s="7"/>
      <c r="M3558" s="7"/>
    </row>
    <row r="3559" spans="1:13" x14ac:dyDescent="0.3">
      <c r="A3559" s="7">
        <v>15524</v>
      </c>
      <c r="B3559" s="7" t="s">
        <v>3567</v>
      </c>
      <c r="C3559" s="7" t="s">
        <v>6759</v>
      </c>
      <c r="D3559" s="7" t="s">
        <v>6768</v>
      </c>
      <c r="E3559" s="7" t="s">
        <v>6295</v>
      </c>
      <c r="F3559" s="7" t="s">
        <v>6340</v>
      </c>
      <c r="G3559" s="7" t="s">
        <v>7150</v>
      </c>
      <c r="H3559" s="7" t="s">
        <v>7156</v>
      </c>
      <c r="I3559" s="7"/>
      <c r="J3559" s="10">
        <v>45101</v>
      </c>
      <c r="K3559" s="7" t="s">
        <v>7163</v>
      </c>
      <c r="L3559" s="7"/>
      <c r="M3559" s="7"/>
    </row>
    <row r="3560" spans="1:13" x14ac:dyDescent="0.3">
      <c r="A3560" s="7">
        <v>15373</v>
      </c>
      <c r="B3560" s="7" t="s">
        <v>3568</v>
      </c>
      <c r="C3560" s="7" t="s">
        <v>6759</v>
      </c>
      <c r="D3560" s="7" t="s">
        <v>6768</v>
      </c>
      <c r="E3560" s="7" t="s">
        <v>6295</v>
      </c>
      <c r="F3560" s="7" t="s">
        <v>6340</v>
      </c>
      <c r="G3560" s="7" t="s">
        <v>7150</v>
      </c>
      <c r="H3560" s="7" t="s">
        <v>7156</v>
      </c>
      <c r="I3560" s="7"/>
      <c r="J3560" s="10">
        <v>45050</v>
      </c>
      <c r="K3560" s="7" t="s">
        <v>7163</v>
      </c>
      <c r="L3560" s="7"/>
      <c r="M3560" s="7"/>
    </row>
    <row r="3561" spans="1:13" x14ac:dyDescent="0.3">
      <c r="A3561" s="7">
        <v>14673</v>
      </c>
      <c r="B3561" s="7" t="s">
        <v>3569</v>
      </c>
      <c r="C3561" s="7" t="s">
        <v>6759</v>
      </c>
      <c r="D3561" s="7" t="s">
        <v>6768</v>
      </c>
      <c r="E3561" s="7" t="s">
        <v>6295</v>
      </c>
      <c r="F3561" s="7" t="s">
        <v>6340</v>
      </c>
      <c r="G3561" s="7" t="s">
        <v>7150</v>
      </c>
      <c r="H3561" s="7" t="s">
        <v>7156</v>
      </c>
      <c r="I3561" s="7"/>
      <c r="J3561" s="10">
        <v>44824</v>
      </c>
      <c r="K3561" s="7" t="s">
        <v>7163</v>
      </c>
      <c r="L3561" s="7"/>
      <c r="M3561" s="7"/>
    </row>
    <row r="3562" spans="1:13" x14ac:dyDescent="0.3">
      <c r="A3562" s="7">
        <v>15176</v>
      </c>
      <c r="B3562" s="7" t="s">
        <v>3570</v>
      </c>
      <c r="C3562" s="7" t="s">
        <v>6759</v>
      </c>
      <c r="D3562" s="7" t="s">
        <v>6768</v>
      </c>
      <c r="E3562" s="7" t="s">
        <v>6295</v>
      </c>
      <c r="F3562" s="7" t="s">
        <v>6340</v>
      </c>
      <c r="G3562" s="7" t="s">
        <v>7150</v>
      </c>
      <c r="H3562" s="7" t="s">
        <v>7156</v>
      </c>
      <c r="I3562" s="7"/>
      <c r="J3562" s="10">
        <v>44977</v>
      </c>
      <c r="K3562" s="7" t="s">
        <v>7163</v>
      </c>
      <c r="L3562" s="7"/>
      <c r="M3562" s="7"/>
    </row>
    <row r="3563" spans="1:13" x14ac:dyDescent="0.3">
      <c r="A3563" s="7">
        <v>15992</v>
      </c>
      <c r="B3563" s="7" t="s">
        <v>3571</v>
      </c>
      <c r="C3563" s="7" t="s">
        <v>6759</v>
      </c>
      <c r="D3563" s="7" t="s">
        <v>6768</v>
      </c>
      <c r="E3563" s="7" t="s">
        <v>6295</v>
      </c>
      <c r="F3563" s="7" t="s">
        <v>6340</v>
      </c>
      <c r="G3563" s="7" t="s">
        <v>7150</v>
      </c>
      <c r="H3563" s="7" t="s">
        <v>7156</v>
      </c>
      <c r="I3563" s="7"/>
      <c r="J3563" s="10">
        <v>45258</v>
      </c>
      <c r="K3563" s="7" t="s">
        <v>7163</v>
      </c>
      <c r="L3563" s="7"/>
      <c r="M3563" s="7"/>
    </row>
    <row r="3564" spans="1:13" x14ac:dyDescent="0.3">
      <c r="A3564" s="7">
        <v>15751</v>
      </c>
      <c r="B3564" s="7" t="s">
        <v>3572</v>
      </c>
      <c r="C3564" s="7" t="s">
        <v>6759</v>
      </c>
      <c r="D3564" s="7" t="s">
        <v>6768</v>
      </c>
      <c r="E3564" s="7" t="s">
        <v>6295</v>
      </c>
      <c r="F3564" s="7" t="s">
        <v>6340</v>
      </c>
      <c r="G3564" s="7" t="s">
        <v>7150</v>
      </c>
      <c r="H3564" s="7" t="s">
        <v>7156</v>
      </c>
      <c r="I3564" s="7"/>
      <c r="J3564" s="10">
        <v>45184</v>
      </c>
      <c r="K3564" s="7" t="s">
        <v>7163</v>
      </c>
      <c r="L3564" s="7"/>
      <c r="M3564" s="7"/>
    </row>
    <row r="3565" spans="1:13" x14ac:dyDescent="0.3">
      <c r="A3565" s="7">
        <v>18588</v>
      </c>
      <c r="B3565" s="7" t="s">
        <v>3573</v>
      </c>
      <c r="C3565" s="7" t="s">
        <v>6759</v>
      </c>
      <c r="D3565" s="7" t="s">
        <v>6768</v>
      </c>
      <c r="E3565" s="7" t="s">
        <v>6295</v>
      </c>
      <c r="F3565" s="7" t="s">
        <v>6348</v>
      </c>
      <c r="G3565" s="7" t="s">
        <v>7150</v>
      </c>
      <c r="H3565" s="7" t="s">
        <v>7156</v>
      </c>
      <c r="I3565" s="7"/>
      <c r="J3565" s="10">
        <v>46162</v>
      </c>
      <c r="K3565" s="7" t="s">
        <v>7163</v>
      </c>
      <c r="L3565" s="7"/>
      <c r="M3565" s="7"/>
    </row>
    <row r="3566" spans="1:13" x14ac:dyDescent="0.3">
      <c r="A3566" s="7">
        <v>13258</v>
      </c>
      <c r="B3566" s="7" t="s">
        <v>3574</v>
      </c>
      <c r="C3566" s="7" t="s">
        <v>6488</v>
      </c>
      <c r="D3566" s="7" t="s">
        <v>6295</v>
      </c>
      <c r="E3566" s="7" t="s">
        <v>6295</v>
      </c>
      <c r="F3566" s="7" t="s">
        <v>6336</v>
      </c>
      <c r="G3566" s="7" t="s">
        <v>7150</v>
      </c>
      <c r="H3566" s="7" t="s">
        <v>7156</v>
      </c>
      <c r="I3566" s="7"/>
      <c r="J3566" s="10">
        <v>44348</v>
      </c>
      <c r="K3566" s="7" t="s">
        <v>7163</v>
      </c>
      <c r="L3566" s="7"/>
      <c r="M3566" s="7"/>
    </row>
    <row r="3567" spans="1:13" x14ac:dyDescent="0.3">
      <c r="A3567" s="7">
        <v>13618</v>
      </c>
      <c r="B3567" s="7" t="s">
        <v>3575</v>
      </c>
      <c r="C3567" s="7" t="s">
        <v>6759</v>
      </c>
      <c r="D3567" s="7" t="s">
        <v>6769</v>
      </c>
      <c r="E3567" s="7" t="s">
        <v>6295</v>
      </c>
      <c r="F3567" s="7" t="s">
        <v>6335</v>
      </c>
      <c r="G3567" s="7" t="s">
        <v>7150</v>
      </c>
      <c r="H3567" s="7" t="s">
        <v>7156</v>
      </c>
      <c r="I3567" s="7"/>
      <c r="J3567" s="10">
        <v>44519</v>
      </c>
      <c r="K3567" s="7" t="s">
        <v>7163</v>
      </c>
      <c r="L3567" s="7"/>
      <c r="M3567" s="7"/>
    </row>
    <row r="3568" spans="1:13" x14ac:dyDescent="0.3">
      <c r="A3568" s="7">
        <v>18049</v>
      </c>
      <c r="B3568" s="7" t="s">
        <v>3576</v>
      </c>
      <c r="C3568" s="7" t="s">
        <v>6759</v>
      </c>
      <c r="D3568" s="7" t="s">
        <v>6769</v>
      </c>
      <c r="E3568" s="7" t="s">
        <v>6295</v>
      </c>
      <c r="F3568" s="7" t="s">
        <v>6353</v>
      </c>
      <c r="G3568" s="7" t="s">
        <v>7150</v>
      </c>
      <c r="H3568" s="7" t="s">
        <v>7156</v>
      </c>
      <c r="I3568" s="7"/>
      <c r="J3568" s="10">
        <v>45979</v>
      </c>
      <c r="K3568" s="7" t="s">
        <v>7163</v>
      </c>
      <c r="L3568" s="7"/>
      <c r="M3568" s="7"/>
    </row>
    <row r="3569" spans="1:13" x14ac:dyDescent="0.3">
      <c r="A3569" s="7">
        <v>15312</v>
      </c>
      <c r="B3569" s="7" t="s">
        <v>3577</v>
      </c>
      <c r="C3569" s="7" t="s">
        <v>6759</v>
      </c>
      <c r="D3569" s="7" t="s">
        <v>6769</v>
      </c>
      <c r="E3569" s="7" t="s">
        <v>6295</v>
      </c>
      <c r="F3569" s="7" t="s">
        <v>6340</v>
      </c>
      <c r="G3569" s="7" t="s">
        <v>7150</v>
      </c>
      <c r="H3569" s="7" t="s">
        <v>7156</v>
      </c>
      <c r="I3569" s="7"/>
      <c r="J3569" s="10">
        <v>45023</v>
      </c>
      <c r="K3569" s="7" t="s">
        <v>7163</v>
      </c>
      <c r="L3569" s="7"/>
      <c r="M3569" s="7"/>
    </row>
    <row r="3570" spans="1:13" x14ac:dyDescent="0.3">
      <c r="A3570" s="7">
        <v>16048</v>
      </c>
      <c r="B3570" s="7" t="s">
        <v>3578</v>
      </c>
      <c r="C3570" s="7" t="s">
        <v>6759</v>
      </c>
      <c r="D3570" s="7" t="s">
        <v>6769</v>
      </c>
      <c r="E3570" s="7" t="s">
        <v>6295</v>
      </c>
      <c r="F3570" s="7" t="s">
        <v>6340</v>
      </c>
      <c r="G3570" s="7" t="s">
        <v>7150</v>
      </c>
      <c r="H3570" s="7" t="s">
        <v>7156</v>
      </c>
      <c r="I3570" s="7"/>
      <c r="J3570" s="10">
        <v>45273</v>
      </c>
      <c r="K3570" s="7" t="s">
        <v>7163</v>
      </c>
      <c r="L3570" s="7"/>
      <c r="M3570" s="7"/>
    </row>
    <row r="3571" spans="1:13" x14ac:dyDescent="0.3">
      <c r="A3571" s="7">
        <v>17479</v>
      </c>
      <c r="B3571" s="7" t="s">
        <v>3579</v>
      </c>
      <c r="C3571" s="7" t="s">
        <v>6759</v>
      </c>
      <c r="D3571" s="7" t="s">
        <v>6769</v>
      </c>
      <c r="E3571" s="7" t="s">
        <v>6295</v>
      </c>
      <c r="F3571" s="7" t="s">
        <v>6340</v>
      </c>
      <c r="G3571" s="7" t="s">
        <v>7150</v>
      </c>
      <c r="H3571" s="7" t="s">
        <v>7156</v>
      </c>
      <c r="I3571" s="7"/>
      <c r="J3571" s="10">
        <v>45763</v>
      </c>
      <c r="K3571" s="7" t="s">
        <v>7163</v>
      </c>
      <c r="L3571" s="7"/>
      <c r="M3571" s="7"/>
    </row>
    <row r="3572" spans="1:13" x14ac:dyDescent="0.3">
      <c r="A3572" s="7">
        <v>17558</v>
      </c>
      <c r="B3572" s="7" t="s">
        <v>3580</v>
      </c>
      <c r="C3572" s="7" t="s">
        <v>6759</v>
      </c>
      <c r="D3572" s="7" t="s">
        <v>6769</v>
      </c>
      <c r="E3572" s="7" t="s">
        <v>6295</v>
      </c>
      <c r="F3572" s="7" t="s">
        <v>6341</v>
      </c>
      <c r="G3572" s="7" t="s">
        <v>7150</v>
      </c>
      <c r="H3572" s="7" t="s">
        <v>7156</v>
      </c>
      <c r="I3572" s="7"/>
      <c r="J3572" s="10">
        <v>45790</v>
      </c>
      <c r="K3572" s="7" t="s">
        <v>7163</v>
      </c>
      <c r="L3572" s="7"/>
      <c r="M3572" s="7"/>
    </row>
    <row r="3573" spans="1:13" x14ac:dyDescent="0.3">
      <c r="A3573" s="7">
        <v>10801</v>
      </c>
      <c r="B3573" s="7" t="s">
        <v>3581</v>
      </c>
      <c r="C3573" s="7" t="s">
        <v>6770</v>
      </c>
      <c r="D3573" s="7" t="s">
        <v>6295</v>
      </c>
      <c r="E3573" s="7" t="s">
        <v>6295</v>
      </c>
      <c r="F3573" s="7" t="s">
        <v>6356</v>
      </c>
      <c r="G3573" s="7" t="s">
        <v>7150</v>
      </c>
      <c r="H3573" s="7" t="s">
        <v>7156</v>
      </c>
      <c r="I3573" s="7"/>
      <c r="J3573" s="10">
        <v>41913</v>
      </c>
      <c r="K3573" s="7" t="s">
        <v>7164</v>
      </c>
      <c r="L3573" s="7"/>
      <c r="M3573" s="7"/>
    </row>
    <row r="3574" spans="1:13" x14ac:dyDescent="0.3">
      <c r="A3574" s="7">
        <v>16095</v>
      </c>
      <c r="B3574" s="7" t="s">
        <v>3582</v>
      </c>
      <c r="C3574" s="7" t="s">
        <v>6771</v>
      </c>
      <c r="D3574" s="7" t="s">
        <v>6772</v>
      </c>
      <c r="E3574" s="7" t="s">
        <v>6295</v>
      </c>
      <c r="F3574" s="7" t="s">
        <v>6630</v>
      </c>
      <c r="G3574" s="7" t="s">
        <v>7150</v>
      </c>
      <c r="H3574" s="7" t="s">
        <v>7156</v>
      </c>
      <c r="I3574" s="7"/>
      <c r="J3574" s="10">
        <v>45280</v>
      </c>
      <c r="K3574" s="7" t="s">
        <v>7164</v>
      </c>
      <c r="L3574" s="7"/>
      <c r="M3574" s="7"/>
    </row>
    <row r="3575" spans="1:13" x14ac:dyDescent="0.3">
      <c r="A3575" s="7">
        <v>11530</v>
      </c>
      <c r="B3575" s="7" t="s">
        <v>3583</v>
      </c>
      <c r="C3575" s="7" t="s">
        <v>6771</v>
      </c>
      <c r="D3575" s="7" t="s">
        <v>6773</v>
      </c>
      <c r="E3575" s="7" t="s">
        <v>6295</v>
      </c>
      <c r="F3575" s="7" t="s">
        <v>6333</v>
      </c>
      <c r="G3575" s="7" t="s">
        <v>7150</v>
      </c>
      <c r="H3575" s="7" t="s">
        <v>7156</v>
      </c>
      <c r="I3575" s="7"/>
      <c r="J3575" s="10">
        <v>42807</v>
      </c>
      <c r="K3575" s="7" t="s">
        <v>7164</v>
      </c>
      <c r="L3575" s="7"/>
      <c r="M3575" s="7"/>
    </row>
    <row r="3576" spans="1:13" x14ac:dyDescent="0.3">
      <c r="A3576" s="7">
        <v>15822</v>
      </c>
      <c r="B3576" s="7" t="s">
        <v>3584</v>
      </c>
      <c r="C3576" s="7" t="s">
        <v>6774</v>
      </c>
      <c r="D3576" s="7" t="s">
        <v>6295</v>
      </c>
      <c r="E3576" s="7" t="s">
        <v>6295</v>
      </c>
      <c r="F3576" s="7" t="s">
        <v>6356</v>
      </c>
      <c r="G3576" s="7" t="s">
        <v>7150</v>
      </c>
      <c r="H3576" s="7" t="s">
        <v>7156</v>
      </c>
      <c r="I3576" s="7"/>
      <c r="J3576" s="10">
        <v>45208</v>
      </c>
      <c r="K3576" s="7" t="s">
        <v>7163</v>
      </c>
      <c r="L3576" s="7"/>
      <c r="M3576" s="7"/>
    </row>
    <row r="3577" spans="1:13" x14ac:dyDescent="0.3">
      <c r="A3577" s="7">
        <v>16410</v>
      </c>
      <c r="B3577" s="7" t="s">
        <v>3585</v>
      </c>
      <c r="C3577" s="7" t="s">
        <v>6774</v>
      </c>
      <c r="D3577" s="7" t="s">
        <v>6775</v>
      </c>
      <c r="E3577" s="7" t="s">
        <v>6295</v>
      </c>
      <c r="F3577" s="7" t="s">
        <v>6338</v>
      </c>
      <c r="G3577" s="7" t="s">
        <v>7150</v>
      </c>
      <c r="H3577" s="7" t="s">
        <v>7156</v>
      </c>
      <c r="I3577" s="7"/>
      <c r="J3577" s="10">
        <v>45369</v>
      </c>
      <c r="K3577" s="7" t="s">
        <v>7163</v>
      </c>
      <c r="L3577" s="7"/>
      <c r="M3577" s="7"/>
    </row>
    <row r="3578" spans="1:13" x14ac:dyDescent="0.3">
      <c r="A3578" s="7">
        <v>14025</v>
      </c>
      <c r="B3578" s="7" t="s">
        <v>3586</v>
      </c>
      <c r="C3578" s="7" t="s">
        <v>6774</v>
      </c>
      <c r="D3578" s="7" t="s">
        <v>6775</v>
      </c>
      <c r="E3578" s="7" t="s">
        <v>6295</v>
      </c>
      <c r="F3578" s="7" t="s">
        <v>6335</v>
      </c>
      <c r="G3578" s="7" t="s">
        <v>7150</v>
      </c>
      <c r="H3578" s="7" t="s">
        <v>7156</v>
      </c>
      <c r="I3578" s="7"/>
      <c r="J3578" s="10">
        <v>44630</v>
      </c>
      <c r="K3578" s="7" t="s">
        <v>7163</v>
      </c>
      <c r="L3578" s="7"/>
      <c r="M3578" s="7"/>
    </row>
    <row r="3579" spans="1:13" x14ac:dyDescent="0.3">
      <c r="A3579" s="7">
        <v>15626</v>
      </c>
      <c r="B3579" s="7" t="s">
        <v>3587</v>
      </c>
      <c r="C3579" s="7" t="s">
        <v>6774</v>
      </c>
      <c r="D3579" s="7" t="s">
        <v>6775</v>
      </c>
      <c r="E3579" s="7" t="s">
        <v>6295</v>
      </c>
      <c r="F3579" s="7" t="s">
        <v>6335</v>
      </c>
      <c r="G3579" s="7" t="s">
        <v>7150</v>
      </c>
      <c r="H3579" s="7" t="s">
        <v>7156</v>
      </c>
      <c r="I3579" s="7"/>
      <c r="J3579" s="10">
        <v>45142</v>
      </c>
      <c r="K3579" s="7" t="s">
        <v>7163</v>
      </c>
      <c r="L3579" s="7"/>
      <c r="M3579" s="7"/>
    </row>
    <row r="3580" spans="1:13" x14ac:dyDescent="0.3">
      <c r="A3580" s="7">
        <v>17931</v>
      </c>
      <c r="B3580" s="7" t="s">
        <v>3588</v>
      </c>
      <c r="C3580" s="7" t="s">
        <v>6774</v>
      </c>
      <c r="D3580" s="7" t="s">
        <v>6775</v>
      </c>
      <c r="E3580" s="7" t="s">
        <v>6295</v>
      </c>
      <c r="F3580" s="7" t="s">
        <v>6341</v>
      </c>
      <c r="G3580" s="7" t="s">
        <v>7150</v>
      </c>
      <c r="H3580" s="7" t="s">
        <v>7156</v>
      </c>
      <c r="I3580" s="7"/>
      <c r="J3580" s="10">
        <v>45922</v>
      </c>
      <c r="K3580" s="7" t="s">
        <v>7163</v>
      </c>
      <c r="L3580" s="7"/>
      <c r="M3580" s="7"/>
    </row>
    <row r="3581" spans="1:13" x14ac:dyDescent="0.3">
      <c r="A3581" s="7">
        <v>18612</v>
      </c>
      <c r="B3581" s="7" t="s">
        <v>3589</v>
      </c>
      <c r="C3581" s="7" t="s">
        <v>6774</v>
      </c>
      <c r="D3581" s="7" t="s">
        <v>6775</v>
      </c>
      <c r="E3581" s="7" t="s">
        <v>6295</v>
      </c>
      <c r="F3581" s="7" t="s">
        <v>6348</v>
      </c>
      <c r="G3581" s="7" t="s">
        <v>7150</v>
      </c>
      <c r="H3581" s="7" t="s">
        <v>7156</v>
      </c>
      <c r="I3581" s="7"/>
      <c r="J3581" s="10">
        <v>46164</v>
      </c>
      <c r="K3581" s="7" t="s">
        <v>7163</v>
      </c>
      <c r="L3581" s="7"/>
      <c r="M3581" s="7"/>
    </row>
    <row r="3582" spans="1:13" x14ac:dyDescent="0.3">
      <c r="A3582" s="7">
        <v>12130</v>
      </c>
      <c r="B3582" s="7" t="s">
        <v>3590</v>
      </c>
      <c r="C3582" s="7" t="s">
        <v>6774</v>
      </c>
      <c r="D3582" s="7" t="s">
        <v>6775</v>
      </c>
      <c r="E3582" s="7" t="s">
        <v>6295</v>
      </c>
      <c r="F3582" s="7" t="s">
        <v>6353</v>
      </c>
      <c r="G3582" s="7" t="s">
        <v>7150</v>
      </c>
      <c r="H3582" s="7" t="s">
        <v>7156</v>
      </c>
      <c r="I3582" s="7"/>
      <c r="J3582" s="10">
        <v>43507</v>
      </c>
      <c r="K3582" s="7" t="s">
        <v>7163</v>
      </c>
      <c r="L3582" s="7"/>
      <c r="M3582" s="7"/>
    </row>
    <row r="3583" spans="1:13" x14ac:dyDescent="0.3">
      <c r="A3583" s="7">
        <v>13223</v>
      </c>
      <c r="B3583" s="7" t="s">
        <v>3591</v>
      </c>
      <c r="C3583" s="7" t="s">
        <v>6774</v>
      </c>
      <c r="D3583" s="7" t="s">
        <v>6775</v>
      </c>
      <c r="E3583" s="7" t="s">
        <v>6295</v>
      </c>
      <c r="F3583" s="7" t="s">
        <v>6353</v>
      </c>
      <c r="G3583" s="7" t="s">
        <v>7150</v>
      </c>
      <c r="H3583" s="7" t="s">
        <v>7156</v>
      </c>
      <c r="I3583" s="7"/>
      <c r="J3583" s="10">
        <v>44324</v>
      </c>
      <c r="K3583" s="7" t="s">
        <v>7163</v>
      </c>
      <c r="L3583" s="7"/>
      <c r="M3583" s="7"/>
    </row>
    <row r="3584" spans="1:13" x14ac:dyDescent="0.3">
      <c r="A3584" s="7">
        <v>19001</v>
      </c>
      <c r="B3584" s="7" t="s">
        <v>3592</v>
      </c>
      <c r="C3584" s="7" t="s">
        <v>6774</v>
      </c>
      <c r="D3584" s="7" t="s">
        <v>6775</v>
      </c>
      <c r="E3584" s="7" t="s">
        <v>6295</v>
      </c>
      <c r="F3584" s="7" t="s">
        <v>6353</v>
      </c>
      <c r="G3584" s="7" t="s">
        <v>7150</v>
      </c>
      <c r="H3584" s="7" t="s">
        <v>7156</v>
      </c>
      <c r="I3584" s="7"/>
      <c r="J3584" s="10">
        <v>46259</v>
      </c>
      <c r="K3584" s="7" t="s">
        <v>7163</v>
      </c>
      <c r="L3584" s="7"/>
      <c r="M3584" s="7"/>
    </row>
    <row r="3585" spans="1:13" x14ac:dyDescent="0.3">
      <c r="A3585" s="7">
        <v>17515</v>
      </c>
      <c r="B3585" s="7" t="s">
        <v>3593</v>
      </c>
      <c r="C3585" s="7" t="s">
        <v>6774</v>
      </c>
      <c r="D3585" s="7" t="s">
        <v>6775</v>
      </c>
      <c r="E3585" s="7" t="s">
        <v>6295</v>
      </c>
      <c r="F3585" s="7" t="s">
        <v>6341</v>
      </c>
      <c r="G3585" s="7" t="s">
        <v>7150</v>
      </c>
      <c r="H3585" s="7" t="s">
        <v>7156</v>
      </c>
      <c r="I3585" s="7"/>
      <c r="J3585" s="10">
        <v>45782</v>
      </c>
      <c r="K3585" s="7" t="s">
        <v>7163</v>
      </c>
      <c r="L3585" s="7"/>
      <c r="M3585" s="7"/>
    </row>
    <row r="3586" spans="1:13" x14ac:dyDescent="0.3">
      <c r="A3586" s="7">
        <v>14227</v>
      </c>
      <c r="B3586" s="7" t="s">
        <v>3594</v>
      </c>
      <c r="C3586" s="7" t="s">
        <v>6774</v>
      </c>
      <c r="D3586" s="7" t="s">
        <v>6775</v>
      </c>
      <c r="E3586" s="7" t="s">
        <v>6295</v>
      </c>
      <c r="F3586" s="7" t="s">
        <v>6353</v>
      </c>
      <c r="G3586" s="7" t="s">
        <v>7150</v>
      </c>
      <c r="H3586" s="7" t="s">
        <v>7156</v>
      </c>
      <c r="I3586" s="7"/>
      <c r="J3586" s="10">
        <v>44706</v>
      </c>
      <c r="K3586" s="7" t="s">
        <v>7163</v>
      </c>
      <c r="L3586" s="7"/>
      <c r="M3586" s="7"/>
    </row>
    <row r="3587" spans="1:13" x14ac:dyDescent="0.3">
      <c r="A3587" s="7">
        <v>13050</v>
      </c>
      <c r="B3587" s="7" t="s">
        <v>3595</v>
      </c>
      <c r="C3587" s="7" t="s">
        <v>6774</v>
      </c>
      <c r="D3587" s="7" t="s">
        <v>6775</v>
      </c>
      <c r="E3587" s="7" t="s">
        <v>6295</v>
      </c>
      <c r="F3587" s="7" t="s">
        <v>6353</v>
      </c>
      <c r="G3587" s="7" t="s">
        <v>7150</v>
      </c>
      <c r="H3587" s="7" t="s">
        <v>7156</v>
      </c>
      <c r="I3587" s="7"/>
      <c r="J3587" s="10">
        <v>44217</v>
      </c>
      <c r="K3587" s="7" t="s">
        <v>7163</v>
      </c>
      <c r="L3587" s="7"/>
      <c r="M3587" s="7"/>
    </row>
    <row r="3588" spans="1:13" x14ac:dyDescent="0.3">
      <c r="A3588" s="7">
        <v>12697</v>
      </c>
      <c r="B3588" s="7" t="s">
        <v>3596</v>
      </c>
      <c r="C3588" s="7" t="s">
        <v>6774</v>
      </c>
      <c r="D3588" s="7" t="s">
        <v>6775</v>
      </c>
      <c r="E3588" s="7" t="s">
        <v>6295</v>
      </c>
      <c r="F3588" s="7" t="s">
        <v>6353</v>
      </c>
      <c r="G3588" s="7" t="s">
        <v>7150</v>
      </c>
      <c r="H3588" s="7" t="s">
        <v>7156</v>
      </c>
      <c r="I3588" s="7"/>
      <c r="J3588" s="10">
        <v>43868</v>
      </c>
      <c r="K3588" s="7" t="s">
        <v>7163</v>
      </c>
      <c r="L3588" s="7"/>
      <c r="M3588" s="7"/>
    </row>
    <row r="3589" spans="1:13" x14ac:dyDescent="0.3">
      <c r="A3589" s="7">
        <v>14862</v>
      </c>
      <c r="B3589" s="7" t="s">
        <v>3597</v>
      </c>
      <c r="C3589" s="7" t="s">
        <v>6774</v>
      </c>
      <c r="D3589" s="7" t="s">
        <v>6776</v>
      </c>
      <c r="E3589" s="7" t="s">
        <v>6295</v>
      </c>
      <c r="F3589" s="7" t="s">
        <v>6353</v>
      </c>
      <c r="G3589" s="7" t="s">
        <v>7150</v>
      </c>
      <c r="H3589" s="7" t="s">
        <v>7156</v>
      </c>
      <c r="I3589" s="7"/>
      <c r="J3589" s="10">
        <v>44882</v>
      </c>
      <c r="K3589" s="7" t="s">
        <v>7163</v>
      </c>
      <c r="L3589" s="7"/>
      <c r="M3589" s="7"/>
    </row>
    <row r="3590" spans="1:13" x14ac:dyDescent="0.3">
      <c r="A3590" s="7">
        <v>13806</v>
      </c>
      <c r="B3590" s="7" t="s">
        <v>3598</v>
      </c>
      <c r="C3590" s="7" t="s">
        <v>6771</v>
      </c>
      <c r="D3590" s="7" t="s">
        <v>6777</v>
      </c>
      <c r="E3590" s="7" t="s">
        <v>6295</v>
      </c>
      <c r="F3590" s="7" t="s">
        <v>6333</v>
      </c>
      <c r="G3590" s="7" t="s">
        <v>7150</v>
      </c>
      <c r="H3590" s="7" t="s">
        <v>7156</v>
      </c>
      <c r="I3590" s="7"/>
      <c r="J3590" s="10">
        <v>44585</v>
      </c>
      <c r="K3590" s="7" t="s">
        <v>7163</v>
      </c>
      <c r="L3590" s="7"/>
      <c r="M3590" s="7"/>
    </row>
    <row r="3591" spans="1:13" x14ac:dyDescent="0.3">
      <c r="A3591" s="7">
        <v>13846</v>
      </c>
      <c r="B3591" s="7" t="s">
        <v>3599</v>
      </c>
      <c r="C3591" s="7" t="s">
        <v>6774</v>
      </c>
      <c r="D3591" s="7" t="s">
        <v>6775</v>
      </c>
      <c r="E3591" s="7" t="s">
        <v>6295</v>
      </c>
      <c r="F3591" s="7" t="s">
        <v>6353</v>
      </c>
      <c r="G3591" s="7" t="s">
        <v>7152</v>
      </c>
      <c r="H3591" s="7" t="s">
        <v>7156</v>
      </c>
      <c r="I3591" s="7"/>
      <c r="J3591" s="10">
        <v>44601</v>
      </c>
      <c r="K3591" s="7" t="s">
        <v>7163</v>
      </c>
      <c r="L3591" s="7"/>
      <c r="M3591" s="7"/>
    </row>
    <row r="3592" spans="1:13" x14ac:dyDescent="0.3">
      <c r="A3592" s="7">
        <v>17504</v>
      </c>
      <c r="B3592" s="7" t="s">
        <v>3600</v>
      </c>
      <c r="C3592" s="7" t="s">
        <v>6774</v>
      </c>
      <c r="D3592" s="7" t="s">
        <v>6775</v>
      </c>
      <c r="E3592" s="7" t="s">
        <v>6295</v>
      </c>
      <c r="F3592" s="7" t="s">
        <v>6341</v>
      </c>
      <c r="G3592" s="7" t="s">
        <v>7150</v>
      </c>
      <c r="H3592" s="7" t="s">
        <v>7156</v>
      </c>
      <c r="I3592" s="7"/>
      <c r="J3592" s="10">
        <v>45778</v>
      </c>
      <c r="K3592" s="7" t="s">
        <v>7163</v>
      </c>
      <c r="L3592" s="7"/>
      <c r="M3592" s="7"/>
    </row>
    <row r="3593" spans="1:13" x14ac:dyDescent="0.3">
      <c r="A3593" s="7">
        <v>18198</v>
      </c>
      <c r="B3593" s="7" t="s">
        <v>3601</v>
      </c>
      <c r="C3593" s="7" t="s">
        <v>6774</v>
      </c>
      <c r="D3593" s="7" t="s">
        <v>6775</v>
      </c>
      <c r="E3593" s="7" t="s">
        <v>6295</v>
      </c>
      <c r="F3593" s="7" t="s">
        <v>6341</v>
      </c>
      <c r="G3593" s="7" t="s">
        <v>7150</v>
      </c>
      <c r="H3593" s="7" t="s">
        <v>7156</v>
      </c>
      <c r="I3593" s="7"/>
      <c r="J3593" s="10">
        <v>46049</v>
      </c>
      <c r="K3593" s="7" t="s">
        <v>7163</v>
      </c>
      <c r="L3593" s="7"/>
      <c r="M3593" s="7"/>
    </row>
    <row r="3594" spans="1:13" x14ac:dyDescent="0.3">
      <c r="A3594" s="7">
        <v>19074</v>
      </c>
      <c r="B3594" s="7" t="s">
        <v>3602</v>
      </c>
      <c r="C3594" s="7" t="s">
        <v>6774</v>
      </c>
      <c r="D3594" s="7" t="s">
        <v>6775</v>
      </c>
      <c r="E3594" s="7" t="s">
        <v>6295</v>
      </c>
      <c r="F3594" s="7" t="s">
        <v>6348</v>
      </c>
      <c r="G3594" s="7" t="s">
        <v>7150</v>
      </c>
      <c r="H3594" s="7" t="s">
        <v>7156</v>
      </c>
      <c r="I3594" s="7"/>
      <c r="J3594" s="10">
        <v>46266</v>
      </c>
      <c r="K3594" s="7" t="s">
        <v>7163</v>
      </c>
      <c r="L3594" s="7"/>
      <c r="M3594" s="7"/>
    </row>
    <row r="3595" spans="1:13" x14ac:dyDescent="0.3">
      <c r="A3595" s="7">
        <v>18311</v>
      </c>
      <c r="B3595" s="7" t="s">
        <v>3603</v>
      </c>
      <c r="C3595" s="7" t="s">
        <v>6774</v>
      </c>
      <c r="D3595" s="7" t="s">
        <v>6775</v>
      </c>
      <c r="E3595" s="7" t="s">
        <v>6295</v>
      </c>
      <c r="F3595" s="7" t="s">
        <v>6341</v>
      </c>
      <c r="G3595" s="7" t="s">
        <v>7150</v>
      </c>
      <c r="H3595" s="7" t="s">
        <v>7156</v>
      </c>
      <c r="I3595" s="7"/>
      <c r="J3595" s="10">
        <v>46084</v>
      </c>
      <c r="K3595" s="7" t="s">
        <v>7163</v>
      </c>
      <c r="L3595" s="7"/>
      <c r="M3595" s="7"/>
    </row>
    <row r="3596" spans="1:13" x14ac:dyDescent="0.3">
      <c r="A3596" s="7">
        <v>13412</v>
      </c>
      <c r="B3596" s="7" t="s">
        <v>3604</v>
      </c>
      <c r="C3596" s="7" t="s">
        <v>6774</v>
      </c>
      <c r="D3596" s="7" t="s">
        <v>6775</v>
      </c>
      <c r="E3596" s="7" t="s">
        <v>6295</v>
      </c>
      <c r="F3596" s="7" t="s">
        <v>6353</v>
      </c>
      <c r="G3596" s="7" t="s">
        <v>7150</v>
      </c>
      <c r="H3596" s="7" t="s">
        <v>7156</v>
      </c>
      <c r="I3596" s="7"/>
      <c r="J3596" s="10">
        <v>44431</v>
      </c>
      <c r="K3596" s="7" t="s">
        <v>7163</v>
      </c>
      <c r="L3596" s="7"/>
      <c r="M3596" s="7"/>
    </row>
    <row r="3597" spans="1:13" x14ac:dyDescent="0.3">
      <c r="A3597" s="7">
        <v>18471</v>
      </c>
      <c r="B3597" s="7" t="s">
        <v>3605</v>
      </c>
      <c r="C3597" s="7" t="s">
        <v>6774</v>
      </c>
      <c r="D3597" s="7" t="s">
        <v>6775</v>
      </c>
      <c r="E3597" s="7" t="s">
        <v>6295</v>
      </c>
      <c r="F3597" s="7" t="s">
        <v>6353</v>
      </c>
      <c r="G3597" s="7" t="s">
        <v>7150</v>
      </c>
      <c r="H3597" s="7" t="s">
        <v>7156</v>
      </c>
      <c r="I3597" s="7" t="s">
        <v>7159</v>
      </c>
      <c r="J3597" s="10">
        <v>46129</v>
      </c>
      <c r="K3597" s="7" t="s">
        <v>7163</v>
      </c>
      <c r="L3597" s="7"/>
      <c r="M3597" s="7" t="s">
        <v>7243</v>
      </c>
    </row>
    <row r="3598" spans="1:13" x14ac:dyDescent="0.3">
      <c r="A3598" s="7">
        <v>13826</v>
      </c>
      <c r="B3598" s="7" t="s">
        <v>3606</v>
      </c>
      <c r="C3598" s="7" t="s">
        <v>6774</v>
      </c>
      <c r="D3598" s="7" t="s">
        <v>6775</v>
      </c>
      <c r="E3598" s="7" t="s">
        <v>6295</v>
      </c>
      <c r="F3598" s="7" t="s">
        <v>6340</v>
      </c>
      <c r="G3598" s="7" t="s">
        <v>7150</v>
      </c>
      <c r="H3598" s="7" t="s">
        <v>7156</v>
      </c>
      <c r="I3598" s="7"/>
      <c r="J3598" s="10">
        <v>44596</v>
      </c>
      <c r="K3598" s="7" t="s">
        <v>7163</v>
      </c>
      <c r="L3598" s="7"/>
      <c r="M3598" s="7"/>
    </row>
    <row r="3599" spans="1:13" x14ac:dyDescent="0.3">
      <c r="A3599" s="7">
        <v>12892</v>
      </c>
      <c r="B3599" s="7" t="s">
        <v>3607</v>
      </c>
      <c r="C3599" s="7" t="s">
        <v>6774</v>
      </c>
      <c r="D3599" s="7" t="s">
        <v>6776</v>
      </c>
      <c r="E3599" s="7" t="s">
        <v>6295</v>
      </c>
      <c r="F3599" s="7" t="s">
        <v>6338</v>
      </c>
      <c r="G3599" s="7" t="s">
        <v>7150</v>
      </c>
      <c r="H3599" s="7" t="s">
        <v>7156</v>
      </c>
      <c r="I3599" s="7"/>
      <c r="J3599" s="10">
        <v>44077</v>
      </c>
      <c r="K3599" s="7" t="s">
        <v>7163</v>
      </c>
      <c r="L3599" s="7"/>
      <c r="M3599" s="7"/>
    </row>
    <row r="3600" spans="1:13" x14ac:dyDescent="0.3">
      <c r="A3600" s="7">
        <v>12921</v>
      </c>
      <c r="B3600" s="7" t="s">
        <v>3608</v>
      </c>
      <c r="C3600" s="7" t="s">
        <v>6774</v>
      </c>
      <c r="D3600" s="7" t="s">
        <v>6776</v>
      </c>
      <c r="E3600" s="7" t="s">
        <v>6295</v>
      </c>
      <c r="F3600" s="7" t="s">
        <v>6353</v>
      </c>
      <c r="G3600" s="7" t="s">
        <v>7150</v>
      </c>
      <c r="H3600" s="7" t="s">
        <v>7156</v>
      </c>
      <c r="I3600" s="7"/>
      <c r="J3600" s="10">
        <v>44111</v>
      </c>
      <c r="K3600" s="7" t="s">
        <v>7163</v>
      </c>
      <c r="L3600" s="7"/>
      <c r="M3600" s="7"/>
    </row>
    <row r="3601" spans="1:13" x14ac:dyDescent="0.3">
      <c r="A3601" s="7">
        <v>10550</v>
      </c>
      <c r="B3601" s="7" t="s">
        <v>3609</v>
      </c>
      <c r="C3601" s="7" t="s">
        <v>6774</v>
      </c>
      <c r="D3601" s="7" t="s">
        <v>6776</v>
      </c>
      <c r="E3601" s="7" t="s">
        <v>6295</v>
      </c>
      <c r="F3601" s="7" t="s">
        <v>6353</v>
      </c>
      <c r="G3601" s="7" t="s">
        <v>7150</v>
      </c>
      <c r="H3601" s="7" t="s">
        <v>7156</v>
      </c>
      <c r="I3601" s="7"/>
      <c r="J3601" s="10">
        <v>41198</v>
      </c>
      <c r="K3601" s="7" t="s">
        <v>7163</v>
      </c>
      <c r="L3601" s="7"/>
      <c r="M3601" s="7"/>
    </row>
    <row r="3602" spans="1:13" x14ac:dyDescent="0.3">
      <c r="A3602" s="7">
        <v>18841</v>
      </c>
      <c r="B3602" s="7" t="s">
        <v>3610</v>
      </c>
      <c r="C3602" s="7" t="s">
        <v>6774</v>
      </c>
      <c r="D3602" s="7" t="s">
        <v>6776</v>
      </c>
      <c r="E3602" s="7" t="s">
        <v>6295</v>
      </c>
      <c r="F3602" s="7" t="s">
        <v>6353</v>
      </c>
      <c r="G3602" s="7" t="s">
        <v>7150</v>
      </c>
      <c r="H3602" s="7" t="s">
        <v>7156</v>
      </c>
      <c r="I3602" s="7"/>
      <c r="J3602" s="10">
        <v>46223</v>
      </c>
      <c r="K3602" s="7" t="s">
        <v>7163</v>
      </c>
      <c r="L3602" s="7"/>
      <c r="M3602" s="7"/>
    </row>
    <row r="3603" spans="1:13" x14ac:dyDescent="0.3">
      <c r="A3603" s="7">
        <v>10855</v>
      </c>
      <c r="B3603" s="7" t="s">
        <v>3611</v>
      </c>
      <c r="C3603" s="7" t="s">
        <v>6770</v>
      </c>
      <c r="D3603" s="7" t="s">
        <v>6778</v>
      </c>
      <c r="E3603" s="7" t="s">
        <v>6295</v>
      </c>
      <c r="F3603" s="7" t="s">
        <v>6338</v>
      </c>
      <c r="G3603" s="7" t="s">
        <v>7150</v>
      </c>
      <c r="H3603" s="7" t="s">
        <v>7156</v>
      </c>
      <c r="I3603" s="7"/>
      <c r="J3603" s="10">
        <v>42009</v>
      </c>
      <c r="K3603" s="7" t="s">
        <v>7163</v>
      </c>
      <c r="L3603" s="7"/>
      <c r="M3603" s="7"/>
    </row>
    <row r="3604" spans="1:13" x14ac:dyDescent="0.3">
      <c r="A3604" s="7">
        <v>17974</v>
      </c>
      <c r="B3604" s="7" t="s">
        <v>3612</v>
      </c>
      <c r="C3604" s="7" t="s">
        <v>6770</v>
      </c>
      <c r="D3604" s="7" t="s">
        <v>6778</v>
      </c>
      <c r="E3604" s="7" t="s">
        <v>6295</v>
      </c>
      <c r="F3604" s="7" t="s">
        <v>6341</v>
      </c>
      <c r="G3604" s="7" t="s">
        <v>7150</v>
      </c>
      <c r="H3604" s="7" t="s">
        <v>7156</v>
      </c>
      <c r="I3604" s="7"/>
      <c r="J3604" s="10">
        <v>45945</v>
      </c>
      <c r="K3604" s="7" t="s">
        <v>7163</v>
      </c>
      <c r="L3604" s="7"/>
      <c r="M3604" s="7"/>
    </row>
    <row r="3605" spans="1:13" x14ac:dyDescent="0.3">
      <c r="A3605" s="7">
        <v>17162</v>
      </c>
      <c r="B3605" s="7" t="s">
        <v>3613</v>
      </c>
      <c r="C3605" s="7" t="s">
        <v>6774</v>
      </c>
      <c r="D3605" s="7" t="s">
        <v>6775</v>
      </c>
      <c r="E3605" s="7" t="s">
        <v>6295</v>
      </c>
      <c r="F3605" s="7" t="s">
        <v>6341</v>
      </c>
      <c r="G3605" s="7" t="s">
        <v>7150</v>
      </c>
      <c r="H3605" s="7" t="s">
        <v>7156</v>
      </c>
      <c r="I3605" s="7"/>
      <c r="J3605" s="10">
        <v>45652</v>
      </c>
      <c r="K3605" s="7" t="s">
        <v>7163</v>
      </c>
      <c r="L3605" s="7"/>
      <c r="M3605" s="7"/>
    </row>
    <row r="3606" spans="1:13" x14ac:dyDescent="0.3">
      <c r="A3606" s="7">
        <v>15178</v>
      </c>
      <c r="B3606" s="7" t="s">
        <v>3614</v>
      </c>
      <c r="C3606" s="7" t="s">
        <v>6774</v>
      </c>
      <c r="D3606" s="7" t="s">
        <v>6776</v>
      </c>
      <c r="E3606" s="7" t="s">
        <v>6295</v>
      </c>
      <c r="F3606" s="7" t="s">
        <v>6341</v>
      </c>
      <c r="G3606" s="7" t="s">
        <v>7150</v>
      </c>
      <c r="H3606" s="7" t="s">
        <v>7156</v>
      </c>
      <c r="I3606" s="7"/>
      <c r="J3606" s="10">
        <v>44974</v>
      </c>
      <c r="K3606" s="7" t="s">
        <v>7163</v>
      </c>
      <c r="L3606" s="7"/>
      <c r="M3606" s="7"/>
    </row>
    <row r="3607" spans="1:13" x14ac:dyDescent="0.3">
      <c r="A3607" s="7">
        <v>18226</v>
      </c>
      <c r="B3607" s="7" t="s">
        <v>3615</v>
      </c>
      <c r="C3607" s="7" t="s">
        <v>6774</v>
      </c>
      <c r="D3607" s="7" t="s">
        <v>6776</v>
      </c>
      <c r="E3607" s="7" t="s">
        <v>6295</v>
      </c>
      <c r="F3607" s="7" t="s">
        <v>6341</v>
      </c>
      <c r="G3607" s="7" t="s">
        <v>7150</v>
      </c>
      <c r="H3607" s="7" t="s">
        <v>7156</v>
      </c>
      <c r="I3607" s="7"/>
      <c r="J3607" s="10">
        <v>46064</v>
      </c>
      <c r="K3607" s="7" t="s">
        <v>7163</v>
      </c>
      <c r="L3607" s="7"/>
      <c r="M3607" s="7"/>
    </row>
    <row r="3608" spans="1:13" x14ac:dyDescent="0.3">
      <c r="A3608" s="7">
        <v>12974</v>
      </c>
      <c r="B3608" s="7" t="s">
        <v>3616</v>
      </c>
      <c r="C3608" s="7" t="s">
        <v>6770</v>
      </c>
      <c r="D3608" s="7" t="s">
        <v>6778</v>
      </c>
      <c r="E3608" s="7" t="s">
        <v>6295</v>
      </c>
      <c r="F3608" s="7" t="s">
        <v>6353</v>
      </c>
      <c r="G3608" s="7" t="s">
        <v>7150</v>
      </c>
      <c r="H3608" s="7" t="s">
        <v>7156</v>
      </c>
      <c r="I3608" s="7"/>
      <c r="J3608" s="10">
        <v>44155</v>
      </c>
      <c r="K3608" s="7" t="s">
        <v>7163</v>
      </c>
      <c r="L3608" s="7"/>
      <c r="M3608" s="7"/>
    </row>
    <row r="3609" spans="1:13" x14ac:dyDescent="0.3">
      <c r="A3609" s="7">
        <v>17971</v>
      </c>
      <c r="B3609" s="7" t="s">
        <v>3617</v>
      </c>
      <c r="C3609" s="7" t="s">
        <v>6774</v>
      </c>
      <c r="D3609" s="7" t="s">
        <v>6779</v>
      </c>
      <c r="E3609" s="7" t="s">
        <v>6295</v>
      </c>
      <c r="F3609" s="7" t="s">
        <v>6335</v>
      </c>
      <c r="G3609" s="7" t="s">
        <v>7150</v>
      </c>
      <c r="H3609" s="7" t="s">
        <v>7156</v>
      </c>
      <c r="I3609" s="7"/>
      <c r="J3609" s="10">
        <v>45937</v>
      </c>
      <c r="K3609" s="7" t="s">
        <v>7163</v>
      </c>
      <c r="L3609" s="7"/>
      <c r="M3609" s="7"/>
    </row>
    <row r="3610" spans="1:13" x14ac:dyDescent="0.3">
      <c r="A3610" s="7">
        <v>18671</v>
      </c>
      <c r="B3610" s="7" t="s">
        <v>3618</v>
      </c>
      <c r="C3610" s="7" t="s">
        <v>6774</v>
      </c>
      <c r="D3610" s="7" t="s">
        <v>6779</v>
      </c>
      <c r="E3610" s="7" t="s">
        <v>6295</v>
      </c>
      <c r="F3610" s="7" t="s">
        <v>6338</v>
      </c>
      <c r="G3610" s="7" t="s">
        <v>7150</v>
      </c>
      <c r="H3610" s="7" t="s">
        <v>7156</v>
      </c>
      <c r="I3610" s="7"/>
      <c r="J3610" s="10">
        <v>46190</v>
      </c>
      <c r="K3610" s="7" t="s">
        <v>7163</v>
      </c>
      <c r="L3610" s="7"/>
      <c r="M3610" s="7"/>
    </row>
    <row r="3611" spans="1:13" x14ac:dyDescent="0.3">
      <c r="A3611" s="7">
        <v>16211</v>
      </c>
      <c r="B3611" s="7" t="s">
        <v>3619</v>
      </c>
      <c r="C3611" s="7" t="s">
        <v>6774</v>
      </c>
      <c r="D3611" s="7" t="s">
        <v>6779</v>
      </c>
      <c r="E3611" s="7" t="s">
        <v>6295</v>
      </c>
      <c r="F3611" s="7" t="s">
        <v>6348</v>
      </c>
      <c r="G3611" s="7" t="s">
        <v>7151</v>
      </c>
      <c r="H3611" s="7" t="s">
        <v>7156</v>
      </c>
      <c r="I3611" s="7"/>
      <c r="J3611" s="10">
        <v>45320</v>
      </c>
      <c r="K3611" s="7" t="s">
        <v>7163</v>
      </c>
      <c r="L3611" s="7"/>
      <c r="M3611" s="7"/>
    </row>
    <row r="3612" spans="1:13" x14ac:dyDescent="0.3">
      <c r="A3612" s="7">
        <v>17979</v>
      </c>
      <c r="B3612" s="7" t="s">
        <v>3620</v>
      </c>
      <c r="C3612" s="7" t="s">
        <v>6774</v>
      </c>
      <c r="D3612" s="7" t="s">
        <v>6779</v>
      </c>
      <c r="E3612" s="7" t="s">
        <v>6295</v>
      </c>
      <c r="F3612" s="7" t="s">
        <v>6389</v>
      </c>
      <c r="G3612" s="7" t="s">
        <v>7150</v>
      </c>
      <c r="H3612" s="7" t="s">
        <v>7157</v>
      </c>
      <c r="I3612" s="7"/>
      <c r="J3612" s="10">
        <v>45940</v>
      </c>
      <c r="K3612" s="7" t="s">
        <v>7163</v>
      </c>
      <c r="L3612" s="7"/>
      <c r="M3612" s="7"/>
    </row>
    <row r="3613" spans="1:13" x14ac:dyDescent="0.3">
      <c r="A3613" s="7">
        <v>18321</v>
      </c>
      <c r="B3613" s="7" t="s">
        <v>3621</v>
      </c>
      <c r="C3613" s="7" t="s">
        <v>6774</v>
      </c>
      <c r="D3613" s="7" t="s">
        <v>6780</v>
      </c>
      <c r="E3613" s="7" t="s">
        <v>6295</v>
      </c>
      <c r="F3613" s="7" t="s">
        <v>6338</v>
      </c>
      <c r="G3613" s="7" t="s">
        <v>7150</v>
      </c>
      <c r="H3613" s="7" t="s">
        <v>7156</v>
      </c>
      <c r="I3613" s="7"/>
      <c r="J3613" s="10">
        <v>46084</v>
      </c>
      <c r="K3613" s="7" t="s">
        <v>7163</v>
      </c>
      <c r="L3613" s="7"/>
      <c r="M3613" s="7"/>
    </row>
    <row r="3614" spans="1:13" x14ac:dyDescent="0.3">
      <c r="A3614" s="7">
        <v>18752</v>
      </c>
      <c r="B3614" s="7" t="s">
        <v>3622</v>
      </c>
      <c r="C3614" s="7" t="s">
        <v>6774</v>
      </c>
      <c r="D3614" s="7" t="s">
        <v>6780</v>
      </c>
      <c r="E3614" s="7" t="s">
        <v>6295</v>
      </c>
      <c r="F3614" s="7" t="s">
        <v>6341</v>
      </c>
      <c r="G3614" s="7" t="s">
        <v>7150</v>
      </c>
      <c r="H3614" s="7" t="s">
        <v>7156</v>
      </c>
      <c r="I3614" s="7"/>
      <c r="J3614" s="10">
        <v>46204</v>
      </c>
      <c r="K3614" s="7" t="s">
        <v>7163</v>
      </c>
      <c r="L3614" s="7"/>
      <c r="M3614" s="7"/>
    </row>
    <row r="3615" spans="1:13" x14ac:dyDescent="0.3">
      <c r="A3615" s="7">
        <v>18650</v>
      </c>
      <c r="B3615" s="7" t="s">
        <v>3623</v>
      </c>
      <c r="C3615" s="7" t="s">
        <v>6774</v>
      </c>
      <c r="D3615" s="7" t="s">
        <v>6780</v>
      </c>
      <c r="E3615" s="7" t="s">
        <v>6295</v>
      </c>
      <c r="F3615" s="7" t="s">
        <v>6348</v>
      </c>
      <c r="G3615" s="7" t="s">
        <v>7150</v>
      </c>
      <c r="H3615" s="7" t="s">
        <v>7156</v>
      </c>
      <c r="I3615" s="7"/>
      <c r="J3615" s="10">
        <v>46183</v>
      </c>
      <c r="K3615" s="7" t="s">
        <v>7163</v>
      </c>
      <c r="L3615" s="7"/>
      <c r="M3615" s="7"/>
    </row>
    <row r="3616" spans="1:13" x14ac:dyDescent="0.3">
      <c r="A3616" s="7">
        <v>18176</v>
      </c>
      <c r="B3616" s="7" t="s">
        <v>3624</v>
      </c>
      <c r="C3616" s="7" t="s">
        <v>6774</v>
      </c>
      <c r="D3616" s="7" t="s">
        <v>6780</v>
      </c>
      <c r="E3616" s="7" t="s">
        <v>6295</v>
      </c>
      <c r="F3616" s="7" t="s">
        <v>6348</v>
      </c>
      <c r="G3616" s="7" t="s">
        <v>7150</v>
      </c>
      <c r="H3616" s="7" t="s">
        <v>7156</v>
      </c>
      <c r="I3616" s="7"/>
      <c r="J3616" s="10">
        <v>46031</v>
      </c>
      <c r="K3616" s="7" t="s">
        <v>7163</v>
      </c>
      <c r="L3616" s="7"/>
      <c r="M3616" s="7"/>
    </row>
    <row r="3617" spans="1:13" x14ac:dyDescent="0.3">
      <c r="A3617" s="7">
        <v>10919</v>
      </c>
      <c r="B3617" s="7" t="s">
        <v>3625</v>
      </c>
      <c r="C3617" s="7" t="s">
        <v>6770</v>
      </c>
      <c r="D3617" s="7" t="s">
        <v>6295</v>
      </c>
      <c r="E3617" s="7" t="s">
        <v>6295</v>
      </c>
      <c r="F3617" s="7" t="s">
        <v>6336</v>
      </c>
      <c r="G3617" s="7" t="s">
        <v>7150</v>
      </c>
      <c r="H3617" s="7" t="s">
        <v>7156</v>
      </c>
      <c r="I3617" s="7"/>
      <c r="J3617" s="10">
        <v>42125</v>
      </c>
      <c r="K3617" s="7" t="s">
        <v>7164</v>
      </c>
      <c r="L3617" s="7"/>
      <c r="M3617" s="7"/>
    </row>
    <row r="3618" spans="1:13" x14ac:dyDescent="0.3">
      <c r="A3618" s="7">
        <v>18437</v>
      </c>
      <c r="B3618" s="7" t="s">
        <v>3626</v>
      </c>
      <c r="C3618" s="7" t="s">
        <v>6771</v>
      </c>
      <c r="D3618" s="7" t="s">
        <v>6781</v>
      </c>
      <c r="E3618" s="7" t="s">
        <v>6295</v>
      </c>
      <c r="F3618" s="7" t="s">
        <v>6333</v>
      </c>
      <c r="G3618" s="7" t="s">
        <v>7150</v>
      </c>
      <c r="H3618" s="7" t="s">
        <v>7156</v>
      </c>
      <c r="I3618" s="7"/>
      <c r="J3618" s="10">
        <v>46129</v>
      </c>
      <c r="K3618" s="7" t="s">
        <v>7164</v>
      </c>
      <c r="L3618" s="7"/>
      <c r="M3618" s="7"/>
    </row>
    <row r="3619" spans="1:13" x14ac:dyDescent="0.3">
      <c r="A3619" s="7">
        <v>15442</v>
      </c>
      <c r="B3619" s="7" t="s">
        <v>3627</v>
      </c>
      <c r="C3619" s="7" t="s">
        <v>6771</v>
      </c>
      <c r="D3619" s="7" t="s">
        <v>6782</v>
      </c>
      <c r="E3619" s="7" t="s">
        <v>6295</v>
      </c>
      <c r="F3619" s="7" t="s">
        <v>6333</v>
      </c>
      <c r="G3619" s="7" t="s">
        <v>7150</v>
      </c>
      <c r="H3619" s="7" t="s">
        <v>7156</v>
      </c>
      <c r="I3619" s="7"/>
      <c r="J3619" s="10">
        <v>45068</v>
      </c>
      <c r="K3619" s="7" t="s">
        <v>7164</v>
      </c>
      <c r="L3619" s="7"/>
      <c r="M3619" s="7"/>
    </row>
    <row r="3620" spans="1:13" x14ac:dyDescent="0.3">
      <c r="A3620" s="7">
        <v>15191</v>
      </c>
      <c r="B3620" s="7" t="s">
        <v>3628</v>
      </c>
      <c r="C3620" s="7" t="s">
        <v>6783</v>
      </c>
      <c r="D3620" s="7" t="s">
        <v>6295</v>
      </c>
      <c r="E3620" s="7" t="s">
        <v>6295</v>
      </c>
      <c r="F3620" s="7" t="s">
        <v>6328</v>
      </c>
      <c r="G3620" s="7" t="s">
        <v>7150</v>
      </c>
      <c r="H3620" s="7" t="s">
        <v>7156</v>
      </c>
      <c r="I3620" s="7"/>
      <c r="J3620" s="10">
        <v>44977</v>
      </c>
      <c r="K3620" s="7" t="s">
        <v>7164</v>
      </c>
      <c r="L3620" s="7"/>
      <c r="M3620" s="7"/>
    </row>
    <row r="3621" spans="1:13" x14ac:dyDescent="0.3">
      <c r="A3621" s="7">
        <v>18813</v>
      </c>
      <c r="B3621" s="7" t="s">
        <v>3629</v>
      </c>
      <c r="C3621" s="7" t="s">
        <v>6783</v>
      </c>
      <c r="D3621" s="7" t="s">
        <v>6295</v>
      </c>
      <c r="E3621" s="7" t="s">
        <v>6295</v>
      </c>
      <c r="F3621" s="7" t="s">
        <v>6637</v>
      </c>
      <c r="G3621" s="7" t="s">
        <v>7150</v>
      </c>
      <c r="H3621" s="7" t="s">
        <v>7156</v>
      </c>
      <c r="I3621" s="7" t="s">
        <v>7159</v>
      </c>
      <c r="J3621" s="10">
        <v>46213</v>
      </c>
      <c r="K3621" s="7" t="s">
        <v>7164</v>
      </c>
      <c r="L3621" s="7"/>
      <c r="M3621" s="7"/>
    </row>
    <row r="3622" spans="1:13" x14ac:dyDescent="0.3">
      <c r="A3622" s="7">
        <v>11657</v>
      </c>
      <c r="B3622" s="7" t="s">
        <v>3630</v>
      </c>
      <c r="C3622" s="7" t="s">
        <v>6783</v>
      </c>
      <c r="D3622" s="7" t="s">
        <v>6784</v>
      </c>
      <c r="E3622" s="7" t="s">
        <v>6295</v>
      </c>
      <c r="F3622" s="7" t="s">
        <v>6414</v>
      </c>
      <c r="G3622" s="7" t="s">
        <v>7150</v>
      </c>
      <c r="H3622" s="7" t="s">
        <v>7156</v>
      </c>
      <c r="I3622" s="7"/>
      <c r="J3622" s="10">
        <v>42992</v>
      </c>
      <c r="K3622" s="7" t="s">
        <v>7164</v>
      </c>
      <c r="L3622" s="7"/>
      <c r="M3622" s="7"/>
    </row>
    <row r="3623" spans="1:13" x14ac:dyDescent="0.3">
      <c r="A3623" s="7">
        <v>18149</v>
      </c>
      <c r="B3623" s="7" t="s">
        <v>3631</v>
      </c>
      <c r="C3623" s="7" t="s">
        <v>6783</v>
      </c>
      <c r="D3623" s="7" t="s">
        <v>6295</v>
      </c>
      <c r="E3623" s="7" t="s">
        <v>6295</v>
      </c>
      <c r="F3623" s="7" t="s">
        <v>6637</v>
      </c>
      <c r="G3623" s="7" t="s">
        <v>7150</v>
      </c>
      <c r="H3623" s="7" t="s">
        <v>7156</v>
      </c>
      <c r="I3623" s="7"/>
      <c r="J3623" s="10">
        <v>46014</v>
      </c>
      <c r="K3623" s="7" t="s">
        <v>7164</v>
      </c>
      <c r="L3623" s="7"/>
      <c r="M3623" s="7"/>
    </row>
    <row r="3624" spans="1:13" x14ac:dyDescent="0.3">
      <c r="A3624" s="7">
        <v>17399</v>
      </c>
      <c r="B3624" s="7" t="s">
        <v>3632</v>
      </c>
      <c r="C3624" s="7" t="s">
        <v>6783</v>
      </c>
      <c r="D3624" s="7" t="s">
        <v>6784</v>
      </c>
      <c r="E3624" s="7" t="s">
        <v>6295</v>
      </c>
      <c r="F3624" s="7" t="s">
        <v>6785</v>
      </c>
      <c r="G3624" s="7" t="s">
        <v>7150</v>
      </c>
      <c r="H3624" s="7" t="s">
        <v>7156</v>
      </c>
      <c r="I3624" s="7"/>
      <c r="J3624" s="10">
        <v>45749</v>
      </c>
      <c r="K3624" s="7" t="s">
        <v>7164</v>
      </c>
      <c r="L3624" s="7"/>
      <c r="M3624" s="7"/>
    </row>
    <row r="3625" spans="1:13" x14ac:dyDescent="0.3">
      <c r="A3625" s="7">
        <v>13312</v>
      </c>
      <c r="B3625" s="7" t="s">
        <v>3633</v>
      </c>
      <c r="C3625" s="7" t="s">
        <v>6783</v>
      </c>
      <c r="D3625" s="7" t="s">
        <v>6784</v>
      </c>
      <c r="E3625" s="7" t="s">
        <v>6295</v>
      </c>
      <c r="F3625" s="7" t="s">
        <v>6785</v>
      </c>
      <c r="G3625" s="7" t="s">
        <v>7150</v>
      </c>
      <c r="H3625" s="7" t="s">
        <v>7156</v>
      </c>
      <c r="I3625" s="7"/>
      <c r="J3625" s="10">
        <v>44379</v>
      </c>
      <c r="K3625" s="7" t="s">
        <v>7164</v>
      </c>
      <c r="L3625" s="7"/>
      <c r="M3625" s="7"/>
    </row>
    <row r="3626" spans="1:13" x14ac:dyDescent="0.3">
      <c r="A3626" s="7">
        <v>18812</v>
      </c>
      <c r="B3626" s="7" t="s">
        <v>3634</v>
      </c>
      <c r="C3626" s="7" t="s">
        <v>6783</v>
      </c>
      <c r="D3626" s="7" t="s">
        <v>6786</v>
      </c>
      <c r="E3626" s="7" t="s">
        <v>6295</v>
      </c>
      <c r="F3626" s="7" t="s">
        <v>6785</v>
      </c>
      <c r="G3626" s="7" t="s">
        <v>7150</v>
      </c>
      <c r="H3626" s="7" t="s">
        <v>7156</v>
      </c>
      <c r="I3626" s="7" t="s">
        <v>7159</v>
      </c>
      <c r="J3626" s="10">
        <v>46213</v>
      </c>
      <c r="K3626" s="7" t="s">
        <v>7164</v>
      </c>
      <c r="L3626" s="7"/>
      <c r="M3626" s="7"/>
    </row>
    <row r="3627" spans="1:13" x14ac:dyDescent="0.3">
      <c r="A3627" s="7">
        <v>18833</v>
      </c>
      <c r="B3627" s="7" t="s">
        <v>3635</v>
      </c>
      <c r="C3627" s="7" t="s">
        <v>6783</v>
      </c>
      <c r="D3627" s="7" t="s">
        <v>6787</v>
      </c>
      <c r="E3627" s="7" t="s">
        <v>6295</v>
      </c>
      <c r="F3627" s="7" t="s">
        <v>6785</v>
      </c>
      <c r="G3627" s="7" t="s">
        <v>7150</v>
      </c>
      <c r="H3627" s="7" t="s">
        <v>7156</v>
      </c>
      <c r="I3627" s="7" t="s">
        <v>7159</v>
      </c>
      <c r="J3627" s="10">
        <v>46217</v>
      </c>
      <c r="K3627" s="7" t="s">
        <v>7164</v>
      </c>
      <c r="L3627" s="7"/>
      <c r="M3627" s="7"/>
    </row>
    <row r="3628" spans="1:13" x14ac:dyDescent="0.3">
      <c r="A3628" s="7">
        <v>18861</v>
      </c>
      <c r="B3628" s="7" t="s">
        <v>3636</v>
      </c>
      <c r="C3628" s="7" t="s">
        <v>6783</v>
      </c>
      <c r="D3628" s="7" t="s">
        <v>6787</v>
      </c>
      <c r="E3628" s="7" t="s">
        <v>6295</v>
      </c>
      <c r="F3628" s="7" t="s">
        <v>6785</v>
      </c>
      <c r="G3628" s="7" t="s">
        <v>7150</v>
      </c>
      <c r="H3628" s="7" t="s">
        <v>7156</v>
      </c>
      <c r="I3628" s="7" t="s">
        <v>7159</v>
      </c>
      <c r="J3628" s="10">
        <v>46220</v>
      </c>
      <c r="K3628" s="7" t="s">
        <v>7164</v>
      </c>
      <c r="L3628" s="7"/>
      <c r="M3628" s="7"/>
    </row>
    <row r="3629" spans="1:13" x14ac:dyDescent="0.3">
      <c r="A3629" s="7">
        <v>18872</v>
      </c>
      <c r="B3629" s="7" t="s">
        <v>3637</v>
      </c>
      <c r="C3629" s="7" t="s">
        <v>6783</v>
      </c>
      <c r="D3629" s="7" t="s">
        <v>6787</v>
      </c>
      <c r="E3629" s="7" t="s">
        <v>6295</v>
      </c>
      <c r="F3629" s="7" t="s">
        <v>6785</v>
      </c>
      <c r="G3629" s="7" t="s">
        <v>7150</v>
      </c>
      <c r="H3629" s="7" t="s">
        <v>7156</v>
      </c>
      <c r="I3629" s="7" t="s">
        <v>7158</v>
      </c>
      <c r="J3629" s="10">
        <v>46223</v>
      </c>
      <c r="K3629" s="7" t="s">
        <v>7164</v>
      </c>
      <c r="L3629" s="7"/>
      <c r="M3629" s="7"/>
    </row>
    <row r="3630" spans="1:13" x14ac:dyDescent="0.3">
      <c r="A3630" s="7">
        <v>14266</v>
      </c>
      <c r="B3630" s="7" t="s">
        <v>3638</v>
      </c>
      <c r="C3630" s="7" t="s">
        <v>6783</v>
      </c>
      <c r="D3630" s="7" t="s">
        <v>6784</v>
      </c>
      <c r="E3630" s="7" t="s">
        <v>6295</v>
      </c>
      <c r="F3630" s="7" t="s">
        <v>6785</v>
      </c>
      <c r="G3630" s="7" t="s">
        <v>7150</v>
      </c>
      <c r="H3630" s="7" t="s">
        <v>7156</v>
      </c>
      <c r="I3630" s="7"/>
      <c r="J3630" s="10">
        <v>44707</v>
      </c>
      <c r="K3630" s="7" t="s">
        <v>7164</v>
      </c>
      <c r="L3630" s="7"/>
      <c r="M3630" s="7"/>
    </row>
    <row r="3631" spans="1:13" x14ac:dyDescent="0.3">
      <c r="A3631" s="7">
        <v>18229</v>
      </c>
      <c r="B3631" s="7" t="s">
        <v>3639</v>
      </c>
      <c r="C3631" s="7" t="s">
        <v>6783</v>
      </c>
      <c r="D3631" s="7" t="s">
        <v>6784</v>
      </c>
      <c r="E3631" s="7" t="s">
        <v>6295</v>
      </c>
      <c r="F3631" s="7" t="s">
        <v>6785</v>
      </c>
      <c r="G3631" s="7" t="s">
        <v>7150</v>
      </c>
      <c r="H3631" s="7" t="s">
        <v>7156</v>
      </c>
      <c r="I3631" s="7"/>
      <c r="J3631" s="10">
        <v>46064</v>
      </c>
      <c r="K3631" s="7" t="s">
        <v>7164</v>
      </c>
      <c r="L3631" s="7"/>
      <c r="M3631" s="7"/>
    </row>
    <row r="3632" spans="1:13" x14ac:dyDescent="0.3">
      <c r="A3632" s="7">
        <v>12946</v>
      </c>
      <c r="B3632" s="7" t="s">
        <v>3640</v>
      </c>
      <c r="C3632" s="7" t="s">
        <v>6783</v>
      </c>
      <c r="D3632" s="7" t="s">
        <v>6784</v>
      </c>
      <c r="E3632" s="7" t="s">
        <v>6295</v>
      </c>
      <c r="F3632" s="7" t="s">
        <v>6785</v>
      </c>
      <c r="G3632" s="7" t="s">
        <v>7150</v>
      </c>
      <c r="H3632" s="7" t="s">
        <v>7156</v>
      </c>
      <c r="I3632" s="7"/>
      <c r="J3632" s="10">
        <v>44137</v>
      </c>
      <c r="K3632" s="7" t="s">
        <v>7164</v>
      </c>
      <c r="L3632" s="7"/>
      <c r="M3632" s="7"/>
    </row>
    <row r="3633" spans="1:13" x14ac:dyDescent="0.3">
      <c r="A3633" s="7">
        <v>12348</v>
      </c>
      <c r="B3633" s="7" t="s">
        <v>3641</v>
      </c>
      <c r="C3633" s="7" t="s">
        <v>6783</v>
      </c>
      <c r="D3633" s="7" t="s">
        <v>6788</v>
      </c>
      <c r="E3633" s="7" t="s">
        <v>6295</v>
      </c>
      <c r="F3633" s="7" t="s">
        <v>6414</v>
      </c>
      <c r="G3633" s="7" t="s">
        <v>7150</v>
      </c>
      <c r="H3633" s="7" t="s">
        <v>7156</v>
      </c>
      <c r="I3633" s="7"/>
      <c r="J3633" s="10">
        <v>43710</v>
      </c>
      <c r="K3633" s="7" t="s">
        <v>7164</v>
      </c>
      <c r="L3633" s="7"/>
      <c r="M3633" s="7"/>
    </row>
    <row r="3634" spans="1:13" x14ac:dyDescent="0.3">
      <c r="A3634" s="7">
        <v>300070</v>
      </c>
      <c r="B3634" s="7" t="s">
        <v>3642</v>
      </c>
      <c r="C3634" s="7" t="s">
        <v>6789</v>
      </c>
      <c r="D3634" s="7" t="s">
        <v>6790</v>
      </c>
      <c r="E3634" s="7" t="s">
        <v>6295</v>
      </c>
      <c r="F3634" s="7" t="s">
        <v>6333</v>
      </c>
      <c r="G3634" s="7" t="s">
        <v>7150</v>
      </c>
      <c r="H3634" s="7" t="s">
        <v>7156</v>
      </c>
      <c r="I3634" s="7"/>
      <c r="J3634" s="10">
        <v>42811</v>
      </c>
      <c r="K3634" s="7" t="s">
        <v>7164</v>
      </c>
      <c r="L3634" s="7"/>
      <c r="M3634" s="7"/>
    </row>
    <row r="3635" spans="1:13" x14ac:dyDescent="0.3">
      <c r="A3635" s="7">
        <v>13157</v>
      </c>
      <c r="B3635" s="7" t="s">
        <v>3643</v>
      </c>
      <c r="C3635" s="7" t="s">
        <v>6783</v>
      </c>
      <c r="D3635" s="7" t="s">
        <v>6788</v>
      </c>
      <c r="E3635" s="7" t="s">
        <v>6295</v>
      </c>
      <c r="F3635" s="7" t="s">
        <v>6785</v>
      </c>
      <c r="G3635" s="7" t="s">
        <v>7150</v>
      </c>
      <c r="H3635" s="7" t="s">
        <v>7156</v>
      </c>
      <c r="I3635" s="7"/>
      <c r="J3635" s="10">
        <v>44292</v>
      </c>
      <c r="K3635" s="7" t="s">
        <v>7164</v>
      </c>
      <c r="L3635" s="7"/>
      <c r="M3635" s="7"/>
    </row>
    <row r="3636" spans="1:13" x14ac:dyDescent="0.3">
      <c r="A3636" s="7">
        <v>19083</v>
      </c>
      <c r="B3636" s="7" t="s">
        <v>3644</v>
      </c>
      <c r="C3636" s="7" t="s">
        <v>6783</v>
      </c>
      <c r="D3636" s="7" t="s">
        <v>6295</v>
      </c>
      <c r="E3636" s="7" t="s">
        <v>6295</v>
      </c>
      <c r="F3636" s="7" t="s">
        <v>6785</v>
      </c>
      <c r="G3636" s="7" t="s">
        <v>7150</v>
      </c>
      <c r="H3636" s="7" t="s">
        <v>7156</v>
      </c>
      <c r="I3636" s="7" t="s">
        <v>7159</v>
      </c>
      <c r="J3636" s="10">
        <v>46261</v>
      </c>
      <c r="K3636" s="7" t="s">
        <v>7164</v>
      </c>
      <c r="L3636" s="7"/>
      <c r="M3636" s="7"/>
    </row>
    <row r="3637" spans="1:13" x14ac:dyDescent="0.3">
      <c r="A3637" s="7">
        <v>19127</v>
      </c>
      <c r="B3637" s="7" t="s">
        <v>3645</v>
      </c>
      <c r="C3637" s="7" t="s">
        <v>6783</v>
      </c>
      <c r="D3637" s="7" t="s">
        <v>6295</v>
      </c>
      <c r="E3637" s="7" t="s">
        <v>6295</v>
      </c>
      <c r="F3637" s="7" t="s">
        <v>6785</v>
      </c>
      <c r="G3637" s="7" t="s">
        <v>7150</v>
      </c>
      <c r="H3637" s="7" t="s">
        <v>7156</v>
      </c>
      <c r="I3637" s="7" t="s">
        <v>7161</v>
      </c>
      <c r="J3637" s="10">
        <v>46268</v>
      </c>
      <c r="K3637" s="7" t="s">
        <v>7164</v>
      </c>
      <c r="L3637" s="7"/>
      <c r="M3637" s="7"/>
    </row>
    <row r="3638" spans="1:13" x14ac:dyDescent="0.3">
      <c r="A3638" s="7">
        <v>19128</v>
      </c>
      <c r="B3638" s="7" t="s">
        <v>3646</v>
      </c>
      <c r="C3638" s="7" t="s">
        <v>6783</v>
      </c>
      <c r="D3638" s="7" t="s">
        <v>6295</v>
      </c>
      <c r="E3638" s="7" t="s">
        <v>6295</v>
      </c>
      <c r="F3638" s="7" t="s">
        <v>6785</v>
      </c>
      <c r="G3638" s="7" t="s">
        <v>7150</v>
      </c>
      <c r="H3638" s="7" t="s">
        <v>7156</v>
      </c>
      <c r="I3638" s="7" t="s">
        <v>7161</v>
      </c>
      <c r="J3638" s="10">
        <v>46268</v>
      </c>
      <c r="K3638" s="7" t="s">
        <v>7164</v>
      </c>
      <c r="L3638" s="7"/>
      <c r="M3638" s="7"/>
    </row>
    <row r="3639" spans="1:13" x14ac:dyDescent="0.3">
      <c r="A3639" s="7">
        <v>19204</v>
      </c>
      <c r="B3639" s="7" t="s">
        <v>3647</v>
      </c>
      <c r="C3639" s="7" t="s">
        <v>6783</v>
      </c>
      <c r="D3639" s="7" t="s">
        <v>6295</v>
      </c>
      <c r="E3639" s="7" t="s">
        <v>6295</v>
      </c>
      <c r="F3639" s="7" t="s">
        <v>6785</v>
      </c>
      <c r="G3639" s="7" t="s">
        <v>7150</v>
      </c>
      <c r="H3639" s="7" t="s">
        <v>7156</v>
      </c>
      <c r="I3639" s="7" t="s">
        <v>7161</v>
      </c>
      <c r="J3639" s="10">
        <v>46276</v>
      </c>
      <c r="K3639" s="7" t="s">
        <v>7164</v>
      </c>
      <c r="L3639" s="7"/>
      <c r="M3639" s="7"/>
    </row>
    <row r="3640" spans="1:13" x14ac:dyDescent="0.3">
      <c r="A3640" s="7">
        <v>16689</v>
      </c>
      <c r="B3640" s="7" t="s">
        <v>3648</v>
      </c>
      <c r="C3640" s="7" t="s">
        <v>6783</v>
      </c>
      <c r="D3640" s="7" t="s">
        <v>6788</v>
      </c>
      <c r="E3640" s="7" t="s">
        <v>6295</v>
      </c>
      <c r="F3640" s="7" t="s">
        <v>6785</v>
      </c>
      <c r="G3640" s="7" t="s">
        <v>7150</v>
      </c>
      <c r="H3640" s="7" t="s">
        <v>7156</v>
      </c>
      <c r="I3640" s="7"/>
      <c r="J3640" s="10">
        <v>45525</v>
      </c>
      <c r="K3640" s="7" t="s">
        <v>7164</v>
      </c>
      <c r="L3640" s="7"/>
      <c r="M3640" s="7"/>
    </row>
    <row r="3641" spans="1:13" x14ac:dyDescent="0.3">
      <c r="A3641" s="7">
        <v>14357</v>
      </c>
      <c r="B3641" s="7" t="s">
        <v>3649</v>
      </c>
      <c r="C3641" s="7" t="s">
        <v>6783</v>
      </c>
      <c r="D3641" s="7" t="s">
        <v>6788</v>
      </c>
      <c r="E3641" s="7" t="s">
        <v>6295</v>
      </c>
      <c r="F3641" s="7" t="s">
        <v>6785</v>
      </c>
      <c r="G3641" s="7" t="s">
        <v>7150</v>
      </c>
      <c r="H3641" s="7" t="s">
        <v>7156</v>
      </c>
      <c r="I3641" s="7"/>
      <c r="J3641" s="10">
        <v>44743</v>
      </c>
      <c r="K3641" s="7" t="s">
        <v>7164</v>
      </c>
      <c r="L3641" s="7"/>
      <c r="M3641" s="7"/>
    </row>
    <row r="3642" spans="1:13" x14ac:dyDescent="0.3">
      <c r="A3642" s="7">
        <v>11197</v>
      </c>
      <c r="B3642" s="7" t="s">
        <v>3650</v>
      </c>
      <c r="C3642" s="7" t="s">
        <v>6783</v>
      </c>
      <c r="D3642" s="7" t="s">
        <v>6788</v>
      </c>
      <c r="E3642" s="7" t="s">
        <v>6295</v>
      </c>
      <c r="F3642" s="7" t="s">
        <v>6785</v>
      </c>
      <c r="G3642" s="7" t="s">
        <v>7150</v>
      </c>
      <c r="H3642" s="7" t="s">
        <v>7156</v>
      </c>
      <c r="I3642" s="7"/>
      <c r="J3642" s="10">
        <v>42412</v>
      </c>
      <c r="K3642" s="7" t="s">
        <v>7164</v>
      </c>
      <c r="L3642" s="7"/>
      <c r="M3642" s="7"/>
    </row>
    <row r="3643" spans="1:13" x14ac:dyDescent="0.3">
      <c r="A3643" s="7">
        <v>13273</v>
      </c>
      <c r="B3643" s="7" t="s">
        <v>3651</v>
      </c>
      <c r="C3643" s="7" t="s">
        <v>6783</v>
      </c>
      <c r="D3643" s="7" t="s">
        <v>6791</v>
      </c>
      <c r="E3643" s="7" t="s">
        <v>6295</v>
      </c>
      <c r="F3643" s="7" t="s">
        <v>6414</v>
      </c>
      <c r="G3643" s="7" t="s">
        <v>7150</v>
      </c>
      <c r="H3643" s="7" t="s">
        <v>7156</v>
      </c>
      <c r="I3643" s="7"/>
      <c r="J3643" s="10">
        <v>44357</v>
      </c>
      <c r="K3643" s="7" t="s">
        <v>7164</v>
      </c>
      <c r="L3643" s="7"/>
      <c r="M3643" s="7"/>
    </row>
    <row r="3644" spans="1:13" x14ac:dyDescent="0.3">
      <c r="A3644" s="7">
        <v>17255</v>
      </c>
      <c r="B3644" s="7" t="s">
        <v>3652</v>
      </c>
      <c r="C3644" s="7" t="s">
        <v>6783</v>
      </c>
      <c r="D3644" s="7" t="s">
        <v>6791</v>
      </c>
      <c r="E3644" s="7" t="s">
        <v>6295</v>
      </c>
      <c r="F3644" s="7" t="s">
        <v>6785</v>
      </c>
      <c r="G3644" s="7" t="s">
        <v>7150</v>
      </c>
      <c r="H3644" s="7" t="s">
        <v>7156</v>
      </c>
      <c r="I3644" s="7"/>
      <c r="J3644" s="10">
        <v>45692</v>
      </c>
      <c r="K3644" s="7" t="s">
        <v>7164</v>
      </c>
      <c r="L3644" s="7"/>
      <c r="M3644" s="7"/>
    </row>
    <row r="3645" spans="1:13" x14ac:dyDescent="0.3">
      <c r="A3645" s="7">
        <v>18085</v>
      </c>
      <c r="B3645" s="7" t="s">
        <v>3653</v>
      </c>
      <c r="C3645" s="7" t="s">
        <v>6783</v>
      </c>
      <c r="D3645" s="7" t="s">
        <v>6791</v>
      </c>
      <c r="E3645" s="7" t="s">
        <v>6295</v>
      </c>
      <c r="F3645" s="7" t="s">
        <v>6785</v>
      </c>
      <c r="G3645" s="7" t="s">
        <v>7150</v>
      </c>
      <c r="H3645" s="7" t="s">
        <v>7156</v>
      </c>
      <c r="I3645" s="7"/>
      <c r="J3645" s="10">
        <v>45987</v>
      </c>
      <c r="K3645" s="7" t="s">
        <v>7164</v>
      </c>
      <c r="L3645" s="7"/>
      <c r="M3645" s="7"/>
    </row>
    <row r="3646" spans="1:13" x14ac:dyDescent="0.3">
      <c r="A3646" s="7">
        <v>17257</v>
      </c>
      <c r="B3646" s="7" t="s">
        <v>3654</v>
      </c>
      <c r="C3646" s="7" t="s">
        <v>6783</v>
      </c>
      <c r="D3646" s="7" t="s">
        <v>6791</v>
      </c>
      <c r="E3646" s="7" t="s">
        <v>6295</v>
      </c>
      <c r="F3646" s="7" t="s">
        <v>6785</v>
      </c>
      <c r="G3646" s="7" t="s">
        <v>7150</v>
      </c>
      <c r="H3646" s="7" t="s">
        <v>7156</v>
      </c>
      <c r="I3646" s="7"/>
      <c r="J3646" s="10">
        <v>45685</v>
      </c>
      <c r="K3646" s="7" t="s">
        <v>7164</v>
      </c>
      <c r="L3646" s="7"/>
      <c r="M3646" s="7"/>
    </row>
    <row r="3647" spans="1:13" x14ac:dyDescent="0.3">
      <c r="A3647" s="7">
        <v>18389</v>
      </c>
      <c r="B3647" s="7" t="s">
        <v>3655</v>
      </c>
      <c r="C3647" s="7" t="s">
        <v>6783</v>
      </c>
      <c r="D3647" s="7" t="s">
        <v>6791</v>
      </c>
      <c r="E3647" s="7" t="s">
        <v>6295</v>
      </c>
      <c r="F3647" s="7" t="s">
        <v>6785</v>
      </c>
      <c r="G3647" s="7" t="s">
        <v>7150</v>
      </c>
      <c r="H3647" s="7" t="s">
        <v>7156</v>
      </c>
      <c r="I3647" s="7"/>
      <c r="J3647" s="10">
        <v>46119</v>
      </c>
      <c r="K3647" s="7" t="s">
        <v>7164</v>
      </c>
      <c r="L3647" s="7"/>
      <c r="M3647" s="7"/>
    </row>
    <row r="3648" spans="1:13" x14ac:dyDescent="0.3">
      <c r="A3648" s="7">
        <v>860022</v>
      </c>
      <c r="B3648" s="7" t="s">
        <v>3656</v>
      </c>
      <c r="C3648" s="7" t="s">
        <v>6783</v>
      </c>
      <c r="D3648" s="7" t="s">
        <v>6791</v>
      </c>
      <c r="E3648" s="7" t="s">
        <v>6295</v>
      </c>
      <c r="F3648" s="7" t="s">
        <v>6785</v>
      </c>
      <c r="G3648" s="7" t="s">
        <v>7150</v>
      </c>
      <c r="H3648" s="7" t="s">
        <v>7156</v>
      </c>
      <c r="I3648" s="7"/>
      <c r="J3648" s="10">
        <v>43399</v>
      </c>
      <c r="K3648" s="7" t="s">
        <v>7164</v>
      </c>
      <c r="L3648" s="7"/>
      <c r="M3648" s="7"/>
    </row>
    <row r="3649" spans="1:13" x14ac:dyDescent="0.3">
      <c r="A3649" s="7">
        <v>17476</v>
      </c>
      <c r="B3649" s="7" t="s">
        <v>3657</v>
      </c>
      <c r="C3649" s="7" t="s">
        <v>6783</v>
      </c>
      <c r="D3649" s="7" t="s">
        <v>6792</v>
      </c>
      <c r="E3649" s="7" t="s">
        <v>6295</v>
      </c>
      <c r="F3649" s="7" t="s">
        <v>6414</v>
      </c>
      <c r="G3649" s="7" t="s">
        <v>7150</v>
      </c>
      <c r="H3649" s="7" t="s">
        <v>7156</v>
      </c>
      <c r="I3649" s="7"/>
      <c r="J3649" s="10">
        <v>45768</v>
      </c>
      <c r="K3649" s="7" t="s">
        <v>7164</v>
      </c>
      <c r="L3649" s="7"/>
      <c r="M3649" s="7"/>
    </row>
    <row r="3650" spans="1:13" x14ac:dyDescent="0.3">
      <c r="A3650" s="7">
        <v>17462</v>
      </c>
      <c r="B3650" s="7" t="s">
        <v>3658</v>
      </c>
      <c r="C3650" s="7" t="s">
        <v>6783</v>
      </c>
      <c r="D3650" s="7" t="s">
        <v>6793</v>
      </c>
      <c r="E3650" s="7" t="s">
        <v>6295</v>
      </c>
      <c r="F3650" s="7" t="s">
        <v>6414</v>
      </c>
      <c r="G3650" s="7" t="s">
        <v>7150</v>
      </c>
      <c r="H3650" s="7" t="s">
        <v>7156</v>
      </c>
      <c r="I3650" s="7"/>
      <c r="J3650" s="10">
        <v>45757</v>
      </c>
      <c r="K3650" s="7" t="s">
        <v>7164</v>
      </c>
      <c r="L3650" s="7"/>
      <c r="M3650" s="7"/>
    </row>
    <row r="3651" spans="1:13" x14ac:dyDescent="0.3">
      <c r="A3651" s="7">
        <v>17706</v>
      </c>
      <c r="B3651" s="7" t="s">
        <v>3659</v>
      </c>
      <c r="C3651" s="7" t="s">
        <v>6783</v>
      </c>
      <c r="D3651" s="7" t="s">
        <v>6792</v>
      </c>
      <c r="E3651" s="7" t="s">
        <v>6295</v>
      </c>
      <c r="F3651" s="7" t="s">
        <v>6785</v>
      </c>
      <c r="G3651" s="7" t="s">
        <v>7150</v>
      </c>
      <c r="H3651" s="7" t="s">
        <v>7156</v>
      </c>
      <c r="I3651" s="7"/>
      <c r="J3651" s="10">
        <v>45876</v>
      </c>
      <c r="K3651" s="7" t="s">
        <v>7164</v>
      </c>
      <c r="L3651" s="7"/>
      <c r="M3651" s="7"/>
    </row>
    <row r="3652" spans="1:13" x14ac:dyDescent="0.3">
      <c r="A3652" s="7">
        <v>13266</v>
      </c>
      <c r="B3652" s="7" t="s">
        <v>3660</v>
      </c>
      <c r="C3652" s="7" t="s">
        <v>6783</v>
      </c>
      <c r="D3652" s="7" t="s">
        <v>6792</v>
      </c>
      <c r="E3652" s="7" t="s">
        <v>6295</v>
      </c>
      <c r="F3652" s="7" t="s">
        <v>6785</v>
      </c>
      <c r="G3652" s="7" t="s">
        <v>7150</v>
      </c>
      <c r="H3652" s="7" t="s">
        <v>7156</v>
      </c>
      <c r="I3652" s="7"/>
      <c r="J3652" s="10">
        <v>44355</v>
      </c>
      <c r="K3652" s="7" t="s">
        <v>7164</v>
      </c>
      <c r="L3652" s="7"/>
      <c r="M3652" s="7"/>
    </row>
    <row r="3653" spans="1:13" x14ac:dyDescent="0.3">
      <c r="A3653" s="7">
        <v>16779</v>
      </c>
      <c r="B3653" s="7" t="s">
        <v>3661</v>
      </c>
      <c r="C3653" s="7" t="s">
        <v>6783</v>
      </c>
      <c r="D3653" s="7" t="s">
        <v>6792</v>
      </c>
      <c r="E3653" s="7" t="s">
        <v>6295</v>
      </c>
      <c r="F3653" s="7" t="s">
        <v>6785</v>
      </c>
      <c r="G3653" s="7" t="s">
        <v>7150</v>
      </c>
      <c r="H3653" s="7" t="s">
        <v>7156</v>
      </c>
      <c r="I3653" s="7"/>
      <c r="J3653" s="10">
        <v>45547</v>
      </c>
      <c r="K3653" s="7" t="s">
        <v>7164</v>
      </c>
      <c r="L3653" s="7"/>
      <c r="M3653" s="7"/>
    </row>
    <row r="3654" spans="1:13" x14ac:dyDescent="0.3">
      <c r="A3654" s="7">
        <v>17050</v>
      </c>
      <c r="B3654" s="7" t="s">
        <v>3662</v>
      </c>
      <c r="C3654" s="7" t="s">
        <v>6783</v>
      </c>
      <c r="D3654" s="7" t="s">
        <v>6793</v>
      </c>
      <c r="E3654" s="7" t="s">
        <v>6295</v>
      </c>
      <c r="F3654" s="7" t="s">
        <v>6785</v>
      </c>
      <c r="G3654" s="7" t="s">
        <v>7150</v>
      </c>
      <c r="H3654" s="7" t="s">
        <v>7156</v>
      </c>
      <c r="I3654" s="7"/>
      <c r="J3654" s="10">
        <v>45601</v>
      </c>
      <c r="K3654" s="7" t="s">
        <v>7164</v>
      </c>
      <c r="L3654" s="7"/>
      <c r="M3654" s="7"/>
    </row>
    <row r="3655" spans="1:13" x14ac:dyDescent="0.3">
      <c r="A3655" s="7">
        <v>19161</v>
      </c>
      <c r="B3655" s="7" t="s">
        <v>3663</v>
      </c>
      <c r="C3655" s="7" t="s">
        <v>6783</v>
      </c>
      <c r="D3655" s="7" t="s">
        <v>6793</v>
      </c>
      <c r="E3655" s="7" t="s">
        <v>6295</v>
      </c>
      <c r="F3655" s="7" t="s">
        <v>6785</v>
      </c>
      <c r="G3655" s="7" t="s">
        <v>7150</v>
      </c>
      <c r="H3655" s="7" t="s">
        <v>7156</v>
      </c>
      <c r="I3655" s="7"/>
      <c r="J3655" s="10">
        <v>46279</v>
      </c>
      <c r="K3655" s="7" t="s">
        <v>7164</v>
      </c>
      <c r="L3655" s="7"/>
      <c r="M3655" s="7"/>
    </row>
    <row r="3656" spans="1:13" x14ac:dyDescent="0.3">
      <c r="A3656" s="7">
        <v>17847</v>
      </c>
      <c r="B3656" s="7" t="s">
        <v>3664</v>
      </c>
      <c r="C3656" s="7" t="s">
        <v>6783</v>
      </c>
      <c r="D3656" s="7" t="s">
        <v>6786</v>
      </c>
      <c r="E3656" s="7" t="s">
        <v>6295</v>
      </c>
      <c r="F3656" s="7" t="s">
        <v>6794</v>
      </c>
      <c r="G3656" s="7" t="s">
        <v>7150</v>
      </c>
      <c r="H3656" s="7" t="s">
        <v>7156</v>
      </c>
      <c r="I3656" s="7"/>
      <c r="J3656" s="10">
        <v>45890</v>
      </c>
      <c r="K3656" s="7" t="s">
        <v>7164</v>
      </c>
      <c r="L3656" s="7"/>
      <c r="M3656" s="7"/>
    </row>
    <row r="3657" spans="1:13" x14ac:dyDescent="0.3">
      <c r="A3657" s="7">
        <v>18110</v>
      </c>
      <c r="B3657" s="7" t="s">
        <v>3665</v>
      </c>
      <c r="C3657" s="7" t="s">
        <v>6783</v>
      </c>
      <c r="D3657" s="7" t="s">
        <v>6786</v>
      </c>
      <c r="E3657" s="7" t="s">
        <v>6295</v>
      </c>
      <c r="F3657" s="7" t="s">
        <v>6414</v>
      </c>
      <c r="G3657" s="7" t="s">
        <v>7150</v>
      </c>
      <c r="H3657" s="7" t="s">
        <v>7156</v>
      </c>
      <c r="I3657" s="7"/>
      <c r="J3657" s="10">
        <v>45999</v>
      </c>
      <c r="K3657" s="7" t="s">
        <v>7164</v>
      </c>
      <c r="L3657" s="7"/>
      <c r="M3657" s="7"/>
    </row>
    <row r="3658" spans="1:13" x14ac:dyDescent="0.3">
      <c r="A3658" s="7">
        <v>18103</v>
      </c>
      <c r="B3658" s="7" t="s">
        <v>3666</v>
      </c>
      <c r="C3658" s="7" t="s">
        <v>6783</v>
      </c>
      <c r="D3658" s="7" t="s">
        <v>6786</v>
      </c>
      <c r="E3658" s="7" t="s">
        <v>6295</v>
      </c>
      <c r="F3658" s="7" t="s">
        <v>6795</v>
      </c>
      <c r="G3658" s="7" t="s">
        <v>7150</v>
      </c>
      <c r="H3658" s="7" t="s">
        <v>7156</v>
      </c>
      <c r="I3658" s="7"/>
      <c r="J3658" s="10">
        <v>45995</v>
      </c>
      <c r="K3658" s="7" t="s">
        <v>7164</v>
      </c>
      <c r="L3658" s="7"/>
      <c r="M3658" s="7"/>
    </row>
    <row r="3659" spans="1:13" x14ac:dyDescent="0.3">
      <c r="A3659" s="7">
        <v>15500</v>
      </c>
      <c r="B3659" s="7" t="s">
        <v>3667</v>
      </c>
      <c r="C3659" s="7" t="s">
        <v>6783</v>
      </c>
      <c r="D3659" s="7" t="s">
        <v>6786</v>
      </c>
      <c r="E3659" s="7" t="s">
        <v>6295</v>
      </c>
      <c r="F3659" s="7" t="s">
        <v>6794</v>
      </c>
      <c r="G3659" s="7" t="s">
        <v>7150</v>
      </c>
      <c r="H3659" s="7" t="s">
        <v>7156</v>
      </c>
      <c r="I3659" s="7"/>
      <c r="J3659" s="10">
        <v>45098</v>
      </c>
      <c r="K3659" s="7" t="s">
        <v>7164</v>
      </c>
      <c r="L3659" s="7"/>
      <c r="M3659" s="7"/>
    </row>
    <row r="3660" spans="1:13" x14ac:dyDescent="0.3">
      <c r="A3660" s="7">
        <v>18195</v>
      </c>
      <c r="B3660" s="7" t="s">
        <v>3668</v>
      </c>
      <c r="C3660" s="7" t="s">
        <v>6783</v>
      </c>
      <c r="D3660" s="7" t="s">
        <v>6786</v>
      </c>
      <c r="E3660" s="7" t="s">
        <v>6295</v>
      </c>
      <c r="F3660" s="7" t="s">
        <v>6794</v>
      </c>
      <c r="G3660" s="7" t="s">
        <v>7150</v>
      </c>
      <c r="H3660" s="7" t="s">
        <v>7156</v>
      </c>
      <c r="I3660" s="7"/>
      <c r="J3660" s="10">
        <v>46044</v>
      </c>
      <c r="K3660" s="7" t="s">
        <v>7164</v>
      </c>
      <c r="L3660" s="7"/>
      <c r="M3660" s="7"/>
    </row>
    <row r="3661" spans="1:13" x14ac:dyDescent="0.3">
      <c r="A3661" s="7">
        <v>18170</v>
      </c>
      <c r="B3661" s="7" t="s">
        <v>3669</v>
      </c>
      <c r="C3661" s="7" t="s">
        <v>6783</v>
      </c>
      <c r="D3661" s="7" t="s">
        <v>6786</v>
      </c>
      <c r="E3661" s="7" t="s">
        <v>6295</v>
      </c>
      <c r="F3661" s="7" t="s">
        <v>6794</v>
      </c>
      <c r="G3661" s="7" t="s">
        <v>7150</v>
      </c>
      <c r="H3661" s="7" t="s">
        <v>7156</v>
      </c>
      <c r="I3661" s="7"/>
      <c r="J3661" s="10">
        <v>46031</v>
      </c>
      <c r="K3661" s="7" t="s">
        <v>7164</v>
      </c>
      <c r="L3661" s="7"/>
      <c r="M3661" s="7"/>
    </row>
    <row r="3662" spans="1:13" x14ac:dyDescent="0.3">
      <c r="A3662" s="7">
        <v>16347</v>
      </c>
      <c r="B3662" s="7" t="s">
        <v>3670</v>
      </c>
      <c r="C3662" s="7" t="s">
        <v>6783</v>
      </c>
      <c r="D3662" s="7" t="s">
        <v>6786</v>
      </c>
      <c r="E3662" s="7" t="s">
        <v>6295</v>
      </c>
      <c r="F3662" s="7" t="s">
        <v>6794</v>
      </c>
      <c r="G3662" s="7" t="s">
        <v>7150</v>
      </c>
      <c r="H3662" s="7" t="s">
        <v>7156</v>
      </c>
      <c r="I3662" s="7"/>
      <c r="J3662" s="10">
        <v>45369</v>
      </c>
      <c r="K3662" s="7" t="s">
        <v>7164</v>
      </c>
      <c r="L3662" s="7"/>
      <c r="M3662" s="7"/>
    </row>
    <row r="3663" spans="1:13" x14ac:dyDescent="0.3">
      <c r="A3663" s="7">
        <v>10721</v>
      </c>
      <c r="B3663" s="7" t="s">
        <v>3671</v>
      </c>
      <c r="C3663" s="7" t="s">
        <v>6783</v>
      </c>
      <c r="D3663" s="7" t="s">
        <v>6786</v>
      </c>
      <c r="E3663" s="7" t="s">
        <v>6295</v>
      </c>
      <c r="F3663" s="7" t="s">
        <v>6794</v>
      </c>
      <c r="G3663" s="7" t="s">
        <v>7150</v>
      </c>
      <c r="H3663" s="7" t="s">
        <v>7156</v>
      </c>
      <c r="I3663" s="7"/>
      <c r="J3663" s="10">
        <v>41710</v>
      </c>
      <c r="K3663" s="7" t="s">
        <v>7164</v>
      </c>
      <c r="L3663" s="7"/>
      <c r="M3663" s="7"/>
    </row>
    <row r="3664" spans="1:13" x14ac:dyDescent="0.3">
      <c r="A3664" s="7">
        <v>13763</v>
      </c>
      <c r="B3664" s="7" t="s">
        <v>3672</v>
      </c>
      <c r="C3664" s="7" t="s">
        <v>6783</v>
      </c>
      <c r="D3664" s="7" t="s">
        <v>6786</v>
      </c>
      <c r="E3664" s="7" t="s">
        <v>6295</v>
      </c>
      <c r="F3664" s="7" t="s">
        <v>6794</v>
      </c>
      <c r="G3664" s="7" t="s">
        <v>7150</v>
      </c>
      <c r="H3664" s="7" t="s">
        <v>7156</v>
      </c>
      <c r="I3664" s="7"/>
      <c r="J3664" s="10">
        <v>44568</v>
      </c>
      <c r="K3664" s="7" t="s">
        <v>7164</v>
      </c>
      <c r="L3664" s="7"/>
      <c r="M3664" s="7"/>
    </row>
    <row r="3665" spans="1:13" x14ac:dyDescent="0.3">
      <c r="A3665" s="7">
        <v>18807</v>
      </c>
      <c r="B3665" s="7" t="s">
        <v>3673</v>
      </c>
      <c r="C3665" s="7" t="s">
        <v>6783</v>
      </c>
      <c r="D3665" s="7" t="s">
        <v>6786</v>
      </c>
      <c r="E3665" s="7" t="s">
        <v>6295</v>
      </c>
      <c r="F3665" s="7" t="s">
        <v>6794</v>
      </c>
      <c r="G3665" s="7" t="s">
        <v>7150</v>
      </c>
      <c r="H3665" s="7" t="s">
        <v>7156</v>
      </c>
      <c r="I3665" s="7" t="s">
        <v>7159</v>
      </c>
      <c r="J3665" s="10">
        <v>46213</v>
      </c>
      <c r="K3665" s="7" t="s">
        <v>7164</v>
      </c>
      <c r="L3665" s="7"/>
      <c r="M3665" s="7"/>
    </row>
    <row r="3666" spans="1:13" x14ac:dyDescent="0.3">
      <c r="A3666" s="7">
        <v>18814</v>
      </c>
      <c r="B3666" s="7" t="s">
        <v>3674</v>
      </c>
      <c r="C3666" s="7" t="s">
        <v>6783</v>
      </c>
      <c r="D3666" s="7" t="s">
        <v>6786</v>
      </c>
      <c r="E3666" s="7" t="s">
        <v>6295</v>
      </c>
      <c r="F3666" s="7" t="s">
        <v>6794</v>
      </c>
      <c r="G3666" s="7" t="s">
        <v>7150</v>
      </c>
      <c r="H3666" s="7" t="s">
        <v>7156</v>
      </c>
      <c r="I3666" s="7" t="s">
        <v>7159</v>
      </c>
      <c r="J3666" s="10">
        <v>46213</v>
      </c>
      <c r="K3666" s="7" t="s">
        <v>7164</v>
      </c>
      <c r="L3666" s="7"/>
      <c r="M3666" s="7"/>
    </row>
    <row r="3667" spans="1:13" x14ac:dyDescent="0.3">
      <c r="A3667" s="7">
        <v>18816</v>
      </c>
      <c r="B3667" s="7" t="s">
        <v>3675</v>
      </c>
      <c r="C3667" s="7" t="s">
        <v>6783</v>
      </c>
      <c r="D3667" s="7" t="s">
        <v>6786</v>
      </c>
      <c r="E3667" s="7" t="s">
        <v>6295</v>
      </c>
      <c r="F3667" s="7" t="s">
        <v>6794</v>
      </c>
      <c r="G3667" s="7" t="s">
        <v>7150</v>
      </c>
      <c r="H3667" s="7" t="s">
        <v>7156</v>
      </c>
      <c r="I3667" s="7" t="s">
        <v>7159</v>
      </c>
      <c r="J3667" s="10">
        <v>46213</v>
      </c>
      <c r="K3667" s="7" t="s">
        <v>7164</v>
      </c>
      <c r="L3667" s="7"/>
      <c r="M3667" s="7"/>
    </row>
    <row r="3668" spans="1:13" x14ac:dyDescent="0.3">
      <c r="A3668" s="7">
        <v>18817</v>
      </c>
      <c r="B3668" s="7" t="s">
        <v>3676</v>
      </c>
      <c r="C3668" s="7" t="s">
        <v>6783</v>
      </c>
      <c r="D3668" s="7" t="s">
        <v>6786</v>
      </c>
      <c r="E3668" s="7" t="s">
        <v>6295</v>
      </c>
      <c r="F3668" s="7" t="s">
        <v>6794</v>
      </c>
      <c r="G3668" s="7" t="s">
        <v>7150</v>
      </c>
      <c r="H3668" s="7" t="s">
        <v>7156</v>
      </c>
      <c r="I3668" s="7" t="s">
        <v>7159</v>
      </c>
      <c r="J3668" s="10">
        <v>46213</v>
      </c>
      <c r="K3668" s="7" t="s">
        <v>7164</v>
      </c>
      <c r="L3668" s="7"/>
      <c r="M3668" s="7"/>
    </row>
    <row r="3669" spans="1:13" x14ac:dyDescent="0.3">
      <c r="A3669" s="7">
        <v>18852</v>
      </c>
      <c r="B3669" s="7" t="s">
        <v>3677</v>
      </c>
      <c r="C3669" s="7" t="s">
        <v>6783</v>
      </c>
      <c r="D3669" s="7" t="s">
        <v>6786</v>
      </c>
      <c r="E3669" s="7" t="s">
        <v>6295</v>
      </c>
      <c r="F3669" s="7" t="s">
        <v>6794</v>
      </c>
      <c r="G3669" s="7" t="s">
        <v>7150</v>
      </c>
      <c r="H3669" s="7" t="s">
        <v>7156</v>
      </c>
      <c r="I3669" s="7" t="s">
        <v>7158</v>
      </c>
      <c r="J3669" s="10">
        <v>46219</v>
      </c>
      <c r="K3669" s="7" t="s">
        <v>7164</v>
      </c>
      <c r="L3669" s="7"/>
      <c r="M3669" s="7"/>
    </row>
    <row r="3670" spans="1:13" x14ac:dyDescent="0.3">
      <c r="A3670" s="7">
        <v>18853</v>
      </c>
      <c r="B3670" s="7" t="s">
        <v>3678</v>
      </c>
      <c r="C3670" s="7" t="s">
        <v>6783</v>
      </c>
      <c r="D3670" s="7" t="s">
        <v>6786</v>
      </c>
      <c r="E3670" s="7" t="s">
        <v>6295</v>
      </c>
      <c r="F3670" s="7" t="s">
        <v>6794</v>
      </c>
      <c r="G3670" s="7" t="s">
        <v>7150</v>
      </c>
      <c r="H3670" s="7" t="s">
        <v>7156</v>
      </c>
      <c r="I3670" s="7" t="s">
        <v>7158</v>
      </c>
      <c r="J3670" s="10">
        <v>46219</v>
      </c>
      <c r="K3670" s="7" t="s">
        <v>7164</v>
      </c>
      <c r="L3670" s="7"/>
      <c r="M3670" s="7"/>
    </row>
    <row r="3671" spans="1:13" x14ac:dyDescent="0.3">
      <c r="A3671" s="7">
        <v>18854</v>
      </c>
      <c r="B3671" s="7" t="s">
        <v>3679</v>
      </c>
      <c r="C3671" s="7" t="s">
        <v>6783</v>
      </c>
      <c r="D3671" s="7" t="s">
        <v>6786</v>
      </c>
      <c r="E3671" s="7" t="s">
        <v>6295</v>
      </c>
      <c r="F3671" s="7" t="s">
        <v>6794</v>
      </c>
      <c r="G3671" s="7" t="s">
        <v>7150</v>
      </c>
      <c r="H3671" s="7" t="s">
        <v>7156</v>
      </c>
      <c r="I3671" s="7" t="s">
        <v>7158</v>
      </c>
      <c r="J3671" s="10">
        <v>46219</v>
      </c>
      <c r="K3671" s="7" t="s">
        <v>7164</v>
      </c>
      <c r="L3671" s="7"/>
      <c r="M3671" s="7"/>
    </row>
    <row r="3672" spans="1:13" x14ac:dyDescent="0.3">
      <c r="A3672" s="7">
        <v>18855</v>
      </c>
      <c r="B3672" s="7" t="s">
        <v>3680</v>
      </c>
      <c r="C3672" s="7" t="s">
        <v>6783</v>
      </c>
      <c r="D3672" s="7" t="s">
        <v>6786</v>
      </c>
      <c r="E3672" s="7" t="s">
        <v>6295</v>
      </c>
      <c r="F3672" s="7" t="s">
        <v>6794</v>
      </c>
      <c r="G3672" s="7" t="s">
        <v>7150</v>
      </c>
      <c r="H3672" s="7" t="s">
        <v>7156</v>
      </c>
      <c r="I3672" s="7" t="s">
        <v>7158</v>
      </c>
      <c r="J3672" s="10">
        <v>46219</v>
      </c>
      <c r="K3672" s="7" t="s">
        <v>7164</v>
      </c>
      <c r="L3672" s="7"/>
      <c r="M3672" s="7"/>
    </row>
    <row r="3673" spans="1:13" x14ac:dyDescent="0.3">
      <c r="A3673" s="7">
        <v>18873</v>
      </c>
      <c r="B3673" s="7" t="s">
        <v>3681</v>
      </c>
      <c r="C3673" s="7" t="s">
        <v>6783</v>
      </c>
      <c r="D3673" s="7" t="s">
        <v>6786</v>
      </c>
      <c r="E3673" s="7" t="s">
        <v>6295</v>
      </c>
      <c r="F3673" s="7" t="s">
        <v>6794</v>
      </c>
      <c r="G3673" s="7" t="s">
        <v>7150</v>
      </c>
      <c r="H3673" s="7" t="s">
        <v>7156</v>
      </c>
      <c r="I3673" s="7" t="s">
        <v>7158</v>
      </c>
      <c r="J3673" s="10">
        <v>46223</v>
      </c>
      <c r="K3673" s="7" t="s">
        <v>7164</v>
      </c>
      <c r="L3673" s="7"/>
      <c r="M3673" s="7"/>
    </row>
    <row r="3674" spans="1:13" x14ac:dyDescent="0.3">
      <c r="A3674" s="7">
        <v>16910</v>
      </c>
      <c r="B3674" s="7" t="s">
        <v>3682</v>
      </c>
      <c r="C3674" s="7" t="s">
        <v>6783</v>
      </c>
      <c r="D3674" s="7" t="s">
        <v>6786</v>
      </c>
      <c r="E3674" s="7" t="s">
        <v>6295</v>
      </c>
      <c r="F3674" s="7" t="s">
        <v>6794</v>
      </c>
      <c r="G3674" s="7" t="s">
        <v>7150</v>
      </c>
      <c r="H3674" s="7" t="s">
        <v>7156</v>
      </c>
      <c r="I3674" s="7"/>
      <c r="J3674" s="10">
        <v>45566</v>
      </c>
      <c r="K3674" s="7" t="s">
        <v>7164</v>
      </c>
      <c r="L3674" s="7"/>
      <c r="M3674" s="7"/>
    </row>
    <row r="3675" spans="1:13" x14ac:dyDescent="0.3">
      <c r="A3675" s="7">
        <v>13723</v>
      </c>
      <c r="B3675" s="7" t="s">
        <v>3683</v>
      </c>
      <c r="C3675" s="7" t="s">
        <v>6783</v>
      </c>
      <c r="D3675" s="7" t="s">
        <v>6796</v>
      </c>
      <c r="E3675" s="7" t="s">
        <v>6295</v>
      </c>
      <c r="F3675" s="7" t="s">
        <v>6414</v>
      </c>
      <c r="G3675" s="7" t="s">
        <v>7150</v>
      </c>
      <c r="H3675" s="7" t="s">
        <v>7156</v>
      </c>
      <c r="I3675" s="7"/>
      <c r="J3675" s="10">
        <v>44550</v>
      </c>
      <c r="K3675" s="7" t="s">
        <v>7164</v>
      </c>
      <c r="L3675" s="7"/>
      <c r="M3675" s="7"/>
    </row>
    <row r="3676" spans="1:13" x14ac:dyDescent="0.3">
      <c r="A3676" s="7">
        <v>17216</v>
      </c>
      <c r="B3676" s="7" t="s">
        <v>3684</v>
      </c>
      <c r="C3676" s="7" t="s">
        <v>6783</v>
      </c>
      <c r="D3676" s="7" t="s">
        <v>6796</v>
      </c>
      <c r="E3676" s="7" t="s">
        <v>6295</v>
      </c>
      <c r="F3676" s="7" t="s">
        <v>6797</v>
      </c>
      <c r="G3676" s="7" t="s">
        <v>7150</v>
      </c>
      <c r="H3676" s="7" t="s">
        <v>7156</v>
      </c>
      <c r="I3676" s="7"/>
      <c r="J3676" s="10">
        <v>45666</v>
      </c>
      <c r="K3676" s="7" t="s">
        <v>7164</v>
      </c>
      <c r="L3676" s="7"/>
      <c r="M3676" s="7"/>
    </row>
    <row r="3677" spans="1:13" x14ac:dyDescent="0.3">
      <c r="A3677" s="7">
        <v>15714</v>
      </c>
      <c r="B3677" s="7" t="s">
        <v>3685</v>
      </c>
      <c r="C3677" s="7" t="s">
        <v>6783</v>
      </c>
      <c r="D3677" s="7" t="s">
        <v>6796</v>
      </c>
      <c r="E3677" s="7" t="s">
        <v>6295</v>
      </c>
      <c r="F3677" s="7" t="s">
        <v>6797</v>
      </c>
      <c r="G3677" s="7" t="s">
        <v>7150</v>
      </c>
      <c r="H3677" s="7" t="s">
        <v>7156</v>
      </c>
      <c r="I3677" s="7"/>
      <c r="J3677" s="10">
        <v>45176</v>
      </c>
      <c r="K3677" s="7" t="s">
        <v>7164</v>
      </c>
      <c r="L3677" s="7"/>
      <c r="M3677" s="7"/>
    </row>
    <row r="3678" spans="1:13" x14ac:dyDescent="0.3">
      <c r="A3678" s="7">
        <v>17511</v>
      </c>
      <c r="B3678" s="7" t="s">
        <v>3686</v>
      </c>
      <c r="C3678" s="7" t="s">
        <v>6798</v>
      </c>
      <c r="D3678" s="7" t="s">
        <v>6295</v>
      </c>
      <c r="E3678" s="7" t="s">
        <v>6295</v>
      </c>
      <c r="F3678" s="7" t="s">
        <v>6328</v>
      </c>
      <c r="G3678" s="7" t="s">
        <v>7150</v>
      </c>
      <c r="H3678" s="7" t="s">
        <v>7156</v>
      </c>
      <c r="I3678" s="7"/>
      <c r="J3678" s="10">
        <v>45771</v>
      </c>
      <c r="K3678" s="7" t="s">
        <v>7164</v>
      </c>
      <c r="L3678" s="7"/>
      <c r="M3678" s="7"/>
    </row>
    <row r="3679" spans="1:13" x14ac:dyDescent="0.3">
      <c r="A3679" s="7">
        <v>14876</v>
      </c>
      <c r="B3679" s="7" t="s">
        <v>3687</v>
      </c>
      <c r="C3679" s="7" t="s">
        <v>6798</v>
      </c>
      <c r="D3679" s="7" t="s">
        <v>6799</v>
      </c>
      <c r="E3679" s="7" t="s">
        <v>6295</v>
      </c>
      <c r="F3679" s="7" t="s">
        <v>6414</v>
      </c>
      <c r="G3679" s="7" t="s">
        <v>7150</v>
      </c>
      <c r="H3679" s="7" t="s">
        <v>7156</v>
      </c>
      <c r="I3679" s="7"/>
      <c r="J3679" s="10">
        <v>44886</v>
      </c>
      <c r="K3679" s="7" t="s">
        <v>7164</v>
      </c>
      <c r="L3679" s="7"/>
      <c r="M3679" s="7"/>
    </row>
    <row r="3680" spans="1:13" x14ac:dyDescent="0.3">
      <c r="A3680" s="7">
        <v>16664</v>
      </c>
      <c r="B3680" s="7" t="s">
        <v>3688</v>
      </c>
      <c r="C3680" s="7" t="s">
        <v>6798</v>
      </c>
      <c r="D3680" s="7" t="s">
        <v>6799</v>
      </c>
      <c r="E3680" s="7" t="s">
        <v>6295</v>
      </c>
      <c r="F3680" s="7" t="s">
        <v>6800</v>
      </c>
      <c r="G3680" s="7" t="s">
        <v>7150</v>
      </c>
      <c r="H3680" s="7" t="s">
        <v>7156</v>
      </c>
      <c r="I3680" s="7"/>
      <c r="J3680" s="10">
        <v>45513</v>
      </c>
      <c r="K3680" s="7" t="s">
        <v>7164</v>
      </c>
      <c r="L3680" s="7"/>
      <c r="M3680" s="7"/>
    </row>
    <row r="3681" spans="1:13" x14ac:dyDescent="0.3">
      <c r="A3681" s="7">
        <v>15634</v>
      </c>
      <c r="B3681" s="7" t="s">
        <v>3689</v>
      </c>
      <c r="C3681" s="7" t="s">
        <v>6798</v>
      </c>
      <c r="D3681" s="7" t="s">
        <v>6799</v>
      </c>
      <c r="E3681" s="7" t="s">
        <v>6295</v>
      </c>
      <c r="F3681" s="7" t="s">
        <v>6800</v>
      </c>
      <c r="G3681" s="7" t="s">
        <v>7150</v>
      </c>
      <c r="H3681" s="7" t="s">
        <v>7156</v>
      </c>
      <c r="I3681" s="7"/>
      <c r="J3681" s="10">
        <v>45160</v>
      </c>
      <c r="K3681" s="7" t="s">
        <v>7164</v>
      </c>
      <c r="L3681" s="7"/>
      <c r="M3681" s="7"/>
    </row>
    <row r="3682" spans="1:13" x14ac:dyDescent="0.3">
      <c r="A3682" s="7">
        <v>17241</v>
      </c>
      <c r="B3682" s="7" t="s">
        <v>3690</v>
      </c>
      <c r="C3682" s="7" t="s">
        <v>6798</v>
      </c>
      <c r="D3682" s="7" t="s">
        <v>6799</v>
      </c>
      <c r="E3682" s="7" t="s">
        <v>6295</v>
      </c>
      <c r="F3682" s="7" t="s">
        <v>6800</v>
      </c>
      <c r="G3682" s="7" t="s">
        <v>7150</v>
      </c>
      <c r="H3682" s="7" t="s">
        <v>7156</v>
      </c>
      <c r="I3682" s="7"/>
      <c r="J3682" s="10">
        <v>45679</v>
      </c>
      <c r="K3682" s="7" t="s">
        <v>7164</v>
      </c>
      <c r="L3682" s="7"/>
      <c r="M3682" s="7"/>
    </row>
    <row r="3683" spans="1:13" x14ac:dyDescent="0.3">
      <c r="A3683" s="7">
        <v>14218</v>
      </c>
      <c r="B3683" s="7" t="s">
        <v>3691</v>
      </c>
      <c r="C3683" s="7" t="s">
        <v>6798</v>
      </c>
      <c r="D3683" s="7" t="s">
        <v>6799</v>
      </c>
      <c r="E3683" s="7" t="s">
        <v>6295</v>
      </c>
      <c r="F3683" s="7" t="s">
        <v>6800</v>
      </c>
      <c r="G3683" s="7" t="s">
        <v>7150</v>
      </c>
      <c r="H3683" s="7" t="s">
        <v>7156</v>
      </c>
      <c r="I3683" s="7"/>
      <c r="J3683" s="10">
        <v>44700</v>
      </c>
      <c r="K3683" s="7" t="s">
        <v>7164</v>
      </c>
      <c r="L3683" s="7"/>
      <c r="M3683" s="7"/>
    </row>
    <row r="3684" spans="1:13" x14ac:dyDescent="0.3">
      <c r="A3684" s="7">
        <v>14219</v>
      </c>
      <c r="B3684" s="7" t="s">
        <v>3692</v>
      </c>
      <c r="C3684" s="7" t="s">
        <v>6798</v>
      </c>
      <c r="D3684" s="7" t="s">
        <v>6799</v>
      </c>
      <c r="E3684" s="7" t="s">
        <v>6295</v>
      </c>
      <c r="F3684" s="7" t="s">
        <v>6800</v>
      </c>
      <c r="G3684" s="7" t="s">
        <v>7150</v>
      </c>
      <c r="H3684" s="7" t="s">
        <v>7156</v>
      </c>
      <c r="I3684" s="7"/>
      <c r="J3684" s="10">
        <v>44700</v>
      </c>
      <c r="K3684" s="7" t="s">
        <v>7164</v>
      </c>
      <c r="L3684" s="7"/>
      <c r="M3684" s="7"/>
    </row>
    <row r="3685" spans="1:13" x14ac:dyDescent="0.3">
      <c r="A3685" s="7">
        <v>18107</v>
      </c>
      <c r="B3685" s="7" t="s">
        <v>3693</v>
      </c>
      <c r="C3685" s="7" t="s">
        <v>6798</v>
      </c>
      <c r="D3685" s="7" t="s">
        <v>6801</v>
      </c>
      <c r="E3685" s="7" t="s">
        <v>6295</v>
      </c>
      <c r="F3685" s="7" t="s">
        <v>6800</v>
      </c>
      <c r="G3685" s="7" t="s">
        <v>7150</v>
      </c>
      <c r="H3685" s="7" t="s">
        <v>7156</v>
      </c>
      <c r="I3685" s="7"/>
      <c r="J3685" s="10">
        <v>45996</v>
      </c>
      <c r="K3685" s="7" t="s">
        <v>7164</v>
      </c>
      <c r="L3685" s="7"/>
      <c r="M3685" s="7"/>
    </row>
    <row r="3686" spans="1:13" x14ac:dyDescent="0.3">
      <c r="A3686" s="7">
        <v>18390</v>
      </c>
      <c r="B3686" s="7" t="s">
        <v>3694</v>
      </c>
      <c r="C3686" s="7" t="s">
        <v>6798</v>
      </c>
      <c r="D3686" s="7" t="s">
        <v>6799</v>
      </c>
      <c r="E3686" s="7" t="s">
        <v>6295</v>
      </c>
      <c r="F3686" s="7" t="s">
        <v>6800</v>
      </c>
      <c r="G3686" s="7" t="s">
        <v>7150</v>
      </c>
      <c r="H3686" s="7" t="s">
        <v>7156</v>
      </c>
      <c r="I3686" s="7"/>
      <c r="J3686" s="10">
        <v>46119</v>
      </c>
      <c r="K3686" s="7" t="s">
        <v>7164</v>
      </c>
      <c r="L3686" s="7"/>
      <c r="M3686" s="7"/>
    </row>
    <row r="3687" spans="1:13" x14ac:dyDescent="0.3">
      <c r="A3687" s="7">
        <v>18856</v>
      </c>
      <c r="B3687" s="7" t="s">
        <v>3695</v>
      </c>
      <c r="C3687" s="7" t="s">
        <v>6798</v>
      </c>
      <c r="D3687" s="7" t="s">
        <v>6799</v>
      </c>
      <c r="E3687" s="7" t="s">
        <v>6295</v>
      </c>
      <c r="F3687" s="7" t="s">
        <v>6800</v>
      </c>
      <c r="G3687" s="7" t="s">
        <v>7150</v>
      </c>
      <c r="H3687" s="7" t="s">
        <v>7156</v>
      </c>
      <c r="I3687" s="7"/>
      <c r="J3687" s="10">
        <v>46224</v>
      </c>
      <c r="K3687" s="7" t="s">
        <v>7164</v>
      </c>
      <c r="L3687" s="7"/>
      <c r="M3687" s="7"/>
    </row>
    <row r="3688" spans="1:13" x14ac:dyDescent="0.3">
      <c r="A3688" s="7">
        <v>18618</v>
      </c>
      <c r="B3688" s="7" t="s">
        <v>3696</v>
      </c>
      <c r="C3688" s="7" t="s">
        <v>6798</v>
      </c>
      <c r="D3688" s="7" t="s">
        <v>6295</v>
      </c>
      <c r="E3688" s="7" t="s">
        <v>6295</v>
      </c>
      <c r="F3688" s="7" t="s">
        <v>6800</v>
      </c>
      <c r="G3688" s="7" t="s">
        <v>7150</v>
      </c>
      <c r="H3688" s="7" t="s">
        <v>7156</v>
      </c>
      <c r="I3688" s="7"/>
      <c r="J3688" s="10">
        <v>46174</v>
      </c>
      <c r="K3688" s="7" t="s">
        <v>7164</v>
      </c>
      <c r="L3688" s="7"/>
      <c r="M3688" s="7"/>
    </row>
    <row r="3689" spans="1:13" x14ac:dyDescent="0.3">
      <c r="A3689" s="7">
        <v>19129</v>
      </c>
      <c r="B3689" s="7" t="s">
        <v>3697</v>
      </c>
      <c r="C3689" s="7" t="s">
        <v>6798</v>
      </c>
      <c r="D3689" s="7" t="s">
        <v>6295</v>
      </c>
      <c r="E3689" s="7" t="s">
        <v>6295</v>
      </c>
      <c r="F3689" s="7" t="s">
        <v>6800</v>
      </c>
      <c r="G3689" s="7" t="s">
        <v>7150</v>
      </c>
      <c r="H3689" s="7" t="s">
        <v>7156</v>
      </c>
      <c r="I3689" s="7" t="s">
        <v>7161</v>
      </c>
      <c r="J3689" s="10">
        <v>46268</v>
      </c>
      <c r="K3689" s="7" t="s">
        <v>7164</v>
      </c>
      <c r="L3689" s="7"/>
      <c r="M3689" s="7"/>
    </row>
    <row r="3690" spans="1:13" x14ac:dyDescent="0.3">
      <c r="A3690" s="7">
        <v>19205</v>
      </c>
      <c r="B3690" s="7" t="s">
        <v>3698</v>
      </c>
      <c r="C3690" s="7" t="s">
        <v>6798</v>
      </c>
      <c r="D3690" s="7" t="s">
        <v>6295</v>
      </c>
      <c r="E3690" s="7" t="s">
        <v>6295</v>
      </c>
      <c r="F3690" s="7" t="s">
        <v>6800</v>
      </c>
      <c r="G3690" s="7" t="s">
        <v>7150</v>
      </c>
      <c r="H3690" s="7" t="s">
        <v>7156</v>
      </c>
      <c r="I3690" s="7" t="s">
        <v>7161</v>
      </c>
      <c r="J3690" s="10">
        <v>46276</v>
      </c>
      <c r="K3690" s="7" t="s">
        <v>7164</v>
      </c>
      <c r="L3690" s="7"/>
      <c r="M3690" s="7"/>
    </row>
    <row r="3691" spans="1:13" x14ac:dyDescent="0.3">
      <c r="A3691" s="7">
        <v>19240</v>
      </c>
      <c r="B3691" s="7" t="s">
        <v>3699</v>
      </c>
      <c r="C3691" s="7" t="s">
        <v>6798</v>
      </c>
      <c r="D3691" s="7" t="s">
        <v>6802</v>
      </c>
      <c r="E3691" s="7" t="s">
        <v>6295</v>
      </c>
      <c r="F3691" s="7" t="s">
        <v>6800</v>
      </c>
      <c r="G3691" s="7" t="s">
        <v>7150</v>
      </c>
      <c r="H3691" s="7" t="s">
        <v>7156</v>
      </c>
      <c r="I3691" s="7" t="s">
        <v>7159</v>
      </c>
      <c r="J3691" s="10">
        <v>46281</v>
      </c>
      <c r="K3691" s="7" t="s">
        <v>7164</v>
      </c>
      <c r="L3691" s="7"/>
      <c r="M3691" s="7"/>
    </row>
    <row r="3692" spans="1:13" x14ac:dyDescent="0.3">
      <c r="A3692" s="7">
        <v>19241</v>
      </c>
      <c r="B3692" s="7" t="s">
        <v>3700</v>
      </c>
      <c r="C3692" s="7" t="s">
        <v>6798</v>
      </c>
      <c r="D3692" s="7" t="s">
        <v>6803</v>
      </c>
      <c r="E3692" s="7" t="s">
        <v>6295</v>
      </c>
      <c r="F3692" s="7" t="s">
        <v>6800</v>
      </c>
      <c r="G3692" s="7" t="s">
        <v>7150</v>
      </c>
      <c r="H3692" s="7" t="s">
        <v>7156</v>
      </c>
      <c r="I3692" s="7" t="s">
        <v>7159</v>
      </c>
      <c r="J3692" s="10">
        <v>46281</v>
      </c>
      <c r="K3692" s="7" t="s">
        <v>7164</v>
      </c>
      <c r="L3692" s="7"/>
      <c r="M3692" s="7"/>
    </row>
    <row r="3693" spans="1:13" x14ac:dyDescent="0.3">
      <c r="A3693" s="7">
        <v>19242</v>
      </c>
      <c r="B3693" s="7" t="s">
        <v>3701</v>
      </c>
      <c r="C3693" s="7" t="s">
        <v>6798</v>
      </c>
      <c r="D3693" s="7" t="s">
        <v>6802</v>
      </c>
      <c r="E3693" s="7" t="s">
        <v>6295</v>
      </c>
      <c r="F3693" s="7" t="s">
        <v>6800</v>
      </c>
      <c r="G3693" s="7" t="s">
        <v>7150</v>
      </c>
      <c r="H3693" s="7" t="s">
        <v>7156</v>
      </c>
      <c r="I3693" s="7" t="s">
        <v>7159</v>
      </c>
      <c r="J3693" s="10">
        <v>46281</v>
      </c>
      <c r="K3693" s="7" t="s">
        <v>7164</v>
      </c>
      <c r="L3693" s="7"/>
      <c r="M3693" s="7"/>
    </row>
    <row r="3694" spans="1:13" x14ac:dyDescent="0.3">
      <c r="A3694" s="7">
        <v>19243</v>
      </c>
      <c r="B3694" s="7" t="s">
        <v>3702</v>
      </c>
      <c r="C3694" s="7" t="s">
        <v>6798</v>
      </c>
      <c r="D3694" s="7" t="s">
        <v>6803</v>
      </c>
      <c r="E3694" s="7" t="s">
        <v>6295</v>
      </c>
      <c r="F3694" s="7" t="s">
        <v>6800</v>
      </c>
      <c r="G3694" s="7" t="s">
        <v>7150</v>
      </c>
      <c r="H3694" s="7" t="s">
        <v>7156</v>
      </c>
      <c r="I3694" s="7" t="s">
        <v>7159</v>
      </c>
      <c r="J3694" s="10">
        <v>46281</v>
      </c>
      <c r="K3694" s="7" t="s">
        <v>7164</v>
      </c>
      <c r="L3694" s="7"/>
      <c r="M3694" s="7"/>
    </row>
    <row r="3695" spans="1:13" x14ac:dyDescent="0.3">
      <c r="A3695" s="7">
        <v>19244</v>
      </c>
      <c r="B3695" s="7" t="s">
        <v>3703</v>
      </c>
      <c r="C3695" s="7" t="s">
        <v>6798</v>
      </c>
      <c r="D3695" s="7" t="s">
        <v>6802</v>
      </c>
      <c r="E3695" s="7" t="s">
        <v>6295</v>
      </c>
      <c r="F3695" s="7" t="s">
        <v>6800</v>
      </c>
      <c r="G3695" s="7" t="s">
        <v>7150</v>
      </c>
      <c r="H3695" s="7" t="s">
        <v>7156</v>
      </c>
      <c r="I3695" s="7" t="s">
        <v>7159</v>
      </c>
      <c r="J3695" s="10">
        <v>46281</v>
      </c>
      <c r="K3695" s="7" t="s">
        <v>7164</v>
      </c>
      <c r="L3695" s="7"/>
      <c r="M3695" s="7"/>
    </row>
    <row r="3696" spans="1:13" x14ac:dyDescent="0.3">
      <c r="A3696" s="7">
        <v>19245</v>
      </c>
      <c r="B3696" s="7" t="s">
        <v>3704</v>
      </c>
      <c r="C3696" s="7" t="s">
        <v>6798</v>
      </c>
      <c r="D3696" s="7" t="s">
        <v>6802</v>
      </c>
      <c r="E3696" s="7" t="s">
        <v>6295</v>
      </c>
      <c r="F3696" s="7" t="s">
        <v>6800</v>
      </c>
      <c r="G3696" s="7" t="s">
        <v>7150</v>
      </c>
      <c r="H3696" s="7" t="s">
        <v>7156</v>
      </c>
      <c r="I3696" s="7" t="s">
        <v>7159</v>
      </c>
      <c r="J3696" s="10">
        <v>46281</v>
      </c>
      <c r="K3696" s="7" t="s">
        <v>7164</v>
      </c>
      <c r="L3696" s="7"/>
      <c r="M3696" s="7"/>
    </row>
    <row r="3697" spans="1:13" x14ac:dyDescent="0.3">
      <c r="A3697" s="7">
        <v>19252</v>
      </c>
      <c r="B3697" s="7" t="s">
        <v>3705</v>
      </c>
      <c r="C3697" s="7" t="s">
        <v>6798</v>
      </c>
      <c r="D3697" s="7" t="s">
        <v>6295</v>
      </c>
      <c r="E3697" s="7" t="s">
        <v>6295</v>
      </c>
      <c r="F3697" s="7" t="s">
        <v>6800</v>
      </c>
      <c r="G3697" s="7" t="s">
        <v>7150</v>
      </c>
      <c r="H3697" s="7" t="s">
        <v>7156</v>
      </c>
      <c r="I3697" s="7" t="s">
        <v>7158</v>
      </c>
      <c r="J3697" s="10">
        <v>46282</v>
      </c>
      <c r="K3697" s="7" t="s">
        <v>7164</v>
      </c>
      <c r="L3697" s="7"/>
      <c r="M3697" s="7"/>
    </row>
    <row r="3698" spans="1:13" x14ac:dyDescent="0.3">
      <c r="A3698" s="7">
        <v>19253</v>
      </c>
      <c r="B3698" s="7" t="s">
        <v>3706</v>
      </c>
      <c r="C3698" s="7" t="s">
        <v>6798</v>
      </c>
      <c r="D3698" s="7" t="s">
        <v>6295</v>
      </c>
      <c r="E3698" s="7" t="s">
        <v>6295</v>
      </c>
      <c r="F3698" s="7" t="s">
        <v>6800</v>
      </c>
      <c r="G3698" s="7" t="s">
        <v>7150</v>
      </c>
      <c r="H3698" s="7" t="s">
        <v>7156</v>
      </c>
      <c r="I3698" s="7" t="s">
        <v>7158</v>
      </c>
      <c r="J3698" s="10">
        <v>46282</v>
      </c>
      <c r="K3698" s="7" t="s">
        <v>7164</v>
      </c>
      <c r="L3698" s="7"/>
      <c r="M3698" s="7"/>
    </row>
    <row r="3699" spans="1:13" x14ac:dyDescent="0.3">
      <c r="A3699" s="7">
        <v>10902</v>
      </c>
      <c r="B3699" s="7" t="s">
        <v>3707</v>
      </c>
      <c r="C3699" s="7" t="s">
        <v>6798</v>
      </c>
      <c r="D3699" s="7" t="s">
        <v>6804</v>
      </c>
      <c r="E3699" s="7" t="s">
        <v>6295</v>
      </c>
      <c r="F3699" s="7" t="s">
        <v>6805</v>
      </c>
      <c r="G3699" s="7" t="s">
        <v>7150</v>
      </c>
      <c r="H3699" s="7" t="s">
        <v>7156</v>
      </c>
      <c r="I3699" s="7"/>
      <c r="J3699" s="10">
        <v>42101</v>
      </c>
      <c r="K3699" s="7" t="s">
        <v>7164</v>
      </c>
      <c r="L3699" s="7"/>
      <c r="M3699" s="7"/>
    </row>
    <row r="3700" spans="1:13" x14ac:dyDescent="0.3">
      <c r="A3700" s="7">
        <v>12040</v>
      </c>
      <c r="B3700" s="7" t="s">
        <v>3708</v>
      </c>
      <c r="C3700" s="7" t="s">
        <v>6798</v>
      </c>
      <c r="D3700" s="7" t="s">
        <v>6804</v>
      </c>
      <c r="E3700" s="7" t="s">
        <v>6295</v>
      </c>
      <c r="F3700" s="7" t="s">
        <v>6805</v>
      </c>
      <c r="G3700" s="7" t="s">
        <v>7150</v>
      </c>
      <c r="H3700" s="7" t="s">
        <v>7156</v>
      </c>
      <c r="I3700" s="7"/>
      <c r="J3700" s="10">
        <v>43410</v>
      </c>
      <c r="K3700" s="7" t="s">
        <v>7164</v>
      </c>
      <c r="L3700" s="7"/>
      <c r="M3700" s="7"/>
    </row>
    <row r="3701" spans="1:13" x14ac:dyDescent="0.3">
      <c r="A3701" s="7">
        <v>19014</v>
      </c>
      <c r="B3701" s="7" t="s">
        <v>3709</v>
      </c>
      <c r="C3701" s="7" t="s">
        <v>6798</v>
      </c>
      <c r="D3701" s="7" t="s">
        <v>6804</v>
      </c>
      <c r="E3701" s="7" t="s">
        <v>6295</v>
      </c>
      <c r="F3701" s="7" t="s">
        <v>6805</v>
      </c>
      <c r="G3701" s="7" t="s">
        <v>7150</v>
      </c>
      <c r="H3701" s="7" t="s">
        <v>7156</v>
      </c>
      <c r="I3701" s="7" t="s">
        <v>7159</v>
      </c>
      <c r="J3701" s="10">
        <v>46254</v>
      </c>
      <c r="K3701" s="7" t="s">
        <v>7164</v>
      </c>
      <c r="L3701" s="7"/>
      <c r="M3701" s="7"/>
    </row>
    <row r="3702" spans="1:13" x14ac:dyDescent="0.3">
      <c r="A3702" s="7">
        <v>17785</v>
      </c>
      <c r="B3702" s="7" t="s">
        <v>3710</v>
      </c>
      <c r="C3702" s="7" t="s">
        <v>6798</v>
      </c>
      <c r="D3702" s="7" t="s">
        <v>6804</v>
      </c>
      <c r="E3702" s="7" t="s">
        <v>6295</v>
      </c>
      <c r="F3702" s="7" t="s">
        <v>6805</v>
      </c>
      <c r="G3702" s="7" t="s">
        <v>7150</v>
      </c>
      <c r="H3702" s="7" t="s">
        <v>7156</v>
      </c>
      <c r="I3702" s="7"/>
      <c r="J3702" s="10">
        <v>45880</v>
      </c>
      <c r="K3702" s="7" t="s">
        <v>7164</v>
      </c>
      <c r="L3702" s="7"/>
      <c r="M3702" s="7"/>
    </row>
    <row r="3703" spans="1:13" x14ac:dyDescent="0.3">
      <c r="A3703" s="7">
        <v>12837</v>
      </c>
      <c r="B3703" s="7" t="s">
        <v>3711</v>
      </c>
      <c r="C3703" s="7" t="s">
        <v>6806</v>
      </c>
      <c r="D3703" s="7" t="s">
        <v>6295</v>
      </c>
      <c r="E3703" s="7" t="s">
        <v>6295</v>
      </c>
      <c r="F3703" s="7" t="s">
        <v>6328</v>
      </c>
      <c r="G3703" s="7" t="s">
        <v>7150</v>
      </c>
      <c r="H3703" s="7" t="s">
        <v>7156</v>
      </c>
      <c r="I3703" s="7"/>
      <c r="J3703" s="10">
        <v>44007</v>
      </c>
      <c r="K3703" s="7" t="s">
        <v>7164</v>
      </c>
      <c r="L3703" s="7"/>
      <c r="M3703" s="7"/>
    </row>
    <row r="3704" spans="1:13" x14ac:dyDescent="0.3">
      <c r="A3704" s="7">
        <v>15853</v>
      </c>
      <c r="B3704" s="7" t="s">
        <v>3712</v>
      </c>
      <c r="C3704" s="7" t="s">
        <v>6806</v>
      </c>
      <c r="D3704" s="7" t="s">
        <v>6295</v>
      </c>
      <c r="E3704" s="7" t="s">
        <v>6295</v>
      </c>
      <c r="F3704" s="7" t="s">
        <v>6413</v>
      </c>
      <c r="G3704" s="7" t="s">
        <v>7150</v>
      </c>
      <c r="H3704" s="7" t="s">
        <v>7156</v>
      </c>
      <c r="I3704" s="7"/>
      <c r="J3704" s="10">
        <v>45217</v>
      </c>
      <c r="K3704" s="7" t="s">
        <v>7164</v>
      </c>
      <c r="L3704" s="7"/>
      <c r="M3704" s="7"/>
    </row>
    <row r="3705" spans="1:13" x14ac:dyDescent="0.3">
      <c r="A3705" s="7">
        <v>15676</v>
      </c>
      <c r="B3705" s="7" t="s">
        <v>3713</v>
      </c>
      <c r="C3705" s="7" t="s">
        <v>6806</v>
      </c>
      <c r="D3705" s="7" t="s">
        <v>6807</v>
      </c>
      <c r="E3705" s="7" t="s">
        <v>6295</v>
      </c>
      <c r="F3705" s="7" t="s">
        <v>6808</v>
      </c>
      <c r="G3705" s="7" t="s">
        <v>7150</v>
      </c>
      <c r="H3705" s="7" t="s">
        <v>7156</v>
      </c>
      <c r="I3705" s="7"/>
      <c r="J3705" s="10">
        <v>45162</v>
      </c>
      <c r="K3705" s="7" t="s">
        <v>7164</v>
      </c>
      <c r="L3705" s="7"/>
      <c r="M3705" s="7"/>
    </row>
    <row r="3706" spans="1:13" x14ac:dyDescent="0.3">
      <c r="A3706" s="7">
        <v>17510</v>
      </c>
      <c r="B3706" s="7" t="s">
        <v>3714</v>
      </c>
      <c r="C3706" s="7" t="s">
        <v>6806</v>
      </c>
      <c r="D3706" s="7" t="s">
        <v>6807</v>
      </c>
      <c r="E3706" s="7" t="s">
        <v>6295</v>
      </c>
      <c r="F3706" s="7" t="s">
        <v>6809</v>
      </c>
      <c r="G3706" s="7" t="s">
        <v>7150</v>
      </c>
      <c r="H3706" s="7" t="s">
        <v>7156</v>
      </c>
      <c r="I3706" s="7"/>
      <c r="J3706" s="10">
        <v>45783</v>
      </c>
      <c r="K3706" s="7" t="s">
        <v>7164</v>
      </c>
      <c r="L3706" s="7"/>
      <c r="M3706" s="7"/>
    </row>
    <row r="3707" spans="1:13" x14ac:dyDescent="0.3">
      <c r="A3707" s="7">
        <v>18997</v>
      </c>
      <c r="B3707" s="7" t="s">
        <v>3715</v>
      </c>
      <c r="C3707" s="7" t="s">
        <v>6806</v>
      </c>
      <c r="D3707" s="7" t="s">
        <v>6807</v>
      </c>
      <c r="E3707" s="7" t="s">
        <v>6295</v>
      </c>
      <c r="F3707" s="7" t="s">
        <v>6809</v>
      </c>
      <c r="G3707" s="7" t="s">
        <v>7150</v>
      </c>
      <c r="H3707" s="7" t="s">
        <v>7156</v>
      </c>
      <c r="I3707" s="7" t="s">
        <v>7159</v>
      </c>
      <c r="J3707" s="10">
        <v>46252</v>
      </c>
      <c r="K3707" s="7" t="s">
        <v>7164</v>
      </c>
      <c r="L3707" s="7"/>
      <c r="M3707" s="7"/>
    </row>
    <row r="3708" spans="1:13" x14ac:dyDescent="0.3">
      <c r="A3708" s="7">
        <v>10744</v>
      </c>
      <c r="B3708" s="7" t="s">
        <v>3716</v>
      </c>
      <c r="C3708" s="7" t="s">
        <v>6806</v>
      </c>
      <c r="D3708" s="7" t="s">
        <v>6810</v>
      </c>
      <c r="E3708" s="7" t="s">
        <v>6295</v>
      </c>
      <c r="F3708" s="7" t="s">
        <v>6637</v>
      </c>
      <c r="G3708" s="7" t="s">
        <v>7150</v>
      </c>
      <c r="H3708" s="7" t="s">
        <v>7156</v>
      </c>
      <c r="I3708" s="7"/>
      <c r="J3708" s="10">
        <v>41808</v>
      </c>
      <c r="K3708" s="7" t="s">
        <v>7164</v>
      </c>
      <c r="L3708" s="7"/>
      <c r="M3708" s="7"/>
    </row>
    <row r="3709" spans="1:13" x14ac:dyDescent="0.3">
      <c r="A3709" s="7">
        <v>12936</v>
      </c>
      <c r="B3709" s="7" t="s">
        <v>3717</v>
      </c>
      <c r="C3709" s="7" t="s">
        <v>6806</v>
      </c>
      <c r="D3709" s="7" t="s">
        <v>6810</v>
      </c>
      <c r="E3709" s="7" t="s">
        <v>6295</v>
      </c>
      <c r="F3709" s="7" t="s">
        <v>6811</v>
      </c>
      <c r="G3709" s="7" t="s">
        <v>7150</v>
      </c>
      <c r="H3709" s="7" t="s">
        <v>7156</v>
      </c>
      <c r="I3709" s="7"/>
      <c r="J3709" s="10">
        <v>44124</v>
      </c>
      <c r="K3709" s="7" t="s">
        <v>7164</v>
      </c>
      <c r="L3709" s="7"/>
      <c r="M3709" s="7"/>
    </row>
    <row r="3710" spans="1:13" x14ac:dyDescent="0.3">
      <c r="A3710" s="7">
        <v>13137</v>
      </c>
      <c r="B3710" s="7" t="s">
        <v>3718</v>
      </c>
      <c r="C3710" s="7" t="s">
        <v>6806</v>
      </c>
      <c r="D3710" s="7" t="s">
        <v>6810</v>
      </c>
      <c r="E3710" s="7" t="s">
        <v>6295</v>
      </c>
      <c r="F3710" s="7" t="s">
        <v>6811</v>
      </c>
      <c r="G3710" s="7" t="s">
        <v>7150</v>
      </c>
      <c r="H3710" s="7" t="s">
        <v>7156</v>
      </c>
      <c r="I3710" s="7"/>
      <c r="J3710" s="10">
        <v>44287</v>
      </c>
      <c r="K3710" s="7" t="s">
        <v>7164</v>
      </c>
      <c r="L3710" s="7"/>
      <c r="M3710" s="7"/>
    </row>
    <row r="3711" spans="1:13" x14ac:dyDescent="0.3">
      <c r="A3711" s="7">
        <v>17458</v>
      </c>
      <c r="B3711" s="7" t="s">
        <v>3719</v>
      </c>
      <c r="C3711" s="7" t="s">
        <v>6806</v>
      </c>
      <c r="D3711" s="7" t="s">
        <v>6810</v>
      </c>
      <c r="E3711" s="7" t="s">
        <v>6295</v>
      </c>
      <c r="F3711" s="7" t="s">
        <v>6811</v>
      </c>
      <c r="G3711" s="7" t="s">
        <v>7150</v>
      </c>
      <c r="H3711" s="7" t="s">
        <v>7156</v>
      </c>
      <c r="I3711" s="7"/>
      <c r="J3711" s="10">
        <v>45756</v>
      </c>
      <c r="K3711" s="7" t="s">
        <v>7164</v>
      </c>
      <c r="L3711" s="7"/>
      <c r="M3711" s="7"/>
    </row>
    <row r="3712" spans="1:13" x14ac:dyDescent="0.3">
      <c r="A3712" s="7">
        <v>17126</v>
      </c>
      <c r="B3712" s="7" t="s">
        <v>3720</v>
      </c>
      <c r="C3712" s="7" t="s">
        <v>6806</v>
      </c>
      <c r="D3712" s="7" t="s">
        <v>6810</v>
      </c>
      <c r="E3712" s="7" t="s">
        <v>6295</v>
      </c>
      <c r="F3712" s="7" t="s">
        <v>6811</v>
      </c>
      <c r="G3712" s="7" t="s">
        <v>7150</v>
      </c>
      <c r="H3712" s="7" t="s">
        <v>7156</v>
      </c>
      <c r="I3712" s="7"/>
      <c r="J3712" s="10">
        <v>45642</v>
      </c>
      <c r="K3712" s="7" t="s">
        <v>7164</v>
      </c>
      <c r="L3712" s="7"/>
      <c r="M3712" s="7"/>
    </row>
    <row r="3713" spans="1:13" x14ac:dyDescent="0.3">
      <c r="A3713" s="7">
        <v>11139</v>
      </c>
      <c r="B3713" s="7" t="s">
        <v>3721</v>
      </c>
      <c r="C3713" s="7" t="s">
        <v>6806</v>
      </c>
      <c r="D3713" s="7" t="s">
        <v>6810</v>
      </c>
      <c r="E3713" s="7" t="s">
        <v>6295</v>
      </c>
      <c r="F3713" s="7" t="s">
        <v>6811</v>
      </c>
      <c r="G3713" s="7" t="s">
        <v>7150</v>
      </c>
      <c r="H3713" s="7" t="s">
        <v>7156</v>
      </c>
      <c r="I3713" s="7"/>
      <c r="J3713" s="10">
        <v>42313</v>
      </c>
      <c r="K3713" s="7" t="s">
        <v>7164</v>
      </c>
      <c r="L3713" s="7"/>
      <c r="M3713" s="7"/>
    </row>
    <row r="3714" spans="1:13" x14ac:dyDescent="0.3">
      <c r="A3714" s="7">
        <v>15683</v>
      </c>
      <c r="B3714" s="7" t="s">
        <v>3722</v>
      </c>
      <c r="C3714" s="7" t="s">
        <v>6806</v>
      </c>
      <c r="D3714" s="7" t="s">
        <v>6810</v>
      </c>
      <c r="E3714" s="7" t="s">
        <v>6295</v>
      </c>
      <c r="F3714" s="7" t="s">
        <v>6811</v>
      </c>
      <c r="G3714" s="7" t="s">
        <v>7150</v>
      </c>
      <c r="H3714" s="7" t="s">
        <v>7156</v>
      </c>
      <c r="I3714" s="7"/>
      <c r="J3714" s="10">
        <v>45163</v>
      </c>
      <c r="K3714" s="7" t="s">
        <v>7164</v>
      </c>
      <c r="L3714" s="7"/>
      <c r="M3714" s="7"/>
    </row>
    <row r="3715" spans="1:13" x14ac:dyDescent="0.3">
      <c r="A3715" s="7">
        <v>18547</v>
      </c>
      <c r="B3715" s="7" t="s">
        <v>3723</v>
      </c>
      <c r="C3715" s="7" t="s">
        <v>6806</v>
      </c>
      <c r="D3715" s="7" t="s">
        <v>6810</v>
      </c>
      <c r="E3715" s="7" t="s">
        <v>6295</v>
      </c>
      <c r="F3715" s="7" t="s">
        <v>6811</v>
      </c>
      <c r="G3715" s="7" t="s">
        <v>7150</v>
      </c>
      <c r="H3715" s="7" t="s">
        <v>7156</v>
      </c>
      <c r="I3715" s="7"/>
      <c r="J3715" s="10">
        <v>46150</v>
      </c>
      <c r="K3715" s="7" t="s">
        <v>7164</v>
      </c>
      <c r="L3715" s="7"/>
      <c r="M3715" s="7"/>
    </row>
    <row r="3716" spans="1:13" x14ac:dyDescent="0.3">
      <c r="A3716" s="7">
        <v>14487</v>
      </c>
      <c r="B3716" s="7" t="s">
        <v>3724</v>
      </c>
      <c r="C3716" s="7" t="s">
        <v>6806</v>
      </c>
      <c r="D3716" s="7" t="s">
        <v>6810</v>
      </c>
      <c r="E3716" s="7" t="s">
        <v>6295</v>
      </c>
      <c r="F3716" s="7" t="s">
        <v>6811</v>
      </c>
      <c r="G3716" s="7" t="s">
        <v>7150</v>
      </c>
      <c r="H3716" s="7" t="s">
        <v>7156</v>
      </c>
      <c r="I3716" s="7"/>
      <c r="J3716" s="10">
        <v>44774</v>
      </c>
      <c r="K3716" s="7" t="s">
        <v>7164</v>
      </c>
      <c r="L3716" s="7"/>
      <c r="M3716" s="7"/>
    </row>
    <row r="3717" spans="1:13" x14ac:dyDescent="0.3">
      <c r="A3717" s="7">
        <v>18921</v>
      </c>
      <c r="B3717" s="7" t="s">
        <v>3725</v>
      </c>
      <c r="C3717" s="7" t="s">
        <v>6806</v>
      </c>
      <c r="D3717" s="7" t="s">
        <v>6810</v>
      </c>
      <c r="E3717" s="7" t="s">
        <v>6295</v>
      </c>
      <c r="F3717" s="7" t="s">
        <v>6811</v>
      </c>
      <c r="G3717" s="7" t="s">
        <v>7150</v>
      </c>
      <c r="H3717" s="7" t="s">
        <v>7156</v>
      </c>
      <c r="I3717" s="7" t="s">
        <v>7159</v>
      </c>
      <c r="J3717" s="10">
        <v>46238</v>
      </c>
      <c r="K3717" s="7" t="s">
        <v>7164</v>
      </c>
      <c r="L3717" s="7"/>
      <c r="M3717" s="7"/>
    </row>
    <row r="3718" spans="1:13" x14ac:dyDescent="0.3">
      <c r="A3718" s="7">
        <v>18943</v>
      </c>
      <c r="B3718" s="7" t="s">
        <v>3726</v>
      </c>
      <c r="C3718" s="7" t="s">
        <v>6806</v>
      </c>
      <c r="D3718" s="7" t="s">
        <v>6810</v>
      </c>
      <c r="E3718" s="7" t="s">
        <v>6295</v>
      </c>
      <c r="F3718" s="7" t="s">
        <v>6811</v>
      </c>
      <c r="G3718" s="7" t="s">
        <v>7150</v>
      </c>
      <c r="H3718" s="7" t="s">
        <v>7156</v>
      </c>
      <c r="I3718" s="7" t="s">
        <v>7158</v>
      </c>
      <c r="J3718" s="10">
        <v>46241</v>
      </c>
      <c r="K3718" s="7" t="s">
        <v>7164</v>
      </c>
      <c r="L3718" s="7"/>
      <c r="M3718" s="7"/>
    </row>
    <row r="3719" spans="1:13" x14ac:dyDescent="0.3">
      <c r="A3719" s="7">
        <v>120021</v>
      </c>
      <c r="B3719" s="7" t="s">
        <v>3727</v>
      </c>
      <c r="C3719" s="7" t="s">
        <v>6806</v>
      </c>
      <c r="D3719" s="7" t="s">
        <v>6810</v>
      </c>
      <c r="E3719" s="7" t="s">
        <v>6295</v>
      </c>
      <c r="F3719" s="7" t="s">
        <v>6811</v>
      </c>
      <c r="G3719" s="7" t="s">
        <v>7150</v>
      </c>
      <c r="H3719" s="7" t="s">
        <v>7156</v>
      </c>
      <c r="I3719" s="7"/>
      <c r="J3719" s="10">
        <v>41507</v>
      </c>
      <c r="K3719" s="7" t="s">
        <v>7164</v>
      </c>
      <c r="L3719" s="7"/>
      <c r="M3719" s="7"/>
    </row>
    <row r="3720" spans="1:13" x14ac:dyDescent="0.3">
      <c r="A3720" s="7">
        <v>12403</v>
      </c>
      <c r="B3720" s="7" t="s">
        <v>3728</v>
      </c>
      <c r="C3720" s="7" t="s">
        <v>6806</v>
      </c>
      <c r="D3720" s="7" t="s">
        <v>6810</v>
      </c>
      <c r="E3720" s="7" t="s">
        <v>6295</v>
      </c>
      <c r="F3720" s="7" t="s">
        <v>6811</v>
      </c>
      <c r="G3720" s="7" t="s">
        <v>7150</v>
      </c>
      <c r="H3720" s="7" t="s">
        <v>7156</v>
      </c>
      <c r="I3720" s="7"/>
      <c r="J3720" s="10">
        <v>43728</v>
      </c>
      <c r="K3720" s="7" t="s">
        <v>7164</v>
      </c>
      <c r="L3720" s="7"/>
      <c r="M3720" s="7"/>
    </row>
    <row r="3721" spans="1:13" x14ac:dyDescent="0.3">
      <c r="A3721" s="7">
        <v>14179</v>
      </c>
      <c r="B3721" s="7" t="s">
        <v>3729</v>
      </c>
      <c r="C3721" s="7" t="s">
        <v>6806</v>
      </c>
      <c r="D3721" s="7" t="s">
        <v>6810</v>
      </c>
      <c r="E3721" s="7" t="s">
        <v>6295</v>
      </c>
      <c r="F3721" s="7" t="s">
        <v>6811</v>
      </c>
      <c r="G3721" s="7" t="s">
        <v>7150</v>
      </c>
      <c r="H3721" s="7" t="s">
        <v>7156</v>
      </c>
      <c r="I3721" s="7"/>
      <c r="J3721" s="10">
        <v>44686</v>
      </c>
      <c r="K3721" s="7" t="s">
        <v>7164</v>
      </c>
      <c r="L3721" s="7"/>
      <c r="M3721" s="7"/>
    </row>
    <row r="3722" spans="1:13" x14ac:dyDescent="0.3">
      <c r="A3722" s="7">
        <v>11809</v>
      </c>
      <c r="B3722" s="7" t="s">
        <v>3730</v>
      </c>
      <c r="C3722" s="7" t="s">
        <v>6806</v>
      </c>
      <c r="D3722" s="7" t="s">
        <v>6812</v>
      </c>
      <c r="E3722" s="7" t="s">
        <v>6295</v>
      </c>
      <c r="F3722" s="7" t="s">
        <v>6414</v>
      </c>
      <c r="G3722" s="7" t="s">
        <v>7150</v>
      </c>
      <c r="H3722" s="7" t="s">
        <v>7156</v>
      </c>
      <c r="I3722" s="7"/>
      <c r="J3722" s="10">
        <v>43152</v>
      </c>
      <c r="K3722" s="7" t="s">
        <v>7164</v>
      </c>
      <c r="L3722" s="7"/>
      <c r="M3722" s="7"/>
    </row>
    <row r="3723" spans="1:13" x14ac:dyDescent="0.3">
      <c r="A3723" s="7">
        <v>18984</v>
      </c>
      <c r="B3723" s="7" t="s">
        <v>3731</v>
      </c>
      <c r="C3723" s="7" t="s">
        <v>6806</v>
      </c>
      <c r="D3723" s="7" t="s">
        <v>6812</v>
      </c>
      <c r="E3723" s="7" t="s">
        <v>6295</v>
      </c>
      <c r="F3723" s="7" t="s">
        <v>6414</v>
      </c>
      <c r="G3723" s="7" t="s">
        <v>7150</v>
      </c>
      <c r="H3723" s="7" t="s">
        <v>7156</v>
      </c>
      <c r="I3723" s="7" t="s">
        <v>7159</v>
      </c>
      <c r="J3723" s="10">
        <v>46251</v>
      </c>
      <c r="K3723" s="7" t="s">
        <v>7164</v>
      </c>
      <c r="L3723" s="7"/>
      <c r="M3723" s="7"/>
    </row>
    <row r="3724" spans="1:13" x14ac:dyDescent="0.3">
      <c r="A3724" s="7">
        <v>18944</v>
      </c>
      <c r="B3724" s="7" t="s">
        <v>3732</v>
      </c>
      <c r="C3724" s="7" t="s">
        <v>6806</v>
      </c>
      <c r="D3724" s="7" t="s">
        <v>6812</v>
      </c>
      <c r="E3724" s="7" t="s">
        <v>6295</v>
      </c>
      <c r="F3724" s="7" t="s">
        <v>6813</v>
      </c>
      <c r="G3724" s="7" t="s">
        <v>7150</v>
      </c>
      <c r="H3724" s="7" t="s">
        <v>7156</v>
      </c>
      <c r="I3724" s="7" t="s">
        <v>7158</v>
      </c>
      <c r="J3724" s="10">
        <v>46241</v>
      </c>
      <c r="K3724" s="7" t="s">
        <v>7164</v>
      </c>
      <c r="L3724" s="7"/>
      <c r="M3724" s="7"/>
    </row>
    <row r="3725" spans="1:13" x14ac:dyDescent="0.3">
      <c r="A3725" s="7">
        <v>18949</v>
      </c>
      <c r="B3725" s="7" t="s">
        <v>3733</v>
      </c>
      <c r="C3725" s="7" t="s">
        <v>6806</v>
      </c>
      <c r="D3725" s="7" t="s">
        <v>6812</v>
      </c>
      <c r="E3725" s="7" t="s">
        <v>6295</v>
      </c>
      <c r="F3725" s="7" t="s">
        <v>6813</v>
      </c>
      <c r="G3725" s="7" t="s">
        <v>7150</v>
      </c>
      <c r="H3725" s="7" t="s">
        <v>7156</v>
      </c>
      <c r="I3725" s="7" t="s">
        <v>7158</v>
      </c>
      <c r="J3725" s="10">
        <v>46241</v>
      </c>
      <c r="K3725" s="7" t="s">
        <v>7164</v>
      </c>
      <c r="L3725" s="7"/>
      <c r="M3725" s="7"/>
    </row>
    <row r="3726" spans="1:13" x14ac:dyDescent="0.3">
      <c r="A3726" s="7">
        <v>19057</v>
      </c>
      <c r="B3726" s="7" t="s">
        <v>3734</v>
      </c>
      <c r="C3726" s="7" t="s">
        <v>6806</v>
      </c>
      <c r="D3726" s="7" t="s">
        <v>6812</v>
      </c>
      <c r="E3726" s="7" t="s">
        <v>6295</v>
      </c>
      <c r="F3726" s="7" t="s">
        <v>6813</v>
      </c>
      <c r="G3726" s="7" t="s">
        <v>7150</v>
      </c>
      <c r="H3726" s="7" t="s">
        <v>7156</v>
      </c>
      <c r="I3726" s="7" t="s">
        <v>7159</v>
      </c>
      <c r="J3726" s="10">
        <v>46260</v>
      </c>
      <c r="K3726" s="7" t="s">
        <v>7164</v>
      </c>
      <c r="L3726" s="7"/>
      <c r="M3726" s="7"/>
    </row>
    <row r="3727" spans="1:13" x14ac:dyDescent="0.3">
      <c r="A3727" s="7">
        <v>19093</v>
      </c>
      <c r="B3727" s="7" t="s">
        <v>3735</v>
      </c>
      <c r="C3727" s="7" t="s">
        <v>6806</v>
      </c>
      <c r="D3727" s="7" t="s">
        <v>6812</v>
      </c>
      <c r="E3727" s="7" t="s">
        <v>6295</v>
      </c>
      <c r="F3727" s="7" t="s">
        <v>6813</v>
      </c>
      <c r="G3727" s="7" t="s">
        <v>7150</v>
      </c>
      <c r="H3727" s="7" t="s">
        <v>7156</v>
      </c>
      <c r="I3727" s="7" t="s">
        <v>7158</v>
      </c>
      <c r="J3727" s="10">
        <v>46262</v>
      </c>
      <c r="K3727" s="7" t="s">
        <v>7164</v>
      </c>
      <c r="L3727" s="7"/>
      <c r="M3727" s="7"/>
    </row>
    <row r="3728" spans="1:13" x14ac:dyDescent="0.3">
      <c r="A3728" s="7">
        <v>18948</v>
      </c>
      <c r="B3728" s="7" t="s">
        <v>3736</v>
      </c>
      <c r="C3728" s="7" t="s">
        <v>6806</v>
      </c>
      <c r="D3728" s="7" t="s">
        <v>6812</v>
      </c>
      <c r="E3728" s="7" t="s">
        <v>6295</v>
      </c>
      <c r="F3728" s="7" t="s">
        <v>6813</v>
      </c>
      <c r="G3728" s="7" t="s">
        <v>7150</v>
      </c>
      <c r="H3728" s="7" t="s">
        <v>7156</v>
      </c>
      <c r="I3728" s="7" t="s">
        <v>7158</v>
      </c>
      <c r="J3728" s="10">
        <v>46258</v>
      </c>
      <c r="K3728" s="7" t="s">
        <v>7164</v>
      </c>
      <c r="L3728" s="7"/>
      <c r="M3728" s="7"/>
    </row>
    <row r="3729" spans="1:13" x14ac:dyDescent="0.3">
      <c r="A3729" s="7">
        <v>17870</v>
      </c>
      <c r="B3729" s="7" t="s">
        <v>3737</v>
      </c>
      <c r="C3729" s="7" t="s">
        <v>6806</v>
      </c>
      <c r="D3729" s="7" t="s">
        <v>6812</v>
      </c>
      <c r="E3729" s="7" t="s">
        <v>6295</v>
      </c>
      <c r="F3729" s="7" t="s">
        <v>6813</v>
      </c>
      <c r="G3729" s="7" t="s">
        <v>7150</v>
      </c>
      <c r="H3729" s="7" t="s">
        <v>7156</v>
      </c>
      <c r="I3729" s="7"/>
      <c r="J3729" s="10">
        <v>45901</v>
      </c>
      <c r="K3729" s="7" t="s">
        <v>7164</v>
      </c>
      <c r="L3729" s="7"/>
      <c r="M3729" s="7"/>
    </row>
    <row r="3730" spans="1:13" x14ac:dyDescent="0.3">
      <c r="A3730" s="7">
        <v>17897</v>
      </c>
      <c r="B3730" s="7" t="s">
        <v>3738</v>
      </c>
      <c r="C3730" s="7" t="s">
        <v>6806</v>
      </c>
      <c r="D3730" s="7" t="s">
        <v>6812</v>
      </c>
      <c r="E3730" s="7" t="s">
        <v>6295</v>
      </c>
      <c r="F3730" s="7" t="s">
        <v>6813</v>
      </c>
      <c r="G3730" s="7" t="s">
        <v>7150</v>
      </c>
      <c r="H3730" s="7" t="s">
        <v>7156</v>
      </c>
      <c r="I3730" s="7"/>
      <c r="J3730" s="10">
        <v>45905</v>
      </c>
      <c r="K3730" s="7" t="s">
        <v>7164</v>
      </c>
      <c r="L3730" s="7"/>
      <c r="M3730" s="7"/>
    </row>
    <row r="3731" spans="1:13" x14ac:dyDescent="0.3">
      <c r="A3731" s="7">
        <v>17930</v>
      </c>
      <c r="B3731" s="7" t="s">
        <v>3739</v>
      </c>
      <c r="C3731" s="7" t="s">
        <v>6806</v>
      </c>
      <c r="D3731" s="7" t="s">
        <v>6812</v>
      </c>
      <c r="E3731" s="7" t="s">
        <v>6295</v>
      </c>
      <c r="F3731" s="7" t="s">
        <v>6813</v>
      </c>
      <c r="G3731" s="7" t="s">
        <v>7150</v>
      </c>
      <c r="H3731" s="7" t="s">
        <v>7156</v>
      </c>
      <c r="I3731" s="7"/>
      <c r="J3731" s="10">
        <v>45923</v>
      </c>
      <c r="K3731" s="7" t="s">
        <v>7164</v>
      </c>
      <c r="L3731" s="7"/>
      <c r="M3731" s="7"/>
    </row>
    <row r="3732" spans="1:13" x14ac:dyDescent="0.3">
      <c r="A3732" s="7">
        <v>18892</v>
      </c>
      <c r="B3732" s="7" t="s">
        <v>3740</v>
      </c>
      <c r="C3732" s="7" t="s">
        <v>6806</v>
      </c>
      <c r="D3732" s="7" t="s">
        <v>6812</v>
      </c>
      <c r="E3732" s="7" t="s">
        <v>6295</v>
      </c>
      <c r="F3732" s="7" t="s">
        <v>6813</v>
      </c>
      <c r="G3732" s="7" t="s">
        <v>7150</v>
      </c>
      <c r="H3732" s="7" t="s">
        <v>7156</v>
      </c>
      <c r="I3732" s="7" t="s">
        <v>7159</v>
      </c>
      <c r="J3732" s="10">
        <v>46231</v>
      </c>
      <c r="K3732" s="7" t="s">
        <v>7164</v>
      </c>
      <c r="L3732" s="7"/>
      <c r="M3732" s="7"/>
    </row>
    <row r="3733" spans="1:13" x14ac:dyDescent="0.3">
      <c r="A3733" s="7">
        <v>18894</v>
      </c>
      <c r="B3733" s="7" t="s">
        <v>3741</v>
      </c>
      <c r="C3733" s="7" t="s">
        <v>6806</v>
      </c>
      <c r="D3733" s="7" t="s">
        <v>6812</v>
      </c>
      <c r="E3733" s="7" t="s">
        <v>6295</v>
      </c>
      <c r="F3733" s="7" t="s">
        <v>6813</v>
      </c>
      <c r="G3733" s="7" t="s">
        <v>7150</v>
      </c>
      <c r="H3733" s="7" t="s">
        <v>7156</v>
      </c>
      <c r="I3733" s="7" t="s">
        <v>7159</v>
      </c>
      <c r="J3733" s="10">
        <v>46231</v>
      </c>
      <c r="K3733" s="7" t="s">
        <v>7164</v>
      </c>
      <c r="L3733" s="7"/>
      <c r="M3733" s="7"/>
    </row>
    <row r="3734" spans="1:13" x14ac:dyDescent="0.3">
      <c r="A3734" s="7">
        <v>18897</v>
      </c>
      <c r="B3734" s="7" t="s">
        <v>3742</v>
      </c>
      <c r="C3734" s="7" t="s">
        <v>6806</v>
      </c>
      <c r="D3734" s="7" t="s">
        <v>6812</v>
      </c>
      <c r="E3734" s="7" t="s">
        <v>6295</v>
      </c>
      <c r="F3734" s="7" t="s">
        <v>6813</v>
      </c>
      <c r="G3734" s="7" t="s">
        <v>7150</v>
      </c>
      <c r="H3734" s="7" t="s">
        <v>7156</v>
      </c>
      <c r="I3734" s="7" t="s">
        <v>7159</v>
      </c>
      <c r="J3734" s="10">
        <v>46231</v>
      </c>
      <c r="K3734" s="7" t="s">
        <v>7164</v>
      </c>
      <c r="L3734" s="7"/>
      <c r="M3734" s="7"/>
    </row>
    <row r="3735" spans="1:13" x14ac:dyDescent="0.3">
      <c r="A3735" s="7">
        <v>13156</v>
      </c>
      <c r="B3735" s="7" t="s">
        <v>3743</v>
      </c>
      <c r="C3735" s="7" t="s">
        <v>6806</v>
      </c>
      <c r="D3735" s="7" t="s">
        <v>6812</v>
      </c>
      <c r="E3735" s="7" t="s">
        <v>6295</v>
      </c>
      <c r="F3735" s="7" t="s">
        <v>6813</v>
      </c>
      <c r="G3735" s="7" t="s">
        <v>7150</v>
      </c>
      <c r="H3735" s="7" t="s">
        <v>7156</v>
      </c>
      <c r="I3735" s="7"/>
      <c r="J3735" s="10">
        <v>44292</v>
      </c>
      <c r="K3735" s="7" t="s">
        <v>7164</v>
      </c>
      <c r="L3735" s="7"/>
      <c r="M3735" s="7"/>
    </row>
    <row r="3736" spans="1:13" x14ac:dyDescent="0.3">
      <c r="A3736" s="7">
        <v>15447</v>
      </c>
      <c r="B3736" s="7" t="s">
        <v>3744</v>
      </c>
      <c r="C3736" s="7" t="s">
        <v>6806</v>
      </c>
      <c r="D3736" s="7" t="s">
        <v>6812</v>
      </c>
      <c r="E3736" s="7" t="s">
        <v>6295</v>
      </c>
      <c r="F3736" s="7" t="s">
        <v>6813</v>
      </c>
      <c r="G3736" s="7" t="s">
        <v>7150</v>
      </c>
      <c r="H3736" s="7" t="s">
        <v>7156</v>
      </c>
      <c r="I3736" s="7"/>
      <c r="J3736" s="10">
        <v>45078</v>
      </c>
      <c r="K3736" s="7" t="s">
        <v>7164</v>
      </c>
      <c r="L3736" s="7"/>
      <c r="M3736" s="7"/>
    </row>
    <row r="3737" spans="1:13" x14ac:dyDescent="0.3">
      <c r="A3737" s="7">
        <v>13272</v>
      </c>
      <c r="B3737" s="7" t="s">
        <v>3745</v>
      </c>
      <c r="C3737" s="7" t="s">
        <v>6806</v>
      </c>
      <c r="D3737" s="7" t="s">
        <v>6812</v>
      </c>
      <c r="E3737" s="7" t="s">
        <v>6295</v>
      </c>
      <c r="F3737" s="7" t="s">
        <v>6813</v>
      </c>
      <c r="G3737" s="7" t="s">
        <v>7150</v>
      </c>
      <c r="H3737" s="7" t="s">
        <v>7156</v>
      </c>
      <c r="I3737" s="7"/>
      <c r="J3737" s="10">
        <v>44357</v>
      </c>
      <c r="K3737" s="7" t="s">
        <v>7164</v>
      </c>
      <c r="L3737" s="7"/>
      <c r="M3737" s="7"/>
    </row>
    <row r="3738" spans="1:13" x14ac:dyDescent="0.3">
      <c r="A3738" s="7">
        <v>16053</v>
      </c>
      <c r="B3738" s="7" t="s">
        <v>3746</v>
      </c>
      <c r="C3738" s="7" t="s">
        <v>6806</v>
      </c>
      <c r="D3738" s="7" t="s">
        <v>6812</v>
      </c>
      <c r="E3738" s="7" t="s">
        <v>6295</v>
      </c>
      <c r="F3738" s="7" t="s">
        <v>6813</v>
      </c>
      <c r="G3738" s="7" t="s">
        <v>7150</v>
      </c>
      <c r="H3738" s="7" t="s">
        <v>7156</v>
      </c>
      <c r="I3738" s="7"/>
      <c r="J3738" s="10">
        <v>45274</v>
      </c>
      <c r="K3738" s="7" t="s">
        <v>7164</v>
      </c>
      <c r="L3738" s="7"/>
      <c r="M3738" s="7"/>
    </row>
    <row r="3739" spans="1:13" x14ac:dyDescent="0.3">
      <c r="A3739" s="7">
        <v>133007</v>
      </c>
      <c r="B3739" s="7" t="s">
        <v>3747</v>
      </c>
      <c r="C3739" s="7" t="s">
        <v>6806</v>
      </c>
      <c r="D3739" s="7" t="s">
        <v>6812</v>
      </c>
      <c r="E3739" s="7" t="s">
        <v>6295</v>
      </c>
      <c r="F3739" s="7" t="s">
        <v>6813</v>
      </c>
      <c r="G3739" s="7" t="s">
        <v>7150</v>
      </c>
      <c r="H3739" s="7" t="s">
        <v>7156</v>
      </c>
      <c r="I3739" s="7"/>
      <c r="J3739" s="10">
        <v>42972</v>
      </c>
      <c r="K3739" s="7" t="s">
        <v>7164</v>
      </c>
      <c r="L3739" s="7"/>
      <c r="M3739" s="7"/>
    </row>
    <row r="3740" spans="1:13" x14ac:dyDescent="0.3">
      <c r="A3740" s="7">
        <v>14680</v>
      </c>
      <c r="B3740" s="7" t="s">
        <v>3748</v>
      </c>
      <c r="C3740" s="7" t="s">
        <v>6806</v>
      </c>
      <c r="D3740" s="7" t="s">
        <v>6812</v>
      </c>
      <c r="E3740" s="7" t="s">
        <v>6295</v>
      </c>
      <c r="F3740" s="7" t="s">
        <v>6813</v>
      </c>
      <c r="G3740" s="7" t="s">
        <v>7150</v>
      </c>
      <c r="H3740" s="7" t="s">
        <v>7156</v>
      </c>
      <c r="I3740" s="7"/>
      <c r="J3740" s="10">
        <v>44826</v>
      </c>
      <c r="K3740" s="7" t="s">
        <v>7164</v>
      </c>
      <c r="L3740" s="7"/>
      <c r="M3740" s="7"/>
    </row>
    <row r="3741" spans="1:13" x14ac:dyDescent="0.3">
      <c r="A3741" s="7">
        <v>13459</v>
      </c>
      <c r="B3741" s="7" t="s">
        <v>3749</v>
      </c>
      <c r="C3741" s="7" t="s">
        <v>6806</v>
      </c>
      <c r="D3741" s="7" t="s">
        <v>6812</v>
      </c>
      <c r="E3741" s="7" t="s">
        <v>6295</v>
      </c>
      <c r="F3741" s="7" t="s">
        <v>6813</v>
      </c>
      <c r="G3741" s="7" t="s">
        <v>7150</v>
      </c>
      <c r="H3741" s="7" t="s">
        <v>7156</v>
      </c>
      <c r="I3741" s="7"/>
      <c r="J3741" s="10">
        <v>44462</v>
      </c>
      <c r="K3741" s="7" t="s">
        <v>7164</v>
      </c>
      <c r="L3741" s="7"/>
      <c r="M3741" s="7"/>
    </row>
    <row r="3742" spans="1:13" x14ac:dyDescent="0.3">
      <c r="A3742" s="7">
        <v>270030</v>
      </c>
      <c r="B3742" s="7" t="s">
        <v>3750</v>
      </c>
      <c r="C3742" s="7" t="s">
        <v>6806</v>
      </c>
      <c r="D3742" s="7" t="s">
        <v>6812</v>
      </c>
      <c r="E3742" s="7" t="s">
        <v>6295</v>
      </c>
      <c r="F3742" s="7" t="s">
        <v>6813</v>
      </c>
      <c r="G3742" s="7" t="s">
        <v>7150</v>
      </c>
      <c r="H3742" s="7" t="s">
        <v>7156</v>
      </c>
      <c r="I3742" s="7"/>
      <c r="J3742" s="10">
        <v>42199</v>
      </c>
      <c r="K3742" s="7" t="s">
        <v>7164</v>
      </c>
      <c r="L3742" s="7"/>
      <c r="M3742" s="7"/>
    </row>
    <row r="3743" spans="1:13" x14ac:dyDescent="0.3">
      <c r="A3743" s="7">
        <v>17662</v>
      </c>
      <c r="B3743" s="7" t="s">
        <v>3751</v>
      </c>
      <c r="C3743" s="7" t="s">
        <v>6806</v>
      </c>
      <c r="D3743" s="7" t="s">
        <v>6814</v>
      </c>
      <c r="E3743" s="7" t="s">
        <v>6295</v>
      </c>
      <c r="F3743" s="7" t="s">
        <v>6815</v>
      </c>
      <c r="G3743" s="7" t="s">
        <v>7150</v>
      </c>
      <c r="H3743" s="7" t="s">
        <v>7156</v>
      </c>
      <c r="I3743" s="7"/>
      <c r="J3743" s="10">
        <v>45852</v>
      </c>
      <c r="K3743" s="7" t="s">
        <v>7164</v>
      </c>
      <c r="L3743" s="7"/>
      <c r="M3743" s="7"/>
    </row>
    <row r="3744" spans="1:13" x14ac:dyDescent="0.3">
      <c r="A3744" s="7">
        <v>18920</v>
      </c>
      <c r="B3744" s="7" t="s">
        <v>3752</v>
      </c>
      <c r="C3744" s="7" t="s">
        <v>6806</v>
      </c>
      <c r="D3744" s="7" t="s">
        <v>6814</v>
      </c>
      <c r="E3744" s="7" t="s">
        <v>6295</v>
      </c>
      <c r="F3744" s="7" t="s">
        <v>6815</v>
      </c>
      <c r="G3744" s="7" t="s">
        <v>7150</v>
      </c>
      <c r="H3744" s="7" t="s">
        <v>7156</v>
      </c>
      <c r="I3744" s="7" t="s">
        <v>7159</v>
      </c>
      <c r="J3744" s="10">
        <v>46238</v>
      </c>
      <c r="K3744" s="7" t="s">
        <v>7164</v>
      </c>
      <c r="L3744" s="7"/>
      <c r="M3744" s="7"/>
    </row>
    <row r="3745" spans="1:13" x14ac:dyDescent="0.3">
      <c r="A3745" s="7">
        <v>18922</v>
      </c>
      <c r="B3745" s="7" t="s">
        <v>3753</v>
      </c>
      <c r="C3745" s="7" t="s">
        <v>6806</v>
      </c>
      <c r="D3745" s="7" t="s">
        <v>6814</v>
      </c>
      <c r="E3745" s="7" t="s">
        <v>6295</v>
      </c>
      <c r="F3745" s="7" t="s">
        <v>6815</v>
      </c>
      <c r="G3745" s="7" t="s">
        <v>7150</v>
      </c>
      <c r="H3745" s="7" t="s">
        <v>7156</v>
      </c>
      <c r="I3745" s="7" t="s">
        <v>7159</v>
      </c>
      <c r="J3745" s="10">
        <v>46238</v>
      </c>
      <c r="K3745" s="7" t="s">
        <v>7164</v>
      </c>
      <c r="L3745" s="7"/>
      <c r="M3745" s="7"/>
    </row>
    <row r="3746" spans="1:13" x14ac:dyDescent="0.3">
      <c r="A3746" s="7">
        <v>18923</v>
      </c>
      <c r="B3746" s="7" t="s">
        <v>3754</v>
      </c>
      <c r="C3746" s="7" t="s">
        <v>6806</v>
      </c>
      <c r="D3746" s="7" t="s">
        <v>6814</v>
      </c>
      <c r="E3746" s="7" t="s">
        <v>6295</v>
      </c>
      <c r="F3746" s="7" t="s">
        <v>6815</v>
      </c>
      <c r="G3746" s="7" t="s">
        <v>7150</v>
      </c>
      <c r="H3746" s="7" t="s">
        <v>7156</v>
      </c>
      <c r="I3746" s="7" t="s">
        <v>7159</v>
      </c>
      <c r="J3746" s="10">
        <v>46238</v>
      </c>
      <c r="K3746" s="7" t="s">
        <v>7164</v>
      </c>
      <c r="L3746" s="7"/>
      <c r="M3746" s="7"/>
    </row>
    <row r="3747" spans="1:13" x14ac:dyDescent="0.3">
      <c r="A3747" s="7">
        <v>18924</v>
      </c>
      <c r="B3747" s="7" t="s">
        <v>3755</v>
      </c>
      <c r="C3747" s="7" t="s">
        <v>6806</v>
      </c>
      <c r="D3747" s="7" t="s">
        <v>6814</v>
      </c>
      <c r="E3747" s="7" t="s">
        <v>6295</v>
      </c>
      <c r="F3747" s="7" t="s">
        <v>6815</v>
      </c>
      <c r="G3747" s="7" t="s">
        <v>7150</v>
      </c>
      <c r="H3747" s="7" t="s">
        <v>7156</v>
      </c>
      <c r="I3747" s="7" t="s">
        <v>7159</v>
      </c>
      <c r="J3747" s="10">
        <v>46238</v>
      </c>
      <c r="K3747" s="7" t="s">
        <v>7164</v>
      </c>
      <c r="L3747" s="7"/>
      <c r="M3747" s="7"/>
    </row>
    <row r="3748" spans="1:13" x14ac:dyDescent="0.3">
      <c r="A3748" s="7">
        <v>18925</v>
      </c>
      <c r="B3748" s="7" t="s">
        <v>3756</v>
      </c>
      <c r="C3748" s="7" t="s">
        <v>6806</v>
      </c>
      <c r="D3748" s="7" t="s">
        <v>6814</v>
      </c>
      <c r="E3748" s="7" t="s">
        <v>6295</v>
      </c>
      <c r="F3748" s="7" t="s">
        <v>6815</v>
      </c>
      <c r="G3748" s="7" t="s">
        <v>7150</v>
      </c>
      <c r="H3748" s="7" t="s">
        <v>7156</v>
      </c>
      <c r="I3748" s="7" t="s">
        <v>7159</v>
      </c>
      <c r="J3748" s="10">
        <v>46238</v>
      </c>
      <c r="K3748" s="7" t="s">
        <v>7164</v>
      </c>
      <c r="L3748" s="7"/>
      <c r="M3748" s="7"/>
    </row>
    <row r="3749" spans="1:13" x14ac:dyDescent="0.3">
      <c r="A3749" s="7">
        <v>18929</v>
      </c>
      <c r="B3749" s="7" t="s">
        <v>3757</v>
      </c>
      <c r="C3749" s="7" t="s">
        <v>6806</v>
      </c>
      <c r="D3749" s="7" t="s">
        <v>6814</v>
      </c>
      <c r="E3749" s="7" t="s">
        <v>6295</v>
      </c>
      <c r="F3749" s="7" t="s">
        <v>6816</v>
      </c>
      <c r="G3749" s="7" t="s">
        <v>7150</v>
      </c>
      <c r="H3749" s="7" t="s">
        <v>7156</v>
      </c>
      <c r="I3749" s="7" t="s">
        <v>7159</v>
      </c>
      <c r="J3749" s="10">
        <v>46239</v>
      </c>
      <c r="K3749" s="7" t="s">
        <v>7164</v>
      </c>
      <c r="L3749" s="7"/>
      <c r="M3749" s="7"/>
    </row>
    <row r="3750" spans="1:13" x14ac:dyDescent="0.3">
      <c r="A3750" s="7">
        <v>18930</v>
      </c>
      <c r="B3750" s="7" t="s">
        <v>3758</v>
      </c>
      <c r="C3750" s="7" t="s">
        <v>6806</v>
      </c>
      <c r="D3750" s="7" t="s">
        <v>6814</v>
      </c>
      <c r="E3750" s="7" t="s">
        <v>6295</v>
      </c>
      <c r="F3750" s="7" t="s">
        <v>6815</v>
      </c>
      <c r="G3750" s="7" t="s">
        <v>7150</v>
      </c>
      <c r="H3750" s="7" t="s">
        <v>7156</v>
      </c>
      <c r="I3750" s="7" t="s">
        <v>7159</v>
      </c>
      <c r="J3750" s="10">
        <v>46239</v>
      </c>
      <c r="K3750" s="7" t="s">
        <v>7164</v>
      </c>
      <c r="L3750" s="7"/>
      <c r="M3750" s="7"/>
    </row>
    <row r="3751" spans="1:13" x14ac:dyDescent="0.3">
      <c r="A3751" s="7">
        <v>18945</v>
      </c>
      <c r="B3751" s="7" t="s">
        <v>3759</v>
      </c>
      <c r="C3751" s="7" t="s">
        <v>6806</v>
      </c>
      <c r="D3751" s="7" t="s">
        <v>6814</v>
      </c>
      <c r="E3751" s="7" t="s">
        <v>6295</v>
      </c>
      <c r="F3751" s="7" t="s">
        <v>6815</v>
      </c>
      <c r="G3751" s="7" t="s">
        <v>7150</v>
      </c>
      <c r="H3751" s="7" t="s">
        <v>7156</v>
      </c>
      <c r="I3751" s="7" t="s">
        <v>7158</v>
      </c>
      <c r="J3751" s="10">
        <v>46241</v>
      </c>
      <c r="K3751" s="7" t="s">
        <v>7164</v>
      </c>
      <c r="L3751" s="7"/>
      <c r="M3751" s="7"/>
    </row>
    <row r="3752" spans="1:13" x14ac:dyDescent="0.3">
      <c r="A3752" s="7">
        <v>18946</v>
      </c>
      <c r="B3752" s="7" t="s">
        <v>3760</v>
      </c>
      <c r="C3752" s="7" t="s">
        <v>6806</v>
      </c>
      <c r="D3752" s="7" t="s">
        <v>6814</v>
      </c>
      <c r="E3752" s="7" t="s">
        <v>6295</v>
      </c>
      <c r="F3752" s="7" t="s">
        <v>6815</v>
      </c>
      <c r="G3752" s="7" t="s">
        <v>7150</v>
      </c>
      <c r="H3752" s="7" t="s">
        <v>7156</v>
      </c>
      <c r="I3752" s="7" t="s">
        <v>7158</v>
      </c>
      <c r="J3752" s="10">
        <v>46241</v>
      </c>
      <c r="K3752" s="7" t="s">
        <v>7164</v>
      </c>
      <c r="L3752" s="7"/>
      <c r="M3752" s="7"/>
    </row>
    <row r="3753" spans="1:13" x14ac:dyDescent="0.3">
      <c r="A3753" s="7">
        <v>18947</v>
      </c>
      <c r="B3753" s="7" t="s">
        <v>3761</v>
      </c>
      <c r="C3753" s="7" t="s">
        <v>6806</v>
      </c>
      <c r="D3753" s="7" t="s">
        <v>6814</v>
      </c>
      <c r="E3753" s="7" t="s">
        <v>6295</v>
      </c>
      <c r="F3753" s="7" t="s">
        <v>6815</v>
      </c>
      <c r="G3753" s="7" t="s">
        <v>7150</v>
      </c>
      <c r="H3753" s="7" t="s">
        <v>7156</v>
      </c>
      <c r="I3753" s="7" t="s">
        <v>7158</v>
      </c>
      <c r="J3753" s="10">
        <v>46241</v>
      </c>
      <c r="K3753" s="7" t="s">
        <v>7164</v>
      </c>
      <c r="L3753" s="7"/>
      <c r="M3753" s="7"/>
    </row>
    <row r="3754" spans="1:13" x14ac:dyDescent="0.3">
      <c r="A3754" s="7">
        <v>18969</v>
      </c>
      <c r="B3754" s="7" t="s">
        <v>3762</v>
      </c>
      <c r="C3754" s="7" t="s">
        <v>6806</v>
      </c>
      <c r="D3754" s="7" t="s">
        <v>6814</v>
      </c>
      <c r="E3754" s="7" t="s">
        <v>6295</v>
      </c>
      <c r="F3754" s="7" t="s">
        <v>6815</v>
      </c>
      <c r="G3754" s="7" t="s">
        <v>7150</v>
      </c>
      <c r="H3754" s="7" t="s">
        <v>7156</v>
      </c>
      <c r="I3754" s="7" t="s">
        <v>7159</v>
      </c>
      <c r="J3754" s="10">
        <v>46247</v>
      </c>
      <c r="K3754" s="7" t="s">
        <v>7164</v>
      </c>
      <c r="L3754" s="7"/>
      <c r="M3754" s="7"/>
    </row>
    <row r="3755" spans="1:13" x14ac:dyDescent="0.3">
      <c r="A3755" s="7">
        <v>19056</v>
      </c>
      <c r="B3755" s="7" t="s">
        <v>3763</v>
      </c>
      <c r="C3755" s="7" t="s">
        <v>6806</v>
      </c>
      <c r="D3755" s="7" t="s">
        <v>6814</v>
      </c>
      <c r="E3755" s="7" t="s">
        <v>6295</v>
      </c>
      <c r="F3755" s="7" t="s">
        <v>6815</v>
      </c>
      <c r="G3755" s="7" t="s">
        <v>7150</v>
      </c>
      <c r="H3755" s="7" t="s">
        <v>7156</v>
      </c>
      <c r="I3755" s="7" t="s">
        <v>7159</v>
      </c>
      <c r="J3755" s="10">
        <v>46260</v>
      </c>
      <c r="K3755" s="7" t="s">
        <v>7164</v>
      </c>
      <c r="L3755" s="7"/>
      <c r="M3755" s="7"/>
    </row>
    <row r="3756" spans="1:13" x14ac:dyDescent="0.3">
      <c r="A3756" s="7">
        <v>18893</v>
      </c>
      <c r="B3756" s="7" t="s">
        <v>3764</v>
      </c>
      <c r="C3756" s="7" t="s">
        <v>6806</v>
      </c>
      <c r="D3756" s="7" t="s">
        <v>6814</v>
      </c>
      <c r="E3756" s="7" t="s">
        <v>6295</v>
      </c>
      <c r="F3756" s="7" t="s">
        <v>6817</v>
      </c>
      <c r="G3756" s="7" t="s">
        <v>7150</v>
      </c>
      <c r="H3756" s="7" t="s">
        <v>7156</v>
      </c>
      <c r="I3756" s="7" t="s">
        <v>7159</v>
      </c>
      <c r="J3756" s="10">
        <v>46231</v>
      </c>
      <c r="K3756" s="7" t="s">
        <v>7164</v>
      </c>
      <c r="L3756" s="7"/>
      <c r="M3756" s="7"/>
    </row>
    <row r="3757" spans="1:13" x14ac:dyDescent="0.3">
      <c r="A3757" s="7">
        <v>18895</v>
      </c>
      <c r="B3757" s="7" t="s">
        <v>3765</v>
      </c>
      <c r="C3757" s="7" t="s">
        <v>6806</v>
      </c>
      <c r="D3757" s="7" t="s">
        <v>6814</v>
      </c>
      <c r="E3757" s="7" t="s">
        <v>6295</v>
      </c>
      <c r="F3757" s="7" t="s">
        <v>6815</v>
      </c>
      <c r="G3757" s="7" t="s">
        <v>7150</v>
      </c>
      <c r="H3757" s="7" t="s">
        <v>7156</v>
      </c>
      <c r="I3757" s="7" t="s">
        <v>7159</v>
      </c>
      <c r="J3757" s="10">
        <v>46231</v>
      </c>
      <c r="K3757" s="7" t="s">
        <v>7164</v>
      </c>
      <c r="L3757" s="7"/>
      <c r="M3757" s="7"/>
    </row>
    <row r="3758" spans="1:13" x14ac:dyDescent="0.3">
      <c r="A3758" s="7">
        <v>18896</v>
      </c>
      <c r="B3758" s="7" t="s">
        <v>3766</v>
      </c>
      <c r="C3758" s="7" t="s">
        <v>6806</v>
      </c>
      <c r="D3758" s="7" t="s">
        <v>6814</v>
      </c>
      <c r="E3758" s="7" t="s">
        <v>6295</v>
      </c>
      <c r="F3758" s="7" t="s">
        <v>6815</v>
      </c>
      <c r="G3758" s="7" t="s">
        <v>7150</v>
      </c>
      <c r="H3758" s="7" t="s">
        <v>7156</v>
      </c>
      <c r="I3758" s="7" t="s">
        <v>7159</v>
      </c>
      <c r="J3758" s="10">
        <v>46231</v>
      </c>
      <c r="K3758" s="7" t="s">
        <v>7164</v>
      </c>
      <c r="L3758" s="7"/>
      <c r="M3758" s="7"/>
    </row>
    <row r="3759" spans="1:13" x14ac:dyDescent="0.3">
      <c r="A3759" s="7">
        <v>14989</v>
      </c>
      <c r="B3759" s="7" t="s">
        <v>3767</v>
      </c>
      <c r="C3759" s="7" t="s">
        <v>6806</v>
      </c>
      <c r="D3759" s="7" t="s">
        <v>6814</v>
      </c>
      <c r="E3759" s="7" t="s">
        <v>6295</v>
      </c>
      <c r="F3759" s="7" t="s">
        <v>6815</v>
      </c>
      <c r="G3759" s="7" t="s">
        <v>7150</v>
      </c>
      <c r="H3759" s="7" t="s">
        <v>7156</v>
      </c>
      <c r="I3759" s="7"/>
      <c r="J3759" s="10">
        <v>44908</v>
      </c>
      <c r="K3759" s="7" t="s">
        <v>7164</v>
      </c>
      <c r="L3759" s="7"/>
      <c r="M3759" s="7"/>
    </row>
    <row r="3760" spans="1:13" x14ac:dyDescent="0.3">
      <c r="A3760" s="7">
        <v>16302</v>
      </c>
      <c r="B3760" s="7" t="s">
        <v>3768</v>
      </c>
      <c r="C3760" s="7" t="s">
        <v>6806</v>
      </c>
      <c r="D3760" s="7" t="s">
        <v>6814</v>
      </c>
      <c r="E3760" s="7" t="s">
        <v>6295</v>
      </c>
      <c r="F3760" s="7" t="s">
        <v>6815</v>
      </c>
      <c r="G3760" s="7" t="s">
        <v>7150</v>
      </c>
      <c r="H3760" s="7" t="s">
        <v>7156</v>
      </c>
      <c r="I3760" s="7"/>
      <c r="J3760" s="10">
        <v>45357</v>
      </c>
      <c r="K3760" s="7" t="s">
        <v>7164</v>
      </c>
      <c r="L3760" s="7"/>
      <c r="M3760" s="7"/>
    </row>
    <row r="3761" spans="1:13" x14ac:dyDescent="0.3">
      <c r="A3761" s="7">
        <v>14620</v>
      </c>
      <c r="B3761" s="7" t="s">
        <v>3769</v>
      </c>
      <c r="C3761" s="7" t="s">
        <v>6806</v>
      </c>
      <c r="D3761" s="7" t="s">
        <v>6814</v>
      </c>
      <c r="E3761" s="7" t="s">
        <v>6295</v>
      </c>
      <c r="F3761" s="7" t="s">
        <v>6808</v>
      </c>
      <c r="G3761" s="7" t="s">
        <v>7150</v>
      </c>
      <c r="H3761" s="7" t="s">
        <v>7156</v>
      </c>
      <c r="I3761" s="7"/>
      <c r="J3761" s="10">
        <v>44809</v>
      </c>
      <c r="K3761" s="7" t="s">
        <v>7164</v>
      </c>
      <c r="L3761" s="7"/>
      <c r="M3761" s="7"/>
    </row>
    <row r="3762" spans="1:13" x14ac:dyDescent="0.3">
      <c r="A3762" s="7">
        <v>14056</v>
      </c>
      <c r="B3762" s="7" t="s">
        <v>3770</v>
      </c>
      <c r="C3762" s="7" t="s">
        <v>6806</v>
      </c>
      <c r="D3762" s="7" t="s">
        <v>6295</v>
      </c>
      <c r="E3762" s="7" t="s">
        <v>6295</v>
      </c>
      <c r="F3762" s="7" t="s">
        <v>6413</v>
      </c>
      <c r="G3762" s="7" t="s">
        <v>7150</v>
      </c>
      <c r="H3762" s="7" t="s">
        <v>7156</v>
      </c>
      <c r="I3762" s="7"/>
      <c r="J3762" s="10">
        <v>44638</v>
      </c>
      <c r="K3762" s="7" t="s">
        <v>7164</v>
      </c>
      <c r="L3762" s="7"/>
      <c r="M3762" s="7"/>
    </row>
    <row r="3763" spans="1:13" x14ac:dyDescent="0.3">
      <c r="A3763" s="7">
        <v>17451</v>
      </c>
      <c r="B3763" s="7" t="s">
        <v>3771</v>
      </c>
      <c r="C3763" s="7" t="s">
        <v>6806</v>
      </c>
      <c r="D3763" s="7" t="s">
        <v>6814</v>
      </c>
      <c r="E3763" s="7" t="s">
        <v>6295</v>
      </c>
      <c r="F3763" s="7" t="s">
        <v>6817</v>
      </c>
      <c r="G3763" s="7" t="s">
        <v>7150</v>
      </c>
      <c r="H3763" s="7" t="s">
        <v>7156</v>
      </c>
      <c r="I3763" s="7"/>
      <c r="J3763" s="10">
        <v>45756</v>
      </c>
      <c r="K3763" s="7" t="s">
        <v>7164</v>
      </c>
      <c r="L3763" s="7"/>
      <c r="M3763" s="7"/>
    </row>
    <row r="3764" spans="1:13" x14ac:dyDescent="0.3">
      <c r="A3764" s="7">
        <v>18914</v>
      </c>
      <c r="B3764" s="7" t="s">
        <v>3772</v>
      </c>
      <c r="C3764" s="7" t="s">
        <v>6806</v>
      </c>
      <c r="D3764" s="7" t="s">
        <v>6814</v>
      </c>
      <c r="E3764" s="7" t="s">
        <v>6295</v>
      </c>
      <c r="F3764" s="7" t="s">
        <v>6817</v>
      </c>
      <c r="G3764" s="7" t="s">
        <v>7150</v>
      </c>
      <c r="H3764" s="7" t="s">
        <v>7156</v>
      </c>
      <c r="I3764" s="7" t="s">
        <v>7159</v>
      </c>
      <c r="J3764" s="10">
        <v>46237</v>
      </c>
      <c r="K3764" s="7" t="s">
        <v>7164</v>
      </c>
      <c r="L3764" s="7"/>
      <c r="M3764" s="7"/>
    </row>
    <row r="3765" spans="1:13" x14ac:dyDescent="0.3">
      <c r="A3765" s="7">
        <v>18942</v>
      </c>
      <c r="B3765" s="7" t="s">
        <v>3773</v>
      </c>
      <c r="C3765" s="7" t="s">
        <v>6806</v>
      </c>
      <c r="D3765" s="7" t="s">
        <v>6814</v>
      </c>
      <c r="E3765" s="7" t="s">
        <v>6295</v>
      </c>
      <c r="F3765" s="7" t="s">
        <v>6817</v>
      </c>
      <c r="G3765" s="7" t="s">
        <v>7150</v>
      </c>
      <c r="H3765" s="7" t="s">
        <v>7156</v>
      </c>
      <c r="I3765" s="7" t="s">
        <v>7158</v>
      </c>
      <c r="J3765" s="10">
        <v>46241</v>
      </c>
      <c r="K3765" s="7" t="s">
        <v>7164</v>
      </c>
      <c r="L3765" s="7"/>
      <c r="M3765" s="7"/>
    </row>
    <row r="3766" spans="1:13" x14ac:dyDescent="0.3">
      <c r="A3766" s="7">
        <v>18950</v>
      </c>
      <c r="B3766" s="7" t="s">
        <v>3774</v>
      </c>
      <c r="C3766" s="7" t="s">
        <v>6806</v>
      </c>
      <c r="D3766" s="7" t="s">
        <v>6814</v>
      </c>
      <c r="E3766" s="7" t="s">
        <v>6295</v>
      </c>
      <c r="F3766" s="7" t="s">
        <v>6817</v>
      </c>
      <c r="G3766" s="7" t="s">
        <v>7150</v>
      </c>
      <c r="H3766" s="7" t="s">
        <v>7156</v>
      </c>
      <c r="I3766" s="7" t="s">
        <v>7158</v>
      </c>
      <c r="J3766" s="10">
        <v>46241</v>
      </c>
      <c r="K3766" s="7" t="s">
        <v>7164</v>
      </c>
      <c r="L3766" s="7"/>
      <c r="M3766" s="7"/>
    </row>
    <row r="3767" spans="1:13" x14ac:dyDescent="0.3">
      <c r="A3767" s="7">
        <v>18951</v>
      </c>
      <c r="B3767" s="7" t="s">
        <v>3775</v>
      </c>
      <c r="C3767" s="7" t="s">
        <v>6806</v>
      </c>
      <c r="D3767" s="7" t="s">
        <v>6814</v>
      </c>
      <c r="E3767" s="7" t="s">
        <v>6295</v>
      </c>
      <c r="F3767" s="7" t="s">
        <v>6817</v>
      </c>
      <c r="G3767" s="7" t="s">
        <v>7150</v>
      </c>
      <c r="H3767" s="7" t="s">
        <v>7156</v>
      </c>
      <c r="I3767" s="7" t="s">
        <v>7158</v>
      </c>
      <c r="J3767" s="10">
        <v>46241</v>
      </c>
      <c r="K3767" s="7" t="s">
        <v>7164</v>
      </c>
      <c r="L3767" s="7"/>
      <c r="M3767" s="7"/>
    </row>
    <row r="3768" spans="1:13" x14ac:dyDescent="0.3">
      <c r="A3768" s="7">
        <v>19105</v>
      </c>
      <c r="B3768" s="7" t="s">
        <v>3776</v>
      </c>
      <c r="C3768" s="7" t="s">
        <v>6806</v>
      </c>
      <c r="D3768" s="7" t="s">
        <v>6814</v>
      </c>
      <c r="E3768" s="7" t="s">
        <v>6295</v>
      </c>
      <c r="F3768" s="7" t="s">
        <v>6817</v>
      </c>
      <c r="G3768" s="7" t="s">
        <v>7150</v>
      </c>
      <c r="H3768" s="7" t="s">
        <v>7156</v>
      </c>
      <c r="I3768" s="7" t="s">
        <v>7159</v>
      </c>
      <c r="J3768" s="10">
        <v>46266</v>
      </c>
      <c r="K3768" s="7" t="s">
        <v>7164</v>
      </c>
      <c r="L3768" s="7"/>
      <c r="M3768" s="7"/>
    </row>
    <row r="3769" spans="1:13" x14ac:dyDescent="0.3">
      <c r="A3769" s="7">
        <v>18952</v>
      </c>
      <c r="B3769" s="7" t="s">
        <v>3777</v>
      </c>
      <c r="C3769" s="7" t="s">
        <v>6806</v>
      </c>
      <c r="D3769" s="7" t="s">
        <v>6814</v>
      </c>
      <c r="E3769" s="7" t="s">
        <v>6295</v>
      </c>
      <c r="F3769" s="7" t="s">
        <v>6817</v>
      </c>
      <c r="G3769" s="7" t="s">
        <v>7150</v>
      </c>
      <c r="H3769" s="7" t="s">
        <v>7156</v>
      </c>
      <c r="I3769" s="7" t="s">
        <v>7158</v>
      </c>
      <c r="J3769" s="10">
        <v>46241</v>
      </c>
      <c r="K3769" s="7" t="s">
        <v>7164</v>
      </c>
      <c r="L3769" s="7"/>
      <c r="M3769" s="7"/>
    </row>
    <row r="3770" spans="1:13" x14ac:dyDescent="0.3">
      <c r="A3770" s="7">
        <v>18953</v>
      </c>
      <c r="B3770" s="7" t="s">
        <v>3778</v>
      </c>
      <c r="C3770" s="7" t="s">
        <v>6806</v>
      </c>
      <c r="D3770" s="7" t="s">
        <v>6814</v>
      </c>
      <c r="E3770" s="7" t="s">
        <v>6295</v>
      </c>
      <c r="F3770" s="7" t="s">
        <v>6817</v>
      </c>
      <c r="G3770" s="7" t="s">
        <v>7150</v>
      </c>
      <c r="H3770" s="7" t="s">
        <v>7156</v>
      </c>
      <c r="I3770" s="7" t="s">
        <v>7158</v>
      </c>
      <c r="J3770" s="10">
        <v>46241</v>
      </c>
      <c r="K3770" s="7" t="s">
        <v>7164</v>
      </c>
      <c r="L3770" s="7"/>
      <c r="M3770" s="7"/>
    </row>
    <row r="3771" spans="1:13" x14ac:dyDescent="0.3">
      <c r="A3771" s="7">
        <v>18968</v>
      </c>
      <c r="B3771" s="7" t="s">
        <v>3779</v>
      </c>
      <c r="C3771" s="7" t="s">
        <v>6806</v>
      </c>
      <c r="D3771" s="7" t="s">
        <v>6814</v>
      </c>
      <c r="E3771" s="7" t="s">
        <v>6295</v>
      </c>
      <c r="F3771" s="7" t="s">
        <v>6817</v>
      </c>
      <c r="G3771" s="7" t="s">
        <v>7150</v>
      </c>
      <c r="H3771" s="7" t="s">
        <v>7156</v>
      </c>
      <c r="I3771" s="7" t="s">
        <v>7159</v>
      </c>
      <c r="J3771" s="10">
        <v>46247</v>
      </c>
      <c r="K3771" s="7" t="s">
        <v>7164</v>
      </c>
      <c r="L3771" s="7"/>
      <c r="M3771" s="7"/>
    </row>
    <row r="3772" spans="1:13" x14ac:dyDescent="0.3">
      <c r="A3772" s="7">
        <v>15069</v>
      </c>
      <c r="B3772" s="7" t="s">
        <v>3780</v>
      </c>
      <c r="C3772" s="7" t="s">
        <v>6806</v>
      </c>
      <c r="D3772" s="7" t="s">
        <v>6814</v>
      </c>
      <c r="E3772" s="7" t="s">
        <v>6295</v>
      </c>
      <c r="F3772" s="7" t="s">
        <v>6815</v>
      </c>
      <c r="G3772" s="7" t="s">
        <v>7150</v>
      </c>
      <c r="H3772" s="7" t="s">
        <v>7156</v>
      </c>
      <c r="I3772" s="7"/>
      <c r="J3772" s="10">
        <v>44939</v>
      </c>
      <c r="K3772" s="7" t="s">
        <v>7164</v>
      </c>
      <c r="L3772" s="7"/>
      <c r="M3772" s="7"/>
    </row>
    <row r="3773" spans="1:13" x14ac:dyDescent="0.3">
      <c r="A3773" s="7">
        <v>17980</v>
      </c>
      <c r="B3773" s="7" t="s">
        <v>3781</v>
      </c>
      <c r="C3773" s="7" t="s">
        <v>6806</v>
      </c>
      <c r="D3773" s="7" t="s">
        <v>6814</v>
      </c>
      <c r="E3773" s="7" t="s">
        <v>6295</v>
      </c>
      <c r="F3773" s="7" t="s">
        <v>6817</v>
      </c>
      <c r="G3773" s="7" t="s">
        <v>7150</v>
      </c>
      <c r="H3773" s="7" t="s">
        <v>7156</v>
      </c>
      <c r="I3773" s="7"/>
      <c r="J3773" s="10">
        <v>45947</v>
      </c>
      <c r="K3773" s="7" t="s">
        <v>7164</v>
      </c>
      <c r="L3773" s="7"/>
      <c r="M3773" s="7"/>
    </row>
    <row r="3774" spans="1:13" x14ac:dyDescent="0.3">
      <c r="A3774" s="7">
        <v>15734</v>
      </c>
      <c r="B3774" s="7" t="s">
        <v>3782</v>
      </c>
      <c r="C3774" s="7" t="s">
        <v>6806</v>
      </c>
      <c r="D3774" s="7" t="s">
        <v>6814</v>
      </c>
      <c r="E3774" s="7" t="s">
        <v>6295</v>
      </c>
      <c r="F3774" s="7" t="s">
        <v>6817</v>
      </c>
      <c r="G3774" s="7" t="s">
        <v>7150</v>
      </c>
      <c r="H3774" s="7" t="s">
        <v>7156</v>
      </c>
      <c r="I3774" s="7"/>
      <c r="J3774" s="10">
        <v>45177</v>
      </c>
      <c r="K3774" s="7" t="s">
        <v>7164</v>
      </c>
      <c r="L3774" s="7"/>
      <c r="M3774" s="7"/>
    </row>
    <row r="3775" spans="1:13" x14ac:dyDescent="0.3">
      <c r="A3775" s="7">
        <v>14601</v>
      </c>
      <c r="B3775" s="7" t="s">
        <v>3783</v>
      </c>
      <c r="C3775" s="7" t="s">
        <v>6806</v>
      </c>
      <c r="D3775" s="7" t="s">
        <v>6814</v>
      </c>
      <c r="E3775" s="7" t="s">
        <v>6295</v>
      </c>
      <c r="F3775" s="7" t="s">
        <v>6817</v>
      </c>
      <c r="G3775" s="7" t="s">
        <v>7150</v>
      </c>
      <c r="H3775" s="7" t="s">
        <v>7156</v>
      </c>
      <c r="I3775" s="7"/>
      <c r="J3775" s="10">
        <v>44795</v>
      </c>
      <c r="K3775" s="7" t="s">
        <v>7164</v>
      </c>
      <c r="L3775" s="7"/>
      <c r="M3775" s="7"/>
    </row>
    <row r="3776" spans="1:13" x14ac:dyDescent="0.3">
      <c r="A3776" s="7">
        <v>18077</v>
      </c>
      <c r="B3776" s="7" t="s">
        <v>3784</v>
      </c>
      <c r="C3776" s="7" t="s">
        <v>6806</v>
      </c>
      <c r="D3776" s="7" t="s">
        <v>6814</v>
      </c>
      <c r="E3776" s="7" t="s">
        <v>6295</v>
      </c>
      <c r="F3776" s="7" t="s">
        <v>6817</v>
      </c>
      <c r="G3776" s="7" t="s">
        <v>7150</v>
      </c>
      <c r="H3776" s="7" t="s">
        <v>7156</v>
      </c>
      <c r="I3776" s="7"/>
      <c r="J3776" s="10">
        <v>45986</v>
      </c>
      <c r="K3776" s="7" t="s">
        <v>7164</v>
      </c>
      <c r="L3776" s="7"/>
      <c r="M3776" s="7"/>
    </row>
    <row r="3777" spans="1:13" x14ac:dyDescent="0.3">
      <c r="A3777" s="7">
        <v>16122</v>
      </c>
      <c r="B3777" s="7" t="s">
        <v>3785</v>
      </c>
      <c r="C3777" s="7" t="s">
        <v>6806</v>
      </c>
      <c r="D3777" s="7" t="s">
        <v>6814</v>
      </c>
      <c r="E3777" s="7" t="s">
        <v>6295</v>
      </c>
      <c r="F3777" s="7" t="s">
        <v>6817</v>
      </c>
      <c r="G3777" s="7" t="s">
        <v>7150</v>
      </c>
      <c r="H3777" s="7" t="s">
        <v>7156</v>
      </c>
      <c r="I3777" s="7"/>
      <c r="J3777" s="10">
        <v>45287</v>
      </c>
      <c r="K3777" s="7" t="s">
        <v>7164</v>
      </c>
      <c r="L3777" s="7"/>
      <c r="M3777" s="7"/>
    </row>
    <row r="3778" spans="1:13" x14ac:dyDescent="0.3">
      <c r="A3778" s="7">
        <v>16133</v>
      </c>
      <c r="B3778" s="7" t="s">
        <v>3786</v>
      </c>
      <c r="C3778" s="7" t="s">
        <v>6806</v>
      </c>
      <c r="D3778" s="7" t="s">
        <v>6814</v>
      </c>
      <c r="E3778" s="7" t="s">
        <v>6295</v>
      </c>
      <c r="F3778" s="7" t="s">
        <v>6817</v>
      </c>
      <c r="G3778" s="7" t="s">
        <v>7150</v>
      </c>
      <c r="H3778" s="7" t="s">
        <v>7156</v>
      </c>
      <c r="I3778" s="7"/>
      <c r="J3778" s="10">
        <v>45300</v>
      </c>
      <c r="K3778" s="7" t="s">
        <v>7164</v>
      </c>
      <c r="L3778" s="7"/>
      <c r="M3778" s="7"/>
    </row>
    <row r="3779" spans="1:13" x14ac:dyDescent="0.3">
      <c r="A3779" s="7">
        <v>16137</v>
      </c>
      <c r="B3779" s="7" t="s">
        <v>3787</v>
      </c>
      <c r="C3779" s="7" t="s">
        <v>6806</v>
      </c>
      <c r="D3779" s="7" t="s">
        <v>6814</v>
      </c>
      <c r="E3779" s="7" t="s">
        <v>6295</v>
      </c>
      <c r="F3779" s="7" t="s">
        <v>6817</v>
      </c>
      <c r="G3779" s="7" t="s">
        <v>7150</v>
      </c>
      <c r="H3779" s="7" t="s">
        <v>7156</v>
      </c>
      <c r="I3779" s="7"/>
      <c r="J3779" s="10">
        <v>45301</v>
      </c>
      <c r="K3779" s="7" t="s">
        <v>7164</v>
      </c>
      <c r="L3779" s="7"/>
      <c r="M3779" s="7"/>
    </row>
    <row r="3780" spans="1:13" x14ac:dyDescent="0.3">
      <c r="A3780" s="7">
        <v>16573</v>
      </c>
      <c r="B3780" s="7" t="s">
        <v>3788</v>
      </c>
      <c r="C3780" s="7" t="s">
        <v>6806</v>
      </c>
      <c r="D3780" s="7" t="s">
        <v>6814</v>
      </c>
      <c r="E3780" s="7" t="s">
        <v>6295</v>
      </c>
      <c r="F3780" s="7" t="s">
        <v>6817</v>
      </c>
      <c r="G3780" s="7" t="s">
        <v>7150</v>
      </c>
      <c r="H3780" s="7" t="s">
        <v>7156</v>
      </c>
      <c r="I3780" s="7"/>
      <c r="J3780" s="10">
        <v>45474</v>
      </c>
      <c r="K3780" s="7" t="s">
        <v>7164</v>
      </c>
      <c r="L3780" s="7"/>
      <c r="M3780" s="7"/>
    </row>
    <row r="3781" spans="1:13" x14ac:dyDescent="0.3">
      <c r="A3781" s="7">
        <v>16959</v>
      </c>
      <c r="B3781" s="7" t="s">
        <v>3789</v>
      </c>
      <c r="C3781" s="7" t="s">
        <v>6806</v>
      </c>
      <c r="D3781" s="7" t="s">
        <v>6814</v>
      </c>
      <c r="E3781" s="7" t="s">
        <v>6295</v>
      </c>
      <c r="F3781" s="7" t="s">
        <v>6817</v>
      </c>
      <c r="G3781" s="7" t="s">
        <v>7150</v>
      </c>
      <c r="H3781" s="7" t="s">
        <v>7156</v>
      </c>
      <c r="I3781" s="7"/>
      <c r="J3781" s="10">
        <v>45576</v>
      </c>
      <c r="K3781" s="7" t="s">
        <v>7164</v>
      </c>
      <c r="L3781" s="7"/>
      <c r="M3781" s="7"/>
    </row>
    <row r="3782" spans="1:13" x14ac:dyDescent="0.3">
      <c r="A3782" s="7">
        <v>12291</v>
      </c>
      <c r="B3782" s="7" t="s">
        <v>3790</v>
      </c>
      <c r="C3782" s="7" t="s">
        <v>6806</v>
      </c>
      <c r="D3782" s="7" t="s">
        <v>6814</v>
      </c>
      <c r="E3782" s="7" t="s">
        <v>6295</v>
      </c>
      <c r="F3782" s="7" t="s">
        <v>6817</v>
      </c>
      <c r="G3782" s="7" t="s">
        <v>7150</v>
      </c>
      <c r="H3782" s="7" t="s">
        <v>7156</v>
      </c>
      <c r="I3782" s="7"/>
      <c r="J3782" s="10">
        <v>43670</v>
      </c>
      <c r="K3782" s="7" t="s">
        <v>7164</v>
      </c>
      <c r="L3782" s="7"/>
      <c r="M3782" s="7"/>
    </row>
    <row r="3783" spans="1:13" x14ac:dyDescent="0.3">
      <c r="A3783" s="7">
        <v>17759</v>
      </c>
      <c r="B3783" s="7" t="s">
        <v>3791</v>
      </c>
      <c r="C3783" s="7" t="s">
        <v>6806</v>
      </c>
      <c r="D3783" s="7" t="s">
        <v>6814</v>
      </c>
      <c r="E3783" s="7" t="s">
        <v>6295</v>
      </c>
      <c r="F3783" s="7" t="s">
        <v>6817</v>
      </c>
      <c r="G3783" s="7" t="s">
        <v>7150</v>
      </c>
      <c r="H3783" s="7" t="s">
        <v>7156</v>
      </c>
      <c r="I3783" s="7"/>
      <c r="J3783" s="10">
        <v>45866</v>
      </c>
      <c r="K3783" s="7" t="s">
        <v>7164</v>
      </c>
      <c r="L3783" s="7"/>
      <c r="M3783" s="7"/>
    </row>
    <row r="3784" spans="1:13" x14ac:dyDescent="0.3">
      <c r="A3784" s="7">
        <v>14294</v>
      </c>
      <c r="B3784" s="7" t="s">
        <v>3792</v>
      </c>
      <c r="C3784" s="7" t="s">
        <v>6806</v>
      </c>
      <c r="D3784" s="7" t="s">
        <v>6814</v>
      </c>
      <c r="E3784" s="7" t="s">
        <v>6295</v>
      </c>
      <c r="F3784" s="7" t="s">
        <v>6818</v>
      </c>
      <c r="G3784" s="7" t="s">
        <v>7150</v>
      </c>
      <c r="H3784" s="7" t="s">
        <v>7156</v>
      </c>
      <c r="I3784" s="7"/>
      <c r="J3784" s="10">
        <v>44726</v>
      </c>
      <c r="K3784" s="7" t="s">
        <v>7164</v>
      </c>
      <c r="L3784" s="7"/>
      <c r="M3784" s="7"/>
    </row>
    <row r="3785" spans="1:13" x14ac:dyDescent="0.3">
      <c r="A3785" s="7">
        <v>16905</v>
      </c>
      <c r="B3785" s="7" t="s">
        <v>3793</v>
      </c>
      <c r="C3785" s="7" t="s">
        <v>6806</v>
      </c>
      <c r="D3785" s="7" t="s">
        <v>6812</v>
      </c>
      <c r="E3785" s="7" t="s">
        <v>6295</v>
      </c>
      <c r="F3785" s="7" t="s">
        <v>6813</v>
      </c>
      <c r="G3785" s="7" t="s">
        <v>7150</v>
      </c>
      <c r="H3785" s="7" t="s">
        <v>7156</v>
      </c>
      <c r="I3785" s="7"/>
      <c r="J3785" s="10">
        <v>45566</v>
      </c>
      <c r="K3785" s="7" t="s">
        <v>7164</v>
      </c>
      <c r="L3785" s="7"/>
      <c r="M3785" s="7"/>
    </row>
    <row r="3786" spans="1:13" x14ac:dyDescent="0.3">
      <c r="A3786" s="7">
        <v>16908</v>
      </c>
      <c r="B3786" s="7" t="s">
        <v>3794</v>
      </c>
      <c r="C3786" s="7" t="s">
        <v>6806</v>
      </c>
      <c r="D3786" s="7" t="s">
        <v>6814</v>
      </c>
      <c r="E3786" s="7" t="s">
        <v>6295</v>
      </c>
      <c r="F3786" s="7" t="s">
        <v>6817</v>
      </c>
      <c r="G3786" s="7" t="s">
        <v>7150</v>
      </c>
      <c r="H3786" s="7" t="s">
        <v>7156</v>
      </c>
      <c r="I3786" s="7"/>
      <c r="J3786" s="10">
        <v>45566</v>
      </c>
      <c r="K3786" s="7" t="s">
        <v>7164</v>
      </c>
      <c r="L3786" s="7"/>
      <c r="M3786" s="7"/>
    </row>
    <row r="3787" spans="1:13" x14ac:dyDescent="0.3">
      <c r="A3787" s="7">
        <v>16915</v>
      </c>
      <c r="B3787" s="7" t="s">
        <v>3795</v>
      </c>
      <c r="C3787" s="7" t="s">
        <v>6806</v>
      </c>
      <c r="D3787" s="7" t="s">
        <v>6812</v>
      </c>
      <c r="E3787" s="7" t="s">
        <v>6295</v>
      </c>
      <c r="F3787" s="7" t="s">
        <v>6813</v>
      </c>
      <c r="G3787" s="7" t="s">
        <v>7153</v>
      </c>
      <c r="H3787" s="7" t="s">
        <v>7156</v>
      </c>
      <c r="I3787" s="7"/>
      <c r="J3787" s="10">
        <v>45566</v>
      </c>
      <c r="K3787" s="7" t="s">
        <v>7164</v>
      </c>
      <c r="L3787" s="7"/>
      <c r="M3787" s="7"/>
    </row>
    <row r="3788" spans="1:13" x14ac:dyDescent="0.3">
      <c r="A3788" s="7">
        <v>16917</v>
      </c>
      <c r="B3788" s="7" t="s">
        <v>3796</v>
      </c>
      <c r="C3788" s="7" t="s">
        <v>6806</v>
      </c>
      <c r="D3788" s="7" t="s">
        <v>6812</v>
      </c>
      <c r="E3788" s="7" t="s">
        <v>6295</v>
      </c>
      <c r="F3788" s="7" t="s">
        <v>6813</v>
      </c>
      <c r="G3788" s="7" t="s">
        <v>7150</v>
      </c>
      <c r="H3788" s="7" t="s">
        <v>7156</v>
      </c>
      <c r="I3788" s="7"/>
      <c r="J3788" s="10">
        <v>45566</v>
      </c>
      <c r="K3788" s="7" t="s">
        <v>7164</v>
      </c>
      <c r="L3788" s="7"/>
      <c r="M3788" s="7"/>
    </row>
    <row r="3789" spans="1:13" x14ac:dyDescent="0.3">
      <c r="A3789" s="7">
        <v>15996</v>
      </c>
      <c r="B3789" s="7" t="s">
        <v>3797</v>
      </c>
      <c r="C3789" s="7" t="s">
        <v>6819</v>
      </c>
      <c r="D3789" s="7" t="s">
        <v>6295</v>
      </c>
      <c r="E3789" s="7" t="s">
        <v>6295</v>
      </c>
      <c r="F3789" s="7" t="s">
        <v>6516</v>
      </c>
      <c r="G3789" s="7" t="s">
        <v>7150</v>
      </c>
      <c r="H3789" s="7" t="s">
        <v>7156</v>
      </c>
      <c r="I3789" s="7"/>
      <c r="J3789" s="10">
        <v>45257</v>
      </c>
      <c r="K3789" s="7" t="s">
        <v>7164</v>
      </c>
      <c r="L3789" s="7"/>
      <c r="M3789" s="7"/>
    </row>
    <row r="3790" spans="1:13" x14ac:dyDescent="0.3">
      <c r="A3790" s="7">
        <v>11213</v>
      </c>
      <c r="B3790" s="7" t="s">
        <v>3798</v>
      </c>
      <c r="C3790" s="7" t="s">
        <v>6820</v>
      </c>
      <c r="D3790" s="7" t="s">
        <v>6821</v>
      </c>
      <c r="E3790" s="7" t="s">
        <v>6295</v>
      </c>
      <c r="F3790" s="7" t="s">
        <v>6333</v>
      </c>
      <c r="G3790" s="7" t="s">
        <v>7150</v>
      </c>
      <c r="H3790" s="7" t="s">
        <v>7156</v>
      </c>
      <c r="I3790" s="7"/>
      <c r="J3790" s="10">
        <v>42405</v>
      </c>
      <c r="K3790" s="7" t="s">
        <v>7164</v>
      </c>
      <c r="L3790" s="7"/>
      <c r="M3790" s="7"/>
    </row>
    <row r="3791" spans="1:13" x14ac:dyDescent="0.3">
      <c r="A3791" s="7">
        <v>18672</v>
      </c>
      <c r="B3791" s="7" t="s">
        <v>3799</v>
      </c>
      <c r="C3791" s="7" t="s">
        <v>6820</v>
      </c>
      <c r="D3791" s="7" t="s">
        <v>6295</v>
      </c>
      <c r="E3791" s="7" t="s">
        <v>6295</v>
      </c>
      <c r="F3791" s="7" t="s">
        <v>6516</v>
      </c>
      <c r="G3791" s="7" t="s">
        <v>7150</v>
      </c>
      <c r="H3791" s="7" t="s">
        <v>7156</v>
      </c>
      <c r="I3791" s="7" t="s">
        <v>7159</v>
      </c>
      <c r="J3791" s="10">
        <v>46184</v>
      </c>
      <c r="K3791" s="7" t="s">
        <v>7164</v>
      </c>
      <c r="L3791" s="7"/>
      <c r="M3791" s="7"/>
    </row>
    <row r="3792" spans="1:13" x14ac:dyDescent="0.3">
      <c r="A3792" s="7">
        <v>12102</v>
      </c>
      <c r="B3792" s="7" t="s">
        <v>3800</v>
      </c>
      <c r="C3792" s="7" t="s">
        <v>6819</v>
      </c>
      <c r="D3792" s="7" t="s">
        <v>6822</v>
      </c>
      <c r="E3792" s="7" t="s">
        <v>6295</v>
      </c>
      <c r="F3792" s="7" t="s">
        <v>6333</v>
      </c>
      <c r="G3792" s="7" t="s">
        <v>7150</v>
      </c>
      <c r="H3792" s="7" t="s">
        <v>7156</v>
      </c>
      <c r="I3792" s="7"/>
      <c r="J3792" s="10">
        <v>43474</v>
      </c>
      <c r="K3792" s="7" t="s">
        <v>7164</v>
      </c>
      <c r="L3792" s="7"/>
      <c r="M3792" s="7"/>
    </row>
    <row r="3793" spans="1:13" x14ac:dyDescent="0.3">
      <c r="A3793" s="7">
        <v>17937</v>
      </c>
      <c r="B3793" s="7" t="s">
        <v>3801</v>
      </c>
      <c r="C3793" s="7" t="s">
        <v>6819</v>
      </c>
      <c r="D3793" s="7" t="s">
        <v>6823</v>
      </c>
      <c r="E3793" s="7" t="s">
        <v>6295</v>
      </c>
      <c r="F3793" s="7" t="s">
        <v>6333</v>
      </c>
      <c r="G3793" s="7" t="s">
        <v>7150</v>
      </c>
      <c r="H3793" s="7" t="s">
        <v>7156</v>
      </c>
      <c r="I3793" s="7"/>
      <c r="J3793" s="10">
        <v>45931</v>
      </c>
      <c r="K3793" s="7" t="s">
        <v>7164</v>
      </c>
      <c r="L3793" s="7"/>
      <c r="M3793" s="7"/>
    </row>
    <row r="3794" spans="1:13" x14ac:dyDescent="0.3">
      <c r="A3794" s="7">
        <v>16142</v>
      </c>
      <c r="B3794" s="7" t="s">
        <v>3802</v>
      </c>
      <c r="C3794" s="7" t="s">
        <v>6824</v>
      </c>
      <c r="D3794" s="7" t="s">
        <v>6295</v>
      </c>
      <c r="E3794" s="7" t="s">
        <v>6295</v>
      </c>
      <c r="F3794" s="7" t="s">
        <v>6328</v>
      </c>
      <c r="G3794" s="7" t="s">
        <v>7150</v>
      </c>
      <c r="H3794" s="7" t="s">
        <v>7156</v>
      </c>
      <c r="I3794" s="7"/>
      <c r="J3794" s="10">
        <v>45301</v>
      </c>
      <c r="K3794" s="7" t="s">
        <v>7164</v>
      </c>
      <c r="L3794" s="7"/>
      <c r="M3794" s="7"/>
    </row>
    <row r="3795" spans="1:13" x14ac:dyDescent="0.3">
      <c r="A3795" s="7">
        <v>14013</v>
      </c>
      <c r="B3795" s="7" t="s">
        <v>3803</v>
      </c>
      <c r="C3795" s="7" t="s">
        <v>6824</v>
      </c>
      <c r="D3795" s="7" t="s">
        <v>6825</v>
      </c>
      <c r="E3795" s="7" t="s">
        <v>6295</v>
      </c>
      <c r="F3795" s="7" t="s">
        <v>6808</v>
      </c>
      <c r="G3795" s="7" t="s">
        <v>7150</v>
      </c>
      <c r="H3795" s="7" t="s">
        <v>7156</v>
      </c>
      <c r="I3795" s="7"/>
      <c r="J3795" s="10">
        <v>44624</v>
      </c>
      <c r="K3795" s="7" t="s">
        <v>7164</v>
      </c>
      <c r="L3795" s="7"/>
      <c r="M3795" s="7"/>
    </row>
    <row r="3796" spans="1:13" x14ac:dyDescent="0.3">
      <c r="A3796" s="7">
        <v>14509</v>
      </c>
      <c r="B3796" s="7" t="s">
        <v>3804</v>
      </c>
      <c r="C3796" s="7" t="s">
        <v>6824</v>
      </c>
      <c r="D3796" s="7" t="s">
        <v>6825</v>
      </c>
      <c r="E3796" s="7" t="s">
        <v>6295</v>
      </c>
      <c r="F3796" s="7" t="s">
        <v>6826</v>
      </c>
      <c r="G3796" s="7" t="s">
        <v>7150</v>
      </c>
      <c r="H3796" s="7" t="s">
        <v>7156</v>
      </c>
      <c r="I3796" s="7"/>
      <c r="J3796" s="10">
        <v>44777</v>
      </c>
      <c r="K3796" s="7" t="s">
        <v>7164</v>
      </c>
      <c r="L3796" s="7"/>
      <c r="M3796" s="7"/>
    </row>
    <row r="3797" spans="1:13" x14ac:dyDescent="0.3">
      <c r="A3797" s="7">
        <v>14411</v>
      </c>
      <c r="B3797" s="7" t="s">
        <v>3805</v>
      </c>
      <c r="C3797" s="7" t="s">
        <v>6824</v>
      </c>
      <c r="D3797" s="7" t="s">
        <v>6825</v>
      </c>
      <c r="E3797" s="7" t="s">
        <v>6295</v>
      </c>
      <c r="F3797" s="7" t="s">
        <v>6827</v>
      </c>
      <c r="G3797" s="7" t="s">
        <v>7150</v>
      </c>
      <c r="H3797" s="7" t="s">
        <v>7156</v>
      </c>
      <c r="I3797" s="7"/>
      <c r="J3797" s="10">
        <v>44788</v>
      </c>
      <c r="K3797" s="7" t="s">
        <v>7164</v>
      </c>
      <c r="L3797" s="7"/>
      <c r="M3797" s="7"/>
    </row>
    <row r="3798" spans="1:13" x14ac:dyDescent="0.3">
      <c r="A3798" s="7">
        <v>13174</v>
      </c>
      <c r="B3798" s="7" t="s">
        <v>3806</v>
      </c>
      <c r="C3798" s="7" t="s">
        <v>6824</v>
      </c>
      <c r="D3798" s="7" t="s">
        <v>6825</v>
      </c>
      <c r="E3798" s="7" t="s">
        <v>6295</v>
      </c>
      <c r="F3798" s="7" t="s">
        <v>6828</v>
      </c>
      <c r="G3798" s="7" t="s">
        <v>7150</v>
      </c>
      <c r="H3798" s="7" t="s">
        <v>7156</v>
      </c>
      <c r="I3798" s="7"/>
      <c r="J3798" s="10">
        <v>44302</v>
      </c>
      <c r="K3798" s="7" t="s">
        <v>7164</v>
      </c>
      <c r="L3798" s="7"/>
      <c r="M3798" s="7"/>
    </row>
    <row r="3799" spans="1:13" x14ac:dyDescent="0.3">
      <c r="A3799" s="7">
        <v>14594</v>
      </c>
      <c r="B3799" s="7" t="s">
        <v>3807</v>
      </c>
      <c r="C3799" s="7" t="s">
        <v>6824</v>
      </c>
      <c r="D3799" s="7" t="s">
        <v>6825</v>
      </c>
      <c r="E3799" s="7" t="s">
        <v>6295</v>
      </c>
      <c r="F3799" s="7" t="s">
        <v>6827</v>
      </c>
      <c r="G3799" s="7" t="s">
        <v>7150</v>
      </c>
      <c r="H3799" s="7" t="s">
        <v>7156</v>
      </c>
      <c r="I3799" s="7"/>
      <c r="J3799" s="10">
        <v>44795</v>
      </c>
      <c r="K3799" s="7" t="s">
        <v>7164</v>
      </c>
      <c r="L3799" s="7"/>
      <c r="M3799" s="7"/>
    </row>
    <row r="3800" spans="1:13" x14ac:dyDescent="0.3">
      <c r="A3800" s="7">
        <v>16352</v>
      </c>
      <c r="B3800" s="7" t="s">
        <v>3808</v>
      </c>
      <c r="C3800" s="7" t="s">
        <v>6824</v>
      </c>
      <c r="D3800" s="7" t="s">
        <v>6829</v>
      </c>
      <c r="E3800" s="7" t="s">
        <v>6295</v>
      </c>
      <c r="F3800" s="7" t="s">
        <v>6808</v>
      </c>
      <c r="G3800" s="7" t="s">
        <v>7150</v>
      </c>
      <c r="H3800" s="7" t="s">
        <v>7156</v>
      </c>
      <c r="I3800" s="7"/>
      <c r="J3800" s="10">
        <v>45358</v>
      </c>
      <c r="K3800" s="7" t="s">
        <v>7164</v>
      </c>
      <c r="L3800" s="7"/>
      <c r="M3800" s="7"/>
    </row>
    <row r="3801" spans="1:13" x14ac:dyDescent="0.3">
      <c r="A3801" s="7">
        <v>16691</v>
      </c>
      <c r="B3801" s="7" t="s">
        <v>3809</v>
      </c>
      <c r="C3801" s="7" t="s">
        <v>6824</v>
      </c>
      <c r="D3801" s="7" t="s">
        <v>6829</v>
      </c>
      <c r="E3801" s="7" t="s">
        <v>6295</v>
      </c>
      <c r="F3801" s="7" t="s">
        <v>6830</v>
      </c>
      <c r="G3801" s="7" t="s">
        <v>7150</v>
      </c>
      <c r="H3801" s="7" t="s">
        <v>7156</v>
      </c>
      <c r="I3801" s="7"/>
      <c r="J3801" s="10">
        <v>45526</v>
      </c>
      <c r="K3801" s="7" t="s">
        <v>7164</v>
      </c>
      <c r="L3801" s="7"/>
      <c r="M3801" s="7"/>
    </row>
    <row r="3802" spans="1:13" x14ac:dyDescent="0.3">
      <c r="A3802" s="7">
        <v>11154</v>
      </c>
      <c r="B3802" s="7" t="s">
        <v>3810</v>
      </c>
      <c r="C3802" s="7" t="s">
        <v>6824</v>
      </c>
      <c r="D3802" s="7" t="s">
        <v>6831</v>
      </c>
      <c r="E3802" s="7" t="s">
        <v>6295</v>
      </c>
      <c r="F3802" s="7" t="s">
        <v>6808</v>
      </c>
      <c r="G3802" s="7" t="s">
        <v>7150</v>
      </c>
      <c r="H3802" s="7" t="s">
        <v>7156</v>
      </c>
      <c r="I3802" s="7"/>
      <c r="J3802" s="10">
        <v>42326</v>
      </c>
      <c r="K3802" s="7" t="s">
        <v>7164</v>
      </c>
      <c r="L3802" s="7"/>
      <c r="M3802" s="7"/>
    </row>
    <row r="3803" spans="1:13" x14ac:dyDescent="0.3">
      <c r="A3803" s="7">
        <v>14562</v>
      </c>
      <c r="B3803" s="7" t="s">
        <v>3811</v>
      </c>
      <c r="C3803" s="7" t="s">
        <v>6824</v>
      </c>
      <c r="D3803" s="7" t="s">
        <v>6831</v>
      </c>
      <c r="E3803" s="7" t="s">
        <v>6295</v>
      </c>
      <c r="F3803" s="7" t="s">
        <v>6832</v>
      </c>
      <c r="G3803" s="7" t="s">
        <v>7150</v>
      </c>
      <c r="H3803" s="7" t="s">
        <v>7156</v>
      </c>
      <c r="I3803" s="7"/>
      <c r="J3803" s="10">
        <v>44788</v>
      </c>
      <c r="K3803" s="7" t="s">
        <v>7164</v>
      </c>
      <c r="L3803" s="7"/>
      <c r="M3803" s="7"/>
    </row>
    <row r="3804" spans="1:13" x14ac:dyDescent="0.3">
      <c r="A3804" s="7">
        <v>17346</v>
      </c>
      <c r="B3804" s="7" t="s">
        <v>3812</v>
      </c>
      <c r="C3804" s="7" t="s">
        <v>6824</v>
      </c>
      <c r="D3804" s="7" t="s">
        <v>6831</v>
      </c>
      <c r="E3804" s="7" t="s">
        <v>6295</v>
      </c>
      <c r="F3804" s="7" t="s">
        <v>6833</v>
      </c>
      <c r="G3804" s="7" t="s">
        <v>7150</v>
      </c>
      <c r="H3804" s="7" t="s">
        <v>7156</v>
      </c>
      <c r="I3804" s="7"/>
      <c r="J3804" s="10">
        <v>45720</v>
      </c>
      <c r="K3804" s="7" t="s">
        <v>7164</v>
      </c>
      <c r="L3804" s="7"/>
      <c r="M3804" s="7"/>
    </row>
    <row r="3805" spans="1:13" x14ac:dyDescent="0.3">
      <c r="A3805" s="7">
        <v>18976</v>
      </c>
      <c r="B3805" s="7" t="s">
        <v>3813</v>
      </c>
      <c r="C3805" s="7" t="s">
        <v>6824</v>
      </c>
      <c r="D3805" s="7" t="s">
        <v>6831</v>
      </c>
      <c r="E3805" s="7" t="s">
        <v>6295</v>
      </c>
      <c r="F3805" s="7" t="s">
        <v>6834</v>
      </c>
      <c r="G3805" s="7" t="s">
        <v>7150</v>
      </c>
      <c r="H3805" s="7" t="s">
        <v>7156</v>
      </c>
      <c r="I3805" s="7"/>
      <c r="J3805" s="10">
        <v>46254</v>
      </c>
      <c r="K3805" s="7" t="s">
        <v>7164</v>
      </c>
      <c r="L3805" s="7"/>
      <c r="M3805" s="7"/>
    </row>
    <row r="3806" spans="1:13" x14ac:dyDescent="0.3">
      <c r="A3806" s="7">
        <v>12098</v>
      </c>
      <c r="B3806" s="7" t="s">
        <v>3814</v>
      </c>
      <c r="C3806" s="7" t="s">
        <v>6729</v>
      </c>
      <c r="D3806" s="7" t="s">
        <v>6835</v>
      </c>
      <c r="E3806" s="7" t="s">
        <v>6295</v>
      </c>
      <c r="F3806" s="7" t="s">
        <v>6335</v>
      </c>
      <c r="G3806" s="7" t="s">
        <v>7150</v>
      </c>
      <c r="H3806" s="7" t="s">
        <v>7156</v>
      </c>
      <c r="I3806" s="7"/>
      <c r="J3806" s="10">
        <v>43472</v>
      </c>
      <c r="K3806" s="7" t="s">
        <v>7164</v>
      </c>
      <c r="L3806" s="7"/>
      <c r="M3806" s="7"/>
    </row>
    <row r="3807" spans="1:13" x14ac:dyDescent="0.3">
      <c r="A3807" s="7">
        <v>13102</v>
      </c>
      <c r="B3807" s="7" t="s">
        <v>3815</v>
      </c>
      <c r="C3807" s="7" t="s">
        <v>6729</v>
      </c>
      <c r="D3807" s="7" t="s">
        <v>6836</v>
      </c>
      <c r="E3807" s="7" t="s">
        <v>6295</v>
      </c>
      <c r="F3807" s="7" t="s">
        <v>6340</v>
      </c>
      <c r="G3807" s="7" t="s">
        <v>7150</v>
      </c>
      <c r="H3807" s="7" t="s">
        <v>7156</v>
      </c>
      <c r="I3807" s="7"/>
      <c r="J3807" s="10">
        <v>44256</v>
      </c>
      <c r="K3807" s="7" t="s">
        <v>7164</v>
      </c>
      <c r="L3807" s="7"/>
      <c r="M3807" s="7"/>
    </row>
    <row r="3808" spans="1:13" x14ac:dyDescent="0.3">
      <c r="A3808" s="7">
        <v>13430</v>
      </c>
      <c r="B3808" s="7" t="s">
        <v>3816</v>
      </c>
      <c r="C3808" s="7" t="s">
        <v>6729</v>
      </c>
      <c r="D3808" s="7" t="s">
        <v>6295</v>
      </c>
      <c r="E3808" s="7" t="s">
        <v>6295</v>
      </c>
      <c r="F3808" s="7" t="s">
        <v>6353</v>
      </c>
      <c r="G3808" s="7" t="s">
        <v>7150</v>
      </c>
      <c r="H3808" s="7" t="s">
        <v>7156</v>
      </c>
      <c r="I3808" s="7"/>
      <c r="J3808" s="10">
        <v>44449</v>
      </c>
      <c r="K3808" s="7" t="s">
        <v>7164</v>
      </c>
      <c r="L3808" s="7"/>
      <c r="M3808" s="7"/>
    </row>
    <row r="3809" spans="1:13" x14ac:dyDescent="0.3">
      <c r="A3809" s="7">
        <v>15895</v>
      </c>
      <c r="B3809" s="7" t="s">
        <v>3817</v>
      </c>
      <c r="C3809" s="7" t="s">
        <v>6729</v>
      </c>
      <c r="D3809" s="7" t="s">
        <v>6295</v>
      </c>
      <c r="E3809" s="7" t="s">
        <v>6295</v>
      </c>
      <c r="F3809" s="7" t="s">
        <v>6341</v>
      </c>
      <c r="G3809" s="7" t="s">
        <v>7150</v>
      </c>
      <c r="H3809" s="7" t="s">
        <v>7156</v>
      </c>
      <c r="I3809" s="7"/>
      <c r="J3809" s="10">
        <v>45232</v>
      </c>
      <c r="K3809" s="7" t="s">
        <v>7164</v>
      </c>
      <c r="L3809" s="7"/>
      <c r="M3809" s="7"/>
    </row>
    <row r="3810" spans="1:13" x14ac:dyDescent="0.3">
      <c r="A3810" s="7">
        <v>12732</v>
      </c>
      <c r="B3810" s="7" t="s">
        <v>3818</v>
      </c>
      <c r="C3810" s="7" t="s">
        <v>6729</v>
      </c>
      <c r="D3810" s="7" t="s">
        <v>6836</v>
      </c>
      <c r="E3810" s="7" t="s">
        <v>6295</v>
      </c>
      <c r="F3810" s="7" t="s">
        <v>6441</v>
      </c>
      <c r="G3810" s="7" t="s">
        <v>7150</v>
      </c>
      <c r="H3810" s="7" t="s">
        <v>7156</v>
      </c>
      <c r="I3810" s="7"/>
      <c r="J3810" s="10">
        <v>43885</v>
      </c>
      <c r="K3810" s="7" t="s">
        <v>7164</v>
      </c>
      <c r="L3810" s="7"/>
      <c r="M3810" s="7"/>
    </row>
    <row r="3811" spans="1:13" x14ac:dyDescent="0.3">
      <c r="A3811" s="7">
        <v>14247</v>
      </c>
      <c r="B3811" s="7" t="s">
        <v>3819</v>
      </c>
      <c r="C3811" s="7" t="s">
        <v>6729</v>
      </c>
      <c r="D3811" s="7" t="s">
        <v>6836</v>
      </c>
      <c r="E3811" s="7" t="s">
        <v>6295</v>
      </c>
      <c r="F3811" s="7" t="s">
        <v>6441</v>
      </c>
      <c r="G3811" s="7" t="s">
        <v>7150</v>
      </c>
      <c r="H3811" s="7" t="s">
        <v>7156</v>
      </c>
      <c r="I3811" s="7"/>
      <c r="J3811" s="10">
        <v>44705</v>
      </c>
      <c r="K3811" s="7" t="s">
        <v>7164</v>
      </c>
      <c r="L3811" s="7"/>
      <c r="M3811" s="7"/>
    </row>
    <row r="3812" spans="1:13" x14ac:dyDescent="0.3">
      <c r="A3812" s="7">
        <v>18497</v>
      </c>
      <c r="B3812" s="7" t="s">
        <v>3820</v>
      </c>
      <c r="C3812" s="7" t="s">
        <v>6729</v>
      </c>
      <c r="D3812" s="7" t="s">
        <v>6836</v>
      </c>
      <c r="E3812" s="7" t="s">
        <v>6295</v>
      </c>
      <c r="F3812" s="7" t="s">
        <v>6341</v>
      </c>
      <c r="G3812" s="7" t="s">
        <v>7150</v>
      </c>
      <c r="H3812" s="7" t="s">
        <v>7156</v>
      </c>
      <c r="I3812" s="7" t="s">
        <v>7159</v>
      </c>
      <c r="J3812" s="10">
        <v>46139</v>
      </c>
      <c r="K3812" s="7" t="s">
        <v>7164</v>
      </c>
      <c r="L3812" s="7"/>
      <c r="M3812" s="7"/>
    </row>
    <row r="3813" spans="1:13" x14ac:dyDescent="0.3">
      <c r="A3813" s="7">
        <v>18498</v>
      </c>
      <c r="B3813" s="7" t="s">
        <v>3821</v>
      </c>
      <c r="C3813" s="7" t="s">
        <v>6729</v>
      </c>
      <c r="D3813" s="7" t="s">
        <v>6836</v>
      </c>
      <c r="E3813" s="7" t="s">
        <v>6295</v>
      </c>
      <c r="F3813" s="7" t="s">
        <v>6341</v>
      </c>
      <c r="G3813" s="7" t="s">
        <v>7150</v>
      </c>
      <c r="H3813" s="7" t="s">
        <v>7156</v>
      </c>
      <c r="I3813" s="7" t="s">
        <v>7159</v>
      </c>
      <c r="J3813" s="10">
        <v>46139</v>
      </c>
      <c r="K3813" s="7" t="s">
        <v>7164</v>
      </c>
      <c r="L3813" s="7"/>
      <c r="M3813" s="7"/>
    </row>
    <row r="3814" spans="1:13" x14ac:dyDescent="0.3">
      <c r="A3814" s="7">
        <v>19255</v>
      </c>
      <c r="B3814" s="7" t="s">
        <v>3822</v>
      </c>
      <c r="C3814" s="7" t="s">
        <v>6729</v>
      </c>
      <c r="D3814" s="7" t="s">
        <v>6836</v>
      </c>
      <c r="E3814" s="7" t="s">
        <v>6295</v>
      </c>
      <c r="F3814" s="7" t="s">
        <v>6348</v>
      </c>
      <c r="G3814" s="7" t="s">
        <v>7150</v>
      </c>
      <c r="H3814" s="7" t="s">
        <v>7156</v>
      </c>
      <c r="I3814" s="7"/>
      <c r="J3814" s="10">
        <v>46287</v>
      </c>
      <c r="K3814" s="7" t="s">
        <v>7164</v>
      </c>
      <c r="L3814" s="7"/>
      <c r="M3814" s="7"/>
    </row>
    <row r="3815" spans="1:13" x14ac:dyDescent="0.3">
      <c r="A3815" s="7">
        <v>15953</v>
      </c>
      <c r="B3815" s="7" t="s">
        <v>3823</v>
      </c>
      <c r="C3815" s="7" t="s">
        <v>6729</v>
      </c>
      <c r="D3815" s="7" t="s">
        <v>6836</v>
      </c>
      <c r="E3815" s="7" t="s">
        <v>6295</v>
      </c>
      <c r="F3815" s="7" t="s">
        <v>6441</v>
      </c>
      <c r="G3815" s="7" t="s">
        <v>7150</v>
      </c>
      <c r="H3815" s="7" t="s">
        <v>7156</v>
      </c>
      <c r="I3815" s="7"/>
      <c r="J3815" s="10">
        <v>45250</v>
      </c>
      <c r="K3815" s="7" t="s">
        <v>7164</v>
      </c>
      <c r="L3815" s="7"/>
      <c r="M3815" s="7"/>
    </row>
    <row r="3816" spans="1:13" x14ac:dyDescent="0.3">
      <c r="A3816" s="7">
        <v>16056</v>
      </c>
      <c r="B3816" s="7" t="s">
        <v>3824</v>
      </c>
      <c r="C3816" s="7" t="s">
        <v>6729</v>
      </c>
      <c r="D3816" s="7" t="s">
        <v>6836</v>
      </c>
      <c r="E3816" s="7" t="s">
        <v>6295</v>
      </c>
      <c r="F3816" s="7" t="s">
        <v>6441</v>
      </c>
      <c r="G3816" s="7" t="s">
        <v>7150</v>
      </c>
      <c r="H3816" s="7" t="s">
        <v>7156</v>
      </c>
      <c r="I3816" s="7"/>
      <c r="J3816" s="10">
        <v>45275</v>
      </c>
      <c r="K3816" s="7" t="s">
        <v>7164</v>
      </c>
      <c r="L3816" s="7"/>
      <c r="M3816" s="7"/>
    </row>
    <row r="3817" spans="1:13" x14ac:dyDescent="0.3">
      <c r="A3817" s="7">
        <v>12743</v>
      </c>
      <c r="B3817" s="7" t="s">
        <v>3825</v>
      </c>
      <c r="C3817" s="7" t="s">
        <v>6729</v>
      </c>
      <c r="D3817" s="7" t="s">
        <v>6836</v>
      </c>
      <c r="E3817" s="7" t="s">
        <v>6295</v>
      </c>
      <c r="F3817" s="7" t="s">
        <v>6441</v>
      </c>
      <c r="G3817" s="7" t="s">
        <v>7150</v>
      </c>
      <c r="H3817" s="7" t="s">
        <v>7156</v>
      </c>
      <c r="I3817" s="7"/>
      <c r="J3817" s="10">
        <v>43885</v>
      </c>
      <c r="K3817" s="7" t="s">
        <v>7164</v>
      </c>
      <c r="L3817" s="7"/>
      <c r="M3817" s="7"/>
    </row>
    <row r="3818" spans="1:13" x14ac:dyDescent="0.3">
      <c r="A3818" s="7">
        <v>18135</v>
      </c>
      <c r="B3818" s="7" t="s">
        <v>3826</v>
      </c>
      <c r="C3818" s="7" t="s">
        <v>6729</v>
      </c>
      <c r="D3818" s="7" t="s">
        <v>6835</v>
      </c>
      <c r="E3818" s="7" t="s">
        <v>6295</v>
      </c>
      <c r="F3818" s="7" t="s">
        <v>6341</v>
      </c>
      <c r="G3818" s="7" t="s">
        <v>7150</v>
      </c>
      <c r="H3818" s="7" t="s">
        <v>7156</v>
      </c>
      <c r="I3818" s="7"/>
      <c r="J3818" s="10">
        <v>46008</v>
      </c>
      <c r="K3818" s="7" t="s">
        <v>7164</v>
      </c>
      <c r="L3818" s="7"/>
      <c r="M3818" s="7"/>
    </row>
    <row r="3819" spans="1:13" x14ac:dyDescent="0.3">
      <c r="A3819" s="7">
        <v>11808</v>
      </c>
      <c r="B3819" s="7" t="s">
        <v>3827</v>
      </c>
      <c r="C3819" s="7" t="s">
        <v>6525</v>
      </c>
      <c r="D3819" s="7" t="s">
        <v>6295</v>
      </c>
      <c r="E3819" s="7" t="s">
        <v>6295</v>
      </c>
      <c r="F3819" s="7" t="s">
        <v>6356</v>
      </c>
      <c r="G3819" s="7" t="s">
        <v>7150</v>
      </c>
      <c r="H3819" s="7" t="s">
        <v>7156</v>
      </c>
      <c r="I3819" s="7"/>
      <c r="J3819" s="10">
        <v>43152</v>
      </c>
      <c r="K3819" s="7" t="s">
        <v>7163</v>
      </c>
      <c r="L3819" s="7"/>
      <c r="M3819" s="7"/>
    </row>
    <row r="3820" spans="1:13" x14ac:dyDescent="0.3">
      <c r="A3820" s="7">
        <v>10957</v>
      </c>
      <c r="B3820" s="7" t="s">
        <v>3828</v>
      </c>
      <c r="C3820" s="7" t="s">
        <v>6525</v>
      </c>
      <c r="D3820" s="7" t="s">
        <v>6837</v>
      </c>
      <c r="E3820" s="7" t="s">
        <v>6295</v>
      </c>
      <c r="F3820" s="7" t="s">
        <v>6338</v>
      </c>
      <c r="G3820" s="7" t="s">
        <v>7150</v>
      </c>
      <c r="H3820" s="7" t="s">
        <v>7156</v>
      </c>
      <c r="I3820" s="7"/>
      <c r="J3820" s="10">
        <v>42186</v>
      </c>
      <c r="K3820" s="7" t="s">
        <v>7163</v>
      </c>
      <c r="L3820" s="7"/>
      <c r="M3820" s="7"/>
    </row>
    <row r="3821" spans="1:13" x14ac:dyDescent="0.3">
      <c r="A3821" s="7">
        <v>16889</v>
      </c>
      <c r="B3821" s="7" t="s">
        <v>3829</v>
      </c>
      <c r="C3821" s="7" t="s">
        <v>6525</v>
      </c>
      <c r="D3821" s="7" t="s">
        <v>6837</v>
      </c>
      <c r="E3821" s="7" t="s">
        <v>6295</v>
      </c>
      <c r="F3821" s="7" t="s">
        <v>6335</v>
      </c>
      <c r="G3821" s="7" t="s">
        <v>7151</v>
      </c>
      <c r="H3821" s="7" t="s">
        <v>7156</v>
      </c>
      <c r="I3821" s="7"/>
      <c r="J3821" s="10">
        <v>45566</v>
      </c>
      <c r="K3821" s="7" t="s">
        <v>7163</v>
      </c>
      <c r="L3821" s="7"/>
      <c r="M3821" s="7"/>
    </row>
    <row r="3822" spans="1:13" x14ac:dyDescent="0.3">
      <c r="A3822" s="7">
        <v>15395</v>
      </c>
      <c r="B3822" s="7" t="s">
        <v>3830</v>
      </c>
      <c r="C3822" s="7" t="s">
        <v>6525</v>
      </c>
      <c r="D3822" s="7" t="s">
        <v>6526</v>
      </c>
      <c r="E3822" s="7" t="s">
        <v>6528</v>
      </c>
      <c r="F3822" s="7" t="s">
        <v>6335</v>
      </c>
      <c r="G3822" s="7" t="s">
        <v>7150</v>
      </c>
      <c r="H3822" s="7" t="s">
        <v>7156</v>
      </c>
      <c r="I3822" s="7"/>
      <c r="J3822" s="10">
        <v>45069</v>
      </c>
      <c r="K3822" s="7" t="s">
        <v>7163</v>
      </c>
      <c r="L3822" s="7"/>
      <c r="M3822" s="7"/>
    </row>
    <row r="3823" spans="1:13" x14ac:dyDescent="0.3">
      <c r="A3823" s="7">
        <v>17288</v>
      </c>
      <c r="B3823" s="7" t="s">
        <v>3831</v>
      </c>
      <c r="C3823" s="7" t="s">
        <v>6525</v>
      </c>
      <c r="D3823" s="7" t="s">
        <v>6837</v>
      </c>
      <c r="E3823" s="7" t="s">
        <v>6295</v>
      </c>
      <c r="F3823" s="7" t="s">
        <v>6353</v>
      </c>
      <c r="G3823" s="7" t="s">
        <v>7150</v>
      </c>
      <c r="H3823" s="7" t="s">
        <v>7156</v>
      </c>
      <c r="I3823" s="7"/>
      <c r="J3823" s="10">
        <v>45695</v>
      </c>
      <c r="K3823" s="7" t="s">
        <v>7163</v>
      </c>
      <c r="L3823" s="7"/>
      <c r="M3823" s="7"/>
    </row>
    <row r="3824" spans="1:13" x14ac:dyDescent="0.3">
      <c r="A3824" s="7">
        <v>18761</v>
      </c>
      <c r="B3824" s="7" t="s">
        <v>3832</v>
      </c>
      <c r="C3824" s="7" t="s">
        <v>6525</v>
      </c>
      <c r="D3824" s="7" t="s">
        <v>6837</v>
      </c>
      <c r="E3824" s="7" t="s">
        <v>6295</v>
      </c>
      <c r="F3824" s="7" t="s">
        <v>6353</v>
      </c>
      <c r="G3824" s="7" t="s">
        <v>7150</v>
      </c>
      <c r="H3824" s="7" t="s">
        <v>7156</v>
      </c>
      <c r="I3824" s="7" t="s">
        <v>7160</v>
      </c>
      <c r="J3824" s="10">
        <v>46204</v>
      </c>
      <c r="K3824" s="7" t="s">
        <v>7163</v>
      </c>
      <c r="L3824" s="7"/>
      <c r="M3824" s="7"/>
    </row>
    <row r="3825" spans="1:13" x14ac:dyDescent="0.3">
      <c r="A3825" s="7">
        <v>12259</v>
      </c>
      <c r="B3825" s="7" t="s">
        <v>3833</v>
      </c>
      <c r="C3825" s="7" t="s">
        <v>6525</v>
      </c>
      <c r="D3825" s="7" t="s">
        <v>6837</v>
      </c>
      <c r="E3825" s="7" t="s">
        <v>6295</v>
      </c>
      <c r="F3825" s="7" t="s">
        <v>6353</v>
      </c>
      <c r="G3825" s="7" t="s">
        <v>7150</v>
      </c>
      <c r="H3825" s="7" t="s">
        <v>7156</v>
      </c>
      <c r="I3825" s="7"/>
      <c r="J3825" s="10">
        <v>43648</v>
      </c>
      <c r="K3825" s="7" t="s">
        <v>7163</v>
      </c>
      <c r="L3825" s="7"/>
      <c r="M3825" s="7"/>
    </row>
    <row r="3826" spans="1:13" x14ac:dyDescent="0.3">
      <c r="A3826" s="7">
        <v>17291</v>
      </c>
      <c r="B3826" s="7" t="s">
        <v>3834</v>
      </c>
      <c r="C3826" s="7" t="s">
        <v>6525</v>
      </c>
      <c r="D3826" s="7" t="s">
        <v>6837</v>
      </c>
      <c r="E3826" s="7" t="s">
        <v>6295</v>
      </c>
      <c r="F3826" s="7" t="s">
        <v>6340</v>
      </c>
      <c r="G3826" s="7" t="s">
        <v>7150</v>
      </c>
      <c r="H3826" s="7" t="s">
        <v>7156</v>
      </c>
      <c r="I3826" s="7"/>
      <c r="J3826" s="10">
        <v>45699</v>
      </c>
      <c r="K3826" s="7" t="s">
        <v>7163</v>
      </c>
      <c r="L3826" s="7"/>
      <c r="M3826" s="7"/>
    </row>
    <row r="3827" spans="1:13" x14ac:dyDescent="0.3">
      <c r="A3827" s="7">
        <v>18622</v>
      </c>
      <c r="B3827" s="7" t="s">
        <v>3835</v>
      </c>
      <c r="C3827" s="7" t="s">
        <v>6525</v>
      </c>
      <c r="D3827" s="7" t="s">
        <v>6837</v>
      </c>
      <c r="E3827" s="7" t="s">
        <v>6295</v>
      </c>
      <c r="F3827" s="7" t="s">
        <v>6341</v>
      </c>
      <c r="G3827" s="7" t="s">
        <v>7150</v>
      </c>
      <c r="H3827" s="7" t="s">
        <v>7156</v>
      </c>
      <c r="I3827" s="7"/>
      <c r="J3827" s="10">
        <v>46174</v>
      </c>
      <c r="K3827" s="7" t="s">
        <v>7163</v>
      </c>
      <c r="L3827" s="7"/>
      <c r="M3827" s="7"/>
    </row>
    <row r="3828" spans="1:13" x14ac:dyDescent="0.3">
      <c r="A3828" s="7">
        <v>18444</v>
      </c>
      <c r="B3828" s="7" t="s">
        <v>3836</v>
      </c>
      <c r="C3828" s="7" t="s">
        <v>6525</v>
      </c>
      <c r="D3828" s="7" t="s">
        <v>6837</v>
      </c>
      <c r="E3828" s="7" t="s">
        <v>6295</v>
      </c>
      <c r="F3828" s="7" t="s">
        <v>6341</v>
      </c>
      <c r="G3828" s="7" t="s">
        <v>7150</v>
      </c>
      <c r="H3828" s="7" t="s">
        <v>7156</v>
      </c>
      <c r="I3828" s="7" t="s">
        <v>7159</v>
      </c>
      <c r="J3828" s="10">
        <v>46126</v>
      </c>
      <c r="K3828" s="7" t="s">
        <v>7163</v>
      </c>
      <c r="L3828" s="7"/>
      <c r="M3828" s="7"/>
    </row>
    <row r="3829" spans="1:13" x14ac:dyDescent="0.3">
      <c r="A3829" s="7">
        <v>16888</v>
      </c>
      <c r="B3829" s="7" t="s">
        <v>3837</v>
      </c>
      <c r="C3829" s="7" t="s">
        <v>6525</v>
      </c>
      <c r="D3829" s="7" t="s">
        <v>6838</v>
      </c>
      <c r="E3829" s="7" t="s">
        <v>6295</v>
      </c>
      <c r="F3829" s="7" t="s">
        <v>6335</v>
      </c>
      <c r="G3829" s="7" t="s">
        <v>7150</v>
      </c>
      <c r="H3829" s="7" t="s">
        <v>7156</v>
      </c>
      <c r="I3829" s="7"/>
      <c r="J3829" s="10">
        <v>45566</v>
      </c>
      <c r="K3829" s="7" t="s">
        <v>7163</v>
      </c>
      <c r="L3829" s="7"/>
      <c r="M3829" s="7"/>
    </row>
    <row r="3830" spans="1:13" x14ac:dyDescent="0.3">
      <c r="A3830" s="7">
        <v>16896</v>
      </c>
      <c r="B3830" s="7" t="s">
        <v>3838</v>
      </c>
      <c r="C3830" s="7" t="s">
        <v>6525</v>
      </c>
      <c r="D3830" s="7" t="s">
        <v>6837</v>
      </c>
      <c r="E3830" s="7" t="s">
        <v>6295</v>
      </c>
      <c r="F3830" s="7" t="s">
        <v>6340</v>
      </c>
      <c r="G3830" s="7" t="s">
        <v>7150</v>
      </c>
      <c r="H3830" s="7" t="s">
        <v>7156</v>
      </c>
      <c r="I3830" s="7"/>
      <c r="J3830" s="10">
        <v>45566</v>
      </c>
      <c r="K3830" s="7" t="s">
        <v>7163</v>
      </c>
      <c r="L3830" s="7"/>
      <c r="M3830" s="7"/>
    </row>
    <row r="3831" spans="1:13" x14ac:dyDescent="0.3">
      <c r="A3831" s="7">
        <v>16838</v>
      </c>
      <c r="B3831" s="7" t="s">
        <v>3839</v>
      </c>
      <c r="C3831" s="7" t="s">
        <v>6525</v>
      </c>
      <c r="D3831" s="7" t="s">
        <v>6839</v>
      </c>
      <c r="E3831" s="7" t="s">
        <v>6295</v>
      </c>
      <c r="F3831" s="7" t="s">
        <v>6340</v>
      </c>
      <c r="G3831" s="7" t="s">
        <v>7150</v>
      </c>
      <c r="H3831" s="7" t="s">
        <v>7156</v>
      </c>
      <c r="I3831" s="7"/>
      <c r="J3831" s="10">
        <v>45566</v>
      </c>
      <c r="K3831" s="7" t="s">
        <v>7163</v>
      </c>
      <c r="L3831" s="7"/>
      <c r="M3831" s="7"/>
    </row>
    <row r="3832" spans="1:13" x14ac:dyDescent="0.3">
      <c r="A3832" s="7">
        <v>17205</v>
      </c>
      <c r="B3832" s="7" t="s">
        <v>3840</v>
      </c>
      <c r="C3832" s="7" t="s">
        <v>6525</v>
      </c>
      <c r="D3832" s="7" t="s">
        <v>6840</v>
      </c>
      <c r="E3832" s="7" t="s">
        <v>6295</v>
      </c>
      <c r="F3832" s="7" t="s">
        <v>6341</v>
      </c>
      <c r="G3832" s="7" t="s">
        <v>7150</v>
      </c>
      <c r="H3832" s="7" t="s">
        <v>7156</v>
      </c>
      <c r="I3832" s="7"/>
      <c r="J3832" s="10">
        <v>45665</v>
      </c>
      <c r="K3832" s="7" t="s">
        <v>7163</v>
      </c>
      <c r="L3832" s="7"/>
      <c r="M3832" s="7"/>
    </row>
    <row r="3833" spans="1:13" x14ac:dyDescent="0.3">
      <c r="A3833" s="7">
        <v>18937</v>
      </c>
      <c r="B3833" s="7" t="s">
        <v>3841</v>
      </c>
      <c r="C3833" s="7" t="s">
        <v>6525</v>
      </c>
      <c r="D3833" s="7" t="s">
        <v>6839</v>
      </c>
      <c r="E3833" s="7" t="s">
        <v>6295</v>
      </c>
      <c r="F3833" s="7" t="s">
        <v>6353</v>
      </c>
      <c r="G3833" s="7" t="s">
        <v>7150</v>
      </c>
      <c r="H3833" s="7" t="s">
        <v>7156</v>
      </c>
      <c r="I3833" s="7" t="s">
        <v>7158</v>
      </c>
      <c r="J3833" s="10">
        <v>46240</v>
      </c>
      <c r="K3833" s="7" t="s">
        <v>7163</v>
      </c>
      <c r="L3833" s="7"/>
      <c r="M3833" s="7"/>
    </row>
    <row r="3834" spans="1:13" x14ac:dyDescent="0.3">
      <c r="A3834" s="7">
        <v>17293</v>
      </c>
      <c r="B3834" s="7" t="s">
        <v>3842</v>
      </c>
      <c r="C3834" s="7" t="s">
        <v>6525</v>
      </c>
      <c r="D3834" s="7" t="s">
        <v>6839</v>
      </c>
      <c r="E3834" s="7" t="s">
        <v>6295</v>
      </c>
      <c r="F3834" s="7" t="s">
        <v>6341</v>
      </c>
      <c r="G3834" s="7" t="s">
        <v>7150</v>
      </c>
      <c r="H3834" s="7" t="s">
        <v>7156</v>
      </c>
      <c r="I3834" s="7"/>
      <c r="J3834" s="10">
        <v>45694</v>
      </c>
      <c r="K3834" s="7" t="s">
        <v>7163</v>
      </c>
      <c r="L3834" s="7"/>
      <c r="M3834" s="7"/>
    </row>
    <row r="3835" spans="1:13" x14ac:dyDescent="0.3">
      <c r="A3835" s="7">
        <v>17383</v>
      </c>
      <c r="B3835" s="7" t="s">
        <v>3843</v>
      </c>
      <c r="C3835" s="7" t="s">
        <v>6525</v>
      </c>
      <c r="D3835" s="7" t="s">
        <v>6839</v>
      </c>
      <c r="E3835" s="7" t="s">
        <v>6295</v>
      </c>
      <c r="F3835" s="7" t="s">
        <v>6341</v>
      </c>
      <c r="G3835" s="7" t="s">
        <v>7150</v>
      </c>
      <c r="H3835" s="7" t="s">
        <v>7156</v>
      </c>
      <c r="I3835" s="7"/>
      <c r="J3835" s="10">
        <v>45728</v>
      </c>
      <c r="K3835" s="7" t="s">
        <v>7163</v>
      </c>
      <c r="L3835" s="7"/>
      <c r="M3835" s="7"/>
    </row>
    <row r="3836" spans="1:13" x14ac:dyDescent="0.3">
      <c r="A3836" s="7">
        <v>18736</v>
      </c>
      <c r="B3836" s="7" t="s">
        <v>3844</v>
      </c>
      <c r="C3836" s="7" t="s">
        <v>6525</v>
      </c>
      <c r="D3836" s="7" t="s">
        <v>6839</v>
      </c>
      <c r="E3836" s="7" t="s">
        <v>6295</v>
      </c>
      <c r="F3836" s="7" t="s">
        <v>6341</v>
      </c>
      <c r="G3836" s="7" t="s">
        <v>7150</v>
      </c>
      <c r="H3836" s="7" t="s">
        <v>7156</v>
      </c>
      <c r="I3836" s="7"/>
      <c r="J3836" s="10">
        <v>46198</v>
      </c>
      <c r="K3836" s="7" t="s">
        <v>7163</v>
      </c>
      <c r="L3836" s="7"/>
      <c r="M3836" s="7"/>
    </row>
    <row r="3837" spans="1:13" x14ac:dyDescent="0.3">
      <c r="A3837" s="7">
        <v>17354</v>
      </c>
      <c r="B3837" s="7" t="s">
        <v>3845</v>
      </c>
      <c r="C3837" s="7" t="s">
        <v>6525</v>
      </c>
      <c r="D3837" s="7" t="s">
        <v>6526</v>
      </c>
      <c r="E3837" s="7" t="s">
        <v>6528</v>
      </c>
      <c r="F3837" s="7" t="s">
        <v>6341</v>
      </c>
      <c r="G3837" s="7" t="s">
        <v>7150</v>
      </c>
      <c r="H3837" s="7" t="s">
        <v>7156</v>
      </c>
      <c r="I3837" s="7"/>
      <c r="J3837" s="10">
        <v>45729</v>
      </c>
      <c r="K3837" s="7" t="s">
        <v>7163</v>
      </c>
      <c r="L3837" s="7"/>
      <c r="M3837" s="7"/>
    </row>
    <row r="3838" spans="1:13" x14ac:dyDescent="0.3">
      <c r="A3838" s="7">
        <v>18457</v>
      </c>
      <c r="B3838" s="7" t="s">
        <v>3846</v>
      </c>
      <c r="C3838" s="7" t="s">
        <v>6525</v>
      </c>
      <c r="D3838" s="7" t="s">
        <v>6526</v>
      </c>
      <c r="E3838" s="7" t="s">
        <v>6528</v>
      </c>
      <c r="F3838" s="7" t="s">
        <v>6341</v>
      </c>
      <c r="G3838" s="7" t="s">
        <v>7150</v>
      </c>
      <c r="H3838" s="7" t="s">
        <v>7156</v>
      </c>
      <c r="I3838" s="7" t="s">
        <v>7159</v>
      </c>
      <c r="J3838" s="10">
        <v>46126</v>
      </c>
      <c r="K3838" s="7" t="s">
        <v>7163</v>
      </c>
      <c r="L3838" s="7"/>
      <c r="M3838" s="7"/>
    </row>
    <row r="3839" spans="1:13" x14ac:dyDescent="0.3">
      <c r="A3839" s="7">
        <v>18112</v>
      </c>
      <c r="B3839" s="7" t="s">
        <v>3847</v>
      </c>
      <c r="C3839" s="7" t="s">
        <v>6525</v>
      </c>
      <c r="D3839" s="7" t="s">
        <v>6526</v>
      </c>
      <c r="E3839" s="7" t="s">
        <v>6528</v>
      </c>
      <c r="F3839" s="7" t="s">
        <v>6341</v>
      </c>
      <c r="G3839" s="7" t="s">
        <v>7150</v>
      </c>
      <c r="H3839" s="7" t="s">
        <v>7156</v>
      </c>
      <c r="I3839" s="7"/>
      <c r="J3839" s="10">
        <v>45999</v>
      </c>
      <c r="K3839" s="7" t="s">
        <v>7163</v>
      </c>
      <c r="L3839" s="7"/>
      <c r="M3839" s="7"/>
    </row>
    <row r="3840" spans="1:13" x14ac:dyDescent="0.3">
      <c r="A3840" s="7">
        <v>15921</v>
      </c>
      <c r="B3840" s="7" t="s">
        <v>3848</v>
      </c>
      <c r="C3840" s="7" t="s">
        <v>6525</v>
      </c>
      <c r="D3840" s="7" t="s">
        <v>6839</v>
      </c>
      <c r="E3840" s="7" t="s">
        <v>6295</v>
      </c>
      <c r="F3840" s="7" t="s">
        <v>6341</v>
      </c>
      <c r="G3840" s="7" t="s">
        <v>7150</v>
      </c>
      <c r="H3840" s="7" t="s">
        <v>7156</v>
      </c>
      <c r="I3840" s="7"/>
      <c r="J3840" s="10">
        <v>45237</v>
      </c>
      <c r="K3840" s="7" t="s">
        <v>7163</v>
      </c>
      <c r="L3840" s="7"/>
      <c r="M3840" s="7"/>
    </row>
    <row r="3841" spans="1:13" x14ac:dyDescent="0.3">
      <c r="A3841" s="7">
        <v>18179</v>
      </c>
      <c r="B3841" s="7" t="s">
        <v>3849</v>
      </c>
      <c r="C3841" s="7" t="s">
        <v>6525</v>
      </c>
      <c r="D3841" s="7" t="s">
        <v>6839</v>
      </c>
      <c r="E3841" s="7" t="s">
        <v>6295</v>
      </c>
      <c r="F3841" s="7" t="s">
        <v>6341</v>
      </c>
      <c r="G3841" s="7" t="s">
        <v>7150</v>
      </c>
      <c r="H3841" s="7" t="s">
        <v>7156</v>
      </c>
      <c r="I3841" s="7"/>
      <c r="J3841" s="10">
        <v>46034</v>
      </c>
      <c r="K3841" s="7" t="s">
        <v>7163</v>
      </c>
      <c r="L3841" s="7"/>
      <c r="M3841" s="7"/>
    </row>
    <row r="3842" spans="1:13" x14ac:dyDescent="0.3">
      <c r="A3842" s="7">
        <v>16911</v>
      </c>
      <c r="B3842" s="7" t="s">
        <v>3850</v>
      </c>
      <c r="C3842" s="7" t="s">
        <v>6525</v>
      </c>
      <c r="D3842" s="7" t="s">
        <v>6526</v>
      </c>
      <c r="E3842" s="7" t="s">
        <v>6295</v>
      </c>
      <c r="F3842" s="7" t="s">
        <v>6335</v>
      </c>
      <c r="G3842" s="7" t="s">
        <v>7150</v>
      </c>
      <c r="H3842" s="7" t="s">
        <v>7156</v>
      </c>
      <c r="I3842" s="7"/>
      <c r="J3842" s="10">
        <v>45566</v>
      </c>
      <c r="K3842" s="7" t="s">
        <v>7163</v>
      </c>
      <c r="L3842" s="7"/>
      <c r="M3842" s="7"/>
    </row>
    <row r="3843" spans="1:13" x14ac:dyDescent="0.3">
      <c r="A3843" s="7">
        <v>16912</v>
      </c>
      <c r="B3843" s="7" t="s">
        <v>3851</v>
      </c>
      <c r="C3843" s="7" t="s">
        <v>6525</v>
      </c>
      <c r="D3843" s="7" t="s">
        <v>6526</v>
      </c>
      <c r="E3843" s="7" t="s">
        <v>6295</v>
      </c>
      <c r="F3843" s="7" t="s">
        <v>6341</v>
      </c>
      <c r="G3843" s="7" t="s">
        <v>7150</v>
      </c>
      <c r="H3843" s="7" t="s">
        <v>7156</v>
      </c>
      <c r="I3843" s="7"/>
      <c r="J3843" s="10">
        <v>45566</v>
      </c>
      <c r="K3843" s="7" t="s">
        <v>7163</v>
      </c>
      <c r="L3843" s="7"/>
      <c r="M3843" s="7"/>
    </row>
    <row r="3844" spans="1:13" x14ac:dyDescent="0.3">
      <c r="A3844" s="7">
        <v>18440</v>
      </c>
      <c r="B3844" s="7" t="s">
        <v>3852</v>
      </c>
      <c r="C3844" s="7" t="s">
        <v>6525</v>
      </c>
      <c r="D3844" s="7" t="s">
        <v>6526</v>
      </c>
      <c r="E3844" s="7" t="s">
        <v>6527</v>
      </c>
      <c r="F3844" s="7" t="s">
        <v>6335</v>
      </c>
      <c r="G3844" s="7" t="s">
        <v>7150</v>
      </c>
      <c r="H3844" s="7" t="s">
        <v>7156</v>
      </c>
      <c r="I3844" s="7" t="s">
        <v>7159</v>
      </c>
      <c r="J3844" s="10">
        <v>46126</v>
      </c>
      <c r="K3844" s="7" t="s">
        <v>7163</v>
      </c>
      <c r="L3844" s="7"/>
      <c r="M3844" s="7"/>
    </row>
    <row r="3845" spans="1:13" x14ac:dyDescent="0.3">
      <c r="A3845" s="7">
        <v>120055</v>
      </c>
      <c r="B3845" s="7" t="s">
        <v>3853</v>
      </c>
      <c r="C3845" s="7" t="s">
        <v>6525</v>
      </c>
      <c r="D3845" s="7" t="s">
        <v>6526</v>
      </c>
      <c r="E3845" s="7" t="s">
        <v>6527</v>
      </c>
      <c r="F3845" s="7" t="s">
        <v>6341</v>
      </c>
      <c r="G3845" s="7" t="s">
        <v>7152</v>
      </c>
      <c r="H3845" s="7" t="s">
        <v>7156</v>
      </c>
      <c r="I3845" s="7"/>
      <c r="J3845" s="10">
        <v>44623</v>
      </c>
      <c r="K3845" s="7" t="s">
        <v>7163</v>
      </c>
      <c r="L3845" s="7"/>
      <c r="M3845" s="7"/>
    </row>
    <row r="3846" spans="1:13" x14ac:dyDescent="0.3">
      <c r="A3846" s="7">
        <v>18455</v>
      </c>
      <c r="B3846" s="7" t="s">
        <v>3854</v>
      </c>
      <c r="C3846" s="7" t="s">
        <v>6525</v>
      </c>
      <c r="D3846" s="7" t="s">
        <v>6526</v>
      </c>
      <c r="E3846" s="7" t="s">
        <v>6527</v>
      </c>
      <c r="F3846" s="7" t="s">
        <v>6341</v>
      </c>
      <c r="G3846" s="7" t="s">
        <v>7150</v>
      </c>
      <c r="H3846" s="7" t="s">
        <v>7156</v>
      </c>
      <c r="I3846" s="7" t="s">
        <v>7159</v>
      </c>
      <c r="J3846" s="10">
        <v>46126</v>
      </c>
      <c r="K3846" s="7" t="s">
        <v>7163</v>
      </c>
      <c r="L3846" s="7"/>
      <c r="M3846" s="7"/>
    </row>
    <row r="3847" spans="1:13" x14ac:dyDescent="0.3">
      <c r="A3847" s="7">
        <v>18456</v>
      </c>
      <c r="B3847" s="7" t="s">
        <v>3855</v>
      </c>
      <c r="C3847" s="7" t="s">
        <v>6525</v>
      </c>
      <c r="D3847" s="7" t="s">
        <v>6526</v>
      </c>
      <c r="E3847" s="7" t="s">
        <v>6527</v>
      </c>
      <c r="F3847" s="7" t="s">
        <v>6341</v>
      </c>
      <c r="G3847" s="7" t="s">
        <v>7150</v>
      </c>
      <c r="H3847" s="7" t="s">
        <v>7156</v>
      </c>
      <c r="I3847" s="7" t="s">
        <v>7159</v>
      </c>
      <c r="J3847" s="10">
        <v>46126</v>
      </c>
      <c r="K3847" s="7" t="s">
        <v>7163</v>
      </c>
      <c r="L3847" s="7"/>
      <c r="M3847" s="7"/>
    </row>
    <row r="3848" spans="1:13" x14ac:dyDescent="0.3">
      <c r="A3848" s="7">
        <v>13218</v>
      </c>
      <c r="B3848" s="7" t="s">
        <v>3856</v>
      </c>
      <c r="C3848" s="7" t="s">
        <v>6525</v>
      </c>
      <c r="D3848" s="7" t="s">
        <v>6526</v>
      </c>
      <c r="E3848" s="7" t="s">
        <v>6295</v>
      </c>
      <c r="F3848" s="7" t="s">
        <v>6335</v>
      </c>
      <c r="G3848" s="7" t="s">
        <v>7150</v>
      </c>
      <c r="H3848" s="7" t="s">
        <v>7156</v>
      </c>
      <c r="I3848" s="7"/>
      <c r="J3848" s="10">
        <v>44323</v>
      </c>
      <c r="K3848" s="7" t="s">
        <v>7163</v>
      </c>
      <c r="L3848" s="7"/>
      <c r="M3848" s="7"/>
    </row>
    <row r="3849" spans="1:13" x14ac:dyDescent="0.3">
      <c r="A3849" s="7">
        <v>15290</v>
      </c>
      <c r="B3849" s="7" t="s">
        <v>3857</v>
      </c>
      <c r="C3849" s="7" t="s">
        <v>6525</v>
      </c>
      <c r="D3849" s="7" t="s">
        <v>6526</v>
      </c>
      <c r="E3849" s="7" t="s">
        <v>6527</v>
      </c>
      <c r="F3849" s="7" t="s">
        <v>6340</v>
      </c>
      <c r="G3849" s="7" t="s">
        <v>7150</v>
      </c>
      <c r="H3849" s="7" t="s">
        <v>7156</v>
      </c>
      <c r="I3849" s="7"/>
      <c r="J3849" s="10">
        <v>45012</v>
      </c>
      <c r="K3849" s="7" t="s">
        <v>7163</v>
      </c>
      <c r="L3849" s="7"/>
      <c r="M3849" s="7"/>
    </row>
    <row r="3850" spans="1:13" x14ac:dyDescent="0.3">
      <c r="A3850" s="7">
        <v>16318</v>
      </c>
      <c r="B3850" s="7" t="s">
        <v>3858</v>
      </c>
      <c r="C3850" s="7" t="s">
        <v>6525</v>
      </c>
      <c r="D3850" s="7" t="s">
        <v>6526</v>
      </c>
      <c r="E3850" s="7" t="s">
        <v>6528</v>
      </c>
      <c r="F3850" s="7" t="s">
        <v>6341</v>
      </c>
      <c r="G3850" s="7" t="s">
        <v>7150</v>
      </c>
      <c r="H3850" s="7" t="s">
        <v>7156</v>
      </c>
      <c r="I3850" s="7"/>
      <c r="J3850" s="10">
        <v>45345</v>
      </c>
      <c r="K3850" s="7" t="s">
        <v>7163</v>
      </c>
      <c r="L3850" s="7"/>
      <c r="M3850" s="7"/>
    </row>
    <row r="3851" spans="1:13" x14ac:dyDescent="0.3">
      <c r="A3851" s="7">
        <v>18448</v>
      </c>
      <c r="B3851" s="7" t="s">
        <v>3859</v>
      </c>
      <c r="C3851" s="7" t="s">
        <v>6525</v>
      </c>
      <c r="D3851" s="7" t="s">
        <v>6526</v>
      </c>
      <c r="E3851" s="7" t="s">
        <v>6841</v>
      </c>
      <c r="F3851" s="7" t="s">
        <v>6341</v>
      </c>
      <c r="G3851" s="7" t="s">
        <v>7150</v>
      </c>
      <c r="H3851" s="7" t="s">
        <v>7156</v>
      </c>
      <c r="I3851" s="7" t="s">
        <v>7159</v>
      </c>
      <c r="J3851" s="10">
        <v>46126</v>
      </c>
      <c r="K3851" s="7" t="s">
        <v>7163</v>
      </c>
      <c r="L3851" s="7"/>
      <c r="M3851" s="7"/>
    </row>
    <row r="3852" spans="1:13" x14ac:dyDescent="0.3">
      <c r="A3852" s="7">
        <v>18446</v>
      </c>
      <c r="B3852" s="7" t="s">
        <v>3860</v>
      </c>
      <c r="C3852" s="7" t="s">
        <v>6525</v>
      </c>
      <c r="D3852" s="7" t="s">
        <v>6526</v>
      </c>
      <c r="E3852" s="7" t="s">
        <v>6841</v>
      </c>
      <c r="F3852" s="7" t="s">
        <v>6340</v>
      </c>
      <c r="G3852" s="7" t="s">
        <v>7150</v>
      </c>
      <c r="H3852" s="7" t="s">
        <v>7156</v>
      </c>
      <c r="I3852" s="7" t="s">
        <v>7159</v>
      </c>
      <c r="J3852" s="10">
        <v>46126</v>
      </c>
      <c r="K3852" s="7" t="s">
        <v>7163</v>
      </c>
      <c r="L3852" s="7"/>
      <c r="M3852" s="7"/>
    </row>
    <row r="3853" spans="1:13" x14ac:dyDescent="0.3">
      <c r="A3853" s="7">
        <v>17312</v>
      </c>
      <c r="B3853" s="7" t="s">
        <v>3861</v>
      </c>
      <c r="C3853" s="7" t="s">
        <v>6525</v>
      </c>
      <c r="D3853" s="7" t="s">
        <v>6526</v>
      </c>
      <c r="E3853" s="7" t="s">
        <v>6841</v>
      </c>
      <c r="F3853" s="7" t="s">
        <v>6341</v>
      </c>
      <c r="G3853" s="7" t="s">
        <v>7150</v>
      </c>
      <c r="H3853" s="7" t="s">
        <v>7156</v>
      </c>
      <c r="I3853" s="7"/>
      <c r="J3853" s="10">
        <v>45702</v>
      </c>
      <c r="K3853" s="7" t="s">
        <v>7163</v>
      </c>
      <c r="L3853" s="7"/>
      <c r="M3853" s="7"/>
    </row>
    <row r="3854" spans="1:13" x14ac:dyDescent="0.3">
      <c r="A3854" s="7">
        <v>18451</v>
      </c>
      <c r="B3854" s="7" t="s">
        <v>3862</v>
      </c>
      <c r="C3854" s="7" t="s">
        <v>6525</v>
      </c>
      <c r="D3854" s="7" t="s">
        <v>6526</v>
      </c>
      <c r="E3854" s="7" t="s">
        <v>6841</v>
      </c>
      <c r="F3854" s="7" t="s">
        <v>6341</v>
      </c>
      <c r="G3854" s="7" t="s">
        <v>7150</v>
      </c>
      <c r="H3854" s="7" t="s">
        <v>7156</v>
      </c>
      <c r="I3854" s="7" t="s">
        <v>7159</v>
      </c>
      <c r="J3854" s="10">
        <v>46126</v>
      </c>
      <c r="K3854" s="7" t="s">
        <v>7163</v>
      </c>
      <c r="L3854" s="7"/>
      <c r="M3854" s="7"/>
    </row>
    <row r="3855" spans="1:13" x14ac:dyDescent="0.3">
      <c r="A3855" s="7">
        <v>18454</v>
      </c>
      <c r="B3855" s="7" t="s">
        <v>3863</v>
      </c>
      <c r="C3855" s="7" t="s">
        <v>6525</v>
      </c>
      <c r="D3855" s="7" t="s">
        <v>6526</v>
      </c>
      <c r="E3855" s="7" t="s">
        <v>6841</v>
      </c>
      <c r="F3855" s="7" t="s">
        <v>6341</v>
      </c>
      <c r="G3855" s="7" t="s">
        <v>7150</v>
      </c>
      <c r="H3855" s="7" t="s">
        <v>7156</v>
      </c>
      <c r="I3855" s="7" t="s">
        <v>7159</v>
      </c>
      <c r="J3855" s="10">
        <v>46126</v>
      </c>
      <c r="K3855" s="7" t="s">
        <v>7163</v>
      </c>
      <c r="L3855" s="7"/>
      <c r="M3855" s="7"/>
    </row>
    <row r="3856" spans="1:13" x14ac:dyDescent="0.3">
      <c r="A3856" s="7">
        <v>17404</v>
      </c>
      <c r="B3856" s="7" t="s">
        <v>3864</v>
      </c>
      <c r="C3856" s="7" t="s">
        <v>6525</v>
      </c>
      <c r="D3856" s="7" t="s">
        <v>6526</v>
      </c>
      <c r="E3856" s="7" t="s">
        <v>6295</v>
      </c>
      <c r="F3856" s="7" t="s">
        <v>6341</v>
      </c>
      <c r="G3856" s="7" t="s">
        <v>7150</v>
      </c>
      <c r="H3856" s="7" t="s">
        <v>7156</v>
      </c>
      <c r="I3856" s="7"/>
      <c r="J3856" s="10">
        <v>45733</v>
      </c>
      <c r="K3856" s="7" t="s">
        <v>7163</v>
      </c>
      <c r="L3856" s="7"/>
      <c r="M3856" s="7"/>
    </row>
    <row r="3857" spans="1:13" x14ac:dyDescent="0.3">
      <c r="A3857" s="7">
        <v>16897</v>
      </c>
      <c r="B3857" s="7" t="s">
        <v>3865</v>
      </c>
      <c r="C3857" s="7" t="s">
        <v>6525</v>
      </c>
      <c r="D3857" s="7" t="s">
        <v>6526</v>
      </c>
      <c r="E3857" s="7" t="s">
        <v>6527</v>
      </c>
      <c r="F3857" s="7" t="s">
        <v>6340</v>
      </c>
      <c r="G3857" s="7" t="s">
        <v>7150</v>
      </c>
      <c r="H3857" s="7" t="s">
        <v>7156</v>
      </c>
      <c r="I3857" s="7"/>
      <c r="J3857" s="10">
        <v>45566</v>
      </c>
      <c r="K3857" s="7" t="s">
        <v>7163</v>
      </c>
      <c r="L3857" s="7"/>
      <c r="M3857" s="7"/>
    </row>
    <row r="3858" spans="1:13" x14ac:dyDescent="0.3">
      <c r="A3858" s="7">
        <v>16902</v>
      </c>
      <c r="B3858" s="7" t="s">
        <v>3866</v>
      </c>
      <c r="C3858" s="7" t="s">
        <v>6525</v>
      </c>
      <c r="D3858" s="7" t="s">
        <v>6526</v>
      </c>
      <c r="E3858" s="7" t="s">
        <v>6841</v>
      </c>
      <c r="F3858" s="7" t="s">
        <v>6341</v>
      </c>
      <c r="G3858" s="7" t="s">
        <v>7150</v>
      </c>
      <c r="H3858" s="7" t="s">
        <v>7156</v>
      </c>
      <c r="I3858" s="7"/>
      <c r="J3858" s="10">
        <v>45566</v>
      </c>
      <c r="K3858" s="7" t="s">
        <v>7163</v>
      </c>
      <c r="L3858" s="7"/>
      <c r="M3858" s="7"/>
    </row>
    <row r="3859" spans="1:13" x14ac:dyDescent="0.3">
      <c r="A3859" s="7">
        <v>18447</v>
      </c>
      <c r="B3859" s="7" t="s">
        <v>3867</v>
      </c>
      <c r="C3859" s="7" t="s">
        <v>6525</v>
      </c>
      <c r="D3859" s="7" t="s">
        <v>6526</v>
      </c>
      <c r="E3859" s="7" t="s">
        <v>6841</v>
      </c>
      <c r="F3859" s="7" t="s">
        <v>6340</v>
      </c>
      <c r="G3859" s="7" t="s">
        <v>7150</v>
      </c>
      <c r="H3859" s="7" t="s">
        <v>7156</v>
      </c>
      <c r="I3859" s="7" t="s">
        <v>7159</v>
      </c>
      <c r="J3859" s="10">
        <v>46126</v>
      </c>
      <c r="K3859" s="7" t="s">
        <v>7163</v>
      </c>
      <c r="L3859" s="7"/>
      <c r="M3859" s="7"/>
    </row>
    <row r="3860" spans="1:13" x14ac:dyDescent="0.3">
      <c r="A3860" s="7">
        <v>18449</v>
      </c>
      <c r="B3860" s="7" t="s">
        <v>3868</v>
      </c>
      <c r="C3860" s="7" t="s">
        <v>6525</v>
      </c>
      <c r="D3860" s="7" t="s">
        <v>6526</v>
      </c>
      <c r="E3860" s="7" t="s">
        <v>6841</v>
      </c>
      <c r="F3860" s="7" t="s">
        <v>6340</v>
      </c>
      <c r="G3860" s="7" t="s">
        <v>7150</v>
      </c>
      <c r="H3860" s="7" t="s">
        <v>7156</v>
      </c>
      <c r="I3860" s="7" t="s">
        <v>7159</v>
      </c>
      <c r="J3860" s="10">
        <v>46126</v>
      </c>
      <c r="K3860" s="7" t="s">
        <v>7163</v>
      </c>
      <c r="L3860" s="7"/>
      <c r="M3860" s="7"/>
    </row>
    <row r="3861" spans="1:13" x14ac:dyDescent="0.3">
      <c r="A3861" s="7">
        <v>18453</v>
      </c>
      <c r="B3861" s="7" t="s">
        <v>3869</v>
      </c>
      <c r="C3861" s="7" t="s">
        <v>6525</v>
      </c>
      <c r="D3861" s="7" t="s">
        <v>6526</v>
      </c>
      <c r="E3861" s="7" t="s">
        <v>6841</v>
      </c>
      <c r="F3861" s="7" t="s">
        <v>6341</v>
      </c>
      <c r="G3861" s="7" t="s">
        <v>7150</v>
      </c>
      <c r="H3861" s="7" t="s">
        <v>7156</v>
      </c>
      <c r="I3861" s="7" t="s">
        <v>7159</v>
      </c>
      <c r="J3861" s="10">
        <v>46126</v>
      </c>
      <c r="K3861" s="7" t="s">
        <v>7163</v>
      </c>
      <c r="L3861" s="7"/>
      <c r="M3861" s="7"/>
    </row>
    <row r="3862" spans="1:13" x14ac:dyDescent="0.3">
      <c r="A3862" s="7">
        <v>17803</v>
      </c>
      <c r="B3862" s="7" t="s">
        <v>3870</v>
      </c>
      <c r="C3862" s="7" t="s">
        <v>6525</v>
      </c>
      <c r="D3862" s="7" t="s">
        <v>6526</v>
      </c>
      <c r="E3862" s="7" t="s">
        <v>6295</v>
      </c>
      <c r="F3862" s="7" t="s">
        <v>6341</v>
      </c>
      <c r="G3862" s="7" t="s">
        <v>7150</v>
      </c>
      <c r="H3862" s="7" t="s">
        <v>7156</v>
      </c>
      <c r="I3862" s="7"/>
      <c r="J3862" s="10">
        <v>45888</v>
      </c>
      <c r="K3862" s="7" t="s">
        <v>7163</v>
      </c>
      <c r="L3862" s="7"/>
      <c r="M3862" s="7"/>
    </row>
    <row r="3863" spans="1:13" x14ac:dyDescent="0.3">
      <c r="A3863" s="7">
        <v>18121</v>
      </c>
      <c r="B3863" s="7" t="s">
        <v>3871</v>
      </c>
      <c r="C3863" s="7" t="s">
        <v>6525</v>
      </c>
      <c r="D3863" s="7" t="s">
        <v>6526</v>
      </c>
      <c r="E3863" s="7" t="s">
        <v>6841</v>
      </c>
      <c r="F3863" s="7" t="s">
        <v>6348</v>
      </c>
      <c r="G3863" s="7" t="s">
        <v>7150</v>
      </c>
      <c r="H3863" s="7" t="s">
        <v>7156</v>
      </c>
      <c r="I3863" s="7"/>
      <c r="J3863" s="10">
        <v>46006</v>
      </c>
      <c r="K3863" s="7" t="s">
        <v>7163</v>
      </c>
      <c r="L3863" s="7"/>
      <c r="M3863" s="7"/>
    </row>
    <row r="3864" spans="1:13" x14ac:dyDescent="0.3">
      <c r="A3864" s="7">
        <v>16901</v>
      </c>
      <c r="B3864" s="7" t="s">
        <v>3872</v>
      </c>
      <c r="C3864" s="7" t="s">
        <v>6523</v>
      </c>
      <c r="D3864" s="7" t="s">
        <v>6524</v>
      </c>
      <c r="E3864" s="7" t="s">
        <v>6295</v>
      </c>
      <c r="F3864" s="7" t="s">
        <v>6341</v>
      </c>
      <c r="G3864" s="7" t="s">
        <v>7150</v>
      </c>
      <c r="H3864" s="7" t="s">
        <v>7156</v>
      </c>
      <c r="I3864" s="7"/>
      <c r="J3864" s="10">
        <v>45566</v>
      </c>
      <c r="K3864" s="7" t="s">
        <v>7163</v>
      </c>
      <c r="L3864" s="7"/>
      <c r="M3864" s="7"/>
    </row>
    <row r="3865" spans="1:13" x14ac:dyDescent="0.3">
      <c r="A3865" s="7">
        <v>16903</v>
      </c>
      <c r="B3865" s="7" t="s">
        <v>3873</v>
      </c>
      <c r="C3865" s="7" t="s">
        <v>6523</v>
      </c>
      <c r="D3865" s="7" t="s">
        <v>6524</v>
      </c>
      <c r="E3865" s="7" t="s">
        <v>6295</v>
      </c>
      <c r="F3865" s="7" t="s">
        <v>6341</v>
      </c>
      <c r="G3865" s="7" t="s">
        <v>7150</v>
      </c>
      <c r="H3865" s="7" t="s">
        <v>7156</v>
      </c>
      <c r="I3865" s="7"/>
      <c r="J3865" s="10">
        <v>45566</v>
      </c>
      <c r="K3865" s="7" t="s">
        <v>7163</v>
      </c>
      <c r="L3865" s="7"/>
      <c r="M3865" s="7"/>
    </row>
    <row r="3866" spans="1:13" x14ac:dyDescent="0.3">
      <c r="A3866" s="7">
        <v>12545</v>
      </c>
      <c r="B3866" s="7" t="s">
        <v>3874</v>
      </c>
      <c r="C3866" s="7" t="s">
        <v>6525</v>
      </c>
      <c r="D3866" s="7" t="s">
        <v>6295</v>
      </c>
      <c r="E3866" s="7" t="s">
        <v>6295</v>
      </c>
      <c r="F3866" s="7" t="s">
        <v>6336</v>
      </c>
      <c r="G3866" s="7" t="s">
        <v>7150</v>
      </c>
      <c r="H3866" s="7" t="s">
        <v>7156</v>
      </c>
      <c r="I3866" s="7"/>
      <c r="J3866" s="10">
        <v>43805</v>
      </c>
      <c r="K3866" s="7" t="s">
        <v>7163</v>
      </c>
      <c r="L3866" s="7"/>
      <c r="M3866" s="7"/>
    </row>
    <row r="3867" spans="1:13" x14ac:dyDescent="0.3">
      <c r="A3867" s="7">
        <v>18441</v>
      </c>
      <c r="B3867" s="7" t="s">
        <v>3875</v>
      </c>
      <c r="C3867" s="7" t="s">
        <v>6525</v>
      </c>
      <c r="D3867" s="7" t="s">
        <v>6840</v>
      </c>
      <c r="E3867" s="7" t="s">
        <v>6295</v>
      </c>
      <c r="F3867" s="7" t="s">
        <v>6335</v>
      </c>
      <c r="G3867" s="7" t="s">
        <v>7150</v>
      </c>
      <c r="H3867" s="7" t="s">
        <v>7156</v>
      </c>
      <c r="I3867" s="7" t="s">
        <v>7159</v>
      </c>
      <c r="J3867" s="10">
        <v>46126</v>
      </c>
      <c r="K3867" s="7" t="s">
        <v>7163</v>
      </c>
      <c r="L3867" s="7"/>
      <c r="M3867" s="7"/>
    </row>
    <row r="3868" spans="1:13" x14ac:dyDescent="0.3">
      <c r="A3868" s="7">
        <v>11873</v>
      </c>
      <c r="B3868" s="7" t="s">
        <v>3876</v>
      </c>
      <c r="C3868" s="7" t="s">
        <v>6525</v>
      </c>
      <c r="D3868" s="7" t="s">
        <v>6839</v>
      </c>
      <c r="E3868" s="7" t="s">
        <v>6295</v>
      </c>
      <c r="F3868" s="7" t="s">
        <v>6335</v>
      </c>
      <c r="G3868" s="7" t="s">
        <v>7150</v>
      </c>
      <c r="H3868" s="7" t="s">
        <v>7156</v>
      </c>
      <c r="I3868" s="7"/>
      <c r="J3868" s="10">
        <v>43227</v>
      </c>
      <c r="K3868" s="7" t="s">
        <v>7163</v>
      </c>
      <c r="L3868" s="7"/>
      <c r="M3868" s="7"/>
    </row>
    <row r="3869" spans="1:13" x14ac:dyDescent="0.3">
      <c r="A3869" s="7">
        <v>11783</v>
      </c>
      <c r="B3869" s="7" t="s">
        <v>3877</v>
      </c>
      <c r="C3869" s="7" t="s">
        <v>6525</v>
      </c>
      <c r="D3869" s="7" t="s">
        <v>6840</v>
      </c>
      <c r="E3869" s="7" t="s">
        <v>6295</v>
      </c>
      <c r="F3869" s="7" t="s">
        <v>6353</v>
      </c>
      <c r="G3869" s="7" t="s">
        <v>7150</v>
      </c>
      <c r="H3869" s="7" t="s">
        <v>7156</v>
      </c>
      <c r="I3869" s="7"/>
      <c r="J3869" s="10">
        <v>43118</v>
      </c>
      <c r="K3869" s="7" t="s">
        <v>7163</v>
      </c>
      <c r="L3869" s="7"/>
      <c r="M3869" s="7"/>
    </row>
    <row r="3870" spans="1:13" x14ac:dyDescent="0.3">
      <c r="A3870" s="7">
        <v>11171</v>
      </c>
      <c r="B3870" s="7" t="s">
        <v>3878</v>
      </c>
      <c r="C3870" s="7" t="s">
        <v>6525</v>
      </c>
      <c r="D3870" s="7" t="s">
        <v>6840</v>
      </c>
      <c r="E3870" s="7" t="s">
        <v>6295</v>
      </c>
      <c r="F3870" s="7" t="s">
        <v>6353</v>
      </c>
      <c r="G3870" s="7" t="s">
        <v>7150</v>
      </c>
      <c r="H3870" s="7" t="s">
        <v>7156</v>
      </c>
      <c r="I3870" s="7"/>
      <c r="J3870" s="10">
        <v>42349</v>
      </c>
      <c r="K3870" s="7" t="s">
        <v>7163</v>
      </c>
      <c r="L3870" s="7"/>
      <c r="M3870" s="7"/>
    </row>
    <row r="3871" spans="1:13" x14ac:dyDescent="0.3">
      <c r="A3871" s="7">
        <v>11651</v>
      </c>
      <c r="B3871" s="7" t="s">
        <v>3879</v>
      </c>
      <c r="C3871" s="7" t="s">
        <v>6525</v>
      </c>
      <c r="D3871" s="7" t="s">
        <v>6840</v>
      </c>
      <c r="E3871" s="7" t="s">
        <v>6295</v>
      </c>
      <c r="F3871" s="7" t="s">
        <v>6353</v>
      </c>
      <c r="G3871" s="7" t="s">
        <v>7150</v>
      </c>
      <c r="H3871" s="7" t="s">
        <v>7156</v>
      </c>
      <c r="I3871" s="7"/>
      <c r="J3871" s="10">
        <v>42989</v>
      </c>
      <c r="K3871" s="7" t="s">
        <v>7163</v>
      </c>
      <c r="L3871" s="7"/>
      <c r="M3871" s="7"/>
    </row>
    <row r="3872" spans="1:13" x14ac:dyDescent="0.3">
      <c r="A3872" s="7">
        <v>12228</v>
      </c>
      <c r="B3872" s="7" t="s">
        <v>3880</v>
      </c>
      <c r="C3872" s="7" t="s">
        <v>6525</v>
      </c>
      <c r="D3872" s="7" t="s">
        <v>6840</v>
      </c>
      <c r="E3872" s="7" t="s">
        <v>6295</v>
      </c>
      <c r="F3872" s="7" t="s">
        <v>6335</v>
      </c>
      <c r="G3872" s="7" t="s">
        <v>7150</v>
      </c>
      <c r="H3872" s="7" t="s">
        <v>7156</v>
      </c>
      <c r="I3872" s="7"/>
      <c r="J3872" s="10">
        <v>43620</v>
      </c>
      <c r="K3872" s="7" t="s">
        <v>7163</v>
      </c>
      <c r="L3872" s="7"/>
      <c r="M3872" s="7"/>
    </row>
    <row r="3873" spans="1:13" x14ac:dyDescent="0.3">
      <c r="A3873" s="7">
        <v>11540</v>
      </c>
      <c r="B3873" s="7" t="s">
        <v>3881</v>
      </c>
      <c r="C3873" s="7" t="s">
        <v>6525</v>
      </c>
      <c r="D3873" s="7" t="s">
        <v>6840</v>
      </c>
      <c r="E3873" s="7" t="s">
        <v>6295</v>
      </c>
      <c r="F3873" s="7" t="s">
        <v>6340</v>
      </c>
      <c r="G3873" s="7" t="s">
        <v>7150</v>
      </c>
      <c r="H3873" s="7" t="s">
        <v>7156</v>
      </c>
      <c r="I3873" s="7"/>
      <c r="J3873" s="10">
        <v>42811</v>
      </c>
      <c r="K3873" s="7" t="s">
        <v>7163</v>
      </c>
      <c r="L3873" s="7"/>
      <c r="M3873" s="7"/>
    </row>
    <row r="3874" spans="1:13" x14ac:dyDescent="0.3">
      <c r="A3874" s="7">
        <v>18465</v>
      </c>
      <c r="B3874" s="7" t="s">
        <v>3882</v>
      </c>
      <c r="C3874" s="7" t="s">
        <v>6525</v>
      </c>
      <c r="D3874" s="7" t="s">
        <v>6840</v>
      </c>
      <c r="E3874" s="7" t="s">
        <v>6295</v>
      </c>
      <c r="F3874" s="7" t="s">
        <v>6340</v>
      </c>
      <c r="G3874" s="7" t="s">
        <v>7150</v>
      </c>
      <c r="H3874" s="7" t="s">
        <v>7156</v>
      </c>
      <c r="I3874" s="7" t="s">
        <v>7159</v>
      </c>
      <c r="J3874" s="10">
        <v>46128</v>
      </c>
      <c r="K3874" s="7" t="s">
        <v>7163</v>
      </c>
      <c r="L3874" s="7"/>
      <c r="M3874" s="7"/>
    </row>
    <row r="3875" spans="1:13" x14ac:dyDescent="0.3">
      <c r="A3875" s="7">
        <v>15316</v>
      </c>
      <c r="B3875" s="7" t="s">
        <v>3883</v>
      </c>
      <c r="C3875" s="7" t="s">
        <v>6525</v>
      </c>
      <c r="D3875" s="7" t="s">
        <v>6840</v>
      </c>
      <c r="E3875" s="7" t="s">
        <v>6295</v>
      </c>
      <c r="F3875" s="7" t="s">
        <v>6341</v>
      </c>
      <c r="G3875" s="7" t="s">
        <v>7150</v>
      </c>
      <c r="H3875" s="7" t="s">
        <v>7156</v>
      </c>
      <c r="I3875" s="7"/>
      <c r="J3875" s="10">
        <v>45026</v>
      </c>
      <c r="K3875" s="7" t="s">
        <v>7163</v>
      </c>
      <c r="L3875" s="7"/>
      <c r="M3875" s="7"/>
    </row>
    <row r="3876" spans="1:13" x14ac:dyDescent="0.3">
      <c r="A3876" s="7">
        <v>14922</v>
      </c>
      <c r="B3876" s="7" t="s">
        <v>3884</v>
      </c>
      <c r="C3876" s="7" t="s">
        <v>6525</v>
      </c>
      <c r="D3876" s="7" t="s">
        <v>6839</v>
      </c>
      <c r="E3876" s="7" t="s">
        <v>6842</v>
      </c>
      <c r="F3876" s="7" t="s">
        <v>6341</v>
      </c>
      <c r="G3876" s="7" t="s">
        <v>7150</v>
      </c>
      <c r="H3876" s="7" t="s">
        <v>7156</v>
      </c>
      <c r="I3876" s="7"/>
      <c r="J3876" s="10">
        <v>44896</v>
      </c>
      <c r="K3876" s="7" t="s">
        <v>7163</v>
      </c>
      <c r="L3876" s="7"/>
      <c r="M3876" s="7"/>
    </row>
    <row r="3877" spans="1:13" x14ac:dyDescent="0.3">
      <c r="A3877" s="7">
        <v>18716</v>
      </c>
      <c r="B3877" s="7" t="s">
        <v>3885</v>
      </c>
      <c r="C3877" s="7" t="s">
        <v>6525</v>
      </c>
      <c r="D3877" s="7" t="s">
        <v>6839</v>
      </c>
      <c r="E3877" s="7" t="s">
        <v>6842</v>
      </c>
      <c r="F3877" s="7" t="s">
        <v>6341</v>
      </c>
      <c r="G3877" s="7" t="s">
        <v>7150</v>
      </c>
      <c r="H3877" s="7" t="s">
        <v>7156</v>
      </c>
      <c r="I3877" s="7"/>
      <c r="J3877" s="10">
        <v>46197</v>
      </c>
      <c r="K3877" s="7" t="s">
        <v>7163</v>
      </c>
      <c r="L3877" s="7"/>
      <c r="M3877" s="7"/>
    </row>
    <row r="3878" spans="1:13" x14ac:dyDescent="0.3">
      <c r="A3878" s="7">
        <v>16732</v>
      </c>
      <c r="B3878" s="7" t="s">
        <v>3886</v>
      </c>
      <c r="C3878" s="7" t="s">
        <v>6525</v>
      </c>
      <c r="D3878" s="7" t="s">
        <v>6840</v>
      </c>
      <c r="E3878" s="7" t="s">
        <v>6295</v>
      </c>
      <c r="F3878" s="7" t="s">
        <v>6341</v>
      </c>
      <c r="G3878" s="7" t="s">
        <v>7150</v>
      </c>
      <c r="H3878" s="7" t="s">
        <v>7156</v>
      </c>
      <c r="I3878" s="7"/>
      <c r="J3878" s="10">
        <v>45537</v>
      </c>
      <c r="K3878" s="7" t="s">
        <v>7163</v>
      </c>
      <c r="L3878" s="7"/>
      <c r="M3878" s="7"/>
    </row>
    <row r="3879" spans="1:13" x14ac:dyDescent="0.3">
      <c r="A3879" s="7">
        <v>17821</v>
      </c>
      <c r="B3879" s="7" t="s">
        <v>3887</v>
      </c>
      <c r="C3879" s="7" t="s">
        <v>6525</v>
      </c>
      <c r="D3879" s="7" t="s">
        <v>6840</v>
      </c>
      <c r="E3879" s="7" t="s">
        <v>6295</v>
      </c>
      <c r="F3879" s="7" t="s">
        <v>6341</v>
      </c>
      <c r="G3879" s="7" t="s">
        <v>7150</v>
      </c>
      <c r="H3879" s="7" t="s">
        <v>7156</v>
      </c>
      <c r="I3879" s="7"/>
      <c r="J3879" s="10">
        <v>45895</v>
      </c>
      <c r="K3879" s="7" t="s">
        <v>7163</v>
      </c>
      <c r="L3879" s="7"/>
      <c r="M3879" s="7"/>
    </row>
    <row r="3880" spans="1:13" x14ac:dyDescent="0.3">
      <c r="A3880" s="7">
        <v>17793</v>
      </c>
      <c r="B3880" s="7" t="s">
        <v>3888</v>
      </c>
      <c r="C3880" s="7" t="s">
        <v>6525</v>
      </c>
      <c r="D3880" s="7" t="s">
        <v>6840</v>
      </c>
      <c r="E3880" s="7" t="s">
        <v>6295</v>
      </c>
      <c r="F3880" s="7" t="s">
        <v>6341</v>
      </c>
      <c r="G3880" s="7" t="s">
        <v>7150</v>
      </c>
      <c r="H3880" s="7" t="s">
        <v>7156</v>
      </c>
      <c r="I3880" s="7"/>
      <c r="J3880" s="10">
        <v>45877</v>
      </c>
      <c r="K3880" s="7" t="s">
        <v>7163</v>
      </c>
      <c r="L3880" s="7"/>
      <c r="M3880" s="7"/>
    </row>
    <row r="3881" spans="1:13" x14ac:dyDescent="0.3">
      <c r="A3881" s="7">
        <v>17961</v>
      </c>
      <c r="B3881" s="7" t="s">
        <v>3889</v>
      </c>
      <c r="C3881" s="7" t="s">
        <v>6525</v>
      </c>
      <c r="D3881" s="7" t="s">
        <v>6840</v>
      </c>
      <c r="E3881" s="7" t="s">
        <v>6295</v>
      </c>
      <c r="F3881" s="7" t="s">
        <v>6341</v>
      </c>
      <c r="G3881" s="7" t="s">
        <v>7150</v>
      </c>
      <c r="H3881" s="7" t="s">
        <v>7156</v>
      </c>
      <c r="I3881" s="7"/>
      <c r="J3881" s="10">
        <v>45937</v>
      </c>
      <c r="K3881" s="7" t="s">
        <v>7163</v>
      </c>
      <c r="L3881" s="7"/>
      <c r="M3881" s="7"/>
    </row>
    <row r="3882" spans="1:13" x14ac:dyDescent="0.3">
      <c r="A3882" s="7">
        <v>15265</v>
      </c>
      <c r="B3882" s="7" t="s">
        <v>3890</v>
      </c>
      <c r="C3882" s="7" t="s">
        <v>6525</v>
      </c>
      <c r="D3882" s="7" t="s">
        <v>6840</v>
      </c>
      <c r="E3882" s="7" t="s">
        <v>6295</v>
      </c>
      <c r="F3882" s="7" t="s">
        <v>6341</v>
      </c>
      <c r="G3882" s="7" t="s">
        <v>7150</v>
      </c>
      <c r="H3882" s="7" t="s">
        <v>7156</v>
      </c>
      <c r="I3882" s="7"/>
      <c r="J3882" s="10">
        <v>45002</v>
      </c>
      <c r="K3882" s="7" t="s">
        <v>7163</v>
      </c>
      <c r="L3882" s="7"/>
      <c r="M3882" s="7"/>
    </row>
    <row r="3883" spans="1:13" x14ac:dyDescent="0.3">
      <c r="A3883" s="7">
        <v>13769</v>
      </c>
      <c r="B3883" s="7" t="s">
        <v>3891</v>
      </c>
      <c r="C3883" s="7" t="s">
        <v>6525</v>
      </c>
      <c r="D3883" s="7" t="s">
        <v>6840</v>
      </c>
      <c r="E3883" s="7" t="s">
        <v>6295</v>
      </c>
      <c r="F3883" s="7" t="s">
        <v>6353</v>
      </c>
      <c r="G3883" s="7" t="s">
        <v>7150</v>
      </c>
      <c r="H3883" s="7" t="s">
        <v>7156</v>
      </c>
      <c r="I3883" s="7"/>
      <c r="J3883" s="10">
        <v>44573</v>
      </c>
      <c r="K3883" s="7" t="s">
        <v>7163</v>
      </c>
      <c r="L3883" s="7"/>
      <c r="M3883" s="7"/>
    </row>
    <row r="3884" spans="1:13" x14ac:dyDescent="0.3">
      <c r="A3884" s="7">
        <v>14263</v>
      </c>
      <c r="B3884" s="7" t="s">
        <v>3892</v>
      </c>
      <c r="C3884" s="7" t="s">
        <v>6525</v>
      </c>
      <c r="D3884" s="7" t="s">
        <v>6840</v>
      </c>
      <c r="E3884" s="7" t="s">
        <v>6295</v>
      </c>
      <c r="F3884" s="7" t="s">
        <v>6340</v>
      </c>
      <c r="G3884" s="7" t="s">
        <v>7150</v>
      </c>
      <c r="H3884" s="7" t="s">
        <v>7156</v>
      </c>
      <c r="I3884" s="7"/>
      <c r="J3884" s="10">
        <v>44713</v>
      </c>
      <c r="K3884" s="7" t="s">
        <v>7163</v>
      </c>
      <c r="L3884" s="7"/>
      <c r="M3884" s="7"/>
    </row>
    <row r="3885" spans="1:13" x14ac:dyDescent="0.3">
      <c r="A3885" s="7">
        <v>17792</v>
      </c>
      <c r="B3885" s="7" t="s">
        <v>3893</v>
      </c>
      <c r="C3885" s="7" t="s">
        <v>6525</v>
      </c>
      <c r="D3885" s="7" t="s">
        <v>6840</v>
      </c>
      <c r="E3885" s="7" t="s">
        <v>6295</v>
      </c>
      <c r="F3885" s="7" t="s">
        <v>6341</v>
      </c>
      <c r="G3885" s="7" t="s">
        <v>7150</v>
      </c>
      <c r="H3885" s="7" t="s">
        <v>7156</v>
      </c>
      <c r="I3885" s="7"/>
      <c r="J3885" s="10">
        <v>45877</v>
      </c>
      <c r="K3885" s="7" t="s">
        <v>7163</v>
      </c>
      <c r="L3885" s="7"/>
      <c r="M3885" s="7"/>
    </row>
    <row r="3886" spans="1:13" x14ac:dyDescent="0.3">
      <c r="A3886" s="7">
        <v>18459</v>
      </c>
      <c r="B3886" s="7" t="s">
        <v>3894</v>
      </c>
      <c r="C3886" s="7" t="s">
        <v>6525</v>
      </c>
      <c r="D3886" s="7" t="s">
        <v>6840</v>
      </c>
      <c r="E3886" s="7" t="s">
        <v>6295</v>
      </c>
      <c r="F3886" s="7" t="s">
        <v>6340</v>
      </c>
      <c r="G3886" s="7" t="s">
        <v>7152</v>
      </c>
      <c r="H3886" s="7" t="s">
        <v>7156</v>
      </c>
      <c r="I3886" s="7" t="s">
        <v>7159</v>
      </c>
      <c r="J3886" s="10">
        <v>46126</v>
      </c>
      <c r="K3886" s="7" t="s">
        <v>7163</v>
      </c>
      <c r="L3886" s="7"/>
      <c r="M3886" s="7"/>
    </row>
    <row r="3887" spans="1:13" x14ac:dyDescent="0.3">
      <c r="A3887" s="7">
        <v>18458</v>
      </c>
      <c r="B3887" s="7" t="s">
        <v>3895</v>
      </c>
      <c r="C3887" s="7" t="s">
        <v>6525</v>
      </c>
      <c r="D3887" s="7" t="s">
        <v>6838</v>
      </c>
      <c r="E3887" s="7" t="s">
        <v>6295</v>
      </c>
      <c r="F3887" s="7" t="s">
        <v>6341</v>
      </c>
      <c r="G3887" s="7" t="s">
        <v>7150</v>
      </c>
      <c r="H3887" s="7" t="s">
        <v>7156</v>
      </c>
      <c r="I3887" s="7" t="s">
        <v>7159</v>
      </c>
      <c r="J3887" s="10">
        <v>46126</v>
      </c>
      <c r="K3887" s="7" t="s">
        <v>7163</v>
      </c>
      <c r="L3887" s="7"/>
      <c r="M3887" s="7"/>
    </row>
    <row r="3888" spans="1:13" x14ac:dyDescent="0.3">
      <c r="A3888" s="7">
        <v>17843</v>
      </c>
      <c r="B3888" s="7" t="s">
        <v>3896</v>
      </c>
      <c r="C3888" s="7" t="s">
        <v>6525</v>
      </c>
      <c r="D3888" s="7" t="s">
        <v>6838</v>
      </c>
      <c r="E3888" s="7" t="s">
        <v>6295</v>
      </c>
      <c r="F3888" s="7" t="s">
        <v>6338</v>
      </c>
      <c r="G3888" s="7" t="s">
        <v>7150</v>
      </c>
      <c r="H3888" s="7" t="s">
        <v>7156</v>
      </c>
      <c r="I3888" s="7"/>
      <c r="J3888" s="10">
        <v>45890</v>
      </c>
      <c r="K3888" s="7" t="s">
        <v>7163</v>
      </c>
      <c r="L3888" s="7"/>
      <c r="M3888" s="7"/>
    </row>
    <row r="3889" spans="1:13" x14ac:dyDescent="0.3">
      <c r="A3889" s="7">
        <v>18445</v>
      </c>
      <c r="B3889" s="7" t="s">
        <v>3897</v>
      </c>
      <c r="C3889" s="7" t="s">
        <v>6525</v>
      </c>
      <c r="D3889" s="7" t="s">
        <v>6838</v>
      </c>
      <c r="E3889" s="7" t="s">
        <v>6295</v>
      </c>
      <c r="F3889" s="7" t="s">
        <v>6353</v>
      </c>
      <c r="G3889" s="7" t="s">
        <v>7150</v>
      </c>
      <c r="H3889" s="7" t="s">
        <v>7156</v>
      </c>
      <c r="I3889" s="7" t="s">
        <v>7159</v>
      </c>
      <c r="J3889" s="10">
        <v>46126</v>
      </c>
      <c r="K3889" s="7" t="s">
        <v>7163</v>
      </c>
      <c r="L3889" s="7"/>
      <c r="M3889" s="7"/>
    </row>
    <row r="3890" spans="1:13" x14ac:dyDescent="0.3">
      <c r="A3890" s="7">
        <v>16894</v>
      </c>
      <c r="B3890" s="7" t="s">
        <v>3898</v>
      </c>
      <c r="C3890" s="7" t="s">
        <v>6525</v>
      </c>
      <c r="D3890" s="7" t="s">
        <v>6838</v>
      </c>
      <c r="E3890" s="7" t="s">
        <v>6295</v>
      </c>
      <c r="F3890" s="7" t="s">
        <v>6340</v>
      </c>
      <c r="G3890" s="7" t="s">
        <v>7150</v>
      </c>
      <c r="H3890" s="7" t="s">
        <v>7156</v>
      </c>
      <c r="I3890" s="7"/>
      <c r="J3890" s="10">
        <v>45566</v>
      </c>
      <c r="K3890" s="7" t="s">
        <v>7163</v>
      </c>
      <c r="L3890" s="7"/>
      <c r="M3890" s="7"/>
    </row>
    <row r="3891" spans="1:13" x14ac:dyDescent="0.3">
      <c r="A3891" s="7">
        <v>12335</v>
      </c>
      <c r="B3891" s="7" t="s">
        <v>3899</v>
      </c>
      <c r="C3891" s="7" t="s">
        <v>6525</v>
      </c>
      <c r="D3891" s="7" t="s">
        <v>6838</v>
      </c>
      <c r="E3891" s="7" t="s">
        <v>6295</v>
      </c>
      <c r="F3891" s="7" t="s">
        <v>6440</v>
      </c>
      <c r="G3891" s="7" t="s">
        <v>7150</v>
      </c>
      <c r="H3891" s="7" t="s">
        <v>7156</v>
      </c>
      <c r="I3891" s="7"/>
      <c r="J3891" s="10">
        <v>43692</v>
      </c>
      <c r="K3891" s="7" t="s">
        <v>7163</v>
      </c>
      <c r="L3891" s="7"/>
      <c r="M3891" s="7"/>
    </row>
    <row r="3892" spans="1:13" x14ac:dyDescent="0.3">
      <c r="A3892" s="7">
        <v>12118</v>
      </c>
      <c r="B3892" s="7" t="s">
        <v>3900</v>
      </c>
      <c r="C3892" s="7" t="s">
        <v>6525</v>
      </c>
      <c r="D3892" s="7" t="s">
        <v>6839</v>
      </c>
      <c r="E3892" s="7" t="s">
        <v>6842</v>
      </c>
      <c r="F3892" s="7" t="s">
        <v>6440</v>
      </c>
      <c r="G3892" s="7" t="s">
        <v>7150</v>
      </c>
      <c r="H3892" s="7" t="s">
        <v>7156</v>
      </c>
      <c r="I3892" s="7"/>
      <c r="J3892" s="10">
        <v>43493</v>
      </c>
      <c r="K3892" s="7" t="s">
        <v>7163</v>
      </c>
      <c r="L3892" s="7"/>
      <c r="M3892" s="7"/>
    </row>
    <row r="3893" spans="1:13" x14ac:dyDescent="0.3">
      <c r="A3893" s="7">
        <v>12478</v>
      </c>
      <c r="B3893" s="7" t="s">
        <v>3901</v>
      </c>
      <c r="C3893" s="7" t="s">
        <v>6525</v>
      </c>
      <c r="D3893" s="7" t="s">
        <v>6838</v>
      </c>
      <c r="E3893" s="7" t="s">
        <v>6295</v>
      </c>
      <c r="F3893" s="7" t="s">
        <v>6340</v>
      </c>
      <c r="G3893" s="7" t="s">
        <v>7150</v>
      </c>
      <c r="H3893" s="7" t="s">
        <v>7156</v>
      </c>
      <c r="I3893" s="7"/>
      <c r="J3893" s="10">
        <v>43770</v>
      </c>
      <c r="K3893" s="7" t="s">
        <v>7163</v>
      </c>
      <c r="L3893" s="7"/>
      <c r="M3893" s="7"/>
    </row>
    <row r="3894" spans="1:13" x14ac:dyDescent="0.3">
      <c r="A3894" s="7">
        <v>14220</v>
      </c>
      <c r="B3894" s="7" t="s">
        <v>3902</v>
      </c>
      <c r="C3894" s="7" t="s">
        <v>6525</v>
      </c>
      <c r="D3894" s="7" t="s">
        <v>6838</v>
      </c>
      <c r="E3894" s="7" t="s">
        <v>6295</v>
      </c>
      <c r="F3894" s="7" t="s">
        <v>6340</v>
      </c>
      <c r="G3894" s="7" t="s">
        <v>7150</v>
      </c>
      <c r="H3894" s="7" t="s">
        <v>7156</v>
      </c>
      <c r="I3894" s="7"/>
      <c r="J3894" s="10">
        <v>44700</v>
      </c>
      <c r="K3894" s="7" t="s">
        <v>7163</v>
      </c>
      <c r="L3894" s="7"/>
      <c r="M3894" s="7"/>
    </row>
    <row r="3895" spans="1:13" x14ac:dyDescent="0.3">
      <c r="A3895" s="7">
        <v>18450</v>
      </c>
      <c r="B3895" s="7" t="s">
        <v>3903</v>
      </c>
      <c r="C3895" s="7" t="s">
        <v>6525</v>
      </c>
      <c r="D3895" s="7" t="s">
        <v>6838</v>
      </c>
      <c r="E3895" s="7" t="s">
        <v>6295</v>
      </c>
      <c r="F3895" s="7" t="s">
        <v>6341</v>
      </c>
      <c r="G3895" s="7" t="s">
        <v>7150</v>
      </c>
      <c r="H3895" s="7" t="s">
        <v>7156</v>
      </c>
      <c r="I3895" s="7" t="s">
        <v>7159</v>
      </c>
      <c r="J3895" s="10">
        <v>46126</v>
      </c>
      <c r="K3895" s="7" t="s">
        <v>7163</v>
      </c>
      <c r="L3895" s="7"/>
      <c r="M3895" s="7"/>
    </row>
    <row r="3896" spans="1:13" x14ac:dyDescent="0.3">
      <c r="A3896" s="7">
        <v>18464</v>
      </c>
      <c r="B3896" s="7" t="s">
        <v>3904</v>
      </c>
      <c r="C3896" s="7" t="s">
        <v>6525</v>
      </c>
      <c r="D3896" s="7" t="s">
        <v>6838</v>
      </c>
      <c r="E3896" s="7" t="s">
        <v>6295</v>
      </c>
      <c r="F3896" s="7" t="s">
        <v>6341</v>
      </c>
      <c r="G3896" s="7" t="s">
        <v>7150</v>
      </c>
      <c r="H3896" s="7" t="s">
        <v>7156</v>
      </c>
      <c r="I3896" s="7" t="s">
        <v>7159</v>
      </c>
      <c r="J3896" s="10">
        <v>46127</v>
      </c>
      <c r="K3896" s="7" t="s">
        <v>7163</v>
      </c>
      <c r="L3896" s="7"/>
      <c r="M3896" s="7"/>
    </row>
    <row r="3897" spans="1:13" x14ac:dyDescent="0.3">
      <c r="A3897" s="7">
        <v>18443</v>
      </c>
      <c r="B3897" s="7" t="s">
        <v>3905</v>
      </c>
      <c r="C3897" s="7" t="s">
        <v>6525</v>
      </c>
      <c r="D3897" s="7" t="s">
        <v>6838</v>
      </c>
      <c r="E3897" s="7" t="s">
        <v>6295</v>
      </c>
      <c r="F3897" s="7" t="s">
        <v>6341</v>
      </c>
      <c r="G3897" s="7" t="s">
        <v>7150</v>
      </c>
      <c r="H3897" s="7" t="s">
        <v>7156</v>
      </c>
      <c r="I3897" s="7" t="s">
        <v>7159</v>
      </c>
      <c r="J3897" s="10">
        <v>46126</v>
      </c>
      <c r="K3897" s="7" t="s">
        <v>7163</v>
      </c>
      <c r="L3897" s="7"/>
      <c r="M3897" s="7"/>
    </row>
    <row r="3898" spans="1:13" x14ac:dyDescent="0.3">
      <c r="A3898" s="7">
        <v>16661</v>
      </c>
      <c r="B3898" s="7" t="s">
        <v>3906</v>
      </c>
      <c r="C3898" s="7" t="s">
        <v>6525</v>
      </c>
      <c r="D3898" s="7" t="s">
        <v>6838</v>
      </c>
      <c r="E3898" s="7" t="s">
        <v>6295</v>
      </c>
      <c r="F3898" s="7" t="s">
        <v>6340</v>
      </c>
      <c r="G3898" s="7" t="s">
        <v>7150</v>
      </c>
      <c r="H3898" s="7" t="s">
        <v>7156</v>
      </c>
      <c r="I3898" s="7"/>
      <c r="J3898" s="10">
        <v>45525</v>
      </c>
      <c r="K3898" s="7" t="s">
        <v>7163</v>
      </c>
      <c r="L3898" s="7"/>
      <c r="M3898" s="7"/>
    </row>
    <row r="3899" spans="1:13" x14ac:dyDescent="0.3">
      <c r="A3899" s="7">
        <v>15446</v>
      </c>
      <c r="B3899" s="7" t="s">
        <v>3907</v>
      </c>
      <c r="C3899" s="7" t="s">
        <v>6525</v>
      </c>
      <c r="D3899" s="7" t="s">
        <v>6838</v>
      </c>
      <c r="E3899" s="7" t="s">
        <v>6295</v>
      </c>
      <c r="F3899" s="7" t="s">
        <v>6341</v>
      </c>
      <c r="G3899" s="7" t="s">
        <v>7150</v>
      </c>
      <c r="H3899" s="7" t="s">
        <v>7156</v>
      </c>
      <c r="I3899" s="7"/>
      <c r="J3899" s="10">
        <v>45078</v>
      </c>
      <c r="K3899" s="7" t="s">
        <v>7163</v>
      </c>
      <c r="L3899" s="7"/>
      <c r="M3899" s="7"/>
    </row>
    <row r="3900" spans="1:13" x14ac:dyDescent="0.3">
      <c r="A3900" s="7">
        <v>14505</v>
      </c>
      <c r="B3900" s="7" t="s">
        <v>3908</v>
      </c>
      <c r="C3900" s="7" t="s">
        <v>6525</v>
      </c>
      <c r="D3900" s="7" t="s">
        <v>6838</v>
      </c>
      <c r="E3900" s="7" t="s">
        <v>6295</v>
      </c>
      <c r="F3900" s="7" t="s">
        <v>6341</v>
      </c>
      <c r="G3900" s="7" t="s">
        <v>7150</v>
      </c>
      <c r="H3900" s="7" t="s">
        <v>7156</v>
      </c>
      <c r="I3900" s="7"/>
      <c r="J3900" s="10">
        <v>44777</v>
      </c>
      <c r="K3900" s="7" t="s">
        <v>7163</v>
      </c>
      <c r="L3900" s="7"/>
      <c r="M3900" s="7"/>
    </row>
    <row r="3901" spans="1:13" x14ac:dyDescent="0.3">
      <c r="A3901" s="7">
        <v>18106</v>
      </c>
      <c r="B3901" s="7" t="s">
        <v>3909</v>
      </c>
      <c r="C3901" s="7" t="s">
        <v>6525</v>
      </c>
      <c r="D3901" s="7" t="s">
        <v>6838</v>
      </c>
      <c r="E3901" s="7" t="s">
        <v>6295</v>
      </c>
      <c r="F3901" s="7" t="s">
        <v>6341</v>
      </c>
      <c r="G3901" s="7" t="s">
        <v>7150</v>
      </c>
      <c r="H3901" s="7" t="s">
        <v>7156</v>
      </c>
      <c r="I3901" s="7"/>
      <c r="J3901" s="10">
        <v>45996</v>
      </c>
      <c r="K3901" s="7" t="s">
        <v>7163</v>
      </c>
      <c r="L3901" s="7"/>
      <c r="M3901" s="7"/>
    </row>
    <row r="3902" spans="1:13" x14ac:dyDescent="0.3">
      <c r="A3902" s="7">
        <v>18621</v>
      </c>
      <c r="B3902" s="7" t="s">
        <v>3910</v>
      </c>
      <c r="C3902" s="7" t="s">
        <v>6525</v>
      </c>
      <c r="D3902" s="7" t="s">
        <v>6838</v>
      </c>
      <c r="E3902" s="7" t="s">
        <v>6295</v>
      </c>
      <c r="F3902" s="7" t="s">
        <v>6348</v>
      </c>
      <c r="G3902" s="7" t="s">
        <v>7150</v>
      </c>
      <c r="H3902" s="7" t="s">
        <v>7156</v>
      </c>
      <c r="I3902" s="7"/>
      <c r="J3902" s="10">
        <v>46174</v>
      </c>
      <c r="K3902" s="7" t="s">
        <v>7163</v>
      </c>
      <c r="L3902" s="7"/>
      <c r="M3902" s="7"/>
    </row>
    <row r="3903" spans="1:13" x14ac:dyDescent="0.3">
      <c r="A3903" s="7">
        <v>17315</v>
      </c>
      <c r="B3903" s="7" t="s">
        <v>3911</v>
      </c>
      <c r="C3903" s="7" t="s">
        <v>6749</v>
      </c>
      <c r="D3903" s="7" t="s">
        <v>6295</v>
      </c>
      <c r="E3903" s="7" t="s">
        <v>6295</v>
      </c>
      <c r="F3903" s="7" t="s">
        <v>6516</v>
      </c>
      <c r="G3903" s="7" t="s">
        <v>7150</v>
      </c>
      <c r="H3903" s="7" t="s">
        <v>7156</v>
      </c>
      <c r="I3903" s="7"/>
      <c r="J3903" s="10">
        <v>45700</v>
      </c>
      <c r="K3903" s="7" t="s">
        <v>7164</v>
      </c>
      <c r="L3903" s="7"/>
      <c r="M3903" s="7"/>
    </row>
    <row r="3904" spans="1:13" x14ac:dyDescent="0.3">
      <c r="A3904" s="7">
        <v>11420</v>
      </c>
      <c r="B3904" s="7" t="s">
        <v>3912</v>
      </c>
      <c r="C3904" s="7" t="s">
        <v>6749</v>
      </c>
      <c r="D3904" s="7" t="s">
        <v>6843</v>
      </c>
      <c r="E3904" s="7" t="s">
        <v>6295</v>
      </c>
      <c r="F3904" s="7" t="s">
        <v>6333</v>
      </c>
      <c r="G3904" s="7" t="s">
        <v>7150</v>
      </c>
      <c r="H3904" s="7" t="s">
        <v>7156</v>
      </c>
      <c r="I3904" s="7"/>
      <c r="J3904" s="10">
        <v>42678</v>
      </c>
      <c r="K3904" s="7" t="s">
        <v>7164</v>
      </c>
      <c r="L3904" s="7"/>
      <c r="M3904" s="7"/>
    </row>
    <row r="3905" spans="1:13" x14ac:dyDescent="0.3">
      <c r="A3905" s="7">
        <v>17355</v>
      </c>
      <c r="B3905" s="7" t="s">
        <v>3913</v>
      </c>
      <c r="C3905" s="7" t="s">
        <v>6749</v>
      </c>
      <c r="D3905" s="7" t="s">
        <v>6844</v>
      </c>
      <c r="E3905" s="7" t="s">
        <v>6295</v>
      </c>
      <c r="F3905" s="7" t="s">
        <v>6333</v>
      </c>
      <c r="G3905" s="7" t="s">
        <v>7150</v>
      </c>
      <c r="H3905" s="7" t="s">
        <v>7156</v>
      </c>
      <c r="I3905" s="7"/>
      <c r="J3905" s="10">
        <v>45719</v>
      </c>
      <c r="K3905" s="7" t="s">
        <v>7164</v>
      </c>
      <c r="L3905" s="7"/>
      <c r="M3905" s="7"/>
    </row>
    <row r="3906" spans="1:13" x14ac:dyDescent="0.3">
      <c r="A3906" s="7">
        <v>12315</v>
      </c>
      <c r="B3906" s="7" t="s">
        <v>3914</v>
      </c>
      <c r="C3906" s="7" t="s">
        <v>6749</v>
      </c>
      <c r="D3906" s="7" t="s">
        <v>6845</v>
      </c>
      <c r="E3906" s="7" t="s">
        <v>6295</v>
      </c>
      <c r="F3906" s="7" t="s">
        <v>6333</v>
      </c>
      <c r="G3906" s="7" t="s">
        <v>7150</v>
      </c>
      <c r="H3906" s="7" t="s">
        <v>7156</v>
      </c>
      <c r="I3906" s="7"/>
      <c r="J3906" s="10">
        <v>43679</v>
      </c>
      <c r="K3906" s="7" t="s">
        <v>7164</v>
      </c>
      <c r="L3906" s="7"/>
      <c r="M3906" s="7"/>
    </row>
    <row r="3907" spans="1:13" x14ac:dyDescent="0.3">
      <c r="A3907" s="7">
        <v>710007</v>
      </c>
      <c r="B3907" s="7" t="s">
        <v>3915</v>
      </c>
      <c r="C3907" s="7" t="s">
        <v>6789</v>
      </c>
      <c r="D3907" s="7" t="s">
        <v>6295</v>
      </c>
      <c r="E3907" s="7" t="s">
        <v>6295</v>
      </c>
      <c r="F3907" s="7" t="s">
        <v>6516</v>
      </c>
      <c r="G3907" s="7" t="s">
        <v>7150</v>
      </c>
      <c r="H3907" s="7" t="s">
        <v>7156</v>
      </c>
      <c r="I3907" s="7"/>
      <c r="J3907" s="10">
        <v>40471</v>
      </c>
      <c r="K3907" s="7" t="s">
        <v>7164</v>
      </c>
      <c r="L3907" s="7"/>
      <c r="M3907" s="7"/>
    </row>
    <row r="3908" spans="1:13" x14ac:dyDescent="0.3">
      <c r="A3908" s="7">
        <v>700037</v>
      </c>
      <c r="B3908" s="7" t="s">
        <v>3916</v>
      </c>
      <c r="C3908" s="7" t="s">
        <v>6326</v>
      </c>
      <c r="D3908" s="7" t="s">
        <v>6846</v>
      </c>
      <c r="E3908" s="7" t="s">
        <v>6295</v>
      </c>
      <c r="F3908" s="7" t="s">
        <v>6333</v>
      </c>
      <c r="G3908" s="7" t="s">
        <v>7150</v>
      </c>
      <c r="H3908" s="7" t="s">
        <v>7156</v>
      </c>
      <c r="I3908" s="7"/>
      <c r="J3908" s="10">
        <v>41954</v>
      </c>
      <c r="K3908" s="7" t="s">
        <v>7164</v>
      </c>
      <c r="L3908" s="7"/>
      <c r="M3908" s="7"/>
    </row>
    <row r="3909" spans="1:13" x14ac:dyDescent="0.3">
      <c r="A3909" s="7">
        <v>190036</v>
      </c>
      <c r="B3909" s="7" t="s">
        <v>3917</v>
      </c>
      <c r="C3909" s="7" t="s">
        <v>6789</v>
      </c>
      <c r="D3909" s="7" t="s">
        <v>6847</v>
      </c>
      <c r="E3909" s="7" t="s">
        <v>6295</v>
      </c>
      <c r="F3909" s="7" t="s">
        <v>6333</v>
      </c>
      <c r="G3909" s="7" t="s">
        <v>7150</v>
      </c>
      <c r="H3909" s="7" t="s">
        <v>7156</v>
      </c>
      <c r="I3909" s="7"/>
      <c r="J3909" s="10">
        <v>42300</v>
      </c>
      <c r="K3909" s="7" t="s">
        <v>7164</v>
      </c>
      <c r="L3909" s="7"/>
      <c r="M3909" s="7"/>
    </row>
    <row r="3910" spans="1:13" x14ac:dyDescent="0.3">
      <c r="A3910" s="7">
        <v>12585</v>
      </c>
      <c r="B3910" s="7" t="s">
        <v>3918</v>
      </c>
      <c r="C3910" s="7" t="s">
        <v>6789</v>
      </c>
      <c r="D3910" s="7" t="s">
        <v>6848</v>
      </c>
      <c r="E3910" s="7" t="s">
        <v>6295</v>
      </c>
      <c r="F3910" s="7" t="s">
        <v>6333</v>
      </c>
      <c r="G3910" s="7" t="s">
        <v>7150</v>
      </c>
      <c r="H3910" s="7" t="s">
        <v>7156</v>
      </c>
      <c r="I3910" s="7"/>
      <c r="J3910" s="10">
        <v>43818</v>
      </c>
      <c r="K3910" s="7" t="s">
        <v>7164</v>
      </c>
      <c r="L3910" s="7"/>
      <c r="M3910" s="7"/>
    </row>
    <row r="3911" spans="1:13" x14ac:dyDescent="0.3">
      <c r="A3911" s="7">
        <v>11989</v>
      </c>
      <c r="B3911" s="7" t="s">
        <v>3919</v>
      </c>
      <c r="C3911" s="7" t="s">
        <v>6849</v>
      </c>
      <c r="D3911" s="7" t="s">
        <v>6295</v>
      </c>
      <c r="E3911" s="7" t="s">
        <v>6295</v>
      </c>
      <c r="F3911" s="7" t="s">
        <v>6516</v>
      </c>
      <c r="G3911" s="7" t="s">
        <v>7150</v>
      </c>
      <c r="H3911" s="7" t="s">
        <v>7156</v>
      </c>
      <c r="I3911" s="7"/>
      <c r="J3911" s="10">
        <v>43362</v>
      </c>
      <c r="K3911" s="7" t="s">
        <v>7164</v>
      </c>
      <c r="L3911" s="7"/>
      <c r="M3911" s="7"/>
    </row>
    <row r="3912" spans="1:13" x14ac:dyDescent="0.3">
      <c r="A3912" s="7">
        <v>12238</v>
      </c>
      <c r="B3912" s="7" t="s">
        <v>3920</v>
      </c>
      <c r="C3912" s="7" t="s">
        <v>6326</v>
      </c>
      <c r="D3912" s="7" t="s">
        <v>6850</v>
      </c>
      <c r="E3912" s="7" t="s">
        <v>6295</v>
      </c>
      <c r="F3912" s="7" t="s">
        <v>6333</v>
      </c>
      <c r="G3912" s="7" t="s">
        <v>7150</v>
      </c>
      <c r="H3912" s="7" t="s">
        <v>7156</v>
      </c>
      <c r="I3912" s="7"/>
      <c r="J3912" s="10">
        <v>43628</v>
      </c>
      <c r="K3912" s="7" t="s">
        <v>7164</v>
      </c>
      <c r="L3912" s="7"/>
      <c r="M3912" s="7"/>
    </row>
    <row r="3913" spans="1:13" x14ac:dyDescent="0.3">
      <c r="A3913" s="7">
        <v>11896</v>
      </c>
      <c r="B3913" s="7" t="s">
        <v>3921</v>
      </c>
      <c r="C3913" s="7" t="s">
        <v>6849</v>
      </c>
      <c r="D3913" s="7" t="s">
        <v>6851</v>
      </c>
      <c r="E3913" s="7" t="s">
        <v>6295</v>
      </c>
      <c r="F3913" s="7" t="s">
        <v>6333</v>
      </c>
      <c r="G3913" s="7" t="s">
        <v>7150</v>
      </c>
      <c r="H3913" s="7" t="s">
        <v>7156</v>
      </c>
      <c r="I3913" s="7"/>
      <c r="J3913" s="10">
        <v>43245</v>
      </c>
      <c r="K3913" s="7" t="s">
        <v>7164</v>
      </c>
      <c r="L3913" s="7"/>
      <c r="M3913" s="7"/>
    </row>
    <row r="3914" spans="1:13" x14ac:dyDescent="0.3">
      <c r="A3914" s="7">
        <v>250029</v>
      </c>
      <c r="B3914" s="7" t="s">
        <v>3922</v>
      </c>
      <c r="C3914" s="7" t="s">
        <v>6849</v>
      </c>
      <c r="D3914" s="7" t="s">
        <v>6852</v>
      </c>
      <c r="E3914" s="7" t="s">
        <v>6295</v>
      </c>
      <c r="F3914" s="7" t="s">
        <v>6333</v>
      </c>
      <c r="G3914" s="7" t="s">
        <v>7150</v>
      </c>
      <c r="H3914" s="7" t="s">
        <v>7156</v>
      </c>
      <c r="I3914" s="7"/>
      <c r="J3914" s="10">
        <v>42206</v>
      </c>
      <c r="K3914" s="7" t="s">
        <v>7164</v>
      </c>
      <c r="L3914" s="7"/>
      <c r="M3914" s="7"/>
    </row>
    <row r="3915" spans="1:13" x14ac:dyDescent="0.3">
      <c r="A3915" s="7">
        <v>17799</v>
      </c>
      <c r="B3915" s="7" t="s">
        <v>3923</v>
      </c>
      <c r="C3915" s="7" t="s">
        <v>6849</v>
      </c>
      <c r="D3915" s="7" t="s">
        <v>6853</v>
      </c>
      <c r="E3915" s="7" t="s">
        <v>6295</v>
      </c>
      <c r="F3915" s="7" t="s">
        <v>6333</v>
      </c>
      <c r="G3915" s="7" t="s">
        <v>7150</v>
      </c>
      <c r="H3915" s="7" t="s">
        <v>7156</v>
      </c>
      <c r="I3915" s="7"/>
      <c r="J3915" s="10">
        <v>45887</v>
      </c>
      <c r="K3915" s="7" t="s">
        <v>7164</v>
      </c>
      <c r="L3915" s="7"/>
      <c r="M3915" s="7"/>
    </row>
    <row r="3916" spans="1:13" x14ac:dyDescent="0.3">
      <c r="A3916" s="7">
        <v>13438</v>
      </c>
      <c r="B3916" s="7" t="s">
        <v>3924</v>
      </c>
      <c r="C3916" s="7" t="s">
        <v>6849</v>
      </c>
      <c r="D3916" s="7" t="s">
        <v>6854</v>
      </c>
      <c r="E3916" s="7" t="s">
        <v>6295</v>
      </c>
      <c r="F3916" s="7" t="s">
        <v>6333</v>
      </c>
      <c r="G3916" s="7" t="s">
        <v>7150</v>
      </c>
      <c r="H3916" s="7" t="s">
        <v>7156</v>
      </c>
      <c r="I3916" s="7"/>
      <c r="J3916" s="10">
        <v>44454</v>
      </c>
      <c r="K3916" s="7" t="s">
        <v>7164</v>
      </c>
      <c r="L3916" s="7"/>
      <c r="M3916" s="7"/>
    </row>
    <row r="3917" spans="1:13" x14ac:dyDescent="0.3">
      <c r="A3917" s="7">
        <v>14188</v>
      </c>
      <c r="B3917" s="7" t="s">
        <v>3925</v>
      </c>
      <c r="C3917" s="7" t="s">
        <v>6855</v>
      </c>
      <c r="D3917" s="7" t="s">
        <v>6856</v>
      </c>
      <c r="E3917" s="7" t="s">
        <v>6295</v>
      </c>
      <c r="F3917" s="7" t="s">
        <v>6630</v>
      </c>
      <c r="G3917" s="7" t="s">
        <v>7150</v>
      </c>
      <c r="H3917" s="7" t="s">
        <v>7156</v>
      </c>
      <c r="I3917" s="7"/>
      <c r="J3917" s="10">
        <v>44691</v>
      </c>
      <c r="K3917" s="7" t="s">
        <v>7164</v>
      </c>
      <c r="L3917" s="7"/>
      <c r="M3917" s="7"/>
    </row>
    <row r="3918" spans="1:13" x14ac:dyDescent="0.3">
      <c r="A3918" s="7">
        <v>11184</v>
      </c>
      <c r="B3918" s="7" t="s">
        <v>3926</v>
      </c>
      <c r="C3918" s="7" t="s">
        <v>6857</v>
      </c>
      <c r="D3918" s="7" t="s">
        <v>6858</v>
      </c>
      <c r="E3918" s="7" t="s">
        <v>6295</v>
      </c>
      <c r="F3918" s="7" t="s">
        <v>6630</v>
      </c>
      <c r="G3918" s="7" t="s">
        <v>7150</v>
      </c>
      <c r="H3918" s="7" t="s">
        <v>7156</v>
      </c>
      <c r="I3918" s="7"/>
      <c r="J3918" s="10">
        <v>42363</v>
      </c>
      <c r="K3918" s="7" t="s">
        <v>7164</v>
      </c>
      <c r="L3918" s="7"/>
      <c r="M3918" s="7"/>
    </row>
    <row r="3919" spans="1:13" x14ac:dyDescent="0.3">
      <c r="A3919" s="7">
        <v>17507</v>
      </c>
      <c r="B3919" s="7" t="s">
        <v>3927</v>
      </c>
      <c r="C3919" s="7" t="s">
        <v>6855</v>
      </c>
      <c r="D3919" s="7" t="s">
        <v>6859</v>
      </c>
      <c r="E3919" s="7" t="s">
        <v>6295</v>
      </c>
      <c r="F3919" s="7" t="s">
        <v>6333</v>
      </c>
      <c r="G3919" s="7" t="s">
        <v>7150</v>
      </c>
      <c r="H3919" s="7" t="s">
        <v>7156</v>
      </c>
      <c r="I3919" s="7"/>
      <c r="J3919" s="10">
        <v>45782</v>
      </c>
      <c r="K3919" s="7" t="s">
        <v>7164</v>
      </c>
      <c r="L3919" s="7"/>
      <c r="M3919" s="7"/>
    </row>
    <row r="3920" spans="1:13" x14ac:dyDescent="0.3">
      <c r="A3920" s="7">
        <v>18590</v>
      </c>
      <c r="B3920" s="7" t="s">
        <v>3928</v>
      </c>
      <c r="C3920" s="7" t="s">
        <v>6855</v>
      </c>
      <c r="D3920" s="7" t="s">
        <v>6860</v>
      </c>
      <c r="E3920" s="7" t="s">
        <v>6295</v>
      </c>
      <c r="F3920" s="7" t="s">
        <v>6333</v>
      </c>
      <c r="G3920" s="7" t="s">
        <v>7150</v>
      </c>
      <c r="H3920" s="7" t="s">
        <v>7156</v>
      </c>
      <c r="I3920" s="7"/>
      <c r="J3920" s="10">
        <v>46175</v>
      </c>
      <c r="K3920" s="7" t="s">
        <v>7164</v>
      </c>
      <c r="L3920" s="7"/>
      <c r="M3920" s="7"/>
    </row>
    <row r="3921" spans="1:13" x14ac:dyDescent="0.3">
      <c r="A3921" s="7">
        <v>17066</v>
      </c>
      <c r="B3921" s="7" t="s">
        <v>3929</v>
      </c>
      <c r="C3921" s="7" t="s">
        <v>6855</v>
      </c>
      <c r="D3921" s="7" t="s">
        <v>6861</v>
      </c>
      <c r="E3921" s="7" t="s">
        <v>6295</v>
      </c>
      <c r="F3921" s="7" t="s">
        <v>6333</v>
      </c>
      <c r="G3921" s="7" t="s">
        <v>7150</v>
      </c>
      <c r="H3921" s="7" t="s">
        <v>7156</v>
      </c>
      <c r="I3921" s="7"/>
      <c r="J3921" s="10">
        <v>45617</v>
      </c>
      <c r="K3921" s="7" t="s">
        <v>7164</v>
      </c>
      <c r="L3921" s="7"/>
      <c r="M3921" s="7"/>
    </row>
    <row r="3922" spans="1:13" x14ac:dyDescent="0.3">
      <c r="A3922" s="7">
        <v>17467</v>
      </c>
      <c r="B3922" s="7" t="s">
        <v>3930</v>
      </c>
      <c r="C3922" s="7" t="s">
        <v>6753</v>
      </c>
      <c r="D3922" s="7" t="s">
        <v>6862</v>
      </c>
      <c r="E3922" s="7" t="s">
        <v>6295</v>
      </c>
      <c r="F3922" s="7" t="s">
        <v>6333</v>
      </c>
      <c r="G3922" s="7" t="s">
        <v>7150</v>
      </c>
      <c r="H3922" s="7" t="s">
        <v>7156</v>
      </c>
      <c r="I3922" s="7"/>
      <c r="J3922" s="10">
        <v>45762</v>
      </c>
      <c r="K3922" s="7" t="s">
        <v>7164</v>
      </c>
      <c r="L3922" s="7"/>
      <c r="M3922" s="7"/>
    </row>
    <row r="3923" spans="1:13" x14ac:dyDescent="0.3">
      <c r="A3923" s="7">
        <v>12882</v>
      </c>
      <c r="B3923" s="7" t="s">
        <v>3931</v>
      </c>
      <c r="C3923" s="7" t="s">
        <v>6685</v>
      </c>
      <c r="D3923" s="7" t="s">
        <v>6295</v>
      </c>
      <c r="E3923" s="7" t="s">
        <v>6295</v>
      </c>
      <c r="F3923" s="7" t="s">
        <v>6356</v>
      </c>
      <c r="G3923" s="7" t="s">
        <v>7150</v>
      </c>
      <c r="H3923" s="7" t="s">
        <v>7156</v>
      </c>
      <c r="I3923" s="7"/>
      <c r="J3923" s="10">
        <v>44075</v>
      </c>
      <c r="K3923" s="7" t="s">
        <v>7163</v>
      </c>
      <c r="L3923" s="7"/>
      <c r="M3923" s="7"/>
    </row>
    <row r="3924" spans="1:13" x14ac:dyDescent="0.3">
      <c r="A3924" s="7">
        <v>14952</v>
      </c>
      <c r="B3924" s="7" t="s">
        <v>3932</v>
      </c>
      <c r="C3924" s="7" t="s">
        <v>6685</v>
      </c>
      <c r="D3924" s="7" t="s">
        <v>6295</v>
      </c>
      <c r="E3924" s="7" t="s">
        <v>6295</v>
      </c>
      <c r="F3924" s="7" t="s">
        <v>6336</v>
      </c>
      <c r="G3924" s="7" t="s">
        <v>7150</v>
      </c>
      <c r="H3924" s="7" t="s">
        <v>7156</v>
      </c>
      <c r="I3924" s="7"/>
      <c r="J3924" s="10">
        <v>44901</v>
      </c>
      <c r="K3924" s="7" t="s">
        <v>7163</v>
      </c>
      <c r="L3924" s="7"/>
      <c r="M3924" s="7"/>
    </row>
    <row r="3925" spans="1:13" x14ac:dyDescent="0.3">
      <c r="A3925" s="7">
        <v>18403</v>
      </c>
      <c r="B3925" s="7" t="s">
        <v>3933</v>
      </c>
      <c r="C3925" s="7" t="s">
        <v>6685</v>
      </c>
      <c r="D3925" s="7" t="s">
        <v>6295</v>
      </c>
      <c r="E3925" s="7" t="s">
        <v>6295</v>
      </c>
      <c r="F3925" s="7" t="s">
        <v>6863</v>
      </c>
      <c r="G3925" s="7" t="s">
        <v>7150</v>
      </c>
      <c r="H3925" s="7" t="s">
        <v>7156</v>
      </c>
      <c r="I3925" s="7" t="s">
        <v>7159</v>
      </c>
      <c r="J3925" s="10">
        <v>46118</v>
      </c>
      <c r="K3925" s="7" t="s">
        <v>7163</v>
      </c>
      <c r="L3925" s="7"/>
      <c r="M3925" s="7"/>
    </row>
    <row r="3926" spans="1:13" x14ac:dyDescent="0.3">
      <c r="A3926" s="7">
        <v>15402</v>
      </c>
      <c r="B3926" s="7" t="s">
        <v>3934</v>
      </c>
      <c r="C3926" s="7" t="s">
        <v>6685</v>
      </c>
      <c r="D3926" s="7" t="s">
        <v>6864</v>
      </c>
      <c r="E3926" s="7" t="s">
        <v>6295</v>
      </c>
      <c r="F3926" s="7" t="s">
        <v>6440</v>
      </c>
      <c r="G3926" s="7" t="s">
        <v>7150</v>
      </c>
      <c r="H3926" s="7" t="s">
        <v>7156</v>
      </c>
      <c r="I3926" s="7"/>
      <c r="J3926" s="10">
        <v>45058</v>
      </c>
      <c r="K3926" s="7" t="s">
        <v>7163</v>
      </c>
      <c r="L3926" s="7"/>
      <c r="M3926" s="7"/>
    </row>
    <row r="3927" spans="1:13" x14ac:dyDescent="0.3">
      <c r="A3927" s="7">
        <v>15489</v>
      </c>
      <c r="B3927" s="7" t="s">
        <v>3935</v>
      </c>
      <c r="C3927" s="7" t="s">
        <v>6685</v>
      </c>
      <c r="D3927" s="7" t="s">
        <v>6864</v>
      </c>
      <c r="E3927" s="7" t="s">
        <v>6295</v>
      </c>
      <c r="F3927" s="7" t="s">
        <v>6441</v>
      </c>
      <c r="G3927" s="7" t="s">
        <v>7150</v>
      </c>
      <c r="H3927" s="7" t="s">
        <v>7156</v>
      </c>
      <c r="I3927" s="7"/>
      <c r="J3927" s="10">
        <v>45091</v>
      </c>
      <c r="K3927" s="7" t="s">
        <v>7163</v>
      </c>
      <c r="L3927" s="7"/>
      <c r="M3927" s="7"/>
    </row>
    <row r="3928" spans="1:13" x14ac:dyDescent="0.3">
      <c r="A3928" s="7">
        <v>17571</v>
      </c>
      <c r="B3928" s="7" t="s">
        <v>3936</v>
      </c>
      <c r="C3928" s="7" t="s">
        <v>6685</v>
      </c>
      <c r="D3928" s="7" t="s">
        <v>6864</v>
      </c>
      <c r="E3928" s="7" t="s">
        <v>6295</v>
      </c>
      <c r="F3928" s="7" t="s">
        <v>6341</v>
      </c>
      <c r="G3928" s="7" t="s">
        <v>7150</v>
      </c>
      <c r="H3928" s="7" t="s">
        <v>7156</v>
      </c>
      <c r="I3928" s="7"/>
      <c r="J3928" s="10">
        <v>45793</v>
      </c>
      <c r="K3928" s="7" t="s">
        <v>7163</v>
      </c>
      <c r="L3928" s="7"/>
      <c r="M3928" s="7"/>
    </row>
    <row r="3929" spans="1:13" x14ac:dyDescent="0.3">
      <c r="A3929" s="7">
        <v>18836</v>
      </c>
      <c r="B3929" s="7" t="s">
        <v>3937</v>
      </c>
      <c r="C3929" s="7" t="s">
        <v>6685</v>
      </c>
      <c r="D3929" s="7" t="s">
        <v>6864</v>
      </c>
      <c r="E3929" s="7" t="s">
        <v>6295</v>
      </c>
      <c r="F3929" s="7" t="s">
        <v>6341</v>
      </c>
      <c r="G3929" s="7" t="s">
        <v>7150</v>
      </c>
      <c r="H3929" s="7" t="s">
        <v>7156</v>
      </c>
      <c r="I3929" s="7"/>
      <c r="J3929" s="10">
        <v>46230</v>
      </c>
      <c r="K3929" s="7" t="s">
        <v>7163</v>
      </c>
      <c r="L3929" s="7"/>
      <c r="M3929" s="7"/>
    </row>
    <row r="3930" spans="1:13" x14ac:dyDescent="0.3">
      <c r="A3930" s="7">
        <v>18118</v>
      </c>
      <c r="B3930" s="7" t="s">
        <v>3938</v>
      </c>
      <c r="C3930" s="7" t="s">
        <v>6685</v>
      </c>
      <c r="D3930" s="7" t="s">
        <v>6864</v>
      </c>
      <c r="E3930" s="7" t="s">
        <v>6295</v>
      </c>
      <c r="F3930" s="7" t="s">
        <v>6487</v>
      </c>
      <c r="G3930" s="7" t="s">
        <v>7150</v>
      </c>
      <c r="H3930" s="7" t="s">
        <v>7156</v>
      </c>
      <c r="I3930" s="7"/>
      <c r="J3930" s="10">
        <v>46003</v>
      </c>
      <c r="K3930" s="7" t="s">
        <v>7163</v>
      </c>
      <c r="L3930" s="7"/>
      <c r="M3930" s="7"/>
    </row>
    <row r="3931" spans="1:13" x14ac:dyDescent="0.3">
      <c r="A3931" s="7">
        <v>18120</v>
      </c>
      <c r="B3931" s="7" t="s">
        <v>3939</v>
      </c>
      <c r="C3931" s="7" t="s">
        <v>6685</v>
      </c>
      <c r="D3931" s="7" t="s">
        <v>6864</v>
      </c>
      <c r="E3931" s="7" t="s">
        <v>6295</v>
      </c>
      <c r="F3931" s="7" t="s">
        <v>6341</v>
      </c>
      <c r="G3931" s="7" t="s">
        <v>7150</v>
      </c>
      <c r="H3931" s="7" t="s">
        <v>7156</v>
      </c>
      <c r="I3931" s="7"/>
      <c r="J3931" s="10">
        <v>46003</v>
      </c>
      <c r="K3931" s="7" t="s">
        <v>7163</v>
      </c>
      <c r="L3931" s="7"/>
      <c r="M3931" s="7"/>
    </row>
    <row r="3932" spans="1:13" x14ac:dyDescent="0.3">
      <c r="A3932" s="7">
        <v>18941</v>
      </c>
      <c r="B3932" s="7" t="s">
        <v>3940</v>
      </c>
      <c r="C3932" s="7" t="s">
        <v>6685</v>
      </c>
      <c r="D3932" s="7" t="s">
        <v>6864</v>
      </c>
      <c r="E3932" s="7" t="s">
        <v>6295</v>
      </c>
      <c r="F3932" s="7" t="s">
        <v>6348</v>
      </c>
      <c r="G3932" s="7" t="s">
        <v>7150</v>
      </c>
      <c r="H3932" s="7" t="s">
        <v>7156</v>
      </c>
      <c r="I3932" s="7"/>
      <c r="J3932" s="10">
        <v>46246</v>
      </c>
      <c r="K3932" s="7" t="s">
        <v>7163</v>
      </c>
      <c r="L3932" s="7"/>
      <c r="M3932" s="7"/>
    </row>
    <row r="3933" spans="1:13" x14ac:dyDescent="0.3">
      <c r="A3933" s="7">
        <v>19254</v>
      </c>
      <c r="B3933" s="7" t="s">
        <v>3941</v>
      </c>
      <c r="C3933" s="7" t="s">
        <v>6685</v>
      </c>
      <c r="D3933" s="7" t="s">
        <v>6864</v>
      </c>
      <c r="E3933" s="7" t="s">
        <v>6295</v>
      </c>
      <c r="F3933" s="7" t="s">
        <v>6348</v>
      </c>
      <c r="G3933" s="7" t="s">
        <v>7150</v>
      </c>
      <c r="H3933" s="7" t="s">
        <v>7156</v>
      </c>
      <c r="I3933" s="7"/>
      <c r="J3933" s="10">
        <v>46288</v>
      </c>
      <c r="K3933" s="7" t="s">
        <v>7163</v>
      </c>
      <c r="L3933" s="7"/>
      <c r="M3933" s="7"/>
    </row>
    <row r="3934" spans="1:13" x14ac:dyDescent="0.3">
      <c r="A3934" s="7">
        <v>19259</v>
      </c>
      <c r="B3934" s="7" t="s">
        <v>3942</v>
      </c>
      <c r="C3934" s="7" t="s">
        <v>6685</v>
      </c>
      <c r="D3934" s="7" t="s">
        <v>6864</v>
      </c>
      <c r="E3934" s="7" t="s">
        <v>6295</v>
      </c>
      <c r="F3934" s="7" t="s">
        <v>6348</v>
      </c>
      <c r="G3934" s="7" t="s">
        <v>7150</v>
      </c>
      <c r="H3934" s="7" t="s">
        <v>7156</v>
      </c>
      <c r="I3934" s="7"/>
      <c r="J3934" s="10">
        <v>46288</v>
      </c>
      <c r="K3934" s="7" t="s">
        <v>7163</v>
      </c>
      <c r="L3934" s="7"/>
      <c r="M3934" s="7"/>
    </row>
    <row r="3935" spans="1:13" x14ac:dyDescent="0.3">
      <c r="A3935" s="7">
        <v>15520</v>
      </c>
      <c r="B3935" s="7" t="s">
        <v>3943</v>
      </c>
      <c r="C3935" s="7" t="s">
        <v>6685</v>
      </c>
      <c r="D3935" s="7" t="s">
        <v>6865</v>
      </c>
      <c r="E3935" s="7" t="s">
        <v>6295</v>
      </c>
      <c r="F3935" s="7" t="s">
        <v>6439</v>
      </c>
      <c r="G3935" s="7" t="s">
        <v>7150</v>
      </c>
      <c r="H3935" s="7" t="s">
        <v>7156</v>
      </c>
      <c r="I3935" s="7"/>
      <c r="J3935" s="10">
        <v>45101</v>
      </c>
      <c r="K3935" s="7" t="s">
        <v>7163</v>
      </c>
      <c r="L3935" s="7"/>
      <c r="M3935" s="7"/>
    </row>
    <row r="3936" spans="1:13" x14ac:dyDescent="0.3">
      <c r="A3936" s="7">
        <v>13240</v>
      </c>
      <c r="B3936" s="7" t="s">
        <v>3944</v>
      </c>
      <c r="C3936" s="7" t="s">
        <v>6685</v>
      </c>
      <c r="D3936" s="7" t="s">
        <v>6865</v>
      </c>
      <c r="E3936" s="7" t="s">
        <v>6295</v>
      </c>
      <c r="F3936" s="7" t="s">
        <v>6340</v>
      </c>
      <c r="G3936" s="7" t="s">
        <v>7150</v>
      </c>
      <c r="H3936" s="7" t="s">
        <v>7156</v>
      </c>
      <c r="I3936" s="7"/>
      <c r="J3936" s="10">
        <v>44335</v>
      </c>
      <c r="K3936" s="7" t="s">
        <v>7163</v>
      </c>
      <c r="L3936" s="7"/>
      <c r="M3936" s="7"/>
    </row>
    <row r="3937" spans="1:13" x14ac:dyDescent="0.3">
      <c r="A3937" s="7">
        <v>15398</v>
      </c>
      <c r="B3937" s="7" t="s">
        <v>3945</v>
      </c>
      <c r="C3937" s="7" t="s">
        <v>6685</v>
      </c>
      <c r="D3937" s="7" t="s">
        <v>6865</v>
      </c>
      <c r="E3937" s="7" t="s">
        <v>6295</v>
      </c>
      <c r="F3937" s="7" t="s">
        <v>6440</v>
      </c>
      <c r="G3937" s="7" t="s">
        <v>7150</v>
      </c>
      <c r="H3937" s="7" t="s">
        <v>7156</v>
      </c>
      <c r="I3937" s="7"/>
      <c r="J3937" s="10">
        <v>45057</v>
      </c>
      <c r="K3937" s="7" t="s">
        <v>7163</v>
      </c>
      <c r="L3937" s="7"/>
      <c r="M3937" s="7"/>
    </row>
    <row r="3938" spans="1:13" x14ac:dyDescent="0.3">
      <c r="A3938" s="7">
        <v>17576</v>
      </c>
      <c r="B3938" s="7" t="s">
        <v>3946</v>
      </c>
      <c r="C3938" s="7" t="s">
        <v>6685</v>
      </c>
      <c r="D3938" s="7" t="s">
        <v>6865</v>
      </c>
      <c r="E3938" s="7" t="s">
        <v>6295</v>
      </c>
      <c r="F3938" s="7" t="s">
        <v>6340</v>
      </c>
      <c r="G3938" s="7" t="s">
        <v>7150</v>
      </c>
      <c r="H3938" s="7" t="s">
        <v>7156</v>
      </c>
      <c r="I3938" s="7"/>
      <c r="J3938" s="10">
        <v>45810</v>
      </c>
      <c r="K3938" s="7" t="s">
        <v>7163</v>
      </c>
      <c r="L3938" s="7"/>
      <c r="M3938" s="7"/>
    </row>
    <row r="3939" spans="1:13" x14ac:dyDescent="0.3">
      <c r="A3939" s="7">
        <v>16311</v>
      </c>
      <c r="B3939" s="7" t="s">
        <v>3947</v>
      </c>
      <c r="C3939" s="7" t="s">
        <v>6685</v>
      </c>
      <c r="D3939" s="7" t="s">
        <v>6865</v>
      </c>
      <c r="E3939" s="7" t="s">
        <v>6295</v>
      </c>
      <c r="F3939" s="7" t="s">
        <v>6441</v>
      </c>
      <c r="G3939" s="7" t="s">
        <v>7150</v>
      </c>
      <c r="H3939" s="7" t="s">
        <v>7156</v>
      </c>
      <c r="I3939" s="7"/>
      <c r="J3939" s="10">
        <v>45352</v>
      </c>
      <c r="K3939" s="7" t="s">
        <v>7163</v>
      </c>
      <c r="L3939" s="7"/>
      <c r="M3939" s="7"/>
    </row>
    <row r="3940" spans="1:13" x14ac:dyDescent="0.3">
      <c r="A3940" s="7">
        <v>17385</v>
      </c>
      <c r="B3940" s="7" t="s">
        <v>3948</v>
      </c>
      <c r="C3940" s="7" t="s">
        <v>6685</v>
      </c>
      <c r="D3940" s="7" t="s">
        <v>6865</v>
      </c>
      <c r="E3940" s="7" t="s">
        <v>6295</v>
      </c>
      <c r="F3940" s="7" t="s">
        <v>6341</v>
      </c>
      <c r="G3940" s="7" t="s">
        <v>7150</v>
      </c>
      <c r="H3940" s="7" t="s">
        <v>7156</v>
      </c>
      <c r="I3940" s="7"/>
      <c r="J3940" s="10">
        <v>45729</v>
      </c>
      <c r="K3940" s="7" t="s">
        <v>7163</v>
      </c>
      <c r="L3940" s="7"/>
      <c r="M3940" s="7"/>
    </row>
    <row r="3941" spans="1:13" x14ac:dyDescent="0.3">
      <c r="A3941" s="7">
        <v>17601</v>
      </c>
      <c r="B3941" s="7" t="s">
        <v>3949</v>
      </c>
      <c r="C3941" s="7" t="s">
        <v>6685</v>
      </c>
      <c r="D3941" s="7" t="s">
        <v>6865</v>
      </c>
      <c r="E3941" s="7" t="s">
        <v>6295</v>
      </c>
      <c r="F3941" s="7" t="s">
        <v>6341</v>
      </c>
      <c r="G3941" s="7" t="s">
        <v>7150</v>
      </c>
      <c r="H3941" s="7" t="s">
        <v>7156</v>
      </c>
      <c r="I3941" s="7"/>
      <c r="J3941" s="10">
        <v>45811</v>
      </c>
      <c r="K3941" s="7" t="s">
        <v>7163</v>
      </c>
      <c r="L3941" s="7"/>
      <c r="M3941" s="7"/>
    </row>
    <row r="3942" spans="1:13" x14ac:dyDescent="0.3">
      <c r="A3942" s="7">
        <v>17647</v>
      </c>
      <c r="B3942" s="7" t="s">
        <v>3950</v>
      </c>
      <c r="C3942" s="7" t="s">
        <v>6685</v>
      </c>
      <c r="D3942" s="7" t="s">
        <v>6865</v>
      </c>
      <c r="E3942" s="7" t="s">
        <v>6295</v>
      </c>
      <c r="F3942" s="7" t="s">
        <v>6341</v>
      </c>
      <c r="G3942" s="7" t="s">
        <v>7150</v>
      </c>
      <c r="H3942" s="7" t="s">
        <v>7156</v>
      </c>
      <c r="I3942" s="7"/>
      <c r="J3942" s="10">
        <v>45827</v>
      </c>
      <c r="K3942" s="7" t="s">
        <v>7163</v>
      </c>
      <c r="L3942" s="7"/>
      <c r="M3942" s="7"/>
    </row>
    <row r="3943" spans="1:13" x14ac:dyDescent="0.3">
      <c r="A3943" s="7">
        <v>18249</v>
      </c>
      <c r="B3943" s="7" t="s">
        <v>3951</v>
      </c>
      <c r="C3943" s="7" t="s">
        <v>6685</v>
      </c>
      <c r="D3943" s="7" t="s">
        <v>6865</v>
      </c>
      <c r="E3943" s="7" t="s">
        <v>6295</v>
      </c>
      <c r="F3943" s="7" t="s">
        <v>6341</v>
      </c>
      <c r="G3943" s="7" t="s">
        <v>7150</v>
      </c>
      <c r="H3943" s="7" t="s">
        <v>7156</v>
      </c>
      <c r="I3943" s="7"/>
      <c r="J3943" s="10">
        <v>46071</v>
      </c>
      <c r="K3943" s="7" t="s">
        <v>7163</v>
      </c>
      <c r="L3943" s="7"/>
      <c r="M3943" s="7"/>
    </row>
    <row r="3944" spans="1:13" x14ac:dyDescent="0.3">
      <c r="A3944" s="7">
        <v>18461</v>
      </c>
      <c r="B3944" s="7" t="s">
        <v>3952</v>
      </c>
      <c r="C3944" s="7" t="s">
        <v>6685</v>
      </c>
      <c r="D3944" s="7" t="s">
        <v>6865</v>
      </c>
      <c r="E3944" s="7" t="s">
        <v>6295</v>
      </c>
      <c r="F3944" s="7" t="s">
        <v>6348</v>
      </c>
      <c r="G3944" s="7" t="s">
        <v>7150</v>
      </c>
      <c r="H3944" s="7" t="s">
        <v>7156</v>
      </c>
      <c r="I3944" s="7"/>
      <c r="J3944" s="10">
        <v>46132</v>
      </c>
      <c r="K3944" s="7" t="s">
        <v>7163</v>
      </c>
      <c r="L3944" s="7"/>
      <c r="M3944" s="7"/>
    </row>
    <row r="3945" spans="1:13" x14ac:dyDescent="0.3">
      <c r="A3945" s="7">
        <v>18041</v>
      </c>
      <c r="B3945" s="7" t="s">
        <v>3953</v>
      </c>
      <c r="C3945" s="7" t="s">
        <v>6685</v>
      </c>
      <c r="D3945" s="7" t="s">
        <v>6865</v>
      </c>
      <c r="E3945" s="7" t="s">
        <v>6295</v>
      </c>
      <c r="F3945" s="7" t="s">
        <v>6341</v>
      </c>
      <c r="G3945" s="7" t="s">
        <v>7150</v>
      </c>
      <c r="H3945" s="7" t="s">
        <v>7156</v>
      </c>
      <c r="I3945" s="7"/>
      <c r="J3945" s="10">
        <v>45973</v>
      </c>
      <c r="K3945" s="7" t="s">
        <v>7163</v>
      </c>
      <c r="L3945" s="7"/>
      <c r="M3945" s="7"/>
    </row>
    <row r="3946" spans="1:13" x14ac:dyDescent="0.3">
      <c r="A3946" s="7">
        <v>18157</v>
      </c>
      <c r="B3946" s="7" t="s">
        <v>3954</v>
      </c>
      <c r="C3946" s="7" t="s">
        <v>6685</v>
      </c>
      <c r="D3946" s="7" t="s">
        <v>6865</v>
      </c>
      <c r="E3946" s="7" t="s">
        <v>6295</v>
      </c>
      <c r="F3946" s="7" t="s">
        <v>6341</v>
      </c>
      <c r="G3946" s="7" t="s">
        <v>7150</v>
      </c>
      <c r="H3946" s="7" t="s">
        <v>7156</v>
      </c>
      <c r="I3946" s="7"/>
      <c r="J3946" s="10">
        <v>46016</v>
      </c>
      <c r="K3946" s="7" t="s">
        <v>7163</v>
      </c>
      <c r="L3946" s="7"/>
      <c r="M3946" s="7"/>
    </row>
    <row r="3947" spans="1:13" x14ac:dyDescent="0.3">
      <c r="A3947" s="7">
        <v>18604</v>
      </c>
      <c r="B3947" s="7" t="s">
        <v>3955</v>
      </c>
      <c r="C3947" s="7" t="s">
        <v>6685</v>
      </c>
      <c r="D3947" s="7" t="s">
        <v>6865</v>
      </c>
      <c r="E3947" s="7" t="s">
        <v>6295</v>
      </c>
      <c r="F3947" s="7" t="s">
        <v>6341</v>
      </c>
      <c r="G3947" s="7" t="s">
        <v>7150</v>
      </c>
      <c r="H3947" s="7" t="s">
        <v>7156</v>
      </c>
      <c r="I3947" s="7"/>
      <c r="J3947" s="10">
        <v>46164</v>
      </c>
      <c r="K3947" s="7" t="s">
        <v>7163</v>
      </c>
      <c r="L3947" s="7"/>
      <c r="M3947" s="7"/>
    </row>
    <row r="3948" spans="1:13" x14ac:dyDescent="0.3">
      <c r="A3948" s="7">
        <v>13368</v>
      </c>
      <c r="B3948" s="7" t="s">
        <v>3956</v>
      </c>
      <c r="C3948" s="7" t="s">
        <v>6685</v>
      </c>
      <c r="D3948" s="7" t="s">
        <v>6866</v>
      </c>
      <c r="E3948" s="7" t="s">
        <v>6295</v>
      </c>
      <c r="F3948" s="7" t="s">
        <v>6338</v>
      </c>
      <c r="G3948" s="7" t="s">
        <v>7150</v>
      </c>
      <c r="H3948" s="7" t="s">
        <v>7156</v>
      </c>
      <c r="I3948" s="7"/>
      <c r="J3948" s="10">
        <v>44411</v>
      </c>
      <c r="K3948" s="7" t="s">
        <v>7163</v>
      </c>
      <c r="L3948" s="7"/>
      <c r="M3948" s="7"/>
    </row>
    <row r="3949" spans="1:13" x14ac:dyDescent="0.3">
      <c r="A3949" s="7">
        <v>16533</v>
      </c>
      <c r="B3949" s="7" t="s">
        <v>3957</v>
      </c>
      <c r="C3949" s="7" t="s">
        <v>6685</v>
      </c>
      <c r="D3949" s="7" t="s">
        <v>6866</v>
      </c>
      <c r="E3949" s="7" t="s">
        <v>6295</v>
      </c>
      <c r="F3949" s="7" t="s">
        <v>6440</v>
      </c>
      <c r="G3949" s="7" t="s">
        <v>7150</v>
      </c>
      <c r="H3949" s="7" t="s">
        <v>7156</v>
      </c>
      <c r="I3949" s="7"/>
      <c r="J3949" s="10">
        <v>45470</v>
      </c>
      <c r="K3949" s="7" t="s">
        <v>7163</v>
      </c>
      <c r="L3949" s="7"/>
      <c r="M3949" s="7"/>
    </row>
    <row r="3950" spans="1:13" x14ac:dyDescent="0.3">
      <c r="A3950" s="7">
        <v>16397</v>
      </c>
      <c r="B3950" s="7" t="s">
        <v>3958</v>
      </c>
      <c r="C3950" s="7" t="s">
        <v>6685</v>
      </c>
      <c r="D3950" s="7" t="s">
        <v>6865</v>
      </c>
      <c r="E3950" s="7" t="s">
        <v>6867</v>
      </c>
      <c r="F3950" s="7" t="s">
        <v>6440</v>
      </c>
      <c r="G3950" s="7" t="s">
        <v>7150</v>
      </c>
      <c r="H3950" s="7" t="s">
        <v>7156</v>
      </c>
      <c r="I3950" s="7"/>
      <c r="J3950" s="10">
        <v>45370</v>
      </c>
      <c r="K3950" s="7" t="s">
        <v>7163</v>
      </c>
      <c r="L3950" s="7"/>
      <c r="M3950" s="7"/>
    </row>
    <row r="3951" spans="1:13" x14ac:dyDescent="0.3">
      <c r="A3951" s="7">
        <v>18965</v>
      </c>
      <c r="B3951" s="7" t="s">
        <v>3959</v>
      </c>
      <c r="C3951" s="7" t="s">
        <v>6685</v>
      </c>
      <c r="D3951" s="7" t="s">
        <v>6865</v>
      </c>
      <c r="E3951" s="7" t="s">
        <v>6867</v>
      </c>
      <c r="F3951" s="7" t="s">
        <v>6440</v>
      </c>
      <c r="G3951" s="7" t="s">
        <v>7150</v>
      </c>
      <c r="H3951" s="7" t="s">
        <v>7156</v>
      </c>
      <c r="I3951" s="7"/>
      <c r="J3951" s="10">
        <v>46252</v>
      </c>
      <c r="K3951" s="7" t="s">
        <v>7163</v>
      </c>
      <c r="L3951" s="7"/>
      <c r="M3951" s="7"/>
    </row>
    <row r="3952" spans="1:13" x14ac:dyDescent="0.3">
      <c r="A3952" s="7">
        <v>17581</v>
      </c>
      <c r="B3952" s="7" t="s">
        <v>3960</v>
      </c>
      <c r="C3952" s="7" t="s">
        <v>6685</v>
      </c>
      <c r="D3952" s="7" t="s">
        <v>6865</v>
      </c>
      <c r="E3952" s="7" t="s">
        <v>6867</v>
      </c>
      <c r="F3952" s="7" t="s">
        <v>6341</v>
      </c>
      <c r="G3952" s="7" t="s">
        <v>7150</v>
      </c>
      <c r="H3952" s="7" t="s">
        <v>7156</v>
      </c>
      <c r="I3952" s="7"/>
      <c r="J3952" s="10">
        <v>45800</v>
      </c>
      <c r="K3952" s="7" t="s">
        <v>7163</v>
      </c>
      <c r="L3952" s="7"/>
      <c r="M3952" s="7"/>
    </row>
    <row r="3953" spans="1:13" x14ac:dyDescent="0.3">
      <c r="A3953" s="7">
        <v>18792</v>
      </c>
      <c r="B3953" s="7" t="s">
        <v>3961</v>
      </c>
      <c r="C3953" s="7" t="s">
        <v>6685</v>
      </c>
      <c r="D3953" s="7" t="s">
        <v>6865</v>
      </c>
      <c r="E3953" s="7" t="s">
        <v>6295</v>
      </c>
      <c r="F3953" s="7" t="s">
        <v>6348</v>
      </c>
      <c r="G3953" s="7" t="s">
        <v>7150</v>
      </c>
      <c r="H3953" s="7" t="s">
        <v>7156</v>
      </c>
      <c r="I3953" s="7"/>
      <c r="J3953" s="10">
        <v>46216</v>
      </c>
      <c r="K3953" s="7" t="s">
        <v>7163</v>
      </c>
      <c r="L3953" s="7"/>
      <c r="M3953" s="7"/>
    </row>
    <row r="3954" spans="1:13" x14ac:dyDescent="0.3">
      <c r="A3954" s="7">
        <v>19092</v>
      </c>
      <c r="B3954" s="7" t="s">
        <v>3962</v>
      </c>
      <c r="C3954" s="7" t="s">
        <v>6685</v>
      </c>
      <c r="D3954" s="7" t="s">
        <v>6865</v>
      </c>
      <c r="E3954" s="7" t="s">
        <v>6295</v>
      </c>
      <c r="F3954" s="7" t="s">
        <v>6348</v>
      </c>
      <c r="G3954" s="7" t="s">
        <v>7150</v>
      </c>
      <c r="H3954" s="7" t="s">
        <v>7156</v>
      </c>
      <c r="I3954" s="7"/>
      <c r="J3954" s="10">
        <v>46266</v>
      </c>
      <c r="K3954" s="7" t="s">
        <v>7163</v>
      </c>
      <c r="L3954" s="7"/>
      <c r="M3954" s="7"/>
    </row>
    <row r="3955" spans="1:13" x14ac:dyDescent="0.3">
      <c r="A3955" s="7">
        <v>16566</v>
      </c>
      <c r="B3955" s="7" t="s">
        <v>3963</v>
      </c>
      <c r="C3955" s="7" t="s">
        <v>6685</v>
      </c>
      <c r="D3955" s="7" t="s">
        <v>6866</v>
      </c>
      <c r="E3955" s="7" t="s">
        <v>6295</v>
      </c>
      <c r="F3955" s="7" t="s">
        <v>6340</v>
      </c>
      <c r="G3955" s="7" t="s">
        <v>7150</v>
      </c>
      <c r="H3955" s="7" t="s">
        <v>7156</v>
      </c>
      <c r="I3955" s="7"/>
      <c r="J3955" s="10">
        <v>45481</v>
      </c>
      <c r="K3955" s="7" t="s">
        <v>7163</v>
      </c>
      <c r="L3955" s="7"/>
      <c r="M3955" s="7"/>
    </row>
    <row r="3956" spans="1:13" x14ac:dyDescent="0.3">
      <c r="A3956" s="7">
        <v>18740</v>
      </c>
      <c r="B3956" s="7" t="s">
        <v>3964</v>
      </c>
      <c r="C3956" s="7" t="s">
        <v>6685</v>
      </c>
      <c r="D3956" s="7" t="s">
        <v>6866</v>
      </c>
      <c r="E3956" s="7" t="s">
        <v>6295</v>
      </c>
      <c r="F3956" s="7" t="s">
        <v>6340</v>
      </c>
      <c r="G3956" s="7" t="s">
        <v>7150</v>
      </c>
      <c r="H3956" s="7" t="s">
        <v>7156</v>
      </c>
      <c r="I3956" s="7"/>
      <c r="J3956" s="10">
        <v>46204</v>
      </c>
      <c r="K3956" s="7" t="s">
        <v>7163</v>
      </c>
      <c r="L3956" s="7"/>
      <c r="M3956" s="7"/>
    </row>
    <row r="3957" spans="1:13" x14ac:dyDescent="0.3">
      <c r="A3957" s="7">
        <v>18270</v>
      </c>
      <c r="B3957" s="7" t="s">
        <v>3965</v>
      </c>
      <c r="C3957" s="7" t="s">
        <v>6685</v>
      </c>
      <c r="D3957" s="7" t="s">
        <v>6866</v>
      </c>
      <c r="E3957" s="7" t="s">
        <v>6295</v>
      </c>
      <c r="F3957" s="7" t="s">
        <v>6487</v>
      </c>
      <c r="G3957" s="7" t="s">
        <v>7150</v>
      </c>
      <c r="H3957" s="7" t="s">
        <v>7156</v>
      </c>
      <c r="I3957" s="7"/>
      <c r="J3957" s="10">
        <v>46076</v>
      </c>
      <c r="K3957" s="7" t="s">
        <v>7163</v>
      </c>
      <c r="L3957" s="7"/>
      <c r="M3957" s="7"/>
    </row>
    <row r="3958" spans="1:13" x14ac:dyDescent="0.3">
      <c r="A3958" s="7">
        <v>17214</v>
      </c>
      <c r="B3958" s="7" t="s">
        <v>3966</v>
      </c>
      <c r="C3958" s="7" t="s">
        <v>6685</v>
      </c>
      <c r="D3958" s="7" t="s">
        <v>6866</v>
      </c>
      <c r="E3958" s="7" t="s">
        <v>6295</v>
      </c>
      <c r="F3958" s="7" t="s">
        <v>6341</v>
      </c>
      <c r="G3958" s="7" t="s">
        <v>7150</v>
      </c>
      <c r="H3958" s="7" t="s">
        <v>7156</v>
      </c>
      <c r="I3958" s="7"/>
      <c r="J3958" s="10">
        <v>45666</v>
      </c>
      <c r="K3958" s="7" t="s">
        <v>7163</v>
      </c>
      <c r="L3958" s="7"/>
      <c r="M3958" s="7"/>
    </row>
    <row r="3959" spans="1:13" x14ac:dyDescent="0.3">
      <c r="A3959" s="7">
        <v>18291</v>
      </c>
      <c r="B3959" s="7" t="s">
        <v>3967</v>
      </c>
      <c r="C3959" s="7" t="s">
        <v>6685</v>
      </c>
      <c r="D3959" s="7" t="s">
        <v>6866</v>
      </c>
      <c r="E3959" s="7" t="s">
        <v>6295</v>
      </c>
      <c r="F3959" s="7" t="s">
        <v>6341</v>
      </c>
      <c r="G3959" s="7" t="s">
        <v>7150</v>
      </c>
      <c r="H3959" s="7" t="s">
        <v>7156</v>
      </c>
      <c r="I3959" s="7"/>
      <c r="J3959" s="10">
        <v>46077</v>
      </c>
      <c r="K3959" s="7" t="s">
        <v>7163</v>
      </c>
      <c r="L3959" s="7"/>
      <c r="M3959" s="7"/>
    </row>
    <row r="3960" spans="1:13" x14ac:dyDescent="0.3">
      <c r="A3960" s="7">
        <v>18783</v>
      </c>
      <c r="B3960" s="7" t="s">
        <v>3968</v>
      </c>
      <c r="C3960" s="7" t="s">
        <v>6685</v>
      </c>
      <c r="D3960" s="7" t="s">
        <v>6866</v>
      </c>
      <c r="E3960" s="7" t="s">
        <v>6295</v>
      </c>
      <c r="F3960" s="7" t="s">
        <v>6341</v>
      </c>
      <c r="G3960" s="7" t="s">
        <v>7150</v>
      </c>
      <c r="H3960" s="7" t="s">
        <v>7156</v>
      </c>
      <c r="I3960" s="7"/>
      <c r="J3960" s="10">
        <v>46211</v>
      </c>
      <c r="K3960" s="7" t="s">
        <v>7163</v>
      </c>
      <c r="L3960" s="7"/>
      <c r="M3960" s="7"/>
    </row>
    <row r="3961" spans="1:13" x14ac:dyDescent="0.3">
      <c r="A3961" s="7">
        <v>16999</v>
      </c>
      <c r="B3961" s="7" t="s">
        <v>3969</v>
      </c>
      <c r="C3961" s="7" t="s">
        <v>6685</v>
      </c>
      <c r="D3961" s="7" t="s">
        <v>6866</v>
      </c>
      <c r="E3961" s="7" t="s">
        <v>6295</v>
      </c>
      <c r="F3961" s="7" t="s">
        <v>6341</v>
      </c>
      <c r="G3961" s="7" t="s">
        <v>7150</v>
      </c>
      <c r="H3961" s="7" t="s">
        <v>7156</v>
      </c>
      <c r="I3961" s="7"/>
      <c r="J3961" s="10">
        <v>45590</v>
      </c>
      <c r="K3961" s="7" t="s">
        <v>7163</v>
      </c>
      <c r="L3961" s="7"/>
      <c r="M3961" s="7"/>
    </row>
    <row r="3962" spans="1:13" x14ac:dyDescent="0.3">
      <c r="A3962" s="7">
        <v>17487</v>
      </c>
      <c r="B3962" s="7" t="s">
        <v>3970</v>
      </c>
      <c r="C3962" s="7" t="s">
        <v>6685</v>
      </c>
      <c r="D3962" s="7" t="s">
        <v>6866</v>
      </c>
      <c r="E3962" s="7" t="s">
        <v>6295</v>
      </c>
      <c r="F3962" s="7" t="s">
        <v>6868</v>
      </c>
      <c r="G3962" s="7" t="s">
        <v>7150</v>
      </c>
      <c r="H3962" s="7" t="s">
        <v>7156</v>
      </c>
      <c r="I3962" s="7"/>
      <c r="J3962" s="10">
        <v>45768</v>
      </c>
      <c r="K3962" s="7" t="s">
        <v>7163</v>
      </c>
      <c r="L3962" s="7"/>
      <c r="M3962" s="7"/>
    </row>
    <row r="3963" spans="1:13" x14ac:dyDescent="0.3">
      <c r="A3963" s="7">
        <v>17149</v>
      </c>
      <c r="B3963" s="7" t="s">
        <v>3971</v>
      </c>
      <c r="C3963" s="7" t="s">
        <v>6685</v>
      </c>
      <c r="D3963" s="7" t="s">
        <v>6866</v>
      </c>
      <c r="E3963" s="7" t="s">
        <v>6295</v>
      </c>
      <c r="F3963" s="7" t="s">
        <v>6341</v>
      </c>
      <c r="G3963" s="7" t="s">
        <v>7150</v>
      </c>
      <c r="H3963" s="7" t="s">
        <v>7156</v>
      </c>
      <c r="I3963" s="7"/>
      <c r="J3963" s="10">
        <v>45651</v>
      </c>
      <c r="K3963" s="7" t="s">
        <v>7163</v>
      </c>
      <c r="L3963" s="7"/>
      <c r="M3963" s="7"/>
    </row>
    <row r="3964" spans="1:13" x14ac:dyDescent="0.3">
      <c r="A3964" s="7">
        <v>17834</v>
      </c>
      <c r="B3964" s="7" t="s">
        <v>3972</v>
      </c>
      <c r="C3964" s="7" t="s">
        <v>6685</v>
      </c>
      <c r="D3964" s="7" t="s">
        <v>6866</v>
      </c>
      <c r="E3964" s="7" t="s">
        <v>6295</v>
      </c>
      <c r="F3964" s="7" t="s">
        <v>6868</v>
      </c>
      <c r="G3964" s="7" t="s">
        <v>7150</v>
      </c>
      <c r="H3964" s="7" t="s">
        <v>7156</v>
      </c>
      <c r="I3964" s="7"/>
      <c r="J3964" s="10">
        <v>45894</v>
      </c>
      <c r="K3964" s="7" t="s">
        <v>7163</v>
      </c>
      <c r="L3964" s="7"/>
      <c r="M3964" s="7"/>
    </row>
    <row r="3965" spans="1:13" x14ac:dyDescent="0.3">
      <c r="A3965" s="7">
        <v>15952</v>
      </c>
      <c r="B3965" s="7" t="s">
        <v>3973</v>
      </c>
      <c r="C3965" s="7" t="s">
        <v>6685</v>
      </c>
      <c r="D3965" s="7" t="s">
        <v>6869</v>
      </c>
      <c r="E3965" s="7" t="s">
        <v>6295</v>
      </c>
      <c r="F3965" s="7" t="s">
        <v>6335</v>
      </c>
      <c r="G3965" s="7" t="s">
        <v>7150</v>
      </c>
      <c r="H3965" s="7" t="s">
        <v>7156</v>
      </c>
      <c r="I3965" s="7"/>
      <c r="J3965" s="10">
        <v>45247</v>
      </c>
      <c r="K3965" s="7" t="s">
        <v>7163</v>
      </c>
      <c r="L3965" s="7"/>
      <c r="M3965" s="7"/>
    </row>
    <row r="3966" spans="1:13" x14ac:dyDescent="0.3">
      <c r="A3966" s="7">
        <v>18862</v>
      </c>
      <c r="B3966" s="7" t="s">
        <v>3974</v>
      </c>
      <c r="C3966" s="7" t="s">
        <v>6685</v>
      </c>
      <c r="D3966" s="7" t="s">
        <v>6869</v>
      </c>
      <c r="E3966" s="7" t="s">
        <v>6295</v>
      </c>
      <c r="F3966" s="7" t="s">
        <v>6335</v>
      </c>
      <c r="G3966" s="7" t="s">
        <v>7150</v>
      </c>
      <c r="H3966" s="7" t="s">
        <v>7156</v>
      </c>
      <c r="I3966" s="7" t="s">
        <v>7159</v>
      </c>
      <c r="J3966" s="10">
        <v>46220</v>
      </c>
      <c r="K3966" s="7" t="s">
        <v>7163</v>
      </c>
      <c r="L3966" s="7"/>
      <c r="M3966" s="7"/>
    </row>
    <row r="3967" spans="1:13" x14ac:dyDescent="0.3">
      <c r="A3967" s="7">
        <v>16016</v>
      </c>
      <c r="B3967" s="7" t="s">
        <v>3975</v>
      </c>
      <c r="C3967" s="7" t="s">
        <v>6685</v>
      </c>
      <c r="D3967" s="7" t="s">
        <v>6869</v>
      </c>
      <c r="E3967" s="7" t="s">
        <v>6295</v>
      </c>
      <c r="F3967" s="7" t="s">
        <v>6340</v>
      </c>
      <c r="G3967" s="7" t="s">
        <v>7150</v>
      </c>
      <c r="H3967" s="7" t="s">
        <v>7156</v>
      </c>
      <c r="I3967" s="7"/>
      <c r="J3967" s="10">
        <v>45267</v>
      </c>
      <c r="K3967" s="7" t="s">
        <v>7163</v>
      </c>
      <c r="L3967" s="7"/>
      <c r="M3967" s="7"/>
    </row>
    <row r="3968" spans="1:13" x14ac:dyDescent="0.3">
      <c r="A3968" s="7">
        <v>18337</v>
      </c>
      <c r="B3968" s="7" t="s">
        <v>3976</v>
      </c>
      <c r="C3968" s="7" t="s">
        <v>6685</v>
      </c>
      <c r="D3968" s="7" t="s">
        <v>6869</v>
      </c>
      <c r="E3968" s="7" t="s">
        <v>6295</v>
      </c>
      <c r="F3968" s="7" t="s">
        <v>6353</v>
      </c>
      <c r="G3968" s="7" t="s">
        <v>7150</v>
      </c>
      <c r="H3968" s="7" t="s">
        <v>7156</v>
      </c>
      <c r="I3968" s="7"/>
      <c r="J3968" s="10">
        <v>46097</v>
      </c>
      <c r="K3968" s="7" t="s">
        <v>7163</v>
      </c>
      <c r="L3968" s="7"/>
      <c r="M3968" s="7"/>
    </row>
    <row r="3969" spans="1:13" x14ac:dyDescent="0.3">
      <c r="A3969" s="7">
        <v>10612</v>
      </c>
      <c r="B3969" s="7" t="s">
        <v>3977</v>
      </c>
      <c r="C3969" s="7" t="s">
        <v>6870</v>
      </c>
      <c r="D3969" s="7" t="s">
        <v>6295</v>
      </c>
      <c r="E3969" s="7" t="s">
        <v>6295</v>
      </c>
      <c r="F3969" s="7" t="s">
        <v>6356</v>
      </c>
      <c r="G3969" s="7" t="s">
        <v>7150</v>
      </c>
      <c r="H3969" s="7" t="s">
        <v>7156</v>
      </c>
      <c r="I3969" s="7"/>
      <c r="J3969" s="10">
        <v>41484</v>
      </c>
      <c r="K3969" s="7" t="s">
        <v>7163</v>
      </c>
      <c r="L3969" s="7"/>
      <c r="M3969" s="7"/>
    </row>
    <row r="3970" spans="1:13" x14ac:dyDescent="0.3">
      <c r="A3970" s="7">
        <v>10618</v>
      </c>
      <c r="B3970" s="7" t="s">
        <v>3978</v>
      </c>
      <c r="C3970" s="7" t="s">
        <v>6870</v>
      </c>
      <c r="D3970" s="7" t="s">
        <v>6871</v>
      </c>
      <c r="E3970" s="7" t="s">
        <v>6295</v>
      </c>
      <c r="F3970" s="7" t="s">
        <v>6338</v>
      </c>
      <c r="G3970" s="7" t="s">
        <v>7150</v>
      </c>
      <c r="H3970" s="7" t="s">
        <v>7156</v>
      </c>
      <c r="I3970" s="7"/>
      <c r="J3970" s="10">
        <v>41507</v>
      </c>
      <c r="K3970" s="7" t="s">
        <v>7163</v>
      </c>
      <c r="L3970" s="7"/>
      <c r="M3970" s="7"/>
    </row>
    <row r="3971" spans="1:13" x14ac:dyDescent="0.3">
      <c r="A3971" s="7">
        <v>10705</v>
      </c>
      <c r="B3971" s="7" t="s">
        <v>3979</v>
      </c>
      <c r="C3971" s="7" t="s">
        <v>6870</v>
      </c>
      <c r="D3971" s="7" t="s">
        <v>6871</v>
      </c>
      <c r="E3971" s="7" t="s">
        <v>6295</v>
      </c>
      <c r="F3971" s="7" t="s">
        <v>6335</v>
      </c>
      <c r="G3971" s="7" t="s">
        <v>7150</v>
      </c>
      <c r="H3971" s="7" t="s">
        <v>7156</v>
      </c>
      <c r="I3971" s="7"/>
      <c r="J3971" s="10">
        <v>41690</v>
      </c>
      <c r="K3971" s="7" t="s">
        <v>7163</v>
      </c>
      <c r="L3971" s="7"/>
      <c r="M3971" s="7"/>
    </row>
    <row r="3972" spans="1:13" x14ac:dyDescent="0.3">
      <c r="A3972" s="7">
        <v>10707</v>
      </c>
      <c r="B3972" s="7" t="s">
        <v>3980</v>
      </c>
      <c r="C3972" s="7" t="s">
        <v>6870</v>
      </c>
      <c r="D3972" s="7" t="s">
        <v>6871</v>
      </c>
      <c r="E3972" s="7" t="s">
        <v>6295</v>
      </c>
      <c r="F3972" s="7" t="s">
        <v>6542</v>
      </c>
      <c r="G3972" s="7" t="s">
        <v>7150</v>
      </c>
      <c r="H3972" s="7" t="s">
        <v>7156</v>
      </c>
      <c r="I3972" s="7"/>
      <c r="J3972" s="10">
        <v>41694</v>
      </c>
      <c r="K3972" s="7" t="s">
        <v>7163</v>
      </c>
      <c r="L3972" s="7"/>
      <c r="M3972" s="7"/>
    </row>
    <row r="3973" spans="1:13" x14ac:dyDescent="0.3">
      <c r="A3973" s="7">
        <v>10802</v>
      </c>
      <c r="B3973" s="7" t="s">
        <v>3981</v>
      </c>
      <c r="C3973" s="7" t="s">
        <v>6870</v>
      </c>
      <c r="D3973" s="7" t="s">
        <v>6871</v>
      </c>
      <c r="E3973" s="7" t="s">
        <v>6295</v>
      </c>
      <c r="F3973" s="7" t="s">
        <v>6353</v>
      </c>
      <c r="G3973" s="7" t="s">
        <v>7150</v>
      </c>
      <c r="H3973" s="7" t="s">
        <v>7156</v>
      </c>
      <c r="I3973" s="7"/>
      <c r="J3973" s="10">
        <v>41914</v>
      </c>
      <c r="K3973" s="7" t="s">
        <v>7163</v>
      </c>
      <c r="L3973" s="7"/>
      <c r="M3973" s="7"/>
    </row>
    <row r="3974" spans="1:13" x14ac:dyDescent="0.3">
      <c r="A3974" s="7">
        <v>11790</v>
      </c>
      <c r="B3974" s="7" t="s">
        <v>3982</v>
      </c>
      <c r="C3974" s="7" t="s">
        <v>6870</v>
      </c>
      <c r="D3974" s="7" t="s">
        <v>6871</v>
      </c>
      <c r="E3974" s="7" t="s">
        <v>6295</v>
      </c>
      <c r="F3974" s="7" t="s">
        <v>6377</v>
      </c>
      <c r="G3974" s="7" t="s">
        <v>7150</v>
      </c>
      <c r="H3974" s="7" t="s">
        <v>7156</v>
      </c>
      <c r="I3974" s="7"/>
      <c r="J3974" s="10">
        <v>43123</v>
      </c>
      <c r="K3974" s="7" t="s">
        <v>7163</v>
      </c>
      <c r="L3974" s="7"/>
      <c r="M3974" s="7"/>
    </row>
    <row r="3975" spans="1:13" x14ac:dyDescent="0.3">
      <c r="A3975" s="7">
        <v>12173</v>
      </c>
      <c r="B3975" s="7" t="s">
        <v>3983</v>
      </c>
      <c r="C3975" s="7" t="s">
        <v>6870</v>
      </c>
      <c r="D3975" s="7" t="s">
        <v>6871</v>
      </c>
      <c r="E3975" s="7" t="s">
        <v>6295</v>
      </c>
      <c r="F3975" s="7" t="s">
        <v>6377</v>
      </c>
      <c r="G3975" s="7" t="s">
        <v>7150</v>
      </c>
      <c r="H3975" s="7" t="s">
        <v>7156</v>
      </c>
      <c r="I3975" s="7"/>
      <c r="J3975" s="10">
        <v>43542</v>
      </c>
      <c r="K3975" s="7" t="s">
        <v>7163</v>
      </c>
      <c r="L3975" s="7"/>
      <c r="M3975" s="7"/>
    </row>
    <row r="3976" spans="1:13" x14ac:dyDescent="0.3">
      <c r="A3976" s="7">
        <v>12423</v>
      </c>
      <c r="B3976" s="7" t="s">
        <v>3984</v>
      </c>
      <c r="C3976" s="7" t="s">
        <v>6870</v>
      </c>
      <c r="D3976" s="7" t="s">
        <v>6871</v>
      </c>
      <c r="E3976" s="7" t="s">
        <v>6295</v>
      </c>
      <c r="F3976" s="7" t="s">
        <v>6377</v>
      </c>
      <c r="G3976" s="7" t="s">
        <v>7150</v>
      </c>
      <c r="H3976" s="7" t="s">
        <v>7156</v>
      </c>
      <c r="I3976" s="7"/>
      <c r="J3976" s="10">
        <v>43740</v>
      </c>
      <c r="K3976" s="7" t="s">
        <v>7163</v>
      </c>
      <c r="L3976" s="7"/>
      <c r="M3976" s="7"/>
    </row>
    <row r="3977" spans="1:13" x14ac:dyDescent="0.3">
      <c r="A3977" s="7">
        <v>12542</v>
      </c>
      <c r="B3977" s="7" t="s">
        <v>3985</v>
      </c>
      <c r="C3977" s="7" t="s">
        <v>6870</v>
      </c>
      <c r="D3977" s="7" t="s">
        <v>6871</v>
      </c>
      <c r="E3977" s="7" t="s">
        <v>6295</v>
      </c>
      <c r="F3977" s="7" t="s">
        <v>6377</v>
      </c>
      <c r="G3977" s="7" t="s">
        <v>7150</v>
      </c>
      <c r="H3977" s="7" t="s">
        <v>7156</v>
      </c>
      <c r="I3977" s="7"/>
      <c r="J3977" s="10">
        <v>43803</v>
      </c>
      <c r="K3977" s="7" t="s">
        <v>7163</v>
      </c>
      <c r="L3977" s="7"/>
      <c r="M3977" s="7"/>
    </row>
    <row r="3978" spans="1:13" x14ac:dyDescent="0.3">
      <c r="A3978" s="7">
        <v>12568</v>
      </c>
      <c r="B3978" s="7" t="s">
        <v>3986</v>
      </c>
      <c r="C3978" s="7" t="s">
        <v>6870</v>
      </c>
      <c r="D3978" s="7" t="s">
        <v>6871</v>
      </c>
      <c r="E3978" s="7" t="s">
        <v>6295</v>
      </c>
      <c r="F3978" s="7" t="s">
        <v>6377</v>
      </c>
      <c r="G3978" s="7" t="s">
        <v>7150</v>
      </c>
      <c r="H3978" s="7" t="s">
        <v>7156</v>
      </c>
      <c r="I3978" s="7"/>
      <c r="J3978" s="10">
        <v>43811</v>
      </c>
      <c r="K3978" s="7" t="s">
        <v>7163</v>
      </c>
      <c r="L3978" s="7"/>
      <c r="M3978" s="7"/>
    </row>
    <row r="3979" spans="1:13" x14ac:dyDescent="0.3">
      <c r="A3979" s="7">
        <v>13809</v>
      </c>
      <c r="B3979" s="7" t="s">
        <v>3987</v>
      </c>
      <c r="C3979" s="7" t="s">
        <v>6870</v>
      </c>
      <c r="D3979" s="7" t="s">
        <v>6871</v>
      </c>
      <c r="E3979" s="7" t="s">
        <v>6295</v>
      </c>
      <c r="F3979" s="7" t="s">
        <v>6377</v>
      </c>
      <c r="G3979" s="7" t="s">
        <v>7150</v>
      </c>
      <c r="H3979" s="7" t="s">
        <v>7156</v>
      </c>
      <c r="I3979" s="7"/>
      <c r="J3979" s="10">
        <v>44586</v>
      </c>
      <c r="K3979" s="7" t="s">
        <v>7163</v>
      </c>
      <c r="L3979" s="7"/>
      <c r="M3979" s="7"/>
    </row>
    <row r="3980" spans="1:13" x14ac:dyDescent="0.3">
      <c r="A3980" s="7">
        <v>13502</v>
      </c>
      <c r="B3980" s="7" t="s">
        <v>3988</v>
      </c>
      <c r="C3980" s="7" t="s">
        <v>6870</v>
      </c>
      <c r="D3980" s="7" t="s">
        <v>6871</v>
      </c>
      <c r="E3980" s="7" t="s">
        <v>6295</v>
      </c>
      <c r="F3980" s="7" t="s">
        <v>6377</v>
      </c>
      <c r="G3980" s="7" t="s">
        <v>7150</v>
      </c>
      <c r="H3980" s="7" t="s">
        <v>7156</v>
      </c>
      <c r="I3980" s="7"/>
      <c r="J3980" s="10">
        <v>44477</v>
      </c>
      <c r="K3980" s="7" t="s">
        <v>7163</v>
      </c>
      <c r="L3980" s="7"/>
      <c r="M3980" s="7"/>
    </row>
    <row r="3981" spans="1:13" x14ac:dyDescent="0.3">
      <c r="A3981" s="7">
        <v>14619</v>
      </c>
      <c r="B3981" s="7" t="s">
        <v>3989</v>
      </c>
      <c r="C3981" s="7" t="s">
        <v>6870</v>
      </c>
      <c r="D3981" s="7" t="s">
        <v>6871</v>
      </c>
      <c r="E3981" s="7" t="s">
        <v>6295</v>
      </c>
      <c r="F3981" s="7" t="s">
        <v>6377</v>
      </c>
      <c r="G3981" s="7" t="s">
        <v>7150</v>
      </c>
      <c r="H3981" s="7" t="s">
        <v>7156</v>
      </c>
      <c r="I3981" s="7"/>
      <c r="J3981" s="10">
        <v>44806</v>
      </c>
      <c r="K3981" s="7" t="s">
        <v>7163</v>
      </c>
      <c r="L3981" s="7"/>
      <c r="M3981" s="7"/>
    </row>
    <row r="3982" spans="1:13" x14ac:dyDescent="0.3">
      <c r="A3982" s="7">
        <v>14458</v>
      </c>
      <c r="B3982" s="7" t="s">
        <v>3990</v>
      </c>
      <c r="C3982" s="7" t="s">
        <v>6870</v>
      </c>
      <c r="D3982" s="7" t="s">
        <v>6871</v>
      </c>
      <c r="E3982" s="7" t="s">
        <v>6295</v>
      </c>
      <c r="F3982" s="7" t="s">
        <v>6373</v>
      </c>
      <c r="G3982" s="7" t="s">
        <v>7150</v>
      </c>
      <c r="H3982" s="7" t="s">
        <v>7156</v>
      </c>
      <c r="I3982" s="7"/>
      <c r="J3982" s="10">
        <v>44774</v>
      </c>
      <c r="K3982" s="7" t="s">
        <v>7163</v>
      </c>
      <c r="L3982" s="7"/>
      <c r="M3982" s="7"/>
    </row>
    <row r="3983" spans="1:13" x14ac:dyDescent="0.3">
      <c r="A3983" s="7">
        <v>18508</v>
      </c>
      <c r="B3983" s="7" t="s">
        <v>3991</v>
      </c>
      <c r="C3983" s="7" t="s">
        <v>6870</v>
      </c>
      <c r="D3983" s="7" t="s">
        <v>6871</v>
      </c>
      <c r="E3983" s="7" t="s">
        <v>6295</v>
      </c>
      <c r="F3983" s="7" t="s">
        <v>6385</v>
      </c>
      <c r="G3983" s="7" t="s">
        <v>7150</v>
      </c>
      <c r="H3983" s="7" t="s">
        <v>7156</v>
      </c>
      <c r="I3983" s="7"/>
      <c r="J3983" s="10">
        <v>46147</v>
      </c>
      <c r="K3983" s="7" t="s">
        <v>7163</v>
      </c>
      <c r="L3983" s="7"/>
      <c r="M3983" s="7"/>
    </row>
    <row r="3984" spans="1:13" x14ac:dyDescent="0.3">
      <c r="A3984" s="7">
        <v>18654</v>
      </c>
      <c r="B3984" s="7" t="s">
        <v>3992</v>
      </c>
      <c r="C3984" s="7" t="s">
        <v>6870</v>
      </c>
      <c r="D3984" s="7" t="s">
        <v>6871</v>
      </c>
      <c r="E3984" s="7" t="s">
        <v>6295</v>
      </c>
      <c r="F3984" s="7" t="s">
        <v>6385</v>
      </c>
      <c r="G3984" s="7" t="s">
        <v>7150</v>
      </c>
      <c r="H3984" s="7" t="s">
        <v>7156</v>
      </c>
      <c r="I3984" s="7"/>
      <c r="J3984" s="10">
        <v>46189</v>
      </c>
      <c r="K3984" s="7" t="s">
        <v>7163</v>
      </c>
      <c r="L3984" s="7"/>
      <c r="M3984" s="7"/>
    </row>
    <row r="3985" spans="1:13" x14ac:dyDescent="0.3">
      <c r="A3985" s="7">
        <v>17928</v>
      </c>
      <c r="B3985" s="7" t="s">
        <v>3993</v>
      </c>
      <c r="C3985" s="7" t="s">
        <v>6870</v>
      </c>
      <c r="D3985" s="7" t="s">
        <v>6871</v>
      </c>
      <c r="E3985" s="7" t="s">
        <v>6295</v>
      </c>
      <c r="F3985" s="7" t="s">
        <v>6385</v>
      </c>
      <c r="G3985" s="7" t="s">
        <v>7150</v>
      </c>
      <c r="H3985" s="7" t="s">
        <v>7156</v>
      </c>
      <c r="I3985" s="7"/>
      <c r="J3985" s="10">
        <v>45923</v>
      </c>
      <c r="K3985" s="7" t="s">
        <v>7163</v>
      </c>
      <c r="L3985" s="7"/>
      <c r="M3985" s="7"/>
    </row>
    <row r="3986" spans="1:13" x14ac:dyDescent="0.3">
      <c r="A3986" s="7">
        <v>19249</v>
      </c>
      <c r="B3986" s="7" t="s">
        <v>3994</v>
      </c>
      <c r="C3986" s="7" t="s">
        <v>6870</v>
      </c>
      <c r="D3986" s="7" t="s">
        <v>6871</v>
      </c>
      <c r="E3986" s="7" t="s">
        <v>6295</v>
      </c>
      <c r="F3986" s="7" t="s">
        <v>6385</v>
      </c>
      <c r="G3986" s="7" t="s">
        <v>7150</v>
      </c>
      <c r="H3986" s="7" t="s">
        <v>7156</v>
      </c>
      <c r="I3986" s="7"/>
      <c r="J3986" s="10">
        <v>46287</v>
      </c>
      <c r="K3986" s="7" t="s">
        <v>7163</v>
      </c>
      <c r="L3986" s="7"/>
      <c r="M3986" s="7"/>
    </row>
    <row r="3987" spans="1:13" x14ac:dyDescent="0.3">
      <c r="A3987" s="7">
        <v>18777</v>
      </c>
      <c r="B3987" s="7" t="s">
        <v>3995</v>
      </c>
      <c r="C3987" s="7" t="s">
        <v>6870</v>
      </c>
      <c r="D3987" s="7" t="s">
        <v>6871</v>
      </c>
      <c r="E3987" s="7" t="s">
        <v>6295</v>
      </c>
      <c r="F3987" s="7" t="s">
        <v>6385</v>
      </c>
      <c r="G3987" s="7" t="s">
        <v>7150</v>
      </c>
      <c r="H3987" s="7" t="s">
        <v>7156</v>
      </c>
      <c r="I3987" s="7"/>
      <c r="J3987" s="10">
        <v>46217</v>
      </c>
      <c r="K3987" s="7" t="s">
        <v>7163</v>
      </c>
      <c r="L3987" s="7"/>
      <c r="M3987" s="7"/>
    </row>
    <row r="3988" spans="1:13" x14ac:dyDescent="0.3">
      <c r="A3988" s="7">
        <v>18827</v>
      </c>
      <c r="B3988" s="7" t="s">
        <v>3996</v>
      </c>
      <c r="C3988" s="7" t="s">
        <v>6870</v>
      </c>
      <c r="D3988" s="7" t="s">
        <v>6871</v>
      </c>
      <c r="E3988" s="7" t="s">
        <v>6295</v>
      </c>
      <c r="F3988" s="7" t="s">
        <v>6385</v>
      </c>
      <c r="G3988" s="7" t="s">
        <v>7150</v>
      </c>
      <c r="H3988" s="7" t="s">
        <v>7156</v>
      </c>
      <c r="I3988" s="7"/>
      <c r="J3988" s="10">
        <v>46219</v>
      </c>
      <c r="K3988" s="7" t="s">
        <v>7163</v>
      </c>
      <c r="L3988" s="7"/>
      <c r="M3988" s="7"/>
    </row>
    <row r="3989" spans="1:13" x14ac:dyDescent="0.3">
      <c r="A3989" s="7">
        <v>18857</v>
      </c>
      <c r="B3989" s="7" t="s">
        <v>3997</v>
      </c>
      <c r="C3989" s="7" t="s">
        <v>6870</v>
      </c>
      <c r="D3989" s="7" t="s">
        <v>6871</v>
      </c>
      <c r="E3989" s="7" t="s">
        <v>6295</v>
      </c>
      <c r="F3989" s="7" t="s">
        <v>6385</v>
      </c>
      <c r="G3989" s="7" t="s">
        <v>7150</v>
      </c>
      <c r="H3989" s="7" t="s">
        <v>7156</v>
      </c>
      <c r="I3989" s="7"/>
      <c r="J3989" s="10">
        <v>46225</v>
      </c>
      <c r="K3989" s="7" t="s">
        <v>7163</v>
      </c>
      <c r="L3989" s="7"/>
      <c r="M3989" s="7"/>
    </row>
    <row r="3990" spans="1:13" x14ac:dyDescent="0.3">
      <c r="A3990" s="7">
        <v>14967</v>
      </c>
      <c r="B3990" s="7" t="s">
        <v>3998</v>
      </c>
      <c r="C3990" s="7" t="s">
        <v>6870</v>
      </c>
      <c r="D3990" s="7" t="s">
        <v>6871</v>
      </c>
      <c r="E3990" s="7" t="s">
        <v>6295</v>
      </c>
      <c r="F3990" s="7" t="s">
        <v>6373</v>
      </c>
      <c r="G3990" s="7" t="s">
        <v>7150</v>
      </c>
      <c r="H3990" s="7" t="s">
        <v>7156</v>
      </c>
      <c r="I3990" s="7"/>
      <c r="J3990" s="10">
        <v>44903</v>
      </c>
      <c r="K3990" s="7" t="s">
        <v>7163</v>
      </c>
      <c r="L3990" s="7"/>
      <c r="M3990" s="7"/>
    </row>
    <row r="3991" spans="1:13" x14ac:dyDescent="0.3">
      <c r="A3991" s="7">
        <v>15091</v>
      </c>
      <c r="B3991" s="7" t="s">
        <v>3999</v>
      </c>
      <c r="C3991" s="7" t="s">
        <v>6870</v>
      </c>
      <c r="D3991" s="7" t="s">
        <v>6871</v>
      </c>
      <c r="E3991" s="7" t="s">
        <v>6295</v>
      </c>
      <c r="F3991" s="7" t="s">
        <v>6373</v>
      </c>
      <c r="G3991" s="7" t="s">
        <v>7150</v>
      </c>
      <c r="H3991" s="7" t="s">
        <v>7156</v>
      </c>
      <c r="I3991" s="7"/>
      <c r="J3991" s="10">
        <v>44958</v>
      </c>
      <c r="K3991" s="7" t="s">
        <v>7163</v>
      </c>
      <c r="L3991" s="7"/>
      <c r="M3991" s="7"/>
    </row>
    <row r="3992" spans="1:13" x14ac:dyDescent="0.3">
      <c r="A3992" s="7">
        <v>15224</v>
      </c>
      <c r="B3992" s="7" t="s">
        <v>4000</v>
      </c>
      <c r="C3992" s="7" t="s">
        <v>6870</v>
      </c>
      <c r="D3992" s="7" t="s">
        <v>6871</v>
      </c>
      <c r="E3992" s="7" t="s">
        <v>6295</v>
      </c>
      <c r="F3992" s="7" t="s">
        <v>6373</v>
      </c>
      <c r="G3992" s="7" t="s">
        <v>7150</v>
      </c>
      <c r="H3992" s="7" t="s">
        <v>7156</v>
      </c>
      <c r="I3992" s="7"/>
      <c r="J3992" s="10">
        <v>44994</v>
      </c>
      <c r="K3992" s="7" t="s">
        <v>7163</v>
      </c>
      <c r="L3992" s="7"/>
      <c r="M3992" s="7"/>
    </row>
    <row r="3993" spans="1:13" x14ac:dyDescent="0.3">
      <c r="A3993" s="7">
        <v>15439</v>
      </c>
      <c r="B3993" s="7" t="s">
        <v>4001</v>
      </c>
      <c r="C3993" s="7" t="s">
        <v>6870</v>
      </c>
      <c r="D3993" s="7" t="s">
        <v>6871</v>
      </c>
      <c r="E3993" s="7" t="s">
        <v>6295</v>
      </c>
      <c r="F3993" s="7" t="s">
        <v>6385</v>
      </c>
      <c r="G3993" s="7" t="s">
        <v>7150</v>
      </c>
      <c r="H3993" s="7" t="s">
        <v>7156</v>
      </c>
      <c r="I3993" s="7"/>
      <c r="J3993" s="10">
        <v>45078</v>
      </c>
      <c r="K3993" s="7" t="s">
        <v>7163</v>
      </c>
      <c r="L3993" s="7"/>
      <c r="M3993" s="7"/>
    </row>
    <row r="3994" spans="1:13" x14ac:dyDescent="0.3">
      <c r="A3994" s="7">
        <v>16149</v>
      </c>
      <c r="B3994" s="7" t="s">
        <v>4002</v>
      </c>
      <c r="C3994" s="7" t="s">
        <v>6870</v>
      </c>
      <c r="D3994" s="7" t="s">
        <v>6871</v>
      </c>
      <c r="E3994" s="7" t="s">
        <v>6295</v>
      </c>
      <c r="F3994" s="7" t="s">
        <v>6373</v>
      </c>
      <c r="G3994" s="7" t="s">
        <v>7150</v>
      </c>
      <c r="H3994" s="7" t="s">
        <v>7156</v>
      </c>
      <c r="I3994" s="7"/>
      <c r="J3994" s="10">
        <v>45303</v>
      </c>
      <c r="K3994" s="7" t="s">
        <v>7163</v>
      </c>
      <c r="L3994" s="7"/>
      <c r="M3994" s="7"/>
    </row>
    <row r="3995" spans="1:13" x14ac:dyDescent="0.3">
      <c r="A3995" s="7">
        <v>18257</v>
      </c>
      <c r="B3995" s="7" t="s">
        <v>4003</v>
      </c>
      <c r="C3995" s="7" t="s">
        <v>6870</v>
      </c>
      <c r="D3995" s="7" t="s">
        <v>6871</v>
      </c>
      <c r="E3995" s="7" t="s">
        <v>6295</v>
      </c>
      <c r="F3995" s="7" t="s">
        <v>6385</v>
      </c>
      <c r="G3995" s="7" t="s">
        <v>7150</v>
      </c>
      <c r="H3995" s="7" t="s">
        <v>7156</v>
      </c>
      <c r="I3995" s="7"/>
      <c r="J3995" s="10">
        <v>46073</v>
      </c>
      <c r="K3995" s="7" t="s">
        <v>7163</v>
      </c>
      <c r="L3995" s="7"/>
      <c r="M3995" s="7"/>
    </row>
    <row r="3996" spans="1:13" x14ac:dyDescent="0.3">
      <c r="A3996" s="7">
        <v>16139</v>
      </c>
      <c r="B3996" s="7" t="s">
        <v>4004</v>
      </c>
      <c r="C3996" s="7" t="s">
        <v>6870</v>
      </c>
      <c r="D3996" s="7" t="s">
        <v>6871</v>
      </c>
      <c r="E3996" s="7" t="s">
        <v>6295</v>
      </c>
      <c r="F3996" s="7" t="s">
        <v>6373</v>
      </c>
      <c r="G3996" s="7" t="s">
        <v>7150</v>
      </c>
      <c r="H3996" s="7" t="s">
        <v>7156</v>
      </c>
      <c r="I3996" s="7"/>
      <c r="J3996" s="10">
        <v>45303</v>
      </c>
      <c r="K3996" s="7" t="s">
        <v>7163</v>
      </c>
      <c r="L3996" s="7"/>
      <c r="M3996" s="7"/>
    </row>
    <row r="3997" spans="1:13" x14ac:dyDescent="0.3">
      <c r="A3997" s="7">
        <v>16321</v>
      </c>
      <c r="B3997" s="7" t="s">
        <v>4005</v>
      </c>
      <c r="C3997" s="7" t="s">
        <v>6870</v>
      </c>
      <c r="D3997" s="7" t="s">
        <v>6871</v>
      </c>
      <c r="E3997" s="7" t="s">
        <v>6295</v>
      </c>
      <c r="F3997" s="7" t="s">
        <v>6373</v>
      </c>
      <c r="G3997" s="7" t="s">
        <v>7150</v>
      </c>
      <c r="H3997" s="7" t="s">
        <v>7156</v>
      </c>
      <c r="I3997" s="7"/>
      <c r="J3997" s="10">
        <v>45355</v>
      </c>
      <c r="K3997" s="7" t="s">
        <v>7163</v>
      </c>
      <c r="L3997" s="7"/>
      <c r="M3997" s="7"/>
    </row>
    <row r="3998" spans="1:13" x14ac:dyDescent="0.3">
      <c r="A3998" s="7">
        <v>16314</v>
      </c>
      <c r="B3998" s="7" t="s">
        <v>4006</v>
      </c>
      <c r="C3998" s="7" t="s">
        <v>6870</v>
      </c>
      <c r="D3998" s="7" t="s">
        <v>6871</v>
      </c>
      <c r="E3998" s="7" t="s">
        <v>6295</v>
      </c>
      <c r="F3998" s="7" t="s">
        <v>6385</v>
      </c>
      <c r="G3998" s="7" t="s">
        <v>7150</v>
      </c>
      <c r="H3998" s="7" t="s">
        <v>7156</v>
      </c>
      <c r="I3998" s="7"/>
      <c r="J3998" s="10">
        <v>45355</v>
      </c>
      <c r="K3998" s="7" t="s">
        <v>7163</v>
      </c>
      <c r="L3998" s="7"/>
      <c r="M3998" s="7"/>
    </row>
    <row r="3999" spans="1:13" x14ac:dyDescent="0.3">
      <c r="A3999" s="7">
        <v>17805</v>
      </c>
      <c r="B3999" s="7" t="s">
        <v>4007</v>
      </c>
      <c r="C3999" s="7" t="s">
        <v>6870</v>
      </c>
      <c r="D3999" s="7" t="s">
        <v>6871</v>
      </c>
      <c r="E3999" s="7" t="s">
        <v>6295</v>
      </c>
      <c r="F3999" s="7" t="s">
        <v>6385</v>
      </c>
      <c r="G3999" s="7" t="s">
        <v>7150</v>
      </c>
      <c r="H3999" s="7" t="s">
        <v>7156</v>
      </c>
      <c r="I3999" s="7"/>
      <c r="J3999" s="10">
        <v>45877</v>
      </c>
      <c r="K3999" s="7" t="s">
        <v>7163</v>
      </c>
      <c r="L3999" s="7"/>
      <c r="M3999" s="7"/>
    </row>
    <row r="4000" spans="1:13" x14ac:dyDescent="0.3">
      <c r="A4000" s="7">
        <v>16515</v>
      </c>
      <c r="B4000" s="7" t="s">
        <v>4008</v>
      </c>
      <c r="C4000" s="7" t="s">
        <v>6870</v>
      </c>
      <c r="D4000" s="7" t="s">
        <v>6871</v>
      </c>
      <c r="E4000" s="7" t="s">
        <v>6295</v>
      </c>
      <c r="F4000" s="7" t="s">
        <v>6373</v>
      </c>
      <c r="G4000" s="7" t="s">
        <v>7150</v>
      </c>
      <c r="H4000" s="7" t="s">
        <v>7156</v>
      </c>
      <c r="I4000" s="7"/>
      <c r="J4000" s="10">
        <v>45454</v>
      </c>
      <c r="K4000" s="7" t="s">
        <v>7163</v>
      </c>
      <c r="L4000" s="7"/>
      <c r="M4000" s="7"/>
    </row>
    <row r="4001" spans="1:13" x14ac:dyDescent="0.3">
      <c r="A4001" s="7">
        <v>17042</v>
      </c>
      <c r="B4001" s="7" t="s">
        <v>4009</v>
      </c>
      <c r="C4001" s="7" t="s">
        <v>6870</v>
      </c>
      <c r="D4001" s="7" t="s">
        <v>6871</v>
      </c>
      <c r="E4001" s="7" t="s">
        <v>6295</v>
      </c>
      <c r="F4001" s="7" t="s">
        <v>6373</v>
      </c>
      <c r="G4001" s="7" t="s">
        <v>7150</v>
      </c>
      <c r="H4001" s="7" t="s">
        <v>7156</v>
      </c>
      <c r="I4001" s="7"/>
      <c r="J4001" s="10">
        <v>45600</v>
      </c>
      <c r="K4001" s="7" t="s">
        <v>7163</v>
      </c>
      <c r="L4001" s="7"/>
      <c r="M4001" s="7"/>
    </row>
    <row r="4002" spans="1:13" x14ac:dyDescent="0.3">
      <c r="A4002" s="7">
        <v>17105</v>
      </c>
      <c r="B4002" s="7" t="s">
        <v>4010</v>
      </c>
      <c r="C4002" s="7" t="s">
        <v>6870</v>
      </c>
      <c r="D4002" s="7" t="s">
        <v>6871</v>
      </c>
      <c r="E4002" s="7" t="s">
        <v>6295</v>
      </c>
      <c r="F4002" s="7" t="s">
        <v>6385</v>
      </c>
      <c r="G4002" s="7" t="s">
        <v>7150</v>
      </c>
      <c r="H4002" s="7" t="s">
        <v>7156</v>
      </c>
      <c r="I4002" s="7"/>
      <c r="J4002" s="10">
        <v>45630</v>
      </c>
      <c r="K4002" s="7" t="s">
        <v>7163</v>
      </c>
      <c r="L4002" s="7"/>
      <c r="M4002" s="7"/>
    </row>
    <row r="4003" spans="1:13" x14ac:dyDescent="0.3">
      <c r="A4003" s="7">
        <v>17305</v>
      </c>
      <c r="B4003" s="7" t="s">
        <v>4011</v>
      </c>
      <c r="C4003" s="7" t="s">
        <v>6870</v>
      </c>
      <c r="D4003" s="7" t="s">
        <v>6871</v>
      </c>
      <c r="E4003" s="7" t="s">
        <v>6295</v>
      </c>
      <c r="F4003" s="7" t="s">
        <v>6385</v>
      </c>
      <c r="G4003" s="7" t="s">
        <v>7150</v>
      </c>
      <c r="H4003" s="7" t="s">
        <v>7156</v>
      </c>
      <c r="I4003" s="7"/>
      <c r="J4003" s="10">
        <v>45700</v>
      </c>
      <c r="K4003" s="7" t="s">
        <v>7163</v>
      </c>
      <c r="L4003" s="7"/>
      <c r="M4003" s="7"/>
    </row>
    <row r="4004" spans="1:13" x14ac:dyDescent="0.3">
      <c r="A4004" s="7">
        <v>17591</v>
      </c>
      <c r="B4004" s="7" t="s">
        <v>4012</v>
      </c>
      <c r="C4004" s="7" t="s">
        <v>6870</v>
      </c>
      <c r="D4004" s="7" t="s">
        <v>6871</v>
      </c>
      <c r="E4004" s="7" t="s">
        <v>6295</v>
      </c>
      <c r="F4004" s="7" t="s">
        <v>6385</v>
      </c>
      <c r="G4004" s="7" t="s">
        <v>7150</v>
      </c>
      <c r="H4004" s="7" t="s">
        <v>7156</v>
      </c>
      <c r="I4004" s="7"/>
      <c r="J4004" s="10">
        <v>45810</v>
      </c>
      <c r="K4004" s="7" t="s">
        <v>7163</v>
      </c>
      <c r="L4004" s="7"/>
      <c r="M4004" s="7"/>
    </row>
    <row r="4005" spans="1:13" x14ac:dyDescent="0.3">
      <c r="A4005" s="7">
        <v>18955</v>
      </c>
      <c r="B4005" s="7" t="s">
        <v>4013</v>
      </c>
      <c r="C4005" s="7" t="s">
        <v>6870</v>
      </c>
      <c r="D4005" s="7" t="s">
        <v>6871</v>
      </c>
      <c r="E4005" s="7" t="s">
        <v>6295</v>
      </c>
      <c r="F4005" s="7" t="s">
        <v>6385</v>
      </c>
      <c r="G4005" s="7" t="s">
        <v>7150</v>
      </c>
      <c r="H4005" s="7" t="s">
        <v>7156</v>
      </c>
      <c r="I4005" s="7"/>
      <c r="J4005" s="10">
        <v>46247</v>
      </c>
      <c r="K4005" s="7" t="s">
        <v>7163</v>
      </c>
      <c r="L4005" s="7"/>
      <c r="M4005" s="7"/>
    </row>
    <row r="4006" spans="1:13" x14ac:dyDescent="0.3">
      <c r="A4006" s="7">
        <v>17618</v>
      </c>
      <c r="B4006" s="7" t="s">
        <v>4014</v>
      </c>
      <c r="C4006" s="7" t="s">
        <v>6870</v>
      </c>
      <c r="D4006" s="7" t="s">
        <v>6871</v>
      </c>
      <c r="E4006" s="7" t="s">
        <v>6295</v>
      </c>
      <c r="F4006" s="7" t="s">
        <v>6385</v>
      </c>
      <c r="G4006" s="7" t="s">
        <v>7150</v>
      </c>
      <c r="H4006" s="7" t="s">
        <v>7156</v>
      </c>
      <c r="I4006" s="7"/>
      <c r="J4006" s="10">
        <v>45813</v>
      </c>
      <c r="K4006" s="7" t="s">
        <v>7163</v>
      </c>
      <c r="L4006" s="7"/>
      <c r="M4006" s="7"/>
    </row>
    <row r="4007" spans="1:13" x14ac:dyDescent="0.3">
      <c r="A4007" s="7">
        <v>17597</v>
      </c>
      <c r="B4007" s="7" t="s">
        <v>4015</v>
      </c>
      <c r="C4007" s="7" t="s">
        <v>6870</v>
      </c>
      <c r="D4007" s="7" t="s">
        <v>6871</v>
      </c>
      <c r="E4007" s="7" t="s">
        <v>6295</v>
      </c>
      <c r="F4007" s="7" t="s">
        <v>6385</v>
      </c>
      <c r="G4007" s="7" t="s">
        <v>7150</v>
      </c>
      <c r="H4007" s="7" t="s">
        <v>7156</v>
      </c>
      <c r="I4007" s="7"/>
      <c r="J4007" s="10">
        <v>45821</v>
      </c>
      <c r="K4007" s="7" t="s">
        <v>7163</v>
      </c>
      <c r="L4007" s="7"/>
      <c r="M4007" s="7"/>
    </row>
    <row r="4008" spans="1:13" x14ac:dyDescent="0.3">
      <c r="A4008" s="7">
        <v>18055</v>
      </c>
      <c r="B4008" s="7" t="s">
        <v>4016</v>
      </c>
      <c r="C4008" s="7" t="s">
        <v>6870</v>
      </c>
      <c r="D4008" s="7" t="s">
        <v>6871</v>
      </c>
      <c r="E4008" s="7" t="s">
        <v>6295</v>
      </c>
      <c r="F4008" s="7" t="s">
        <v>6385</v>
      </c>
      <c r="G4008" s="7" t="s">
        <v>7150</v>
      </c>
      <c r="H4008" s="7" t="s">
        <v>7156</v>
      </c>
      <c r="I4008" s="7"/>
      <c r="J4008" s="10">
        <v>45979</v>
      </c>
      <c r="K4008" s="7" t="s">
        <v>7163</v>
      </c>
      <c r="L4008" s="7"/>
      <c r="M4008" s="7"/>
    </row>
    <row r="4009" spans="1:13" x14ac:dyDescent="0.3">
      <c r="A4009" s="7">
        <v>18102</v>
      </c>
      <c r="B4009" s="7" t="s">
        <v>4017</v>
      </c>
      <c r="C4009" s="7" t="s">
        <v>6870</v>
      </c>
      <c r="D4009" s="7" t="s">
        <v>6871</v>
      </c>
      <c r="E4009" s="7" t="s">
        <v>6295</v>
      </c>
      <c r="F4009" s="7" t="s">
        <v>6385</v>
      </c>
      <c r="G4009" s="7" t="s">
        <v>7150</v>
      </c>
      <c r="H4009" s="7" t="s">
        <v>7156</v>
      </c>
      <c r="I4009" s="7"/>
      <c r="J4009" s="10">
        <v>45995</v>
      </c>
      <c r="K4009" s="7" t="s">
        <v>7163</v>
      </c>
      <c r="L4009" s="7"/>
      <c r="M4009" s="7"/>
    </row>
    <row r="4010" spans="1:13" x14ac:dyDescent="0.3">
      <c r="A4010" s="7">
        <v>18410</v>
      </c>
      <c r="B4010" s="7" t="s">
        <v>625</v>
      </c>
      <c r="C4010" s="7" t="s">
        <v>6870</v>
      </c>
      <c r="D4010" s="7" t="s">
        <v>6871</v>
      </c>
      <c r="E4010" s="7" t="s">
        <v>6295</v>
      </c>
      <c r="F4010" s="7" t="s">
        <v>6385</v>
      </c>
      <c r="G4010" s="7" t="s">
        <v>7150</v>
      </c>
      <c r="H4010" s="7" t="s">
        <v>7156</v>
      </c>
      <c r="I4010" s="7"/>
      <c r="J4010" s="10">
        <v>46125</v>
      </c>
      <c r="K4010" s="7" t="s">
        <v>7163</v>
      </c>
      <c r="L4010" s="7"/>
      <c r="M4010" s="7"/>
    </row>
    <row r="4011" spans="1:13" x14ac:dyDescent="0.3">
      <c r="A4011" s="7">
        <v>18782</v>
      </c>
      <c r="B4011" s="7" t="s">
        <v>4018</v>
      </c>
      <c r="C4011" s="7" t="s">
        <v>6870</v>
      </c>
      <c r="D4011" s="7" t="s">
        <v>6871</v>
      </c>
      <c r="E4011" s="7" t="s">
        <v>6295</v>
      </c>
      <c r="F4011" s="7" t="s">
        <v>6385</v>
      </c>
      <c r="G4011" s="7" t="s">
        <v>7150</v>
      </c>
      <c r="H4011" s="7" t="s">
        <v>7156</v>
      </c>
      <c r="I4011" s="7"/>
      <c r="J4011" s="10">
        <v>46211</v>
      </c>
      <c r="K4011" s="7" t="s">
        <v>7163</v>
      </c>
      <c r="L4011" s="7"/>
      <c r="M4011" s="7"/>
    </row>
    <row r="4012" spans="1:13" x14ac:dyDescent="0.3">
      <c r="A4012" s="7">
        <v>12436</v>
      </c>
      <c r="B4012" s="7" t="s">
        <v>4019</v>
      </c>
      <c r="C4012" s="7" t="s">
        <v>6870</v>
      </c>
      <c r="D4012" s="7" t="s">
        <v>6871</v>
      </c>
      <c r="E4012" s="7" t="s">
        <v>6295</v>
      </c>
      <c r="F4012" s="7" t="s">
        <v>6872</v>
      </c>
      <c r="G4012" s="7" t="s">
        <v>7150</v>
      </c>
      <c r="H4012" s="7" t="s">
        <v>7156</v>
      </c>
      <c r="I4012" s="7"/>
      <c r="J4012" s="10">
        <v>43755</v>
      </c>
      <c r="K4012" s="7" t="s">
        <v>7163</v>
      </c>
      <c r="L4012" s="7"/>
      <c r="M4012" s="7"/>
    </row>
    <row r="4013" spans="1:13" x14ac:dyDescent="0.3">
      <c r="A4013" s="7">
        <v>11114</v>
      </c>
      <c r="B4013" s="7" t="s">
        <v>4020</v>
      </c>
      <c r="C4013" s="7" t="s">
        <v>6870</v>
      </c>
      <c r="D4013" s="7" t="s">
        <v>6873</v>
      </c>
      <c r="E4013" s="7" t="s">
        <v>6295</v>
      </c>
      <c r="F4013" s="7" t="s">
        <v>6338</v>
      </c>
      <c r="G4013" s="7" t="s">
        <v>7150</v>
      </c>
      <c r="H4013" s="7" t="s">
        <v>7156</v>
      </c>
      <c r="I4013" s="7"/>
      <c r="J4013" s="10">
        <v>42282</v>
      </c>
      <c r="K4013" s="7" t="s">
        <v>7163</v>
      </c>
      <c r="L4013" s="7"/>
      <c r="M4013" s="7"/>
    </row>
    <row r="4014" spans="1:13" x14ac:dyDescent="0.3">
      <c r="A4014" s="7">
        <v>10973</v>
      </c>
      <c r="B4014" s="7" t="s">
        <v>4021</v>
      </c>
      <c r="C4014" s="7" t="s">
        <v>6870</v>
      </c>
      <c r="D4014" s="7" t="s">
        <v>6873</v>
      </c>
      <c r="E4014" s="7" t="s">
        <v>6295</v>
      </c>
      <c r="F4014" s="7" t="s">
        <v>6335</v>
      </c>
      <c r="G4014" s="7" t="s">
        <v>7150</v>
      </c>
      <c r="H4014" s="7" t="s">
        <v>7156</v>
      </c>
      <c r="I4014" s="7"/>
      <c r="J4014" s="10">
        <v>42229</v>
      </c>
      <c r="K4014" s="7" t="s">
        <v>7163</v>
      </c>
      <c r="L4014" s="7"/>
      <c r="M4014" s="7"/>
    </row>
    <row r="4015" spans="1:13" x14ac:dyDescent="0.3">
      <c r="A4015" s="7">
        <v>10702</v>
      </c>
      <c r="B4015" s="7" t="s">
        <v>4022</v>
      </c>
      <c r="C4015" s="7" t="s">
        <v>6870</v>
      </c>
      <c r="D4015" s="7" t="s">
        <v>6873</v>
      </c>
      <c r="E4015" s="7" t="s">
        <v>6295</v>
      </c>
      <c r="F4015" s="7" t="s">
        <v>6335</v>
      </c>
      <c r="G4015" s="7" t="s">
        <v>7150</v>
      </c>
      <c r="H4015" s="7" t="s">
        <v>7156</v>
      </c>
      <c r="I4015" s="7"/>
      <c r="J4015" s="10">
        <v>41687</v>
      </c>
      <c r="K4015" s="7" t="s">
        <v>7163</v>
      </c>
      <c r="L4015" s="7"/>
      <c r="M4015" s="7"/>
    </row>
    <row r="4016" spans="1:13" x14ac:dyDescent="0.3">
      <c r="A4016" s="7">
        <v>14043</v>
      </c>
      <c r="B4016" s="7" t="s">
        <v>4023</v>
      </c>
      <c r="C4016" s="7" t="s">
        <v>6870</v>
      </c>
      <c r="D4016" s="7" t="s">
        <v>6873</v>
      </c>
      <c r="E4016" s="7" t="s">
        <v>6295</v>
      </c>
      <c r="F4016" s="7" t="s">
        <v>6377</v>
      </c>
      <c r="G4016" s="7" t="s">
        <v>7150</v>
      </c>
      <c r="H4016" s="7" t="s">
        <v>7156</v>
      </c>
      <c r="I4016" s="7"/>
      <c r="J4016" s="10">
        <v>44634</v>
      </c>
      <c r="K4016" s="7" t="s">
        <v>7163</v>
      </c>
      <c r="L4016" s="7"/>
      <c r="M4016" s="7"/>
    </row>
    <row r="4017" spans="1:13" x14ac:dyDescent="0.3">
      <c r="A4017" s="7">
        <v>18582</v>
      </c>
      <c r="B4017" s="7" t="s">
        <v>4024</v>
      </c>
      <c r="C4017" s="7" t="s">
        <v>6870</v>
      </c>
      <c r="D4017" s="7" t="s">
        <v>6873</v>
      </c>
      <c r="E4017" s="7" t="s">
        <v>6295</v>
      </c>
      <c r="F4017" s="7" t="s">
        <v>6385</v>
      </c>
      <c r="G4017" s="7" t="s">
        <v>7150</v>
      </c>
      <c r="H4017" s="7" t="s">
        <v>7156</v>
      </c>
      <c r="I4017" s="7"/>
      <c r="J4017" s="10">
        <v>46160</v>
      </c>
      <c r="K4017" s="7" t="s">
        <v>7163</v>
      </c>
      <c r="L4017" s="7"/>
      <c r="M4017" s="7"/>
    </row>
    <row r="4018" spans="1:13" x14ac:dyDescent="0.3">
      <c r="A4018" s="7">
        <v>10619</v>
      </c>
      <c r="B4018" s="7" t="s">
        <v>4025</v>
      </c>
      <c r="C4018" s="7" t="s">
        <v>6870</v>
      </c>
      <c r="D4018" s="7" t="s">
        <v>6874</v>
      </c>
      <c r="E4018" s="7" t="s">
        <v>6295</v>
      </c>
      <c r="F4018" s="7" t="s">
        <v>6338</v>
      </c>
      <c r="G4018" s="7" t="s">
        <v>7150</v>
      </c>
      <c r="H4018" s="7" t="s">
        <v>7156</v>
      </c>
      <c r="I4018" s="7"/>
      <c r="J4018" s="10">
        <v>41507</v>
      </c>
      <c r="K4018" s="7" t="s">
        <v>7163</v>
      </c>
      <c r="L4018" s="7"/>
      <c r="M4018" s="7"/>
    </row>
    <row r="4019" spans="1:13" x14ac:dyDescent="0.3">
      <c r="A4019" s="7">
        <v>10510</v>
      </c>
      <c r="B4019" s="7" t="s">
        <v>4026</v>
      </c>
      <c r="C4019" s="7" t="s">
        <v>6870</v>
      </c>
      <c r="D4019" s="7" t="s">
        <v>6874</v>
      </c>
      <c r="E4019" s="7" t="s">
        <v>6295</v>
      </c>
      <c r="F4019" s="7" t="s">
        <v>6335</v>
      </c>
      <c r="G4019" s="7" t="s">
        <v>7150</v>
      </c>
      <c r="H4019" s="7" t="s">
        <v>7156</v>
      </c>
      <c r="I4019" s="7"/>
      <c r="J4019" s="10">
        <v>40998</v>
      </c>
      <c r="K4019" s="7" t="s">
        <v>7163</v>
      </c>
      <c r="L4019" s="7"/>
      <c r="M4019" s="7"/>
    </row>
    <row r="4020" spans="1:13" x14ac:dyDescent="0.3">
      <c r="A4020" s="7">
        <v>14928</v>
      </c>
      <c r="B4020" s="7" t="s">
        <v>4027</v>
      </c>
      <c r="C4020" s="7" t="s">
        <v>6870</v>
      </c>
      <c r="D4020" s="7" t="s">
        <v>6874</v>
      </c>
      <c r="E4020" s="7" t="s">
        <v>6295</v>
      </c>
      <c r="F4020" s="7" t="s">
        <v>6373</v>
      </c>
      <c r="G4020" s="7" t="s">
        <v>7150</v>
      </c>
      <c r="H4020" s="7" t="s">
        <v>7156</v>
      </c>
      <c r="I4020" s="7"/>
      <c r="J4020" s="10">
        <v>44907</v>
      </c>
      <c r="K4020" s="7" t="s">
        <v>7163</v>
      </c>
      <c r="L4020" s="7"/>
      <c r="M4020" s="7"/>
    </row>
    <row r="4021" spans="1:13" x14ac:dyDescent="0.3">
      <c r="A4021" s="7">
        <v>15045</v>
      </c>
      <c r="B4021" s="7" t="s">
        <v>4028</v>
      </c>
      <c r="C4021" s="7" t="s">
        <v>6870</v>
      </c>
      <c r="D4021" s="7" t="s">
        <v>6874</v>
      </c>
      <c r="E4021" s="7" t="s">
        <v>6295</v>
      </c>
      <c r="F4021" s="7" t="s">
        <v>6385</v>
      </c>
      <c r="G4021" s="7" t="s">
        <v>7150</v>
      </c>
      <c r="H4021" s="7" t="s">
        <v>7156</v>
      </c>
      <c r="I4021" s="7"/>
      <c r="J4021" s="10">
        <v>44936</v>
      </c>
      <c r="K4021" s="7" t="s">
        <v>7163</v>
      </c>
      <c r="L4021" s="7"/>
      <c r="M4021" s="7"/>
    </row>
    <row r="4022" spans="1:13" x14ac:dyDescent="0.3">
      <c r="A4022" s="7">
        <v>17589</v>
      </c>
      <c r="B4022" s="7" t="s">
        <v>4029</v>
      </c>
      <c r="C4022" s="7" t="s">
        <v>6870</v>
      </c>
      <c r="D4022" s="7" t="s">
        <v>6874</v>
      </c>
      <c r="E4022" s="7" t="s">
        <v>6295</v>
      </c>
      <c r="F4022" s="7" t="s">
        <v>6341</v>
      </c>
      <c r="G4022" s="7" t="s">
        <v>7150</v>
      </c>
      <c r="H4022" s="7" t="s">
        <v>7156</v>
      </c>
      <c r="I4022" s="7"/>
      <c r="J4022" s="10">
        <v>45810</v>
      </c>
      <c r="K4022" s="7" t="s">
        <v>7163</v>
      </c>
      <c r="L4022" s="7"/>
      <c r="M4022" s="7"/>
    </row>
    <row r="4023" spans="1:13" x14ac:dyDescent="0.3">
      <c r="A4023" s="7">
        <v>10908</v>
      </c>
      <c r="B4023" s="7" t="s">
        <v>4030</v>
      </c>
      <c r="C4023" s="7" t="s">
        <v>6870</v>
      </c>
      <c r="D4023" s="7" t="s">
        <v>6875</v>
      </c>
      <c r="E4023" s="7" t="s">
        <v>6295</v>
      </c>
      <c r="F4023" s="7" t="s">
        <v>6338</v>
      </c>
      <c r="G4023" s="7" t="s">
        <v>7150</v>
      </c>
      <c r="H4023" s="7" t="s">
        <v>7156</v>
      </c>
      <c r="I4023" s="7"/>
      <c r="J4023" s="10">
        <v>42102</v>
      </c>
      <c r="K4023" s="7" t="s">
        <v>7163</v>
      </c>
      <c r="L4023" s="7"/>
      <c r="M4023" s="7"/>
    </row>
    <row r="4024" spans="1:13" x14ac:dyDescent="0.3">
      <c r="A4024" s="7">
        <v>10825</v>
      </c>
      <c r="B4024" s="7" t="s">
        <v>4031</v>
      </c>
      <c r="C4024" s="7" t="s">
        <v>6870</v>
      </c>
      <c r="D4024" s="7" t="s">
        <v>6875</v>
      </c>
      <c r="E4024" s="7" t="s">
        <v>6295</v>
      </c>
      <c r="F4024" s="7" t="s">
        <v>6335</v>
      </c>
      <c r="G4024" s="7" t="s">
        <v>7150</v>
      </c>
      <c r="H4024" s="7" t="s">
        <v>7156</v>
      </c>
      <c r="I4024" s="7"/>
      <c r="J4024" s="10">
        <v>41968</v>
      </c>
      <c r="K4024" s="7" t="s">
        <v>7163</v>
      </c>
      <c r="L4024" s="7"/>
      <c r="M4024" s="7"/>
    </row>
    <row r="4025" spans="1:13" x14ac:dyDescent="0.3">
      <c r="A4025" s="7">
        <v>14692</v>
      </c>
      <c r="B4025" s="7" t="s">
        <v>4032</v>
      </c>
      <c r="C4025" s="7" t="s">
        <v>6870</v>
      </c>
      <c r="D4025" s="7" t="s">
        <v>6875</v>
      </c>
      <c r="E4025" s="7" t="s">
        <v>6295</v>
      </c>
      <c r="F4025" s="7" t="s">
        <v>6340</v>
      </c>
      <c r="G4025" s="7" t="s">
        <v>7150</v>
      </c>
      <c r="H4025" s="7" t="s">
        <v>7156</v>
      </c>
      <c r="I4025" s="7"/>
      <c r="J4025" s="10">
        <v>44827</v>
      </c>
      <c r="K4025" s="7" t="s">
        <v>7163</v>
      </c>
      <c r="L4025" s="7"/>
      <c r="M4025" s="7"/>
    </row>
    <row r="4026" spans="1:13" x14ac:dyDescent="0.3">
      <c r="A4026" s="7">
        <v>10411</v>
      </c>
      <c r="B4026" s="7" t="s">
        <v>4033</v>
      </c>
      <c r="C4026" s="7" t="s">
        <v>6876</v>
      </c>
      <c r="D4026" s="7" t="s">
        <v>6295</v>
      </c>
      <c r="E4026" s="7" t="s">
        <v>6295</v>
      </c>
      <c r="F4026" s="7" t="s">
        <v>6356</v>
      </c>
      <c r="G4026" s="7" t="s">
        <v>7150</v>
      </c>
      <c r="H4026" s="7" t="s">
        <v>7156</v>
      </c>
      <c r="I4026" s="7"/>
      <c r="J4026" s="10">
        <v>40094</v>
      </c>
      <c r="K4026" s="7" t="s">
        <v>7163</v>
      </c>
      <c r="L4026" s="7"/>
      <c r="M4026" s="7"/>
    </row>
    <row r="4027" spans="1:13" x14ac:dyDescent="0.3">
      <c r="A4027" s="7">
        <v>11922</v>
      </c>
      <c r="B4027" s="7" t="s">
        <v>4034</v>
      </c>
      <c r="C4027" s="7" t="s">
        <v>6876</v>
      </c>
      <c r="D4027" s="7" t="s">
        <v>6877</v>
      </c>
      <c r="E4027" s="7" t="s">
        <v>6295</v>
      </c>
      <c r="F4027" s="7" t="s">
        <v>6335</v>
      </c>
      <c r="G4027" s="7" t="s">
        <v>7150</v>
      </c>
      <c r="H4027" s="7" t="s">
        <v>7156</v>
      </c>
      <c r="I4027" s="7"/>
      <c r="J4027" s="10">
        <v>43290</v>
      </c>
      <c r="K4027" s="7" t="s">
        <v>7163</v>
      </c>
      <c r="L4027" s="7"/>
      <c r="M4027" s="7"/>
    </row>
    <row r="4028" spans="1:13" x14ac:dyDescent="0.3">
      <c r="A4028" s="7">
        <v>10645</v>
      </c>
      <c r="B4028" s="7" t="s">
        <v>4035</v>
      </c>
      <c r="C4028" s="7" t="s">
        <v>6876</v>
      </c>
      <c r="D4028" s="7" t="s">
        <v>6877</v>
      </c>
      <c r="E4028" s="7" t="s">
        <v>6295</v>
      </c>
      <c r="F4028" s="7" t="s">
        <v>6353</v>
      </c>
      <c r="G4028" s="7" t="s">
        <v>7150</v>
      </c>
      <c r="H4028" s="7" t="s">
        <v>7156</v>
      </c>
      <c r="I4028" s="7"/>
      <c r="J4028" s="10">
        <v>41579</v>
      </c>
      <c r="K4028" s="7" t="s">
        <v>7163</v>
      </c>
      <c r="L4028" s="7"/>
      <c r="M4028" s="7"/>
    </row>
    <row r="4029" spans="1:13" x14ac:dyDescent="0.3">
      <c r="A4029" s="7">
        <v>16472</v>
      </c>
      <c r="B4029" s="7" t="s">
        <v>4036</v>
      </c>
      <c r="C4029" s="7" t="s">
        <v>6876</v>
      </c>
      <c r="D4029" s="7" t="s">
        <v>6877</v>
      </c>
      <c r="E4029" s="7" t="s">
        <v>6295</v>
      </c>
      <c r="F4029" s="7" t="s">
        <v>6353</v>
      </c>
      <c r="G4029" s="7" t="s">
        <v>7150</v>
      </c>
      <c r="H4029" s="7" t="s">
        <v>7156</v>
      </c>
      <c r="I4029" s="7"/>
      <c r="J4029" s="10">
        <v>45422</v>
      </c>
      <c r="K4029" s="7" t="s">
        <v>7163</v>
      </c>
      <c r="L4029" s="7"/>
      <c r="M4029" s="7"/>
    </row>
    <row r="4030" spans="1:13" x14ac:dyDescent="0.3">
      <c r="A4030" s="7">
        <v>12873</v>
      </c>
      <c r="B4030" s="7" t="s">
        <v>4037</v>
      </c>
      <c r="C4030" s="7" t="s">
        <v>6876</v>
      </c>
      <c r="D4030" s="7" t="s">
        <v>6877</v>
      </c>
      <c r="E4030" s="7" t="s">
        <v>6295</v>
      </c>
      <c r="F4030" s="7" t="s">
        <v>6353</v>
      </c>
      <c r="G4030" s="7" t="s">
        <v>7150</v>
      </c>
      <c r="H4030" s="7" t="s">
        <v>7156</v>
      </c>
      <c r="I4030" s="7"/>
      <c r="J4030" s="10">
        <v>44068</v>
      </c>
      <c r="K4030" s="7" t="s">
        <v>7163</v>
      </c>
      <c r="L4030" s="7"/>
      <c r="M4030" s="7"/>
    </row>
    <row r="4031" spans="1:13" x14ac:dyDescent="0.3">
      <c r="A4031" s="7">
        <v>11160</v>
      </c>
      <c r="B4031" s="7" t="s">
        <v>4038</v>
      </c>
      <c r="C4031" s="7" t="s">
        <v>6876</v>
      </c>
      <c r="D4031" s="7" t="s">
        <v>6877</v>
      </c>
      <c r="E4031" s="7" t="s">
        <v>6295</v>
      </c>
      <c r="F4031" s="7" t="s">
        <v>6353</v>
      </c>
      <c r="G4031" s="7" t="s">
        <v>7150</v>
      </c>
      <c r="H4031" s="7" t="s">
        <v>7156</v>
      </c>
      <c r="I4031" s="7"/>
      <c r="J4031" s="10">
        <v>42334</v>
      </c>
      <c r="K4031" s="7" t="s">
        <v>7163</v>
      </c>
      <c r="L4031" s="7"/>
      <c r="M4031" s="7"/>
    </row>
    <row r="4032" spans="1:13" x14ac:dyDescent="0.3">
      <c r="A4032" s="7">
        <v>11103</v>
      </c>
      <c r="B4032" s="7" t="s">
        <v>4039</v>
      </c>
      <c r="C4032" s="7" t="s">
        <v>6876</v>
      </c>
      <c r="D4032" s="7" t="s">
        <v>6877</v>
      </c>
      <c r="E4032" s="7" t="s">
        <v>6295</v>
      </c>
      <c r="F4032" s="7" t="s">
        <v>6353</v>
      </c>
      <c r="G4032" s="7" t="s">
        <v>7150</v>
      </c>
      <c r="H4032" s="7" t="s">
        <v>7156</v>
      </c>
      <c r="I4032" s="7"/>
      <c r="J4032" s="10">
        <v>42268</v>
      </c>
      <c r="K4032" s="7" t="s">
        <v>7163</v>
      </c>
      <c r="L4032" s="7"/>
      <c r="M4032" s="7"/>
    </row>
    <row r="4033" spans="1:13" x14ac:dyDescent="0.3">
      <c r="A4033" s="7">
        <v>11264</v>
      </c>
      <c r="B4033" s="7" t="s">
        <v>4040</v>
      </c>
      <c r="C4033" s="7" t="s">
        <v>6876</v>
      </c>
      <c r="D4033" s="7" t="s">
        <v>6877</v>
      </c>
      <c r="E4033" s="7" t="s">
        <v>6295</v>
      </c>
      <c r="F4033" s="7" t="s">
        <v>6340</v>
      </c>
      <c r="G4033" s="7" t="s">
        <v>7150</v>
      </c>
      <c r="H4033" s="7" t="s">
        <v>7156</v>
      </c>
      <c r="I4033" s="7"/>
      <c r="J4033" s="10">
        <v>42471</v>
      </c>
      <c r="K4033" s="7" t="s">
        <v>7163</v>
      </c>
      <c r="L4033" s="7"/>
      <c r="M4033" s="7"/>
    </row>
    <row r="4034" spans="1:13" x14ac:dyDescent="0.3">
      <c r="A4034" s="7">
        <v>15301</v>
      </c>
      <c r="B4034" s="7" t="s">
        <v>4041</v>
      </c>
      <c r="C4034" s="7" t="s">
        <v>6876</v>
      </c>
      <c r="D4034" s="7" t="s">
        <v>6877</v>
      </c>
      <c r="E4034" s="7" t="s">
        <v>6295</v>
      </c>
      <c r="F4034" s="7" t="s">
        <v>6340</v>
      </c>
      <c r="G4034" s="7" t="s">
        <v>7150</v>
      </c>
      <c r="H4034" s="7" t="s">
        <v>7156</v>
      </c>
      <c r="I4034" s="7"/>
      <c r="J4034" s="10">
        <v>45019</v>
      </c>
      <c r="K4034" s="7" t="s">
        <v>7163</v>
      </c>
      <c r="L4034" s="7"/>
      <c r="M4034" s="7"/>
    </row>
    <row r="4035" spans="1:13" x14ac:dyDescent="0.3">
      <c r="A4035" s="7">
        <v>16998</v>
      </c>
      <c r="B4035" s="7" t="s">
        <v>4042</v>
      </c>
      <c r="C4035" s="7" t="s">
        <v>6876</v>
      </c>
      <c r="D4035" s="7" t="s">
        <v>6877</v>
      </c>
      <c r="E4035" s="7" t="s">
        <v>6295</v>
      </c>
      <c r="F4035" s="7" t="s">
        <v>6340</v>
      </c>
      <c r="G4035" s="7" t="s">
        <v>7150</v>
      </c>
      <c r="H4035" s="7" t="s">
        <v>7156</v>
      </c>
      <c r="I4035" s="7"/>
      <c r="J4035" s="10">
        <v>45590</v>
      </c>
      <c r="K4035" s="7" t="s">
        <v>7163</v>
      </c>
      <c r="L4035" s="7"/>
      <c r="M4035" s="7"/>
    </row>
    <row r="4036" spans="1:13" x14ac:dyDescent="0.3">
      <c r="A4036" s="7">
        <v>16553</v>
      </c>
      <c r="B4036" s="7" t="s">
        <v>4043</v>
      </c>
      <c r="C4036" s="7" t="s">
        <v>6876</v>
      </c>
      <c r="D4036" s="7" t="s">
        <v>6877</v>
      </c>
      <c r="E4036" s="7" t="s">
        <v>6295</v>
      </c>
      <c r="F4036" s="7" t="s">
        <v>6341</v>
      </c>
      <c r="G4036" s="7" t="s">
        <v>7150</v>
      </c>
      <c r="H4036" s="7" t="s">
        <v>7156</v>
      </c>
      <c r="I4036" s="7"/>
      <c r="J4036" s="10">
        <v>45495</v>
      </c>
      <c r="K4036" s="7" t="s">
        <v>7163</v>
      </c>
      <c r="L4036" s="7"/>
      <c r="M4036" s="7"/>
    </row>
    <row r="4037" spans="1:13" x14ac:dyDescent="0.3">
      <c r="A4037" s="7">
        <v>18295</v>
      </c>
      <c r="B4037" s="7" t="s">
        <v>4044</v>
      </c>
      <c r="C4037" s="7" t="s">
        <v>6876</v>
      </c>
      <c r="D4037" s="7" t="s">
        <v>6877</v>
      </c>
      <c r="E4037" s="7" t="s">
        <v>6295</v>
      </c>
      <c r="F4037" s="7" t="s">
        <v>6341</v>
      </c>
      <c r="G4037" s="7" t="s">
        <v>7150</v>
      </c>
      <c r="H4037" s="7" t="s">
        <v>7156</v>
      </c>
      <c r="I4037" s="7"/>
      <c r="J4037" s="10">
        <v>46086</v>
      </c>
      <c r="K4037" s="7" t="s">
        <v>7163</v>
      </c>
      <c r="L4037" s="7"/>
      <c r="M4037" s="7"/>
    </row>
    <row r="4038" spans="1:13" x14ac:dyDescent="0.3">
      <c r="A4038" s="7">
        <v>17103</v>
      </c>
      <c r="B4038" s="7" t="s">
        <v>4045</v>
      </c>
      <c r="C4038" s="7" t="s">
        <v>6876</v>
      </c>
      <c r="D4038" s="7" t="s">
        <v>6877</v>
      </c>
      <c r="E4038" s="7" t="s">
        <v>6295</v>
      </c>
      <c r="F4038" s="7" t="s">
        <v>6341</v>
      </c>
      <c r="G4038" s="7" t="s">
        <v>7150</v>
      </c>
      <c r="H4038" s="7" t="s">
        <v>7156</v>
      </c>
      <c r="I4038" s="7"/>
      <c r="J4038" s="10">
        <v>45628</v>
      </c>
      <c r="K4038" s="7" t="s">
        <v>7163</v>
      </c>
      <c r="L4038" s="7"/>
      <c r="M4038" s="7"/>
    </row>
    <row r="4039" spans="1:13" x14ac:dyDescent="0.3">
      <c r="A4039" s="7">
        <v>17306</v>
      </c>
      <c r="B4039" s="7" t="s">
        <v>4046</v>
      </c>
      <c r="C4039" s="7" t="s">
        <v>6876</v>
      </c>
      <c r="D4039" s="7" t="s">
        <v>6877</v>
      </c>
      <c r="E4039" s="7" t="s">
        <v>6295</v>
      </c>
      <c r="F4039" s="7" t="s">
        <v>6340</v>
      </c>
      <c r="G4039" s="7" t="s">
        <v>7150</v>
      </c>
      <c r="H4039" s="7" t="s">
        <v>7156</v>
      </c>
      <c r="I4039" s="7"/>
      <c r="J4039" s="10">
        <v>45700</v>
      </c>
      <c r="K4039" s="7" t="s">
        <v>7163</v>
      </c>
      <c r="L4039" s="7"/>
      <c r="M4039" s="7"/>
    </row>
    <row r="4040" spans="1:13" x14ac:dyDescent="0.3">
      <c r="A4040" s="7">
        <v>17554</v>
      </c>
      <c r="B4040" s="7" t="s">
        <v>4047</v>
      </c>
      <c r="C4040" s="7" t="s">
        <v>6876</v>
      </c>
      <c r="D4040" s="7" t="s">
        <v>6877</v>
      </c>
      <c r="E4040" s="7" t="s">
        <v>6295</v>
      </c>
      <c r="F4040" s="7" t="s">
        <v>6341</v>
      </c>
      <c r="G4040" s="7" t="s">
        <v>7150</v>
      </c>
      <c r="H4040" s="7" t="s">
        <v>7156</v>
      </c>
      <c r="I4040" s="7"/>
      <c r="J4040" s="10">
        <v>45791</v>
      </c>
      <c r="K4040" s="7" t="s">
        <v>7163</v>
      </c>
      <c r="L4040" s="7"/>
      <c r="M4040" s="7"/>
    </row>
    <row r="4041" spans="1:13" x14ac:dyDescent="0.3">
      <c r="A4041" s="7">
        <v>17648</v>
      </c>
      <c r="B4041" s="7" t="s">
        <v>4048</v>
      </c>
      <c r="C4041" s="7" t="s">
        <v>6876</v>
      </c>
      <c r="D4041" s="7" t="s">
        <v>6877</v>
      </c>
      <c r="E4041" s="7" t="s">
        <v>6295</v>
      </c>
      <c r="F4041" s="7" t="s">
        <v>6341</v>
      </c>
      <c r="G4041" s="7" t="s">
        <v>7150</v>
      </c>
      <c r="H4041" s="7" t="s">
        <v>7156</v>
      </c>
      <c r="I4041" s="7"/>
      <c r="J4041" s="10">
        <v>45828</v>
      </c>
      <c r="K4041" s="7" t="s">
        <v>7163</v>
      </c>
      <c r="L4041" s="7"/>
      <c r="M4041" s="7"/>
    </row>
    <row r="4042" spans="1:13" x14ac:dyDescent="0.3">
      <c r="A4042" s="7">
        <v>17670</v>
      </c>
      <c r="B4042" s="7" t="s">
        <v>4049</v>
      </c>
      <c r="C4042" s="7" t="s">
        <v>6876</v>
      </c>
      <c r="D4042" s="7" t="s">
        <v>6877</v>
      </c>
      <c r="E4042" s="7" t="s">
        <v>6295</v>
      </c>
      <c r="F4042" s="7" t="s">
        <v>6341</v>
      </c>
      <c r="G4042" s="7" t="s">
        <v>7150</v>
      </c>
      <c r="H4042" s="7" t="s">
        <v>7156</v>
      </c>
      <c r="I4042" s="7"/>
      <c r="J4042" s="10">
        <v>45840</v>
      </c>
      <c r="K4042" s="7" t="s">
        <v>7163</v>
      </c>
      <c r="L4042" s="7"/>
      <c r="M4042" s="7"/>
    </row>
    <row r="4043" spans="1:13" x14ac:dyDescent="0.3">
      <c r="A4043" s="7">
        <v>18347</v>
      </c>
      <c r="B4043" s="7" t="s">
        <v>4050</v>
      </c>
      <c r="C4043" s="7" t="s">
        <v>6876</v>
      </c>
      <c r="D4043" s="7" t="s">
        <v>6877</v>
      </c>
      <c r="E4043" s="7" t="s">
        <v>6295</v>
      </c>
      <c r="F4043" s="7" t="s">
        <v>6348</v>
      </c>
      <c r="G4043" s="7" t="s">
        <v>7150</v>
      </c>
      <c r="H4043" s="7" t="s">
        <v>7156</v>
      </c>
      <c r="I4043" s="7"/>
      <c r="J4043" s="10">
        <v>46098</v>
      </c>
      <c r="K4043" s="7" t="s">
        <v>7163</v>
      </c>
      <c r="L4043" s="7"/>
      <c r="M4043" s="7"/>
    </row>
    <row r="4044" spans="1:13" x14ac:dyDescent="0.3">
      <c r="A4044" s="7">
        <v>10697</v>
      </c>
      <c r="B4044" s="7" t="s">
        <v>4051</v>
      </c>
      <c r="C4044" s="7" t="s">
        <v>6876</v>
      </c>
      <c r="D4044" s="7" t="s">
        <v>6878</v>
      </c>
      <c r="E4044" s="7" t="s">
        <v>6295</v>
      </c>
      <c r="F4044" s="7" t="s">
        <v>6338</v>
      </c>
      <c r="G4044" s="7" t="s">
        <v>7150</v>
      </c>
      <c r="H4044" s="7" t="s">
        <v>7156</v>
      </c>
      <c r="I4044" s="7"/>
      <c r="J4044" s="10">
        <v>41339</v>
      </c>
      <c r="K4044" s="7" t="s">
        <v>7163</v>
      </c>
      <c r="L4044" s="7"/>
      <c r="M4044" s="7"/>
    </row>
    <row r="4045" spans="1:13" x14ac:dyDescent="0.3">
      <c r="A4045" s="7">
        <v>10881</v>
      </c>
      <c r="B4045" s="7" t="s">
        <v>4052</v>
      </c>
      <c r="C4045" s="7" t="s">
        <v>6876</v>
      </c>
      <c r="D4045" s="7" t="s">
        <v>6878</v>
      </c>
      <c r="E4045" s="7" t="s">
        <v>6295</v>
      </c>
      <c r="F4045" s="7" t="s">
        <v>6335</v>
      </c>
      <c r="G4045" s="7" t="s">
        <v>7150</v>
      </c>
      <c r="H4045" s="7" t="s">
        <v>7156</v>
      </c>
      <c r="I4045" s="7"/>
      <c r="J4045" s="10">
        <v>42068</v>
      </c>
      <c r="K4045" s="7" t="s">
        <v>7163</v>
      </c>
      <c r="L4045" s="7"/>
      <c r="M4045" s="7"/>
    </row>
    <row r="4046" spans="1:13" x14ac:dyDescent="0.3">
      <c r="A4046" s="7">
        <v>12097</v>
      </c>
      <c r="B4046" s="7" t="s">
        <v>4053</v>
      </c>
      <c r="C4046" s="7" t="s">
        <v>6876</v>
      </c>
      <c r="D4046" s="7" t="s">
        <v>6878</v>
      </c>
      <c r="E4046" s="7" t="s">
        <v>6295</v>
      </c>
      <c r="F4046" s="7" t="s">
        <v>6335</v>
      </c>
      <c r="G4046" s="7" t="s">
        <v>7150</v>
      </c>
      <c r="H4046" s="7" t="s">
        <v>7156</v>
      </c>
      <c r="I4046" s="7"/>
      <c r="J4046" s="10">
        <v>43469</v>
      </c>
      <c r="K4046" s="7" t="s">
        <v>7163</v>
      </c>
      <c r="L4046" s="7"/>
      <c r="M4046" s="7"/>
    </row>
    <row r="4047" spans="1:13" x14ac:dyDescent="0.3">
      <c r="A4047" s="7">
        <v>10983</v>
      </c>
      <c r="B4047" s="7" t="s">
        <v>4054</v>
      </c>
      <c r="C4047" s="7" t="s">
        <v>6876</v>
      </c>
      <c r="D4047" s="7" t="s">
        <v>6878</v>
      </c>
      <c r="E4047" s="7" t="s">
        <v>6295</v>
      </c>
      <c r="F4047" s="7" t="s">
        <v>6353</v>
      </c>
      <c r="G4047" s="7" t="s">
        <v>7150</v>
      </c>
      <c r="H4047" s="7" t="s">
        <v>7156</v>
      </c>
      <c r="I4047" s="7"/>
      <c r="J4047" s="10">
        <v>42241</v>
      </c>
      <c r="K4047" s="7" t="s">
        <v>7163</v>
      </c>
      <c r="L4047" s="7"/>
      <c r="M4047" s="7"/>
    </row>
    <row r="4048" spans="1:13" x14ac:dyDescent="0.3">
      <c r="A4048" s="7">
        <v>10880</v>
      </c>
      <c r="B4048" s="7" t="s">
        <v>4055</v>
      </c>
      <c r="C4048" s="7" t="s">
        <v>6876</v>
      </c>
      <c r="D4048" s="7" t="s">
        <v>6878</v>
      </c>
      <c r="E4048" s="7" t="s">
        <v>6295</v>
      </c>
      <c r="F4048" s="7" t="s">
        <v>6353</v>
      </c>
      <c r="G4048" s="7" t="s">
        <v>7150</v>
      </c>
      <c r="H4048" s="7" t="s">
        <v>7156</v>
      </c>
      <c r="I4048" s="7"/>
      <c r="J4048" s="10">
        <v>42068</v>
      </c>
      <c r="K4048" s="7" t="s">
        <v>7163</v>
      </c>
      <c r="L4048" s="7"/>
      <c r="M4048" s="7"/>
    </row>
    <row r="4049" spans="1:13" x14ac:dyDescent="0.3">
      <c r="A4049" s="7">
        <v>13458</v>
      </c>
      <c r="B4049" s="7" t="s">
        <v>4056</v>
      </c>
      <c r="C4049" s="7" t="s">
        <v>6876</v>
      </c>
      <c r="D4049" s="7" t="s">
        <v>6878</v>
      </c>
      <c r="E4049" s="7" t="s">
        <v>6295</v>
      </c>
      <c r="F4049" s="7" t="s">
        <v>6353</v>
      </c>
      <c r="G4049" s="7" t="s">
        <v>7150</v>
      </c>
      <c r="H4049" s="7" t="s">
        <v>7156</v>
      </c>
      <c r="I4049" s="7"/>
      <c r="J4049" s="10">
        <v>44462</v>
      </c>
      <c r="K4049" s="7" t="s">
        <v>7163</v>
      </c>
      <c r="L4049" s="7"/>
      <c r="M4049" s="7"/>
    </row>
    <row r="4050" spans="1:13" x14ac:dyDescent="0.3">
      <c r="A4050" s="7">
        <v>12909</v>
      </c>
      <c r="B4050" s="7" t="s">
        <v>4057</v>
      </c>
      <c r="C4050" s="7" t="s">
        <v>6876</v>
      </c>
      <c r="D4050" s="7" t="s">
        <v>6878</v>
      </c>
      <c r="E4050" s="7" t="s">
        <v>6295</v>
      </c>
      <c r="F4050" s="7" t="s">
        <v>6340</v>
      </c>
      <c r="G4050" s="7" t="s">
        <v>7150</v>
      </c>
      <c r="H4050" s="7" t="s">
        <v>7156</v>
      </c>
      <c r="I4050" s="7"/>
      <c r="J4050" s="10">
        <v>44098</v>
      </c>
      <c r="K4050" s="7" t="s">
        <v>7163</v>
      </c>
      <c r="L4050" s="7"/>
      <c r="M4050" s="7"/>
    </row>
    <row r="4051" spans="1:13" x14ac:dyDescent="0.3">
      <c r="A4051" s="7">
        <v>14720</v>
      </c>
      <c r="B4051" s="7" t="s">
        <v>4058</v>
      </c>
      <c r="C4051" s="7" t="s">
        <v>6876</v>
      </c>
      <c r="D4051" s="7" t="s">
        <v>6878</v>
      </c>
      <c r="E4051" s="7" t="s">
        <v>6295</v>
      </c>
      <c r="F4051" s="7" t="s">
        <v>6441</v>
      </c>
      <c r="G4051" s="7" t="s">
        <v>7150</v>
      </c>
      <c r="H4051" s="7" t="s">
        <v>7156</v>
      </c>
      <c r="I4051" s="7"/>
      <c r="J4051" s="10">
        <v>44840</v>
      </c>
      <c r="K4051" s="7" t="s">
        <v>7163</v>
      </c>
      <c r="L4051" s="7"/>
      <c r="M4051" s="7"/>
    </row>
    <row r="4052" spans="1:13" x14ac:dyDescent="0.3">
      <c r="A4052" s="7">
        <v>13699</v>
      </c>
      <c r="B4052" s="7" t="s">
        <v>4059</v>
      </c>
      <c r="C4052" s="7" t="s">
        <v>6876</v>
      </c>
      <c r="D4052" s="7" t="s">
        <v>6878</v>
      </c>
      <c r="E4052" s="7" t="s">
        <v>6295</v>
      </c>
      <c r="F4052" s="7" t="s">
        <v>6340</v>
      </c>
      <c r="G4052" s="7" t="s">
        <v>7150</v>
      </c>
      <c r="H4052" s="7" t="s">
        <v>7156</v>
      </c>
      <c r="I4052" s="7"/>
      <c r="J4052" s="10">
        <v>44538</v>
      </c>
      <c r="K4052" s="7" t="s">
        <v>7163</v>
      </c>
      <c r="L4052" s="7"/>
      <c r="M4052" s="7"/>
    </row>
    <row r="4053" spans="1:13" x14ac:dyDescent="0.3">
      <c r="A4053" s="7">
        <v>14032</v>
      </c>
      <c r="B4053" s="7" t="s">
        <v>4060</v>
      </c>
      <c r="C4053" s="7" t="s">
        <v>6876</v>
      </c>
      <c r="D4053" s="7" t="s">
        <v>6878</v>
      </c>
      <c r="E4053" s="7" t="s">
        <v>6295</v>
      </c>
      <c r="F4053" s="7" t="s">
        <v>6340</v>
      </c>
      <c r="G4053" s="7" t="s">
        <v>7150</v>
      </c>
      <c r="H4053" s="7" t="s">
        <v>7156</v>
      </c>
      <c r="I4053" s="7"/>
      <c r="J4053" s="10">
        <v>44631</v>
      </c>
      <c r="K4053" s="7" t="s">
        <v>7163</v>
      </c>
      <c r="L4053" s="7"/>
      <c r="M4053" s="7"/>
    </row>
    <row r="4054" spans="1:13" x14ac:dyDescent="0.3">
      <c r="A4054" s="7">
        <v>14199</v>
      </c>
      <c r="B4054" s="7" t="s">
        <v>4061</v>
      </c>
      <c r="C4054" s="7" t="s">
        <v>6876</v>
      </c>
      <c r="D4054" s="7" t="s">
        <v>6878</v>
      </c>
      <c r="E4054" s="7" t="s">
        <v>6295</v>
      </c>
      <c r="F4054" s="7" t="s">
        <v>6340</v>
      </c>
      <c r="G4054" s="7" t="s">
        <v>7150</v>
      </c>
      <c r="H4054" s="7" t="s">
        <v>7156</v>
      </c>
      <c r="I4054" s="7"/>
      <c r="J4054" s="10">
        <v>44698</v>
      </c>
      <c r="K4054" s="7" t="s">
        <v>7163</v>
      </c>
      <c r="L4054" s="7"/>
      <c r="M4054" s="7"/>
    </row>
    <row r="4055" spans="1:13" x14ac:dyDescent="0.3">
      <c r="A4055" s="7">
        <v>14373</v>
      </c>
      <c r="B4055" s="7" t="s">
        <v>4062</v>
      </c>
      <c r="C4055" s="7" t="s">
        <v>6876</v>
      </c>
      <c r="D4055" s="7" t="s">
        <v>6878</v>
      </c>
      <c r="E4055" s="7" t="s">
        <v>6295</v>
      </c>
      <c r="F4055" s="7" t="s">
        <v>6340</v>
      </c>
      <c r="G4055" s="7" t="s">
        <v>7150</v>
      </c>
      <c r="H4055" s="7" t="s">
        <v>7156</v>
      </c>
      <c r="I4055" s="7"/>
      <c r="J4055" s="10">
        <v>44746</v>
      </c>
      <c r="K4055" s="7" t="s">
        <v>7163</v>
      </c>
      <c r="L4055" s="7"/>
      <c r="M4055" s="7"/>
    </row>
    <row r="4056" spans="1:13" x14ac:dyDescent="0.3">
      <c r="A4056" s="7">
        <v>14399</v>
      </c>
      <c r="B4056" s="7" t="s">
        <v>4063</v>
      </c>
      <c r="C4056" s="7" t="s">
        <v>6876</v>
      </c>
      <c r="D4056" s="7" t="s">
        <v>6878</v>
      </c>
      <c r="E4056" s="7" t="s">
        <v>6295</v>
      </c>
      <c r="F4056" s="7" t="s">
        <v>6340</v>
      </c>
      <c r="G4056" s="7" t="s">
        <v>7150</v>
      </c>
      <c r="H4056" s="7" t="s">
        <v>7156</v>
      </c>
      <c r="I4056" s="7"/>
      <c r="J4056" s="10">
        <v>44749</v>
      </c>
      <c r="K4056" s="7" t="s">
        <v>7163</v>
      </c>
      <c r="L4056" s="7"/>
      <c r="M4056" s="7"/>
    </row>
    <row r="4057" spans="1:13" x14ac:dyDescent="0.3">
      <c r="A4057" s="7">
        <v>14413</v>
      </c>
      <c r="B4057" s="7" t="s">
        <v>4064</v>
      </c>
      <c r="C4057" s="7" t="s">
        <v>6876</v>
      </c>
      <c r="D4057" s="7" t="s">
        <v>6878</v>
      </c>
      <c r="E4057" s="7" t="s">
        <v>6295</v>
      </c>
      <c r="F4057" s="7" t="s">
        <v>6341</v>
      </c>
      <c r="G4057" s="7" t="s">
        <v>7150</v>
      </c>
      <c r="H4057" s="7" t="s">
        <v>7156</v>
      </c>
      <c r="I4057" s="7"/>
      <c r="J4057" s="10">
        <v>44756</v>
      </c>
      <c r="K4057" s="7" t="s">
        <v>7163</v>
      </c>
      <c r="L4057" s="7"/>
      <c r="M4057" s="7"/>
    </row>
    <row r="4058" spans="1:13" x14ac:dyDescent="0.3">
      <c r="A4058" s="7">
        <v>14855</v>
      </c>
      <c r="B4058" s="7" t="s">
        <v>4065</v>
      </c>
      <c r="C4058" s="7" t="s">
        <v>6876</v>
      </c>
      <c r="D4058" s="7" t="s">
        <v>6878</v>
      </c>
      <c r="E4058" s="7" t="s">
        <v>6295</v>
      </c>
      <c r="F4058" s="7" t="s">
        <v>6341</v>
      </c>
      <c r="G4058" s="7" t="s">
        <v>7150</v>
      </c>
      <c r="H4058" s="7" t="s">
        <v>7156</v>
      </c>
      <c r="I4058" s="7"/>
      <c r="J4058" s="10">
        <v>44880</v>
      </c>
      <c r="K4058" s="7" t="s">
        <v>7163</v>
      </c>
      <c r="L4058" s="7"/>
      <c r="M4058" s="7"/>
    </row>
    <row r="4059" spans="1:13" x14ac:dyDescent="0.3">
      <c r="A4059" s="7">
        <v>14684</v>
      </c>
      <c r="B4059" s="7" t="s">
        <v>4066</v>
      </c>
      <c r="C4059" s="7" t="s">
        <v>6876</v>
      </c>
      <c r="D4059" s="7" t="s">
        <v>6878</v>
      </c>
      <c r="E4059" s="7" t="s">
        <v>6295</v>
      </c>
      <c r="F4059" s="7" t="s">
        <v>6341</v>
      </c>
      <c r="G4059" s="7" t="s">
        <v>7150</v>
      </c>
      <c r="H4059" s="7" t="s">
        <v>7156</v>
      </c>
      <c r="I4059" s="7"/>
      <c r="J4059" s="10">
        <v>44825</v>
      </c>
      <c r="K4059" s="7" t="s">
        <v>7163</v>
      </c>
      <c r="L4059" s="7"/>
      <c r="M4059" s="7"/>
    </row>
    <row r="4060" spans="1:13" x14ac:dyDescent="0.3">
      <c r="A4060" s="7">
        <v>14685</v>
      </c>
      <c r="B4060" s="7" t="s">
        <v>4067</v>
      </c>
      <c r="C4060" s="7" t="s">
        <v>6876</v>
      </c>
      <c r="D4060" s="7" t="s">
        <v>6878</v>
      </c>
      <c r="E4060" s="7" t="s">
        <v>6295</v>
      </c>
      <c r="F4060" s="7" t="s">
        <v>6341</v>
      </c>
      <c r="G4060" s="7" t="s">
        <v>7150</v>
      </c>
      <c r="H4060" s="7" t="s">
        <v>7156</v>
      </c>
      <c r="I4060" s="7"/>
      <c r="J4060" s="10">
        <v>44825</v>
      </c>
      <c r="K4060" s="7" t="s">
        <v>7163</v>
      </c>
      <c r="L4060" s="7"/>
      <c r="M4060" s="7"/>
    </row>
    <row r="4061" spans="1:13" x14ac:dyDescent="0.3">
      <c r="A4061" s="7">
        <v>14709</v>
      </c>
      <c r="B4061" s="7" t="s">
        <v>4068</v>
      </c>
      <c r="C4061" s="7" t="s">
        <v>6876</v>
      </c>
      <c r="D4061" s="7" t="s">
        <v>6878</v>
      </c>
      <c r="E4061" s="7" t="s">
        <v>6295</v>
      </c>
      <c r="F4061" s="7" t="s">
        <v>6340</v>
      </c>
      <c r="G4061" s="7" t="s">
        <v>7150</v>
      </c>
      <c r="H4061" s="7" t="s">
        <v>7156</v>
      </c>
      <c r="I4061" s="7"/>
      <c r="J4061" s="10">
        <v>44837</v>
      </c>
      <c r="K4061" s="7" t="s">
        <v>7163</v>
      </c>
      <c r="L4061" s="7"/>
      <c r="M4061" s="7"/>
    </row>
    <row r="4062" spans="1:13" x14ac:dyDescent="0.3">
      <c r="A4062" s="7">
        <v>14722</v>
      </c>
      <c r="B4062" s="7" t="s">
        <v>4069</v>
      </c>
      <c r="C4062" s="7" t="s">
        <v>6876</v>
      </c>
      <c r="D4062" s="7" t="s">
        <v>6878</v>
      </c>
      <c r="E4062" s="7" t="s">
        <v>6295</v>
      </c>
      <c r="F4062" s="7" t="s">
        <v>6340</v>
      </c>
      <c r="G4062" s="7" t="s">
        <v>7150</v>
      </c>
      <c r="H4062" s="7" t="s">
        <v>7156</v>
      </c>
      <c r="I4062" s="7"/>
      <c r="J4062" s="10">
        <v>44840</v>
      </c>
      <c r="K4062" s="7" t="s">
        <v>7163</v>
      </c>
      <c r="L4062" s="7"/>
      <c r="M4062" s="7"/>
    </row>
    <row r="4063" spans="1:13" x14ac:dyDescent="0.3">
      <c r="A4063" s="7">
        <v>14736</v>
      </c>
      <c r="B4063" s="7" t="s">
        <v>4070</v>
      </c>
      <c r="C4063" s="7" t="s">
        <v>6876</v>
      </c>
      <c r="D4063" s="7" t="s">
        <v>6878</v>
      </c>
      <c r="E4063" s="7" t="s">
        <v>6295</v>
      </c>
      <c r="F4063" s="7" t="s">
        <v>6340</v>
      </c>
      <c r="G4063" s="7" t="s">
        <v>7150</v>
      </c>
      <c r="H4063" s="7" t="s">
        <v>7156</v>
      </c>
      <c r="I4063" s="7"/>
      <c r="J4063" s="10">
        <v>44844</v>
      </c>
      <c r="K4063" s="7" t="s">
        <v>7163</v>
      </c>
      <c r="L4063" s="7"/>
      <c r="M4063" s="7"/>
    </row>
    <row r="4064" spans="1:13" x14ac:dyDescent="0.3">
      <c r="A4064" s="7">
        <v>14757</v>
      </c>
      <c r="B4064" s="7" t="s">
        <v>4071</v>
      </c>
      <c r="C4064" s="7" t="s">
        <v>6876</v>
      </c>
      <c r="D4064" s="7" t="s">
        <v>6878</v>
      </c>
      <c r="E4064" s="7" t="s">
        <v>6295</v>
      </c>
      <c r="F4064" s="7" t="s">
        <v>6340</v>
      </c>
      <c r="G4064" s="7" t="s">
        <v>7150</v>
      </c>
      <c r="H4064" s="7" t="s">
        <v>7156</v>
      </c>
      <c r="I4064" s="7"/>
      <c r="J4064" s="10">
        <v>44852</v>
      </c>
      <c r="K4064" s="7" t="s">
        <v>7163</v>
      </c>
      <c r="L4064" s="7"/>
      <c r="M4064" s="7"/>
    </row>
    <row r="4065" spans="1:13" x14ac:dyDescent="0.3">
      <c r="A4065" s="7">
        <v>14725</v>
      </c>
      <c r="B4065" s="7" t="s">
        <v>4072</v>
      </c>
      <c r="C4065" s="7" t="s">
        <v>6876</v>
      </c>
      <c r="D4065" s="7" t="s">
        <v>6878</v>
      </c>
      <c r="E4065" s="7" t="s">
        <v>6295</v>
      </c>
      <c r="F4065" s="7" t="s">
        <v>6341</v>
      </c>
      <c r="G4065" s="7" t="s">
        <v>7150</v>
      </c>
      <c r="H4065" s="7" t="s">
        <v>7156</v>
      </c>
      <c r="I4065" s="7"/>
      <c r="J4065" s="10">
        <v>44840</v>
      </c>
      <c r="K4065" s="7" t="s">
        <v>7163</v>
      </c>
      <c r="L4065" s="7"/>
      <c r="M4065" s="7"/>
    </row>
    <row r="4066" spans="1:13" x14ac:dyDescent="0.3">
      <c r="A4066" s="7">
        <v>14656</v>
      </c>
      <c r="B4066" s="7" t="s">
        <v>4073</v>
      </c>
      <c r="C4066" s="7" t="s">
        <v>6876</v>
      </c>
      <c r="D4066" s="7" t="s">
        <v>6878</v>
      </c>
      <c r="E4066" s="7" t="s">
        <v>6295</v>
      </c>
      <c r="F4066" s="7" t="s">
        <v>6341</v>
      </c>
      <c r="G4066" s="7" t="s">
        <v>7150</v>
      </c>
      <c r="H4066" s="7" t="s">
        <v>7156</v>
      </c>
      <c r="I4066" s="7"/>
      <c r="J4066" s="10">
        <v>44817</v>
      </c>
      <c r="K4066" s="7" t="s">
        <v>7163</v>
      </c>
      <c r="L4066" s="7"/>
      <c r="M4066" s="7"/>
    </row>
    <row r="4067" spans="1:13" x14ac:dyDescent="0.3">
      <c r="A4067" s="7">
        <v>14682</v>
      </c>
      <c r="B4067" s="7" t="s">
        <v>4074</v>
      </c>
      <c r="C4067" s="7" t="s">
        <v>6876</v>
      </c>
      <c r="D4067" s="7" t="s">
        <v>6878</v>
      </c>
      <c r="E4067" s="7" t="s">
        <v>6295</v>
      </c>
      <c r="F4067" s="7" t="s">
        <v>6340</v>
      </c>
      <c r="G4067" s="7" t="s">
        <v>7150</v>
      </c>
      <c r="H4067" s="7" t="s">
        <v>7156</v>
      </c>
      <c r="I4067" s="7"/>
      <c r="J4067" s="10">
        <v>44826</v>
      </c>
      <c r="K4067" s="7" t="s">
        <v>7163</v>
      </c>
      <c r="L4067" s="7"/>
      <c r="M4067" s="7"/>
    </row>
    <row r="4068" spans="1:13" x14ac:dyDescent="0.3">
      <c r="A4068" s="7">
        <v>14710</v>
      </c>
      <c r="B4068" s="7" t="s">
        <v>4075</v>
      </c>
      <c r="C4068" s="7" t="s">
        <v>6876</v>
      </c>
      <c r="D4068" s="7" t="s">
        <v>6878</v>
      </c>
      <c r="E4068" s="7" t="s">
        <v>6295</v>
      </c>
      <c r="F4068" s="7" t="s">
        <v>6341</v>
      </c>
      <c r="G4068" s="7" t="s">
        <v>7150</v>
      </c>
      <c r="H4068" s="7" t="s">
        <v>7156</v>
      </c>
      <c r="I4068" s="7"/>
      <c r="J4068" s="10">
        <v>44839</v>
      </c>
      <c r="K4068" s="7" t="s">
        <v>7163</v>
      </c>
      <c r="L4068" s="7"/>
      <c r="M4068" s="7"/>
    </row>
    <row r="4069" spans="1:13" x14ac:dyDescent="0.3">
      <c r="A4069" s="7">
        <v>15655</v>
      </c>
      <c r="B4069" s="7" t="s">
        <v>4076</v>
      </c>
      <c r="C4069" s="7" t="s">
        <v>6876</v>
      </c>
      <c r="D4069" s="7" t="s">
        <v>6878</v>
      </c>
      <c r="E4069" s="7" t="s">
        <v>6295</v>
      </c>
      <c r="F4069" s="7" t="s">
        <v>6341</v>
      </c>
      <c r="G4069" s="7" t="s">
        <v>7150</v>
      </c>
      <c r="H4069" s="7" t="s">
        <v>7156</v>
      </c>
      <c r="I4069" s="7"/>
      <c r="J4069" s="10">
        <v>45155</v>
      </c>
      <c r="K4069" s="7" t="s">
        <v>7163</v>
      </c>
      <c r="L4069" s="7"/>
      <c r="M4069" s="7"/>
    </row>
    <row r="4070" spans="1:13" x14ac:dyDescent="0.3">
      <c r="A4070" s="7">
        <v>15404</v>
      </c>
      <c r="B4070" s="7" t="s">
        <v>4077</v>
      </c>
      <c r="C4070" s="7" t="s">
        <v>6876</v>
      </c>
      <c r="D4070" s="7" t="s">
        <v>6878</v>
      </c>
      <c r="E4070" s="7" t="s">
        <v>6295</v>
      </c>
      <c r="F4070" s="7" t="s">
        <v>6341</v>
      </c>
      <c r="G4070" s="7" t="s">
        <v>7151</v>
      </c>
      <c r="H4070" s="7" t="s">
        <v>7156</v>
      </c>
      <c r="I4070" s="7"/>
      <c r="J4070" s="10">
        <v>45058</v>
      </c>
      <c r="K4070" s="7" t="s">
        <v>7163</v>
      </c>
      <c r="L4070" s="7"/>
      <c r="M4070" s="7"/>
    </row>
    <row r="4071" spans="1:13" x14ac:dyDescent="0.3">
      <c r="A4071" s="7">
        <v>15607</v>
      </c>
      <c r="B4071" s="7" t="s">
        <v>4078</v>
      </c>
      <c r="C4071" s="7" t="s">
        <v>6876</v>
      </c>
      <c r="D4071" s="7" t="s">
        <v>6878</v>
      </c>
      <c r="E4071" s="7" t="s">
        <v>6295</v>
      </c>
      <c r="F4071" s="7" t="s">
        <v>6341</v>
      </c>
      <c r="G4071" s="7" t="s">
        <v>7150</v>
      </c>
      <c r="H4071" s="7" t="s">
        <v>7156</v>
      </c>
      <c r="I4071" s="7"/>
      <c r="J4071" s="10">
        <v>45139</v>
      </c>
      <c r="K4071" s="7" t="s">
        <v>7163</v>
      </c>
      <c r="L4071" s="7"/>
      <c r="M4071" s="7"/>
    </row>
    <row r="4072" spans="1:13" x14ac:dyDescent="0.3">
      <c r="A4072" s="7">
        <v>15654</v>
      </c>
      <c r="B4072" s="7" t="s">
        <v>4079</v>
      </c>
      <c r="C4072" s="7" t="s">
        <v>6876</v>
      </c>
      <c r="D4072" s="7" t="s">
        <v>6878</v>
      </c>
      <c r="E4072" s="7" t="s">
        <v>6295</v>
      </c>
      <c r="F4072" s="7" t="s">
        <v>6340</v>
      </c>
      <c r="G4072" s="7" t="s">
        <v>7150</v>
      </c>
      <c r="H4072" s="7" t="s">
        <v>7156</v>
      </c>
      <c r="I4072" s="7"/>
      <c r="J4072" s="10">
        <v>45155</v>
      </c>
      <c r="K4072" s="7" t="s">
        <v>7163</v>
      </c>
      <c r="L4072" s="7"/>
      <c r="M4072" s="7"/>
    </row>
    <row r="4073" spans="1:13" x14ac:dyDescent="0.3">
      <c r="A4073" s="7">
        <v>15673</v>
      </c>
      <c r="B4073" s="7" t="s">
        <v>4080</v>
      </c>
      <c r="C4073" s="7" t="s">
        <v>6876</v>
      </c>
      <c r="D4073" s="7" t="s">
        <v>6878</v>
      </c>
      <c r="E4073" s="7" t="s">
        <v>6295</v>
      </c>
      <c r="F4073" s="7" t="s">
        <v>6341</v>
      </c>
      <c r="G4073" s="7" t="s">
        <v>7150</v>
      </c>
      <c r="H4073" s="7" t="s">
        <v>7156</v>
      </c>
      <c r="I4073" s="7"/>
      <c r="J4073" s="10">
        <v>45163</v>
      </c>
      <c r="K4073" s="7" t="s">
        <v>7163</v>
      </c>
      <c r="L4073" s="7"/>
      <c r="M4073" s="7"/>
    </row>
    <row r="4074" spans="1:13" x14ac:dyDescent="0.3">
      <c r="A4074" s="7">
        <v>15794</v>
      </c>
      <c r="B4074" s="7" t="s">
        <v>4081</v>
      </c>
      <c r="C4074" s="7" t="s">
        <v>6876</v>
      </c>
      <c r="D4074" s="7" t="s">
        <v>6878</v>
      </c>
      <c r="E4074" s="7" t="s">
        <v>6295</v>
      </c>
      <c r="F4074" s="7" t="s">
        <v>6341</v>
      </c>
      <c r="G4074" s="7" t="s">
        <v>7150</v>
      </c>
      <c r="H4074" s="7" t="s">
        <v>7156</v>
      </c>
      <c r="I4074" s="7"/>
      <c r="J4074" s="10">
        <v>45195</v>
      </c>
      <c r="K4074" s="7" t="s">
        <v>7163</v>
      </c>
      <c r="L4074" s="7"/>
      <c r="M4074" s="7"/>
    </row>
    <row r="4075" spans="1:13" x14ac:dyDescent="0.3">
      <c r="A4075" s="7">
        <v>16687</v>
      </c>
      <c r="B4075" s="7" t="s">
        <v>4082</v>
      </c>
      <c r="C4075" s="7" t="s">
        <v>6876</v>
      </c>
      <c r="D4075" s="7" t="s">
        <v>6878</v>
      </c>
      <c r="E4075" s="7" t="s">
        <v>6295</v>
      </c>
      <c r="F4075" s="7" t="s">
        <v>6341</v>
      </c>
      <c r="G4075" s="7" t="s">
        <v>7150</v>
      </c>
      <c r="H4075" s="7" t="s">
        <v>7156</v>
      </c>
      <c r="I4075" s="7"/>
      <c r="J4075" s="10">
        <v>45520</v>
      </c>
      <c r="K4075" s="7" t="s">
        <v>7163</v>
      </c>
      <c r="L4075" s="7"/>
      <c r="M4075" s="7"/>
    </row>
    <row r="4076" spans="1:13" x14ac:dyDescent="0.3">
      <c r="A4076" s="7">
        <v>16126</v>
      </c>
      <c r="B4076" s="7" t="s">
        <v>4083</v>
      </c>
      <c r="C4076" s="7" t="s">
        <v>6876</v>
      </c>
      <c r="D4076" s="7" t="s">
        <v>6878</v>
      </c>
      <c r="E4076" s="7" t="s">
        <v>6295</v>
      </c>
      <c r="F4076" s="7" t="s">
        <v>6340</v>
      </c>
      <c r="G4076" s="7" t="s">
        <v>7150</v>
      </c>
      <c r="H4076" s="7" t="s">
        <v>7156</v>
      </c>
      <c r="I4076" s="7"/>
      <c r="J4076" s="10">
        <v>45288</v>
      </c>
      <c r="K4076" s="7" t="s">
        <v>7163</v>
      </c>
      <c r="L4076" s="7"/>
      <c r="M4076" s="7"/>
    </row>
    <row r="4077" spans="1:13" x14ac:dyDescent="0.3">
      <c r="A4077" s="7">
        <v>16180</v>
      </c>
      <c r="B4077" s="7" t="s">
        <v>4084</v>
      </c>
      <c r="C4077" s="7" t="s">
        <v>6876</v>
      </c>
      <c r="D4077" s="7" t="s">
        <v>6878</v>
      </c>
      <c r="E4077" s="7" t="s">
        <v>6295</v>
      </c>
      <c r="F4077" s="7" t="s">
        <v>6341</v>
      </c>
      <c r="G4077" s="7" t="s">
        <v>7150</v>
      </c>
      <c r="H4077" s="7" t="s">
        <v>7156</v>
      </c>
      <c r="I4077" s="7"/>
      <c r="J4077" s="10">
        <v>45310</v>
      </c>
      <c r="K4077" s="7" t="s">
        <v>7163</v>
      </c>
      <c r="L4077" s="7"/>
      <c r="M4077" s="7"/>
    </row>
    <row r="4078" spans="1:13" x14ac:dyDescent="0.3">
      <c r="A4078" s="7">
        <v>16181</v>
      </c>
      <c r="B4078" s="7" t="s">
        <v>4085</v>
      </c>
      <c r="C4078" s="7" t="s">
        <v>6876</v>
      </c>
      <c r="D4078" s="7" t="s">
        <v>6878</v>
      </c>
      <c r="E4078" s="7" t="s">
        <v>6295</v>
      </c>
      <c r="F4078" s="7" t="s">
        <v>6341</v>
      </c>
      <c r="G4078" s="7" t="s">
        <v>7150</v>
      </c>
      <c r="H4078" s="7" t="s">
        <v>7156</v>
      </c>
      <c r="I4078" s="7"/>
      <c r="J4078" s="10">
        <v>45310</v>
      </c>
      <c r="K4078" s="7" t="s">
        <v>7163</v>
      </c>
      <c r="L4078" s="7"/>
      <c r="M4078" s="7"/>
    </row>
    <row r="4079" spans="1:13" x14ac:dyDescent="0.3">
      <c r="A4079" s="7">
        <v>16183</v>
      </c>
      <c r="B4079" s="7" t="s">
        <v>4086</v>
      </c>
      <c r="C4079" s="7" t="s">
        <v>6876</v>
      </c>
      <c r="D4079" s="7" t="s">
        <v>6878</v>
      </c>
      <c r="E4079" s="7" t="s">
        <v>6295</v>
      </c>
      <c r="F4079" s="7" t="s">
        <v>6341</v>
      </c>
      <c r="G4079" s="7" t="s">
        <v>7150</v>
      </c>
      <c r="H4079" s="7" t="s">
        <v>7156</v>
      </c>
      <c r="I4079" s="7"/>
      <c r="J4079" s="10">
        <v>45310</v>
      </c>
      <c r="K4079" s="7" t="s">
        <v>7163</v>
      </c>
      <c r="L4079" s="7"/>
      <c r="M4079" s="7"/>
    </row>
    <row r="4080" spans="1:13" x14ac:dyDescent="0.3">
      <c r="A4080" s="7">
        <v>16185</v>
      </c>
      <c r="B4080" s="7" t="s">
        <v>4087</v>
      </c>
      <c r="C4080" s="7" t="s">
        <v>6876</v>
      </c>
      <c r="D4080" s="7" t="s">
        <v>6878</v>
      </c>
      <c r="E4080" s="7" t="s">
        <v>6295</v>
      </c>
      <c r="F4080" s="7" t="s">
        <v>6341</v>
      </c>
      <c r="G4080" s="7" t="s">
        <v>7150</v>
      </c>
      <c r="H4080" s="7" t="s">
        <v>7156</v>
      </c>
      <c r="I4080" s="7"/>
      <c r="J4080" s="10">
        <v>45310</v>
      </c>
      <c r="K4080" s="7" t="s">
        <v>7163</v>
      </c>
      <c r="L4080" s="7"/>
      <c r="M4080" s="7"/>
    </row>
    <row r="4081" spans="1:13" x14ac:dyDescent="0.3">
      <c r="A4081" s="7">
        <v>16538</v>
      </c>
      <c r="B4081" s="7" t="s">
        <v>4088</v>
      </c>
      <c r="C4081" s="7" t="s">
        <v>6876</v>
      </c>
      <c r="D4081" s="7" t="s">
        <v>6878</v>
      </c>
      <c r="E4081" s="7" t="s">
        <v>6295</v>
      </c>
      <c r="F4081" s="7" t="s">
        <v>6341</v>
      </c>
      <c r="G4081" s="7" t="s">
        <v>7150</v>
      </c>
      <c r="H4081" s="7" t="s">
        <v>7156</v>
      </c>
      <c r="I4081" s="7"/>
      <c r="J4081" s="10">
        <v>45478</v>
      </c>
      <c r="K4081" s="7" t="s">
        <v>7163</v>
      </c>
      <c r="L4081" s="7"/>
      <c r="M4081" s="7"/>
    </row>
    <row r="4082" spans="1:13" x14ac:dyDescent="0.3">
      <c r="A4082" s="7">
        <v>16541</v>
      </c>
      <c r="B4082" s="7" t="s">
        <v>4089</v>
      </c>
      <c r="C4082" s="7" t="s">
        <v>6876</v>
      </c>
      <c r="D4082" s="7" t="s">
        <v>6878</v>
      </c>
      <c r="E4082" s="7" t="s">
        <v>6295</v>
      </c>
      <c r="F4082" s="7" t="s">
        <v>6341</v>
      </c>
      <c r="G4082" s="7" t="s">
        <v>7150</v>
      </c>
      <c r="H4082" s="7" t="s">
        <v>7156</v>
      </c>
      <c r="I4082" s="7"/>
      <c r="J4082" s="10">
        <v>45478</v>
      </c>
      <c r="K4082" s="7" t="s">
        <v>7163</v>
      </c>
      <c r="L4082" s="7"/>
      <c r="M4082" s="7"/>
    </row>
    <row r="4083" spans="1:13" x14ac:dyDescent="0.3">
      <c r="A4083" s="7">
        <v>16558</v>
      </c>
      <c r="B4083" s="7" t="s">
        <v>4090</v>
      </c>
      <c r="C4083" s="7" t="s">
        <v>6876</v>
      </c>
      <c r="D4083" s="7" t="s">
        <v>6878</v>
      </c>
      <c r="E4083" s="7" t="s">
        <v>6295</v>
      </c>
      <c r="F4083" s="7" t="s">
        <v>6341</v>
      </c>
      <c r="G4083" s="7" t="s">
        <v>7150</v>
      </c>
      <c r="H4083" s="7" t="s">
        <v>7156</v>
      </c>
      <c r="I4083" s="7"/>
      <c r="J4083" s="10">
        <v>45488</v>
      </c>
      <c r="K4083" s="7" t="s">
        <v>7163</v>
      </c>
      <c r="L4083" s="7"/>
      <c r="M4083" s="7"/>
    </row>
    <row r="4084" spans="1:13" x14ac:dyDescent="0.3">
      <c r="A4084" s="7">
        <v>16560</v>
      </c>
      <c r="B4084" s="7" t="s">
        <v>4091</v>
      </c>
      <c r="C4084" s="7" t="s">
        <v>6876</v>
      </c>
      <c r="D4084" s="7" t="s">
        <v>6878</v>
      </c>
      <c r="E4084" s="7" t="s">
        <v>6295</v>
      </c>
      <c r="F4084" s="7" t="s">
        <v>6341</v>
      </c>
      <c r="G4084" s="7" t="s">
        <v>7150</v>
      </c>
      <c r="H4084" s="7" t="s">
        <v>7156</v>
      </c>
      <c r="I4084" s="7"/>
      <c r="J4084" s="10">
        <v>45489</v>
      </c>
      <c r="K4084" s="7" t="s">
        <v>7163</v>
      </c>
      <c r="L4084" s="7"/>
      <c r="M4084" s="7"/>
    </row>
    <row r="4085" spans="1:13" x14ac:dyDescent="0.3">
      <c r="A4085" s="7">
        <v>16552</v>
      </c>
      <c r="B4085" s="7" t="s">
        <v>4092</v>
      </c>
      <c r="C4085" s="7" t="s">
        <v>6876</v>
      </c>
      <c r="D4085" s="7" t="s">
        <v>6878</v>
      </c>
      <c r="E4085" s="7" t="s">
        <v>6295</v>
      </c>
      <c r="F4085" s="7" t="s">
        <v>6341</v>
      </c>
      <c r="G4085" s="7" t="s">
        <v>7150</v>
      </c>
      <c r="H4085" s="7" t="s">
        <v>7156</v>
      </c>
      <c r="I4085" s="7"/>
      <c r="J4085" s="10">
        <v>45495</v>
      </c>
      <c r="K4085" s="7" t="s">
        <v>7163</v>
      </c>
      <c r="L4085" s="7"/>
      <c r="M4085" s="7"/>
    </row>
    <row r="4086" spans="1:13" x14ac:dyDescent="0.3">
      <c r="A4086" s="7">
        <v>16601</v>
      </c>
      <c r="B4086" s="7" t="s">
        <v>4093</v>
      </c>
      <c r="C4086" s="7" t="s">
        <v>6876</v>
      </c>
      <c r="D4086" s="7" t="s">
        <v>6878</v>
      </c>
      <c r="E4086" s="7" t="s">
        <v>6295</v>
      </c>
      <c r="F4086" s="7" t="s">
        <v>6340</v>
      </c>
      <c r="G4086" s="7" t="s">
        <v>7150</v>
      </c>
      <c r="H4086" s="7" t="s">
        <v>7156</v>
      </c>
      <c r="I4086" s="7"/>
      <c r="J4086" s="10">
        <v>45506</v>
      </c>
      <c r="K4086" s="7" t="s">
        <v>7163</v>
      </c>
      <c r="L4086" s="7"/>
      <c r="M4086" s="7"/>
    </row>
    <row r="4087" spans="1:13" x14ac:dyDescent="0.3">
      <c r="A4087" s="7">
        <v>16650</v>
      </c>
      <c r="B4087" s="7" t="s">
        <v>4094</v>
      </c>
      <c r="C4087" s="7" t="s">
        <v>6876</v>
      </c>
      <c r="D4087" s="7" t="s">
        <v>6878</v>
      </c>
      <c r="E4087" s="7" t="s">
        <v>6295</v>
      </c>
      <c r="F4087" s="7" t="s">
        <v>6341</v>
      </c>
      <c r="G4087" s="7" t="s">
        <v>7151</v>
      </c>
      <c r="H4087" s="7" t="s">
        <v>7156</v>
      </c>
      <c r="I4087" s="7"/>
      <c r="J4087" s="10">
        <v>45516</v>
      </c>
      <c r="K4087" s="7" t="s">
        <v>7163</v>
      </c>
      <c r="L4087" s="7"/>
      <c r="M4087" s="7"/>
    </row>
    <row r="4088" spans="1:13" x14ac:dyDescent="0.3">
      <c r="A4088" s="7">
        <v>16753</v>
      </c>
      <c r="B4088" s="7" t="s">
        <v>4095</v>
      </c>
      <c r="C4088" s="7" t="s">
        <v>6876</v>
      </c>
      <c r="D4088" s="7" t="s">
        <v>6878</v>
      </c>
      <c r="E4088" s="7" t="s">
        <v>6295</v>
      </c>
      <c r="F4088" s="7" t="s">
        <v>6341</v>
      </c>
      <c r="G4088" s="7" t="s">
        <v>7150</v>
      </c>
      <c r="H4088" s="7" t="s">
        <v>7156</v>
      </c>
      <c r="I4088" s="7"/>
      <c r="J4088" s="10">
        <v>45539</v>
      </c>
      <c r="K4088" s="7" t="s">
        <v>7163</v>
      </c>
      <c r="L4088" s="7"/>
      <c r="M4088" s="7"/>
    </row>
    <row r="4089" spans="1:13" x14ac:dyDescent="0.3">
      <c r="A4089" s="7">
        <v>16775</v>
      </c>
      <c r="B4089" s="7" t="s">
        <v>4096</v>
      </c>
      <c r="C4089" s="7" t="s">
        <v>6876</v>
      </c>
      <c r="D4089" s="7" t="s">
        <v>6878</v>
      </c>
      <c r="E4089" s="7" t="s">
        <v>6295</v>
      </c>
      <c r="F4089" s="7" t="s">
        <v>6341</v>
      </c>
      <c r="G4089" s="7" t="s">
        <v>7150</v>
      </c>
      <c r="H4089" s="7" t="s">
        <v>7156</v>
      </c>
      <c r="I4089" s="7"/>
      <c r="J4089" s="10">
        <v>45551</v>
      </c>
      <c r="K4089" s="7" t="s">
        <v>7163</v>
      </c>
      <c r="L4089" s="7"/>
      <c r="M4089" s="7"/>
    </row>
    <row r="4090" spans="1:13" x14ac:dyDescent="0.3">
      <c r="A4090" s="7">
        <v>17001</v>
      </c>
      <c r="B4090" s="7" t="s">
        <v>4097</v>
      </c>
      <c r="C4090" s="7" t="s">
        <v>6876</v>
      </c>
      <c r="D4090" s="7" t="s">
        <v>6878</v>
      </c>
      <c r="E4090" s="7" t="s">
        <v>6295</v>
      </c>
      <c r="F4090" s="7" t="s">
        <v>6341</v>
      </c>
      <c r="G4090" s="7" t="s">
        <v>7150</v>
      </c>
      <c r="H4090" s="7" t="s">
        <v>7156</v>
      </c>
      <c r="I4090" s="7"/>
      <c r="J4090" s="10">
        <v>45593</v>
      </c>
      <c r="K4090" s="7" t="s">
        <v>7163</v>
      </c>
      <c r="L4090" s="7"/>
      <c r="M4090" s="7"/>
    </row>
    <row r="4091" spans="1:13" x14ac:dyDescent="0.3">
      <c r="A4091" s="7">
        <v>16756</v>
      </c>
      <c r="B4091" s="7" t="s">
        <v>4098</v>
      </c>
      <c r="C4091" s="7" t="s">
        <v>6876</v>
      </c>
      <c r="D4091" s="7" t="s">
        <v>6878</v>
      </c>
      <c r="E4091" s="7" t="s">
        <v>6295</v>
      </c>
      <c r="F4091" s="7" t="s">
        <v>6341</v>
      </c>
      <c r="G4091" s="7" t="s">
        <v>7150</v>
      </c>
      <c r="H4091" s="7" t="s">
        <v>7156</v>
      </c>
      <c r="I4091" s="7"/>
      <c r="J4091" s="10">
        <v>45540</v>
      </c>
      <c r="K4091" s="7" t="s">
        <v>7163</v>
      </c>
      <c r="L4091" s="7"/>
      <c r="M4091" s="7"/>
    </row>
    <row r="4092" spans="1:13" x14ac:dyDescent="0.3">
      <c r="A4092" s="7">
        <v>16724</v>
      </c>
      <c r="B4092" s="7" t="s">
        <v>4099</v>
      </c>
      <c r="C4092" s="7" t="s">
        <v>6876</v>
      </c>
      <c r="D4092" s="7" t="s">
        <v>6878</v>
      </c>
      <c r="E4092" s="7" t="s">
        <v>6295</v>
      </c>
      <c r="F4092" s="7" t="s">
        <v>6341</v>
      </c>
      <c r="G4092" s="7" t="s">
        <v>7150</v>
      </c>
      <c r="H4092" s="7" t="s">
        <v>7156</v>
      </c>
      <c r="I4092" s="7"/>
      <c r="J4092" s="10">
        <v>45545</v>
      </c>
      <c r="K4092" s="7" t="s">
        <v>7163</v>
      </c>
      <c r="L4092" s="7"/>
      <c r="M4092" s="7"/>
    </row>
    <row r="4093" spans="1:13" x14ac:dyDescent="0.3">
      <c r="A4093" s="7">
        <v>16725</v>
      </c>
      <c r="B4093" s="7" t="s">
        <v>4100</v>
      </c>
      <c r="C4093" s="7" t="s">
        <v>6876</v>
      </c>
      <c r="D4093" s="7" t="s">
        <v>6878</v>
      </c>
      <c r="E4093" s="7" t="s">
        <v>6295</v>
      </c>
      <c r="F4093" s="7" t="s">
        <v>6341</v>
      </c>
      <c r="G4093" s="7" t="s">
        <v>7151</v>
      </c>
      <c r="H4093" s="7" t="s">
        <v>7156</v>
      </c>
      <c r="I4093" s="7"/>
      <c r="J4093" s="10">
        <v>45545</v>
      </c>
      <c r="K4093" s="7" t="s">
        <v>7163</v>
      </c>
      <c r="L4093" s="7"/>
      <c r="M4093" s="7"/>
    </row>
    <row r="4094" spans="1:13" x14ac:dyDescent="0.3">
      <c r="A4094" s="7">
        <v>16957</v>
      </c>
      <c r="B4094" s="7" t="s">
        <v>4101</v>
      </c>
      <c r="C4094" s="7" t="s">
        <v>6876</v>
      </c>
      <c r="D4094" s="7" t="s">
        <v>6878</v>
      </c>
      <c r="E4094" s="7" t="s">
        <v>6295</v>
      </c>
      <c r="F4094" s="7" t="s">
        <v>6341</v>
      </c>
      <c r="G4094" s="7" t="s">
        <v>7150</v>
      </c>
      <c r="H4094" s="7" t="s">
        <v>7156</v>
      </c>
      <c r="I4094" s="7"/>
      <c r="J4094" s="10">
        <v>45576</v>
      </c>
      <c r="K4094" s="7" t="s">
        <v>7163</v>
      </c>
      <c r="L4094" s="7"/>
      <c r="M4094" s="7"/>
    </row>
    <row r="4095" spans="1:13" x14ac:dyDescent="0.3">
      <c r="A4095" s="7">
        <v>16968</v>
      </c>
      <c r="B4095" s="7" t="s">
        <v>4102</v>
      </c>
      <c r="C4095" s="7" t="s">
        <v>6876</v>
      </c>
      <c r="D4095" s="7" t="s">
        <v>6878</v>
      </c>
      <c r="E4095" s="7" t="s">
        <v>6295</v>
      </c>
      <c r="F4095" s="7" t="s">
        <v>6341</v>
      </c>
      <c r="G4095" s="7" t="s">
        <v>7150</v>
      </c>
      <c r="H4095" s="7" t="s">
        <v>7156</v>
      </c>
      <c r="I4095" s="7"/>
      <c r="J4095" s="10">
        <v>45580</v>
      </c>
      <c r="K4095" s="7" t="s">
        <v>7163</v>
      </c>
      <c r="L4095" s="7"/>
      <c r="M4095" s="7"/>
    </row>
    <row r="4096" spans="1:13" x14ac:dyDescent="0.3">
      <c r="A4096" s="7">
        <v>16967</v>
      </c>
      <c r="B4096" s="7" t="s">
        <v>4103</v>
      </c>
      <c r="C4096" s="7" t="s">
        <v>6876</v>
      </c>
      <c r="D4096" s="7" t="s">
        <v>6878</v>
      </c>
      <c r="E4096" s="7" t="s">
        <v>6295</v>
      </c>
      <c r="F4096" s="7" t="s">
        <v>6341</v>
      </c>
      <c r="G4096" s="7" t="s">
        <v>7150</v>
      </c>
      <c r="H4096" s="7" t="s">
        <v>7156</v>
      </c>
      <c r="I4096" s="7"/>
      <c r="J4096" s="10">
        <v>45580</v>
      </c>
      <c r="K4096" s="7" t="s">
        <v>7163</v>
      </c>
      <c r="L4096" s="7"/>
      <c r="M4096" s="7"/>
    </row>
    <row r="4097" spans="1:13" x14ac:dyDescent="0.3">
      <c r="A4097" s="7">
        <v>16981</v>
      </c>
      <c r="B4097" s="7" t="s">
        <v>4104</v>
      </c>
      <c r="C4097" s="7" t="s">
        <v>6876</v>
      </c>
      <c r="D4097" s="7" t="s">
        <v>6878</v>
      </c>
      <c r="E4097" s="7" t="s">
        <v>6295</v>
      </c>
      <c r="F4097" s="7" t="s">
        <v>6341</v>
      </c>
      <c r="G4097" s="7" t="s">
        <v>7150</v>
      </c>
      <c r="H4097" s="7" t="s">
        <v>7156</v>
      </c>
      <c r="I4097" s="7"/>
      <c r="J4097" s="10">
        <v>45582</v>
      </c>
      <c r="K4097" s="7" t="s">
        <v>7163</v>
      </c>
      <c r="L4097" s="7"/>
      <c r="M4097" s="7"/>
    </row>
    <row r="4098" spans="1:13" x14ac:dyDescent="0.3">
      <c r="A4098" s="7">
        <v>17024</v>
      </c>
      <c r="B4098" s="7" t="s">
        <v>4105</v>
      </c>
      <c r="C4098" s="7" t="s">
        <v>6876</v>
      </c>
      <c r="D4098" s="7" t="s">
        <v>6878</v>
      </c>
      <c r="E4098" s="7" t="s">
        <v>6295</v>
      </c>
      <c r="F4098" s="7" t="s">
        <v>6341</v>
      </c>
      <c r="G4098" s="7" t="s">
        <v>7150</v>
      </c>
      <c r="H4098" s="7" t="s">
        <v>7156</v>
      </c>
      <c r="I4098" s="7"/>
      <c r="J4098" s="10">
        <v>45622</v>
      </c>
      <c r="K4098" s="7" t="s">
        <v>7163</v>
      </c>
      <c r="L4098" s="7"/>
      <c r="M4098" s="7"/>
    </row>
    <row r="4099" spans="1:13" x14ac:dyDescent="0.3">
      <c r="A4099" s="7">
        <v>17028</v>
      </c>
      <c r="B4099" s="7" t="s">
        <v>4106</v>
      </c>
      <c r="C4099" s="7" t="s">
        <v>6876</v>
      </c>
      <c r="D4099" s="7" t="s">
        <v>6878</v>
      </c>
      <c r="E4099" s="7" t="s">
        <v>6295</v>
      </c>
      <c r="F4099" s="7" t="s">
        <v>6341</v>
      </c>
      <c r="G4099" s="7" t="s">
        <v>7150</v>
      </c>
      <c r="H4099" s="7" t="s">
        <v>7156</v>
      </c>
      <c r="I4099" s="7"/>
      <c r="J4099" s="10">
        <v>45622</v>
      </c>
      <c r="K4099" s="7" t="s">
        <v>7163</v>
      </c>
      <c r="L4099" s="7"/>
      <c r="M4099" s="7"/>
    </row>
    <row r="4100" spans="1:13" x14ac:dyDescent="0.3">
      <c r="A4100" s="7">
        <v>17027</v>
      </c>
      <c r="B4100" s="7" t="s">
        <v>4107</v>
      </c>
      <c r="C4100" s="7" t="s">
        <v>6876</v>
      </c>
      <c r="D4100" s="7" t="s">
        <v>6878</v>
      </c>
      <c r="E4100" s="7" t="s">
        <v>6295</v>
      </c>
      <c r="F4100" s="7" t="s">
        <v>6341</v>
      </c>
      <c r="G4100" s="7" t="s">
        <v>7150</v>
      </c>
      <c r="H4100" s="7" t="s">
        <v>7156</v>
      </c>
      <c r="I4100" s="7"/>
      <c r="J4100" s="10">
        <v>45623</v>
      </c>
      <c r="K4100" s="7" t="s">
        <v>7163</v>
      </c>
      <c r="L4100" s="7"/>
      <c r="M4100" s="7"/>
    </row>
    <row r="4101" spans="1:13" x14ac:dyDescent="0.3">
      <c r="A4101" s="7">
        <v>17078</v>
      </c>
      <c r="B4101" s="7" t="s">
        <v>4108</v>
      </c>
      <c r="C4101" s="7" t="s">
        <v>6876</v>
      </c>
      <c r="D4101" s="7" t="s">
        <v>6878</v>
      </c>
      <c r="E4101" s="7" t="s">
        <v>6295</v>
      </c>
      <c r="F4101" s="7" t="s">
        <v>6341</v>
      </c>
      <c r="G4101" s="7" t="s">
        <v>7150</v>
      </c>
      <c r="H4101" s="7" t="s">
        <v>7156</v>
      </c>
      <c r="I4101" s="7"/>
      <c r="J4101" s="10">
        <v>45623</v>
      </c>
      <c r="K4101" s="7" t="s">
        <v>7163</v>
      </c>
      <c r="L4101" s="7"/>
      <c r="M4101" s="7"/>
    </row>
    <row r="4102" spans="1:13" x14ac:dyDescent="0.3">
      <c r="A4102" s="7">
        <v>17098</v>
      </c>
      <c r="B4102" s="7" t="s">
        <v>4109</v>
      </c>
      <c r="C4102" s="7" t="s">
        <v>6876</v>
      </c>
      <c r="D4102" s="7" t="s">
        <v>6878</v>
      </c>
      <c r="E4102" s="7" t="s">
        <v>6295</v>
      </c>
      <c r="F4102" s="7" t="s">
        <v>6341</v>
      </c>
      <c r="G4102" s="7" t="s">
        <v>7150</v>
      </c>
      <c r="H4102" s="7" t="s">
        <v>7156</v>
      </c>
      <c r="I4102" s="7"/>
      <c r="J4102" s="10">
        <v>45628</v>
      </c>
      <c r="K4102" s="7" t="s">
        <v>7163</v>
      </c>
      <c r="L4102" s="7"/>
      <c r="M4102" s="7"/>
    </row>
    <row r="4103" spans="1:13" x14ac:dyDescent="0.3">
      <c r="A4103" s="7">
        <v>17145</v>
      </c>
      <c r="B4103" s="7" t="s">
        <v>4110</v>
      </c>
      <c r="C4103" s="7" t="s">
        <v>6876</v>
      </c>
      <c r="D4103" s="7" t="s">
        <v>6878</v>
      </c>
      <c r="E4103" s="7" t="s">
        <v>6295</v>
      </c>
      <c r="F4103" s="7" t="s">
        <v>6341</v>
      </c>
      <c r="G4103" s="7" t="s">
        <v>7150</v>
      </c>
      <c r="H4103" s="7" t="s">
        <v>7156</v>
      </c>
      <c r="I4103" s="7"/>
      <c r="J4103" s="10">
        <v>45649</v>
      </c>
      <c r="K4103" s="7" t="s">
        <v>7163</v>
      </c>
      <c r="L4103" s="7"/>
      <c r="M4103" s="7"/>
    </row>
    <row r="4104" spans="1:13" x14ac:dyDescent="0.3">
      <c r="A4104" s="7">
        <v>17540</v>
      </c>
      <c r="B4104" s="7" t="s">
        <v>4111</v>
      </c>
      <c r="C4104" s="7" t="s">
        <v>6876</v>
      </c>
      <c r="D4104" s="7" t="s">
        <v>6878</v>
      </c>
      <c r="E4104" s="7" t="s">
        <v>6295</v>
      </c>
      <c r="F4104" s="7" t="s">
        <v>6341</v>
      </c>
      <c r="G4104" s="7" t="s">
        <v>7150</v>
      </c>
      <c r="H4104" s="7" t="s">
        <v>7156</v>
      </c>
      <c r="I4104" s="7"/>
      <c r="J4104" s="10">
        <v>45784</v>
      </c>
      <c r="K4104" s="7" t="s">
        <v>7163</v>
      </c>
      <c r="L4104" s="7"/>
      <c r="M4104" s="7"/>
    </row>
    <row r="4105" spans="1:13" x14ac:dyDescent="0.3">
      <c r="A4105" s="7">
        <v>17548</v>
      </c>
      <c r="B4105" s="7" t="s">
        <v>4112</v>
      </c>
      <c r="C4105" s="7" t="s">
        <v>6876</v>
      </c>
      <c r="D4105" s="7" t="s">
        <v>6878</v>
      </c>
      <c r="E4105" s="7" t="s">
        <v>6295</v>
      </c>
      <c r="F4105" s="7" t="s">
        <v>6341</v>
      </c>
      <c r="G4105" s="7" t="s">
        <v>7150</v>
      </c>
      <c r="H4105" s="7" t="s">
        <v>7156</v>
      </c>
      <c r="I4105" s="7"/>
      <c r="J4105" s="10">
        <v>45796</v>
      </c>
      <c r="K4105" s="7" t="s">
        <v>7163</v>
      </c>
      <c r="L4105" s="7"/>
      <c r="M4105" s="7"/>
    </row>
    <row r="4106" spans="1:13" x14ac:dyDescent="0.3">
      <c r="A4106" s="7">
        <v>17611</v>
      </c>
      <c r="B4106" s="7" t="s">
        <v>4113</v>
      </c>
      <c r="C4106" s="7" t="s">
        <v>6876</v>
      </c>
      <c r="D4106" s="7" t="s">
        <v>6878</v>
      </c>
      <c r="E4106" s="7" t="s">
        <v>6295</v>
      </c>
      <c r="F4106" s="7" t="s">
        <v>6341</v>
      </c>
      <c r="G4106" s="7" t="s">
        <v>7150</v>
      </c>
      <c r="H4106" s="7" t="s">
        <v>7156</v>
      </c>
      <c r="I4106" s="7"/>
      <c r="J4106" s="10">
        <v>45812</v>
      </c>
      <c r="K4106" s="7" t="s">
        <v>7163</v>
      </c>
      <c r="L4106" s="7"/>
      <c r="M4106" s="7"/>
    </row>
    <row r="4107" spans="1:13" x14ac:dyDescent="0.3">
      <c r="A4107" s="7">
        <v>18306</v>
      </c>
      <c r="B4107" s="7" t="s">
        <v>4114</v>
      </c>
      <c r="C4107" s="7" t="s">
        <v>6876</v>
      </c>
      <c r="D4107" s="7" t="s">
        <v>6878</v>
      </c>
      <c r="E4107" s="7" t="s">
        <v>6295</v>
      </c>
      <c r="F4107" s="7" t="s">
        <v>6341</v>
      </c>
      <c r="G4107" s="7" t="s">
        <v>7150</v>
      </c>
      <c r="H4107" s="7" t="s">
        <v>7156</v>
      </c>
      <c r="I4107" s="7"/>
      <c r="J4107" s="10">
        <v>46085</v>
      </c>
      <c r="K4107" s="7" t="s">
        <v>7163</v>
      </c>
      <c r="L4107" s="7"/>
      <c r="M4107" s="7"/>
    </row>
    <row r="4108" spans="1:13" x14ac:dyDescent="0.3">
      <c r="A4108" s="7">
        <v>18322</v>
      </c>
      <c r="B4108" s="7" t="s">
        <v>4115</v>
      </c>
      <c r="C4108" s="7" t="s">
        <v>6876</v>
      </c>
      <c r="D4108" s="7" t="s">
        <v>6878</v>
      </c>
      <c r="E4108" s="7" t="s">
        <v>6295</v>
      </c>
      <c r="F4108" s="7" t="s">
        <v>6348</v>
      </c>
      <c r="G4108" s="7" t="s">
        <v>7150</v>
      </c>
      <c r="H4108" s="7" t="s">
        <v>7156</v>
      </c>
      <c r="I4108" s="7"/>
      <c r="J4108" s="10">
        <v>46091</v>
      </c>
      <c r="K4108" s="7" t="s">
        <v>7163</v>
      </c>
      <c r="L4108" s="7"/>
      <c r="M4108" s="7"/>
    </row>
    <row r="4109" spans="1:13" x14ac:dyDescent="0.3">
      <c r="A4109" s="7">
        <v>19077</v>
      </c>
      <c r="B4109" s="7" t="s">
        <v>4116</v>
      </c>
      <c r="C4109" s="7" t="s">
        <v>6876</v>
      </c>
      <c r="D4109" s="7" t="s">
        <v>6878</v>
      </c>
      <c r="E4109" s="7" t="s">
        <v>6295</v>
      </c>
      <c r="F4109" s="7" t="s">
        <v>6348</v>
      </c>
      <c r="G4109" s="7" t="s">
        <v>7150</v>
      </c>
      <c r="H4109" s="7" t="s">
        <v>7156</v>
      </c>
      <c r="I4109" s="7"/>
      <c r="J4109" s="10">
        <v>46266</v>
      </c>
      <c r="K4109" s="7" t="s">
        <v>7163</v>
      </c>
      <c r="L4109" s="7"/>
      <c r="M4109" s="7"/>
    </row>
    <row r="4110" spans="1:13" x14ac:dyDescent="0.3">
      <c r="A4110" s="7">
        <v>19089</v>
      </c>
      <c r="B4110" s="7" t="s">
        <v>4117</v>
      </c>
      <c r="C4110" s="7" t="s">
        <v>6876</v>
      </c>
      <c r="D4110" s="7" t="s">
        <v>6878</v>
      </c>
      <c r="E4110" s="7" t="s">
        <v>6295</v>
      </c>
      <c r="F4110" s="7" t="s">
        <v>6348</v>
      </c>
      <c r="G4110" s="7" t="s">
        <v>7150</v>
      </c>
      <c r="H4110" s="7" t="s">
        <v>7156</v>
      </c>
      <c r="I4110" s="7"/>
      <c r="J4110" s="10">
        <v>46267</v>
      </c>
      <c r="K4110" s="7" t="s">
        <v>7163</v>
      </c>
      <c r="L4110" s="7"/>
      <c r="M4110" s="7"/>
    </row>
    <row r="4111" spans="1:13" x14ac:dyDescent="0.3">
      <c r="A4111" s="7">
        <v>19091</v>
      </c>
      <c r="B4111" s="7" t="s">
        <v>4118</v>
      </c>
      <c r="C4111" s="7" t="s">
        <v>6876</v>
      </c>
      <c r="D4111" s="7" t="s">
        <v>6878</v>
      </c>
      <c r="E4111" s="7" t="s">
        <v>6295</v>
      </c>
      <c r="F4111" s="7" t="s">
        <v>6348</v>
      </c>
      <c r="G4111" s="7" t="s">
        <v>7150</v>
      </c>
      <c r="H4111" s="7" t="s">
        <v>7156</v>
      </c>
      <c r="I4111" s="7"/>
      <c r="J4111" s="10">
        <v>46267</v>
      </c>
      <c r="K4111" s="7" t="s">
        <v>7163</v>
      </c>
      <c r="L4111" s="7"/>
      <c r="M4111" s="7"/>
    </row>
    <row r="4112" spans="1:13" x14ac:dyDescent="0.3">
      <c r="A4112" s="7">
        <v>19084</v>
      </c>
      <c r="B4112" s="7" t="s">
        <v>4119</v>
      </c>
      <c r="C4112" s="7" t="s">
        <v>6876</v>
      </c>
      <c r="D4112" s="7" t="s">
        <v>6878</v>
      </c>
      <c r="E4112" s="7" t="s">
        <v>6295</v>
      </c>
      <c r="F4112" s="7" t="s">
        <v>6348</v>
      </c>
      <c r="G4112" s="7" t="s">
        <v>7150</v>
      </c>
      <c r="H4112" s="7" t="s">
        <v>7156</v>
      </c>
      <c r="I4112" s="7"/>
      <c r="J4112" s="10">
        <v>46272</v>
      </c>
      <c r="K4112" s="7" t="s">
        <v>7163</v>
      </c>
      <c r="L4112" s="7"/>
      <c r="M4112" s="7"/>
    </row>
    <row r="4113" spans="1:13" x14ac:dyDescent="0.3">
      <c r="A4113" s="7">
        <v>19238</v>
      </c>
      <c r="B4113" s="7" t="s">
        <v>4120</v>
      </c>
      <c r="C4113" s="7" t="s">
        <v>6876</v>
      </c>
      <c r="D4113" s="7" t="s">
        <v>6878</v>
      </c>
      <c r="E4113" s="7" t="s">
        <v>6295</v>
      </c>
      <c r="F4113" s="7" t="s">
        <v>6348</v>
      </c>
      <c r="G4113" s="7" t="s">
        <v>7150</v>
      </c>
      <c r="H4113" s="7" t="s">
        <v>7156</v>
      </c>
      <c r="I4113" s="7"/>
      <c r="J4113" s="10">
        <v>46283</v>
      </c>
      <c r="K4113" s="7" t="s">
        <v>7163</v>
      </c>
      <c r="L4113" s="7"/>
      <c r="M4113" s="7"/>
    </row>
    <row r="4114" spans="1:13" x14ac:dyDescent="0.3">
      <c r="A4114" s="7">
        <v>19280</v>
      </c>
      <c r="B4114" s="7" t="s">
        <v>4121</v>
      </c>
      <c r="C4114" s="7" t="s">
        <v>6876</v>
      </c>
      <c r="D4114" s="7" t="s">
        <v>6878</v>
      </c>
      <c r="E4114" s="7" t="s">
        <v>6295</v>
      </c>
      <c r="F4114" s="7" t="s">
        <v>6348</v>
      </c>
      <c r="G4114" s="7" t="s">
        <v>7150</v>
      </c>
      <c r="H4114" s="7" t="s">
        <v>7156</v>
      </c>
      <c r="I4114" s="7"/>
      <c r="J4114" s="10">
        <v>46297</v>
      </c>
      <c r="K4114" s="7" t="s">
        <v>7163</v>
      </c>
      <c r="L4114" s="7"/>
      <c r="M4114" s="7"/>
    </row>
    <row r="4115" spans="1:13" x14ac:dyDescent="0.3">
      <c r="A4115" s="7">
        <v>17730</v>
      </c>
      <c r="B4115" s="7" t="s">
        <v>4122</v>
      </c>
      <c r="C4115" s="7" t="s">
        <v>6876</v>
      </c>
      <c r="D4115" s="7" t="s">
        <v>6878</v>
      </c>
      <c r="E4115" s="7" t="s">
        <v>6295</v>
      </c>
      <c r="F4115" s="7" t="s">
        <v>6341</v>
      </c>
      <c r="G4115" s="7" t="s">
        <v>7150</v>
      </c>
      <c r="H4115" s="7" t="s">
        <v>7156</v>
      </c>
      <c r="I4115" s="7"/>
      <c r="J4115" s="10">
        <v>45855</v>
      </c>
      <c r="K4115" s="7" t="s">
        <v>7163</v>
      </c>
      <c r="L4115" s="7"/>
      <c r="M4115" s="7"/>
    </row>
    <row r="4116" spans="1:13" x14ac:dyDescent="0.3">
      <c r="A4116" s="7">
        <v>17612</v>
      </c>
      <c r="B4116" s="7" t="s">
        <v>4123</v>
      </c>
      <c r="C4116" s="7" t="s">
        <v>6876</v>
      </c>
      <c r="D4116" s="7" t="s">
        <v>6878</v>
      </c>
      <c r="E4116" s="7" t="s">
        <v>6295</v>
      </c>
      <c r="F4116" s="7" t="s">
        <v>6341</v>
      </c>
      <c r="G4116" s="7" t="s">
        <v>7150</v>
      </c>
      <c r="H4116" s="7" t="s">
        <v>7156</v>
      </c>
      <c r="I4116" s="7"/>
      <c r="J4116" s="10">
        <v>45812</v>
      </c>
      <c r="K4116" s="7" t="s">
        <v>7163</v>
      </c>
      <c r="L4116" s="7"/>
      <c r="M4116" s="7"/>
    </row>
    <row r="4117" spans="1:13" x14ac:dyDescent="0.3">
      <c r="A4117" s="7">
        <v>17643</v>
      </c>
      <c r="B4117" s="7" t="s">
        <v>4124</v>
      </c>
      <c r="C4117" s="7" t="s">
        <v>6876</v>
      </c>
      <c r="D4117" s="7" t="s">
        <v>6878</v>
      </c>
      <c r="E4117" s="7" t="s">
        <v>6295</v>
      </c>
      <c r="F4117" s="7" t="s">
        <v>6341</v>
      </c>
      <c r="G4117" s="7" t="s">
        <v>7150</v>
      </c>
      <c r="H4117" s="7" t="s">
        <v>7156</v>
      </c>
      <c r="I4117" s="7"/>
      <c r="J4117" s="10">
        <v>45840</v>
      </c>
      <c r="K4117" s="7" t="s">
        <v>7163</v>
      </c>
      <c r="L4117" s="7"/>
      <c r="M4117" s="7"/>
    </row>
    <row r="4118" spans="1:13" x14ac:dyDescent="0.3">
      <c r="A4118" s="7">
        <v>17673</v>
      </c>
      <c r="B4118" s="7" t="s">
        <v>4125</v>
      </c>
      <c r="C4118" s="7" t="s">
        <v>6876</v>
      </c>
      <c r="D4118" s="7" t="s">
        <v>6878</v>
      </c>
      <c r="E4118" s="7" t="s">
        <v>6295</v>
      </c>
      <c r="F4118" s="7" t="s">
        <v>6341</v>
      </c>
      <c r="G4118" s="7" t="s">
        <v>7150</v>
      </c>
      <c r="H4118" s="7" t="s">
        <v>7156</v>
      </c>
      <c r="I4118" s="7"/>
      <c r="J4118" s="10">
        <v>45840</v>
      </c>
      <c r="K4118" s="7" t="s">
        <v>7163</v>
      </c>
      <c r="L4118" s="7"/>
      <c r="M4118" s="7"/>
    </row>
    <row r="4119" spans="1:13" x14ac:dyDescent="0.3">
      <c r="A4119" s="7">
        <v>17684</v>
      </c>
      <c r="B4119" s="7" t="s">
        <v>4126</v>
      </c>
      <c r="C4119" s="7" t="s">
        <v>6876</v>
      </c>
      <c r="D4119" s="7" t="s">
        <v>6878</v>
      </c>
      <c r="E4119" s="7" t="s">
        <v>6295</v>
      </c>
      <c r="F4119" s="7" t="s">
        <v>6341</v>
      </c>
      <c r="G4119" s="7" t="s">
        <v>7150</v>
      </c>
      <c r="H4119" s="7" t="s">
        <v>7156</v>
      </c>
      <c r="I4119" s="7"/>
      <c r="J4119" s="10">
        <v>45841</v>
      </c>
      <c r="K4119" s="7" t="s">
        <v>7163</v>
      </c>
      <c r="L4119" s="7"/>
      <c r="M4119" s="7"/>
    </row>
    <row r="4120" spans="1:13" x14ac:dyDescent="0.3">
      <c r="A4120" s="7">
        <v>17701</v>
      </c>
      <c r="B4120" s="7" t="s">
        <v>4127</v>
      </c>
      <c r="C4120" s="7" t="s">
        <v>6876</v>
      </c>
      <c r="D4120" s="7" t="s">
        <v>6878</v>
      </c>
      <c r="E4120" s="7" t="s">
        <v>6295</v>
      </c>
      <c r="F4120" s="7" t="s">
        <v>6341</v>
      </c>
      <c r="G4120" s="7" t="s">
        <v>7150</v>
      </c>
      <c r="H4120" s="7" t="s">
        <v>7156</v>
      </c>
      <c r="I4120" s="7"/>
      <c r="J4120" s="10">
        <v>45860</v>
      </c>
      <c r="K4120" s="7" t="s">
        <v>7163</v>
      </c>
      <c r="L4120" s="7"/>
      <c r="M4120" s="7"/>
    </row>
    <row r="4121" spans="1:13" x14ac:dyDescent="0.3">
      <c r="A4121" s="7">
        <v>17751</v>
      </c>
      <c r="B4121" s="7" t="s">
        <v>4128</v>
      </c>
      <c r="C4121" s="7" t="s">
        <v>6876</v>
      </c>
      <c r="D4121" s="7" t="s">
        <v>6878</v>
      </c>
      <c r="E4121" s="7" t="s">
        <v>6295</v>
      </c>
      <c r="F4121" s="7" t="s">
        <v>6341</v>
      </c>
      <c r="G4121" s="7" t="s">
        <v>7150</v>
      </c>
      <c r="H4121" s="7" t="s">
        <v>7156</v>
      </c>
      <c r="I4121" s="7"/>
      <c r="J4121" s="10">
        <v>45873</v>
      </c>
      <c r="K4121" s="7" t="s">
        <v>7163</v>
      </c>
      <c r="L4121" s="7"/>
      <c r="M4121" s="7"/>
    </row>
    <row r="4122" spans="1:13" x14ac:dyDescent="0.3">
      <c r="A4122" s="7">
        <v>900005</v>
      </c>
      <c r="B4122" s="7" t="s">
        <v>4129</v>
      </c>
      <c r="C4122" s="7" t="s">
        <v>6876</v>
      </c>
      <c r="D4122" s="7" t="s">
        <v>6295</v>
      </c>
      <c r="E4122" s="7" t="s">
        <v>6295</v>
      </c>
      <c r="F4122" s="7" t="s">
        <v>6336</v>
      </c>
      <c r="G4122" s="7" t="s">
        <v>7150</v>
      </c>
      <c r="H4122" s="7" t="s">
        <v>7156</v>
      </c>
      <c r="I4122" s="7"/>
      <c r="J4122" s="10">
        <v>40756</v>
      </c>
      <c r="K4122" s="7" t="s">
        <v>7163</v>
      </c>
      <c r="L4122" s="7"/>
      <c r="M4122" s="7"/>
    </row>
    <row r="4123" spans="1:13" x14ac:dyDescent="0.3">
      <c r="A4123" s="7">
        <v>11236</v>
      </c>
      <c r="B4123" s="7" t="s">
        <v>4130</v>
      </c>
      <c r="C4123" s="7" t="s">
        <v>6876</v>
      </c>
      <c r="D4123" s="7" t="s">
        <v>6879</v>
      </c>
      <c r="E4123" s="7" t="s">
        <v>6880</v>
      </c>
      <c r="F4123" s="7" t="s">
        <v>6335</v>
      </c>
      <c r="G4123" s="7" t="s">
        <v>7150</v>
      </c>
      <c r="H4123" s="7" t="s">
        <v>7156</v>
      </c>
      <c r="I4123" s="7"/>
      <c r="J4123" s="10">
        <v>42457</v>
      </c>
      <c r="K4123" s="7" t="s">
        <v>7163</v>
      </c>
      <c r="L4123" s="7"/>
      <c r="M4123" s="7"/>
    </row>
    <row r="4124" spans="1:13" x14ac:dyDescent="0.3">
      <c r="A4124" s="7">
        <v>10831</v>
      </c>
      <c r="B4124" s="7" t="s">
        <v>4131</v>
      </c>
      <c r="C4124" s="7" t="s">
        <v>6876</v>
      </c>
      <c r="D4124" s="7" t="s">
        <v>6879</v>
      </c>
      <c r="E4124" s="7" t="s">
        <v>6880</v>
      </c>
      <c r="F4124" s="7" t="s">
        <v>6353</v>
      </c>
      <c r="G4124" s="7" t="s">
        <v>7150</v>
      </c>
      <c r="H4124" s="7" t="s">
        <v>7156</v>
      </c>
      <c r="I4124" s="7"/>
      <c r="J4124" s="10">
        <v>41974</v>
      </c>
      <c r="K4124" s="7" t="s">
        <v>7163</v>
      </c>
      <c r="L4124" s="7"/>
      <c r="M4124" s="7"/>
    </row>
    <row r="4125" spans="1:13" x14ac:dyDescent="0.3">
      <c r="A4125" s="7">
        <v>10922</v>
      </c>
      <c r="B4125" s="7" t="s">
        <v>4132</v>
      </c>
      <c r="C4125" s="7" t="s">
        <v>6876</v>
      </c>
      <c r="D4125" s="7" t="s">
        <v>6879</v>
      </c>
      <c r="E4125" s="7" t="s">
        <v>6880</v>
      </c>
      <c r="F4125" s="7" t="s">
        <v>6353</v>
      </c>
      <c r="G4125" s="7" t="s">
        <v>7150</v>
      </c>
      <c r="H4125" s="7" t="s">
        <v>7156</v>
      </c>
      <c r="I4125" s="7"/>
      <c r="J4125" s="10">
        <v>42125</v>
      </c>
      <c r="K4125" s="7" t="s">
        <v>7163</v>
      </c>
      <c r="L4125" s="7"/>
      <c r="M4125" s="7"/>
    </row>
    <row r="4126" spans="1:13" x14ac:dyDescent="0.3">
      <c r="A4126" s="7">
        <v>12359</v>
      </c>
      <c r="B4126" s="7" t="s">
        <v>4133</v>
      </c>
      <c r="C4126" s="7" t="s">
        <v>6876</v>
      </c>
      <c r="D4126" s="7" t="s">
        <v>6879</v>
      </c>
      <c r="E4126" s="7" t="s">
        <v>6880</v>
      </c>
      <c r="F4126" s="7" t="s">
        <v>6353</v>
      </c>
      <c r="G4126" s="7" t="s">
        <v>7150</v>
      </c>
      <c r="H4126" s="7" t="s">
        <v>7156</v>
      </c>
      <c r="I4126" s="7"/>
      <c r="J4126" s="10">
        <v>43710</v>
      </c>
      <c r="K4126" s="7" t="s">
        <v>7163</v>
      </c>
      <c r="L4126" s="7"/>
      <c r="M4126" s="7"/>
    </row>
    <row r="4127" spans="1:13" x14ac:dyDescent="0.3">
      <c r="A4127" s="7">
        <v>11235</v>
      </c>
      <c r="B4127" s="7" t="s">
        <v>4134</v>
      </c>
      <c r="C4127" s="7" t="s">
        <v>6876</v>
      </c>
      <c r="D4127" s="7" t="s">
        <v>6879</v>
      </c>
      <c r="E4127" s="7" t="s">
        <v>6880</v>
      </c>
      <c r="F4127" s="7" t="s">
        <v>6353</v>
      </c>
      <c r="G4127" s="7" t="s">
        <v>7150</v>
      </c>
      <c r="H4127" s="7" t="s">
        <v>7156</v>
      </c>
      <c r="I4127" s="7"/>
      <c r="J4127" s="10">
        <v>42444</v>
      </c>
      <c r="K4127" s="7" t="s">
        <v>7163</v>
      </c>
      <c r="L4127" s="7"/>
      <c r="M4127" s="7"/>
    </row>
    <row r="4128" spans="1:13" x14ac:dyDescent="0.3">
      <c r="A4128" s="7">
        <v>12483</v>
      </c>
      <c r="B4128" s="7" t="s">
        <v>4135</v>
      </c>
      <c r="C4128" s="7" t="s">
        <v>6876</v>
      </c>
      <c r="D4128" s="7" t="s">
        <v>6879</v>
      </c>
      <c r="E4128" s="7" t="s">
        <v>6880</v>
      </c>
      <c r="F4128" s="7" t="s">
        <v>6353</v>
      </c>
      <c r="G4128" s="7" t="s">
        <v>7150</v>
      </c>
      <c r="H4128" s="7" t="s">
        <v>7156</v>
      </c>
      <c r="I4128" s="7"/>
      <c r="J4128" s="10">
        <v>43773</v>
      </c>
      <c r="K4128" s="7" t="s">
        <v>7163</v>
      </c>
      <c r="L4128" s="7"/>
      <c r="M4128" s="7"/>
    </row>
    <row r="4129" spans="1:13" x14ac:dyDescent="0.3">
      <c r="A4129" s="7">
        <v>12134</v>
      </c>
      <c r="B4129" s="7" t="s">
        <v>4136</v>
      </c>
      <c r="C4129" s="7" t="s">
        <v>6876</v>
      </c>
      <c r="D4129" s="7" t="s">
        <v>6879</v>
      </c>
      <c r="E4129" s="7" t="s">
        <v>6880</v>
      </c>
      <c r="F4129" s="7" t="s">
        <v>6340</v>
      </c>
      <c r="G4129" s="7" t="s">
        <v>7150</v>
      </c>
      <c r="H4129" s="7" t="s">
        <v>7156</v>
      </c>
      <c r="I4129" s="7"/>
      <c r="J4129" s="10">
        <v>43509</v>
      </c>
      <c r="K4129" s="7" t="s">
        <v>7163</v>
      </c>
      <c r="L4129" s="7"/>
      <c r="M4129" s="7"/>
    </row>
    <row r="4130" spans="1:13" x14ac:dyDescent="0.3">
      <c r="A4130" s="7">
        <v>11311</v>
      </c>
      <c r="B4130" s="7" t="s">
        <v>4137</v>
      </c>
      <c r="C4130" s="7" t="s">
        <v>6876</v>
      </c>
      <c r="D4130" s="7" t="s">
        <v>6879</v>
      </c>
      <c r="E4130" s="7" t="s">
        <v>6880</v>
      </c>
      <c r="F4130" s="7" t="s">
        <v>6340</v>
      </c>
      <c r="G4130" s="7" t="s">
        <v>7150</v>
      </c>
      <c r="H4130" s="7" t="s">
        <v>7156</v>
      </c>
      <c r="I4130" s="7"/>
      <c r="J4130" s="10">
        <v>42508</v>
      </c>
      <c r="K4130" s="7" t="s">
        <v>7163</v>
      </c>
      <c r="L4130" s="7"/>
      <c r="M4130" s="7"/>
    </row>
    <row r="4131" spans="1:13" x14ac:dyDescent="0.3">
      <c r="A4131" s="7">
        <v>11424</v>
      </c>
      <c r="B4131" s="7" t="s">
        <v>4138</v>
      </c>
      <c r="C4131" s="7" t="s">
        <v>6876</v>
      </c>
      <c r="D4131" s="7" t="s">
        <v>6879</v>
      </c>
      <c r="E4131" s="7" t="s">
        <v>6880</v>
      </c>
      <c r="F4131" s="7" t="s">
        <v>6340</v>
      </c>
      <c r="G4131" s="7" t="s">
        <v>7150</v>
      </c>
      <c r="H4131" s="7" t="s">
        <v>7156</v>
      </c>
      <c r="I4131" s="7"/>
      <c r="J4131" s="10">
        <v>42684</v>
      </c>
      <c r="K4131" s="7" t="s">
        <v>7163</v>
      </c>
      <c r="L4131" s="7"/>
      <c r="M4131" s="7"/>
    </row>
    <row r="4132" spans="1:13" x14ac:dyDescent="0.3">
      <c r="A4132" s="7">
        <v>12318</v>
      </c>
      <c r="B4132" s="7" t="s">
        <v>4139</v>
      </c>
      <c r="C4132" s="7" t="s">
        <v>6876</v>
      </c>
      <c r="D4132" s="7" t="s">
        <v>6879</v>
      </c>
      <c r="E4132" s="7" t="s">
        <v>6880</v>
      </c>
      <c r="F4132" s="7" t="s">
        <v>6340</v>
      </c>
      <c r="G4132" s="7" t="s">
        <v>7150</v>
      </c>
      <c r="H4132" s="7" t="s">
        <v>7156</v>
      </c>
      <c r="I4132" s="7"/>
      <c r="J4132" s="10">
        <v>43683</v>
      </c>
      <c r="K4132" s="7" t="s">
        <v>7163</v>
      </c>
      <c r="L4132" s="7"/>
      <c r="M4132" s="7"/>
    </row>
    <row r="4133" spans="1:13" x14ac:dyDescent="0.3">
      <c r="A4133" s="7">
        <v>13501</v>
      </c>
      <c r="B4133" s="7" t="s">
        <v>4140</v>
      </c>
      <c r="C4133" s="7" t="s">
        <v>6876</v>
      </c>
      <c r="D4133" s="7" t="s">
        <v>6879</v>
      </c>
      <c r="E4133" s="7" t="s">
        <v>6880</v>
      </c>
      <c r="F4133" s="7" t="s">
        <v>6340</v>
      </c>
      <c r="G4133" s="7" t="s">
        <v>7150</v>
      </c>
      <c r="H4133" s="7" t="s">
        <v>7156</v>
      </c>
      <c r="I4133" s="7"/>
      <c r="J4133" s="10">
        <v>44477</v>
      </c>
      <c r="K4133" s="7" t="s">
        <v>7163</v>
      </c>
      <c r="L4133" s="7"/>
      <c r="M4133" s="7"/>
    </row>
    <row r="4134" spans="1:13" x14ac:dyDescent="0.3">
      <c r="A4134" s="7">
        <v>14187</v>
      </c>
      <c r="B4134" s="7" t="s">
        <v>4141</v>
      </c>
      <c r="C4134" s="7" t="s">
        <v>6876</v>
      </c>
      <c r="D4134" s="7" t="s">
        <v>6879</v>
      </c>
      <c r="E4134" s="7" t="s">
        <v>6880</v>
      </c>
      <c r="F4134" s="7" t="s">
        <v>6340</v>
      </c>
      <c r="G4134" s="7" t="s">
        <v>7150</v>
      </c>
      <c r="H4134" s="7" t="s">
        <v>7156</v>
      </c>
      <c r="I4134" s="7"/>
      <c r="J4134" s="10">
        <v>44693</v>
      </c>
      <c r="K4134" s="7" t="s">
        <v>7163</v>
      </c>
      <c r="L4134" s="7"/>
      <c r="M4134" s="7"/>
    </row>
    <row r="4135" spans="1:13" x14ac:dyDescent="0.3">
      <c r="A4135" s="7">
        <v>14226</v>
      </c>
      <c r="B4135" s="7" t="s">
        <v>4142</v>
      </c>
      <c r="C4135" s="7" t="s">
        <v>6876</v>
      </c>
      <c r="D4135" s="7" t="s">
        <v>6879</v>
      </c>
      <c r="E4135" s="7" t="s">
        <v>6880</v>
      </c>
      <c r="F4135" s="7" t="s">
        <v>6340</v>
      </c>
      <c r="G4135" s="7" t="s">
        <v>7150</v>
      </c>
      <c r="H4135" s="7" t="s">
        <v>7156</v>
      </c>
      <c r="I4135" s="7"/>
      <c r="J4135" s="10">
        <v>44705</v>
      </c>
      <c r="K4135" s="7" t="s">
        <v>7163</v>
      </c>
      <c r="L4135" s="7"/>
      <c r="M4135" s="7"/>
    </row>
    <row r="4136" spans="1:13" x14ac:dyDescent="0.3">
      <c r="A4136" s="7">
        <v>13720</v>
      </c>
      <c r="B4136" s="7" t="s">
        <v>4143</v>
      </c>
      <c r="C4136" s="7" t="s">
        <v>6876</v>
      </c>
      <c r="D4136" s="7" t="s">
        <v>6879</v>
      </c>
      <c r="E4136" s="7" t="s">
        <v>6880</v>
      </c>
      <c r="F4136" s="7" t="s">
        <v>6340</v>
      </c>
      <c r="G4136" s="7" t="s">
        <v>7150</v>
      </c>
      <c r="H4136" s="7" t="s">
        <v>7156</v>
      </c>
      <c r="I4136" s="7"/>
      <c r="J4136" s="10">
        <v>44545</v>
      </c>
      <c r="K4136" s="7" t="s">
        <v>7163</v>
      </c>
      <c r="L4136" s="7"/>
      <c r="M4136" s="7"/>
    </row>
    <row r="4137" spans="1:13" x14ac:dyDescent="0.3">
      <c r="A4137" s="7">
        <v>14338</v>
      </c>
      <c r="B4137" s="7" t="s">
        <v>4144</v>
      </c>
      <c r="C4137" s="7" t="s">
        <v>6876</v>
      </c>
      <c r="D4137" s="7" t="s">
        <v>6879</v>
      </c>
      <c r="E4137" s="7" t="s">
        <v>6880</v>
      </c>
      <c r="F4137" s="7" t="s">
        <v>6341</v>
      </c>
      <c r="G4137" s="7" t="s">
        <v>7150</v>
      </c>
      <c r="H4137" s="7" t="s">
        <v>7156</v>
      </c>
      <c r="I4137" s="7"/>
      <c r="J4137" s="10">
        <v>44736</v>
      </c>
      <c r="K4137" s="7" t="s">
        <v>7163</v>
      </c>
      <c r="L4137" s="7"/>
      <c r="M4137" s="7"/>
    </row>
    <row r="4138" spans="1:13" x14ac:dyDescent="0.3">
      <c r="A4138" s="7">
        <v>15815</v>
      </c>
      <c r="B4138" s="7" t="s">
        <v>4145</v>
      </c>
      <c r="C4138" s="7" t="s">
        <v>6876</v>
      </c>
      <c r="D4138" s="7" t="s">
        <v>6879</v>
      </c>
      <c r="E4138" s="7" t="s">
        <v>6880</v>
      </c>
      <c r="F4138" s="7" t="s">
        <v>6341</v>
      </c>
      <c r="G4138" s="7" t="s">
        <v>7150</v>
      </c>
      <c r="H4138" s="7" t="s">
        <v>7156</v>
      </c>
      <c r="I4138" s="7"/>
      <c r="J4138" s="10">
        <v>45205</v>
      </c>
      <c r="K4138" s="7" t="s">
        <v>7163</v>
      </c>
      <c r="L4138" s="7"/>
      <c r="M4138" s="7"/>
    </row>
    <row r="4139" spans="1:13" x14ac:dyDescent="0.3">
      <c r="A4139" s="7">
        <v>15817</v>
      </c>
      <c r="B4139" s="7" t="s">
        <v>4146</v>
      </c>
      <c r="C4139" s="7" t="s">
        <v>6876</v>
      </c>
      <c r="D4139" s="7" t="s">
        <v>6879</v>
      </c>
      <c r="E4139" s="7" t="s">
        <v>6880</v>
      </c>
      <c r="F4139" s="7" t="s">
        <v>6340</v>
      </c>
      <c r="G4139" s="7" t="s">
        <v>7150</v>
      </c>
      <c r="H4139" s="7" t="s">
        <v>7156</v>
      </c>
      <c r="I4139" s="7"/>
      <c r="J4139" s="10">
        <v>45205</v>
      </c>
      <c r="K4139" s="7" t="s">
        <v>7163</v>
      </c>
      <c r="L4139" s="7"/>
      <c r="M4139" s="7"/>
    </row>
    <row r="4140" spans="1:13" x14ac:dyDescent="0.3">
      <c r="A4140" s="7">
        <v>15844</v>
      </c>
      <c r="B4140" s="7" t="s">
        <v>4147</v>
      </c>
      <c r="C4140" s="7" t="s">
        <v>6876</v>
      </c>
      <c r="D4140" s="7" t="s">
        <v>6879</v>
      </c>
      <c r="E4140" s="7" t="s">
        <v>6880</v>
      </c>
      <c r="F4140" s="7" t="s">
        <v>6341</v>
      </c>
      <c r="G4140" s="7" t="s">
        <v>7150</v>
      </c>
      <c r="H4140" s="7" t="s">
        <v>7156</v>
      </c>
      <c r="I4140" s="7"/>
      <c r="J4140" s="10">
        <v>45212</v>
      </c>
      <c r="K4140" s="7" t="s">
        <v>7163</v>
      </c>
      <c r="L4140" s="7"/>
      <c r="M4140" s="7"/>
    </row>
    <row r="4141" spans="1:13" x14ac:dyDescent="0.3">
      <c r="A4141" s="7">
        <v>15854</v>
      </c>
      <c r="B4141" s="7" t="s">
        <v>4148</v>
      </c>
      <c r="C4141" s="7" t="s">
        <v>6876</v>
      </c>
      <c r="D4141" s="7" t="s">
        <v>6879</v>
      </c>
      <c r="E4141" s="7" t="s">
        <v>6880</v>
      </c>
      <c r="F4141" s="7" t="s">
        <v>6341</v>
      </c>
      <c r="G4141" s="7" t="s">
        <v>7150</v>
      </c>
      <c r="H4141" s="7" t="s">
        <v>7156</v>
      </c>
      <c r="I4141" s="7"/>
      <c r="J4141" s="10">
        <v>45218</v>
      </c>
      <c r="K4141" s="7" t="s">
        <v>7163</v>
      </c>
      <c r="L4141" s="7"/>
      <c r="M4141" s="7"/>
    </row>
    <row r="4142" spans="1:13" x14ac:dyDescent="0.3">
      <c r="A4142" s="7">
        <v>16102</v>
      </c>
      <c r="B4142" s="7" t="s">
        <v>4149</v>
      </c>
      <c r="C4142" s="7" t="s">
        <v>6876</v>
      </c>
      <c r="D4142" s="7" t="s">
        <v>6879</v>
      </c>
      <c r="E4142" s="7" t="s">
        <v>6880</v>
      </c>
      <c r="F4142" s="7" t="s">
        <v>6341</v>
      </c>
      <c r="G4142" s="7" t="s">
        <v>7151</v>
      </c>
      <c r="H4142" s="7" t="s">
        <v>7156</v>
      </c>
      <c r="I4142" s="7"/>
      <c r="J4142" s="10">
        <v>45285</v>
      </c>
      <c r="K4142" s="7" t="s">
        <v>7163</v>
      </c>
      <c r="L4142" s="7"/>
      <c r="M4142" s="7"/>
    </row>
    <row r="4143" spans="1:13" x14ac:dyDescent="0.3">
      <c r="A4143" s="7">
        <v>16276</v>
      </c>
      <c r="B4143" s="7" t="s">
        <v>4150</v>
      </c>
      <c r="C4143" s="7" t="s">
        <v>6876</v>
      </c>
      <c r="D4143" s="7" t="s">
        <v>6879</v>
      </c>
      <c r="E4143" s="7" t="s">
        <v>6880</v>
      </c>
      <c r="F4143" s="7" t="s">
        <v>6340</v>
      </c>
      <c r="G4143" s="7" t="s">
        <v>7152</v>
      </c>
      <c r="H4143" s="7" t="s">
        <v>7156</v>
      </c>
      <c r="I4143" s="7"/>
      <c r="J4143" s="10">
        <v>45337</v>
      </c>
      <c r="K4143" s="7" t="s">
        <v>7163</v>
      </c>
      <c r="L4143" s="7"/>
      <c r="M4143" s="7"/>
    </row>
    <row r="4144" spans="1:13" x14ac:dyDescent="0.3">
      <c r="A4144" s="7">
        <v>16319</v>
      </c>
      <c r="B4144" s="7" t="s">
        <v>4151</v>
      </c>
      <c r="C4144" s="7" t="s">
        <v>6876</v>
      </c>
      <c r="D4144" s="7" t="s">
        <v>6879</v>
      </c>
      <c r="E4144" s="7" t="s">
        <v>6880</v>
      </c>
      <c r="F4144" s="7" t="s">
        <v>6341</v>
      </c>
      <c r="G4144" s="7" t="s">
        <v>7150</v>
      </c>
      <c r="H4144" s="7" t="s">
        <v>7156</v>
      </c>
      <c r="I4144" s="7"/>
      <c r="J4144" s="10">
        <v>45355</v>
      </c>
      <c r="K4144" s="7" t="s">
        <v>7163</v>
      </c>
      <c r="L4144" s="7"/>
      <c r="M4144" s="7"/>
    </row>
    <row r="4145" spans="1:13" x14ac:dyDescent="0.3">
      <c r="A4145" s="7">
        <v>17131</v>
      </c>
      <c r="B4145" s="7" t="s">
        <v>4152</v>
      </c>
      <c r="C4145" s="7" t="s">
        <v>6876</v>
      </c>
      <c r="D4145" s="7" t="s">
        <v>6879</v>
      </c>
      <c r="E4145" s="7" t="s">
        <v>6880</v>
      </c>
      <c r="F4145" s="7" t="s">
        <v>6341</v>
      </c>
      <c r="G4145" s="7" t="s">
        <v>7150</v>
      </c>
      <c r="H4145" s="7" t="s">
        <v>7156</v>
      </c>
      <c r="I4145" s="7"/>
      <c r="J4145" s="10">
        <v>45642</v>
      </c>
      <c r="K4145" s="7" t="s">
        <v>7163</v>
      </c>
      <c r="L4145" s="7"/>
      <c r="M4145" s="7"/>
    </row>
    <row r="4146" spans="1:13" x14ac:dyDescent="0.3">
      <c r="A4146" s="7">
        <v>17177</v>
      </c>
      <c r="B4146" s="7" t="s">
        <v>4153</v>
      </c>
      <c r="C4146" s="7" t="s">
        <v>6876</v>
      </c>
      <c r="D4146" s="7" t="s">
        <v>6879</v>
      </c>
      <c r="E4146" s="7" t="s">
        <v>6880</v>
      </c>
      <c r="F4146" s="7" t="s">
        <v>6341</v>
      </c>
      <c r="G4146" s="7" t="s">
        <v>7150</v>
      </c>
      <c r="H4146" s="7" t="s">
        <v>7156</v>
      </c>
      <c r="I4146" s="7"/>
      <c r="J4146" s="10">
        <v>45670</v>
      </c>
      <c r="K4146" s="7" t="s">
        <v>7163</v>
      </c>
      <c r="L4146" s="7"/>
      <c r="M4146" s="7"/>
    </row>
    <row r="4147" spans="1:13" x14ac:dyDescent="0.3">
      <c r="A4147" s="7">
        <v>17560</v>
      </c>
      <c r="B4147" s="7" t="s">
        <v>4154</v>
      </c>
      <c r="C4147" s="7" t="s">
        <v>6876</v>
      </c>
      <c r="D4147" s="7" t="s">
        <v>6879</v>
      </c>
      <c r="E4147" s="7" t="s">
        <v>6880</v>
      </c>
      <c r="F4147" s="7" t="s">
        <v>6341</v>
      </c>
      <c r="G4147" s="7" t="s">
        <v>7150</v>
      </c>
      <c r="H4147" s="7" t="s">
        <v>7156</v>
      </c>
      <c r="I4147" s="7"/>
      <c r="J4147" s="10">
        <v>45792</v>
      </c>
      <c r="K4147" s="7" t="s">
        <v>7163</v>
      </c>
      <c r="L4147" s="7"/>
      <c r="M4147" s="7"/>
    </row>
    <row r="4148" spans="1:13" x14ac:dyDescent="0.3">
      <c r="A4148" s="7">
        <v>10803</v>
      </c>
      <c r="B4148" s="7" t="s">
        <v>4155</v>
      </c>
      <c r="C4148" s="7" t="s">
        <v>6876</v>
      </c>
      <c r="D4148" s="7" t="s">
        <v>6881</v>
      </c>
      <c r="E4148" s="7" t="s">
        <v>6295</v>
      </c>
      <c r="F4148" s="7" t="s">
        <v>6338</v>
      </c>
      <c r="G4148" s="7" t="s">
        <v>7150</v>
      </c>
      <c r="H4148" s="7" t="s">
        <v>7156</v>
      </c>
      <c r="I4148" s="7"/>
      <c r="J4148" s="10">
        <v>41920</v>
      </c>
      <c r="K4148" s="7" t="s">
        <v>7163</v>
      </c>
      <c r="L4148" s="7"/>
      <c r="M4148" s="7"/>
    </row>
    <row r="4149" spans="1:13" x14ac:dyDescent="0.3">
      <c r="A4149" s="7">
        <v>11693</v>
      </c>
      <c r="B4149" s="7" t="s">
        <v>4156</v>
      </c>
      <c r="C4149" s="7" t="s">
        <v>6876</v>
      </c>
      <c r="D4149" s="7" t="s">
        <v>6881</v>
      </c>
      <c r="E4149" s="7" t="s">
        <v>6295</v>
      </c>
      <c r="F4149" s="7" t="s">
        <v>6335</v>
      </c>
      <c r="G4149" s="7" t="s">
        <v>7150</v>
      </c>
      <c r="H4149" s="7" t="s">
        <v>7156</v>
      </c>
      <c r="I4149" s="7"/>
      <c r="J4149" s="10">
        <v>43027</v>
      </c>
      <c r="K4149" s="7" t="s">
        <v>7163</v>
      </c>
      <c r="L4149" s="7"/>
      <c r="M4149" s="7"/>
    </row>
    <row r="4150" spans="1:13" x14ac:dyDescent="0.3">
      <c r="A4150" s="7">
        <v>12157</v>
      </c>
      <c r="B4150" s="7" t="s">
        <v>4157</v>
      </c>
      <c r="C4150" s="7" t="s">
        <v>6876</v>
      </c>
      <c r="D4150" s="7" t="s">
        <v>6881</v>
      </c>
      <c r="E4150" s="7" t="s">
        <v>6295</v>
      </c>
      <c r="F4150" s="7" t="s">
        <v>6335</v>
      </c>
      <c r="G4150" s="7" t="s">
        <v>7150</v>
      </c>
      <c r="H4150" s="7" t="s">
        <v>7156</v>
      </c>
      <c r="I4150" s="7"/>
      <c r="J4150" s="10">
        <v>43530</v>
      </c>
      <c r="K4150" s="7" t="s">
        <v>7163</v>
      </c>
      <c r="L4150" s="7"/>
      <c r="M4150" s="7"/>
    </row>
    <row r="4151" spans="1:13" x14ac:dyDescent="0.3">
      <c r="A4151" s="7">
        <v>12894</v>
      </c>
      <c r="B4151" s="7" t="s">
        <v>4158</v>
      </c>
      <c r="C4151" s="7" t="s">
        <v>6876</v>
      </c>
      <c r="D4151" s="7" t="s">
        <v>6881</v>
      </c>
      <c r="E4151" s="7" t="s">
        <v>6295</v>
      </c>
      <c r="F4151" s="7" t="s">
        <v>6496</v>
      </c>
      <c r="G4151" s="7" t="s">
        <v>7150</v>
      </c>
      <c r="H4151" s="7" t="s">
        <v>7156</v>
      </c>
      <c r="I4151" s="7"/>
      <c r="J4151" s="10">
        <v>44084</v>
      </c>
      <c r="K4151" s="7" t="s">
        <v>7163</v>
      </c>
      <c r="L4151" s="7"/>
      <c r="M4151" s="7"/>
    </row>
    <row r="4152" spans="1:13" x14ac:dyDescent="0.3">
      <c r="A4152" s="7">
        <v>11748</v>
      </c>
      <c r="B4152" s="7" t="s">
        <v>4159</v>
      </c>
      <c r="C4152" s="7" t="s">
        <v>6876</v>
      </c>
      <c r="D4152" s="7" t="s">
        <v>6881</v>
      </c>
      <c r="E4152" s="7" t="s">
        <v>6295</v>
      </c>
      <c r="F4152" s="7" t="s">
        <v>6882</v>
      </c>
      <c r="G4152" s="7" t="s">
        <v>7150</v>
      </c>
      <c r="H4152" s="7" t="s">
        <v>7156</v>
      </c>
      <c r="I4152" s="7"/>
      <c r="J4152" s="10">
        <v>43077</v>
      </c>
      <c r="K4152" s="7" t="s">
        <v>7163</v>
      </c>
      <c r="L4152" s="7"/>
      <c r="M4152" s="7"/>
    </row>
    <row r="4153" spans="1:13" x14ac:dyDescent="0.3">
      <c r="A4153" s="7">
        <v>11968</v>
      </c>
      <c r="B4153" s="7" t="s">
        <v>4160</v>
      </c>
      <c r="C4153" s="7" t="s">
        <v>6876</v>
      </c>
      <c r="D4153" s="7" t="s">
        <v>6881</v>
      </c>
      <c r="E4153" s="7" t="s">
        <v>6295</v>
      </c>
      <c r="F4153" s="7" t="s">
        <v>6883</v>
      </c>
      <c r="G4153" s="7" t="s">
        <v>7150</v>
      </c>
      <c r="H4153" s="7" t="s">
        <v>7156</v>
      </c>
      <c r="I4153" s="7"/>
      <c r="J4153" s="10">
        <v>43332</v>
      </c>
      <c r="K4153" s="7" t="s">
        <v>7163</v>
      </c>
      <c r="L4153" s="7"/>
      <c r="M4153" s="7"/>
    </row>
    <row r="4154" spans="1:13" x14ac:dyDescent="0.3">
      <c r="A4154" s="7">
        <v>290015</v>
      </c>
      <c r="B4154" s="7" t="s">
        <v>4161</v>
      </c>
      <c r="C4154" s="7" t="s">
        <v>6876</v>
      </c>
      <c r="D4154" s="7" t="s">
        <v>6881</v>
      </c>
      <c r="E4154" s="7" t="s">
        <v>6295</v>
      </c>
      <c r="F4154" s="7" t="s">
        <v>6432</v>
      </c>
      <c r="G4154" s="7" t="s">
        <v>7150</v>
      </c>
      <c r="H4154" s="7" t="s">
        <v>7156</v>
      </c>
      <c r="I4154" s="7"/>
      <c r="J4154" s="10">
        <v>40282</v>
      </c>
      <c r="K4154" s="7" t="s">
        <v>7163</v>
      </c>
      <c r="L4154" s="7"/>
      <c r="M4154" s="7"/>
    </row>
    <row r="4155" spans="1:13" x14ac:dyDescent="0.3">
      <c r="A4155" s="7">
        <v>14366</v>
      </c>
      <c r="B4155" s="7" t="s">
        <v>4162</v>
      </c>
      <c r="C4155" s="7" t="s">
        <v>6876</v>
      </c>
      <c r="D4155" s="7" t="s">
        <v>6881</v>
      </c>
      <c r="E4155" s="7" t="s">
        <v>6295</v>
      </c>
      <c r="F4155" s="7" t="s">
        <v>6340</v>
      </c>
      <c r="G4155" s="7" t="s">
        <v>7150</v>
      </c>
      <c r="H4155" s="7" t="s">
        <v>7156</v>
      </c>
      <c r="I4155" s="7"/>
      <c r="J4155" s="10">
        <v>44746</v>
      </c>
      <c r="K4155" s="7" t="s">
        <v>7163</v>
      </c>
      <c r="L4155" s="7"/>
      <c r="M4155" s="7"/>
    </row>
    <row r="4156" spans="1:13" x14ac:dyDescent="0.3">
      <c r="A4156" s="7">
        <v>14826</v>
      </c>
      <c r="B4156" s="7" t="s">
        <v>4163</v>
      </c>
      <c r="C4156" s="7" t="s">
        <v>6876</v>
      </c>
      <c r="D4156" s="7" t="s">
        <v>6881</v>
      </c>
      <c r="E4156" s="7" t="s">
        <v>6295</v>
      </c>
      <c r="F4156" s="7" t="s">
        <v>6340</v>
      </c>
      <c r="G4156" s="7" t="s">
        <v>7150</v>
      </c>
      <c r="H4156" s="7" t="s">
        <v>7156</v>
      </c>
      <c r="I4156" s="7"/>
      <c r="J4156" s="10">
        <v>44869</v>
      </c>
      <c r="K4156" s="7" t="s">
        <v>7163</v>
      </c>
      <c r="L4156" s="7"/>
      <c r="M4156" s="7"/>
    </row>
    <row r="4157" spans="1:13" x14ac:dyDescent="0.3">
      <c r="A4157" s="7">
        <v>17547</v>
      </c>
      <c r="B4157" s="7" t="s">
        <v>4164</v>
      </c>
      <c r="C4157" s="7" t="s">
        <v>6876</v>
      </c>
      <c r="D4157" s="7" t="s">
        <v>6881</v>
      </c>
      <c r="E4157" s="7" t="s">
        <v>6295</v>
      </c>
      <c r="F4157" s="7" t="s">
        <v>6340</v>
      </c>
      <c r="G4157" s="7" t="s">
        <v>7150</v>
      </c>
      <c r="H4157" s="7" t="s">
        <v>7156</v>
      </c>
      <c r="I4157" s="7"/>
      <c r="J4157" s="10">
        <v>45785</v>
      </c>
      <c r="K4157" s="7" t="s">
        <v>7163</v>
      </c>
      <c r="L4157" s="7"/>
      <c r="M4157" s="7"/>
    </row>
    <row r="4158" spans="1:13" x14ac:dyDescent="0.3">
      <c r="A4158" s="7">
        <v>14276</v>
      </c>
      <c r="B4158" s="7" t="s">
        <v>4165</v>
      </c>
      <c r="C4158" s="7" t="s">
        <v>6876</v>
      </c>
      <c r="D4158" s="7" t="s">
        <v>6881</v>
      </c>
      <c r="E4158" s="7" t="s">
        <v>6295</v>
      </c>
      <c r="F4158" s="7" t="s">
        <v>6340</v>
      </c>
      <c r="G4158" s="7" t="s">
        <v>7150</v>
      </c>
      <c r="H4158" s="7" t="s">
        <v>7156</v>
      </c>
      <c r="I4158" s="7"/>
      <c r="J4158" s="10">
        <v>44713</v>
      </c>
      <c r="K4158" s="7" t="s">
        <v>7163</v>
      </c>
      <c r="L4158" s="7"/>
      <c r="M4158" s="7"/>
    </row>
    <row r="4159" spans="1:13" x14ac:dyDescent="0.3">
      <c r="A4159" s="7">
        <v>14708</v>
      </c>
      <c r="B4159" s="7" t="s">
        <v>4166</v>
      </c>
      <c r="C4159" s="7" t="s">
        <v>6876</v>
      </c>
      <c r="D4159" s="7" t="s">
        <v>6881</v>
      </c>
      <c r="E4159" s="7" t="s">
        <v>6295</v>
      </c>
      <c r="F4159" s="7" t="s">
        <v>6340</v>
      </c>
      <c r="G4159" s="7" t="s">
        <v>7150</v>
      </c>
      <c r="H4159" s="7" t="s">
        <v>7156</v>
      </c>
      <c r="I4159" s="7"/>
      <c r="J4159" s="10">
        <v>44837</v>
      </c>
      <c r="K4159" s="7" t="s">
        <v>7163</v>
      </c>
      <c r="L4159" s="7"/>
      <c r="M4159" s="7"/>
    </row>
    <row r="4160" spans="1:13" x14ac:dyDescent="0.3">
      <c r="A4160" s="7">
        <v>15197</v>
      </c>
      <c r="B4160" s="7" t="s">
        <v>4167</v>
      </c>
      <c r="C4160" s="7" t="s">
        <v>6876</v>
      </c>
      <c r="D4160" s="7" t="s">
        <v>6881</v>
      </c>
      <c r="E4160" s="7" t="s">
        <v>6295</v>
      </c>
      <c r="F4160" s="7" t="s">
        <v>6340</v>
      </c>
      <c r="G4160" s="7" t="s">
        <v>7150</v>
      </c>
      <c r="H4160" s="7" t="s">
        <v>7156</v>
      </c>
      <c r="I4160" s="7"/>
      <c r="J4160" s="10">
        <v>44981</v>
      </c>
      <c r="K4160" s="7" t="s">
        <v>7163</v>
      </c>
      <c r="L4160" s="7"/>
      <c r="M4160" s="7"/>
    </row>
    <row r="4161" spans="1:13" x14ac:dyDescent="0.3">
      <c r="A4161" s="7">
        <v>15913</v>
      </c>
      <c r="B4161" s="7" t="s">
        <v>4168</v>
      </c>
      <c r="C4161" s="7" t="s">
        <v>6876</v>
      </c>
      <c r="D4161" s="7" t="s">
        <v>6881</v>
      </c>
      <c r="E4161" s="7" t="s">
        <v>6295</v>
      </c>
      <c r="F4161" s="7" t="s">
        <v>6340</v>
      </c>
      <c r="G4161" s="7" t="s">
        <v>7150</v>
      </c>
      <c r="H4161" s="7" t="s">
        <v>7156</v>
      </c>
      <c r="I4161" s="7"/>
      <c r="J4161" s="10">
        <v>45237</v>
      </c>
      <c r="K4161" s="7" t="s">
        <v>7163</v>
      </c>
      <c r="L4161" s="7"/>
      <c r="M4161" s="7"/>
    </row>
    <row r="4162" spans="1:13" x14ac:dyDescent="0.3">
      <c r="A4162" s="7">
        <v>16466</v>
      </c>
      <c r="B4162" s="7" t="s">
        <v>4169</v>
      </c>
      <c r="C4162" s="7" t="s">
        <v>6876</v>
      </c>
      <c r="D4162" s="7" t="s">
        <v>6881</v>
      </c>
      <c r="E4162" s="7" t="s">
        <v>6295</v>
      </c>
      <c r="F4162" s="7" t="s">
        <v>6884</v>
      </c>
      <c r="G4162" s="7" t="s">
        <v>7150</v>
      </c>
      <c r="H4162" s="7" t="s">
        <v>7156</v>
      </c>
      <c r="I4162" s="7"/>
      <c r="J4162" s="10">
        <v>45415</v>
      </c>
      <c r="K4162" s="7" t="s">
        <v>7163</v>
      </c>
      <c r="L4162" s="7"/>
      <c r="M4162" s="7"/>
    </row>
    <row r="4163" spans="1:13" x14ac:dyDescent="0.3">
      <c r="A4163" s="7">
        <v>16773</v>
      </c>
      <c r="B4163" s="7" t="s">
        <v>4170</v>
      </c>
      <c r="C4163" s="7" t="s">
        <v>6876</v>
      </c>
      <c r="D4163" s="7" t="s">
        <v>6881</v>
      </c>
      <c r="E4163" s="7" t="s">
        <v>6295</v>
      </c>
      <c r="F4163" s="7" t="s">
        <v>6885</v>
      </c>
      <c r="G4163" s="7" t="s">
        <v>7150</v>
      </c>
      <c r="H4163" s="7" t="s">
        <v>7156</v>
      </c>
      <c r="I4163" s="7"/>
      <c r="J4163" s="10">
        <v>45552</v>
      </c>
      <c r="K4163" s="7" t="s">
        <v>7163</v>
      </c>
      <c r="L4163" s="7"/>
      <c r="M4163" s="7"/>
    </row>
    <row r="4164" spans="1:13" x14ac:dyDescent="0.3">
      <c r="A4164" s="7">
        <v>17956</v>
      </c>
      <c r="B4164" s="7" t="s">
        <v>4171</v>
      </c>
      <c r="C4164" s="7" t="s">
        <v>6876</v>
      </c>
      <c r="D4164" s="7" t="s">
        <v>6881</v>
      </c>
      <c r="E4164" s="7" t="s">
        <v>6295</v>
      </c>
      <c r="F4164" s="7" t="s">
        <v>6606</v>
      </c>
      <c r="G4164" s="7" t="s">
        <v>7150</v>
      </c>
      <c r="H4164" s="7" t="s">
        <v>7156</v>
      </c>
      <c r="I4164" s="7"/>
      <c r="J4164" s="10">
        <v>45937</v>
      </c>
      <c r="K4164" s="7" t="s">
        <v>7163</v>
      </c>
      <c r="L4164" s="7"/>
      <c r="M4164" s="7"/>
    </row>
    <row r="4165" spans="1:13" x14ac:dyDescent="0.3">
      <c r="A4165" s="7">
        <v>11988</v>
      </c>
      <c r="B4165" s="7" t="s">
        <v>4172</v>
      </c>
      <c r="C4165" s="7" t="s">
        <v>6876</v>
      </c>
      <c r="D4165" s="7" t="s">
        <v>6881</v>
      </c>
      <c r="E4165" s="7" t="s">
        <v>6295</v>
      </c>
      <c r="F4165" s="7" t="s">
        <v>6886</v>
      </c>
      <c r="G4165" s="7" t="s">
        <v>7150</v>
      </c>
      <c r="H4165" s="7" t="s">
        <v>7156</v>
      </c>
      <c r="I4165" s="7"/>
      <c r="J4165" s="10">
        <v>43362</v>
      </c>
      <c r="K4165" s="7" t="s">
        <v>7163</v>
      </c>
      <c r="L4165" s="7"/>
      <c r="M4165" s="7"/>
    </row>
    <row r="4166" spans="1:13" x14ac:dyDescent="0.3">
      <c r="A4166" s="7">
        <v>11574</v>
      </c>
      <c r="B4166" s="7" t="s">
        <v>4173</v>
      </c>
      <c r="C4166" s="7" t="s">
        <v>6876</v>
      </c>
      <c r="D4166" s="7" t="s">
        <v>6881</v>
      </c>
      <c r="E4166" s="7" t="s">
        <v>6295</v>
      </c>
      <c r="F4166" s="7" t="s">
        <v>6887</v>
      </c>
      <c r="G4166" s="7" t="s">
        <v>7150</v>
      </c>
      <c r="H4166" s="7" t="s">
        <v>7156</v>
      </c>
      <c r="I4166" s="7"/>
      <c r="J4166" s="10">
        <v>42866</v>
      </c>
      <c r="K4166" s="7" t="s">
        <v>7163</v>
      </c>
      <c r="L4166" s="7"/>
      <c r="M4166" s="7"/>
    </row>
    <row r="4167" spans="1:13" x14ac:dyDescent="0.3">
      <c r="A4167" s="7">
        <v>13566</v>
      </c>
      <c r="B4167" s="7" t="s">
        <v>4174</v>
      </c>
      <c r="C4167" s="7" t="s">
        <v>6876</v>
      </c>
      <c r="D4167" s="7" t="s">
        <v>6881</v>
      </c>
      <c r="E4167" s="7" t="s">
        <v>6295</v>
      </c>
      <c r="F4167" s="7" t="s">
        <v>6888</v>
      </c>
      <c r="G4167" s="7" t="s">
        <v>7150</v>
      </c>
      <c r="H4167" s="7" t="s">
        <v>7156</v>
      </c>
      <c r="I4167" s="7"/>
      <c r="J4167" s="10">
        <v>44501</v>
      </c>
      <c r="K4167" s="7" t="s">
        <v>7163</v>
      </c>
      <c r="L4167" s="7"/>
      <c r="M4167" s="7"/>
    </row>
    <row r="4168" spans="1:13" x14ac:dyDescent="0.3">
      <c r="A4168" s="7">
        <v>13567</v>
      </c>
      <c r="B4168" s="7" t="s">
        <v>4175</v>
      </c>
      <c r="C4168" s="7" t="s">
        <v>6876</v>
      </c>
      <c r="D4168" s="7" t="s">
        <v>6881</v>
      </c>
      <c r="E4168" s="7" t="s">
        <v>6295</v>
      </c>
      <c r="F4168" s="7" t="s">
        <v>6889</v>
      </c>
      <c r="G4168" s="7" t="s">
        <v>7150</v>
      </c>
      <c r="H4168" s="7" t="s">
        <v>7156</v>
      </c>
      <c r="I4168" s="7"/>
      <c r="J4168" s="10">
        <v>44501</v>
      </c>
      <c r="K4168" s="7" t="s">
        <v>7163</v>
      </c>
      <c r="L4168" s="7"/>
      <c r="M4168" s="7"/>
    </row>
    <row r="4169" spans="1:13" x14ac:dyDescent="0.3">
      <c r="A4169" s="7">
        <v>13645</v>
      </c>
      <c r="B4169" s="7" t="s">
        <v>4176</v>
      </c>
      <c r="C4169" s="7" t="s">
        <v>6876</v>
      </c>
      <c r="D4169" s="7" t="s">
        <v>6881</v>
      </c>
      <c r="E4169" s="7" t="s">
        <v>6295</v>
      </c>
      <c r="F4169" s="7" t="s">
        <v>6890</v>
      </c>
      <c r="G4169" s="7" t="s">
        <v>7150</v>
      </c>
      <c r="H4169" s="7" t="s">
        <v>7156</v>
      </c>
      <c r="I4169" s="7"/>
      <c r="J4169" s="10">
        <v>44522</v>
      </c>
      <c r="K4169" s="7" t="s">
        <v>7163</v>
      </c>
      <c r="L4169" s="7"/>
      <c r="M4169" s="7"/>
    </row>
    <row r="4170" spans="1:13" x14ac:dyDescent="0.3">
      <c r="A4170" s="7">
        <v>14735</v>
      </c>
      <c r="B4170" s="7" t="s">
        <v>4177</v>
      </c>
      <c r="C4170" s="7" t="s">
        <v>6876</v>
      </c>
      <c r="D4170" s="7" t="s">
        <v>6881</v>
      </c>
      <c r="E4170" s="7" t="s">
        <v>6295</v>
      </c>
      <c r="F4170" s="7" t="s">
        <v>6891</v>
      </c>
      <c r="G4170" s="7" t="s">
        <v>7150</v>
      </c>
      <c r="H4170" s="7" t="s">
        <v>7156</v>
      </c>
      <c r="I4170" s="7"/>
      <c r="J4170" s="10">
        <v>44847</v>
      </c>
      <c r="K4170" s="7" t="s">
        <v>7163</v>
      </c>
      <c r="L4170" s="7"/>
      <c r="M4170" s="7"/>
    </row>
    <row r="4171" spans="1:13" x14ac:dyDescent="0.3">
      <c r="A4171" s="7">
        <v>14494</v>
      </c>
      <c r="B4171" s="7" t="s">
        <v>4178</v>
      </c>
      <c r="C4171" s="7" t="s">
        <v>6876</v>
      </c>
      <c r="D4171" s="7" t="s">
        <v>6881</v>
      </c>
      <c r="E4171" s="7" t="s">
        <v>6295</v>
      </c>
      <c r="F4171" s="7" t="s">
        <v>6892</v>
      </c>
      <c r="G4171" s="7" t="s">
        <v>7150</v>
      </c>
      <c r="H4171" s="7" t="s">
        <v>7156</v>
      </c>
      <c r="I4171" s="7"/>
      <c r="J4171" s="10">
        <v>44776</v>
      </c>
      <c r="K4171" s="7" t="s">
        <v>7163</v>
      </c>
      <c r="L4171" s="7"/>
      <c r="M4171" s="7"/>
    </row>
    <row r="4172" spans="1:13" x14ac:dyDescent="0.3">
      <c r="A4172" s="7">
        <v>16741</v>
      </c>
      <c r="B4172" s="7" t="s">
        <v>4179</v>
      </c>
      <c r="C4172" s="7" t="s">
        <v>6876</v>
      </c>
      <c r="D4172" s="7" t="s">
        <v>6881</v>
      </c>
      <c r="E4172" s="7" t="s">
        <v>6295</v>
      </c>
      <c r="F4172" s="7" t="s">
        <v>6893</v>
      </c>
      <c r="G4172" s="7" t="s">
        <v>7150</v>
      </c>
      <c r="H4172" s="7" t="s">
        <v>7156</v>
      </c>
      <c r="I4172" s="7"/>
      <c r="J4172" s="10">
        <v>45539</v>
      </c>
      <c r="K4172" s="7" t="s">
        <v>7163</v>
      </c>
      <c r="L4172" s="7"/>
      <c r="M4172" s="7"/>
    </row>
    <row r="4173" spans="1:13" x14ac:dyDescent="0.3">
      <c r="A4173" s="7">
        <v>18608</v>
      </c>
      <c r="B4173" s="7" t="s">
        <v>4180</v>
      </c>
      <c r="C4173" s="7" t="s">
        <v>6876</v>
      </c>
      <c r="D4173" s="7" t="s">
        <v>6881</v>
      </c>
      <c r="E4173" s="7" t="s">
        <v>6295</v>
      </c>
      <c r="F4173" s="7" t="s">
        <v>6894</v>
      </c>
      <c r="G4173" s="7" t="s">
        <v>7150</v>
      </c>
      <c r="H4173" s="7" t="s">
        <v>7156</v>
      </c>
      <c r="I4173" s="7"/>
      <c r="J4173" s="10">
        <v>46164</v>
      </c>
      <c r="K4173" s="7" t="s">
        <v>7163</v>
      </c>
      <c r="L4173" s="7"/>
      <c r="M4173" s="7"/>
    </row>
    <row r="4174" spans="1:13" x14ac:dyDescent="0.3">
      <c r="A4174" s="7">
        <v>350039</v>
      </c>
      <c r="B4174" s="7" t="s">
        <v>4181</v>
      </c>
      <c r="C4174" s="7" t="s">
        <v>6876</v>
      </c>
      <c r="D4174" s="7" t="s">
        <v>6881</v>
      </c>
      <c r="E4174" s="7" t="s">
        <v>6295</v>
      </c>
      <c r="F4174" s="7" t="s">
        <v>6382</v>
      </c>
      <c r="G4174" s="7" t="s">
        <v>7150</v>
      </c>
      <c r="H4174" s="7" t="s">
        <v>7156</v>
      </c>
      <c r="I4174" s="7"/>
      <c r="J4174" s="10">
        <v>43763</v>
      </c>
      <c r="K4174" s="7" t="s">
        <v>7163</v>
      </c>
      <c r="L4174" s="7"/>
      <c r="M4174" s="7"/>
    </row>
    <row r="4175" spans="1:13" x14ac:dyDescent="0.3">
      <c r="A4175" s="7">
        <v>14535</v>
      </c>
      <c r="B4175" s="7" t="s">
        <v>4182</v>
      </c>
      <c r="C4175" s="7" t="s">
        <v>6876</v>
      </c>
      <c r="D4175" s="7" t="s">
        <v>6881</v>
      </c>
      <c r="E4175" s="7" t="s">
        <v>6295</v>
      </c>
      <c r="F4175" s="7" t="s">
        <v>6895</v>
      </c>
      <c r="G4175" s="7" t="s">
        <v>7150</v>
      </c>
      <c r="H4175" s="7" t="s">
        <v>7156</v>
      </c>
      <c r="I4175" s="7"/>
      <c r="J4175" s="10">
        <v>44788</v>
      </c>
      <c r="K4175" s="7" t="s">
        <v>7163</v>
      </c>
      <c r="L4175" s="7"/>
      <c r="M4175" s="7"/>
    </row>
    <row r="4176" spans="1:13" x14ac:dyDescent="0.3">
      <c r="A4176" s="7">
        <v>18349</v>
      </c>
      <c r="B4176" s="7" t="s">
        <v>4183</v>
      </c>
      <c r="C4176" s="7" t="s">
        <v>6876</v>
      </c>
      <c r="D4176" s="7" t="s">
        <v>6881</v>
      </c>
      <c r="E4176" s="7" t="s">
        <v>6295</v>
      </c>
      <c r="F4176" s="7" t="s">
        <v>6896</v>
      </c>
      <c r="G4176" s="7" t="s">
        <v>7150</v>
      </c>
      <c r="H4176" s="7" t="s">
        <v>7156</v>
      </c>
      <c r="I4176" s="7"/>
      <c r="J4176" s="10">
        <v>46098</v>
      </c>
      <c r="K4176" s="7" t="s">
        <v>7163</v>
      </c>
      <c r="L4176" s="7"/>
      <c r="M4176" s="7"/>
    </row>
    <row r="4177" spans="1:13" x14ac:dyDescent="0.3">
      <c r="A4177" s="7">
        <v>12351</v>
      </c>
      <c r="B4177" s="7" t="s">
        <v>4184</v>
      </c>
      <c r="C4177" s="7" t="s">
        <v>6876</v>
      </c>
      <c r="D4177" s="7" t="s">
        <v>6881</v>
      </c>
      <c r="E4177" s="7" t="s">
        <v>6295</v>
      </c>
      <c r="F4177" s="7" t="s">
        <v>6897</v>
      </c>
      <c r="G4177" s="7" t="s">
        <v>7150</v>
      </c>
      <c r="H4177" s="7" t="s">
        <v>7156</v>
      </c>
      <c r="I4177" s="7"/>
      <c r="J4177" s="10">
        <v>43698</v>
      </c>
      <c r="K4177" s="7" t="s">
        <v>7163</v>
      </c>
      <c r="L4177" s="7"/>
      <c r="M4177" s="7"/>
    </row>
    <row r="4178" spans="1:13" x14ac:dyDescent="0.3">
      <c r="A4178" s="7">
        <v>12779</v>
      </c>
      <c r="B4178" s="7" t="s">
        <v>4185</v>
      </c>
      <c r="C4178" s="7" t="s">
        <v>6876</v>
      </c>
      <c r="D4178" s="7" t="s">
        <v>6881</v>
      </c>
      <c r="E4178" s="7" t="s">
        <v>6295</v>
      </c>
      <c r="F4178" s="7" t="s">
        <v>6898</v>
      </c>
      <c r="G4178" s="7" t="s">
        <v>7150</v>
      </c>
      <c r="H4178" s="7" t="s">
        <v>7156</v>
      </c>
      <c r="I4178" s="7"/>
      <c r="J4178" s="10">
        <v>43929</v>
      </c>
      <c r="K4178" s="7" t="s">
        <v>7163</v>
      </c>
      <c r="L4178" s="7"/>
      <c r="M4178" s="7"/>
    </row>
    <row r="4179" spans="1:13" x14ac:dyDescent="0.3">
      <c r="A4179" s="7">
        <v>15212</v>
      </c>
      <c r="B4179" s="7" t="s">
        <v>4186</v>
      </c>
      <c r="C4179" s="7" t="s">
        <v>6876</v>
      </c>
      <c r="D4179" s="7" t="s">
        <v>6881</v>
      </c>
      <c r="E4179" s="7" t="s">
        <v>6295</v>
      </c>
      <c r="F4179" s="7" t="s">
        <v>6899</v>
      </c>
      <c r="G4179" s="7" t="s">
        <v>7150</v>
      </c>
      <c r="H4179" s="7" t="s">
        <v>7156</v>
      </c>
      <c r="I4179" s="7"/>
      <c r="J4179" s="10">
        <v>44991</v>
      </c>
      <c r="K4179" s="7" t="s">
        <v>7163</v>
      </c>
      <c r="L4179" s="7"/>
      <c r="M4179" s="7"/>
    </row>
    <row r="4180" spans="1:13" x14ac:dyDescent="0.3">
      <c r="A4180" s="7">
        <v>18132</v>
      </c>
      <c r="B4180" s="7" t="s">
        <v>4187</v>
      </c>
      <c r="C4180" s="7" t="s">
        <v>6876</v>
      </c>
      <c r="D4180" s="7" t="s">
        <v>6881</v>
      </c>
      <c r="E4180" s="7" t="s">
        <v>6295</v>
      </c>
      <c r="F4180" s="7" t="s">
        <v>6900</v>
      </c>
      <c r="G4180" s="7" t="s">
        <v>7150</v>
      </c>
      <c r="H4180" s="7" t="s">
        <v>7156</v>
      </c>
      <c r="I4180" s="7"/>
      <c r="J4180" s="10">
        <v>46008</v>
      </c>
      <c r="K4180" s="7" t="s">
        <v>7163</v>
      </c>
      <c r="L4180" s="7"/>
      <c r="M4180" s="7"/>
    </row>
    <row r="4181" spans="1:13" x14ac:dyDescent="0.3">
      <c r="A4181" s="7">
        <v>18305</v>
      </c>
      <c r="B4181" s="7" t="s">
        <v>4188</v>
      </c>
      <c r="C4181" s="7" t="s">
        <v>6876</v>
      </c>
      <c r="D4181" s="7" t="s">
        <v>6881</v>
      </c>
      <c r="E4181" s="7" t="s">
        <v>6295</v>
      </c>
      <c r="F4181" s="7" t="s">
        <v>6901</v>
      </c>
      <c r="G4181" s="7" t="s">
        <v>7150</v>
      </c>
      <c r="H4181" s="7" t="s">
        <v>7156</v>
      </c>
      <c r="I4181" s="7"/>
      <c r="J4181" s="10">
        <v>46085</v>
      </c>
      <c r="K4181" s="7" t="s">
        <v>7163</v>
      </c>
      <c r="L4181" s="7"/>
      <c r="M4181" s="7"/>
    </row>
    <row r="4182" spans="1:13" x14ac:dyDescent="0.3">
      <c r="A4182" s="7">
        <v>15584</v>
      </c>
      <c r="B4182" s="7" t="s">
        <v>4189</v>
      </c>
      <c r="C4182" s="7" t="s">
        <v>6876</v>
      </c>
      <c r="D4182" s="7" t="s">
        <v>6881</v>
      </c>
      <c r="E4182" s="7" t="s">
        <v>6295</v>
      </c>
      <c r="F4182" s="7" t="s">
        <v>6340</v>
      </c>
      <c r="G4182" s="7" t="s">
        <v>7150</v>
      </c>
      <c r="H4182" s="7" t="s">
        <v>7156</v>
      </c>
      <c r="I4182" s="7"/>
      <c r="J4182" s="10">
        <v>45132</v>
      </c>
      <c r="K4182" s="7" t="s">
        <v>7163</v>
      </c>
      <c r="L4182" s="7"/>
      <c r="M4182" s="7"/>
    </row>
    <row r="4183" spans="1:13" x14ac:dyDescent="0.3">
      <c r="A4183" s="7">
        <v>15608</v>
      </c>
      <c r="B4183" s="7" t="s">
        <v>4190</v>
      </c>
      <c r="C4183" s="7" t="s">
        <v>6876</v>
      </c>
      <c r="D4183" s="7" t="s">
        <v>6881</v>
      </c>
      <c r="E4183" s="7" t="s">
        <v>6295</v>
      </c>
      <c r="F4183" s="7" t="s">
        <v>6340</v>
      </c>
      <c r="G4183" s="7" t="s">
        <v>7150</v>
      </c>
      <c r="H4183" s="7" t="s">
        <v>7156</v>
      </c>
      <c r="I4183" s="7"/>
      <c r="J4183" s="10">
        <v>45139</v>
      </c>
      <c r="K4183" s="7" t="s">
        <v>7163</v>
      </c>
      <c r="L4183" s="7"/>
      <c r="M4183" s="7"/>
    </row>
    <row r="4184" spans="1:13" x14ac:dyDescent="0.3">
      <c r="A4184" s="7">
        <v>16478</v>
      </c>
      <c r="B4184" s="7" t="s">
        <v>4191</v>
      </c>
      <c r="C4184" s="7" t="s">
        <v>6876</v>
      </c>
      <c r="D4184" s="7" t="s">
        <v>6881</v>
      </c>
      <c r="E4184" s="7" t="s">
        <v>6295</v>
      </c>
      <c r="F4184" s="7" t="s">
        <v>6340</v>
      </c>
      <c r="G4184" s="7" t="s">
        <v>7150</v>
      </c>
      <c r="H4184" s="7" t="s">
        <v>7156</v>
      </c>
      <c r="I4184" s="7"/>
      <c r="J4184" s="10">
        <v>45432</v>
      </c>
      <c r="K4184" s="7" t="s">
        <v>7163</v>
      </c>
      <c r="L4184" s="7"/>
      <c r="M4184" s="7"/>
    </row>
    <row r="4185" spans="1:13" x14ac:dyDescent="0.3">
      <c r="A4185" s="7">
        <v>17750</v>
      </c>
      <c r="B4185" s="7" t="s">
        <v>4192</v>
      </c>
      <c r="C4185" s="7" t="s">
        <v>6876</v>
      </c>
      <c r="D4185" s="7" t="s">
        <v>6881</v>
      </c>
      <c r="E4185" s="7" t="s">
        <v>6295</v>
      </c>
      <c r="F4185" s="7" t="s">
        <v>6341</v>
      </c>
      <c r="G4185" s="7" t="s">
        <v>7150</v>
      </c>
      <c r="H4185" s="7" t="s">
        <v>7156</v>
      </c>
      <c r="I4185" s="7"/>
      <c r="J4185" s="10">
        <v>45873</v>
      </c>
      <c r="K4185" s="7" t="s">
        <v>7163</v>
      </c>
      <c r="L4185" s="7"/>
      <c r="M4185" s="7"/>
    </row>
    <row r="4186" spans="1:13" x14ac:dyDescent="0.3">
      <c r="A4186" s="7">
        <v>18593</v>
      </c>
      <c r="B4186" s="7" t="s">
        <v>4193</v>
      </c>
      <c r="C4186" s="7" t="s">
        <v>6876</v>
      </c>
      <c r="D4186" s="7" t="s">
        <v>6881</v>
      </c>
      <c r="E4186" s="7" t="s">
        <v>6295</v>
      </c>
      <c r="F4186" s="7" t="s">
        <v>6341</v>
      </c>
      <c r="G4186" s="7" t="s">
        <v>7150</v>
      </c>
      <c r="H4186" s="7" t="s">
        <v>7156</v>
      </c>
      <c r="I4186" s="7"/>
      <c r="J4186" s="10">
        <v>46164</v>
      </c>
      <c r="K4186" s="7" t="s">
        <v>7163</v>
      </c>
      <c r="L4186" s="7"/>
      <c r="M4186" s="7"/>
    </row>
    <row r="4187" spans="1:13" x14ac:dyDescent="0.3">
      <c r="A4187" s="7">
        <v>17748</v>
      </c>
      <c r="B4187" s="7" t="s">
        <v>4194</v>
      </c>
      <c r="C4187" s="7" t="s">
        <v>6876</v>
      </c>
      <c r="D4187" s="7" t="s">
        <v>6881</v>
      </c>
      <c r="E4187" s="7" t="s">
        <v>6295</v>
      </c>
      <c r="F4187" s="7" t="s">
        <v>6341</v>
      </c>
      <c r="G4187" s="7" t="s">
        <v>7150</v>
      </c>
      <c r="H4187" s="7" t="s">
        <v>7156</v>
      </c>
      <c r="I4187" s="7"/>
      <c r="J4187" s="10">
        <v>45874</v>
      </c>
      <c r="K4187" s="7" t="s">
        <v>7163</v>
      </c>
      <c r="L4187" s="7"/>
      <c r="M4187" s="7"/>
    </row>
    <row r="4188" spans="1:13" x14ac:dyDescent="0.3">
      <c r="A4188" s="7">
        <v>16482</v>
      </c>
      <c r="B4188" s="7" t="s">
        <v>4195</v>
      </c>
      <c r="C4188" s="7" t="s">
        <v>6876</v>
      </c>
      <c r="D4188" s="7" t="s">
        <v>6881</v>
      </c>
      <c r="E4188" s="7" t="s">
        <v>6295</v>
      </c>
      <c r="F4188" s="7" t="s">
        <v>6340</v>
      </c>
      <c r="G4188" s="7" t="s">
        <v>7150</v>
      </c>
      <c r="H4188" s="7" t="s">
        <v>7156</v>
      </c>
      <c r="I4188" s="7"/>
      <c r="J4188" s="10">
        <v>45439</v>
      </c>
      <c r="K4188" s="7" t="s">
        <v>7163</v>
      </c>
      <c r="L4188" s="7"/>
      <c r="M4188" s="7"/>
    </row>
    <row r="4189" spans="1:13" x14ac:dyDescent="0.3">
      <c r="A4189" s="7">
        <v>16586</v>
      </c>
      <c r="B4189" s="7" t="s">
        <v>4196</v>
      </c>
      <c r="C4189" s="7" t="s">
        <v>6876</v>
      </c>
      <c r="D4189" s="7" t="s">
        <v>6881</v>
      </c>
      <c r="E4189" s="7" t="s">
        <v>6295</v>
      </c>
      <c r="F4189" s="7" t="s">
        <v>6340</v>
      </c>
      <c r="G4189" s="7" t="s">
        <v>7150</v>
      </c>
      <c r="H4189" s="7" t="s">
        <v>7156</v>
      </c>
      <c r="I4189" s="7"/>
      <c r="J4189" s="10">
        <v>45490</v>
      </c>
      <c r="K4189" s="7" t="s">
        <v>7163</v>
      </c>
      <c r="L4189" s="7"/>
      <c r="M4189" s="7"/>
    </row>
    <row r="4190" spans="1:13" x14ac:dyDescent="0.3">
      <c r="A4190" s="7">
        <v>16622</v>
      </c>
      <c r="B4190" s="7" t="s">
        <v>4197</v>
      </c>
      <c r="C4190" s="7" t="s">
        <v>6876</v>
      </c>
      <c r="D4190" s="7" t="s">
        <v>6881</v>
      </c>
      <c r="E4190" s="7" t="s">
        <v>6295</v>
      </c>
      <c r="F4190" s="7" t="s">
        <v>6341</v>
      </c>
      <c r="G4190" s="7" t="s">
        <v>7150</v>
      </c>
      <c r="H4190" s="7" t="s">
        <v>7156</v>
      </c>
      <c r="I4190" s="7"/>
      <c r="J4190" s="10">
        <v>45498</v>
      </c>
      <c r="K4190" s="7" t="s">
        <v>7163</v>
      </c>
      <c r="L4190" s="7"/>
      <c r="M4190" s="7"/>
    </row>
    <row r="4191" spans="1:13" x14ac:dyDescent="0.3">
      <c r="A4191" s="7">
        <v>16629</v>
      </c>
      <c r="B4191" s="7" t="s">
        <v>4198</v>
      </c>
      <c r="C4191" s="7" t="s">
        <v>6876</v>
      </c>
      <c r="D4191" s="7" t="s">
        <v>6881</v>
      </c>
      <c r="E4191" s="7" t="s">
        <v>6295</v>
      </c>
      <c r="F4191" s="7" t="s">
        <v>6341</v>
      </c>
      <c r="G4191" s="7" t="s">
        <v>7150</v>
      </c>
      <c r="H4191" s="7" t="s">
        <v>7156</v>
      </c>
      <c r="I4191" s="7"/>
      <c r="J4191" s="10">
        <v>45509</v>
      </c>
      <c r="K4191" s="7" t="s">
        <v>7163</v>
      </c>
      <c r="L4191" s="7"/>
      <c r="M4191" s="7"/>
    </row>
    <row r="4192" spans="1:13" x14ac:dyDescent="0.3">
      <c r="A4192" s="7">
        <v>16739</v>
      </c>
      <c r="B4192" s="7" t="s">
        <v>4199</v>
      </c>
      <c r="C4192" s="7" t="s">
        <v>6876</v>
      </c>
      <c r="D4192" s="7" t="s">
        <v>6881</v>
      </c>
      <c r="E4192" s="7" t="s">
        <v>6295</v>
      </c>
      <c r="F4192" s="7" t="s">
        <v>6341</v>
      </c>
      <c r="G4192" s="7" t="s">
        <v>7150</v>
      </c>
      <c r="H4192" s="7" t="s">
        <v>7156</v>
      </c>
      <c r="I4192" s="7"/>
      <c r="J4192" s="10">
        <v>45538</v>
      </c>
      <c r="K4192" s="7" t="s">
        <v>7163</v>
      </c>
      <c r="L4192" s="7"/>
      <c r="M4192" s="7"/>
    </row>
    <row r="4193" spans="1:13" x14ac:dyDescent="0.3">
      <c r="A4193" s="7">
        <v>16867</v>
      </c>
      <c r="B4193" s="7" t="s">
        <v>4200</v>
      </c>
      <c r="C4193" s="7" t="s">
        <v>6876</v>
      </c>
      <c r="D4193" s="7" t="s">
        <v>6881</v>
      </c>
      <c r="E4193" s="7" t="s">
        <v>6295</v>
      </c>
      <c r="F4193" s="7" t="s">
        <v>6340</v>
      </c>
      <c r="G4193" s="7" t="s">
        <v>7150</v>
      </c>
      <c r="H4193" s="7" t="s">
        <v>7156</v>
      </c>
      <c r="I4193" s="7"/>
      <c r="J4193" s="10">
        <v>45572</v>
      </c>
      <c r="K4193" s="7" t="s">
        <v>7163</v>
      </c>
      <c r="L4193" s="7"/>
      <c r="M4193" s="7"/>
    </row>
    <row r="4194" spans="1:13" x14ac:dyDescent="0.3">
      <c r="A4194" s="7">
        <v>17178</v>
      </c>
      <c r="B4194" s="7" t="s">
        <v>4201</v>
      </c>
      <c r="C4194" s="7" t="s">
        <v>6876</v>
      </c>
      <c r="D4194" s="7" t="s">
        <v>6881</v>
      </c>
      <c r="E4194" s="7" t="s">
        <v>6295</v>
      </c>
      <c r="F4194" s="7" t="s">
        <v>6341</v>
      </c>
      <c r="G4194" s="7" t="s">
        <v>7150</v>
      </c>
      <c r="H4194" s="7" t="s">
        <v>7156</v>
      </c>
      <c r="I4194" s="7"/>
      <c r="J4194" s="10">
        <v>45670</v>
      </c>
      <c r="K4194" s="7" t="s">
        <v>7163</v>
      </c>
      <c r="L4194" s="7"/>
      <c r="M4194" s="7"/>
    </row>
    <row r="4195" spans="1:13" x14ac:dyDescent="0.3">
      <c r="A4195" s="7">
        <v>17528</v>
      </c>
      <c r="B4195" s="7" t="s">
        <v>4202</v>
      </c>
      <c r="C4195" s="7" t="s">
        <v>6876</v>
      </c>
      <c r="D4195" s="7" t="s">
        <v>6881</v>
      </c>
      <c r="E4195" s="7" t="s">
        <v>6295</v>
      </c>
      <c r="F4195" s="7" t="s">
        <v>6341</v>
      </c>
      <c r="G4195" s="7" t="s">
        <v>7150</v>
      </c>
      <c r="H4195" s="7" t="s">
        <v>7156</v>
      </c>
      <c r="I4195" s="7"/>
      <c r="J4195" s="10">
        <v>45779</v>
      </c>
      <c r="K4195" s="7" t="s">
        <v>7163</v>
      </c>
      <c r="L4195" s="7"/>
      <c r="M4195" s="7"/>
    </row>
    <row r="4196" spans="1:13" x14ac:dyDescent="0.3">
      <c r="A4196" s="7">
        <v>17685</v>
      </c>
      <c r="B4196" s="7" t="s">
        <v>4203</v>
      </c>
      <c r="C4196" s="7" t="s">
        <v>6876</v>
      </c>
      <c r="D4196" s="7" t="s">
        <v>6881</v>
      </c>
      <c r="E4196" s="7" t="s">
        <v>6295</v>
      </c>
      <c r="F4196" s="7" t="s">
        <v>6341</v>
      </c>
      <c r="G4196" s="7" t="s">
        <v>7150</v>
      </c>
      <c r="H4196" s="7" t="s">
        <v>7156</v>
      </c>
      <c r="I4196" s="7"/>
      <c r="J4196" s="10">
        <v>45841</v>
      </c>
      <c r="K4196" s="7" t="s">
        <v>7163</v>
      </c>
      <c r="L4196" s="7"/>
      <c r="M4196" s="7"/>
    </row>
    <row r="4197" spans="1:13" x14ac:dyDescent="0.3">
      <c r="A4197" s="7">
        <v>17935</v>
      </c>
      <c r="B4197" s="7" t="s">
        <v>4204</v>
      </c>
      <c r="C4197" s="7" t="s">
        <v>6876</v>
      </c>
      <c r="D4197" s="7" t="s">
        <v>6881</v>
      </c>
      <c r="E4197" s="7" t="s">
        <v>6295</v>
      </c>
      <c r="F4197" s="7" t="s">
        <v>6341</v>
      </c>
      <c r="G4197" s="7" t="s">
        <v>7150</v>
      </c>
      <c r="H4197" s="7" t="s">
        <v>7156</v>
      </c>
      <c r="I4197" s="7"/>
      <c r="J4197" s="10">
        <v>45924</v>
      </c>
      <c r="K4197" s="7" t="s">
        <v>7163</v>
      </c>
      <c r="L4197" s="7"/>
      <c r="M4197" s="7"/>
    </row>
    <row r="4198" spans="1:13" x14ac:dyDescent="0.3">
      <c r="A4198" s="7">
        <v>18627</v>
      </c>
      <c r="B4198" s="7" t="s">
        <v>4205</v>
      </c>
      <c r="C4198" s="7" t="s">
        <v>6876</v>
      </c>
      <c r="D4198" s="7" t="s">
        <v>6881</v>
      </c>
      <c r="E4198" s="7" t="s">
        <v>6295</v>
      </c>
      <c r="F4198" s="7" t="s">
        <v>6341</v>
      </c>
      <c r="G4198" s="7" t="s">
        <v>7150</v>
      </c>
      <c r="H4198" s="7" t="s">
        <v>7156</v>
      </c>
      <c r="I4198" s="7"/>
      <c r="J4198" s="10">
        <v>46176</v>
      </c>
      <c r="K4198" s="7" t="s">
        <v>7163</v>
      </c>
      <c r="L4198" s="7"/>
      <c r="M4198" s="7"/>
    </row>
    <row r="4199" spans="1:13" x14ac:dyDescent="0.3">
      <c r="A4199" s="7">
        <v>16657</v>
      </c>
      <c r="B4199" s="7" t="s">
        <v>4206</v>
      </c>
      <c r="C4199" s="7" t="s">
        <v>6876</v>
      </c>
      <c r="D4199" s="7" t="s">
        <v>6881</v>
      </c>
      <c r="E4199" s="7" t="s">
        <v>6295</v>
      </c>
      <c r="F4199" s="7" t="s">
        <v>6902</v>
      </c>
      <c r="G4199" s="7" t="s">
        <v>7150</v>
      </c>
      <c r="H4199" s="7" t="s">
        <v>7156</v>
      </c>
      <c r="I4199" s="7"/>
      <c r="J4199" s="10">
        <v>45516</v>
      </c>
      <c r="K4199" s="7" t="s">
        <v>7163</v>
      </c>
      <c r="L4199" s="7"/>
      <c r="M4199" s="7"/>
    </row>
    <row r="4200" spans="1:13" x14ac:dyDescent="0.3">
      <c r="A4200" s="7">
        <v>16710</v>
      </c>
      <c r="B4200" s="7" t="s">
        <v>4207</v>
      </c>
      <c r="C4200" s="7" t="s">
        <v>6876</v>
      </c>
      <c r="D4200" s="7" t="s">
        <v>6881</v>
      </c>
      <c r="E4200" s="7" t="s">
        <v>6295</v>
      </c>
      <c r="F4200" s="7" t="s">
        <v>6903</v>
      </c>
      <c r="G4200" s="7" t="s">
        <v>7150</v>
      </c>
      <c r="H4200" s="7" t="s">
        <v>7156</v>
      </c>
      <c r="I4200" s="7"/>
      <c r="J4200" s="10">
        <v>45554</v>
      </c>
      <c r="K4200" s="7" t="s">
        <v>7163</v>
      </c>
      <c r="L4200" s="7"/>
      <c r="M4200" s="7"/>
    </row>
    <row r="4201" spans="1:13" x14ac:dyDescent="0.3">
      <c r="A4201" s="7">
        <v>15754</v>
      </c>
      <c r="B4201" s="7" t="s">
        <v>4208</v>
      </c>
      <c r="C4201" s="7" t="s">
        <v>6876</v>
      </c>
      <c r="D4201" s="7" t="s">
        <v>6881</v>
      </c>
      <c r="E4201" s="7" t="s">
        <v>6295</v>
      </c>
      <c r="F4201" s="7" t="s">
        <v>6904</v>
      </c>
      <c r="G4201" s="7" t="s">
        <v>7150</v>
      </c>
      <c r="H4201" s="7" t="s">
        <v>7156</v>
      </c>
      <c r="I4201" s="7"/>
      <c r="J4201" s="10">
        <v>45182</v>
      </c>
      <c r="K4201" s="7" t="s">
        <v>7163</v>
      </c>
      <c r="L4201" s="7"/>
      <c r="M4201" s="7"/>
    </row>
    <row r="4202" spans="1:13" x14ac:dyDescent="0.3">
      <c r="A4202" s="7">
        <v>12441</v>
      </c>
      <c r="B4202" s="7" t="s">
        <v>4209</v>
      </c>
      <c r="C4202" s="7" t="s">
        <v>6876</v>
      </c>
      <c r="D4202" s="7" t="s">
        <v>6881</v>
      </c>
      <c r="E4202" s="7" t="s">
        <v>6295</v>
      </c>
      <c r="F4202" s="7" t="s">
        <v>6382</v>
      </c>
      <c r="G4202" s="7" t="s">
        <v>7150</v>
      </c>
      <c r="H4202" s="7" t="s">
        <v>7156</v>
      </c>
      <c r="I4202" s="7"/>
      <c r="J4202" s="10">
        <v>43755</v>
      </c>
      <c r="K4202" s="7" t="s">
        <v>7163</v>
      </c>
      <c r="L4202" s="7"/>
      <c r="M4202" s="7"/>
    </row>
    <row r="4203" spans="1:13" x14ac:dyDescent="0.3">
      <c r="A4203" s="7">
        <v>17224</v>
      </c>
      <c r="B4203" s="7" t="s">
        <v>4210</v>
      </c>
      <c r="C4203" s="7" t="s">
        <v>6876</v>
      </c>
      <c r="D4203" s="7" t="s">
        <v>6881</v>
      </c>
      <c r="E4203" s="7" t="s">
        <v>6295</v>
      </c>
      <c r="F4203" s="7" t="s">
        <v>6905</v>
      </c>
      <c r="G4203" s="7" t="s">
        <v>7150</v>
      </c>
      <c r="H4203" s="7" t="s">
        <v>7156</v>
      </c>
      <c r="I4203" s="7"/>
      <c r="J4203" s="10">
        <v>45672</v>
      </c>
      <c r="K4203" s="7" t="s">
        <v>7163</v>
      </c>
      <c r="L4203" s="7"/>
      <c r="M4203" s="7"/>
    </row>
    <row r="4204" spans="1:13" x14ac:dyDescent="0.3">
      <c r="A4204" s="7">
        <v>17184</v>
      </c>
      <c r="B4204" s="7" t="s">
        <v>4211</v>
      </c>
      <c r="C4204" s="7" t="s">
        <v>6876</v>
      </c>
      <c r="D4204" s="7" t="s">
        <v>6881</v>
      </c>
      <c r="E4204" s="7" t="s">
        <v>6295</v>
      </c>
      <c r="F4204" s="7" t="s">
        <v>6906</v>
      </c>
      <c r="G4204" s="7" t="s">
        <v>7150</v>
      </c>
      <c r="H4204" s="7" t="s">
        <v>7156</v>
      </c>
      <c r="I4204" s="7"/>
      <c r="J4204" s="10">
        <v>45672</v>
      </c>
      <c r="K4204" s="7" t="s">
        <v>7163</v>
      </c>
      <c r="L4204" s="7"/>
      <c r="M4204" s="7"/>
    </row>
    <row r="4205" spans="1:13" x14ac:dyDescent="0.3">
      <c r="A4205" s="7">
        <v>14723</v>
      </c>
      <c r="B4205" s="7" t="s">
        <v>4212</v>
      </c>
      <c r="C4205" s="7" t="s">
        <v>6876</v>
      </c>
      <c r="D4205" s="7" t="s">
        <v>6881</v>
      </c>
      <c r="E4205" s="7" t="s">
        <v>6295</v>
      </c>
      <c r="F4205" s="7" t="s">
        <v>6907</v>
      </c>
      <c r="G4205" s="7" t="s">
        <v>7150</v>
      </c>
      <c r="H4205" s="7" t="s">
        <v>7156</v>
      </c>
      <c r="I4205" s="7"/>
      <c r="J4205" s="10">
        <v>44840</v>
      </c>
      <c r="K4205" s="7" t="s">
        <v>7163</v>
      </c>
      <c r="L4205" s="7"/>
      <c r="M4205" s="7"/>
    </row>
    <row r="4206" spans="1:13" x14ac:dyDescent="0.3">
      <c r="A4206" s="7">
        <v>16089</v>
      </c>
      <c r="B4206" s="7" t="s">
        <v>4213</v>
      </c>
      <c r="C4206" s="7" t="s">
        <v>6876</v>
      </c>
      <c r="D4206" s="7" t="s">
        <v>6881</v>
      </c>
      <c r="E4206" s="7" t="s">
        <v>6295</v>
      </c>
      <c r="F4206" s="7" t="s">
        <v>6908</v>
      </c>
      <c r="G4206" s="7" t="s">
        <v>7150</v>
      </c>
      <c r="H4206" s="7" t="s">
        <v>7156</v>
      </c>
      <c r="I4206" s="7"/>
      <c r="J4206" s="10">
        <v>45282</v>
      </c>
      <c r="K4206" s="7" t="s">
        <v>7163</v>
      </c>
      <c r="L4206" s="7"/>
      <c r="M4206" s="7"/>
    </row>
    <row r="4207" spans="1:13" x14ac:dyDescent="0.3">
      <c r="A4207" s="7">
        <v>16758</v>
      </c>
      <c r="B4207" s="7" t="s">
        <v>4214</v>
      </c>
      <c r="C4207" s="7" t="s">
        <v>6876</v>
      </c>
      <c r="D4207" s="7" t="s">
        <v>6881</v>
      </c>
      <c r="E4207" s="7" t="s">
        <v>6295</v>
      </c>
      <c r="F4207" s="7" t="s">
        <v>6909</v>
      </c>
      <c r="G4207" s="7" t="s">
        <v>7150</v>
      </c>
      <c r="H4207" s="7" t="s">
        <v>7156</v>
      </c>
      <c r="I4207" s="7"/>
      <c r="J4207" s="10">
        <v>45540</v>
      </c>
      <c r="K4207" s="7" t="s">
        <v>7163</v>
      </c>
      <c r="L4207" s="7"/>
      <c r="M4207" s="7"/>
    </row>
    <row r="4208" spans="1:13" x14ac:dyDescent="0.3">
      <c r="A4208" s="7">
        <v>16496</v>
      </c>
      <c r="B4208" s="7" t="s">
        <v>4215</v>
      </c>
      <c r="C4208" s="7" t="s">
        <v>6876</v>
      </c>
      <c r="D4208" s="7" t="s">
        <v>6881</v>
      </c>
      <c r="E4208" s="7" t="s">
        <v>6295</v>
      </c>
      <c r="F4208" s="7" t="s">
        <v>6910</v>
      </c>
      <c r="G4208" s="7" t="s">
        <v>7150</v>
      </c>
      <c r="H4208" s="7" t="s">
        <v>7156</v>
      </c>
      <c r="I4208" s="7"/>
      <c r="J4208" s="10">
        <v>45441</v>
      </c>
      <c r="K4208" s="7" t="s">
        <v>7163</v>
      </c>
      <c r="L4208" s="7"/>
      <c r="M4208" s="7"/>
    </row>
    <row r="4209" spans="1:13" x14ac:dyDescent="0.3">
      <c r="A4209" s="7">
        <v>11405</v>
      </c>
      <c r="B4209" s="7" t="s">
        <v>4216</v>
      </c>
      <c r="C4209" s="7" t="s">
        <v>6729</v>
      </c>
      <c r="D4209" s="7" t="s">
        <v>6295</v>
      </c>
      <c r="E4209" s="7" t="s">
        <v>6295</v>
      </c>
      <c r="F4209" s="7" t="s">
        <v>6356</v>
      </c>
      <c r="G4209" s="7" t="s">
        <v>7150</v>
      </c>
      <c r="H4209" s="7" t="s">
        <v>7156</v>
      </c>
      <c r="I4209" s="7"/>
      <c r="J4209" s="10">
        <v>42662</v>
      </c>
      <c r="K4209" s="7" t="s">
        <v>7163</v>
      </c>
      <c r="L4209" s="7"/>
      <c r="M4209" s="7"/>
    </row>
    <row r="4210" spans="1:13" x14ac:dyDescent="0.3">
      <c r="A4210" s="7">
        <v>11979</v>
      </c>
      <c r="B4210" s="7" t="s">
        <v>4217</v>
      </c>
      <c r="C4210" s="7" t="s">
        <v>6770</v>
      </c>
      <c r="D4210" s="7" t="s">
        <v>6911</v>
      </c>
      <c r="E4210" s="7" t="s">
        <v>6295</v>
      </c>
      <c r="F4210" s="7" t="s">
        <v>6338</v>
      </c>
      <c r="G4210" s="7" t="s">
        <v>7150</v>
      </c>
      <c r="H4210" s="7" t="s">
        <v>7156</v>
      </c>
      <c r="I4210" s="7"/>
      <c r="J4210" s="10">
        <v>43353</v>
      </c>
      <c r="K4210" s="7" t="s">
        <v>7163</v>
      </c>
      <c r="L4210" s="7"/>
      <c r="M4210" s="7"/>
    </row>
    <row r="4211" spans="1:13" x14ac:dyDescent="0.3">
      <c r="A4211" s="7">
        <v>12958</v>
      </c>
      <c r="B4211" s="7" t="s">
        <v>4218</v>
      </c>
      <c r="C4211" s="7" t="s">
        <v>6770</v>
      </c>
      <c r="D4211" s="7" t="s">
        <v>6911</v>
      </c>
      <c r="E4211" s="7" t="s">
        <v>6295</v>
      </c>
      <c r="F4211" s="7" t="s">
        <v>6335</v>
      </c>
      <c r="G4211" s="7" t="s">
        <v>7150</v>
      </c>
      <c r="H4211" s="7" t="s">
        <v>7156</v>
      </c>
      <c r="I4211" s="7"/>
      <c r="J4211" s="10">
        <v>44146</v>
      </c>
      <c r="K4211" s="7" t="s">
        <v>7163</v>
      </c>
      <c r="L4211" s="7"/>
      <c r="M4211" s="7"/>
    </row>
    <row r="4212" spans="1:13" x14ac:dyDescent="0.3">
      <c r="A4212" s="7">
        <v>11963</v>
      </c>
      <c r="B4212" s="7" t="s">
        <v>4219</v>
      </c>
      <c r="C4212" s="7" t="s">
        <v>6770</v>
      </c>
      <c r="D4212" s="7" t="s">
        <v>6911</v>
      </c>
      <c r="E4212" s="7" t="s">
        <v>6295</v>
      </c>
      <c r="F4212" s="7" t="s">
        <v>6353</v>
      </c>
      <c r="G4212" s="7" t="s">
        <v>7150</v>
      </c>
      <c r="H4212" s="7" t="s">
        <v>7156</v>
      </c>
      <c r="I4212" s="7"/>
      <c r="J4212" s="10">
        <v>43332</v>
      </c>
      <c r="K4212" s="7" t="s">
        <v>7163</v>
      </c>
      <c r="L4212" s="7"/>
      <c r="M4212" s="7"/>
    </row>
    <row r="4213" spans="1:13" x14ac:dyDescent="0.3">
      <c r="A4213" s="7">
        <v>13021</v>
      </c>
      <c r="B4213" s="7" t="s">
        <v>4220</v>
      </c>
      <c r="C4213" s="7" t="s">
        <v>6770</v>
      </c>
      <c r="D4213" s="7" t="s">
        <v>6911</v>
      </c>
      <c r="E4213" s="7" t="s">
        <v>6295</v>
      </c>
      <c r="F4213" s="7" t="s">
        <v>6353</v>
      </c>
      <c r="G4213" s="7" t="s">
        <v>7150</v>
      </c>
      <c r="H4213" s="7" t="s">
        <v>7156</v>
      </c>
      <c r="I4213" s="7"/>
      <c r="J4213" s="10">
        <v>44203</v>
      </c>
      <c r="K4213" s="7" t="s">
        <v>7163</v>
      </c>
      <c r="L4213" s="7"/>
      <c r="M4213" s="7"/>
    </row>
    <row r="4214" spans="1:13" x14ac:dyDescent="0.3">
      <c r="A4214" s="7">
        <v>14658</v>
      </c>
      <c r="B4214" s="7" t="s">
        <v>4221</v>
      </c>
      <c r="C4214" s="7" t="s">
        <v>6770</v>
      </c>
      <c r="D4214" s="7" t="s">
        <v>6911</v>
      </c>
      <c r="E4214" s="7" t="s">
        <v>6295</v>
      </c>
      <c r="F4214" s="7" t="s">
        <v>6353</v>
      </c>
      <c r="G4214" s="7" t="s">
        <v>7150</v>
      </c>
      <c r="H4214" s="7" t="s">
        <v>7156</v>
      </c>
      <c r="I4214" s="7"/>
      <c r="J4214" s="10">
        <v>44817</v>
      </c>
      <c r="K4214" s="7" t="s">
        <v>7163</v>
      </c>
      <c r="L4214" s="7"/>
      <c r="M4214" s="7"/>
    </row>
    <row r="4215" spans="1:13" x14ac:dyDescent="0.3">
      <c r="A4215" s="7">
        <v>18304</v>
      </c>
      <c r="B4215" s="7" t="s">
        <v>4222</v>
      </c>
      <c r="C4215" s="7" t="s">
        <v>6770</v>
      </c>
      <c r="D4215" s="7" t="s">
        <v>6911</v>
      </c>
      <c r="E4215" s="7" t="s">
        <v>6295</v>
      </c>
      <c r="F4215" s="7" t="s">
        <v>6340</v>
      </c>
      <c r="G4215" s="7" t="s">
        <v>7150</v>
      </c>
      <c r="H4215" s="7" t="s">
        <v>7156</v>
      </c>
      <c r="I4215" s="7"/>
      <c r="J4215" s="10">
        <v>46085</v>
      </c>
      <c r="K4215" s="7" t="s">
        <v>7163</v>
      </c>
      <c r="L4215" s="7"/>
      <c r="M4215" s="7"/>
    </row>
    <row r="4216" spans="1:13" x14ac:dyDescent="0.3">
      <c r="A4216" s="7">
        <v>15024</v>
      </c>
      <c r="B4216" s="7" t="s">
        <v>4223</v>
      </c>
      <c r="C4216" s="7" t="s">
        <v>6770</v>
      </c>
      <c r="D4216" s="7" t="s">
        <v>6911</v>
      </c>
      <c r="E4216" s="7" t="s">
        <v>6295</v>
      </c>
      <c r="F4216" s="7" t="s">
        <v>6341</v>
      </c>
      <c r="G4216" s="7" t="s">
        <v>7150</v>
      </c>
      <c r="H4216" s="7" t="s">
        <v>7156</v>
      </c>
      <c r="I4216" s="7"/>
      <c r="J4216" s="10">
        <v>44922</v>
      </c>
      <c r="K4216" s="7" t="s">
        <v>7163</v>
      </c>
      <c r="L4216" s="7"/>
      <c r="M4216" s="7"/>
    </row>
    <row r="4217" spans="1:13" x14ac:dyDescent="0.3">
      <c r="A4217" s="7">
        <v>15870</v>
      </c>
      <c r="B4217" s="7" t="s">
        <v>4224</v>
      </c>
      <c r="C4217" s="7" t="s">
        <v>6770</v>
      </c>
      <c r="D4217" s="7" t="s">
        <v>6911</v>
      </c>
      <c r="E4217" s="7" t="s">
        <v>6295</v>
      </c>
      <c r="F4217" s="7" t="s">
        <v>6341</v>
      </c>
      <c r="G4217" s="7" t="s">
        <v>7150</v>
      </c>
      <c r="H4217" s="7" t="s">
        <v>7156</v>
      </c>
      <c r="I4217" s="7"/>
      <c r="J4217" s="10">
        <v>45224</v>
      </c>
      <c r="K4217" s="7" t="s">
        <v>7163</v>
      </c>
      <c r="L4217" s="7"/>
      <c r="M4217" s="7"/>
    </row>
    <row r="4218" spans="1:13" x14ac:dyDescent="0.3">
      <c r="A4218" s="7">
        <v>16480</v>
      </c>
      <c r="B4218" s="7" t="s">
        <v>4225</v>
      </c>
      <c r="C4218" s="7" t="s">
        <v>6770</v>
      </c>
      <c r="D4218" s="7" t="s">
        <v>6911</v>
      </c>
      <c r="E4218" s="7" t="s">
        <v>6295</v>
      </c>
      <c r="F4218" s="7" t="s">
        <v>6341</v>
      </c>
      <c r="G4218" s="7" t="s">
        <v>7150</v>
      </c>
      <c r="H4218" s="7" t="s">
        <v>7156</v>
      </c>
      <c r="I4218" s="7"/>
      <c r="J4218" s="10">
        <v>45427</v>
      </c>
      <c r="K4218" s="7" t="s">
        <v>7163</v>
      </c>
      <c r="L4218" s="7"/>
      <c r="M4218" s="7"/>
    </row>
    <row r="4219" spans="1:13" x14ac:dyDescent="0.3">
      <c r="A4219" s="7">
        <v>17795</v>
      </c>
      <c r="B4219" s="7" t="s">
        <v>4226</v>
      </c>
      <c r="C4219" s="7" t="s">
        <v>6770</v>
      </c>
      <c r="D4219" s="7" t="s">
        <v>6911</v>
      </c>
      <c r="E4219" s="7" t="s">
        <v>6295</v>
      </c>
      <c r="F4219" s="7" t="s">
        <v>6341</v>
      </c>
      <c r="G4219" s="7" t="s">
        <v>7150</v>
      </c>
      <c r="H4219" s="7" t="s">
        <v>7156</v>
      </c>
      <c r="I4219" s="7"/>
      <c r="J4219" s="10">
        <v>45876</v>
      </c>
      <c r="K4219" s="7" t="s">
        <v>7163</v>
      </c>
      <c r="L4219" s="7"/>
      <c r="M4219" s="7"/>
    </row>
    <row r="4220" spans="1:13" x14ac:dyDescent="0.3">
      <c r="A4220" s="7">
        <v>610021</v>
      </c>
      <c r="B4220" s="7" t="s">
        <v>4227</v>
      </c>
      <c r="C4220" s="7" t="s">
        <v>6756</v>
      </c>
      <c r="D4220" s="7" t="s">
        <v>6912</v>
      </c>
      <c r="E4220" s="7" t="s">
        <v>6295</v>
      </c>
      <c r="F4220" s="7" t="s">
        <v>6338</v>
      </c>
      <c r="G4220" s="7" t="s">
        <v>7150</v>
      </c>
      <c r="H4220" s="7" t="s">
        <v>7156</v>
      </c>
      <c r="I4220" s="7"/>
      <c r="J4220" s="10">
        <v>42045</v>
      </c>
      <c r="K4220" s="7" t="s">
        <v>7163</v>
      </c>
      <c r="L4220" s="7"/>
      <c r="M4220" s="7"/>
    </row>
    <row r="4221" spans="1:13" x14ac:dyDescent="0.3">
      <c r="A4221" s="7">
        <v>18772</v>
      </c>
      <c r="B4221" s="7" t="s">
        <v>4228</v>
      </c>
      <c r="C4221" s="7" t="s">
        <v>6756</v>
      </c>
      <c r="D4221" s="7" t="s">
        <v>6295</v>
      </c>
      <c r="E4221" s="7" t="s">
        <v>6295</v>
      </c>
      <c r="F4221" s="7" t="s">
        <v>6335</v>
      </c>
      <c r="G4221" s="7" t="s">
        <v>7150</v>
      </c>
      <c r="H4221" s="7" t="s">
        <v>7156</v>
      </c>
      <c r="I4221" s="7"/>
      <c r="J4221" s="10">
        <v>46216</v>
      </c>
      <c r="K4221" s="7" t="s">
        <v>7163</v>
      </c>
      <c r="L4221" s="7"/>
      <c r="M4221" s="7"/>
    </row>
    <row r="4222" spans="1:13" x14ac:dyDescent="0.3">
      <c r="A4222" s="7">
        <v>800010</v>
      </c>
      <c r="B4222" s="7" t="s">
        <v>4229</v>
      </c>
      <c r="C4222" s="7" t="s">
        <v>6756</v>
      </c>
      <c r="D4222" s="7" t="s">
        <v>6912</v>
      </c>
      <c r="E4222" s="7" t="s">
        <v>6295</v>
      </c>
      <c r="F4222" s="7" t="s">
        <v>6353</v>
      </c>
      <c r="G4222" s="7" t="s">
        <v>7150</v>
      </c>
      <c r="H4222" s="7" t="s">
        <v>7156</v>
      </c>
      <c r="I4222" s="7"/>
      <c r="J4222" s="10">
        <v>36696</v>
      </c>
      <c r="K4222" s="7" t="s">
        <v>7163</v>
      </c>
      <c r="L4222" s="7"/>
      <c r="M4222" s="7"/>
    </row>
    <row r="4223" spans="1:13" x14ac:dyDescent="0.3">
      <c r="A4223" s="7">
        <v>12161</v>
      </c>
      <c r="B4223" s="7" t="s">
        <v>4230</v>
      </c>
      <c r="C4223" s="7" t="s">
        <v>6756</v>
      </c>
      <c r="D4223" s="7" t="s">
        <v>6912</v>
      </c>
      <c r="E4223" s="7" t="s">
        <v>6295</v>
      </c>
      <c r="F4223" s="7" t="s">
        <v>6353</v>
      </c>
      <c r="G4223" s="7" t="s">
        <v>7150</v>
      </c>
      <c r="H4223" s="7" t="s">
        <v>7156</v>
      </c>
      <c r="I4223" s="7"/>
      <c r="J4223" s="10">
        <v>43530</v>
      </c>
      <c r="K4223" s="7" t="s">
        <v>7163</v>
      </c>
      <c r="L4223" s="7"/>
      <c r="M4223" s="7"/>
    </row>
    <row r="4224" spans="1:13" x14ac:dyDescent="0.3">
      <c r="A4224" s="7">
        <v>16320</v>
      </c>
      <c r="B4224" s="7" t="s">
        <v>4231</v>
      </c>
      <c r="C4224" s="7" t="s">
        <v>6756</v>
      </c>
      <c r="D4224" s="7" t="s">
        <v>6912</v>
      </c>
      <c r="E4224" s="7" t="s">
        <v>6295</v>
      </c>
      <c r="F4224" s="7" t="s">
        <v>6353</v>
      </c>
      <c r="G4224" s="7" t="s">
        <v>7150</v>
      </c>
      <c r="H4224" s="7" t="s">
        <v>7156</v>
      </c>
      <c r="I4224" s="7"/>
      <c r="J4224" s="10">
        <v>45348</v>
      </c>
      <c r="K4224" s="7" t="s">
        <v>7163</v>
      </c>
      <c r="L4224" s="7"/>
      <c r="M4224" s="7"/>
    </row>
    <row r="4225" spans="1:13" x14ac:dyDescent="0.3">
      <c r="A4225" s="7">
        <v>980010</v>
      </c>
      <c r="B4225" s="7" t="s">
        <v>4232</v>
      </c>
      <c r="C4225" s="7" t="s">
        <v>6756</v>
      </c>
      <c r="D4225" s="7" t="s">
        <v>6912</v>
      </c>
      <c r="E4225" s="7" t="s">
        <v>6295</v>
      </c>
      <c r="F4225" s="7" t="s">
        <v>6340</v>
      </c>
      <c r="G4225" s="7" t="s">
        <v>7150</v>
      </c>
      <c r="H4225" s="7" t="s">
        <v>7156</v>
      </c>
      <c r="I4225" s="7"/>
      <c r="J4225" s="10">
        <v>42524</v>
      </c>
      <c r="K4225" s="7" t="s">
        <v>7163</v>
      </c>
      <c r="L4225" s="7"/>
      <c r="M4225" s="7"/>
    </row>
    <row r="4226" spans="1:13" x14ac:dyDescent="0.3">
      <c r="A4226" s="7">
        <v>15155</v>
      </c>
      <c r="B4226" s="7" t="s">
        <v>4233</v>
      </c>
      <c r="C4226" s="7" t="s">
        <v>6756</v>
      </c>
      <c r="D4226" s="7" t="s">
        <v>6912</v>
      </c>
      <c r="E4226" s="7" t="s">
        <v>6295</v>
      </c>
      <c r="F4226" s="7" t="s">
        <v>6340</v>
      </c>
      <c r="G4226" s="7" t="s">
        <v>7150</v>
      </c>
      <c r="H4226" s="7" t="s">
        <v>7156</v>
      </c>
      <c r="I4226" s="7"/>
      <c r="J4226" s="10">
        <v>44967</v>
      </c>
      <c r="K4226" s="7" t="s">
        <v>7163</v>
      </c>
      <c r="L4226" s="7"/>
      <c r="M4226" s="7"/>
    </row>
    <row r="4227" spans="1:13" x14ac:dyDescent="0.3">
      <c r="A4227" s="7">
        <v>17449</v>
      </c>
      <c r="B4227" s="7" t="s">
        <v>4234</v>
      </c>
      <c r="C4227" s="7" t="s">
        <v>6456</v>
      </c>
      <c r="D4227" s="7" t="s">
        <v>6469</v>
      </c>
      <c r="E4227" s="7" t="s">
        <v>6295</v>
      </c>
      <c r="F4227" s="7" t="s">
        <v>6341</v>
      </c>
      <c r="G4227" s="7" t="s">
        <v>7150</v>
      </c>
      <c r="H4227" s="7" t="s">
        <v>7156</v>
      </c>
      <c r="I4227" s="7"/>
      <c r="J4227" s="10">
        <v>45762</v>
      </c>
      <c r="K4227" s="7" t="s">
        <v>7163</v>
      </c>
      <c r="L4227" s="7"/>
      <c r="M4227" s="7"/>
    </row>
    <row r="4228" spans="1:13" x14ac:dyDescent="0.3">
      <c r="A4228" s="7">
        <v>18212</v>
      </c>
      <c r="B4228" s="7" t="s">
        <v>4235</v>
      </c>
      <c r="C4228" s="7" t="s">
        <v>6756</v>
      </c>
      <c r="D4228" s="7" t="s">
        <v>6912</v>
      </c>
      <c r="E4228" s="7" t="s">
        <v>6295</v>
      </c>
      <c r="F4228" s="7" t="s">
        <v>6341</v>
      </c>
      <c r="G4228" s="7" t="s">
        <v>7150</v>
      </c>
      <c r="H4228" s="7" t="s">
        <v>7156</v>
      </c>
      <c r="I4228" s="7"/>
      <c r="J4228" s="10">
        <v>46056</v>
      </c>
      <c r="K4228" s="7" t="s">
        <v>7163</v>
      </c>
      <c r="L4228" s="7"/>
      <c r="M4228" s="7"/>
    </row>
    <row r="4229" spans="1:13" x14ac:dyDescent="0.3">
      <c r="A4229" s="7">
        <v>10292</v>
      </c>
      <c r="B4229" s="7" t="s">
        <v>4236</v>
      </c>
      <c r="C4229" s="7" t="s">
        <v>6756</v>
      </c>
      <c r="D4229" s="7" t="s">
        <v>6913</v>
      </c>
      <c r="E4229" s="7" t="s">
        <v>6295</v>
      </c>
      <c r="F4229" s="7" t="s">
        <v>6338</v>
      </c>
      <c r="G4229" s="7" t="s">
        <v>7150</v>
      </c>
      <c r="H4229" s="7" t="s">
        <v>7156</v>
      </c>
      <c r="I4229" s="7"/>
      <c r="J4229" s="10">
        <v>39478</v>
      </c>
      <c r="K4229" s="7" t="s">
        <v>7163</v>
      </c>
      <c r="L4229" s="7"/>
      <c r="M4229" s="7"/>
    </row>
    <row r="4230" spans="1:13" x14ac:dyDescent="0.3">
      <c r="A4230" s="7">
        <v>10273</v>
      </c>
      <c r="B4230" s="7" t="s">
        <v>4237</v>
      </c>
      <c r="C4230" s="7" t="s">
        <v>6756</v>
      </c>
      <c r="D4230" s="7" t="s">
        <v>6913</v>
      </c>
      <c r="E4230" s="7" t="s">
        <v>6295</v>
      </c>
      <c r="F4230" s="7" t="s">
        <v>6353</v>
      </c>
      <c r="G4230" s="7" t="s">
        <v>7150</v>
      </c>
      <c r="H4230" s="7" t="s">
        <v>7156</v>
      </c>
      <c r="I4230" s="7"/>
      <c r="J4230" s="10">
        <v>39316</v>
      </c>
      <c r="K4230" s="7" t="s">
        <v>7163</v>
      </c>
      <c r="L4230" s="7"/>
      <c r="M4230" s="7"/>
    </row>
    <row r="4231" spans="1:13" x14ac:dyDescent="0.3">
      <c r="A4231" s="7">
        <v>240042</v>
      </c>
      <c r="B4231" s="7" t="s">
        <v>4238</v>
      </c>
      <c r="C4231" s="7" t="s">
        <v>6756</v>
      </c>
      <c r="D4231" s="7" t="s">
        <v>6913</v>
      </c>
      <c r="E4231" s="7" t="s">
        <v>6295</v>
      </c>
      <c r="F4231" s="7" t="s">
        <v>6340</v>
      </c>
      <c r="G4231" s="7" t="s">
        <v>7150</v>
      </c>
      <c r="H4231" s="7" t="s">
        <v>7156</v>
      </c>
      <c r="I4231" s="7"/>
      <c r="J4231" s="10">
        <v>43263</v>
      </c>
      <c r="K4231" s="7" t="s">
        <v>7163</v>
      </c>
      <c r="L4231" s="7"/>
      <c r="M4231" s="7"/>
    </row>
    <row r="4232" spans="1:13" x14ac:dyDescent="0.3">
      <c r="A4232" s="7">
        <v>18584</v>
      </c>
      <c r="B4232" s="7" t="s">
        <v>4239</v>
      </c>
      <c r="C4232" s="7" t="s">
        <v>6756</v>
      </c>
      <c r="D4232" s="7" t="s">
        <v>6913</v>
      </c>
      <c r="E4232" s="7" t="s">
        <v>6914</v>
      </c>
      <c r="F4232" s="7" t="s">
        <v>6340</v>
      </c>
      <c r="G4232" s="7" t="s">
        <v>7150</v>
      </c>
      <c r="H4232" s="7" t="s">
        <v>7156</v>
      </c>
      <c r="I4232" s="7"/>
      <c r="J4232" s="10">
        <v>46160</v>
      </c>
      <c r="K4232" s="7" t="s">
        <v>7163</v>
      </c>
      <c r="L4232" s="7"/>
      <c r="M4232" s="7"/>
    </row>
    <row r="4233" spans="1:13" x14ac:dyDescent="0.3">
      <c r="A4233" s="7">
        <v>18242</v>
      </c>
      <c r="B4233" s="7" t="s">
        <v>4240</v>
      </c>
      <c r="C4233" s="7" t="s">
        <v>6756</v>
      </c>
      <c r="D4233" s="7" t="s">
        <v>6913</v>
      </c>
      <c r="E4233" s="7" t="s">
        <v>6295</v>
      </c>
      <c r="F4233" s="7" t="s">
        <v>6341</v>
      </c>
      <c r="G4233" s="7" t="s">
        <v>7150</v>
      </c>
      <c r="H4233" s="7" t="s">
        <v>7156</v>
      </c>
      <c r="I4233" s="7"/>
      <c r="J4233" s="10">
        <v>46070</v>
      </c>
      <c r="K4233" s="7" t="s">
        <v>7163</v>
      </c>
      <c r="L4233" s="7"/>
      <c r="M4233" s="7"/>
    </row>
    <row r="4234" spans="1:13" x14ac:dyDescent="0.3">
      <c r="A4234" s="7">
        <v>18250</v>
      </c>
      <c r="B4234" s="7" t="s">
        <v>4241</v>
      </c>
      <c r="C4234" s="7" t="s">
        <v>6756</v>
      </c>
      <c r="D4234" s="7" t="s">
        <v>6913</v>
      </c>
      <c r="E4234" s="7" t="s">
        <v>6295</v>
      </c>
      <c r="F4234" s="7" t="s">
        <v>6341</v>
      </c>
      <c r="G4234" s="7" t="s">
        <v>7150</v>
      </c>
      <c r="H4234" s="7" t="s">
        <v>7156</v>
      </c>
      <c r="I4234" s="7"/>
      <c r="J4234" s="10">
        <v>46071</v>
      </c>
      <c r="K4234" s="7" t="s">
        <v>7163</v>
      </c>
      <c r="L4234" s="7"/>
      <c r="M4234" s="7"/>
    </row>
    <row r="4235" spans="1:13" x14ac:dyDescent="0.3">
      <c r="A4235" s="7">
        <v>14669</v>
      </c>
      <c r="B4235" s="7" t="s">
        <v>4242</v>
      </c>
      <c r="C4235" s="7" t="s">
        <v>6756</v>
      </c>
      <c r="D4235" s="7" t="s">
        <v>6913</v>
      </c>
      <c r="E4235" s="7" t="s">
        <v>6295</v>
      </c>
      <c r="F4235" s="7" t="s">
        <v>6340</v>
      </c>
      <c r="G4235" s="7" t="s">
        <v>7150</v>
      </c>
      <c r="H4235" s="7" t="s">
        <v>7156</v>
      </c>
      <c r="I4235" s="7"/>
      <c r="J4235" s="10">
        <v>44823</v>
      </c>
      <c r="K4235" s="7" t="s">
        <v>7163</v>
      </c>
      <c r="L4235" s="7"/>
      <c r="M4235" s="7"/>
    </row>
    <row r="4236" spans="1:13" x14ac:dyDescent="0.3">
      <c r="A4236" s="7">
        <v>13022</v>
      </c>
      <c r="B4236" s="7" t="s">
        <v>4243</v>
      </c>
      <c r="C4236" s="7" t="s">
        <v>6729</v>
      </c>
      <c r="D4236" s="7" t="s">
        <v>6836</v>
      </c>
      <c r="E4236" s="7" t="s">
        <v>6295</v>
      </c>
      <c r="F4236" s="7" t="s">
        <v>6338</v>
      </c>
      <c r="G4236" s="7" t="s">
        <v>7150</v>
      </c>
      <c r="H4236" s="7" t="s">
        <v>7156</v>
      </c>
      <c r="I4236" s="7"/>
      <c r="J4236" s="10">
        <v>44203</v>
      </c>
      <c r="K4236" s="7" t="s">
        <v>7163</v>
      </c>
      <c r="L4236" s="7"/>
      <c r="M4236" s="7"/>
    </row>
    <row r="4237" spans="1:13" x14ac:dyDescent="0.3">
      <c r="A4237" s="7">
        <v>18424</v>
      </c>
      <c r="B4237" s="7" t="s">
        <v>4244</v>
      </c>
      <c r="C4237" s="7" t="s">
        <v>6756</v>
      </c>
      <c r="D4237" s="7" t="s">
        <v>6915</v>
      </c>
      <c r="E4237" s="7" t="s">
        <v>6295</v>
      </c>
      <c r="F4237" s="7" t="s">
        <v>6338</v>
      </c>
      <c r="G4237" s="7" t="s">
        <v>7150</v>
      </c>
      <c r="H4237" s="7" t="s">
        <v>7156</v>
      </c>
      <c r="I4237" s="7" t="s">
        <v>7159</v>
      </c>
      <c r="J4237" s="10">
        <v>46122</v>
      </c>
      <c r="K4237" s="7" t="s">
        <v>7163</v>
      </c>
      <c r="L4237" s="7"/>
      <c r="M4237" s="7"/>
    </row>
    <row r="4238" spans="1:13" x14ac:dyDescent="0.3">
      <c r="A4238" s="7">
        <v>12100</v>
      </c>
      <c r="B4238" s="7" t="s">
        <v>4245</v>
      </c>
      <c r="C4238" s="7" t="s">
        <v>6756</v>
      </c>
      <c r="D4238" s="7" t="s">
        <v>6757</v>
      </c>
      <c r="E4238" s="7" t="s">
        <v>6295</v>
      </c>
      <c r="F4238" s="7" t="s">
        <v>6335</v>
      </c>
      <c r="G4238" s="7" t="s">
        <v>7150</v>
      </c>
      <c r="H4238" s="7" t="s">
        <v>7156</v>
      </c>
      <c r="I4238" s="7"/>
      <c r="J4238" s="10">
        <v>43472</v>
      </c>
      <c r="K4238" s="7" t="s">
        <v>7163</v>
      </c>
      <c r="L4238" s="7"/>
      <c r="M4238" s="7"/>
    </row>
    <row r="4239" spans="1:13" x14ac:dyDescent="0.3">
      <c r="A4239" s="7">
        <v>310032</v>
      </c>
      <c r="B4239" s="7" t="s">
        <v>4246</v>
      </c>
      <c r="C4239" s="7" t="s">
        <v>6756</v>
      </c>
      <c r="D4239" s="7" t="s">
        <v>6757</v>
      </c>
      <c r="E4239" s="7" t="s">
        <v>6295</v>
      </c>
      <c r="F4239" s="7" t="s">
        <v>6335</v>
      </c>
      <c r="G4239" s="7" t="s">
        <v>7150</v>
      </c>
      <c r="H4239" s="7" t="s">
        <v>7156</v>
      </c>
      <c r="I4239" s="7"/>
      <c r="J4239" s="10">
        <v>42705</v>
      </c>
      <c r="K4239" s="7" t="s">
        <v>7163</v>
      </c>
      <c r="L4239" s="7"/>
      <c r="M4239" s="7"/>
    </row>
    <row r="4240" spans="1:13" x14ac:dyDescent="0.3">
      <c r="A4240" s="7">
        <v>14534</v>
      </c>
      <c r="B4240" s="7" t="s">
        <v>4247</v>
      </c>
      <c r="C4240" s="7" t="s">
        <v>6756</v>
      </c>
      <c r="D4240" s="7" t="s">
        <v>6757</v>
      </c>
      <c r="E4240" s="7" t="s">
        <v>6295</v>
      </c>
      <c r="F4240" s="7" t="s">
        <v>6340</v>
      </c>
      <c r="G4240" s="7" t="s">
        <v>7150</v>
      </c>
      <c r="H4240" s="7" t="s">
        <v>7156</v>
      </c>
      <c r="I4240" s="7"/>
      <c r="J4240" s="10">
        <v>44783</v>
      </c>
      <c r="K4240" s="7" t="s">
        <v>7163</v>
      </c>
      <c r="L4240" s="7"/>
      <c r="M4240" s="7"/>
    </row>
    <row r="4241" spans="1:13" x14ac:dyDescent="0.3">
      <c r="A4241" s="7">
        <v>18958</v>
      </c>
      <c r="B4241" s="7" t="s">
        <v>4248</v>
      </c>
      <c r="C4241" s="7" t="s">
        <v>6756</v>
      </c>
      <c r="D4241" s="7" t="s">
        <v>6757</v>
      </c>
      <c r="E4241" s="7" t="s">
        <v>6295</v>
      </c>
      <c r="F4241" s="7" t="s">
        <v>6341</v>
      </c>
      <c r="G4241" s="7" t="s">
        <v>7150</v>
      </c>
      <c r="H4241" s="7" t="s">
        <v>7156</v>
      </c>
      <c r="I4241" s="7"/>
      <c r="J4241" s="10">
        <v>46251</v>
      </c>
      <c r="K4241" s="7" t="s">
        <v>7163</v>
      </c>
      <c r="L4241" s="7"/>
      <c r="M4241" s="7"/>
    </row>
    <row r="4242" spans="1:13" x14ac:dyDescent="0.3">
      <c r="A4242" s="7">
        <v>18025</v>
      </c>
      <c r="B4242" s="7" t="s">
        <v>4249</v>
      </c>
      <c r="C4242" s="7" t="s">
        <v>6756</v>
      </c>
      <c r="D4242" s="7" t="s">
        <v>6912</v>
      </c>
      <c r="E4242" s="7" t="s">
        <v>6295</v>
      </c>
      <c r="F4242" s="7" t="s">
        <v>6348</v>
      </c>
      <c r="G4242" s="7" t="s">
        <v>7150</v>
      </c>
      <c r="H4242" s="7" t="s">
        <v>7156</v>
      </c>
      <c r="I4242" s="7"/>
      <c r="J4242" s="10">
        <v>45966</v>
      </c>
      <c r="K4242" s="7" t="s">
        <v>7163</v>
      </c>
      <c r="L4242" s="7"/>
      <c r="M4242" s="7"/>
    </row>
    <row r="4243" spans="1:13" x14ac:dyDescent="0.3">
      <c r="A4243" s="7">
        <v>17863</v>
      </c>
      <c r="B4243" s="7" t="s">
        <v>4250</v>
      </c>
      <c r="C4243" s="7" t="s">
        <v>6756</v>
      </c>
      <c r="D4243" s="7" t="s">
        <v>6916</v>
      </c>
      <c r="E4243" s="7" t="s">
        <v>6295</v>
      </c>
      <c r="F4243" s="7" t="s">
        <v>6341</v>
      </c>
      <c r="G4243" s="7" t="s">
        <v>7150</v>
      </c>
      <c r="H4243" s="7" t="s">
        <v>7156</v>
      </c>
      <c r="I4243" s="7"/>
      <c r="J4243" s="10">
        <v>45896</v>
      </c>
      <c r="K4243" s="7" t="s">
        <v>7163</v>
      </c>
      <c r="L4243" s="7"/>
      <c r="M4243" s="7"/>
    </row>
    <row r="4244" spans="1:13" x14ac:dyDescent="0.3">
      <c r="A4244" s="7">
        <v>12904</v>
      </c>
      <c r="B4244" s="7" t="s">
        <v>4251</v>
      </c>
      <c r="C4244" s="7" t="s">
        <v>6770</v>
      </c>
      <c r="D4244" s="7" t="s">
        <v>6911</v>
      </c>
      <c r="E4244" s="7" t="s">
        <v>6295</v>
      </c>
      <c r="F4244" s="7" t="s">
        <v>6335</v>
      </c>
      <c r="G4244" s="7" t="s">
        <v>7150</v>
      </c>
      <c r="H4244" s="7" t="s">
        <v>7156</v>
      </c>
      <c r="I4244" s="7"/>
      <c r="J4244" s="10">
        <v>44095</v>
      </c>
      <c r="K4244" s="7" t="s">
        <v>7163</v>
      </c>
      <c r="L4244" s="7"/>
      <c r="M4244" s="7"/>
    </row>
    <row r="4245" spans="1:13" x14ac:dyDescent="0.3">
      <c r="A4245" s="7">
        <v>18934</v>
      </c>
      <c r="B4245" s="7" t="s">
        <v>4252</v>
      </c>
      <c r="C4245" s="7" t="s">
        <v>6770</v>
      </c>
      <c r="D4245" s="7" t="s">
        <v>6917</v>
      </c>
      <c r="E4245" s="7" t="s">
        <v>6295</v>
      </c>
      <c r="F4245" s="7" t="s">
        <v>6335</v>
      </c>
      <c r="G4245" s="7" t="s">
        <v>7150</v>
      </c>
      <c r="H4245" s="7" t="s">
        <v>7156</v>
      </c>
      <c r="I4245" s="7"/>
      <c r="J4245" s="10">
        <v>46245</v>
      </c>
      <c r="K4245" s="7" t="s">
        <v>7163</v>
      </c>
      <c r="L4245" s="7"/>
      <c r="M4245" s="7"/>
    </row>
    <row r="4246" spans="1:13" x14ac:dyDescent="0.3">
      <c r="A4246" s="7">
        <v>11812</v>
      </c>
      <c r="B4246" s="7" t="s">
        <v>4253</v>
      </c>
      <c r="C4246" s="7" t="s">
        <v>6770</v>
      </c>
      <c r="D4246" s="7" t="s">
        <v>6917</v>
      </c>
      <c r="E4246" s="7" t="s">
        <v>6295</v>
      </c>
      <c r="F4246" s="7" t="s">
        <v>6353</v>
      </c>
      <c r="G4246" s="7" t="s">
        <v>7150</v>
      </c>
      <c r="H4246" s="7" t="s">
        <v>7156</v>
      </c>
      <c r="I4246" s="7"/>
      <c r="J4246" s="10">
        <v>43154</v>
      </c>
      <c r="K4246" s="7" t="s">
        <v>7163</v>
      </c>
      <c r="L4246" s="7"/>
      <c r="M4246" s="7"/>
    </row>
    <row r="4247" spans="1:13" x14ac:dyDescent="0.3">
      <c r="A4247" s="7">
        <v>12225</v>
      </c>
      <c r="B4247" s="7" t="s">
        <v>4254</v>
      </c>
      <c r="C4247" s="7" t="s">
        <v>6770</v>
      </c>
      <c r="D4247" s="7" t="s">
        <v>6917</v>
      </c>
      <c r="E4247" s="7" t="s">
        <v>6295</v>
      </c>
      <c r="F4247" s="7" t="s">
        <v>6340</v>
      </c>
      <c r="G4247" s="7" t="s">
        <v>7150</v>
      </c>
      <c r="H4247" s="7" t="s">
        <v>7156</v>
      </c>
      <c r="I4247" s="7"/>
      <c r="J4247" s="10">
        <v>43619</v>
      </c>
      <c r="K4247" s="7" t="s">
        <v>7163</v>
      </c>
      <c r="L4247" s="7"/>
      <c r="M4247" s="7"/>
    </row>
    <row r="4248" spans="1:13" x14ac:dyDescent="0.3">
      <c r="A4248" s="7">
        <v>14498</v>
      </c>
      <c r="B4248" s="7" t="s">
        <v>4255</v>
      </c>
      <c r="C4248" s="7" t="s">
        <v>6770</v>
      </c>
      <c r="D4248" s="7" t="s">
        <v>6911</v>
      </c>
      <c r="E4248" s="7" t="s">
        <v>6295</v>
      </c>
      <c r="F4248" s="7" t="s">
        <v>6353</v>
      </c>
      <c r="G4248" s="7" t="s">
        <v>7150</v>
      </c>
      <c r="H4248" s="7" t="s">
        <v>7156</v>
      </c>
      <c r="I4248" s="7"/>
      <c r="J4248" s="10">
        <v>44776</v>
      </c>
      <c r="K4248" s="7" t="s">
        <v>7163</v>
      </c>
      <c r="L4248" s="7"/>
      <c r="M4248" s="7"/>
    </row>
    <row r="4249" spans="1:13" x14ac:dyDescent="0.3">
      <c r="A4249" s="7">
        <v>14206</v>
      </c>
      <c r="B4249" s="7" t="s">
        <v>4256</v>
      </c>
      <c r="C4249" s="7" t="s">
        <v>6770</v>
      </c>
      <c r="D4249" s="7" t="s">
        <v>6917</v>
      </c>
      <c r="E4249" s="7" t="s">
        <v>6295</v>
      </c>
      <c r="F4249" s="7" t="s">
        <v>6556</v>
      </c>
      <c r="G4249" s="7" t="s">
        <v>7150</v>
      </c>
      <c r="H4249" s="7" t="s">
        <v>7156</v>
      </c>
      <c r="I4249" s="7"/>
      <c r="J4249" s="10">
        <v>44698</v>
      </c>
      <c r="K4249" s="7" t="s">
        <v>7163</v>
      </c>
      <c r="L4249" s="7"/>
      <c r="M4249" s="7"/>
    </row>
    <row r="4250" spans="1:13" x14ac:dyDescent="0.3">
      <c r="A4250" s="7">
        <v>14521</v>
      </c>
      <c r="B4250" s="7" t="s">
        <v>4257</v>
      </c>
      <c r="C4250" s="7" t="s">
        <v>6770</v>
      </c>
      <c r="D4250" s="7" t="s">
        <v>6917</v>
      </c>
      <c r="E4250" s="7" t="s">
        <v>6295</v>
      </c>
      <c r="F4250" s="7" t="s">
        <v>6340</v>
      </c>
      <c r="G4250" s="7" t="s">
        <v>7150</v>
      </c>
      <c r="H4250" s="7" t="s">
        <v>7156</v>
      </c>
      <c r="I4250" s="7"/>
      <c r="J4250" s="10">
        <v>44777</v>
      </c>
      <c r="K4250" s="7" t="s">
        <v>7163</v>
      </c>
      <c r="L4250" s="7"/>
      <c r="M4250" s="7"/>
    </row>
    <row r="4251" spans="1:13" x14ac:dyDescent="0.3">
      <c r="A4251" s="7">
        <v>18887</v>
      </c>
      <c r="B4251" s="7" t="s">
        <v>4258</v>
      </c>
      <c r="C4251" s="7" t="s">
        <v>6770</v>
      </c>
      <c r="D4251" s="7" t="s">
        <v>6917</v>
      </c>
      <c r="E4251" s="7" t="s">
        <v>6295</v>
      </c>
      <c r="F4251" s="7" t="s">
        <v>6348</v>
      </c>
      <c r="G4251" s="7" t="s">
        <v>7150</v>
      </c>
      <c r="H4251" s="7" t="s">
        <v>7156</v>
      </c>
      <c r="I4251" s="7"/>
      <c r="J4251" s="10">
        <v>46232</v>
      </c>
      <c r="K4251" s="7" t="s">
        <v>7163</v>
      </c>
      <c r="L4251" s="7"/>
      <c r="M4251" s="7"/>
    </row>
    <row r="4252" spans="1:13" x14ac:dyDescent="0.3">
      <c r="A4252" s="7">
        <v>14524</v>
      </c>
      <c r="B4252" s="7" t="s">
        <v>4259</v>
      </c>
      <c r="C4252" s="7" t="s">
        <v>6770</v>
      </c>
      <c r="D4252" s="7" t="s">
        <v>6911</v>
      </c>
      <c r="E4252" s="7" t="s">
        <v>6295</v>
      </c>
      <c r="F4252" s="7" t="s">
        <v>6340</v>
      </c>
      <c r="G4252" s="7" t="s">
        <v>7150</v>
      </c>
      <c r="H4252" s="7" t="s">
        <v>7156</v>
      </c>
      <c r="I4252" s="7"/>
      <c r="J4252" s="10">
        <v>44782</v>
      </c>
      <c r="K4252" s="7" t="s">
        <v>7163</v>
      </c>
      <c r="L4252" s="7"/>
      <c r="M4252" s="7"/>
    </row>
    <row r="4253" spans="1:13" x14ac:dyDescent="0.3">
      <c r="A4253" s="7">
        <v>15931</v>
      </c>
      <c r="B4253" s="7" t="s">
        <v>4260</v>
      </c>
      <c r="C4253" s="7" t="s">
        <v>6770</v>
      </c>
      <c r="D4253" s="7" t="s">
        <v>6911</v>
      </c>
      <c r="E4253" s="7" t="s">
        <v>6295</v>
      </c>
      <c r="F4253" s="7" t="s">
        <v>6885</v>
      </c>
      <c r="G4253" s="7" t="s">
        <v>7150</v>
      </c>
      <c r="H4253" s="7" t="s">
        <v>7156</v>
      </c>
      <c r="I4253" s="7"/>
      <c r="J4253" s="10">
        <v>45244</v>
      </c>
      <c r="K4253" s="7" t="s">
        <v>7163</v>
      </c>
      <c r="L4253" s="7"/>
      <c r="M4253" s="7"/>
    </row>
    <row r="4254" spans="1:13" x14ac:dyDescent="0.3">
      <c r="A4254" s="7">
        <v>16450</v>
      </c>
      <c r="B4254" s="7" t="s">
        <v>4261</v>
      </c>
      <c r="C4254" s="7" t="s">
        <v>6770</v>
      </c>
      <c r="D4254" s="7" t="s">
        <v>6911</v>
      </c>
      <c r="E4254" s="7" t="s">
        <v>6295</v>
      </c>
      <c r="F4254" s="7" t="s">
        <v>6918</v>
      </c>
      <c r="G4254" s="7" t="s">
        <v>7150</v>
      </c>
      <c r="H4254" s="7" t="s">
        <v>7156</v>
      </c>
      <c r="I4254" s="7"/>
      <c r="J4254" s="10">
        <v>45407</v>
      </c>
      <c r="K4254" s="7" t="s">
        <v>7163</v>
      </c>
      <c r="L4254" s="7"/>
      <c r="M4254" s="7"/>
    </row>
    <row r="4255" spans="1:13" x14ac:dyDescent="0.3">
      <c r="A4255" s="7">
        <v>15930</v>
      </c>
      <c r="B4255" s="7" t="s">
        <v>4262</v>
      </c>
      <c r="C4255" s="7" t="s">
        <v>6770</v>
      </c>
      <c r="D4255" s="7" t="s">
        <v>6911</v>
      </c>
      <c r="E4255" s="7" t="s">
        <v>6295</v>
      </c>
      <c r="F4255" s="7" t="s">
        <v>6919</v>
      </c>
      <c r="G4255" s="7" t="s">
        <v>7150</v>
      </c>
      <c r="H4255" s="7" t="s">
        <v>7156</v>
      </c>
      <c r="I4255" s="7"/>
      <c r="J4255" s="10">
        <v>45245</v>
      </c>
      <c r="K4255" s="7" t="s">
        <v>7163</v>
      </c>
      <c r="L4255" s="7"/>
      <c r="M4255" s="7"/>
    </row>
    <row r="4256" spans="1:13" x14ac:dyDescent="0.3">
      <c r="A4256" s="7">
        <v>15084</v>
      </c>
      <c r="B4256" s="7" t="s">
        <v>4263</v>
      </c>
      <c r="C4256" s="7" t="s">
        <v>6770</v>
      </c>
      <c r="D4256" s="7" t="s">
        <v>6917</v>
      </c>
      <c r="E4256" s="7" t="s">
        <v>6295</v>
      </c>
      <c r="F4256" s="7" t="s">
        <v>6340</v>
      </c>
      <c r="G4256" s="7" t="s">
        <v>7150</v>
      </c>
      <c r="H4256" s="7" t="s">
        <v>7156</v>
      </c>
      <c r="I4256" s="7"/>
      <c r="J4256" s="10">
        <v>44943</v>
      </c>
      <c r="K4256" s="7" t="s">
        <v>7163</v>
      </c>
      <c r="L4256" s="7"/>
      <c r="M4256" s="7"/>
    </row>
    <row r="4257" spans="1:13" x14ac:dyDescent="0.3">
      <c r="A4257" s="7">
        <v>15540</v>
      </c>
      <c r="B4257" s="7" t="s">
        <v>4264</v>
      </c>
      <c r="C4257" s="7" t="s">
        <v>6770</v>
      </c>
      <c r="D4257" s="7" t="s">
        <v>6917</v>
      </c>
      <c r="E4257" s="7" t="s">
        <v>6295</v>
      </c>
      <c r="F4257" s="7" t="s">
        <v>6341</v>
      </c>
      <c r="G4257" s="7" t="s">
        <v>7150</v>
      </c>
      <c r="H4257" s="7" t="s">
        <v>7156</v>
      </c>
      <c r="I4257" s="7"/>
      <c r="J4257" s="10">
        <v>45119</v>
      </c>
      <c r="K4257" s="7" t="s">
        <v>7163</v>
      </c>
      <c r="L4257" s="7"/>
      <c r="M4257" s="7"/>
    </row>
    <row r="4258" spans="1:13" x14ac:dyDescent="0.3">
      <c r="A4258" s="7">
        <v>16493</v>
      </c>
      <c r="B4258" s="7" t="s">
        <v>4265</v>
      </c>
      <c r="C4258" s="7" t="s">
        <v>6770</v>
      </c>
      <c r="D4258" s="7" t="s">
        <v>6911</v>
      </c>
      <c r="E4258" s="7" t="s">
        <v>6295</v>
      </c>
      <c r="F4258" s="7" t="s">
        <v>6341</v>
      </c>
      <c r="G4258" s="7" t="s">
        <v>7150</v>
      </c>
      <c r="H4258" s="7" t="s">
        <v>7156</v>
      </c>
      <c r="I4258" s="7"/>
      <c r="J4258" s="10">
        <v>45439</v>
      </c>
      <c r="K4258" s="7" t="s">
        <v>7163</v>
      </c>
      <c r="L4258" s="7"/>
      <c r="M4258" s="7"/>
    </row>
    <row r="4259" spans="1:13" x14ac:dyDescent="0.3">
      <c r="A4259" s="7">
        <v>14491</v>
      </c>
      <c r="B4259" s="7" t="s">
        <v>4266</v>
      </c>
      <c r="C4259" s="7" t="s">
        <v>6770</v>
      </c>
      <c r="D4259" s="7" t="s">
        <v>6911</v>
      </c>
      <c r="E4259" s="7" t="s">
        <v>6295</v>
      </c>
      <c r="F4259" s="7" t="s">
        <v>6341</v>
      </c>
      <c r="G4259" s="7" t="s">
        <v>7150</v>
      </c>
      <c r="H4259" s="7" t="s">
        <v>7156</v>
      </c>
      <c r="I4259" s="7"/>
      <c r="J4259" s="10">
        <v>44775</v>
      </c>
      <c r="K4259" s="7" t="s">
        <v>7163</v>
      </c>
      <c r="L4259" s="7"/>
      <c r="M4259" s="7"/>
    </row>
    <row r="4260" spans="1:13" x14ac:dyDescent="0.3">
      <c r="A4260" s="7">
        <v>16084</v>
      </c>
      <c r="B4260" s="7" t="s">
        <v>4267</v>
      </c>
      <c r="C4260" s="7" t="s">
        <v>6920</v>
      </c>
      <c r="D4260" s="7" t="s">
        <v>6295</v>
      </c>
      <c r="E4260" s="7" t="s">
        <v>6295</v>
      </c>
      <c r="F4260" s="7" t="s">
        <v>6328</v>
      </c>
      <c r="G4260" s="7" t="s">
        <v>7150</v>
      </c>
      <c r="H4260" s="7" t="s">
        <v>7156</v>
      </c>
      <c r="I4260" s="7"/>
      <c r="J4260" s="10">
        <v>45275</v>
      </c>
      <c r="K4260" s="7" t="s">
        <v>7164</v>
      </c>
      <c r="L4260" s="7"/>
      <c r="M4260" s="7"/>
    </row>
    <row r="4261" spans="1:13" x14ac:dyDescent="0.3">
      <c r="A4261" s="7">
        <v>10778</v>
      </c>
      <c r="B4261" s="7" t="s">
        <v>4268</v>
      </c>
      <c r="C4261" s="7" t="s">
        <v>6920</v>
      </c>
      <c r="D4261" s="7" t="s">
        <v>6921</v>
      </c>
      <c r="E4261" s="7" t="s">
        <v>6295</v>
      </c>
      <c r="F4261" s="7" t="s">
        <v>6637</v>
      </c>
      <c r="G4261" s="7" t="s">
        <v>7150</v>
      </c>
      <c r="H4261" s="7" t="s">
        <v>7156</v>
      </c>
      <c r="I4261" s="7"/>
      <c r="J4261" s="10">
        <v>41871</v>
      </c>
      <c r="K4261" s="7" t="s">
        <v>7164</v>
      </c>
      <c r="L4261" s="7"/>
      <c r="M4261" s="7"/>
    </row>
    <row r="4262" spans="1:13" x14ac:dyDescent="0.3">
      <c r="A4262" s="7">
        <v>12907</v>
      </c>
      <c r="B4262" s="7" t="s">
        <v>4269</v>
      </c>
      <c r="C4262" s="7" t="s">
        <v>6920</v>
      </c>
      <c r="D4262" s="7" t="s">
        <v>6921</v>
      </c>
      <c r="E4262" s="7" t="s">
        <v>6295</v>
      </c>
      <c r="F4262" s="7" t="s">
        <v>6414</v>
      </c>
      <c r="G4262" s="7" t="s">
        <v>7150</v>
      </c>
      <c r="H4262" s="7" t="s">
        <v>7156</v>
      </c>
      <c r="I4262" s="7"/>
      <c r="J4262" s="10">
        <v>44095</v>
      </c>
      <c r="K4262" s="7" t="s">
        <v>7164</v>
      </c>
      <c r="L4262" s="7"/>
      <c r="M4262" s="7"/>
    </row>
    <row r="4263" spans="1:13" x14ac:dyDescent="0.3">
      <c r="A4263" s="7">
        <v>17196</v>
      </c>
      <c r="B4263" s="7" t="s">
        <v>4270</v>
      </c>
      <c r="C4263" s="7" t="s">
        <v>6920</v>
      </c>
      <c r="D4263" s="7" t="s">
        <v>6922</v>
      </c>
      <c r="E4263" s="7" t="s">
        <v>6295</v>
      </c>
      <c r="F4263" s="7" t="s">
        <v>6923</v>
      </c>
      <c r="G4263" s="7" t="s">
        <v>7150</v>
      </c>
      <c r="H4263" s="7" t="s">
        <v>7156</v>
      </c>
      <c r="I4263" s="7"/>
      <c r="J4263" s="10">
        <v>45664</v>
      </c>
      <c r="K4263" s="7" t="s">
        <v>7164</v>
      </c>
      <c r="L4263" s="7"/>
      <c r="M4263" s="7"/>
    </row>
    <row r="4264" spans="1:13" x14ac:dyDescent="0.3">
      <c r="A4264" s="7">
        <v>17622</v>
      </c>
      <c r="B4264" s="7" t="s">
        <v>4271</v>
      </c>
      <c r="C4264" s="7" t="s">
        <v>6920</v>
      </c>
      <c r="D4264" s="7" t="s">
        <v>6922</v>
      </c>
      <c r="E4264" s="7" t="s">
        <v>6295</v>
      </c>
      <c r="F4264" s="7" t="s">
        <v>6924</v>
      </c>
      <c r="G4264" s="7" t="s">
        <v>7150</v>
      </c>
      <c r="H4264" s="7" t="s">
        <v>7156</v>
      </c>
      <c r="I4264" s="7"/>
      <c r="J4264" s="10">
        <v>45818</v>
      </c>
      <c r="K4264" s="7" t="s">
        <v>7164</v>
      </c>
      <c r="L4264" s="7"/>
      <c r="M4264" s="7"/>
    </row>
    <row r="4265" spans="1:13" x14ac:dyDescent="0.3">
      <c r="A4265" s="7">
        <v>17815</v>
      </c>
      <c r="B4265" s="7" t="s">
        <v>4272</v>
      </c>
      <c r="C4265" s="7" t="s">
        <v>6920</v>
      </c>
      <c r="D4265" s="7" t="s">
        <v>6922</v>
      </c>
      <c r="E4265" s="7" t="s">
        <v>6295</v>
      </c>
      <c r="F4265" s="7" t="s">
        <v>6924</v>
      </c>
      <c r="G4265" s="7" t="s">
        <v>7150</v>
      </c>
      <c r="H4265" s="7" t="s">
        <v>7156</v>
      </c>
      <c r="I4265" s="7"/>
      <c r="J4265" s="10">
        <v>45882</v>
      </c>
      <c r="K4265" s="7" t="s">
        <v>7164</v>
      </c>
      <c r="L4265" s="7"/>
      <c r="M4265" s="7"/>
    </row>
    <row r="4266" spans="1:13" x14ac:dyDescent="0.3">
      <c r="A4266" s="7">
        <v>17831</v>
      </c>
      <c r="B4266" s="7" t="s">
        <v>4273</v>
      </c>
      <c r="C4266" s="7" t="s">
        <v>6920</v>
      </c>
      <c r="D4266" s="7" t="s">
        <v>6921</v>
      </c>
      <c r="E4266" s="7" t="s">
        <v>6295</v>
      </c>
      <c r="F4266" s="7" t="s">
        <v>6923</v>
      </c>
      <c r="G4266" s="7" t="s">
        <v>7150</v>
      </c>
      <c r="H4266" s="7" t="s">
        <v>7156</v>
      </c>
      <c r="I4266" s="7"/>
      <c r="J4266" s="10">
        <v>45887</v>
      </c>
      <c r="K4266" s="7" t="s">
        <v>7164</v>
      </c>
      <c r="L4266" s="7"/>
      <c r="M4266" s="7"/>
    </row>
    <row r="4267" spans="1:13" x14ac:dyDescent="0.3">
      <c r="A4267" s="7">
        <v>16355</v>
      </c>
      <c r="B4267" s="7" t="s">
        <v>4274</v>
      </c>
      <c r="C4267" s="7" t="s">
        <v>6920</v>
      </c>
      <c r="D4267" s="7" t="s">
        <v>6921</v>
      </c>
      <c r="E4267" s="7" t="s">
        <v>6295</v>
      </c>
      <c r="F4267" s="7" t="s">
        <v>6923</v>
      </c>
      <c r="G4267" s="7" t="s">
        <v>7150</v>
      </c>
      <c r="H4267" s="7" t="s">
        <v>7156</v>
      </c>
      <c r="I4267" s="7"/>
      <c r="J4267" s="10">
        <v>45358</v>
      </c>
      <c r="K4267" s="7" t="s">
        <v>7164</v>
      </c>
      <c r="L4267" s="7"/>
      <c r="M4267" s="7"/>
    </row>
    <row r="4268" spans="1:13" x14ac:dyDescent="0.3">
      <c r="A4268" s="7">
        <v>17628</v>
      </c>
      <c r="B4268" s="7" t="s">
        <v>4275</v>
      </c>
      <c r="C4268" s="7" t="s">
        <v>6920</v>
      </c>
      <c r="D4268" s="7" t="s">
        <v>6921</v>
      </c>
      <c r="E4268" s="7" t="s">
        <v>6295</v>
      </c>
      <c r="F4268" s="7" t="s">
        <v>6925</v>
      </c>
      <c r="G4268" s="7" t="s">
        <v>7150</v>
      </c>
      <c r="H4268" s="7" t="s">
        <v>7156</v>
      </c>
      <c r="I4268" s="7"/>
      <c r="J4268" s="10">
        <v>45821</v>
      </c>
      <c r="K4268" s="7" t="s">
        <v>7164</v>
      </c>
      <c r="L4268" s="7"/>
      <c r="M4268" s="7"/>
    </row>
    <row r="4269" spans="1:13" x14ac:dyDescent="0.3">
      <c r="A4269" s="7">
        <v>17745</v>
      </c>
      <c r="B4269" s="7" t="s">
        <v>4276</v>
      </c>
      <c r="C4269" s="7" t="s">
        <v>6920</v>
      </c>
      <c r="D4269" s="7" t="s">
        <v>6921</v>
      </c>
      <c r="E4269" s="7" t="s">
        <v>6295</v>
      </c>
      <c r="F4269" s="7" t="s">
        <v>6925</v>
      </c>
      <c r="G4269" s="7" t="s">
        <v>7150</v>
      </c>
      <c r="H4269" s="7" t="s">
        <v>7156</v>
      </c>
      <c r="I4269" s="7"/>
      <c r="J4269" s="10">
        <v>45861</v>
      </c>
      <c r="K4269" s="7" t="s">
        <v>7164</v>
      </c>
      <c r="L4269" s="7"/>
      <c r="M4269" s="7"/>
    </row>
    <row r="4270" spans="1:13" x14ac:dyDescent="0.3">
      <c r="A4270" s="7">
        <v>18705</v>
      </c>
      <c r="B4270" s="7" t="s">
        <v>4277</v>
      </c>
      <c r="C4270" s="7" t="s">
        <v>6920</v>
      </c>
      <c r="D4270" s="7" t="s">
        <v>6921</v>
      </c>
      <c r="E4270" s="7" t="s">
        <v>6295</v>
      </c>
      <c r="F4270" s="7" t="s">
        <v>6926</v>
      </c>
      <c r="G4270" s="7" t="s">
        <v>7150</v>
      </c>
      <c r="H4270" s="7" t="s">
        <v>7156</v>
      </c>
      <c r="I4270" s="7"/>
      <c r="J4270" s="10">
        <v>46195</v>
      </c>
      <c r="K4270" s="7" t="s">
        <v>7164</v>
      </c>
      <c r="L4270" s="7"/>
      <c r="M4270" s="7"/>
    </row>
    <row r="4271" spans="1:13" x14ac:dyDescent="0.3">
      <c r="A4271" s="7">
        <v>12804</v>
      </c>
      <c r="B4271" s="7" t="s">
        <v>4278</v>
      </c>
      <c r="C4271" s="7" t="s">
        <v>6756</v>
      </c>
      <c r="D4271" s="7" t="s">
        <v>6295</v>
      </c>
      <c r="E4271" s="7" t="s">
        <v>6295</v>
      </c>
      <c r="F4271" s="7" t="s">
        <v>6356</v>
      </c>
      <c r="G4271" s="7" t="s">
        <v>7150</v>
      </c>
      <c r="H4271" s="7" t="s">
        <v>7156</v>
      </c>
      <c r="I4271" s="7"/>
      <c r="J4271" s="10">
        <v>43937</v>
      </c>
      <c r="K4271" s="7" t="s">
        <v>7163</v>
      </c>
      <c r="L4271" s="7"/>
      <c r="M4271" s="7"/>
    </row>
    <row r="4272" spans="1:13" x14ac:dyDescent="0.3">
      <c r="A4272" s="7">
        <v>18095</v>
      </c>
      <c r="B4272" s="7" t="s">
        <v>4279</v>
      </c>
      <c r="C4272" s="7" t="s">
        <v>6756</v>
      </c>
      <c r="D4272" s="7" t="s">
        <v>6295</v>
      </c>
      <c r="E4272" s="7" t="s">
        <v>6295</v>
      </c>
      <c r="F4272" s="7" t="s">
        <v>6336</v>
      </c>
      <c r="G4272" s="7" t="s">
        <v>7150</v>
      </c>
      <c r="H4272" s="7" t="s">
        <v>7156</v>
      </c>
      <c r="I4272" s="7"/>
      <c r="J4272" s="10">
        <v>45992</v>
      </c>
      <c r="K4272" s="7" t="s">
        <v>7163</v>
      </c>
      <c r="L4272" s="7"/>
      <c r="M4272" s="7"/>
    </row>
    <row r="4273" spans="1:13" x14ac:dyDescent="0.3">
      <c r="A4273" s="7">
        <v>12918</v>
      </c>
      <c r="B4273" s="7" t="s">
        <v>4280</v>
      </c>
      <c r="C4273" s="7" t="s">
        <v>6756</v>
      </c>
      <c r="D4273" s="7" t="s">
        <v>6927</v>
      </c>
      <c r="E4273" s="7" t="s">
        <v>6295</v>
      </c>
      <c r="F4273" s="7" t="s">
        <v>6338</v>
      </c>
      <c r="G4273" s="7" t="s">
        <v>7150</v>
      </c>
      <c r="H4273" s="7" t="s">
        <v>7156</v>
      </c>
      <c r="I4273" s="7"/>
      <c r="J4273" s="10">
        <v>44109</v>
      </c>
      <c r="K4273" s="7" t="s">
        <v>7163</v>
      </c>
      <c r="L4273" s="7"/>
      <c r="M4273" s="7"/>
    </row>
    <row r="4274" spans="1:13" x14ac:dyDescent="0.3">
      <c r="A4274" s="7">
        <v>10861</v>
      </c>
      <c r="B4274" s="7" t="s">
        <v>4281</v>
      </c>
      <c r="C4274" s="7" t="s">
        <v>6756</v>
      </c>
      <c r="D4274" s="7" t="s">
        <v>6927</v>
      </c>
      <c r="E4274" s="7" t="s">
        <v>6295</v>
      </c>
      <c r="F4274" s="7" t="s">
        <v>6335</v>
      </c>
      <c r="G4274" s="7" t="s">
        <v>7150</v>
      </c>
      <c r="H4274" s="7" t="s">
        <v>7156</v>
      </c>
      <c r="I4274" s="7"/>
      <c r="J4274" s="10">
        <v>42012</v>
      </c>
      <c r="K4274" s="7" t="s">
        <v>7163</v>
      </c>
      <c r="L4274" s="7"/>
      <c r="M4274" s="7"/>
    </row>
    <row r="4275" spans="1:13" x14ac:dyDescent="0.3">
      <c r="A4275" s="7">
        <v>19171</v>
      </c>
      <c r="B4275" s="7" t="s">
        <v>4282</v>
      </c>
      <c r="C4275" s="7" t="s">
        <v>6756</v>
      </c>
      <c r="D4275" s="7" t="s">
        <v>6927</v>
      </c>
      <c r="E4275" s="7" t="s">
        <v>6295</v>
      </c>
      <c r="F4275" s="7" t="s">
        <v>6335</v>
      </c>
      <c r="G4275" s="7" t="s">
        <v>7150</v>
      </c>
      <c r="H4275" s="7" t="s">
        <v>7156</v>
      </c>
      <c r="I4275" s="7"/>
      <c r="J4275" s="10">
        <v>46276</v>
      </c>
      <c r="K4275" s="7" t="s">
        <v>7163</v>
      </c>
      <c r="L4275" s="7"/>
      <c r="M4275" s="7"/>
    </row>
    <row r="4276" spans="1:13" x14ac:dyDescent="0.3">
      <c r="A4276" s="7">
        <v>15108</v>
      </c>
      <c r="B4276" s="7" t="s">
        <v>4283</v>
      </c>
      <c r="C4276" s="7" t="s">
        <v>6756</v>
      </c>
      <c r="D4276" s="7" t="s">
        <v>6927</v>
      </c>
      <c r="E4276" s="7" t="s">
        <v>6295</v>
      </c>
      <c r="F4276" s="7" t="s">
        <v>6353</v>
      </c>
      <c r="G4276" s="7" t="s">
        <v>7150</v>
      </c>
      <c r="H4276" s="7" t="s">
        <v>7156</v>
      </c>
      <c r="I4276" s="7"/>
      <c r="J4276" s="10">
        <v>44952</v>
      </c>
      <c r="K4276" s="7" t="s">
        <v>7163</v>
      </c>
      <c r="L4276" s="7"/>
      <c r="M4276" s="7"/>
    </row>
    <row r="4277" spans="1:13" x14ac:dyDescent="0.3">
      <c r="A4277" s="7">
        <v>15816</v>
      </c>
      <c r="B4277" s="7" t="s">
        <v>4284</v>
      </c>
      <c r="C4277" s="7" t="s">
        <v>6756</v>
      </c>
      <c r="D4277" s="7" t="s">
        <v>6927</v>
      </c>
      <c r="E4277" s="7" t="s">
        <v>6295</v>
      </c>
      <c r="F4277" s="7" t="s">
        <v>6353</v>
      </c>
      <c r="G4277" s="7" t="s">
        <v>7150</v>
      </c>
      <c r="H4277" s="7" t="s">
        <v>7156</v>
      </c>
      <c r="I4277" s="7"/>
      <c r="J4277" s="10">
        <v>45205</v>
      </c>
      <c r="K4277" s="7" t="s">
        <v>7163</v>
      </c>
      <c r="L4277" s="7"/>
      <c r="M4277" s="7"/>
    </row>
    <row r="4278" spans="1:13" x14ac:dyDescent="0.3">
      <c r="A4278" s="7">
        <v>16223</v>
      </c>
      <c r="B4278" s="7" t="s">
        <v>4285</v>
      </c>
      <c r="C4278" s="7" t="s">
        <v>6756</v>
      </c>
      <c r="D4278" s="7" t="s">
        <v>6927</v>
      </c>
      <c r="E4278" s="7" t="s">
        <v>6295</v>
      </c>
      <c r="F4278" s="7" t="s">
        <v>6353</v>
      </c>
      <c r="G4278" s="7" t="s">
        <v>7152</v>
      </c>
      <c r="H4278" s="7" t="s">
        <v>7156</v>
      </c>
      <c r="I4278" s="7"/>
      <c r="J4278" s="10">
        <v>45327</v>
      </c>
      <c r="K4278" s="7" t="s">
        <v>7163</v>
      </c>
      <c r="L4278" s="7"/>
      <c r="M4278" s="7"/>
    </row>
    <row r="4279" spans="1:13" x14ac:dyDescent="0.3">
      <c r="A4279" s="7">
        <v>18405</v>
      </c>
      <c r="B4279" s="7" t="s">
        <v>4286</v>
      </c>
      <c r="C4279" s="7" t="s">
        <v>6756</v>
      </c>
      <c r="D4279" s="7" t="s">
        <v>6927</v>
      </c>
      <c r="E4279" s="7" t="s">
        <v>6295</v>
      </c>
      <c r="F4279" s="7" t="s">
        <v>6341</v>
      </c>
      <c r="G4279" s="7" t="s">
        <v>7150</v>
      </c>
      <c r="H4279" s="7" t="s">
        <v>7156</v>
      </c>
      <c r="I4279" s="7"/>
      <c r="J4279" s="10">
        <v>46132</v>
      </c>
      <c r="K4279" s="7" t="s">
        <v>7163</v>
      </c>
      <c r="L4279" s="7"/>
      <c r="M4279" s="7"/>
    </row>
    <row r="4280" spans="1:13" x14ac:dyDescent="0.3">
      <c r="A4280" s="7">
        <v>18344</v>
      </c>
      <c r="B4280" s="7" t="s">
        <v>4287</v>
      </c>
      <c r="C4280" s="7" t="s">
        <v>6756</v>
      </c>
      <c r="D4280" s="7" t="s">
        <v>6927</v>
      </c>
      <c r="E4280" s="7" t="s">
        <v>6295</v>
      </c>
      <c r="F4280" s="7" t="s">
        <v>6341</v>
      </c>
      <c r="G4280" s="7" t="s">
        <v>7150</v>
      </c>
      <c r="H4280" s="7" t="s">
        <v>7156</v>
      </c>
      <c r="I4280" s="7" t="s">
        <v>7159</v>
      </c>
      <c r="J4280" s="10">
        <v>46092</v>
      </c>
      <c r="K4280" s="7" t="s">
        <v>7163</v>
      </c>
      <c r="L4280" s="7"/>
      <c r="M4280" s="7"/>
    </row>
    <row r="4281" spans="1:13" x14ac:dyDescent="0.3">
      <c r="A4281" s="7">
        <v>17099</v>
      </c>
      <c r="B4281" s="7" t="s">
        <v>4288</v>
      </c>
      <c r="C4281" s="7" t="s">
        <v>6756</v>
      </c>
      <c r="D4281" s="7" t="s">
        <v>6927</v>
      </c>
      <c r="E4281" s="7" t="s">
        <v>6295</v>
      </c>
      <c r="F4281" s="7" t="s">
        <v>6341</v>
      </c>
      <c r="G4281" s="7" t="s">
        <v>7150</v>
      </c>
      <c r="H4281" s="7" t="s">
        <v>7156</v>
      </c>
      <c r="I4281" s="7"/>
      <c r="J4281" s="10">
        <v>45629</v>
      </c>
      <c r="K4281" s="7" t="s">
        <v>7163</v>
      </c>
      <c r="L4281" s="7"/>
      <c r="M4281" s="7"/>
    </row>
    <row r="4282" spans="1:13" x14ac:dyDescent="0.3">
      <c r="A4282" s="7">
        <v>18613</v>
      </c>
      <c r="B4282" s="7" t="s">
        <v>4289</v>
      </c>
      <c r="C4282" s="7" t="s">
        <v>6756</v>
      </c>
      <c r="D4282" s="7" t="s">
        <v>6927</v>
      </c>
      <c r="E4282" s="7" t="s">
        <v>6928</v>
      </c>
      <c r="F4282" s="7" t="s">
        <v>6348</v>
      </c>
      <c r="G4282" s="7" t="s">
        <v>7150</v>
      </c>
      <c r="H4282" s="7" t="s">
        <v>7156</v>
      </c>
      <c r="I4282" s="7"/>
      <c r="J4282" s="10">
        <v>46164</v>
      </c>
      <c r="K4282" s="7" t="s">
        <v>7163</v>
      </c>
      <c r="L4282" s="7"/>
      <c r="M4282" s="7"/>
    </row>
    <row r="4283" spans="1:13" x14ac:dyDescent="0.3">
      <c r="A4283" s="7">
        <v>10864</v>
      </c>
      <c r="B4283" s="7" t="s">
        <v>4290</v>
      </c>
      <c r="C4283" s="7" t="s">
        <v>6756</v>
      </c>
      <c r="D4283" s="7" t="s">
        <v>6916</v>
      </c>
      <c r="E4283" s="7" t="s">
        <v>6295</v>
      </c>
      <c r="F4283" s="7" t="s">
        <v>6335</v>
      </c>
      <c r="G4283" s="7" t="s">
        <v>7152</v>
      </c>
      <c r="H4283" s="7" t="s">
        <v>7156</v>
      </c>
      <c r="I4283" s="7"/>
      <c r="J4283" s="10">
        <v>42023</v>
      </c>
      <c r="K4283" s="7" t="s">
        <v>7163</v>
      </c>
      <c r="L4283" s="7"/>
      <c r="M4283" s="7"/>
    </row>
    <row r="4284" spans="1:13" x14ac:dyDescent="0.3">
      <c r="A4284" s="7">
        <v>15636</v>
      </c>
      <c r="B4284" s="7" t="s">
        <v>4291</v>
      </c>
      <c r="C4284" s="7" t="s">
        <v>6756</v>
      </c>
      <c r="D4284" s="7" t="s">
        <v>6916</v>
      </c>
      <c r="E4284" s="7" t="s">
        <v>6295</v>
      </c>
      <c r="F4284" s="7" t="s">
        <v>6340</v>
      </c>
      <c r="G4284" s="7" t="s">
        <v>7150</v>
      </c>
      <c r="H4284" s="7" t="s">
        <v>7156</v>
      </c>
      <c r="I4284" s="7"/>
      <c r="J4284" s="10">
        <v>45149</v>
      </c>
      <c r="K4284" s="7" t="s">
        <v>7163</v>
      </c>
      <c r="L4284" s="7"/>
      <c r="M4284" s="7"/>
    </row>
    <row r="4285" spans="1:13" x14ac:dyDescent="0.3">
      <c r="A4285" s="7">
        <v>13299</v>
      </c>
      <c r="B4285" s="7" t="s">
        <v>4292</v>
      </c>
      <c r="C4285" s="7" t="s">
        <v>6756</v>
      </c>
      <c r="D4285" s="7" t="s">
        <v>6916</v>
      </c>
      <c r="E4285" s="7" t="s">
        <v>6295</v>
      </c>
      <c r="F4285" s="7" t="s">
        <v>6340</v>
      </c>
      <c r="G4285" s="7" t="s">
        <v>7150</v>
      </c>
      <c r="H4285" s="7" t="s">
        <v>7156</v>
      </c>
      <c r="I4285" s="7"/>
      <c r="J4285" s="10">
        <v>44378</v>
      </c>
      <c r="K4285" s="7" t="s">
        <v>7163</v>
      </c>
      <c r="L4285" s="7"/>
      <c r="M4285" s="7"/>
    </row>
    <row r="4286" spans="1:13" x14ac:dyDescent="0.3">
      <c r="A4286" s="7">
        <v>19004</v>
      </c>
      <c r="B4286" s="7" t="s">
        <v>4293</v>
      </c>
      <c r="C4286" s="7" t="s">
        <v>6756</v>
      </c>
      <c r="D4286" s="7" t="s">
        <v>6916</v>
      </c>
      <c r="E4286" s="7" t="s">
        <v>6295</v>
      </c>
      <c r="F4286" s="7" t="s">
        <v>6341</v>
      </c>
      <c r="G4286" s="7" t="s">
        <v>7150</v>
      </c>
      <c r="H4286" s="7" t="s">
        <v>7156</v>
      </c>
      <c r="I4286" s="7"/>
      <c r="J4286" s="10">
        <v>46259</v>
      </c>
      <c r="K4286" s="7" t="s">
        <v>7163</v>
      </c>
      <c r="L4286" s="7"/>
      <c r="M4286" s="7"/>
    </row>
    <row r="4287" spans="1:13" x14ac:dyDescent="0.3">
      <c r="A4287" s="7">
        <v>19031</v>
      </c>
      <c r="B4287" s="7" t="s">
        <v>4294</v>
      </c>
      <c r="C4287" s="7" t="s">
        <v>6756</v>
      </c>
      <c r="D4287" s="7" t="s">
        <v>6916</v>
      </c>
      <c r="E4287" s="7" t="s">
        <v>6295</v>
      </c>
      <c r="F4287" s="7" t="s">
        <v>6348</v>
      </c>
      <c r="G4287" s="7" t="s">
        <v>7150</v>
      </c>
      <c r="H4287" s="7" t="s">
        <v>7156</v>
      </c>
      <c r="I4287" s="7"/>
      <c r="J4287" s="10">
        <v>46259</v>
      </c>
      <c r="K4287" s="7" t="s">
        <v>7163</v>
      </c>
      <c r="L4287" s="7"/>
      <c r="M4287" s="7"/>
    </row>
    <row r="4288" spans="1:13" x14ac:dyDescent="0.3">
      <c r="A4288" s="7">
        <v>14485</v>
      </c>
      <c r="B4288" s="7" t="s">
        <v>4295</v>
      </c>
      <c r="C4288" s="7" t="s">
        <v>6756</v>
      </c>
      <c r="D4288" s="7" t="s">
        <v>6929</v>
      </c>
      <c r="E4288" s="7" t="s">
        <v>6295</v>
      </c>
      <c r="F4288" s="7" t="s">
        <v>6338</v>
      </c>
      <c r="G4288" s="7" t="s">
        <v>7150</v>
      </c>
      <c r="H4288" s="7" t="s">
        <v>7156</v>
      </c>
      <c r="I4288" s="7"/>
      <c r="J4288" s="10">
        <v>44775</v>
      </c>
      <c r="K4288" s="7" t="s">
        <v>7163</v>
      </c>
      <c r="L4288" s="7"/>
      <c r="M4288" s="7"/>
    </row>
    <row r="4289" spans="1:13" x14ac:dyDescent="0.3">
      <c r="A4289" s="7">
        <v>900040</v>
      </c>
      <c r="B4289" s="7" t="s">
        <v>4296</v>
      </c>
      <c r="C4289" s="7" t="s">
        <v>6756</v>
      </c>
      <c r="D4289" s="7" t="s">
        <v>6929</v>
      </c>
      <c r="E4289" s="7" t="s">
        <v>6295</v>
      </c>
      <c r="F4289" s="7" t="s">
        <v>6335</v>
      </c>
      <c r="G4289" s="7" t="s">
        <v>7150</v>
      </c>
      <c r="H4289" s="7" t="s">
        <v>7156</v>
      </c>
      <c r="I4289" s="7"/>
      <c r="J4289" s="10">
        <v>42342</v>
      </c>
      <c r="K4289" s="7" t="s">
        <v>7163</v>
      </c>
      <c r="L4289" s="7"/>
      <c r="M4289" s="7"/>
    </row>
    <row r="4290" spans="1:13" x14ac:dyDescent="0.3">
      <c r="A4290" s="7">
        <v>17644</v>
      </c>
      <c r="B4290" s="7" t="s">
        <v>4297</v>
      </c>
      <c r="C4290" s="7" t="s">
        <v>6756</v>
      </c>
      <c r="D4290" s="7" t="s">
        <v>6929</v>
      </c>
      <c r="E4290" s="7" t="s">
        <v>6295</v>
      </c>
      <c r="F4290" s="7" t="s">
        <v>6353</v>
      </c>
      <c r="G4290" s="7" t="s">
        <v>7150</v>
      </c>
      <c r="H4290" s="7" t="s">
        <v>7156</v>
      </c>
      <c r="I4290" s="7"/>
      <c r="J4290" s="10">
        <v>45831</v>
      </c>
      <c r="K4290" s="7" t="s">
        <v>7163</v>
      </c>
      <c r="L4290" s="7"/>
      <c r="M4290" s="7"/>
    </row>
    <row r="4291" spans="1:13" x14ac:dyDescent="0.3">
      <c r="A4291" s="7">
        <v>18194</v>
      </c>
      <c r="B4291" s="7" t="s">
        <v>4298</v>
      </c>
      <c r="C4291" s="7" t="s">
        <v>6756</v>
      </c>
      <c r="D4291" s="7" t="s">
        <v>6929</v>
      </c>
      <c r="E4291" s="7" t="s">
        <v>6295</v>
      </c>
      <c r="F4291" s="7" t="s">
        <v>6353</v>
      </c>
      <c r="G4291" s="7" t="s">
        <v>7150</v>
      </c>
      <c r="H4291" s="7" t="s">
        <v>7156</v>
      </c>
      <c r="I4291" s="7"/>
      <c r="J4291" s="10">
        <v>46043</v>
      </c>
      <c r="K4291" s="7" t="s">
        <v>7163</v>
      </c>
      <c r="L4291" s="7"/>
      <c r="M4291" s="7"/>
    </row>
    <row r="4292" spans="1:13" x14ac:dyDescent="0.3">
      <c r="A4292" s="7">
        <v>13675</v>
      </c>
      <c r="B4292" s="7" t="s">
        <v>4299</v>
      </c>
      <c r="C4292" s="7" t="s">
        <v>6756</v>
      </c>
      <c r="D4292" s="7" t="s">
        <v>6929</v>
      </c>
      <c r="E4292" s="7" t="s">
        <v>6295</v>
      </c>
      <c r="F4292" s="7" t="s">
        <v>6353</v>
      </c>
      <c r="G4292" s="7" t="s">
        <v>7150</v>
      </c>
      <c r="H4292" s="7" t="s">
        <v>7156</v>
      </c>
      <c r="I4292" s="7"/>
      <c r="J4292" s="10">
        <v>44536</v>
      </c>
      <c r="K4292" s="7" t="s">
        <v>7163</v>
      </c>
      <c r="L4292" s="7"/>
      <c r="M4292" s="7"/>
    </row>
    <row r="4293" spans="1:13" x14ac:dyDescent="0.3">
      <c r="A4293" s="7">
        <v>17714</v>
      </c>
      <c r="B4293" s="7" t="s">
        <v>4300</v>
      </c>
      <c r="C4293" s="7" t="s">
        <v>6756</v>
      </c>
      <c r="D4293" s="7" t="s">
        <v>6915</v>
      </c>
      <c r="E4293" s="7" t="s">
        <v>6295</v>
      </c>
      <c r="F4293" s="7" t="s">
        <v>6340</v>
      </c>
      <c r="G4293" s="7" t="s">
        <v>7150</v>
      </c>
      <c r="H4293" s="7" t="s">
        <v>7156</v>
      </c>
      <c r="I4293" s="7"/>
      <c r="J4293" s="10">
        <v>45863</v>
      </c>
      <c r="K4293" s="7" t="s">
        <v>7163</v>
      </c>
      <c r="L4293" s="7"/>
      <c r="M4293" s="7"/>
    </row>
    <row r="4294" spans="1:13" x14ac:dyDescent="0.3">
      <c r="A4294" s="7">
        <v>18439</v>
      </c>
      <c r="B4294" s="7" t="s">
        <v>4301</v>
      </c>
      <c r="C4294" s="7" t="s">
        <v>6756</v>
      </c>
      <c r="D4294" s="7" t="s">
        <v>6915</v>
      </c>
      <c r="E4294" s="7" t="s">
        <v>6295</v>
      </c>
      <c r="F4294" s="7" t="s">
        <v>6353</v>
      </c>
      <c r="G4294" s="7" t="s">
        <v>7150</v>
      </c>
      <c r="H4294" s="7" t="s">
        <v>7156</v>
      </c>
      <c r="I4294" s="7"/>
      <c r="J4294" s="10">
        <v>46129</v>
      </c>
      <c r="K4294" s="7" t="s">
        <v>7163</v>
      </c>
      <c r="L4294" s="7"/>
      <c r="M4294" s="7"/>
    </row>
    <row r="4295" spans="1:13" x14ac:dyDescent="0.3">
      <c r="A4295" s="7">
        <v>16734</v>
      </c>
      <c r="B4295" s="7" t="s">
        <v>4302</v>
      </c>
      <c r="C4295" s="7" t="s">
        <v>6756</v>
      </c>
      <c r="D4295" s="7" t="s">
        <v>6915</v>
      </c>
      <c r="E4295" s="7" t="s">
        <v>6295</v>
      </c>
      <c r="F4295" s="7" t="s">
        <v>6353</v>
      </c>
      <c r="G4295" s="7" t="s">
        <v>7150</v>
      </c>
      <c r="H4295" s="7" t="s">
        <v>7156</v>
      </c>
      <c r="I4295" s="7"/>
      <c r="J4295" s="10">
        <v>45537</v>
      </c>
      <c r="K4295" s="7" t="s">
        <v>7163</v>
      </c>
      <c r="L4295" s="7"/>
      <c r="M4295" s="7"/>
    </row>
    <row r="4296" spans="1:13" x14ac:dyDescent="0.3">
      <c r="A4296" s="7">
        <v>300076</v>
      </c>
      <c r="B4296" s="7" t="s">
        <v>4303</v>
      </c>
      <c r="C4296" s="7" t="s">
        <v>6756</v>
      </c>
      <c r="D4296" s="7" t="s">
        <v>6915</v>
      </c>
      <c r="E4296" s="7" t="s">
        <v>6295</v>
      </c>
      <c r="F4296" s="7" t="s">
        <v>6353</v>
      </c>
      <c r="G4296" s="7" t="s">
        <v>7150</v>
      </c>
      <c r="H4296" s="7" t="s">
        <v>7156</v>
      </c>
      <c r="I4296" s="7"/>
      <c r="J4296" s="10">
        <v>42881</v>
      </c>
      <c r="K4296" s="7" t="s">
        <v>7163</v>
      </c>
      <c r="L4296" s="7"/>
      <c r="M4296" s="7"/>
    </row>
    <row r="4297" spans="1:13" x14ac:dyDescent="0.3">
      <c r="A4297" s="7">
        <v>16439</v>
      </c>
      <c r="B4297" s="7" t="s">
        <v>4304</v>
      </c>
      <c r="C4297" s="7" t="s">
        <v>6756</v>
      </c>
      <c r="D4297" s="7" t="s">
        <v>6915</v>
      </c>
      <c r="E4297" s="7" t="s">
        <v>6295</v>
      </c>
      <c r="F4297" s="7" t="s">
        <v>6341</v>
      </c>
      <c r="G4297" s="7" t="s">
        <v>7150</v>
      </c>
      <c r="H4297" s="7" t="s">
        <v>7156</v>
      </c>
      <c r="I4297" s="7"/>
      <c r="J4297" s="10">
        <v>45399</v>
      </c>
      <c r="K4297" s="7" t="s">
        <v>7163</v>
      </c>
      <c r="L4297" s="7"/>
      <c r="M4297" s="7"/>
    </row>
    <row r="4298" spans="1:13" x14ac:dyDescent="0.3">
      <c r="A4298" s="7">
        <v>270028</v>
      </c>
      <c r="B4298" s="7" t="s">
        <v>4305</v>
      </c>
      <c r="C4298" s="7" t="s">
        <v>6756</v>
      </c>
      <c r="D4298" s="7" t="s">
        <v>6915</v>
      </c>
      <c r="E4298" s="7" t="s">
        <v>6295</v>
      </c>
      <c r="F4298" s="7" t="s">
        <v>6341</v>
      </c>
      <c r="G4298" s="7" t="s">
        <v>7150</v>
      </c>
      <c r="H4298" s="7" t="s">
        <v>7156</v>
      </c>
      <c r="I4298" s="7"/>
      <c r="J4298" s="10">
        <v>42150</v>
      </c>
      <c r="K4298" s="7" t="s">
        <v>7163</v>
      </c>
      <c r="L4298" s="7"/>
      <c r="M4298" s="7"/>
    </row>
    <row r="4299" spans="1:13" x14ac:dyDescent="0.3">
      <c r="A4299" s="7">
        <v>160035</v>
      </c>
      <c r="B4299" s="7" t="s">
        <v>4306</v>
      </c>
      <c r="C4299" s="7" t="s">
        <v>6756</v>
      </c>
      <c r="D4299" s="7" t="s">
        <v>6929</v>
      </c>
      <c r="E4299" s="7" t="s">
        <v>6295</v>
      </c>
      <c r="F4299" s="7" t="s">
        <v>6340</v>
      </c>
      <c r="G4299" s="7" t="s">
        <v>7150</v>
      </c>
      <c r="H4299" s="7" t="s">
        <v>7156</v>
      </c>
      <c r="I4299" s="7"/>
      <c r="J4299" s="10">
        <v>42510</v>
      </c>
      <c r="K4299" s="7" t="s">
        <v>7163</v>
      </c>
      <c r="L4299" s="7"/>
      <c r="M4299" s="7"/>
    </row>
    <row r="4300" spans="1:13" x14ac:dyDescent="0.3">
      <c r="A4300" s="7">
        <v>150036</v>
      </c>
      <c r="B4300" s="7" t="s">
        <v>4307</v>
      </c>
      <c r="C4300" s="7" t="s">
        <v>6756</v>
      </c>
      <c r="D4300" s="7" t="s">
        <v>6929</v>
      </c>
      <c r="E4300" s="7" t="s">
        <v>6295</v>
      </c>
      <c r="F4300" s="7" t="s">
        <v>6341</v>
      </c>
      <c r="G4300" s="7" t="s">
        <v>7150</v>
      </c>
      <c r="H4300" s="7" t="s">
        <v>7156</v>
      </c>
      <c r="I4300" s="7"/>
      <c r="J4300" s="10">
        <v>43655</v>
      </c>
      <c r="K4300" s="7" t="s">
        <v>7163</v>
      </c>
      <c r="L4300" s="7"/>
      <c r="M4300" s="7"/>
    </row>
    <row r="4301" spans="1:13" x14ac:dyDescent="0.3">
      <c r="A4301" s="7">
        <v>17464</v>
      </c>
      <c r="B4301" s="7" t="s">
        <v>4308</v>
      </c>
      <c r="C4301" s="7" t="s">
        <v>6756</v>
      </c>
      <c r="D4301" s="7" t="s">
        <v>6915</v>
      </c>
      <c r="E4301" s="7" t="s">
        <v>6295</v>
      </c>
      <c r="F4301" s="7" t="s">
        <v>6341</v>
      </c>
      <c r="G4301" s="7" t="s">
        <v>7150</v>
      </c>
      <c r="H4301" s="7" t="s">
        <v>7156</v>
      </c>
      <c r="I4301" s="7"/>
      <c r="J4301" s="10">
        <v>45754</v>
      </c>
      <c r="K4301" s="7" t="s">
        <v>7163</v>
      </c>
      <c r="L4301" s="7"/>
      <c r="M4301" s="7"/>
    </row>
    <row r="4302" spans="1:13" x14ac:dyDescent="0.3">
      <c r="A4302" s="7">
        <v>10281</v>
      </c>
      <c r="B4302" s="7" t="s">
        <v>4309</v>
      </c>
      <c r="C4302" s="7" t="s">
        <v>6751</v>
      </c>
      <c r="D4302" s="7" t="s">
        <v>6295</v>
      </c>
      <c r="E4302" s="7" t="s">
        <v>6295</v>
      </c>
      <c r="F4302" s="7" t="s">
        <v>6516</v>
      </c>
      <c r="G4302" s="7" t="s">
        <v>7150</v>
      </c>
      <c r="H4302" s="7" t="s">
        <v>7156</v>
      </c>
      <c r="I4302" s="7"/>
      <c r="J4302" s="10">
        <v>39392</v>
      </c>
      <c r="K4302" s="7" t="s">
        <v>7164</v>
      </c>
      <c r="L4302" s="7"/>
      <c r="M4302" s="7"/>
    </row>
    <row r="4303" spans="1:13" x14ac:dyDescent="0.3">
      <c r="A4303" s="7">
        <v>16096</v>
      </c>
      <c r="B4303" s="7" t="s">
        <v>4310</v>
      </c>
      <c r="C4303" s="7" t="s">
        <v>6751</v>
      </c>
      <c r="D4303" s="7" t="s">
        <v>6930</v>
      </c>
      <c r="E4303" s="7" t="s">
        <v>6295</v>
      </c>
      <c r="F4303" s="7" t="s">
        <v>6333</v>
      </c>
      <c r="G4303" s="7" t="s">
        <v>7150</v>
      </c>
      <c r="H4303" s="7" t="s">
        <v>7156</v>
      </c>
      <c r="I4303" s="7"/>
      <c r="J4303" s="10">
        <v>45282</v>
      </c>
      <c r="K4303" s="7" t="s">
        <v>7164</v>
      </c>
      <c r="L4303" s="7"/>
      <c r="M4303" s="7"/>
    </row>
    <row r="4304" spans="1:13" x14ac:dyDescent="0.3">
      <c r="A4304" s="7">
        <v>13811</v>
      </c>
      <c r="B4304" s="7" t="s">
        <v>4311</v>
      </c>
      <c r="C4304" s="7" t="s">
        <v>6931</v>
      </c>
      <c r="D4304" s="7" t="s">
        <v>6932</v>
      </c>
      <c r="E4304" s="7" t="s">
        <v>6295</v>
      </c>
      <c r="F4304" s="7" t="s">
        <v>6630</v>
      </c>
      <c r="G4304" s="7" t="s">
        <v>7150</v>
      </c>
      <c r="H4304" s="7" t="s">
        <v>7156</v>
      </c>
      <c r="I4304" s="7"/>
      <c r="J4304" s="10">
        <v>44586</v>
      </c>
      <c r="K4304" s="7" t="s">
        <v>7164</v>
      </c>
      <c r="L4304" s="7"/>
      <c r="M4304" s="7"/>
    </row>
    <row r="4305" spans="1:13" x14ac:dyDescent="0.3">
      <c r="A4305" s="7">
        <v>18267</v>
      </c>
      <c r="B4305" s="7" t="s">
        <v>4312</v>
      </c>
      <c r="C4305" s="7" t="s">
        <v>6931</v>
      </c>
      <c r="D4305" s="7" t="s">
        <v>6295</v>
      </c>
      <c r="E4305" s="7" t="s">
        <v>6295</v>
      </c>
      <c r="F4305" s="7" t="s">
        <v>6516</v>
      </c>
      <c r="G4305" s="7" t="s">
        <v>7150</v>
      </c>
      <c r="H4305" s="7" t="s">
        <v>7156</v>
      </c>
      <c r="I4305" s="7"/>
      <c r="J4305" s="10">
        <v>46070</v>
      </c>
      <c r="K4305" s="7" t="s">
        <v>7164</v>
      </c>
      <c r="L4305" s="7"/>
      <c r="M4305" s="7"/>
    </row>
    <row r="4306" spans="1:13" x14ac:dyDescent="0.3">
      <c r="A4306" s="7">
        <v>17704</v>
      </c>
      <c r="B4306" s="7" t="s">
        <v>4313</v>
      </c>
      <c r="C4306" s="7" t="s">
        <v>6931</v>
      </c>
      <c r="D4306" s="7" t="s">
        <v>6295</v>
      </c>
      <c r="E4306" s="7" t="s">
        <v>6295</v>
      </c>
      <c r="F4306" s="7" t="s">
        <v>6333</v>
      </c>
      <c r="G4306" s="7" t="s">
        <v>7150</v>
      </c>
      <c r="H4306" s="7" t="s">
        <v>7156</v>
      </c>
      <c r="I4306" s="7"/>
      <c r="J4306" s="10">
        <v>45846</v>
      </c>
      <c r="K4306" s="7" t="s">
        <v>7164</v>
      </c>
      <c r="L4306" s="7"/>
      <c r="M4306" s="7"/>
    </row>
    <row r="4307" spans="1:13" x14ac:dyDescent="0.3">
      <c r="A4307" s="7">
        <v>18866</v>
      </c>
      <c r="B4307" s="7" t="s">
        <v>4314</v>
      </c>
      <c r="C4307" s="7" t="s">
        <v>6931</v>
      </c>
      <c r="D4307" s="7" t="s">
        <v>6295</v>
      </c>
      <c r="E4307" s="7" t="s">
        <v>6295</v>
      </c>
      <c r="F4307" s="7" t="s">
        <v>6333</v>
      </c>
      <c r="G4307" s="7" t="s">
        <v>7150</v>
      </c>
      <c r="H4307" s="7" t="s">
        <v>7156</v>
      </c>
      <c r="I4307" s="7"/>
      <c r="J4307" s="10">
        <v>46223</v>
      </c>
      <c r="K4307" s="7" t="s">
        <v>7164</v>
      </c>
      <c r="L4307" s="7"/>
      <c r="M4307" s="7"/>
    </row>
    <row r="4308" spans="1:13" x14ac:dyDescent="0.3">
      <c r="A4308" s="7">
        <v>11875</v>
      </c>
      <c r="B4308" s="7" t="s">
        <v>4315</v>
      </c>
      <c r="C4308" s="7" t="s">
        <v>6515</v>
      </c>
      <c r="D4308" s="7" t="s">
        <v>6933</v>
      </c>
      <c r="E4308" s="7" t="s">
        <v>6295</v>
      </c>
      <c r="F4308" s="7" t="s">
        <v>6333</v>
      </c>
      <c r="G4308" s="7" t="s">
        <v>7150</v>
      </c>
      <c r="H4308" s="7" t="s">
        <v>7156</v>
      </c>
      <c r="I4308" s="7"/>
      <c r="J4308" s="10">
        <v>43231</v>
      </c>
      <c r="K4308" s="7" t="s">
        <v>7164</v>
      </c>
      <c r="L4308" s="7"/>
      <c r="M4308" s="7"/>
    </row>
    <row r="4309" spans="1:13" x14ac:dyDescent="0.3">
      <c r="A4309" s="7">
        <v>11386</v>
      </c>
      <c r="B4309" s="7" t="s">
        <v>4316</v>
      </c>
      <c r="C4309" s="7" t="s">
        <v>6515</v>
      </c>
      <c r="D4309" s="7" t="s">
        <v>6934</v>
      </c>
      <c r="E4309" s="7" t="s">
        <v>6295</v>
      </c>
      <c r="F4309" s="7" t="s">
        <v>6333</v>
      </c>
      <c r="G4309" s="7" t="s">
        <v>7150</v>
      </c>
      <c r="H4309" s="7" t="s">
        <v>7156</v>
      </c>
      <c r="I4309" s="7"/>
      <c r="J4309" s="10">
        <v>42619</v>
      </c>
      <c r="K4309" s="7" t="s">
        <v>7164</v>
      </c>
      <c r="L4309" s="7"/>
      <c r="M4309" s="7"/>
    </row>
    <row r="4310" spans="1:13" x14ac:dyDescent="0.3">
      <c r="A4310" s="7">
        <v>11434</v>
      </c>
      <c r="B4310" s="7" t="s">
        <v>4317</v>
      </c>
      <c r="C4310" s="7" t="s">
        <v>6515</v>
      </c>
      <c r="D4310" s="7" t="s">
        <v>6935</v>
      </c>
      <c r="E4310" s="7" t="s">
        <v>6295</v>
      </c>
      <c r="F4310" s="7" t="s">
        <v>6333</v>
      </c>
      <c r="G4310" s="7" t="s">
        <v>7150</v>
      </c>
      <c r="H4310" s="7" t="s">
        <v>7156</v>
      </c>
      <c r="I4310" s="7"/>
      <c r="J4310" s="10">
        <v>42695</v>
      </c>
      <c r="K4310" s="7" t="s">
        <v>7164</v>
      </c>
      <c r="L4310" s="7"/>
      <c r="M4310" s="7"/>
    </row>
    <row r="4311" spans="1:13" x14ac:dyDescent="0.3">
      <c r="A4311" s="7">
        <v>12641</v>
      </c>
      <c r="B4311" s="7" t="s">
        <v>4318</v>
      </c>
      <c r="C4311" s="7" t="s">
        <v>6326</v>
      </c>
      <c r="D4311" s="7" t="s">
        <v>6936</v>
      </c>
      <c r="E4311" s="7" t="s">
        <v>6295</v>
      </c>
      <c r="F4311" s="7" t="s">
        <v>6333</v>
      </c>
      <c r="G4311" s="7" t="s">
        <v>7150</v>
      </c>
      <c r="H4311" s="7" t="s">
        <v>7156</v>
      </c>
      <c r="I4311" s="7"/>
      <c r="J4311" s="10">
        <v>43846</v>
      </c>
      <c r="K4311" s="7" t="s">
        <v>7164</v>
      </c>
      <c r="L4311" s="7"/>
      <c r="M4311" s="7"/>
    </row>
    <row r="4312" spans="1:13" x14ac:dyDescent="0.3">
      <c r="A4312" s="7">
        <v>16627</v>
      </c>
      <c r="B4312" s="7" t="s">
        <v>4319</v>
      </c>
      <c r="C4312" s="7" t="s">
        <v>6473</v>
      </c>
      <c r="D4312" s="7" t="s">
        <v>6486</v>
      </c>
      <c r="E4312" s="7" t="s">
        <v>6295</v>
      </c>
      <c r="F4312" s="7" t="s">
        <v>6338</v>
      </c>
      <c r="G4312" s="7" t="s">
        <v>7150</v>
      </c>
      <c r="H4312" s="7" t="s">
        <v>7156</v>
      </c>
      <c r="I4312" s="7"/>
      <c r="J4312" s="10">
        <v>45502</v>
      </c>
      <c r="K4312" s="7" t="s">
        <v>7164</v>
      </c>
      <c r="L4312" s="7"/>
      <c r="M4312" s="7"/>
    </row>
    <row r="4313" spans="1:13" x14ac:dyDescent="0.3">
      <c r="A4313" s="7">
        <v>16787</v>
      </c>
      <c r="B4313" s="7" t="s">
        <v>4320</v>
      </c>
      <c r="C4313" s="7" t="s">
        <v>6473</v>
      </c>
      <c r="D4313" s="7" t="s">
        <v>6486</v>
      </c>
      <c r="E4313" s="7" t="s">
        <v>6295</v>
      </c>
      <c r="F4313" s="7" t="s">
        <v>6414</v>
      </c>
      <c r="G4313" s="7" t="s">
        <v>7150</v>
      </c>
      <c r="H4313" s="7" t="s">
        <v>7156</v>
      </c>
      <c r="I4313" s="7"/>
      <c r="J4313" s="10">
        <v>45561</v>
      </c>
      <c r="K4313" s="7" t="s">
        <v>7164</v>
      </c>
      <c r="L4313" s="7"/>
      <c r="M4313" s="7"/>
    </row>
    <row r="4314" spans="1:13" x14ac:dyDescent="0.3">
      <c r="A4314" s="7">
        <v>16230</v>
      </c>
      <c r="B4314" s="7" t="s">
        <v>4321</v>
      </c>
      <c r="C4314" s="7" t="s">
        <v>6473</v>
      </c>
      <c r="D4314" s="7" t="s">
        <v>6486</v>
      </c>
      <c r="E4314" s="7" t="s">
        <v>6295</v>
      </c>
      <c r="F4314" s="7" t="s">
        <v>6413</v>
      </c>
      <c r="G4314" s="7" t="s">
        <v>7150</v>
      </c>
      <c r="H4314" s="7" t="s">
        <v>7156</v>
      </c>
      <c r="I4314" s="7"/>
      <c r="J4314" s="10">
        <v>45328</v>
      </c>
      <c r="K4314" s="7" t="s">
        <v>7164</v>
      </c>
      <c r="L4314" s="7"/>
      <c r="M4314" s="7"/>
    </row>
    <row r="4315" spans="1:13" x14ac:dyDescent="0.3">
      <c r="A4315" s="7">
        <v>18821</v>
      </c>
      <c r="B4315" s="7" t="s">
        <v>4322</v>
      </c>
      <c r="C4315" s="7" t="s">
        <v>6473</v>
      </c>
      <c r="D4315" s="7" t="s">
        <v>6486</v>
      </c>
      <c r="E4315" s="7" t="s">
        <v>6295</v>
      </c>
      <c r="F4315" s="7" t="s">
        <v>6413</v>
      </c>
      <c r="G4315" s="7" t="s">
        <v>7150</v>
      </c>
      <c r="H4315" s="7" t="s">
        <v>7156</v>
      </c>
      <c r="I4315" s="7" t="s">
        <v>7159</v>
      </c>
      <c r="J4315" s="10">
        <v>46216</v>
      </c>
      <c r="K4315" s="7" t="s">
        <v>7164</v>
      </c>
      <c r="L4315" s="7"/>
      <c r="M4315" s="7"/>
    </row>
    <row r="4316" spans="1:13" x14ac:dyDescent="0.3">
      <c r="A4316" s="7">
        <v>18826</v>
      </c>
      <c r="B4316" s="7" t="s">
        <v>4323</v>
      </c>
      <c r="C4316" s="7" t="s">
        <v>6473</v>
      </c>
      <c r="D4316" s="7" t="s">
        <v>6486</v>
      </c>
      <c r="E4316" s="7" t="s">
        <v>6295</v>
      </c>
      <c r="F4316" s="7" t="s">
        <v>6937</v>
      </c>
      <c r="G4316" s="7" t="s">
        <v>7150</v>
      </c>
      <c r="H4316" s="7" t="s">
        <v>7156</v>
      </c>
      <c r="I4316" s="7" t="s">
        <v>7159</v>
      </c>
      <c r="J4316" s="10">
        <v>46216</v>
      </c>
      <c r="K4316" s="7" t="s">
        <v>7164</v>
      </c>
      <c r="L4316" s="7"/>
      <c r="M4316" s="7"/>
    </row>
    <row r="4317" spans="1:13" x14ac:dyDescent="0.3">
      <c r="A4317" s="7">
        <v>18822</v>
      </c>
      <c r="B4317" s="7" t="s">
        <v>4324</v>
      </c>
      <c r="C4317" s="7" t="s">
        <v>6473</v>
      </c>
      <c r="D4317" s="7" t="s">
        <v>6486</v>
      </c>
      <c r="E4317" s="7" t="s">
        <v>6295</v>
      </c>
      <c r="F4317" s="7" t="s">
        <v>6937</v>
      </c>
      <c r="G4317" s="7" t="s">
        <v>7150</v>
      </c>
      <c r="H4317" s="7" t="s">
        <v>7156</v>
      </c>
      <c r="I4317" s="7" t="s">
        <v>7159</v>
      </c>
      <c r="J4317" s="10">
        <v>46216</v>
      </c>
      <c r="K4317" s="7" t="s">
        <v>7164</v>
      </c>
      <c r="L4317" s="7"/>
      <c r="M4317" s="7"/>
    </row>
    <row r="4318" spans="1:13" x14ac:dyDescent="0.3">
      <c r="A4318" s="7">
        <v>15166</v>
      </c>
      <c r="B4318" s="7" t="s">
        <v>4325</v>
      </c>
      <c r="C4318" s="7" t="s">
        <v>6473</v>
      </c>
      <c r="D4318" s="7" t="s">
        <v>6486</v>
      </c>
      <c r="E4318" s="7" t="s">
        <v>6295</v>
      </c>
      <c r="F4318" s="7" t="s">
        <v>6937</v>
      </c>
      <c r="G4318" s="7" t="s">
        <v>7150</v>
      </c>
      <c r="H4318" s="7" t="s">
        <v>7156</v>
      </c>
      <c r="I4318" s="7"/>
      <c r="J4318" s="10">
        <v>44970</v>
      </c>
      <c r="K4318" s="7" t="s">
        <v>7164</v>
      </c>
      <c r="L4318" s="7"/>
      <c r="M4318" s="7"/>
    </row>
    <row r="4319" spans="1:13" x14ac:dyDescent="0.3">
      <c r="A4319" s="7">
        <v>14801</v>
      </c>
      <c r="B4319" s="7" t="s">
        <v>4326</v>
      </c>
      <c r="C4319" s="7" t="s">
        <v>6473</v>
      </c>
      <c r="D4319" s="7" t="s">
        <v>6486</v>
      </c>
      <c r="E4319" s="7" t="s">
        <v>6295</v>
      </c>
      <c r="F4319" s="7" t="s">
        <v>6937</v>
      </c>
      <c r="G4319" s="7" t="s">
        <v>7150</v>
      </c>
      <c r="H4319" s="7" t="s">
        <v>7156</v>
      </c>
      <c r="I4319" s="7"/>
      <c r="J4319" s="10">
        <v>44860</v>
      </c>
      <c r="K4319" s="7" t="s">
        <v>7164</v>
      </c>
      <c r="L4319" s="7"/>
      <c r="M4319" s="7"/>
    </row>
    <row r="4320" spans="1:13" x14ac:dyDescent="0.3">
      <c r="A4320" s="7">
        <v>16155</v>
      </c>
      <c r="B4320" s="7" t="s">
        <v>4327</v>
      </c>
      <c r="C4320" s="7" t="s">
        <v>6473</v>
      </c>
      <c r="D4320" s="7" t="s">
        <v>6486</v>
      </c>
      <c r="E4320" s="7" t="s">
        <v>6295</v>
      </c>
      <c r="F4320" s="7" t="s">
        <v>6937</v>
      </c>
      <c r="G4320" s="7" t="s">
        <v>7150</v>
      </c>
      <c r="H4320" s="7" t="s">
        <v>7156</v>
      </c>
      <c r="I4320" s="7"/>
      <c r="J4320" s="10">
        <v>45303</v>
      </c>
      <c r="K4320" s="7" t="s">
        <v>7164</v>
      </c>
      <c r="L4320" s="7"/>
      <c r="M4320" s="7"/>
    </row>
    <row r="4321" spans="1:13" x14ac:dyDescent="0.3">
      <c r="A4321" s="7">
        <v>250030</v>
      </c>
      <c r="B4321" s="7" t="s">
        <v>4328</v>
      </c>
      <c r="C4321" s="7" t="s">
        <v>6473</v>
      </c>
      <c r="D4321" s="7" t="s">
        <v>6486</v>
      </c>
      <c r="E4321" s="7" t="s">
        <v>6295</v>
      </c>
      <c r="F4321" s="7" t="s">
        <v>6937</v>
      </c>
      <c r="G4321" s="7" t="s">
        <v>7150</v>
      </c>
      <c r="H4321" s="7" t="s">
        <v>7156</v>
      </c>
      <c r="I4321" s="7"/>
      <c r="J4321" s="10">
        <v>42263</v>
      </c>
      <c r="K4321" s="7" t="s">
        <v>7164</v>
      </c>
      <c r="L4321" s="7"/>
      <c r="M4321" s="7"/>
    </row>
    <row r="4322" spans="1:13" x14ac:dyDescent="0.3">
      <c r="A4322" s="7">
        <v>16031</v>
      </c>
      <c r="B4322" s="7" t="s">
        <v>4329</v>
      </c>
      <c r="C4322" s="7" t="s">
        <v>6473</v>
      </c>
      <c r="D4322" s="7" t="s">
        <v>6486</v>
      </c>
      <c r="E4322" s="7" t="s">
        <v>6295</v>
      </c>
      <c r="F4322" s="7" t="s">
        <v>6937</v>
      </c>
      <c r="G4322" s="7" t="s">
        <v>7150</v>
      </c>
      <c r="H4322" s="7" t="s">
        <v>7156</v>
      </c>
      <c r="I4322" s="7"/>
      <c r="J4322" s="10">
        <v>45268</v>
      </c>
      <c r="K4322" s="7" t="s">
        <v>7164</v>
      </c>
      <c r="L4322" s="7"/>
      <c r="M4322" s="7"/>
    </row>
    <row r="4323" spans="1:13" x14ac:dyDescent="0.3">
      <c r="A4323" s="7">
        <v>220028</v>
      </c>
      <c r="B4323" s="7" t="s">
        <v>4330</v>
      </c>
      <c r="C4323" s="7" t="s">
        <v>6295</v>
      </c>
      <c r="D4323" s="7" t="s">
        <v>6938</v>
      </c>
      <c r="E4323" s="7" t="s">
        <v>6295</v>
      </c>
      <c r="F4323" s="7" t="s">
        <v>6939</v>
      </c>
      <c r="G4323" s="7" t="s">
        <v>7150</v>
      </c>
      <c r="H4323" s="7" t="s">
        <v>7156</v>
      </c>
      <c r="I4323" s="7"/>
      <c r="J4323" s="10">
        <v>43318</v>
      </c>
      <c r="K4323" s="7" t="s">
        <v>7165</v>
      </c>
      <c r="L4323" s="7"/>
      <c r="M4323" s="7"/>
    </row>
    <row r="4324" spans="1:13" x14ac:dyDescent="0.3">
      <c r="A4324" s="7">
        <v>820003</v>
      </c>
      <c r="B4324" s="7" t="s">
        <v>4331</v>
      </c>
      <c r="C4324" s="7" t="s">
        <v>6295</v>
      </c>
      <c r="D4324" s="7" t="s">
        <v>6938</v>
      </c>
      <c r="E4324" s="7" t="s">
        <v>6940</v>
      </c>
      <c r="F4324" s="7" t="s">
        <v>6941</v>
      </c>
      <c r="G4324" s="7" t="s">
        <v>7150</v>
      </c>
      <c r="H4324" s="7" t="s">
        <v>7156</v>
      </c>
      <c r="I4324" s="7"/>
      <c r="J4324" s="10">
        <v>40239</v>
      </c>
      <c r="K4324" s="7" t="s">
        <v>7165</v>
      </c>
      <c r="L4324" s="7"/>
      <c r="M4324" s="7"/>
    </row>
    <row r="4325" spans="1:13" x14ac:dyDescent="0.3">
      <c r="A4325" s="7">
        <v>270038</v>
      </c>
      <c r="B4325" s="7" t="s">
        <v>4332</v>
      </c>
      <c r="C4325" s="7" t="s">
        <v>6295</v>
      </c>
      <c r="D4325" s="7" t="s">
        <v>6942</v>
      </c>
      <c r="E4325" s="7" t="s">
        <v>6295</v>
      </c>
      <c r="F4325" s="7" t="s">
        <v>6939</v>
      </c>
      <c r="G4325" s="7" t="s">
        <v>7150</v>
      </c>
      <c r="H4325" s="7" t="s">
        <v>7156</v>
      </c>
      <c r="I4325" s="7"/>
      <c r="J4325" s="10">
        <v>43283</v>
      </c>
      <c r="K4325" s="7" t="s">
        <v>7165</v>
      </c>
      <c r="L4325" s="7"/>
      <c r="M4325" s="7"/>
    </row>
    <row r="4326" spans="1:13" x14ac:dyDescent="0.3">
      <c r="A4326" s="7">
        <v>16269</v>
      </c>
      <c r="B4326" s="7" t="s">
        <v>4333</v>
      </c>
      <c r="C4326" s="7" t="s">
        <v>6295</v>
      </c>
      <c r="D4326" s="7" t="s">
        <v>6942</v>
      </c>
      <c r="E4326" s="7" t="s">
        <v>6940</v>
      </c>
      <c r="F4326" s="7" t="s">
        <v>6943</v>
      </c>
      <c r="G4326" s="7" t="s">
        <v>7150</v>
      </c>
      <c r="H4326" s="7" t="s">
        <v>7156</v>
      </c>
      <c r="I4326" s="7"/>
      <c r="J4326" s="10">
        <v>45335</v>
      </c>
      <c r="K4326" s="7" t="s">
        <v>7165</v>
      </c>
      <c r="L4326" s="7"/>
      <c r="M4326" s="7"/>
    </row>
    <row r="4327" spans="1:13" x14ac:dyDescent="0.3">
      <c r="A4327" s="7">
        <v>10700</v>
      </c>
      <c r="B4327" s="7" t="s">
        <v>4334</v>
      </c>
      <c r="C4327" s="7" t="s">
        <v>6295</v>
      </c>
      <c r="D4327" s="7" t="s">
        <v>6944</v>
      </c>
      <c r="E4327" s="7" t="s">
        <v>6295</v>
      </c>
      <c r="F4327" s="7" t="s">
        <v>6939</v>
      </c>
      <c r="G4327" s="7" t="s">
        <v>7150</v>
      </c>
      <c r="H4327" s="7" t="s">
        <v>7156</v>
      </c>
      <c r="I4327" s="7"/>
      <c r="J4327" s="10">
        <v>41681</v>
      </c>
      <c r="K4327" s="7" t="s">
        <v>7165</v>
      </c>
      <c r="L4327" s="7"/>
      <c r="M4327" s="7"/>
    </row>
    <row r="4328" spans="1:13" x14ac:dyDescent="0.3">
      <c r="A4328" s="7">
        <v>420001</v>
      </c>
      <c r="B4328" s="7" t="s">
        <v>4335</v>
      </c>
      <c r="C4328" s="7" t="s">
        <v>6295</v>
      </c>
      <c r="D4328" s="7" t="s">
        <v>6945</v>
      </c>
      <c r="E4328" s="7" t="s">
        <v>6295</v>
      </c>
      <c r="F4328" s="7" t="s">
        <v>6939</v>
      </c>
      <c r="G4328" s="7" t="s">
        <v>7150</v>
      </c>
      <c r="H4328" s="7" t="s">
        <v>7156</v>
      </c>
      <c r="I4328" s="7"/>
      <c r="J4328" s="10">
        <v>39836</v>
      </c>
      <c r="K4328" s="7" t="s">
        <v>7165</v>
      </c>
      <c r="L4328" s="7"/>
      <c r="M4328" s="7"/>
    </row>
    <row r="4329" spans="1:13" x14ac:dyDescent="0.3">
      <c r="A4329" s="7">
        <v>19090</v>
      </c>
      <c r="B4329" s="7" t="s">
        <v>4336</v>
      </c>
      <c r="C4329" s="7" t="s">
        <v>6295</v>
      </c>
      <c r="D4329" s="7" t="s">
        <v>6945</v>
      </c>
      <c r="E4329" s="7" t="s">
        <v>6940</v>
      </c>
      <c r="F4329" s="7" t="s">
        <v>6946</v>
      </c>
      <c r="G4329" s="7" t="s">
        <v>7150</v>
      </c>
      <c r="H4329" s="7" t="s">
        <v>7156</v>
      </c>
      <c r="I4329" s="7"/>
      <c r="J4329" s="10">
        <v>46267</v>
      </c>
      <c r="K4329" s="7" t="s">
        <v>7165</v>
      </c>
      <c r="L4329" s="7"/>
      <c r="M4329" s="7"/>
    </row>
    <row r="4330" spans="1:13" x14ac:dyDescent="0.3">
      <c r="A4330" s="7">
        <v>10945</v>
      </c>
      <c r="B4330" s="7" t="s">
        <v>4337</v>
      </c>
      <c r="C4330" s="7" t="s">
        <v>6295</v>
      </c>
      <c r="D4330" s="7" t="s">
        <v>6947</v>
      </c>
      <c r="E4330" s="7" t="s">
        <v>6295</v>
      </c>
      <c r="F4330" s="7" t="s">
        <v>6939</v>
      </c>
      <c r="G4330" s="7" t="s">
        <v>7150</v>
      </c>
      <c r="H4330" s="7" t="s">
        <v>7156</v>
      </c>
      <c r="I4330" s="7"/>
      <c r="J4330" s="10">
        <v>42172</v>
      </c>
      <c r="K4330" s="7" t="s">
        <v>7165</v>
      </c>
      <c r="L4330" s="7"/>
      <c r="M4330" s="7"/>
    </row>
    <row r="4331" spans="1:13" x14ac:dyDescent="0.3">
      <c r="A4331" s="7">
        <v>16338</v>
      </c>
      <c r="B4331" s="7" t="s">
        <v>4338</v>
      </c>
      <c r="C4331" s="7" t="s">
        <v>6295</v>
      </c>
      <c r="D4331" s="7" t="s">
        <v>6947</v>
      </c>
      <c r="E4331" s="7" t="s">
        <v>6940</v>
      </c>
      <c r="F4331" s="7" t="s">
        <v>6943</v>
      </c>
      <c r="G4331" s="7" t="s">
        <v>7150</v>
      </c>
      <c r="H4331" s="7" t="s">
        <v>7156</v>
      </c>
      <c r="I4331" s="7"/>
      <c r="J4331" s="10">
        <v>45356</v>
      </c>
      <c r="K4331" s="7" t="s">
        <v>7165</v>
      </c>
      <c r="L4331" s="7"/>
      <c r="M4331" s="7"/>
    </row>
    <row r="4332" spans="1:13" x14ac:dyDescent="0.3">
      <c r="A4332" s="7">
        <v>11942</v>
      </c>
      <c r="B4332" s="7" t="s">
        <v>4339</v>
      </c>
      <c r="C4332" s="7" t="s">
        <v>6295</v>
      </c>
      <c r="D4332" s="7" t="s">
        <v>6948</v>
      </c>
      <c r="E4332" s="7" t="s">
        <v>6295</v>
      </c>
      <c r="F4332" s="7" t="s">
        <v>6939</v>
      </c>
      <c r="G4332" s="7" t="s">
        <v>7150</v>
      </c>
      <c r="H4332" s="7" t="s">
        <v>7156</v>
      </c>
      <c r="I4332" s="7"/>
      <c r="J4332" s="10">
        <v>43304</v>
      </c>
      <c r="K4332" s="7" t="s">
        <v>7165</v>
      </c>
      <c r="L4332" s="7"/>
      <c r="M4332" s="7"/>
    </row>
    <row r="4333" spans="1:13" x14ac:dyDescent="0.3">
      <c r="A4333" s="7">
        <v>18082</v>
      </c>
      <c r="B4333" s="7" t="s">
        <v>4340</v>
      </c>
      <c r="C4333" s="7" t="s">
        <v>6295</v>
      </c>
      <c r="D4333" s="7" t="s">
        <v>6948</v>
      </c>
      <c r="E4333" s="7" t="s">
        <v>6940</v>
      </c>
      <c r="F4333" s="7" t="s">
        <v>6949</v>
      </c>
      <c r="G4333" s="7" t="s">
        <v>7150</v>
      </c>
      <c r="H4333" s="7" t="s">
        <v>7156</v>
      </c>
      <c r="I4333" s="7"/>
      <c r="J4333" s="10">
        <v>45987</v>
      </c>
      <c r="K4333" s="7" t="s">
        <v>7165</v>
      </c>
      <c r="L4333" s="7"/>
      <c r="M4333" s="7"/>
    </row>
    <row r="4334" spans="1:13" x14ac:dyDescent="0.3">
      <c r="A4334" s="7">
        <v>250034</v>
      </c>
      <c r="B4334" s="7" t="s">
        <v>4341</v>
      </c>
      <c r="C4334" s="7" t="s">
        <v>6295</v>
      </c>
      <c r="D4334" s="7" t="s">
        <v>6950</v>
      </c>
      <c r="E4334" s="7" t="s">
        <v>6295</v>
      </c>
      <c r="F4334" s="7" t="s">
        <v>6939</v>
      </c>
      <c r="G4334" s="7" t="s">
        <v>7150</v>
      </c>
      <c r="H4334" s="7" t="s">
        <v>7156</v>
      </c>
      <c r="I4334" s="7"/>
      <c r="J4334" s="10">
        <v>43063</v>
      </c>
      <c r="K4334" s="7" t="s">
        <v>7165</v>
      </c>
      <c r="L4334" s="7"/>
      <c r="M4334" s="7"/>
    </row>
    <row r="4335" spans="1:13" x14ac:dyDescent="0.3">
      <c r="A4335" s="7">
        <v>730051</v>
      </c>
      <c r="B4335" s="7" t="s">
        <v>4342</v>
      </c>
      <c r="C4335" s="7" t="s">
        <v>6295</v>
      </c>
      <c r="D4335" s="7" t="s">
        <v>6950</v>
      </c>
      <c r="E4335" s="7" t="s">
        <v>6940</v>
      </c>
      <c r="F4335" s="7" t="s">
        <v>6943</v>
      </c>
      <c r="G4335" s="7" t="s">
        <v>7150</v>
      </c>
      <c r="H4335" s="7" t="s">
        <v>7156</v>
      </c>
      <c r="I4335" s="7"/>
      <c r="J4335" s="10">
        <v>44425</v>
      </c>
      <c r="K4335" s="7" t="s">
        <v>7165</v>
      </c>
      <c r="L4335" s="7"/>
      <c r="M4335" s="7"/>
    </row>
    <row r="4336" spans="1:13" x14ac:dyDescent="0.3">
      <c r="A4336" s="7">
        <v>16434</v>
      </c>
      <c r="B4336" s="7" t="s">
        <v>4343</v>
      </c>
      <c r="C4336" s="7" t="s">
        <v>6295</v>
      </c>
      <c r="D4336" s="7" t="s">
        <v>6950</v>
      </c>
      <c r="E4336" s="7" t="s">
        <v>6951</v>
      </c>
      <c r="F4336" s="7" t="s">
        <v>6952</v>
      </c>
      <c r="G4336" s="7" t="s">
        <v>7150</v>
      </c>
      <c r="H4336" s="7" t="s">
        <v>7156</v>
      </c>
      <c r="I4336" s="7"/>
      <c r="J4336" s="10">
        <v>45398</v>
      </c>
      <c r="K4336" s="7" t="s">
        <v>7165</v>
      </c>
      <c r="L4336" s="7"/>
      <c r="M4336" s="7"/>
    </row>
    <row r="4337" spans="1:13" x14ac:dyDescent="0.3">
      <c r="A4337" s="7">
        <v>460001</v>
      </c>
      <c r="B4337" s="7" t="s">
        <v>4344</v>
      </c>
      <c r="C4337" s="7" t="s">
        <v>6295</v>
      </c>
      <c r="D4337" s="7" t="s">
        <v>6953</v>
      </c>
      <c r="E4337" s="7" t="s">
        <v>6295</v>
      </c>
      <c r="F4337" s="7" t="s">
        <v>6939</v>
      </c>
      <c r="G4337" s="7" t="s">
        <v>7150</v>
      </c>
      <c r="H4337" s="7" t="s">
        <v>7156</v>
      </c>
      <c r="I4337" s="7"/>
      <c r="J4337" s="10">
        <v>37998</v>
      </c>
      <c r="K4337" s="7" t="s">
        <v>7165</v>
      </c>
      <c r="L4337" s="7"/>
      <c r="M4337" s="7"/>
    </row>
    <row r="4338" spans="1:13" x14ac:dyDescent="0.3">
      <c r="A4338" s="7">
        <v>17917</v>
      </c>
      <c r="B4338" s="7" t="s">
        <v>4345</v>
      </c>
      <c r="C4338" s="7" t="s">
        <v>6295</v>
      </c>
      <c r="D4338" s="7" t="s">
        <v>6953</v>
      </c>
      <c r="E4338" s="7" t="s">
        <v>6940</v>
      </c>
      <c r="F4338" s="7" t="s">
        <v>6949</v>
      </c>
      <c r="G4338" s="7" t="s">
        <v>7150</v>
      </c>
      <c r="H4338" s="7" t="s">
        <v>7156</v>
      </c>
      <c r="I4338" s="7"/>
      <c r="J4338" s="10">
        <v>45916</v>
      </c>
      <c r="K4338" s="7" t="s">
        <v>7165</v>
      </c>
      <c r="L4338" s="7"/>
      <c r="M4338" s="7"/>
    </row>
    <row r="4339" spans="1:13" x14ac:dyDescent="0.3">
      <c r="A4339" s="7">
        <v>150033</v>
      </c>
      <c r="B4339" s="7" t="s">
        <v>4346</v>
      </c>
      <c r="C4339" s="7" t="s">
        <v>6295</v>
      </c>
      <c r="D4339" s="7" t="s">
        <v>6954</v>
      </c>
      <c r="E4339" s="7" t="s">
        <v>6295</v>
      </c>
      <c r="F4339" s="7" t="s">
        <v>6939</v>
      </c>
      <c r="G4339" s="7" t="s">
        <v>7150</v>
      </c>
      <c r="H4339" s="7" t="s">
        <v>7156</v>
      </c>
      <c r="I4339" s="7"/>
      <c r="J4339" s="10">
        <v>43160</v>
      </c>
      <c r="K4339" s="7" t="s">
        <v>7165</v>
      </c>
      <c r="L4339" s="7"/>
      <c r="M4339" s="7"/>
    </row>
    <row r="4340" spans="1:13" x14ac:dyDescent="0.3">
      <c r="A4340" s="7">
        <v>16349</v>
      </c>
      <c r="B4340" s="7" t="s">
        <v>4347</v>
      </c>
      <c r="C4340" s="7" t="s">
        <v>6295</v>
      </c>
      <c r="D4340" s="7" t="s">
        <v>6954</v>
      </c>
      <c r="E4340" s="7" t="s">
        <v>6940</v>
      </c>
      <c r="F4340" s="7" t="s">
        <v>6949</v>
      </c>
      <c r="G4340" s="7" t="s">
        <v>7150</v>
      </c>
      <c r="H4340" s="7" t="s">
        <v>7156</v>
      </c>
      <c r="I4340" s="7"/>
      <c r="J4340" s="10">
        <v>45358</v>
      </c>
      <c r="K4340" s="7" t="s">
        <v>7165</v>
      </c>
      <c r="L4340" s="7"/>
      <c r="M4340" s="7"/>
    </row>
    <row r="4341" spans="1:13" x14ac:dyDescent="0.3">
      <c r="A4341" s="7">
        <v>16164</v>
      </c>
      <c r="B4341" s="7" t="s">
        <v>4348</v>
      </c>
      <c r="C4341" s="7" t="s">
        <v>6295</v>
      </c>
      <c r="D4341" s="7" t="s">
        <v>6954</v>
      </c>
      <c r="E4341" s="7" t="s">
        <v>6940</v>
      </c>
      <c r="F4341" s="7" t="s">
        <v>6943</v>
      </c>
      <c r="G4341" s="7" t="s">
        <v>7150</v>
      </c>
      <c r="H4341" s="7" t="s">
        <v>7156</v>
      </c>
      <c r="I4341" s="7"/>
      <c r="J4341" s="10">
        <v>45308</v>
      </c>
      <c r="K4341" s="7" t="s">
        <v>7165</v>
      </c>
      <c r="L4341" s="7"/>
      <c r="M4341" s="7"/>
    </row>
    <row r="4342" spans="1:13" x14ac:dyDescent="0.3">
      <c r="A4342" s="7">
        <v>130050</v>
      </c>
      <c r="B4342" s="7" t="s">
        <v>4349</v>
      </c>
      <c r="C4342" s="7" t="s">
        <v>6295</v>
      </c>
      <c r="D4342" s="7" t="s">
        <v>6955</v>
      </c>
      <c r="E4342" s="7" t="s">
        <v>6295</v>
      </c>
      <c r="F4342" s="7" t="s">
        <v>6939</v>
      </c>
      <c r="G4342" s="7" t="s">
        <v>7150</v>
      </c>
      <c r="H4342" s="7" t="s">
        <v>7156</v>
      </c>
      <c r="I4342" s="7"/>
      <c r="J4342" s="10">
        <v>43305</v>
      </c>
      <c r="K4342" s="7" t="s">
        <v>7165</v>
      </c>
      <c r="L4342" s="7"/>
      <c r="M4342" s="7"/>
    </row>
    <row r="4343" spans="1:13" x14ac:dyDescent="0.3">
      <c r="A4343" s="7">
        <v>140017</v>
      </c>
      <c r="B4343" s="7" t="s">
        <v>4350</v>
      </c>
      <c r="C4343" s="7" t="s">
        <v>6295</v>
      </c>
      <c r="D4343" s="7" t="s">
        <v>6955</v>
      </c>
      <c r="E4343" s="7" t="s">
        <v>6940</v>
      </c>
      <c r="F4343" s="7" t="s">
        <v>6941</v>
      </c>
      <c r="G4343" s="7" t="s">
        <v>7150</v>
      </c>
      <c r="H4343" s="7" t="s">
        <v>7156</v>
      </c>
      <c r="I4343" s="7"/>
      <c r="J4343" s="10">
        <v>39356</v>
      </c>
      <c r="K4343" s="7" t="s">
        <v>7165</v>
      </c>
      <c r="L4343" s="7"/>
      <c r="M4343" s="7"/>
    </row>
    <row r="4344" spans="1:13" x14ac:dyDescent="0.3">
      <c r="A4344" s="7">
        <v>240032</v>
      </c>
      <c r="B4344" s="7" t="s">
        <v>4351</v>
      </c>
      <c r="C4344" s="7" t="s">
        <v>6295</v>
      </c>
      <c r="D4344" s="7" t="s">
        <v>6956</v>
      </c>
      <c r="E4344" s="7" t="s">
        <v>6295</v>
      </c>
      <c r="F4344" s="7" t="s">
        <v>6939</v>
      </c>
      <c r="G4344" s="7" t="s">
        <v>7150</v>
      </c>
      <c r="H4344" s="7" t="s">
        <v>7156</v>
      </c>
      <c r="I4344" s="7"/>
      <c r="J4344" s="10">
        <v>42514</v>
      </c>
      <c r="K4344" s="7" t="s">
        <v>7165</v>
      </c>
      <c r="L4344" s="7"/>
      <c r="M4344" s="7"/>
    </row>
    <row r="4345" spans="1:13" x14ac:dyDescent="0.3">
      <c r="A4345" s="7">
        <v>16707</v>
      </c>
      <c r="B4345" s="7" t="s">
        <v>4352</v>
      </c>
      <c r="C4345" s="7" t="s">
        <v>6295</v>
      </c>
      <c r="D4345" s="7" t="s">
        <v>6956</v>
      </c>
      <c r="E4345" s="7" t="s">
        <v>6940</v>
      </c>
      <c r="F4345" s="7" t="s">
        <v>6949</v>
      </c>
      <c r="G4345" s="7" t="s">
        <v>7150</v>
      </c>
      <c r="H4345" s="7" t="s">
        <v>7156</v>
      </c>
      <c r="I4345" s="7"/>
      <c r="J4345" s="10">
        <v>45532</v>
      </c>
      <c r="K4345" s="7" t="s">
        <v>7165</v>
      </c>
      <c r="L4345" s="7"/>
      <c r="M4345" s="7"/>
    </row>
    <row r="4346" spans="1:13" x14ac:dyDescent="0.3">
      <c r="A4346" s="7">
        <v>15064</v>
      </c>
      <c r="B4346" s="7" t="s">
        <v>4353</v>
      </c>
      <c r="C4346" s="7" t="s">
        <v>6295</v>
      </c>
      <c r="D4346" s="7" t="s">
        <v>6956</v>
      </c>
      <c r="E4346" s="7" t="s">
        <v>6951</v>
      </c>
      <c r="F4346" s="7" t="s">
        <v>6398</v>
      </c>
      <c r="G4346" s="7" t="s">
        <v>7150</v>
      </c>
      <c r="H4346" s="7" t="s">
        <v>7156</v>
      </c>
      <c r="I4346" s="7"/>
      <c r="J4346" s="10">
        <v>44936</v>
      </c>
      <c r="K4346" s="7" t="s">
        <v>7165</v>
      </c>
      <c r="L4346" s="7"/>
      <c r="M4346" s="7"/>
    </row>
    <row r="4347" spans="1:13" x14ac:dyDescent="0.3">
      <c r="A4347" s="7">
        <v>230042</v>
      </c>
      <c r="B4347" s="7" t="s">
        <v>4354</v>
      </c>
      <c r="C4347" s="7" t="s">
        <v>6295</v>
      </c>
      <c r="D4347" s="7" t="s">
        <v>6957</v>
      </c>
      <c r="E4347" s="7" t="s">
        <v>6295</v>
      </c>
      <c r="F4347" s="7" t="s">
        <v>6939</v>
      </c>
      <c r="G4347" s="7" t="s">
        <v>7150</v>
      </c>
      <c r="H4347" s="7" t="s">
        <v>7156</v>
      </c>
      <c r="I4347" s="7"/>
      <c r="J4347" s="10">
        <v>44237</v>
      </c>
      <c r="K4347" s="7" t="s">
        <v>7165</v>
      </c>
      <c r="L4347" s="7"/>
      <c r="M4347" s="7"/>
    </row>
    <row r="4348" spans="1:13" x14ac:dyDescent="0.3">
      <c r="A4348" s="7">
        <v>208006</v>
      </c>
      <c r="B4348" s="7" t="s">
        <v>4355</v>
      </c>
      <c r="C4348" s="7" t="s">
        <v>6295</v>
      </c>
      <c r="D4348" s="7" t="s">
        <v>6957</v>
      </c>
      <c r="E4348" s="7" t="s">
        <v>6940</v>
      </c>
      <c r="F4348" s="7" t="s">
        <v>6958</v>
      </c>
      <c r="G4348" s="7" t="s">
        <v>7150</v>
      </c>
      <c r="H4348" s="7" t="s">
        <v>7156</v>
      </c>
      <c r="I4348" s="7"/>
      <c r="J4348" s="10">
        <v>44582</v>
      </c>
      <c r="K4348" s="7" t="s">
        <v>7165</v>
      </c>
      <c r="L4348" s="7"/>
      <c r="M4348" s="7"/>
    </row>
    <row r="4349" spans="1:13" x14ac:dyDescent="0.3">
      <c r="A4349" s="7">
        <v>220007</v>
      </c>
      <c r="B4349" s="7" t="s">
        <v>4356</v>
      </c>
      <c r="C4349" s="7" t="s">
        <v>6295</v>
      </c>
      <c r="D4349" s="7" t="s">
        <v>6959</v>
      </c>
      <c r="E4349" s="7" t="s">
        <v>6295</v>
      </c>
      <c r="F4349" s="7" t="s">
        <v>6939</v>
      </c>
      <c r="G4349" s="7" t="s">
        <v>7150</v>
      </c>
      <c r="H4349" s="7" t="s">
        <v>7156</v>
      </c>
      <c r="I4349" s="7"/>
      <c r="J4349" s="10">
        <v>39744</v>
      </c>
      <c r="K4349" s="7" t="s">
        <v>7165</v>
      </c>
      <c r="L4349" s="7"/>
      <c r="M4349" s="7"/>
    </row>
    <row r="4350" spans="1:13" x14ac:dyDescent="0.3">
      <c r="A4350" s="7">
        <v>16389</v>
      </c>
      <c r="B4350" s="7" t="s">
        <v>4357</v>
      </c>
      <c r="C4350" s="7" t="s">
        <v>6295</v>
      </c>
      <c r="D4350" s="7" t="s">
        <v>6959</v>
      </c>
      <c r="E4350" s="7" t="s">
        <v>6940</v>
      </c>
      <c r="F4350" s="7" t="s">
        <v>6949</v>
      </c>
      <c r="G4350" s="7" t="s">
        <v>7150</v>
      </c>
      <c r="H4350" s="7" t="s">
        <v>7156</v>
      </c>
      <c r="I4350" s="7"/>
      <c r="J4350" s="10">
        <v>45366</v>
      </c>
      <c r="K4350" s="7" t="s">
        <v>7165</v>
      </c>
      <c r="L4350" s="7"/>
      <c r="M4350" s="7"/>
    </row>
    <row r="4351" spans="1:13" x14ac:dyDescent="0.3">
      <c r="A4351" s="7">
        <v>160002</v>
      </c>
      <c r="B4351" s="7" t="s">
        <v>4358</v>
      </c>
      <c r="C4351" s="7" t="s">
        <v>6295</v>
      </c>
      <c r="D4351" s="7" t="s">
        <v>6960</v>
      </c>
      <c r="E4351" s="7" t="s">
        <v>6295</v>
      </c>
      <c r="F4351" s="7" t="s">
        <v>6939</v>
      </c>
      <c r="G4351" s="7" t="s">
        <v>7150</v>
      </c>
      <c r="H4351" s="7" t="s">
        <v>7156</v>
      </c>
      <c r="I4351" s="7"/>
      <c r="J4351" s="10">
        <v>37088</v>
      </c>
      <c r="K4351" s="7" t="s">
        <v>7165</v>
      </c>
      <c r="L4351" s="7"/>
      <c r="M4351" s="7"/>
    </row>
    <row r="4352" spans="1:13" x14ac:dyDescent="0.3">
      <c r="A4352" s="7">
        <v>15143</v>
      </c>
      <c r="B4352" s="7" t="s">
        <v>4359</v>
      </c>
      <c r="C4352" s="7" t="s">
        <v>6295</v>
      </c>
      <c r="D4352" s="7" t="s">
        <v>6960</v>
      </c>
      <c r="E4352" s="7" t="s">
        <v>6940</v>
      </c>
      <c r="F4352" s="7" t="s">
        <v>6943</v>
      </c>
      <c r="G4352" s="7" t="s">
        <v>7150</v>
      </c>
      <c r="H4352" s="7" t="s">
        <v>7156</v>
      </c>
      <c r="I4352" s="7"/>
      <c r="J4352" s="10">
        <v>44963</v>
      </c>
      <c r="K4352" s="7" t="s">
        <v>7165</v>
      </c>
      <c r="L4352" s="7"/>
      <c r="M4352" s="7"/>
    </row>
    <row r="4353" spans="1:13" x14ac:dyDescent="0.3">
      <c r="A4353" s="7">
        <v>160045</v>
      </c>
      <c r="B4353" s="7" t="s">
        <v>4360</v>
      </c>
      <c r="C4353" s="7" t="s">
        <v>6295</v>
      </c>
      <c r="D4353" s="7" t="s">
        <v>6961</v>
      </c>
      <c r="E4353" s="7" t="s">
        <v>6295</v>
      </c>
      <c r="F4353" s="7" t="s">
        <v>6939</v>
      </c>
      <c r="G4353" s="7" t="s">
        <v>7150</v>
      </c>
      <c r="H4353" s="7" t="s">
        <v>7156</v>
      </c>
      <c r="I4353" s="7"/>
      <c r="J4353" s="10">
        <v>43054</v>
      </c>
      <c r="K4353" s="7" t="s">
        <v>7165</v>
      </c>
      <c r="L4353" s="7"/>
      <c r="M4353" s="7"/>
    </row>
    <row r="4354" spans="1:13" x14ac:dyDescent="0.3">
      <c r="A4354" s="7">
        <v>16165</v>
      </c>
      <c r="B4354" s="7" t="s">
        <v>4361</v>
      </c>
      <c r="C4354" s="7" t="s">
        <v>6295</v>
      </c>
      <c r="D4354" s="7" t="s">
        <v>6961</v>
      </c>
      <c r="E4354" s="7" t="s">
        <v>6940</v>
      </c>
      <c r="F4354" s="7" t="s">
        <v>6943</v>
      </c>
      <c r="G4354" s="7" t="s">
        <v>7150</v>
      </c>
      <c r="H4354" s="7" t="s">
        <v>7156</v>
      </c>
      <c r="I4354" s="7"/>
      <c r="J4354" s="10">
        <v>45308</v>
      </c>
      <c r="K4354" s="7" t="s">
        <v>7165</v>
      </c>
      <c r="L4354" s="7"/>
      <c r="M4354" s="7"/>
    </row>
    <row r="4355" spans="1:13" x14ac:dyDescent="0.3">
      <c r="A4355" s="7">
        <v>510005</v>
      </c>
      <c r="B4355" s="7" t="s">
        <v>4362</v>
      </c>
      <c r="C4355" s="7" t="s">
        <v>6295</v>
      </c>
      <c r="D4355" s="7" t="s">
        <v>6962</v>
      </c>
      <c r="E4355" s="7" t="s">
        <v>6295</v>
      </c>
      <c r="F4355" s="7" t="s">
        <v>6939</v>
      </c>
      <c r="G4355" s="7" t="s">
        <v>7150</v>
      </c>
      <c r="H4355" s="7" t="s">
        <v>7156</v>
      </c>
      <c r="I4355" s="7"/>
      <c r="J4355" s="10">
        <v>40338</v>
      </c>
      <c r="K4355" s="7" t="s">
        <v>7165</v>
      </c>
      <c r="L4355" s="7"/>
      <c r="M4355" s="7"/>
    </row>
    <row r="4356" spans="1:13" x14ac:dyDescent="0.3">
      <c r="A4356" s="7">
        <v>16350</v>
      </c>
      <c r="B4356" s="7" t="s">
        <v>4363</v>
      </c>
      <c r="C4356" s="7" t="s">
        <v>6295</v>
      </c>
      <c r="D4356" s="7" t="s">
        <v>6962</v>
      </c>
      <c r="E4356" s="7" t="s">
        <v>6940</v>
      </c>
      <c r="F4356" s="7" t="s">
        <v>6949</v>
      </c>
      <c r="G4356" s="7" t="s">
        <v>7150</v>
      </c>
      <c r="H4356" s="7" t="s">
        <v>7156</v>
      </c>
      <c r="I4356" s="7"/>
      <c r="J4356" s="10">
        <v>45358</v>
      </c>
      <c r="K4356" s="7" t="s">
        <v>7165</v>
      </c>
      <c r="L4356" s="7"/>
      <c r="M4356" s="7"/>
    </row>
    <row r="4357" spans="1:13" x14ac:dyDescent="0.3">
      <c r="A4357" s="7">
        <v>220012</v>
      </c>
      <c r="B4357" s="7" t="s">
        <v>4364</v>
      </c>
      <c r="C4357" s="7" t="s">
        <v>6295</v>
      </c>
      <c r="D4357" s="7" t="s">
        <v>6963</v>
      </c>
      <c r="E4357" s="7" t="s">
        <v>6295</v>
      </c>
      <c r="F4357" s="7" t="s">
        <v>6939</v>
      </c>
      <c r="G4357" s="7" t="s">
        <v>7150</v>
      </c>
      <c r="H4357" s="7" t="s">
        <v>7156</v>
      </c>
      <c r="I4357" s="7"/>
      <c r="J4357" s="10">
        <v>39479</v>
      </c>
      <c r="K4357" s="7" t="s">
        <v>7165</v>
      </c>
      <c r="L4357" s="7"/>
      <c r="M4357" s="7"/>
    </row>
    <row r="4358" spans="1:13" x14ac:dyDescent="0.3">
      <c r="A4358" s="7">
        <v>300064</v>
      </c>
      <c r="B4358" s="7" t="s">
        <v>4365</v>
      </c>
      <c r="C4358" s="7" t="s">
        <v>6295</v>
      </c>
      <c r="D4358" s="7" t="s">
        <v>6963</v>
      </c>
      <c r="E4358" s="7" t="s">
        <v>6940</v>
      </c>
      <c r="F4358" s="7" t="s">
        <v>6941</v>
      </c>
      <c r="G4358" s="7" t="s">
        <v>7150</v>
      </c>
      <c r="H4358" s="7" t="s">
        <v>7156</v>
      </c>
      <c r="I4358" s="7"/>
      <c r="J4358" s="10">
        <v>42801</v>
      </c>
      <c r="K4358" s="7" t="s">
        <v>7165</v>
      </c>
      <c r="L4358" s="7"/>
      <c r="M4358" s="7"/>
    </row>
    <row r="4359" spans="1:13" x14ac:dyDescent="0.3">
      <c r="A4359" s="7">
        <v>140028</v>
      </c>
      <c r="B4359" s="7" t="s">
        <v>4366</v>
      </c>
      <c r="C4359" s="7" t="s">
        <v>6295</v>
      </c>
      <c r="D4359" s="7" t="s">
        <v>6964</v>
      </c>
      <c r="E4359" s="7" t="s">
        <v>6295</v>
      </c>
      <c r="F4359" s="7" t="s">
        <v>6939</v>
      </c>
      <c r="G4359" s="7" t="s">
        <v>7150</v>
      </c>
      <c r="H4359" s="7" t="s">
        <v>7156</v>
      </c>
      <c r="I4359" s="7"/>
      <c r="J4359" s="10">
        <v>42250</v>
      </c>
      <c r="K4359" s="7" t="s">
        <v>7165</v>
      </c>
      <c r="L4359" s="7"/>
      <c r="M4359" s="7"/>
    </row>
    <row r="4360" spans="1:13" x14ac:dyDescent="0.3">
      <c r="A4360" s="7">
        <v>17691</v>
      </c>
      <c r="B4360" s="7" t="s">
        <v>4367</v>
      </c>
      <c r="C4360" s="7" t="s">
        <v>6295</v>
      </c>
      <c r="D4360" s="7" t="s">
        <v>6964</v>
      </c>
      <c r="E4360" s="7" t="s">
        <v>6940</v>
      </c>
      <c r="F4360" s="7" t="s">
        <v>6949</v>
      </c>
      <c r="G4360" s="7" t="s">
        <v>7150</v>
      </c>
      <c r="H4360" s="7" t="s">
        <v>7156</v>
      </c>
      <c r="I4360" s="7"/>
      <c r="J4360" s="10">
        <v>45846</v>
      </c>
      <c r="K4360" s="7" t="s">
        <v>7165</v>
      </c>
      <c r="L4360" s="7"/>
      <c r="M4360" s="7"/>
    </row>
    <row r="4361" spans="1:13" x14ac:dyDescent="0.3">
      <c r="A4361" s="7">
        <v>170030</v>
      </c>
      <c r="B4361" s="7" t="s">
        <v>4368</v>
      </c>
      <c r="C4361" s="7" t="s">
        <v>6295</v>
      </c>
      <c r="D4361" s="7" t="s">
        <v>6965</v>
      </c>
      <c r="E4361" s="7" t="s">
        <v>6295</v>
      </c>
      <c r="F4361" s="7" t="s">
        <v>6939</v>
      </c>
      <c r="G4361" s="7" t="s">
        <v>7150</v>
      </c>
      <c r="H4361" s="7" t="s">
        <v>7156</v>
      </c>
      <c r="I4361" s="7"/>
      <c r="J4361" s="10">
        <v>42500</v>
      </c>
      <c r="K4361" s="7" t="s">
        <v>7165</v>
      </c>
      <c r="L4361" s="7"/>
      <c r="M4361" s="7"/>
    </row>
    <row r="4362" spans="1:13" x14ac:dyDescent="0.3">
      <c r="A4362" s="7">
        <v>980011</v>
      </c>
      <c r="B4362" s="7" t="s">
        <v>4369</v>
      </c>
      <c r="C4362" s="7" t="s">
        <v>6295</v>
      </c>
      <c r="D4362" s="7" t="s">
        <v>6965</v>
      </c>
      <c r="E4362" s="7" t="s">
        <v>6940</v>
      </c>
      <c r="F4362" s="7" t="s">
        <v>6941</v>
      </c>
      <c r="G4362" s="7" t="s">
        <v>7151</v>
      </c>
      <c r="H4362" s="7" t="s">
        <v>7156</v>
      </c>
      <c r="I4362" s="7"/>
      <c r="J4362" s="10">
        <v>42675</v>
      </c>
      <c r="K4362" s="7" t="s">
        <v>7165</v>
      </c>
      <c r="L4362" s="7"/>
      <c r="M4362" s="7"/>
    </row>
    <row r="4363" spans="1:13" x14ac:dyDescent="0.3">
      <c r="A4363" s="7">
        <v>14808</v>
      </c>
      <c r="B4363" s="7" t="s">
        <v>4370</v>
      </c>
      <c r="C4363" s="7" t="s">
        <v>6295</v>
      </c>
      <c r="D4363" s="7" t="s">
        <v>6965</v>
      </c>
      <c r="E4363" s="7" t="s">
        <v>6940</v>
      </c>
      <c r="F4363" s="7" t="s">
        <v>6966</v>
      </c>
      <c r="G4363" s="7" t="s">
        <v>7150</v>
      </c>
      <c r="H4363" s="7" t="s">
        <v>7157</v>
      </c>
      <c r="I4363" s="7"/>
      <c r="J4363" s="10">
        <v>44859</v>
      </c>
      <c r="K4363" s="7" t="s">
        <v>7165</v>
      </c>
      <c r="L4363" s="7"/>
      <c r="M4363" s="7"/>
    </row>
    <row r="4364" spans="1:13" x14ac:dyDescent="0.3">
      <c r="A4364" s="7">
        <v>860017</v>
      </c>
      <c r="B4364" s="7" t="s">
        <v>4371</v>
      </c>
      <c r="C4364" s="7" t="s">
        <v>6295</v>
      </c>
      <c r="D4364" s="7" t="s">
        <v>6967</v>
      </c>
      <c r="E4364" s="7" t="s">
        <v>6295</v>
      </c>
      <c r="F4364" s="7" t="s">
        <v>6939</v>
      </c>
      <c r="G4364" s="7" t="s">
        <v>7150</v>
      </c>
      <c r="H4364" s="7" t="s">
        <v>7156</v>
      </c>
      <c r="I4364" s="7"/>
      <c r="J4364" s="10">
        <v>42380</v>
      </c>
      <c r="K4364" s="7" t="s">
        <v>7165</v>
      </c>
      <c r="L4364" s="7"/>
      <c r="M4364" s="7"/>
    </row>
    <row r="4365" spans="1:13" x14ac:dyDescent="0.3">
      <c r="A4365" s="7">
        <v>16290</v>
      </c>
      <c r="B4365" s="7" t="s">
        <v>4372</v>
      </c>
      <c r="C4365" s="7" t="s">
        <v>6295</v>
      </c>
      <c r="D4365" s="7" t="s">
        <v>6967</v>
      </c>
      <c r="E4365" s="7" t="s">
        <v>6940</v>
      </c>
      <c r="F4365" s="7" t="s">
        <v>6943</v>
      </c>
      <c r="G4365" s="7" t="s">
        <v>7150</v>
      </c>
      <c r="H4365" s="7" t="s">
        <v>7156</v>
      </c>
      <c r="I4365" s="7"/>
      <c r="J4365" s="10">
        <v>45338</v>
      </c>
      <c r="K4365" s="7" t="s">
        <v>7165</v>
      </c>
      <c r="L4365" s="7"/>
      <c r="M4365" s="7"/>
    </row>
    <row r="4366" spans="1:13" x14ac:dyDescent="0.3">
      <c r="A4366" s="7">
        <v>11601</v>
      </c>
      <c r="B4366" s="7" t="s">
        <v>4373</v>
      </c>
      <c r="C4366" s="7" t="s">
        <v>6295</v>
      </c>
      <c r="D4366" s="7" t="s">
        <v>6968</v>
      </c>
      <c r="E4366" s="7" t="s">
        <v>6295</v>
      </c>
      <c r="F4366" s="7" t="s">
        <v>6939</v>
      </c>
      <c r="G4366" s="7" t="s">
        <v>7150</v>
      </c>
      <c r="H4366" s="7" t="s">
        <v>7156</v>
      </c>
      <c r="I4366" s="7"/>
      <c r="J4366" s="10">
        <v>42892</v>
      </c>
      <c r="K4366" s="7" t="s">
        <v>7165</v>
      </c>
      <c r="L4366" s="7"/>
      <c r="M4366" s="7"/>
    </row>
    <row r="4367" spans="1:13" x14ac:dyDescent="0.3">
      <c r="A4367" s="7">
        <v>14317</v>
      </c>
      <c r="B4367" s="7" t="s">
        <v>4374</v>
      </c>
      <c r="C4367" s="7" t="s">
        <v>6295</v>
      </c>
      <c r="D4367" s="7" t="s">
        <v>6968</v>
      </c>
      <c r="E4367" s="7" t="s">
        <v>6940</v>
      </c>
      <c r="F4367" s="7" t="s">
        <v>6943</v>
      </c>
      <c r="G4367" s="7" t="s">
        <v>7150</v>
      </c>
      <c r="H4367" s="7" t="s">
        <v>7156</v>
      </c>
      <c r="I4367" s="7"/>
      <c r="J4367" s="10">
        <v>44726</v>
      </c>
      <c r="K4367" s="7" t="s">
        <v>7165</v>
      </c>
      <c r="L4367" s="7"/>
      <c r="M4367" s="7"/>
    </row>
    <row r="4368" spans="1:13" x14ac:dyDescent="0.3">
      <c r="A4368" s="7">
        <v>15975</v>
      </c>
      <c r="B4368" s="7" t="s">
        <v>4375</v>
      </c>
      <c r="C4368" s="7" t="s">
        <v>6295</v>
      </c>
      <c r="D4368" s="7" t="s">
        <v>6969</v>
      </c>
      <c r="E4368" s="7" t="s">
        <v>6295</v>
      </c>
      <c r="F4368" s="7" t="s">
        <v>6939</v>
      </c>
      <c r="G4368" s="7" t="s">
        <v>7150</v>
      </c>
      <c r="H4368" s="7" t="s">
        <v>7156</v>
      </c>
      <c r="I4368" s="7"/>
      <c r="J4368" s="10">
        <v>45250</v>
      </c>
      <c r="K4368" s="7" t="s">
        <v>7165</v>
      </c>
      <c r="L4368" s="7"/>
      <c r="M4368" s="7"/>
    </row>
    <row r="4369" spans="1:13" x14ac:dyDescent="0.3">
      <c r="A4369" s="7">
        <v>16441</v>
      </c>
      <c r="B4369" s="7" t="s">
        <v>4376</v>
      </c>
      <c r="C4369" s="7" t="s">
        <v>6295</v>
      </c>
      <c r="D4369" s="7" t="s">
        <v>6969</v>
      </c>
      <c r="E4369" s="7" t="s">
        <v>6940</v>
      </c>
      <c r="F4369" s="7" t="s">
        <v>6949</v>
      </c>
      <c r="G4369" s="7" t="s">
        <v>7150</v>
      </c>
      <c r="H4369" s="7" t="s">
        <v>7156</v>
      </c>
      <c r="I4369" s="7"/>
      <c r="J4369" s="10">
        <v>45400</v>
      </c>
      <c r="K4369" s="7" t="s">
        <v>7165</v>
      </c>
      <c r="L4369" s="7"/>
      <c r="M4369" s="7"/>
    </row>
    <row r="4370" spans="1:13" x14ac:dyDescent="0.3">
      <c r="A4370" s="7">
        <v>17163</v>
      </c>
      <c r="B4370" s="7" t="s">
        <v>4377</v>
      </c>
      <c r="C4370" s="7" t="s">
        <v>6295</v>
      </c>
      <c r="D4370" s="7" t="s">
        <v>6969</v>
      </c>
      <c r="E4370" s="7" t="s">
        <v>6940</v>
      </c>
      <c r="F4370" s="7" t="s">
        <v>6949</v>
      </c>
      <c r="G4370" s="7" t="s">
        <v>7150</v>
      </c>
      <c r="H4370" s="7" t="s">
        <v>7156</v>
      </c>
      <c r="I4370" s="7"/>
      <c r="J4370" s="10">
        <v>45652</v>
      </c>
      <c r="K4370" s="7" t="s">
        <v>7165</v>
      </c>
      <c r="L4370" s="7"/>
      <c r="M4370" s="7"/>
    </row>
    <row r="4371" spans="1:13" x14ac:dyDescent="0.3">
      <c r="A4371" s="7">
        <v>206003</v>
      </c>
      <c r="B4371" s="7" t="s">
        <v>4378</v>
      </c>
      <c r="C4371" s="7" t="s">
        <v>6295</v>
      </c>
      <c r="D4371" s="7" t="s">
        <v>6970</v>
      </c>
      <c r="E4371" s="7" t="s">
        <v>6295</v>
      </c>
      <c r="F4371" s="7" t="s">
        <v>6939</v>
      </c>
      <c r="G4371" s="7" t="s">
        <v>7150</v>
      </c>
      <c r="H4371" s="7" t="s">
        <v>7156</v>
      </c>
      <c r="I4371" s="7"/>
      <c r="J4371" s="10">
        <v>43696</v>
      </c>
      <c r="K4371" s="7" t="s">
        <v>7165</v>
      </c>
      <c r="L4371" s="7"/>
      <c r="M4371" s="7"/>
    </row>
    <row r="4372" spans="1:13" x14ac:dyDescent="0.3">
      <c r="A4372" s="7">
        <v>14246</v>
      </c>
      <c r="B4372" s="7" t="s">
        <v>4379</v>
      </c>
      <c r="C4372" s="7" t="s">
        <v>6295</v>
      </c>
      <c r="D4372" s="7" t="s">
        <v>6970</v>
      </c>
      <c r="E4372" s="7" t="s">
        <v>6940</v>
      </c>
      <c r="F4372" s="7" t="s">
        <v>6943</v>
      </c>
      <c r="G4372" s="7" t="s">
        <v>7150</v>
      </c>
      <c r="H4372" s="7" t="s">
        <v>7156</v>
      </c>
      <c r="I4372" s="7"/>
      <c r="J4372" s="10">
        <v>44713</v>
      </c>
      <c r="K4372" s="7" t="s">
        <v>7165</v>
      </c>
      <c r="L4372" s="7"/>
      <c r="M4372" s="7"/>
    </row>
    <row r="4373" spans="1:13" x14ac:dyDescent="0.3">
      <c r="A4373" s="7">
        <v>390024</v>
      </c>
      <c r="B4373" s="7" t="s">
        <v>4380</v>
      </c>
      <c r="C4373" s="7" t="s">
        <v>6295</v>
      </c>
      <c r="D4373" s="7" t="s">
        <v>6971</v>
      </c>
      <c r="E4373" s="7" t="s">
        <v>6295</v>
      </c>
      <c r="F4373" s="7" t="s">
        <v>6939</v>
      </c>
      <c r="G4373" s="7" t="s">
        <v>7150</v>
      </c>
      <c r="H4373" s="7" t="s">
        <v>7156</v>
      </c>
      <c r="I4373" s="7"/>
      <c r="J4373" s="10">
        <v>43049</v>
      </c>
      <c r="K4373" s="7" t="s">
        <v>7165</v>
      </c>
      <c r="L4373" s="7"/>
      <c r="M4373" s="7"/>
    </row>
    <row r="4374" spans="1:13" x14ac:dyDescent="0.3">
      <c r="A4374" s="7">
        <v>15311</v>
      </c>
      <c r="B4374" s="7" t="s">
        <v>4381</v>
      </c>
      <c r="C4374" s="7" t="s">
        <v>6295</v>
      </c>
      <c r="D4374" s="7" t="s">
        <v>6971</v>
      </c>
      <c r="E4374" s="7" t="s">
        <v>6940</v>
      </c>
      <c r="F4374" s="7" t="s">
        <v>6943</v>
      </c>
      <c r="G4374" s="7" t="s">
        <v>7150</v>
      </c>
      <c r="H4374" s="7" t="s">
        <v>7156</v>
      </c>
      <c r="I4374" s="7"/>
      <c r="J4374" s="10">
        <v>45023</v>
      </c>
      <c r="K4374" s="7" t="s">
        <v>7165</v>
      </c>
      <c r="L4374" s="7"/>
      <c r="M4374" s="7"/>
    </row>
    <row r="4375" spans="1:13" x14ac:dyDescent="0.3">
      <c r="A4375" s="7">
        <v>120053</v>
      </c>
      <c r="B4375" s="7" t="s">
        <v>4382</v>
      </c>
      <c r="C4375" s="7" t="s">
        <v>6295</v>
      </c>
      <c r="D4375" s="7" t="s">
        <v>6972</v>
      </c>
      <c r="E4375" s="7" t="s">
        <v>6295</v>
      </c>
      <c r="F4375" s="7" t="s">
        <v>6939</v>
      </c>
      <c r="G4375" s="7" t="s">
        <v>7150</v>
      </c>
      <c r="H4375" s="7" t="s">
        <v>7156</v>
      </c>
      <c r="I4375" s="7"/>
      <c r="J4375" s="10">
        <v>44097</v>
      </c>
      <c r="K4375" s="7" t="s">
        <v>7165</v>
      </c>
      <c r="L4375" s="7"/>
      <c r="M4375" s="7"/>
    </row>
    <row r="4376" spans="1:13" x14ac:dyDescent="0.3">
      <c r="A4376" s="7">
        <v>17951</v>
      </c>
      <c r="B4376" s="7" t="s">
        <v>4383</v>
      </c>
      <c r="C4376" s="7" t="s">
        <v>6295</v>
      </c>
      <c r="D4376" s="7" t="s">
        <v>6972</v>
      </c>
      <c r="E4376" s="7" t="s">
        <v>6940</v>
      </c>
      <c r="F4376" s="7" t="s">
        <v>6949</v>
      </c>
      <c r="G4376" s="7" t="s">
        <v>7150</v>
      </c>
      <c r="H4376" s="7" t="s">
        <v>7156</v>
      </c>
      <c r="I4376" s="7"/>
      <c r="J4376" s="10">
        <v>45936</v>
      </c>
      <c r="K4376" s="7" t="s">
        <v>7165</v>
      </c>
      <c r="L4376" s="7"/>
      <c r="M4376" s="7"/>
    </row>
    <row r="4377" spans="1:13" x14ac:dyDescent="0.3">
      <c r="A4377" s="7">
        <v>240016</v>
      </c>
      <c r="B4377" s="7" t="s">
        <v>4384</v>
      </c>
      <c r="C4377" s="7" t="s">
        <v>6295</v>
      </c>
      <c r="D4377" s="7" t="s">
        <v>6973</v>
      </c>
      <c r="E4377" s="7" t="s">
        <v>6295</v>
      </c>
      <c r="F4377" s="7" t="s">
        <v>6939</v>
      </c>
      <c r="G4377" s="7" t="s">
        <v>7150</v>
      </c>
      <c r="H4377" s="7" t="s">
        <v>7156</v>
      </c>
      <c r="I4377" s="7"/>
      <c r="J4377" s="10">
        <v>39919</v>
      </c>
      <c r="K4377" s="7" t="s">
        <v>7165</v>
      </c>
      <c r="L4377" s="7"/>
      <c r="M4377" s="7"/>
    </row>
    <row r="4378" spans="1:13" x14ac:dyDescent="0.3">
      <c r="A4378" s="7">
        <v>123002</v>
      </c>
      <c r="B4378" s="7" t="s">
        <v>4385</v>
      </c>
      <c r="C4378" s="7" t="s">
        <v>6295</v>
      </c>
      <c r="D4378" s="7" t="s">
        <v>6973</v>
      </c>
      <c r="E4378" s="7" t="s">
        <v>6940</v>
      </c>
      <c r="F4378" s="7" t="s">
        <v>6941</v>
      </c>
      <c r="G4378" s="7" t="s">
        <v>7150</v>
      </c>
      <c r="H4378" s="7" t="s">
        <v>7156</v>
      </c>
      <c r="I4378" s="7"/>
      <c r="J4378" s="10">
        <v>43104</v>
      </c>
      <c r="K4378" s="7" t="s">
        <v>7165</v>
      </c>
      <c r="L4378" s="7"/>
      <c r="M4378" s="7"/>
    </row>
    <row r="4379" spans="1:13" x14ac:dyDescent="0.3">
      <c r="A4379" s="7">
        <v>123003</v>
      </c>
      <c r="B4379" s="7" t="s">
        <v>4386</v>
      </c>
      <c r="C4379" s="7" t="s">
        <v>6295</v>
      </c>
      <c r="D4379" s="7" t="s">
        <v>6973</v>
      </c>
      <c r="E4379" s="7" t="s">
        <v>6940</v>
      </c>
      <c r="F4379" s="7" t="s">
        <v>6941</v>
      </c>
      <c r="G4379" s="7" t="s">
        <v>7150</v>
      </c>
      <c r="H4379" s="7" t="s">
        <v>7156</v>
      </c>
      <c r="I4379" s="7"/>
      <c r="J4379" s="10">
        <v>43301</v>
      </c>
      <c r="K4379" s="7" t="s">
        <v>7165</v>
      </c>
      <c r="L4379" s="7"/>
      <c r="M4379" s="7"/>
    </row>
    <row r="4380" spans="1:13" x14ac:dyDescent="0.3">
      <c r="A4380" s="7">
        <v>660030</v>
      </c>
      <c r="B4380" s="7" t="s">
        <v>4387</v>
      </c>
      <c r="C4380" s="7" t="s">
        <v>6295</v>
      </c>
      <c r="D4380" s="7" t="s">
        <v>6973</v>
      </c>
      <c r="E4380" s="7" t="s">
        <v>6940</v>
      </c>
      <c r="F4380" s="7" t="s">
        <v>6941</v>
      </c>
      <c r="G4380" s="7" t="s">
        <v>7150</v>
      </c>
      <c r="H4380" s="7" t="s">
        <v>7156</v>
      </c>
      <c r="I4380" s="7"/>
      <c r="J4380" s="10">
        <v>42597</v>
      </c>
      <c r="K4380" s="7" t="s">
        <v>7165</v>
      </c>
      <c r="L4380" s="7"/>
      <c r="M4380" s="7"/>
    </row>
    <row r="4381" spans="1:13" x14ac:dyDescent="0.3">
      <c r="A4381" s="7">
        <v>123001</v>
      </c>
      <c r="B4381" s="7" t="s">
        <v>4388</v>
      </c>
      <c r="C4381" s="7" t="s">
        <v>6295</v>
      </c>
      <c r="D4381" s="7" t="s">
        <v>6973</v>
      </c>
      <c r="E4381" s="7" t="s">
        <v>6940</v>
      </c>
      <c r="F4381" s="7" t="s">
        <v>6941</v>
      </c>
      <c r="G4381" s="7" t="s">
        <v>7150</v>
      </c>
      <c r="H4381" s="7" t="s">
        <v>7156</v>
      </c>
      <c r="I4381" s="7"/>
      <c r="J4381" s="10">
        <v>42843</v>
      </c>
      <c r="K4381" s="7" t="s">
        <v>7165</v>
      </c>
      <c r="L4381" s="7"/>
      <c r="M4381" s="7"/>
    </row>
    <row r="4382" spans="1:13" x14ac:dyDescent="0.3">
      <c r="A4382" s="7">
        <v>15079</v>
      </c>
      <c r="B4382" s="7" t="s">
        <v>4389</v>
      </c>
      <c r="C4382" s="7" t="s">
        <v>6295</v>
      </c>
      <c r="D4382" s="7" t="s">
        <v>6973</v>
      </c>
      <c r="E4382" s="7" t="s">
        <v>6940</v>
      </c>
      <c r="F4382" s="7" t="s">
        <v>6943</v>
      </c>
      <c r="G4382" s="7" t="s">
        <v>7150</v>
      </c>
      <c r="H4382" s="7" t="s">
        <v>7156</v>
      </c>
      <c r="I4382" s="7"/>
      <c r="J4382" s="10">
        <v>44942</v>
      </c>
      <c r="K4382" s="7" t="s">
        <v>7165</v>
      </c>
      <c r="L4382" s="7"/>
      <c r="M4382" s="7"/>
    </row>
    <row r="4383" spans="1:13" x14ac:dyDescent="0.3">
      <c r="A4383" s="7">
        <v>15235</v>
      </c>
      <c r="B4383" s="7" t="s">
        <v>4390</v>
      </c>
      <c r="C4383" s="7" t="s">
        <v>6295</v>
      </c>
      <c r="D4383" s="7" t="s">
        <v>6973</v>
      </c>
      <c r="E4383" s="7" t="s">
        <v>6940</v>
      </c>
      <c r="F4383" s="7" t="s">
        <v>6943</v>
      </c>
      <c r="G4383" s="7" t="s">
        <v>7150</v>
      </c>
      <c r="H4383" s="7" t="s">
        <v>7156</v>
      </c>
      <c r="I4383" s="7"/>
      <c r="J4383" s="10">
        <v>44995</v>
      </c>
      <c r="K4383" s="7" t="s">
        <v>7165</v>
      </c>
      <c r="L4383" s="7"/>
      <c r="M4383" s="7"/>
    </row>
    <row r="4384" spans="1:13" x14ac:dyDescent="0.3">
      <c r="A4384" s="7">
        <v>17697</v>
      </c>
      <c r="B4384" s="7" t="s">
        <v>4391</v>
      </c>
      <c r="C4384" s="7" t="s">
        <v>6295</v>
      </c>
      <c r="D4384" s="7" t="s">
        <v>6973</v>
      </c>
      <c r="E4384" s="7" t="s">
        <v>6940</v>
      </c>
      <c r="F4384" s="7" t="s">
        <v>6949</v>
      </c>
      <c r="G4384" s="7" t="s">
        <v>7150</v>
      </c>
      <c r="H4384" s="7" t="s">
        <v>7156</v>
      </c>
      <c r="I4384" s="7"/>
      <c r="J4384" s="10">
        <v>45845</v>
      </c>
      <c r="K4384" s="7" t="s">
        <v>7165</v>
      </c>
      <c r="L4384" s="7"/>
      <c r="M4384" s="7"/>
    </row>
    <row r="4385" spans="1:13" x14ac:dyDescent="0.3">
      <c r="A4385" s="7">
        <v>140040</v>
      </c>
      <c r="B4385" s="7" t="s">
        <v>4392</v>
      </c>
      <c r="C4385" s="7" t="s">
        <v>6295</v>
      </c>
      <c r="D4385" s="7" t="s">
        <v>6974</v>
      </c>
      <c r="E4385" s="7" t="s">
        <v>6295</v>
      </c>
      <c r="F4385" s="7" t="s">
        <v>6939</v>
      </c>
      <c r="G4385" s="7" t="s">
        <v>7150</v>
      </c>
      <c r="H4385" s="7" t="s">
        <v>7156</v>
      </c>
      <c r="I4385" s="7"/>
      <c r="J4385" s="10">
        <v>43230</v>
      </c>
      <c r="K4385" s="7" t="s">
        <v>7165</v>
      </c>
      <c r="L4385" s="7"/>
      <c r="M4385" s="7"/>
    </row>
    <row r="4386" spans="1:13" x14ac:dyDescent="0.3">
      <c r="A4386" s="7">
        <v>230015</v>
      </c>
      <c r="B4386" s="7" t="s">
        <v>4393</v>
      </c>
      <c r="C4386" s="7" t="s">
        <v>6295</v>
      </c>
      <c r="D4386" s="7" t="s">
        <v>6974</v>
      </c>
      <c r="E4386" s="7" t="s">
        <v>6940</v>
      </c>
      <c r="F4386" s="7" t="s">
        <v>6958</v>
      </c>
      <c r="G4386" s="7" t="s">
        <v>7150</v>
      </c>
      <c r="H4386" s="7" t="s">
        <v>7156</v>
      </c>
      <c r="I4386" s="7"/>
      <c r="J4386" s="10">
        <v>36697</v>
      </c>
      <c r="K4386" s="7" t="s">
        <v>7165</v>
      </c>
      <c r="L4386" s="7"/>
      <c r="M4386" s="7"/>
    </row>
    <row r="4387" spans="1:13" x14ac:dyDescent="0.3">
      <c r="A4387" s="7">
        <v>210027</v>
      </c>
      <c r="B4387" s="7" t="s">
        <v>4394</v>
      </c>
      <c r="C4387" s="7" t="s">
        <v>6295</v>
      </c>
      <c r="D4387" s="7" t="s">
        <v>6974</v>
      </c>
      <c r="E4387" s="7" t="s">
        <v>6940</v>
      </c>
      <c r="F4387" s="7" t="s">
        <v>6943</v>
      </c>
      <c r="G4387" s="7" t="s">
        <v>7150</v>
      </c>
      <c r="H4387" s="7" t="s">
        <v>7156</v>
      </c>
      <c r="I4387" s="7"/>
      <c r="J4387" s="10">
        <v>36691</v>
      </c>
      <c r="K4387" s="7" t="s">
        <v>7165</v>
      </c>
      <c r="L4387" s="7"/>
      <c r="M4387" s="7"/>
    </row>
    <row r="4388" spans="1:13" x14ac:dyDescent="0.3">
      <c r="A4388" s="7">
        <v>180058</v>
      </c>
      <c r="B4388" s="7" t="s">
        <v>4395</v>
      </c>
      <c r="C4388" s="7" t="s">
        <v>6295</v>
      </c>
      <c r="D4388" s="7" t="s">
        <v>6974</v>
      </c>
      <c r="E4388" s="7" t="s">
        <v>6940</v>
      </c>
      <c r="F4388" s="7" t="s">
        <v>6949</v>
      </c>
      <c r="G4388" s="7" t="s">
        <v>7150</v>
      </c>
      <c r="H4388" s="7" t="s">
        <v>7156</v>
      </c>
      <c r="I4388" s="7"/>
      <c r="J4388" s="10">
        <v>44188</v>
      </c>
      <c r="K4388" s="7" t="s">
        <v>7165</v>
      </c>
      <c r="L4388" s="7"/>
      <c r="M4388" s="7"/>
    </row>
    <row r="4389" spans="1:13" x14ac:dyDescent="0.3">
      <c r="A4389" s="7">
        <v>126001</v>
      </c>
      <c r="B4389" s="7" t="s">
        <v>4396</v>
      </c>
      <c r="C4389" s="7" t="s">
        <v>6295</v>
      </c>
      <c r="D4389" s="7" t="s">
        <v>6974</v>
      </c>
      <c r="E4389" s="7" t="s">
        <v>6951</v>
      </c>
      <c r="F4389" s="7" t="s">
        <v>6398</v>
      </c>
      <c r="G4389" s="7" t="s">
        <v>7150</v>
      </c>
      <c r="H4389" s="7" t="s">
        <v>7156</v>
      </c>
      <c r="I4389" s="7"/>
      <c r="J4389" s="10">
        <v>42866</v>
      </c>
      <c r="K4389" s="7" t="s">
        <v>7165</v>
      </c>
      <c r="L4389" s="7"/>
      <c r="M4389" s="7"/>
    </row>
    <row r="4390" spans="1:13" x14ac:dyDescent="0.3">
      <c r="A4390" s="7">
        <v>170003</v>
      </c>
      <c r="B4390" s="7" t="s">
        <v>4397</v>
      </c>
      <c r="C4390" s="7" t="s">
        <v>6295</v>
      </c>
      <c r="D4390" s="7" t="s">
        <v>6975</v>
      </c>
      <c r="E4390" s="7" t="s">
        <v>6295</v>
      </c>
      <c r="F4390" s="7" t="s">
        <v>6939</v>
      </c>
      <c r="G4390" s="7" t="s">
        <v>7150</v>
      </c>
      <c r="H4390" s="7" t="s">
        <v>7156</v>
      </c>
      <c r="I4390" s="7"/>
      <c r="J4390" s="10">
        <v>36706</v>
      </c>
      <c r="K4390" s="7" t="s">
        <v>7165</v>
      </c>
      <c r="L4390" s="7"/>
      <c r="M4390" s="7"/>
    </row>
    <row r="4391" spans="1:13" x14ac:dyDescent="0.3">
      <c r="A4391" s="7">
        <v>550022</v>
      </c>
      <c r="B4391" s="7" t="s">
        <v>4398</v>
      </c>
      <c r="C4391" s="7" t="s">
        <v>6295</v>
      </c>
      <c r="D4391" s="7" t="s">
        <v>6975</v>
      </c>
      <c r="E4391" s="7" t="s">
        <v>6940</v>
      </c>
      <c r="F4391" s="7" t="s">
        <v>6941</v>
      </c>
      <c r="G4391" s="7" t="s">
        <v>7150</v>
      </c>
      <c r="H4391" s="7" t="s">
        <v>7156</v>
      </c>
      <c r="I4391" s="7"/>
      <c r="J4391" s="10">
        <v>36850</v>
      </c>
      <c r="K4391" s="7" t="s">
        <v>7165</v>
      </c>
      <c r="L4391" s="7"/>
      <c r="M4391" s="7"/>
    </row>
    <row r="4392" spans="1:13" x14ac:dyDescent="0.3">
      <c r="A4392" s="7">
        <v>980014</v>
      </c>
      <c r="B4392" s="7" t="s">
        <v>4399</v>
      </c>
      <c r="C4392" s="7" t="s">
        <v>6295</v>
      </c>
      <c r="D4392" s="7" t="s">
        <v>6975</v>
      </c>
      <c r="E4392" s="7" t="s">
        <v>6940</v>
      </c>
      <c r="F4392" s="7" t="s">
        <v>6941</v>
      </c>
      <c r="G4392" s="7" t="s">
        <v>7150</v>
      </c>
      <c r="H4392" s="7" t="s">
        <v>7156</v>
      </c>
      <c r="I4392" s="7"/>
      <c r="J4392" s="10">
        <v>42811</v>
      </c>
      <c r="K4392" s="7" t="s">
        <v>7165</v>
      </c>
      <c r="L4392" s="7"/>
      <c r="M4392" s="7"/>
    </row>
    <row r="4393" spans="1:13" x14ac:dyDescent="0.3">
      <c r="A4393" s="7">
        <v>18131</v>
      </c>
      <c r="B4393" s="7" t="s">
        <v>4400</v>
      </c>
      <c r="C4393" s="7" t="s">
        <v>6295</v>
      </c>
      <c r="D4393" s="7" t="s">
        <v>6975</v>
      </c>
      <c r="E4393" s="7" t="s">
        <v>6940</v>
      </c>
      <c r="F4393" s="7" t="s">
        <v>6949</v>
      </c>
      <c r="G4393" s="7" t="s">
        <v>7150</v>
      </c>
      <c r="H4393" s="7" t="s">
        <v>7156</v>
      </c>
      <c r="I4393" s="7"/>
      <c r="J4393" s="10">
        <v>46007</v>
      </c>
      <c r="K4393" s="7" t="s">
        <v>7165</v>
      </c>
      <c r="L4393" s="7"/>
      <c r="M4393" s="7"/>
    </row>
    <row r="4394" spans="1:13" x14ac:dyDescent="0.3">
      <c r="A4394" s="7">
        <v>20036</v>
      </c>
      <c r="B4394" s="7" t="s">
        <v>4401</v>
      </c>
      <c r="C4394" s="7" t="s">
        <v>6295</v>
      </c>
      <c r="D4394" s="7" t="s">
        <v>6976</v>
      </c>
      <c r="E4394" s="7" t="s">
        <v>6295</v>
      </c>
      <c r="F4394" s="7" t="s">
        <v>6939</v>
      </c>
      <c r="G4394" s="7" t="s">
        <v>7150</v>
      </c>
      <c r="H4394" s="7" t="s">
        <v>7156</v>
      </c>
      <c r="I4394" s="7"/>
      <c r="J4394" s="10">
        <v>42473</v>
      </c>
      <c r="K4394" s="7" t="s">
        <v>7165</v>
      </c>
      <c r="L4394" s="7"/>
      <c r="M4394" s="7"/>
    </row>
    <row r="4395" spans="1:13" x14ac:dyDescent="0.3">
      <c r="A4395" s="7">
        <v>180047</v>
      </c>
      <c r="B4395" s="7" t="s">
        <v>4402</v>
      </c>
      <c r="C4395" s="7" t="s">
        <v>6295</v>
      </c>
      <c r="D4395" s="7" t="s">
        <v>6976</v>
      </c>
      <c r="E4395" s="7" t="s">
        <v>6940</v>
      </c>
      <c r="F4395" s="7" t="s">
        <v>6941</v>
      </c>
      <c r="G4395" s="7" t="s">
        <v>7150</v>
      </c>
      <c r="H4395" s="7" t="s">
        <v>7156</v>
      </c>
      <c r="I4395" s="7"/>
      <c r="J4395" s="10">
        <v>43395</v>
      </c>
      <c r="K4395" s="7" t="s">
        <v>7165</v>
      </c>
      <c r="L4395" s="7"/>
      <c r="M4395" s="7"/>
    </row>
    <row r="4396" spans="1:13" x14ac:dyDescent="0.3">
      <c r="A4396" s="7">
        <v>300131</v>
      </c>
      <c r="B4396" s="7" t="s">
        <v>4403</v>
      </c>
      <c r="C4396" s="7" t="s">
        <v>6295</v>
      </c>
      <c r="D4396" s="7" t="s">
        <v>6976</v>
      </c>
      <c r="E4396" s="7" t="s">
        <v>6940</v>
      </c>
      <c r="F4396" s="7" t="s">
        <v>6941</v>
      </c>
      <c r="G4396" s="7" t="s">
        <v>7150</v>
      </c>
      <c r="H4396" s="7" t="s">
        <v>7156</v>
      </c>
      <c r="I4396" s="7"/>
      <c r="J4396" s="10">
        <v>43236</v>
      </c>
      <c r="K4396" s="7" t="s">
        <v>7165</v>
      </c>
      <c r="L4396" s="7"/>
      <c r="M4396" s="7"/>
    </row>
    <row r="4397" spans="1:13" x14ac:dyDescent="0.3">
      <c r="A4397" s="7">
        <v>203002</v>
      </c>
      <c r="B4397" s="7" t="s">
        <v>4404</v>
      </c>
      <c r="C4397" s="7" t="s">
        <v>6295</v>
      </c>
      <c r="D4397" s="7" t="s">
        <v>6976</v>
      </c>
      <c r="E4397" s="7" t="s">
        <v>6940</v>
      </c>
      <c r="F4397" s="7" t="s">
        <v>6941</v>
      </c>
      <c r="G4397" s="7" t="s">
        <v>7150</v>
      </c>
      <c r="H4397" s="7" t="s">
        <v>7156</v>
      </c>
      <c r="I4397" s="7"/>
      <c r="J4397" s="10">
        <v>43648</v>
      </c>
      <c r="K4397" s="7" t="s">
        <v>7165</v>
      </c>
      <c r="L4397" s="7"/>
      <c r="M4397" s="7"/>
    </row>
    <row r="4398" spans="1:13" x14ac:dyDescent="0.3">
      <c r="A4398" s="7">
        <v>203005</v>
      </c>
      <c r="B4398" s="7" t="s">
        <v>4405</v>
      </c>
      <c r="C4398" s="7" t="s">
        <v>6295</v>
      </c>
      <c r="D4398" s="7" t="s">
        <v>6976</v>
      </c>
      <c r="E4398" s="7" t="s">
        <v>6940</v>
      </c>
      <c r="F4398" s="7" t="s">
        <v>6941</v>
      </c>
      <c r="G4398" s="7" t="s">
        <v>7150</v>
      </c>
      <c r="H4398" s="7" t="s">
        <v>7156</v>
      </c>
      <c r="I4398" s="7"/>
      <c r="J4398" s="10">
        <v>43747</v>
      </c>
      <c r="K4398" s="7" t="s">
        <v>7165</v>
      </c>
      <c r="L4398" s="7"/>
      <c r="M4398" s="7"/>
    </row>
    <row r="4399" spans="1:13" x14ac:dyDescent="0.3">
      <c r="A4399" s="7">
        <v>203003</v>
      </c>
      <c r="B4399" s="7" t="s">
        <v>4406</v>
      </c>
      <c r="C4399" s="7" t="s">
        <v>6295</v>
      </c>
      <c r="D4399" s="7" t="s">
        <v>6976</v>
      </c>
      <c r="E4399" s="7" t="s">
        <v>6940</v>
      </c>
      <c r="F4399" s="7" t="s">
        <v>6941</v>
      </c>
      <c r="G4399" s="7" t="s">
        <v>7150</v>
      </c>
      <c r="H4399" s="7" t="s">
        <v>7156</v>
      </c>
      <c r="I4399" s="7"/>
      <c r="J4399" s="10">
        <v>43654</v>
      </c>
      <c r="K4399" s="7" t="s">
        <v>7165</v>
      </c>
      <c r="L4399" s="7"/>
      <c r="M4399" s="7"/>
    </row>
    <row r="4400" spans="1:13" x14ac:dyDescent="0.3">
      <c r="A4400" s="7">
        <v>18258</v>
      </c>
      <c r="B4400" s="7" t="s">
        <v>4407</v>
      </c>
      <c r="C4400" s="7" t="s">
        <v>6295</v>
      </c>
      <c r="D4400" s="7" t="s">
        <v>6976</v>
      </c>
      <c r="E4400" s="7" t="s">
        <v>6940</v>
      </c>
      <c r="F4400" s="7" t="s">
        <v>6941</v>
      </c>
      <c r="G4400" s="7" t="s">
        <v>7150</v>
      </c>
      <c r="H4400" s="7" t="s">
        <v>7156</v>
      </c>
      <c r="I4400" s="7"/>
      <c r="J4400" s="10">
        <v>46076</v>
      </c>
      <c r="K4400" s="7" t="s">
        <v>7165</v>
      </c>
      <c r="L4400" s="7"/>
      <c r="M4400" s="7"/>
    </row>
    <row r="4401" spans="1:13" x14ac:dyDescent="0.3">
      <c r="A4401" s="7">
        <v>15425</v>
      </c>
      <c r="B4401" s="7" t="s">
        <v>4408</v>
      </c>
      <c r="C4401" s="7" t="s">
        <v>6295</v>
      </c>
      <c r="D4401" s="7" t="s">
        <v>6976</v>
      </c>
      <c r="E4401" s="7" t="s">
        <v>6940</v>
      </c>
      <c r="F4401" s="7" t="s">
        <v>6943</v>
      </c>
      <c r="G4401" s="7" t="s">
        <v>7150</v>
      </c>
      <c r="H4401" s="7" t="s">
        <v>7156</v>
      </c>
      <c r="I4401" s="7"/>
      <c r="J4401" s="10">
        <v>45068</v>
      </c>
      <c r="K4401" s="7" t="s">
        <v>7165</v>
      </c>
      <c r="L4401" s="7"/>
      <c r="M4401" s="7"/>
    </row>
    <row r="4402" spans="1:13" x14ac:dyDescent="0.3">
      <c r="A4402" s="7">
        <v>16062</v>
      </c>
      <c r="B4402" s="7" t="s">
        <v>4409</v>
      </c>
      <c r="C4402" s="7" t="s">
        <v>6295</v>
      </c>
      <c r="D4402" s="7" t="s">
        <v>6976</v>
      </c>
      <c r="E4402" s="7" t="s">
        <v>6940</v>
      </c>
      <c r="F4402" s="7" t="s">
        <v>6943</v>
      </c>
      <c r="G4402" s="7" t="s">
        <v>7150</v>
      </c>
      <c r="H4402" s="7" t="s">
        <v>7156</v>
      </c>
      <c r="I4402" s="7"/>
      <c r="J4402" s="10">
        <v>45275</v>
      </c>
      <c r="K4402" s="7" t="s">
        <v>7165</v>
      </c>
      <c r="L4402" s="7"/>
      <c r="M4402" s="7"/>
    </row>
    <row r="4403" spans="1:13" x14ac:dyDescent="0.3">
      <c r="A4403" s="7">
        <v>10333</v>
      </c>
      <c r="B4403" s="7" t="s">
        <v>4410</v>
      </c>
      <c r="C4403" s="7" t="s">
        <v>6295</v>
      </c>
      <c r="D4403" s="7" t="s">
        <v>6977</v>
      </c>
      <c r="E4403" s="7" t="s">
        <v>6295</v>
      </c>
      <c r="F4403" s="7" t="s">
        <v>6939</v>
      </c>
      <c r="G4403" s="7" t="s">
        <v>7150</v>
      </c>
      <c r="H4403" s="7" t="s">
        <v>7156</v>
      </c>
      <c r="I4403" s="7"/>
      <c r="J4403" s="10">
        <v>39850</v>
      </c>
      <c r="K4403" s="7" t="s">
        <v>7165</v>
      </c>
      <c r="L4403" s="7"/>
      <c r="M4403" s="7"/>
    </row>
    <row r="4404" spans="1:13" x14ac:dyDescent="0.3">
      <c r="A4404" s="7">
        <v>300206</v>
      </c>
      <c r="B4404" s="7" t="s">
        <v>4411</v>
      </c>
      <c r="C4404" s="7" t="s">
        <v>6295</v>
      </c>
      <c r="D4404" s="7" t="s">
        <v>6977</v>
      </c>
      <c r="E4404" s="7" t="s">
        <v>6940</v>
      </c>
      <c r="F4404" s="7" t="s">
        <v>6941</v>
      </c>
      <c r="G4404" s="7" t="s">
        <v>7150</v>
      </c>
      <c r="H4404" s="7" t="s">
        <v>7156</v>
      </c>
      <c r="I4404" s="7"/>
      <c r="J4404" s="10">
        <v>44026</v>
      </c>
      <c r="K4404" s="7" t="s">
        <v>7165</v>
      </c>
      <c r="L4404" s="7"/>
      <c r="M4404" s="7"/>
    </row>
    <row r="4405" spans="1:13" x14ac:dyDescent="0.3">
      <c r="A4405" s="7">
        <v>600038</v>
      </c>
      <c r="B4405" s="7" t="s">
        <v>4412</v>
      </c>
      <c r="C4405" s="7" t="s">
        <v>6978</v>
      </c>
      <c r="D4405" s="7" t="s">
        <v>6295</v>
      </c>
      <c r="E4405" s="7" t="s">
        <v>6295</v>
      </c>
      <c r="F4405" s="7" t="s">
        <v>6939</v>
      </c>
      <c r="G4405" s="7" t="s">
        <v>7150</v>
      </c>
      <c r="H4405" s="7" t="s">
        <v>7156</v>
      </c>
      <c r="I4405" s="7"/>
      <c r="J4405" s="10">
        <v>42695</v>
      </c>
      <c r="K4405" s="7" t="s">
        <v>7165</v>
      </c>
      <c r="L4405" s="7"/>
      <c r="M4405" s="7"/>
    </row>
    <row r="4406" spans="1:13" x14ac:dyDescent="0.3">
      <c r="A4406" s="7">
        <v>16365</v>
      </c>
      <c r="B4406" s="7" t="s">
        <v>4413</v>
      </c>
      <c r="C4406" s="7" t="s">
        <v>6978</v>
      </c>
      <c r="D4406" s="7" t="s">
        <v>6295</v>
      </c>
      <c r="E4406" s="7" t="s">
        <v>6940</v>
      </c>
      <c r="F4406" s="7" t="s">
        <v>6979</v>
      </c>
      <c r="G4406" s="7" t="s">
        <v>7150</v>
      </c>
      <c r="H4406" s="7" t="s">
        <v>7156</v>
      </c>
      <c r="I4406" s="7"/>
      <c r="J4406" s="10">
        <v>45369</v>
      </c>
      <c r="K4406" s="7" t="s">
        <v>7165</v>
      </c>
      <c r="L4406" s="7"/>
      <c r="M4406" s="7"/>
    </row>
    <row r="4407" spans="1:13" x14ac:dyDescent="0.3">
      <c r="A4407" s="7">
        <v>440040</v>
      </c>
      <c r="B4407" s="7" t="s">
        <v>4414</v>
      </c>
      <c r="C4407" s="7" t="s">
        <v>6978</v>
      </c>
      <c r="D4407" s="7" t="s">
        <v>6295</v>
      </c>
      <c r="E4407" s="7" t="s">
        <v>6940</v>
      </c>
      <c r="F4407" s="7" t="s">
        <v>6980</v>
      </c>
      <c r="G4407" s="7" t="s">
        <v>7150</v>
      </c>
      <c r="H4407" s="7" t="s">
        <v>7156</v>
      </c>
      <c r="I4407" s="7"/>
      <c r="J4407" s="10">
        <v>43034</v>
      </c>
      <c r="K4407" s="7" t="s">
        <v>7165</v>
      </c>
      <c r="L4407" s="7"/>
      <c r="M4407" s="7"/>
    </row>
    <row r="4408" spans="1:13" x14ac:dyDescent="0.3">
      <c r="A4408" s="7">
        <v>300189</v>
      </c>
      <c r="B4408" s="7" t="s">
        <v>4415</v>
      </c>
      <c r="C4408" s="7" t="s">
        <v>6978</v>
      </c>
      <c r="D4408" s="7" t="s">
        <v>6295</v>
      </c>
      <c r="E4408" s="7" t="s">
        <v>6940</v>
      </c>
      <c r="F4408" s="7" t="s">
        <v>6941</v>
      </c>
      <c r="G4408" s="7" t="s">
        <v>7150</v>
      </c>
      <c r="H4408" s="7" t="s">
        <v>7156</v>
      </c>
      <c r="I4408" s="7"/>
      <c r="J4408" s="10">
        <v>43762</v>
      </c>
      <c r="K4408" s="7" t="s">
        <v>7165</v>
      </c>
      <c r="L4408" s="7"/>
      <c r="M4408" s="7"/>
    </row>
    <row r="4409" spans="1:13" x14ac:dyDescent="0.3">
      <c r="A4409" s="7">
        <v>740014</v>
      </c>
      <c r="B4409" s="7" t="s">
        <v>4416</v>
      </c>
      <c r="C4409" s="7" t="s">
        <v>6978</v>
      </c>
      <c r="D4409" s="7" t="s">
        <v>6295</v>
      </c>
      <c r="E4409" s="7" t="s">
        <v>6940</v>
      </c>
      <c r="F4409" s="7" t="s">
        <v>6943</v>
      </c>
      <c r="G4409" s="7" t="s">
        <v>7151</v>
      </c>
      <c r="H4409" s="7" t="s">
        <v>7156</v>
      </c>
      <c r="I4409" s="7"/>
      <c r="J4409" s="10">
        <v>41852</v>
      </c>
      <c r="K4409" s="7" t="s">
        <v>7165</v>
      </c>
      <c r="L4409" s="7"/>
      <c r="M4409" s="7"/>
    </row>
    <row r="4410" spans="1:13" x14ac:dyDescent="0.3">
      <c r="A4410" s="7">
        <v>230027</v>
      </c>
      <c r="B4410" s="7" t="s">
        <v>4417</v>
      </c>
      <c r="C4410" s="7" t="s">
        <v>6978</v>
      </c>
      <c r="D4410" s="7" t="s">
        <v>6295</v>
      </c>
      <c r="E4410" s="7" t="s">
        <v>6940</v>
      </c>
      <c r="F4410" s="7" t="s">
        <v>6941</v>
      </c>
      <c r="G4410" s="7" t="s">
        <v>7150</v>
      </c>
      <c r="H4410" s="7" t="s">
        <v>7156</v>
      </c>
      <c r="I4410" s="7"/>
      <c r="J4410" s="10">
        <v>42023</v>
      </c>
      <c r="K4410" s="7" t="s">
        <v>7165</v>
      </c>
      <c r="L4410" s="7"/>
      <c r="M4410" s="7"/>
    </row>
    <row r="4411" spans="1:13" x14ac:dyDescent="0.3">
      <c r="A4411" s="7">
        <v>110011</v>
      </c>
      <c r="B4411" s="7" t="s">
        <v>4418</v>
      </c>
      <c r="C4411" s="7" t="s">
        <v>6978</v>
      </c>
      <c r="D4411" s="7" t="s">
        <v>6295</v>
      </c>
      <c r="E4411" s="7" t="s">
        <v>6940</v>
      </c>
      <c r="F4411" s="7" t="s">
        <v>6943</v>
      </c>
      <c r="G4411" s="7" t="s">
        <v>7150</v>
      </c>
      <c r="H4411" s="7" t="s">
        <v>7156</v>
      </c>
      <c r="I4411" s="7"/>
      <c r="J4411" s="10">
        <v>41285</v>
      </c>
      <c r="K4411" s="7" t="s">
        <v>7165</v>
      </c>
      <c r="L4411" s="7"/>
      <c r="M4411" s="7"/>
    </row>
    <row r="4412" spans="1:13" x14ac:dyDescent="0.3">
      <c r="A4412" s="7">
        <v>14163</v>
      </c>
      <c r="B4412" s="7" t="s">
        <v>4419</v>
      </c>
      <c r="C4412" s="7" t="s">
        <v>6978</v>
      </c>
      <c r="D4412" s="7" t="s">
        <v>6295</v>
      </c>
      <c r="E4412" s="7" t="s">
        <v>6940</v>
      </c>
      <c r="F4412" s="7" t="s">
        <v>6943</v>
      </c>
      <c r="G4412" s="7" t="s">
        <v>7150</v>
      </c>
      <c r="H4412" s="7" t="s">
        <v>7156</v>
      </c>
      <c r="I4412" s="7"/>
      <c r="J4412" s="10">
        <v>44685</v>
      </c>
      <c r="K4412" s="7" t="s">
        <v>7165</v>
      </c>
      <c r="L4412" s="7"/>
      <c r="M4412" s="7"/>
    </row>
    <row r="4413" spans="1:13" x14ac:dyDescent="0.3">
      <c r="A4413" s="7">
        <v>17842</v>
      </c>
      <c r="B4413" s="7" t="s">
        <v>4420</v>
      </c>
      <c r="C4413" s="7" t="s">
        <v>6978</v>
      </c>
      <c r="D4413" s="7" t="s">
        <v>6295</v>
      </c>
      <c r="E4413" s="7" t="s">
        <v>6940</v>
      </c>
      <c r="F4413" s="7" t="s">
        <v>6949</v>
      </c>
      <c r="G4413" s="7" t="s">
        <v>7150</v>
      </c>
      <c r="H4413" s="7" t="s">
        <v>7156</v>
      </c>
      <c r="I4413" s="7"/>
      <c r="J4413" s="10">
        <v>45889</v>
      </c>
      <c r="K4413" s="7" t="s">
        <v>7165</v>
      </c>
      <c r="L4413" s="7"/>
      <c r="M4413" s="7"/>
    </row>
    <row r="4414" spans="1:13" x14ac:dyDescent="0.3">
      <c r="A4414" s="7">
        <v>140035</v>
      </c>
      <c r="B4414" s="7" t="s">
        <v>4421</v>
      </c>
      <c r="C4414" s="7" t="s">
        <v>6981</v>
      </c>
      <c r="D4414" s="7" t="s">
        <v>6295</v>
      </c>
      <c r="E4414" s="7" t="s">
        <v>6295</v>
      </c>
      <c r="F4414" s="7" t="s">
        <v>6939</v>
      </c>
      <c r="G4414" s="7" t="s">
        <v>7150</v>
      </c>
      <c r="H4414" s="7" t="s">
        <v>7156</v>
      </c>
      <c r="I4414" s="7"/>
      <c r="J4414" s="10">
        <v>42843</v>
      </c>
      <c r="K4414" s="7" t="s">
        <v>7165</v>
      </c>
      <c r="L4414" s="7"/>
      <c r="M4414" s="7"/>
    </row>
    <row r="4415" spans="1:13" x14ac:dyDescent="0.3">
      <c r="A4415" s="7">
        <v>117026</v>
      </c>
      <c r="B4415" s="7" t="s">
        <v>4422</v>
      </c>
      <c r="C4415" s="7" t="s">
        <v>6981</v>
      </c>
      <c r="D4415" s="7" t="s">
        <v>6295</v>
      </c>
      <c r="E4415" s="7" t="s">
        <v>6940</v>
      </c>
      <c r="F4415" s="7" t="s">
        <v>6980</v>
      </c>
      <c r="G4415" s="7" t="s">
        <v>7150</v>
      </c>
      <c r="H4415" s="7" t="s">
        <v>7156</v>
      </c>
      <c r="I4415" s="7"/>
      <c r="J4415" s="10">
        <v>43243</v>
      </c>
      <c r="K4415" s="7" t="s">
        <v>7165</v>
      </c>
      <c r="L4415" s="7"/>
      <c r="M4415" s="7"/>
    </row>
    <row r="4416" spans="1:13" x14ac:dyDescent="0.3">
      <c r="A4416" s="7">
        <v>900026</v>
      </c>
      <c r="B4416" s="7" t="s">
        <v>4423</v>
      </c>
      <c r="C4416" s="7" t="s">
        <v>6981</v>
      </c>
      <c r="D4416" s="7" t="s">
        <v>6295</v>
      </c>
      <c r="E4416" s="7" t="s">
        <v>6940</v>
      </c>
      <c r="F4416" s="7" t="s">
        <v>6941</v>
      </c>
      <c r="G4416" s="7" t="s">
        <v>7150</v>
      </c>
      <c r="H4416" s="7" t="s">
        <v>7156</v>
      </c>
      <c r="I4416" s="7"/>
      <c r="J4416" s="10">
        <v>41586</v>
      </c>
      <c r="K4416" s="7" t="s">
        <v>7165</v>
      </c>
      <c r="L4416" s="7"/>
      <c r="M4416" s="7"/>
    </row>
    <row r="4417" spans="1:13" x14ac:dyDescent="0.3">
      <c r="A4417" s="7">
        <v>14303</v>
      </c>
      <c r="B4417" s="7" t="s">
        <v>4424</v>
      </c>
      <c r="C4417" s="7" t="s">
        <v>6981</v>
      </c>
      <c r="D4417" s="7" t="s">
        <v>6295</v>
      </c>
      <c r="E4417" s="7" t="s">
        <v>6940</v>
      </c>
      <c r="F4417" s="7" t="s">
        <v>6958</v>
      </c>
      <c r="G4417" s="7" t="s">
        <v>7150</v>
      </c>
      <c r="H4417" s="7" t="s">
        <v>7156</v>
      </c>
      <c r="I4417" s="7"/>
      <c r="J4417" s="10">
        <v>44721</v>
      </c>
      <c r="K4417" s="7" t="s">
        <v>7165</v>
      </c>
      <c r="L4417" s="7"/>
      <c r="M4417" s="7"/>
    </row>
    <row r="4418" spans="1:13" x14ac:dyDescent="0.3">
      <c r="A4418" s="7">
        <v>15098</v>
      </c>
      <c r="B4418" s="7" t="s">
        <v>4425</v>
      </c>
      <c r="C4418" s="7" t="s">
        <v>6981</v>
      </c>
      <c r="D4418" s="7" t="s">
        <v>6295</v>
      </c>
      <c r="E4418" s="7" t="s">
        <v>6940</v>
      </c>
      <c r="F4418" s="7" t="s">
        <v>6943</v>
      </c>
      <c r="G4418" s="7" t="s">
        <v>7150</v>
      </c>
      <c r="H4418" s="7" t="s">
        <v>7156</v>
      </c>
      <c r="I4418" s="7"/>
      <c r="J4418" s="10">
        <v>44945</v>
      </c>
      <c r="K4418" s="7" t="s">
        <v>7165</v>
      </c>
      <c r="L4418" s="7"/>
      <c r="M4418" s="7"/>
    </row>
    <row r="4419" spans="1:13" x14ac:dyDescent="0.3">
      <c r="A4419" s="7">
        <v>14236</v>
      </c>
      <c r="B4419" s="7" t="s">
        <v>4426</v>
      </c>
      <c r="C4419" s="7" t="s">
        <v>6981</v>
      </c>
      <c r="D4419" s="7" t="s">
        <v>6295</v>
      </c>
      <c r="E4419" s="7" t="s">
        <v>6940</v>
      </c>
      <c r="F4419" s="7" t="s">
        <v>6943</v>
      </c>
      <c r="G4419" s="7" t="s">
        <v>7150</v>
      </c>
      <c r="H4419" s="7" t="s">
        <v>7156</v>
      </c>
      <c r="I4419" s="7"/>
      <c r="J4419" s="10">
        <v>44701</v>
      </c>
      <c r="K4419" s="7" t="s">
        <v>7165</v>
      </c>
      <c r="L4419" s="7"/>
      <c r="M4419" s="7"/>
    </row>
    <row r="4420" spans="1:13" x14ac:dyDescent="0.3">
      <c r="A4420" s="7">
        <v>15104</v>
      </c>
      <c r="B4420" s="7" t="s">
        <v>4427</v>
      </c>
      <c r="C4420" s="7" t="s">
        <v>6981</v>
      </c>
      <c r="D4420" s="7" t="s">
        <v>6295</v>
      </c>
      <c r="E4420" s="7" t="s">
        <v>6940</v>
      </c>
      <c r="F4420" s="7" t="s">
        <v>6949</v>
      </c>
      <c r="G4420" s="7" t="s">
        <v>7151</v>
      </c>
      <c r="H4420" s="7" t="s">
        <v>7156</v>
      </c>
      <c r="I4420" s="7"/>
      <c r="J4420" s="10">
        <v>44958</v>
      </c>
      <c r="K4420" s="7" t="s">
        <v>7165</v>
      </c>
      <c r="L4420" s="7"/>
      <c r="M4420" s="7"/>
    </row>
    <row r="4421" spans="1:13" x14ac:dyDescent="0.3">
      <c r="A4421" s="7">
        <v>14794</v>
      </c>
      <c r="B4421" s="7" t="s">
        <v>4428</v>
      </c>
      <c r="C4421" s="7" t="s">
        <v>6981</v>
      </c>
      <c r="D4421" s="7" t="s">
        <v>6295</v>
      </c>
      <c r="E4421" s="7" t="s">
        <v>6940</v>
      </c>
      <c r="F4421" s="7" t="s">
        <v>6943</v>
      </c>
      <c r="G4421" s="7" t="s">
        <v>7150</v>
      </c>
      <c r="H4421" s="7" t="s">
        <v>7156</v>
      </c>
      <c r="I4421" s="7"/>
      <c r="J4421" s="10">
        <v>44858</v>
      </c>
      <c r="K4421" s="7" t="s">
        <v>7165</v>
      </c>
      <c r="L4421" s="7"/>
      <c r="M4421" s="7"/>
    </row>
    <row r="4422" spans="1:13" x14ac:dyDescent="0.3">
      <c r="A4422" s="7">
        <v>113033</v>
      </c>
      <c r="B4422" s="7" t="s">
        <v>4429</v>
      </c>
      <c r="C4422" s="7" t="s">
        <v>6982</v>
      </c>
      <c r="D4422" s="7" t="s">
        <v>6295</v>
      </c>
      <c r="E4422" s="7" t="s">
        <v>6295</v>
      </c>
      <c r="F4422" s="7" t="s">
        <v>6939</v>
      </c>
      <c r="G4422" s="7" t="s">
        <v>7150</v>
      </c>
      <c r="H4422" s="7" t="s">
        <v>7156</v>
      </c>
      <c r="I4422" s="7"/>
      <c r="J4422" s="10">
        <v>42690</v>
      </c>
      <c r="K4422" s="7" t="s">
        <v>7165</v>
      </c>
      <c r="L4422" s="7"/>
      <c r="M4422" s="7"/>
    </row>
    <row r="4423" spans="1:13" x14ac:dyDescent="0.3">
      <c r="A4423" s="7">
        <v>280024</v>
      </c>
      <c r="B4423" s="7" t="s">
        <v>4430</v>
      </c>
      <c r="C4423" s="7" t="s">
        <v>6982</v>
      </c>
      <c r="D4423" s="7" t="s">
        <v>6295</v>
      </c>
      <c r="E4423" s="7" t="s">
        <v>6940</v>
      </c>
      <c r="F4423" s="7" t="s">
        <v>6980</v>
      </c>
      <c r="G4423" s="7" t="s">
        <v>7150</v>
      </c>
      <c r="H4423" s="7" t="s">
        <v>7156</v>
      </c>
      <c r="I4423" s="7"/>
      <c r="J4423" s="10">
        <v>42503</v>
      </c>
      <c r="K4423" s="7" t="s">
        <v>7165</v>
      </c>
      <c r="L4423" s="7"/>
      <c r="M4423" s="7"/>
    </row>
    <row r="4424" spans="1:13" x14ac:dyDescent="0.3">
      <c r="A4424" s="7">
        <v>280030</v>
      </c>
      <c r="B4424" s="7" t="s">
        <v>4431</v>
      </c>
      <c r="C4424" s="7" t="s">
        <v>6982</v>
      </c>
      <c r="D4424" s="7" t="s">
        <v>6295</v>
      </c>
      <c r="E4424" s="7" t="s">
        <v>6940</v>
      </c>
      <c r="F4424" s="7" t="s">
        <v>6941</v>
      </c>
      <c r="G4424" s="7" t="s">
        <v>7150</v>
      </c>
      <c r="H4424" s="7" t="s">
        <v>7156</v>
      </c>
      <c r="I4424" s="7"/>
      <c r="J4424" s="10">
        <v>43395</v>
      </c>
      <c r="K4424" s="7" t="s">
        <v>7165</v>
      </c>
      <c r="L4424" s="7"/>
      <c r="M4424" s="7"/>
    </row>
    <row r="4425" spans="1:13" x14ac:dyDescent="0.3">
      <c r="A4425" s="7">
        <v>270017</v>
      </c>
      <c r="B4425" s="7" t="s">
        <v>4432</v>
      </c>
      <c r="C4425" s="7" t="s">
        <v>6982</v>
      </c>
      <c r="D4425" s="7" t="s">
        <v>6295</v>
      </c>
      <c r="E4425" s="7" t="s">
        <v>6940</v>
      </c>
      <c r="F4425" s="7" t="s">
        <v>6958</v>
      </c>
      <c r="G4425" s="7" t="s">
        <v>7150</v>
      </c>
      <c r="H4425" s="7" t="s">
        <v>7156</v>
      </c>
      <c r="I4425" s="7"/>
      <c r="J4425" s="10">
        <v>36684</v>
      </c>
      <c r="K4425" s="7" t="s">
        <v>7165</v>
      </c>
      <c r="L4425" s="7"/>
      <c r="M4425" s="7"/>
    </row>
    <row r="4426" spans="1:13" x14ac:dyDescent="0.3">
      <c r="A4426" s="7">
        <v>14390</v>
      </c>
      <c r="B4426" s="7" t="s">
        <v>4433</v>
      </c>
      <c r="C4426" s="7" t="s">
        <v>6982</v>
      </c>
      <c r="D4426" s="7" t="s">
        <v>6295</v>
      </c>
      <c r="E4426" s="7" t="s">
        <v>6940</v>
      </c>
      <c r="F4426" s="7" t="s">
        <v>6949</v>
      </c>
      <c r="G4426" s="7" t="s">
        <v>7151</v>
      </c>
      <c r="H4426" s="7" t="s">
        <v>7156</v>
      </c>
      <c r="I4426" s="7"/>
      <c r="J4426" s="10">
        <v>44746</v>
      </c>
      <c r="K4426" s="7" t="s">
        <v>7165</v>
      </c>
      <c r="L4426" s="7"/>
      <c r="M4426" s="7"/>
    </row>
    <row r="4427" spans="1:13" x14ac:dyDescent="0.3">
      <c r="A4427" s="7">
        <v>13631</v>
      </c>
      <c r="B4427" s="7" t="s">
        <v>4434</v>
      </c>
      <c r="C4427" s="7" t="s">
        <v>6982</v>
      </c>
      <c r="D4427" s="7" t="s">
        <v>6295</v>
      </c>
      <c r="E4427" s="7" t="s">
        <v>6940</v>
      </c>
      <c r="F4427" s="7" t="s">
        <v>6983</v>
      </c>
      <c r="G4427" s="7" t="s">
        <v>7151</v>
      </c>
      <c r="H4427" s="7" t="s">
        <v>7157</v>
      </c>
      <c r="I4427" s="7"/>
      <c r="J4427" s="10">
        <v>44519</v>
      </c>
      <c r="K4427" s="7" t="s">
        <v>7165</v>
      </c>
      <c r="L4427" s="7"/>
      <c r="M4427" s="7"/>
    </row>
    <row r="4428" spans="1:13" x14ac:dyDescent="0.3">
      <c r="A4428" s="7">
        <v>280036</v>
      </c>
      <c r="B4428" s="7" t="s">
        <v>4435</v>
      </c>
      <c r="C4428" s="7" t="s">
        <v>6982</v>
      </c>
      <c r="D4428" s="7" t="s">
        <v>6295</v>
      </c>
      <c r="E4428" s="7" t="s">
        <v>6940</v>
      </c>
      <c r="F4428" s="7" t="s">
        <v>6943</v>
      </c>
      <c r="G4428" s="7" t="s">
        <v>7150</v>
      </c>
      <c r="H4428" s="7" t="s">
        <v>7156</v>
      </c>
      <c r="I4428" s="7"/>
      <c r="J4428" s="10">
        <v>44574</v>
      </c>
      <c r="K4428" s="7" t="s">
        <v>7165</v>
      </c>
      <c r="L4428" s="7"/>
      <c r="M4428" s="7"/>
    </row>
    <row r="4429" spans="1:13" x14ac:dyDescent="0.3">
      <c r="A4429" s="7">
        <v>14916</v>
      </c>
      <c r="B4429" s="7" t="s">
        <v>4436</v>
      </c>
      <c r="C4429" s="7" t="s">
        <v>6982</v>
      </c>
      <c r="D4429" s="7" t="s">
        <v>6295</v>
      </c>
      <c r="E4429" s="7" t="s">
        <v>6940</v>
      </c>
      <c r="F4429" s="7" t="s">
        <v>6943</v>
      </c>
      <c r="G4429" s="7" t="s">
        <v>7152</v>
      </c>
      <c r="H4429" s="7" t="s">
        <v>7156</v>
      </c>
      <c r="I4429" s="7"/>
      <c r="J4429" s="10">
        <v>44889</v>
      </c>
      <c r="K4429" s="7" t="s">
        <v>7165</v>
      </c>
      <c r="L4429" s="7"/>
      <c r="M4429" s="7"/>
    </row>
    <row r="4430" spans="1:13" x14ac:dyDescent="0.3">
      <c r="A4430" s="7">
        <v>16403</v>
      </c>
      <c r="B4430" s="7" t="s">
        <v>4437</v>
      </c>
      <c r="C4430" s="7" t="s">
        <v>6982</v>
      </c>
      <c r="D4430" s="7" t="s">
        <v>6295</v>
      </c>
      <c r="E4430" s="7" t="s">
        <v>6940</v>
      </c>
      <c r="F4430" s="7" t="s">
        <v>6983</v>
      </c>
      <c r="G4430" s="7" t="s">
        <v>7150</v>
      </c>
      <c r="H4430" s="7" t="s">
        <v>7157</v>
      </c>
      <c r="I4430" s="7"/>
      <c r="J4430" s="10">
        <v>45378</v>
      </c>
      <c r="K4430" s="7" t="s">
        <v>7165</v>
      </c>
      <c r="L4430" s="7"/>
      <c r="M4430" s="7"/>
    </row>
    <row r="4431" spans="1:13" x14ac:dyDescent="0.3">
      <c r="A4431" s="7">
        <v>16358</v>
      </c>
      <c r="B4431" s="7" t="s">
        <v>4438</v>
      </c>
      <c r="C4431" s="7" t="s">
        <v>6982</v>
      </c>
      <c r="D4431" s="7" t="s">
        <v>6295</v>
      </c>
      <c r="E4431" s="7" t="s">
        <v>6940</v>
      </c>
      <c r="F4431" s="7" t="s">
        <v>6949</v>
      </c>
      <c r="G4431" s="7" t="s">
        <v>7150</v>
      </c>
      <c r="H4431" s="7" t="s">
        <v>7156</v>
      </c>
      <c r="I4431" s="7"/>
      <c r="J4431" s="10">
        <v>45358</v>
      </c>
      <c r="K4431" s="7" t="s">
        <v>7165</v>
      </c>
      <c r="L4431" s="7"/>
      <c r="M4431" s="7"/>
    </row>
    <row r="4432" spans="1:13" x14ac:dyDescent="0.3">
      <c r="A4432" s="7">
        <v>17231</v>
      </c>
      <c r="B4432" s="7" t="s">
        <v>4439</v>
      </c>
      <c r="C4432" s="7" t="s">
        <v>6982</v>
      </c>
      <c r="D4432" s="7" t="s">
        <v>6295</v>
      </c>
      <c r="E4432" s="7" t="s">
        <v>6940</v>
      </c>
      <c r="F4432" s="7" t="s">
        <v>6949</v>
      </c>
      <c r="G4432" s="7" t="s">
        <v>7150</v>
      </c>
      <c r="H4432" s="7" t="s">
        <v>7156</v>
      </c>
      <c r="I4432" s="7"/>
      <c r="J4432" s="10">
        <v>45679</v>
      </c>
      <c r="K4432" s="7" t="s">
        <v>7165</v>
      </c>
      <c r="L4432" s="7"/>
      <c r="M4432" s="7"/>
    </row>
    <row r="4433" spans="1:13" x14ac:dyDescent="0.3">
      <c r="A4433" s="7">
        <v>420033</v>
      </c>
      <c r="B4433" s="7" t="s">
        <v>4440</v>
      </c>
      <c r="C4433" s="7" t="s">
        <v>6984</v>
      </c>
      <c r="D4433" s="7" t="s">
        <v>6295</v>
      </c>
      <c r="E4433" s="7" t="s">
        <v>6295</v>
      </c>
      <c r="F4433" s="7" t="s">
        <v>6939</v>
      </c>
      <c r="G4433" s="7" t="s">
        <v>7152</v>
      </c>
      <c r="H4433" s="7" t="s">
        <v>7156</v>
      </c>
      <c r="I4433" s="7"/>
      <c r="J4433" s="10">
        <v>42605</v>
      </c>
      <c r="K4433" s="7" t="s">
        <v>7165</v>
      </c>
      <c r="L4433" s="7"/>
      <c r="M4433" s="7"/>
    </row>
    <row r="4434" spans="1:13" x14ac:dyDescent="0.3">
      <c r="A4434" s="7">
        <v>300169</v>
      </c>
      <c r="B4434" s="7" t="s">
        <v>4441</v>
      </c>
      <c r="C4434" s="7" t="s">
        <v>6984</v>
      </c>
      <c r="D4434" s="7" t="s">
        <v>6295</v>
      </c>
      <c r="E4434" s="7" t="s">
        <v>6940</v>
      </c>
      <c r="F4434" s="7" t="s">
        <v>6941</v>
      </c>
      <c r="G4434" s="7" t="s">
        <v>7150</v>
      </c>
      <c r="H4434" s="7" t="s">
        <v>7156</v>
      </c>
      <c r="I4434" s="7"/>
      <c r="J4434" s="10">
        <v>43628</v>
      </c>
      <c r="K4434" s="7" t="s">
        <v>7165</v>
      </c>
      <c r="L4434" s="7"/>
      <c r="M4434" s="7"/>
    </row>
    <row r="4435" spans="1:13" x14ac:dyDescent="0.3">
      <c r="A4435" s="7">
        <v>205006</v>
      </c>
      <c r="B4435" s="7" t="s">
        <v>4442</v>
      </c>
      <c r="C4435" s="7" t="s">
        <v>6984</v>
      </c>
      <c r="D4435" s="7" t="s">
        <v>6295</v>
      </c>
      <c r="E4435" s="7" t="s">
        <v>6940</v>
      </c>
      <c r="F4435" s="7" t="s">
        <v>6941</v>
      </c>
      <c r="G4435" s="7" t="s">
        <v>7150</v>
      </c>
      <c r="H4435" s="7" t="s">
        <v>7156</v>
      </c>
      <c r="I4435" s="7"/>
      <c r="J4435" s="10">
        <v>44148</v>
      </c>
      <c r="K4435" s="7" t="s">
        <v>7165</v>
      </c>
      <c r="L4435" s="7"/>
      <c r="M4435" s="7"/>
    </row>
    <row r="4436" spans="1:13" x14ac:dyDescent="0.3">
      <c r="A4436" s="7">
        <v>14532</v>
      </c>
      <c r="B4436" s="7" t="s">
        <v>4443</v>
      </c>
      <c r="C4436" s="7" t="s">
        <v>6984</v>
      </c>
      <c r="D4436" s="7" t="s">
        <v>6295</v>
      </c>
      <c r="E4436" s="7" t="s">
        <v>6940</v>
      </c>
      <c r="F4436" s="7" t="s">
        <v>6943</v>
      </c>
      <c r="G4436" s="7" t="s">
        <v>7150</v>
      </c>
      <c r="H4436" s="7" t="s">
        <v>7156</v>
      </c>
      <c r="I4436" s="7"/>
      <c r="J4436" s="10">
        <v>44777</v>
      </c>
      <c r="K4436" s="7" t="s">
        <v>7165</v>
      </c>
      <c r="L4436" s="7"/>
      <c r="M4436" s="7"/>
    </row>
    <row r="4437" spans="1:13" x14ac:dyDescent="0.3">
      <c r="A4437" s="7">
        <v>280029</v>
      </c>
      <c r="B4437" s="7" t="s">
        <v>4444</v>
      </c>
      <c r="C4437" s="7" t="s">
        <v>6984</v>
      </c>
      <c r="D4437" s="7" t="s">
        <v>6295</v>
      </c>
      <c r="E4437" s="7" t="s">
        <v>6940</v>
      </c>
      <c r="F4437" s="7" t="s">
        <v>6943</v>
      </c>
      <c r="G4437" s="7" t="s">
        <v>7150</v>
      </c>
      <c r="H4437" s="7" t="s">
        <v>7156</v>
      </c>
      <c r="I4437" s="7"/>
      <c r="J4437" s="10">
        <v>43563</v>
      </c>
      <c r="K4437" s="7" t="s">
        <v>7165</v>
      </c>
      <c r="L4437" s="7"/>
      <c r="M4437" s="7"/>
    </row>
    <row r="4438" spans="1:13" x14ac:dyDescent="0.3">
      <c r="A4438" s="7">
        <v>12731</v>
      </c>
      <c r="B4438" s="7" t="s">
        <v>4445</v>
      </c>
      <c r="C4438" s="7" t="s">
        <v>6984</v>
      </c>
      <c r="D4438" s="7" t="s">
        <v>6295</v>
      </c>
      <c r="E4438" s="7" t="s">
        <v>6940</v>
      </c>
      <c r="F4438" s="7" t="s">
        <v>6949</v>
      </c>
      <c r="G4438" s="7" t="s">
        <v>7150</v>
      </c>
      <c r="H4438" s="7" t="s">
        <v>7156</v>
      </c>
      <c r="I4438" s="7"/>
      <c r="J4438" s="10">
        <v>43882</v>
      </c>
      <c r="K4438" s="7" t="s">
        <v>7165</v>
      </c>
      <c r="L4438" s="7"/>
      <c r="M4438" s="7"/>
    </row>
    <row r="4439" spans="1:13" x14ac:dyDescent="0.3">
      <c r="A4439" s="7">
        <v>10970</v>
      </c>
      <c r="B4439" s="7" t="s">
        <v>4446</v>
      </c>
      <c r="C4439" s="7" t="s">
        <v>6985</v>
      </c>
      <c r="D4439" s="7" t="s">
        <v>6295</v>
      </c>
      <c r="E4439" s="7" t="s">
        <v>6295</v>
      </c>
      <c r="F4439" s="7" t="s">
        <v>6939</v>
      </c>
      <c r="G4439" s="7" t="s">
        <v>7150</v>
      </c>
      <c r="H4439" s="7" t="s">
        <v>7156</v>
      </c>
      <c r="I4439" s="7"/>
      <c r="J4439" s="10">
        <v>42226</v>
      </c>
      <c r="K4439" s="7" t="s">
        <v>7165</v>
      </c>
      <c r="L4439" s="7"/>
      <c r="M4439" s="7"/>
    </row>
    <row r="4440" spans="1:13" x14ac:dyDescent="0.3">
      <c r="A4440" s="7">
        <v>230031</v>
      </c>
      <c r="B4440" s="7" t="s">
        <v>4447</v>
      </c>
      <c r="C4440" s="7" t="s">
        <v>6985</v>
      </c>
      <c r="D4440" s="7" t="s">
        <v>6295</v>
      </c>
      <c r="E4440" s="7" t="s">
        <v>6940</v>
      </c>
      <c r="F4440" s="7" t="s">
        <v>6980</v>
      </c>
      <c r="G4440" s="7" t="s">
        <v>7150</v>
      </c>
      <c r="H4440" s="7" t="s">
        <v>7156</v>
      </c>
      <c r="I4440" s="7"/>
      <c r="J4440" s="10">
        <v>42675</v>
      </c>
      <c r="K4440" s="7" t="s">
        <v>7165</v>
      </c>
      <c r="L4440" s="7"/>
      <c r="M4440" s="7"/>
    </row>
    <row r="4441" spans="1:13" x14ac:dyDescent="0.3">
      <c r="A4441" s="7">
        <v>15067</v>
      </c>
      <c r="B4441" s="7" t="s">
        <v>4448</v>
      </c>
      <c r="C4441" s="7" t="s">
        <v>6985</v>
      </c>
      <c r="D4441" s="7" t="s">
        <v>6295</v>
      </c>
      <c r="E4441" s="7" t="s">
        <v>6940</v>
      </c>
      <c r="F4441" s="7" t="s">
        <v>6986</v>
      </c>
      <c r="G4441" s="7" t="s">
        <v>7150</v>
      </c>
      <c r="H4441" s="7" t="s">
        <v>7156</v>
      </c>
      <c r="I4441" s="7"/>
      <c r="J4441" s="10">
        <v>44936</v>
      </c>
      <c r="K4441" s="7" t="s">
        <v>7165</v>
      </c>
      <c r="L4441" s="7"/>
      <c r="M4441" s="7"/>
    </row>
    <row r="4442" spans="1:13" x14ac:dyDescent="0.3">
      <c r="A4442" s="7">
        <v>137018</v>
      </c>
      <c r="B4442" s="7" t="s">
        <v>4449</v>
      </c>
      <c r="C4442" s="7" t="s">
        <v>6985</v>
      </c>
      <c r="D4442" s="7" t="s">
        <v>6295</v>
      </c>
      <c r="E4442" s="7" t="s">
        <v>6940</v>
      </c>
      <c r="F4442" s="7" t="s">
        <v>6986</v>
      </c>
      <c r="G4442" s="7" t="s">
        <v>7151</v>
      </c>
      <c r="H4442" s="7" t="s">
        <v>7156</v>
      </c>
      <c r="I4442" s="7"/>
      <c r="J4442" s="10">
        <v>44621</v>
      </c>
      <c r="K4442" s="7" t="s">
        <v>7165</v>
      </c>
      <c r="L4442" s="7"/>
      <c r="M4442" s="7"/>
    </row>
    <row r="4443" spans="1:13" x14ac:dyDescent="0.3">
      <c r="A4443" s="7">
        <v>15028</v>
      </c>
      <c r="B4443" s="7" t="s">
        <v>4450</v>
      </c>
      <c r="C4443" s="7" t="s">
        <v>6985</v>
      </c>
      <c r="D4443" s="7" t="s">
        <v>6295</v>
      </c>
      <c r="E4443" s="7" t="s">
        <v>6940</v>
      </c>
      <c r="F4443" s="7" t="s">
        <v>6986</v>
      </c>
      <c r="G4443" s="7" t="s">
        <v>7150</v>
      </c>
      <c r="H4443" s="7" t="s">
        <v>7156</v>
      </c>
      <c r="I4443" s="7"/>
      <c r="J4443" s="10">
        <v>44922</v>
      </c>
      <c r="K4443" s="7" t="s">
        <v>7165</v>
      </c>
      <c r="L4443" s="7"/>
      <c r="M4443" s="7"/>
    </row>
    <row r="4444" spans="1:13" x14ac:dyDescent="0.3">
      <c r="A4444" s="7">
        <v>15577</v>
      </c>
      <c r="B4444" s="7" t="s">
        <v>4451</v>
      </c>
      <c r="C4444" s="7" t="s">
        <v>6985</v>
      </c>
      <c r="D4444" s="7" t="s">
        <v>6295</v>
      </c>
      <c r="E4444" s="7" t="s">
        <v>6940</v>
      </c>
      <c r="F4444" s="7" t="s">
        <v>6986</v>
      </c>
      <c r="G4444" s="7" t="s">
        <v>7150</v>
      </c>
      <c r="H4444" s="7" t="s">
        <v>7156</v>
      </c>
      <c r="I4444" s="7"/>
      <c r="J4444" s="10">
        <v>45127</v>
      </c>
      <c r="K4444" s="7" t="s">
        <v>7165</v>
      </c>
      <c r="L4444" s="7"/>
      <c r="M4444" s="7"/>
    </row>
    <row r="4445" spans="1:13" x14ac:dyDescent="0.3">
      <c r="A4445" s="7">
        <v>15161</v>
      </c>
      <c r="B4445" s="7" t="s">
        <v>4452</v>
      </c>
      <c r="C4445" s="7" t="s">
        <v>6985</v>
      </c>
      <c r="D4445" s="7" t="s">
        <v>6295</v>
      </c>
      <c r="E4445" s="7" t="s">
        <v>6940</v>
      </c>
      <c r="F4445" s="7" t="s">
        <v>6987</v>
      </c>
      <c r="G4445" s="7" t="s">
        <v>7150</v>
      </c>
      <c r="H4445" s="7" t="s">
        <v>7156</v>
      </c>
      <c r="I4445" s="7"/>
      <c r="J4445" s="10">
        <v>44967</v>
      </c>
      <c r="K4445" s="7" t="s">
        <v>7165</v>
      </c>
      <c r="L4445" s="7"/>
      <c r="M4445" s="7"/>
    </row>
    <row r="4446" spans="1:13" x14ac:dyDescent="0.3">
      <c r="A4446" s="7">
        <v>17009</v>
      </c>
      <c r="B4446" s="7" t="s">
        <v>4453</v>
      </c>
      <c r="C4446" s="7" t="s">
        <v>6985</v>
      </c>
      <c r="D4446" s="7" t="s">
        <v>6295</v>
      </c>
      <c r="E4446" s="7" t="s">
        <v>6940</v>
      </c>
      <c r="F4446" s="7" t="s">
        <v>6987</v>
      </c>
      <c r="G4446" s="7" t="s">
        <v>7150</v>
      </c>
      <c r="H4446" s="7" t="s">
        <v>7156</v>
      </c>
      <c r="I4446" s="7"/>
      <c r="J4446" s="10">
        <v>45610</v>
      </c>
      <c r="K4446" s="7" t="s">
        <v>7165</v>
      </c>
      <c r="L4446" s="7"/>
      <c r="M4446" s="7"/>
    </row>
    <row r="4447" spans="1:13" x14ac:dyDescent="0.3">
      <c r="A4447" s="7">
        <v>15747</v>
      </c>
      <c r="B4447" s="7" t="s">
        <v>4454</v>
      </c>
      <c r="C4447" s="7" t="s">
        <v>6985</v>
      </c>
      <c r="D4447" s="7" t="s">
        <v>6295</v>
      </c>
      <c r="E4447" s="7" t="s">
        <v>6940</v>
      </c>
      <c r="F4447" s="7" t="s">
        <v>6979</v>
      </c>
      <c r="G4447" s="7" t="s">
        <v>7150</v>
      </c>
      <c r="H4447" s="7" t="s">
        <v>7156</v>
      </c>
      <c r="I4447" s="7"/>
      <c r="J4447" s="10">
        <v>45187</v>
      </c>
      <c r="K4447" s="7" t="s">
        <v>7165</v>
      </c>
      <c r="L4447" s="7"/>
      <c r="M4447" s="7"/>
    </row>
    <row r="4448" spans="1:13" x14ac:dyDescent="0.3">
      <c r="A4448" s="7">
        <v>16841</v>
      </c>
      <c r="B4448" s="7" t="s">
        <v>4455</v>
      </c>
      <c r="C4448" s="7" t="s">
        <v>6985</v>
      </c>
      <c r="D4448" s="7" t="s">
        <v>6295</v>
      </c>
      <c r="E4448" s="7" t="s">
        <v>6940</v>
      </c>
      <c r="F4448" s="7" t="s">
        <v>6988</v>
      </c>
      <c r="G4448" s="7" t="s">
        <v>7150</v>
      </c>
      <c r="H4448" s="7" t="s">
        <v>7156</v>
      </c>
      <c r="I4448" s="7"/>
      <c r="J4448" s="10">
        <v>45568</v>
      </c>
      <c r="K4448" s="7" t="s">
        <v>7165</v>
      </c>
      <c r="L4448" s="7"/>
      <c r="M4448" s="7"/>
    </row>
    <row r="4449" spans="1:13" x14ac:dyDescent="0.3">
      <c r="A4449" s="7">
        <v>17397</v>
      </c>
      <c r="B4449" s="7" t="s">
        <v>4456</v>
      </c>
      <c r="C4449" s="7" t="s">
        <v>6985</v>
      </c>
      <c r="D4449" s="7" t="s">
        <v>6295</v>
      </c>
      <c r="E4449" s="7" t="s">
        <v>6940</v>
      </c>
      <c r="F4449" s="7" t="s">
        <v>6989</v>
      </c>
      <c r="G4449" s="7" t="s">
        <v>7150</v>
      </c>
      <c r="H4449" s="7" t="s">
        <v>7156</v>
      </c>
      <c r="I4449" s="7"/>
      <c r="J4449" s="10">
        <v>45730</v>
      </c>
      <c r="K4449" s="7" t="s">
        <v>7165</v>
      </c>
      <c r="L4449" s="7"/>
      <c r="M4449" s="7"/>
    </row>
    <row r="4450" spans="1:13" x14ac:dyDescent="0.3">
      <c r="A4450" s="7">
        <v>130027</v>
      </c>
      <c r="B4450" s="7" t="s">
        <v>4457</v>
      </c>
      <c r="C4450" s="7" t="s">
        <v>6985</v>
      </c>
      <c r="D4450" s="7" t="s">
        <v>6295</v>
      </c>
      <c r="E4450" s="7" t="s">
        <v>6951</v>
      </c>
      <c r="F4450" s="7" t="s">
        <v>6398</v>
      </c>
      <c r="G4450" s="7" t="s">
        <v>7150</v>
      </c>
      <c r="H4450" s="7" t="s">
        <v>7156</v>
      </c>
      <c r="I4450" s="7"/>
      <c r="J4450" s="10">
        <v>36712</v>
      </c>
      <c r="K4450" s="7" t="s">
        <v>7165</v>
      </c>
      <c r="L4450" s="7"/>
      <c r="M4450" s="7"/>
    </row>
    <row r="4451" spans="1:13" x14ac:dyDescent="0.3">
      <c r="A4451" s="7">
        <v>320021</v>
      </c>
      <c r="B4451" s="7" t="s">
        <v>4458</v>
      </c>
      <c r="C4451" s="7" t="s">
        <v>6990</v>
      </c>
      <c r="D4451" s="7" t="s">
        <v>6295</v>
      </c>
      <c r="E4451" s="7" t="s">
        <v>6295</v>
      </c>
      <c r="F4451" s="7" t="s">
        <v>6939</v>
      </c>
      <c r="G4451" s="7" t="s">
        <v>7150</v>
      </c>
      <c r="H4451" s="7" t="s">
        <v>7156</v>
      </c>
      <c r="I4451" s="7"/>
      <c r="J4451" s="10">
        <v>42698</v>
      </c>
      <c r="K4451" s="7" t="s">
        <v>7165</v>
      </c>
      <c r="L4451" s="7"/>
      <c r="M4451" s="7"/>
    </row>
    <row r="4452" spans="1:13" x14ac:dyDescent="0.3">
      <c r="A4452" s="7">
        <v>250038</v>
      </c>
      <c r="B4452" s="7" t="s">
        <v>4459</v>
      </c>
      <c r="C4452" s="7" t="s">
        <v>6990</v>
      </c>
      <c r="D4452" s="7" t="s">
        <v>6295</v>
      </c>
      <c r="E4452" s="7" t="s">
        <v>6940</v>
      </c>
      <c r="F4452" s="7" t="s">
        <v>6498</v>
      </c>
      <c r="G4452" s="7" t="s">
        <v>7150</v>
      </c>
      <c r="H4452" s="7" t="s">
        <v>7156</v>
      </c>
      <c r="I4452" s="7"/>
      <c r="J4452" s="10">
        <v>43224</v>
      </c>
      <c r="K4452" s="7" t="s">
        <v>7165</v>
      </c>
      <c r="L4452" s="7"/>
      <c r="M4452" s="7"/>
    </row>
    <row r="4453" spans="1:13" x14ac:dyDescent="0.3">
      <c r="A4453" s="7">
        <v>300085</v>
      </c>
      <c r="B4453" s="7" t="s">
        <v>4460</v>
      </c>
      <c r="C4453" s="7" t="s">
        <v>6990</v>
      </c>
      <c r="D4453" s="7" t="s">
        <v>6295</v>
      </c>
      <c r="E4453" s="7" t="s">
        <v>6940</v>
      </c>
      <c r="F4453" s="7" t="s">
        <v>6980</v>
      </c>
      <c r="G4453" s="7" t="s">
        <v>7150</v>
      </c>
      <c r="H4453" s="7" t="s">
        <v>7156</v>
      </c>
      <c r="I4453" s="7"/>
      <c r="J4453" s="10">
        <v>42898</v>
      </c>
      <c r="K4453" s="7" t="s">
        <v>7165</v>
      </c>
      <c r="L4453" s="7"/>
      <c r="M4453" s="7"/>
    </row>
    <row r="4454" spans="1:13" x14ac:dyDescent="0.3">
      <c r="A4454" s="7">
        <v>670039</v>
      </c>
      <c r="B4454" s="7" t="s">
        <v>4461</v>
      </c>
      <c r="C4454" s="7" t="s">
        <v>6990</v>
      </c>
      <c r="D4454" s="7" t="s">
        <v>6295</v>
      </c>
      <c r="E4454" s="7" t="s">
        <v>6940</v>
      </c>
      <c r="F4454" s="7" t="s">
        <v>6980</v>
      </c>
      <c r="G4454" s="7" t="s">
        <v>7150</v>
      </c>
      <c r="H4454" s="7" t="s">
        <v>7156</v>
      </c>
      <c r="I4454" s="7"/>
      <c r="J4454" s="10">
        <v>43160</v>
      </c>
      <c r="K4454" s="7" t="s">
        <v>7165</v>
      </c>
      <c r="L4454" s="7"/>
      <c r="M4454" s="7"/>
    </row>
    <row r="4455" spans="1:13" x14ac:dyDescent="0.3">
      <c r="A4455" s="7">
        <v>870024</v>
      </c>
      <c r="B4455" s="7" t="s">
        <v>4462</v>
      </c>
      <c r="C4455" s="7" t="s">
        <v>6990</v>
      </c>
      <c r="D4455" s="7" t="s">
        <v>6295</v>
      </c>
      <c r="E4455" s="7" t="s">
        <v>6940</v>
      </c>
      <c r="F4455" s="7" t="s">
        <v>6980</v>
      </c>
      <c r="G4455" s="7" t="s">
        <v>7150</v>
      </c>
      <c r="H4455" s="7" t="s">
        <v>7156</v>
      </c>
      <c r="I4455" s="7"/>
      <c r="J4455" s="10">
        <v>41983</v>
      </c>
      <c r="K4455" s="7" t="s">
        <v>7165</v>
      </c>
      <c r="L4455" s="7"/>
      <c r="M4455" s="7"/>
    </row>
    <row r="4456" spans="1:13" x14ac:dyDescent="0.3">
      <c r="A4456" s="7">
        <v>460033</v>
      </c>
      <c r="B4456" s="7" t="s">
        <v>4463</v>
      </c>
      <c r="C4456" s="7" t="s">
        <v>6990</v>
      </c>
      <c r="D4456" s="7" t="s">
        <v>6295</v>
      </c>
      <c r="E4456" s="7" t="s">
        <v>6940</v>
      </c>
      <c r="F4456" s="7" t="s">
        <v>6980</v>
      </c>
      <c r="G4456" s="7" t="s">
        <v>7150</v>
      </c>
      <c r="H4456" s="7" t="s">
        <v>7156</v>
      </c>
      <c r="I4456" s="7"/>
      <c r="J4456" s="10">
        <v>43675</v>
      </c>
      <c r="K4456" s="7" t="s">
        <v>7165</v>
      </c>
      <c r="L4456" s="7"/>
      <c r="M4456" s="7"/>
    </row>
    <row r="4457" spans="1:13" x14ac:dyDescent="0.3">
      <c r="A4457" s="7">
        <v>270040</v>
      </c>
      <c r="B4457" s="7" t="s">
        <v>4464</v>
      </c>
      <c r="C4457" s="7" t="s">
        <v>6990</v>
      </c>
      <c r="D4457" s="7" t="s">
        <v>6295</v>
      </c>
      <c r="E4457" s="7" t="s">
        <v>6940</v>
      </c>
      <c r="F4457" s="7" t="s">
        <v>6980</v>
      </c>
      <c r="G4457" s="7" t="s">
        <v>7150</v>
      </c>
      <c r="H4457" s="7" t="s">
        <v>7156</v>
      </c>
      <c r="I4457" s="7"/>
      <c r="J4457" s="10">
        <v>43339</v>
      </c>
      <c r="K4457" s="7" t="s">
        <v>7165</v>
      </c>
      <c r="L4457" s="7"/>
      <c r="M4457" s="7"/>
    </row>
    <row r="4458" spans="1:13" x14ac:dyDescent="0.3">
      <c r="A4458" s="7">
        <v>870029</v>
      </c>
      <c r="B4458" s="7" t="s">
        <v>4465</v>
      </c>
      <c r="C4458" s="7" t="s">
        <v>6990</v>
      </c>
      <c r="D4458" s="7" t="s">
        <v>6295</v>
      </c>
      <c r="E4458" s="7" t="s">
        <v>6940</v>
      </c>
      <c r="F4458" s="7" t="s">
        <v>6980</v>
      </c>
      <c r="G4458" s="7" t="s">
        <v>7150</v>
      </c>
      <c r="H4458" s="7" t="s">
        <v>7156</v>
      </c>
      <c r="I4458" s="7"/>
      <c r="J4458" s="10">
        <v>43430</v>
      </c>
      <c r="K4458" s="7" t="s">
        <v>7165</v>
      </c>
      <c r="L4458" s="7"/>
      <c r="M4458" s="7"/>
    </row>
    <row r="4459" spans="1:13" x14ac:dyDescent="0.3">
      <c r="A4459" s="7">
        <v>160037</v>
      </c>
      <c r="B4459" s="7" t="s">
        <v>4466</v>
      </c>
      <c r="C4459" s="7" t="s">
        <v>6990</v>
      </c>
      <c r="D4459" s="7" t="s">
        <v>6295</v>
      </c>
      <c r="E4459" s="7" t="s">
        <v>6940</v>
      </c>
      <c r="F4459" s="7" t="s">
        <v>6980</v>
      </c>
      <c r="G4459" s="7" t="s">
        <v>7150</v>
      </c>
      <c r="H4459" s="7" t="s">
        <v>7156</v>
      </c>
      <c r="I4459" s="7"/>
      <c r="J4459" s="10">
        <v>42592</v>
      </c>
      <c r="K4459" s="7" t="s">
        <v>7165</v>
      </c>
      <c r="L4459" s="7"/>
      <c r="M4459" s="7"/>
    </row>
    <row r="4460" spans="1:13" x14ac:dyDescent="0.3">
      <c r="A4460" s="7">
        <v>190051</v>
      </c>
      <c r="B4460" s="7" t="s">
        <v>4467</v>
      </c>
      <c r="C4460" s="7" t="s">
        <v>6990</v>
      </c>
      <c r="D4460" s="7" t="s">
        <v>6295</v>
      </c>
      <c r="E4460" s="7" t="s">
        <v>6940</v>
      </c>
      <c r="F4460" s="7" t="s">
        <v>6980</v>
      </c>
      <c r="G4460" s="7" t="s">
        <v>7150</v>
      </c>
      <c r="H4460" s="7" t="s">
        <v>7156</v>
      </c>
      <c r="I4460" s="7"/>
      <c r="J4460" s="10">
        <v>44617</v>
      </c>
      <c r="K4460" s="7" t="s">
        <v>7165</v>
      </c>
      <c r="L4460" s="7"/>
      <c r="M4460" s="7"/>
    </row>
    <row r="4461" spans="1:13" x14ac:dyDescent="0.3">
      <c r="A4461" s="7">
        <v>14243</v>
      </c>
      <c r="B4461" s="7" t="s">
        <v>4468</v>
      </c>
      <c r="C4461" s="7" t="s">
        <v>6990</v>
      </c>
      <c r="D4461" s="7" t="s">
        <v>6295</v>
      </c>
      <c r="E4461" s="7" t="s">
        <v>6940</v>
      </c>
      <c r="F4461" s="7" t="s">
        <v>6986</v>
      </c>
      <c r="G4461" s="7" t="s">
        <v>7150</v>
      </c>
      <c r="H4461" s="7" t="s">
        <v>7156</v>
      </c>
      <c r="I4461" s="7"/>
      <c r="J4461" s="10">
        <v>44705</v>
      </c>
      <c r="K4461" s="7" t="s">
        <v>7165</v>
      </c>
      <c r="L4461" s="7"/>
      <c r="M4461" s="7"/>
    </row>
    <row r="4462" spans="1:13" x14ac:dyDescent="0.3">
      <c r="A4462" s="7">
        <v>660038</v>
      </c>
      <c r="B4462" s="7" t="s">
        <v>4469</v>
      </c>
      <c r="C4462" s="7" t="s">
        <v>6990</v>
      </c>
      <c r="D4462" s="7" t="s">
        <v>6295</v>
      </c>
      <c r="E4462" s="7" t="s">
        <v>6940</v>
      </c>
      <c r="F4462" s="7" t="s">
        <v>6980</v>
      </c>
      <c r="G4462" s="7" t="s">
        <v>7150</v>
      </c>
      <c r="H4462" s="7" t="s">
        <v>7156</v>
      </c>
      <c r="I4462" s="7"/>
      <c r="J4462" s="10">
        <v>43383</v>
      </c>
      <c r="K4462" s="7" t="s">
        <v>7165</v>
      </c>
      <c r="L4462" s="7"/>
      <c r="M4462" s="7"/>
    </row>
    <row r="4463" spans="1:13" x14ac:dyDescent="0.3">
      <c r="A4463" s="7">
        <v>15233</v>
      </c>
      <c r="B4463" s="7" t="s">
        <v>4470</v>
      </c>
      <c r="C4463" s="7" t="s">
        <v>6990</v>
      </c>
      <c r="D4463" s="7" t="s">
        <v>6295</v>
      </c>
      <c r="E4463" s="7" t="s">
        <v>6940</v>
      </c>
      <c r="F4463" s="7" t="s">
        <v>6986</v>
      </c>
      <c r="G4463" s="7" t="s">
        <v>7150</v>
      </c>
      <c r="H4463" s="7" t="s">
        <v>7156</v>
      </c>
      <c r="I4463" s="7"/>
      <c r="J4463" s="10">
        <v>44995</v>
      </c>
      <c r="K4463" s="7" t="s">
        <v>7165</v>
      </c>
      <c r="L4463" s="7"/>
      <c r="M4463" s="7"/>
    </row>
    <row r="4464" spans="1:13" x14ac:dyDescent="0.3">
      <c r="A4464" s="7">
        <v>17093</v>
      </c>
      <c r="B4464" s="7" t="s">
        <v>4471</v>
      </c>
      <c r="C4464" s="7" t="s">
        <v>6990</v>
      </c>
      <c r="D4464" s="7" t="s">
        <v>6295</v>
      </c>
      <c r="E4464" s="7" t="s">
        <v>6940</v>
      </c>
      <c r="F4464" s="7" t="s">
        <v>6986</v>
      </c>
      <c r="G4464" s="7" t="s">
        <v>7150</v>
      </c>
      <c r="H4464" s="7" t="s">
        <v>7156</v>
      </c>
      <c r="I4464" s="7"/>
      <c r="J4464" s="10">
        <v>45628</v>
      </c>
      <c r="K4464" s="7" t="s">
        <v>7165</v>
      </c>
      <c r="L4464" s="7"/>
      <c r="M4464" s="7"/>
    </row>
    <row r="4465" spans="1:13" x14ac:dyDescent="0.3">
      <c r="A4465" s="7">
        <v>15383</v>
      </c>
      <c r="B4465" s="7" t="s">
        <v>4472</v>
      </c>
      <c r="C4465" s="7" t="s">
        <v>6990</v>
      </c>
      <c r="D4465" s="7" t="s">
        <v>6295</v>
      </c>
      <c r="E4465" s="7" t="s">
        <v>6940</v>
      </c>
      <c r="F4465" s="7" t="s">
        <v>6987</v>
      </c>
      <c r="G4465" s="7" t="s">
        <v>7150</v>
      </c>
      <c r="H4465" s="7" t="s">
        <v>7156</v>
      </c>
      <c r="I4465" s="7"/>
      <c r="J4465" s="10">
        <v>45050</v>
      </c>
      <c r="K4465" s="7" t="s">
        <v>7165</v>
      </c>
      <c r="L4465" s="7"/>
      <c r="M4465" s="7"/>
    </row>
    <row r="4466" spans="1:13" x14ac:dyDescent="0.3">
      <c r="A4466" s="7">
        <v>250051</v>
      </c>
      <c r="B4466" s="7" t="s">
        <v>4473</v>
      </c>
      <c r="C4466" s="7" t="s">
        <v>6990</v>
      </c>
      <c r="D4466" s="7" t="s">
        <v>6295</v>
      </c>
      <c r="E4466" s="7" t="s">
        <v>6940</v>
      </c>
      <c r="F4466" s="7" t="s">
        <v>6987</v>
      </c>
      <c r="G4466" s="7" t="s">
        <v>7150</v>
      </c>
      <c r="H4466" s="7" t="s">
        <v>7156</v>
      </c>
      <c r="I4466" s="7"/>
      <c r="J4466" s="10">
        <v>44594</v>
      </c>
      <c r="K4466" s="7" t="s">
        <v>7165</v>
      </c>
      <c r="L4466" s="7"/>
      <c r="M4466" s="7"/>
    </row>
    <row r="4467" spans="1:13" x14ac:dyDescent="0.3">
      <c r="A4467" s="7">
        <v>17142</v>
      </c>
      <c r="B4467" s="7" t="s">
        <v>4474</v>
      </c>
      <c r="C4467" s="7" t="s">
        <v>6990</v>
      </c>
      <c r="D4467" s="7" t="s">
        <v>6295</v>
      </c>
      <c r="E4467" s="7" t="s">
        <v>6940</v>
      </c>
      <c r="F4467" s="7" t="s">
        <v>6987</v>
      </c>
      <c r="G4467" s="7" t="s">
        <v>7150</v>
      </c>
      <c r="H4467" s="7" t="s">
        <v>7156</v>
      </c>
      <c r="I4467" s="7"/>
      <c r="J4467" s="10">
        <v>45646</v>
      </c>
      <c r="K4467" s="7" t="s">
        <v>7165</v>
      </c>
      <c r="L4467" s="7"/>
      <c r="M4467" s="7"/>
    </row>
    <row r="4468" spans="1:13" x14ac:dyDescent="0.3">
      <c r="A4468" s="7">
        <v>300058</v>
      </c>
      <c r="B4468" s="7" t="s">
        <v>4475</v>
      </c>
      <c r="C4468" s="7" t="s">
        <v>6990</v>
      </c>
      <c r="D4468" s="7" t="s">
        <v>6295</v>
      </c>
      <c r="E4468" s="7" t="s">
        <v>6940</v>
      </c>
      <c r="F4468" s="7" t="s">
        <v>6991</v>
      </c>
      <c r="G4468" s="7" t="s">
        <v>7150</v>
      </c>
      <c r="H4468" s="7" t="s">
        <v>7156</v>
      </c>
      <c r="I4468" s="7"/>
      <c r="J4468" s="10">
        <v>42781</v>
      </c>
      <c r="K4468" s="7" t="s">
        <v>7165</v>
      </c>
      <c r="L4468" s="7"/>
      <c r="M4468" s="7"/>
    </row>
    <row r="4469" spans="1:13" x14ac:dyDescent="0.3">
      <c r="A4469" s="7">
        <v>15294</v>
      </c>
      <c r="B4469" s="7" t="s">
        <v>4476</v>
      </c>
      <c r="C4469" s="7" t="s">
        <v>6990</v>
      </c>
      <c r="D4469" s="7" t="s">
        <v>6295</v>
      </c>
      <c r="E4469" s="7" t="s">
        <v>6940</v>
      </c>
      <c r="F4469" s="7" t="s">
        <v>6988</v>
      </c>
      <c r="G4469" s="7" t="s">
        <v>7150</v>
      </c>
      <c r="H4469" s="7" t="s">
        <v>7156</v>
      </c>
      <c r="I4469" s="7"/>
      <c r="J4469" s="10">
        <v>45012</v>
      </c>
      <c r="K4469" s="7" t="s">
        <v>7165</v>
      </c>
      <c r="L4469" s="7"/>
      <c r="M4469" s="7"/>
    </row>
    <row r="4470" spans="1:13" x14ac:dyDescent="0.3">
      <c r="A4470" s="7">
        <v>16336</v>
      </c>
      <c r="B4470" s="7" t="s">
        <v>4477</v>
      </c>
      <c r="C4470" s="7" t="s">
        <v>6990</v>
      </c>
      <c r="D4470" s="7" t="s">
        <v>6295</v>
      </c>
      <c r="E4470" s="7" t="s">
        <v>6940</v>
      </c>
      <c r="F4470" s="7" t="s">
        <v>6988</v>
      </c>
      <c r="G4470" s="7" t="s">
        <v>7150</v>
      </c>
      <c r="H4470" s="7" t="s">
        <v>7156</v>
      </c>
      <c r="I4470" s="7"/>
      <c r="J4470" s="10">
        <v>45356</v>
      </c>
      <c r="K4470" s="7" t="s">
        <v>7165</v>
      </c>
      <c r="L4470" s="7"/>
      <c r="M4470" s="7"/>
    </row>
    <row r="4471" spans="1:13" x14ac:dyDescent="0.3">
      <c r="A4471" s="7">
        <v>270024</v>
      </c>
      <c r="B4471" s="7" t="s">
        <v>4478</v>
      </c>
      <c r="C4471" s="7" t="s">
        <v>6990</v>
      </c>
      <c r="D4471" s="7" t="s">
        <v>6295</v>
      </c>
      <c r="E4471" s="7" t="s">
        <v>6940</v>
      </c>
      <c r="F4471" s="7" t="s">
        <v>6941</v>
      </c>
      <c r="G4471" s="7" t="s">
        <v>7150</v>
      </c>
      <c r="H4471" s="7" t="s">
        <v>7156</v>
      </c>
      <c r="I4471" s="7"/>
      <c r="J4471" s="10">
        <v>38355</v>
      </c>
      <c r="K4471" s="7" t="s">
        <v>7165</v>
      </c>
      <c r="L4471" s="7"/>
      <c r="M4471" s="7"/>
    </row>
    <row r="4472" spans="1:13" x14ac:dyDescent="0.3">
      <c r="A4472" s="7">
        <v>590019</v>
      </c>
      <c r="B4472" s="7" t="s">
        <v>4479</v>
      </c>
      <c r="C4472" s="7" t="s">
        <v>6990</v>
      </c>
      <c r="D4472" s="7" t="s">
        <v>6295</v>
      </c>
      <c r="E4472" s="7" t="s">
        <v>6940</v>
      </c>
      <c r="F4472" s="7" t="s">
        <v>6949</v>
      </c>
      <c r="G4472" s="7" t="s">
        <v>7150</v>
      </c>
      <c r="H4472" s="7" t="s">
        <v>7156</v>
      </c>
      <c r="I4472" s="7"/>
      <c r="J4472" s="10">
        <v>43209</v>
      </c>
      <c r="K4472" s="7" t="s">
        <v>7165</v>
      </c>
      <c r="L4472" s="7"/>
      <c r="M4472" s="7"/>
    </row>
    <row r="4473" spans="1:13" x14ac:dyDescent="0.3">
      <c r="A4473" s="7">
        <v>15309</v>
      </c>
      <c r="B4473" s="7" t="s">
        <v>4480</v>
      </c>
      <c r="C4473" s="7" t="s">
        <v>6990</v>
      </c>
      <c r="D4473" s="7" t="s">
        <v>6295</v>
      </c>
      <c r="E4473" s="7" t="s">
        <v>6940</v>
      </c>
      <c r="F4473" s="7" t="s">
        <v>6992</v>
      </c>
      <c r="G4473" s="7" t="s">
        <v>7151</v>
      </c>
      <c r="H4473" s="7" t="s">
        <v>7156</v>
      </c>
      <c r="I4473" s="7"/>
      <c r="J4473" s="10">
        <v>45023</v>
      </c>
      <c r="K4473" s="7" t="s">
        <v>7165</v>
      </c>
      <c r="L4473" s="7"/>
      <c r="M4473" s="7"/>
    </row>
    <row r="4474" spans="1:13" x14ac:dyDescent="0.3">
      <c r="A4474" s="7">
        <v>18472</v>
      </c>
      <c r="B4474" s="7" t="s">
        <v>4481</v>
      </c>
      <c r="C4474" s="7" t="s">
        <v>6990</v>
      </c>
      <c r="D4474" s="7" t="s">
        <v>6295</v>
      </c>
      <c r="E4474" s="7" t="s">
        <v>6940</v>
      </c>
      <c r="F4474" s="7" t="s">
        <v>6993</v>
      </c>
      <c r="G4474" s="7" t="s">
        <v>7150</v>
      </c>
      <c r="H4474" s="7" t="s">
        <v>7157</v>
      </c>
      <c r="I4474" s="7"/>
      <c r="J4474" s="10">
        <v>46135</v>
      </c>
      <c r="K4474" s="7" t="s">
        <v>7165</v>
      </c>
      <c r="L4474" s="7"/>
      <c r="M4474" s="7"/>
    </row>
    <row r="4475" spans="1:13" x14ac:dyDescent="0.3">
      <c r="A4475" s="7">
        <v>15994</v>
      </c>
      <c r="B4475" s="7" t="s">
        <v>4482</v>
      </c>
      <c r="C4475" s="7" t="s">
        <v>6990</v>
      </c>
      <c r="D4475" s="7" t="s">
        <v>6295</v>
      </c>
      <c r="E4475" s="7" t="s">
        <v>6994</v>
      </c>
      <c r="F4475" s="7" t="s">
        <v>6498</v>
      </c>
      <c r="G4475" s="7" t="s">
        <v>7150</v>
      </c>
      <c r="H4475" s="7" t="s">
        <v>7156</v>
      </c>
      <c r="I4475" s="7"/>
      <c r="J4475" s="10">
        <v>45258</v>
      </c>
      <c r="K4475" s="7" t="s">
        <v>7165</v>
      </c>
      <c r="L4475" s="7"/>
      <c r="M4475" s="7"/>
    </row>
    <row r="4476" spans="1:13" x14ac:dyDescent="0.3">
      <c r="A4476" s="7">
        <v>14152</v>
      </c>
      <c r="B4476" s="7" t="s">
        <v>4483</v>
      </c>
      <c r="C4476" s="7" t="s">
        <v>6990</v>
      </c>
      <c r="D4476" s="7" t="s">
        <v>6295</v>
      </c>
      <c r="E4476" s="7" t="s">
        <v>6994</v>
      </c>
      <c r="F4476" s="7" t="s">
        <v>6340</v>
      </c>
      <c r="G4476" s="7" t="s">
        <v>7150</v>
      </c>
      <c r="H4476" s="7" t="s">
        <v>7156</v>
      </c>
      <c r="I4476" s="7"/>
      <c r="J4476" s="10">
        <v>44676</v>
      </c>
      <c r="K4476" s="7" t="s">
        <v>7165</v>
      </c>
      <c r="L4476" s="7"/>
      <c r="M4476" s="7"/>
    </row>
    <row r="4477" spans="1:13" x14ac:dyDescent="0.3">
      <c r="A4477" s="7">
        <v>16521</v>
      </c>
      <c r="B4477" s="7" t="s">
        <v>4484</v>
      </c>
      <c r="C4477" s="7" t="s">
        <v>6990</v>
      </c>
      <c r="D4477" s="7" t="s">
        <v>6295</v>
      </c>
      <c r="E4477" s="7" t="s">
        <v>6994</v>
      </c>
      <c r="F4477" s="7" t="s">
        <v>6341</v>
      </c>
      <c r="G4477" s="7" t="s">
        <v>7150</v>
      </c>
      <c r="H4477" s="7" t="s">
        <v>7156</v>
      </c>
      <c r="I4477" s="7"/>
      <c r="J4477" s="10">
        <v>45463</v>
      </c>
      <c r="K4477" s="7" t="s">
        <v>7165</v>
      </c>
      <c r="L4477" s="7"/>
      <c r="M4477" s="7"/>
    </row>
    <row r="4478" spans="1:13" x14ac:dyDescent="0.3">
      <c r="A4478" s="7">
        <v>17422</v>
      </c>
      <c r="B4478" s="7" t="s">
        <v>4485</v>
      </c>
      <c r="C4478" s="7" t="s">
        <v>6990</v>
      </c>
      <c r="D4478" s="7" t="s">
        <v>6295</v>
      </c>
      <c r="E4478" s="7" t="s">
        <v>6994</v>
      </c>
      <c r="F4478" s="7" t="s">
        <v>6341</v>
      </c>
      <c r="G4478" s="7" t="s">
        <v>7150</v>
      </c>
      <c r="H4478" s="7" t="s">
        <v>7156</v>
      </c>
      <c r="I4478" s="7"/>
      <c r="J4478" s="10">
        <v>45751</v>
      </c>
      <c r="K4478" s="7" t="s">
        <v>7165</v>
      </c>
      <c r="L4478" s="7"/>
      <c r="M4478" s="7"/>
    </row>
    <row r="4479" spans="1:13" x14ac:dyDescent="0.3">
      <c r="A4479" s="7">
        <v>17982</v>
      </c>
      <c r="B4479" s="7" t="s">
        <v>4486</v>
      </c>
      <c r="C4479" s="7" t="s">
        <v>6990</v>
      </c>
      <c r="D4479" s="7" t="s">
        <v>6295</v>
      </c>
      <c r="E4479" s="7" t="s">
        <v>6994</v>
      </c>
      <c r="F4479" s="7" t="s">
        <v>6348</v>
      </c>
      <c r="G4479" s="7" t="s">
        <v>7150</v>
      </c>
      <c r="H4479" s="7" t="s">
        <v>7156</v>
      </c>
      <c r="I4479" s="7"/>
      <c r="J4479" s="10">
        <v>45947</v>
      </c>
      <c r="K4479" s="7" t="s">
        <v>7165</v>
      </c>
      <c r="L4479" s="7"/>
      <c r="M4479" s="7"/>
    </row>
    <row r="4480" spans="1:13" x14ac:dyDescent="0.3">
      <c r="A4480" s="7">
        <v>250042</v>
      </c>
      <c r="B4480" s="7" t="s">
        <v>4487</v>
      </c>
      <c r="C4480" s="7" t="s">
        <v>6990</v>
      </c>
      <c r="D4480" s="7" t="s">
        <v>6295</v>
      </c>
      <c r="E4480" s="7" t="s">
        <v>6951</v>
      </c>
      <c r="F4480" s="7" t="s">
        <v>6398</v>
      </c>
      <c r="G4480" s="7" t="s">
        <v>7150</v>
      </c>
      <c r="H4480" s="7" t="s">
        <v>7156</v>
      </c>
      <c r="I4480" s="7"/>
      <c r="J4480" s="10">
        <v>43640</v>
      </c>
      <c r="K4480" s="7" t="s">
        <v>7165</v>
      </c>
      <c r="L4480" s="7"/>
      <c r="M4480" s="7"/>
    </row>
    <row r="4481" spans="1:13" x14ac:dyDescent="0.3">
      <c r="A4481" s="7">
        <v>11210</v>
      </c>
      <c r="B4481" s="7" t="s">
        <v>4488</v>
      </c>
      <c r="C4481" s="7" t="s">
        <v>6995</v>
      </c>
      <c r="D4481" s="7" t="s">
        <v>6295</v>
      </c>
      <c r="E4481" s="7" t="s">
        <v>6295</v>
      </c>
      <c r="F4481" s="7" t="s">
        <v>6939</v>
      </c>
      <c r="G4481" s="7" t="s">
        <v>7150</v>
      </c>
      <c r="H4481" s="7" t="s">
        <v>7156</v>
      </c>
      <c r="I4481" s="7"/>
      <c r="J4481" s="10">
        <v>42417</v>
      </c>
      <c r="K4481" s="7" t="s">
        <v>7165</v>
      </c>
      <c r="L4481" s="7"/>
      <c r="M4481" s="7"/>
    </row>
    <row r="4482" spans="1:13" x14ac:dyDescent="0.3">
      <c r="A4482" s="7">
        <v>620029</v>
      </c>
      <c r="B4482" s="7" t="s">
        <v>4489</v>
      </c>
      <c r="C4482" s="7" t="s">
        <v>6995</v>
      </c>
      <c r="D4482" s="7" t="s">
        <v>6295</v>
      </c>
      <c r="E4482" s="7" t="s">
        <v>6940</v>
      </c>
      <c r="F4482" s="7" t="s">
        <v>6991</v>
      </c>
      <c r="G4482" s="7" t="s">
        <v>7150</v>
      </c>
      <c r="H4482" s="7" t="s">
        <v>7156</v>
      </c>
      <c r="I4482" s="7"/>
      <c r="J4482" s="10">
        <v>43573</v>
      </c>
      <c r="K4482" s="7" t="s">
        <v>7165</v>
      </c>
      <c r="L4482" s="7"/>
      <c r="M4482" s="7"/>
    </row>
    <row r="4483" spans="1:13" x14ac:dyDescent="0.3">
      <c r="A4483" s="7">
        <v>17908</v>
      </c>
      <c r="B4483" s="7" t="s">
        <v>4490</v>
      </c>
      <c r="C4483" s="7" t="s">
        <v>6995</v>
      </c>
      <c r="D4483" s="7" t="s">
        <v>6295</v>
      </c>
      <c r="E4483" s="7" t="s">
        <v>6940</v>
      </c>
      <c r="F4483" s="7" t="s">
        <v>6988</v>
      </c>
      <c r="G4483" s="7" t="s">
        <v>7150</v>
      </c>
      <c r="H4483" s="7" t="s">
        <v>7156</v>
      </c>
      <c r="I4483" s="7"/>
      <c r="J4483" s="10">
        <v>45911</v>
      </c>
      <c r="K4483" s="7" t="s">
        <v>7165</v>
      </c>
      <c r="L4483" s="7"/>
      <c r="M4483" s="7"/>
    </row>
    <row r="4484" spans="1:13" x14ac:dyDescent="0.3">
      <c r="A4484" s="7">
        <v>20044</v>
      </c>
      <c r="B4484" s="7" t="s">
        <v>4491</v>
      </c>
      <c r="C4484" s="7" t="s">
        <v>6995</v>
      </c>
      <c r="D4484" s="7" t="s">
        <v>6295</v>
      </c>
      <c r="E4484" s="7" t="s">
        <v>6940</v>
      </c>
      <c r="F4484" s="7" t="s">
        <v>6996</v>
      </c>
      <c r="G4484" s="7" t="s">
        <v>7150</v>
      </c>
      <c r="H4484" s="7" t="s">
        <v>7156</v>
      </c>
      <c r="I4484" s="7"/>
      <c r="J4484" s="10">
        <v>43692</v>
      </c>
      <c r="K4484" s="7" t="s">
        <v>7165</v>
      </c>
      <c r="L4484" s="7"/>
      <c r="M4484" s="7"/>
    </row>
    <row r="4485" spans="1:13" x14ac:dyDescent="0.3">
      <c r="A4485" s="7">
        <v>180038</v>
      </c>
      <c r="B4485" s="7" t="s">
        <v>4492</v>
      </c>
      <c r="C4485" s="7" t="s">
        <v>6995</v>
      </c>
      <c r="D4485" s="7" t="s">
        <v>6295</v>
      </c>
      <c r="E4485" s="7" t="s">
        <v>6940</v>
      </c>
      <c r="F4485" s="7" t="s">
        <v>6980</v>
      </c>
      <c r="G4485" s="7" t="s">
        <v>7150</v>
      </c>
      <c r="H4485" s="7" t="s">
        <v>7156</v>
      </c>
      <c r="I4485" s="7"/>
      <c r="J4485" s="10">
        <v>42685</v>
      </c>
      <c r="K4485" s="7" t="s">
        <v>7165</v>
      </c>
      <c r="L4485" s="7"/>
      <c r="M4485" s="7"/>
    </row>
    <row r="4486" spans="1:13" x14ac:dyDescent="0.3">
      <c r="A4486" s="7">
        <v>300182</v>
      </c>
      <c r="B4486" s="7" t="s">
        <v>4493</v>
      </c>
      <c r="C4486" s="7" t="s">
        <v>6995</v>
      </c>
      <c r="D4486" s="7" t="s">
        <v>6295</v>
      </c>
      <c r="E4486" s="7" t="s">
        <v>6940</v>
      </c>
      <c r="F4486" s="7" t="s">
        <v>6980</v>
      </c>
      <c r="G4486" s="7" t="s">
        <v>7150</v>
      </c>
      <c r="H4486" s="7" t="s">
        <v>7156</v>
      </c>
      <c r="I4486" s="7"/>
      <c r="J4486" s="10">
        <v>43731</v>
      </c>
      <c r="K4486" s="7" t="s">
        <v>7165</v>
      </c>
      <c r="L4486" s="7"/>
      <c r="M4486" s="7"/>
    </row>
    <row r="4487" spans="1:13" x14ac:dyDescent="0.3">
      <c r="A4487" s="7">
        <v>160019</v>
      </c>
      <c r="B4487" s="7" t="s">
        <v>4494</v>
      </c>
      <c r="C4487" s="7" t="s">
        <v>6995</v>
      </c>
      <c r="D4487" s="7" t="s">
        <v>6295</v>
      </c>
      <c r="E4487" s="7" t="s">
        <v>6940</v>
      </c>
      <c r="F4487" s="7" t="s">
        <v>6986</v>
      </c>
      <c r="G4487" s="7" t="s">
        <v>7150</v>
      </c>
      <c r="H4487" s="7" t="s">
        <v>7156</v>
      </c>
      <c r="I4487" s="7"/>
      <c r="J4487" s="10">
        <v>39351</v>
      </c>
      <c r="K4487" s="7" t="s">
        <v>7165</v>
      </c>
      <c r="L4487" s="7"/>
      <c r="M4487" s="7"/>
    </row>
    <row r="4488" spans="1:13" x14ac:dyDescent="0.3">
      <c r="A4488" s="7">
        <v>17132</v>
      </c>
      <c r="B4488" s="7" t="s">
        <v>4495</v>
      </c>
      <c r="C4488" s="7" t="s">
        <v>6995</v>
      </c>
      <c r="D4488" s="7" t="s">
        <v>6295</v>
      </c>
      <c r="E4488" s="7" t="s">
        <v>6940</v>
      </c>
      <c r="F4488" s="7" t="s">
        <v>6989</v>
      </c>
      <c r="G4488" s="7" t="s">
        <v>7150</v>
      </c>
      <c r="H4488" s="7" t="s">
        <v>7156</v>
      </c>
      <c r="I4488" s="7"/>
      <c r="J4488" s="10">
        <v>45644</v>
      </c>
      <c r="K4488" s="7" t="s">
        <v>7165</v>
      </c>
      <c r="L4488" s="7"/>
      <c r="M4488" s="7"/>
    </row>
    <row r="4489" spans="1:13" x14ac:dyDescent="0.3">
      <c r="A4489" s="7">
        <v>15810</v>
      </c>
      <c r="B4489" s="7" t="s">
        <v>4496</v>
      </c>
      <c r="C4489" s="7" t="s">
        <v>6995</v>
      </c>
      <c r="D4489" s="7" t="s">
        <v>6295</v>
      </c>
      <c r="E4489" s="7" t="s">
        <v>6951</v>
      </c>
      <c r="F4489" s="7" t="s">
        <v>6398</v>
      </c>
      <c r="G4489" s="7" t="s">
        <v>7150</v>
      </c>
      <c r="H4489" s="7" t="s">
        <v>7156</v>
      </c>
      <c r="I4489" s="7"/>
      <c r="J4489" s="10">
        <v>45201</v>
      </c>
      <c r="K4489" s="7" t="s">
        <v>7165</v>
      </c>
      <c r="L4489" s="7"/>
      <c r="M4489" s="7"/>
    </row>
    <row r="4490" spans="1:13" x14ac:dyDescent="0.3">
      <c r="A4490" s="7">
        <v>500002</v>
      </c>
      <c r="B4490" s="7" t="s">
        <v>4497</v>
      </c>
      <c r="C4490" s="7" t="s">
        <v>6997</v>
      </c>
      <c r="D4490" s="7" t="s">
        <v>6295</v>
      </c>
      <c r="E4490" s="7" t="s">
        <v>6295</v>
      </c>
      <c r="F4490" s="7" t="s">
        <v>6939</v>
      </c>
      <c r="G4490" s="7" t="s">
        <v>7150</v>
      </c>
      <c r="H4490" s="7" t="s">
        <v>7156</v>
      </c>
      <c r="I4490" s="7"/>
      <c r="J4490" s="10">
        <v>40851</v>
      </c>
      <c r="K4490" s="7" t="s">
        <v>7165</v>
      </c>
      <c r="L4490" s="7"/>
      <c r="M4490" s="7"/>
    </row>
    <row r="4491" spans="1:13" x14ac:dyDescent="0.3">
      <c r="A4491" s="7">
        <v>980003</v>
      </c>
      <c r="B4491" s="7" t="s">
        <v>4498</v>
      </c>
      <c r="C4491" s="7" t="s">
        <v>6997</v>
      </c>
      <c r="D4491" s="7" t="s">
        <v>6295</v>
      </c>
      <c r="E4491" s="7" t="s">
        <v>6940</v>
      </c>
      <c r="F4491" s="7" t="s">
        <v>6991</v>
      </c>
      <c r="G4491" s="7" t="s">
        <v>7150</v>
      </c>
      <c r="H4491" s="7" t="s">
        <v>7156</v>
      </c>
      <c r="I4491" s="7"/>
      <c r="J4491" s="10">
        <v>40452</v>
      </c>
      <c r="K4491" s="7" t="s">
        <v>7165</v>
      </c>
      <c r="L4491" s="7"/>
      <c r="M4491" s="7"/>
    </row>
    <row r="4492" spans="1:13" x14ac:dyDescent="0.3">
      <c r="A4492" s="7">
        <v>17773</v>
      </c>
      <c r="B4492" s="7" t="s">
        <v>4499</v>
      </c>
      <c r="C4492" s="7" t="s">
        <v>6997</v>
      </c>
      <c r="D4492" s="7" t="s">
        <v>6295</v>
      </c>
      <c r="E4492" s="7" t="s">
        <v>6940</v>
      </c>
      <c r="F4492" s="7" t="s">
        <v>6988</v>
      </c>
      <c r="G4492" s="7" t="s">
        <v>7150</v>
      </c>
      <c r="H4492" s="7" t="s">
        <v>7156</v>
      </c>
      <c r="I4492" s="7"/>
      <c r="J4492" s="10">
        <v>45875</v>
      </c>
      <c r="K4492" s="7" t="s">
        <v>7165</v>
      </c>
      <c r="L4492" s="7"/>
      <c r="M4492" s="7"/>
    </row>
    <row r="4493" spans="1:13" x14ac:dyDescent="0.3">
      <c r="A4493" s="7">
        <v>150024</v>
      </c>
      <c r="B4493" s="7" t="s">
        <v>4500</v>
      </c>
      <c r="C4493" s="7" t="s">
        <v>6997</v>
      </c>
      <c r="D4493" s="7" t="s">
        <v>6295</v>
      </c>
      <c r="E4493" s="7" t="s">
        <v>6940</v>
      </c>
      <c r="F4493" s="7" t="s">
        <v>6498</v>
      </c>
      <c r="G4493" s="7" t="s">
        <v>7150</v>
      </c>
      <c r="H4493" s="7" t="s">
        <v>7156</v>
      </c>
      <c r="I4493" s="7"/>
      <c r="J4493" s="10">
        <v>41745</v>
      </c>
      <c r="K4493" s="7" t="s">
        <v>7165</v>
      </c>
      <c r="L4493" s="7"/>
      <c r="M4493" s="7"/>
    </row>
    <row r="4494" spans="1:13" x14ac:dyDescent="0.3">
      <c r="A4494" s="7">
        <v>170045</v>
      </c>
      <c r="B4494" s="7" t="s">
        <v>4501</v>
      </c>
      <c r="C4494" s="7" t="s">
        <v>6997</v>
      </c>
      <c r="D4494" s="7" t="s">
        <v>6295</v>
      </c>
      <c r="E4494" s="7" t="s">
        <v>6940</v>
      </c>
      <c r="F4494" s="7" t="s">
        <v>6980</v>
      </c>
      <c r="G4494" s="7" t="s">
        <v>7150</v>
      </c>
      <c r="H4494" s="7" t="s">
        <v>7156</v>
      </c>
      <c r="I4494" s="7"/>
      <c r="J4494" s="10">
        <v>44607</v>
      </c>
      <c r="K4494" s="7" t="s">
        <v>7165</v>
      </c>
      <c r="L4494" s="7"/>
      <c r="M4494" s="7"/>
    </row>
    <row r="4495" spans="1:13" x14ac:dyDescent="0.3">
      <c r="A4495" s="7">
        <v>300179</v>
      </c>
      <c r="B4495" s="7" t="s">
        <v>4502</v>
      </c>
      <c r="C4495" s="7" t="s">
        <v>6997</v>
      </c>
      <c r="D4495" s="7" t="s">
        <v>6295</v>
      </c>
      <c r="E4495" s="7" t="s">
        <v>6940</v>
      </c>
      <c r="F4495" s="7" t="s">
        <v>6980</v>
      </c>
      <c r="G4495" s="7" t="s">
        <v>7150</v>
      </c>
      <c r="H4495" s="7" t="s">
        <v>7156</v>
      </c>
      <c r="I4495" s="7"/>
      <c r="J4495" s="10">
        <v>43717</v>
      </c>
      <c r="K4495" s="7" t="s">
        <v>7165</v>
      </c>
      <c r="L4495" s="7"/>
      <c r="M4495" s="7"/>
    </row>
    <row r="4496" spans="1:13" x14ac:dyDescent="0.3">
      <c r="A4496" s="7">
        <v>470042</v>
      </c>
      <c r="B4496" s="7" t="s">
        <v>4503</v>
      </c>
      <c r="C4496" s="7" t="s">
        <v>6997</v>
      </c>
      <c r="D4496" s="7" t="s">
        <v>6295</v>
      </c>
      <c r="E4496" s="7" t="s">
        <v>6940</v>
      </c>
      <c r="F4496" s="7" t="s">
        <v>6980</v>
      </c>
      <c r="G4496" s="7" t="s">
        <v>7152</v>
      </c>
      <c r="H4496" s="7" t="s">
        <v>7156</v>
      </c>
      <c r="I4496" s="7"/>
      <c r="J4496" s="10">
        <v>43824</v>
      </c>
      <c r="K4496" s="7" t="s">
        <v>7165</v>
      </c>
      <c r="L4496" s="7"/>
      <c r="M4496" s="7"/>
    </row>
    <row r="4497" spans="1:13" x14ac:dyDescent="0.3">
      <c r="A4497" s="7">
        <v>14626</v>
      </c>
      <c r="B4497" s="7" t="s">
        <v>4504</v>
      </c>
      <c r="C4497" s="7" t="s">
        <v>6997</v>
      </c>
      <c r="D4497" s="7" t="s">
        <v>6295</v>
      </c>
      <c r="E4497" s="7" t="s">
        <v>6940</v>
      </c>
      <c r="F4497" s="7" t="s">
        <v>6986</v>
      </c>
      <c r="G4497" s="7" t="s">
        <v>7150</v>
      </c>
      <c r="H4497" s="7" t="s">
        <v>7156</v>
      </c>
      <c r="I4497" s="7"/>
      <c r="J4497" s="10">
        <v>44810</v>
      </c>
      <c r="K4497" s="7" t="s">
        <v>7165</v>
      </c>
      <c r="L4497" s="7"/>
      <c r="M4497" s="7"/>
    </row>
    <row r="4498" spans="1:13" x14ac:dyDescent="0.3">
      <c r="A4498" s="7">
        <v>550029</v>
      </c>
      <c r="B4498" s="7" t="s">
        <v>4505</v>
      </c>
      <c r="C4498" s="7" t="s">
        <v>6997</v>
      </c>
      <c r="D4498" s="7" t="s">
        <v>6295</v>
      </c>
      <c r="E4498" s="7" t="s">
        <v>6940</v>
      </c>
      <c r="F4498" s="7" t="s">
        <v>6986</v>
      </c>
      <c r="G4498" s="7" t="s">
        <v>7150</v>
      </c>
      <c r="H4498" s="7" t="s">
        <v>7156</v>
      </c>
      <c r="I4498" s="7"/>
      <c r="J4498" s="10">
        <v>42500</v>
      </c>
      <c r="K4498" s="7" t="s">
        <v>7165</v>
      </c>
      <c r="L4498" s="7"/>
      <c r="M4498" s="7"/>
    </row>
    <row r="4499" spans="1:13" x14ac:dyDescent="0.3">
      <c r="A4499" s="7">
        <v>440053</v>
      </c>
      <c r="B4499" s="7" t="s">
        <v>4506</v>
      </c>
      <c r="C4499" s="7" t="s">
        <v>6997</v>
      </c>
      <c r="D4499" s="7" t="s">
        <v>6295</v>
      </c>
      <c r="E4499" s="7" t="s">
        <v>6940</v>
      </c>
      <c r="F4499" s="7" t="s">
        <v>6980</v>
      </c>
      <c r="G4499" s="7" t="s">
        <v>7150</v>
      </c>
      <c r="H4499" s="7" t="s">
        <v>7156</v>
      </c>
      <c r="I4499" s="7"/>
      <c r="J4499" s="10">
        <v>44587</v>
      </c>
      <c r="K4499" s="7" t="s">
        <v>7165</v>
      </c>
      <c r="L4499" s="7"/>
      <c r="M4499" s="7"/>
    </row>
    <row r="4500" spans="1:13" x14ac:dyDescent="0.3">
      <c r="A4500" s="7">
        <v>14300</v>
      </c>
      <c r="B4500" s="7" t="s">
        <v>4507</v>
      </c>
      <c r="C4500" s="7" t="s">
        <v>6997</v>
      </c>
      <c r="D4500" s="7" t="s">
        <v>6295</v>
      </c>
      <c r="E4500" s="7" t="s">
        <v>6940</v>
      </c>
      <c r="F4500" s="7" t="s">
        <v>6986</v>
      </c>
      <c r="G4500" s="7" t="s">
        <v>7150</v>
      </c>
      <c r="H4500" s="7" t="s">
        <v>7156</v>
      </c>
      <c r="I4500" s="7"/>
      <c r="J4500" s="10">
        <v>44720</v>
      </c>
      <c r="K4500" s="7" t="s">
        <v>7165</v>
      </c>
      <c r="L4500" s="7"/>
      <c r="M4500" s="7"/>
    </row>
    <row r="4501" spans="1:13" x14ac:dyDescent="0.3">
      <c r="A4501" s="7">
        <v>300241</v>
      </c>
      <c r="B4501" s="7" t="s">
        <v>4508</v>
      </c>
      <c r="C4501" s="7" t="s">
        <v>6997</v>
      </c>
      <c r="D4501" s="7" t="s">
        <v>6295</v>
      </c>
      <c r="E4501" s="7" t="s">
        <v>6940</v>
      </c>
      <c r="F4501" s="7" t="s">
        <v>6987</v>
      </c>
      <c r="G4501" s="7" t="s">
        <v>7152</v>
      </c>
      <c r="H4501" s="7" t="s">
        <v>7156</v>
      </c>
      <c r="I4501" s="7"/>
      <c r="J4501" s="10">
        <v>44536</v>
      </c>
      <c r="K4501" s="7" t="s">
        <v>7165</v>
      </c>
      <c r="L4501" s="7"/>
      <c r="M4501" s="7"/>
    </row>
    <row r="4502" spans="1:13" x14ac:dyDescent="0.3">
      <c r="A4502" s="7">
        <v>18340</v>
      </c>
      <c r="B4502" s="7" t="s">
        <v>4509</v>
      </c>
      <c r="C4502" s="7" t="s">
        <v>6997</v>
      </c>
      <c r="D4502" s="7" t="s">
        <v>6295</v>
      </c>
      <c r="E4502" s="7" t="s">
        <v>6940</v>
      </c>
      <c r="F4502" s="7" t="s">
        <v>6998</v>
      </c>
      <c r="G4502" s="7" t="s">
        <v>7150</v>
      </c>
      <c r="H4502" s="7" t="s">
        <v>7156</v>
      </c>
      <c r="I4502" s="7"/>
      <c r="J4502" s="10">
        <v>46097</v>
      </c>
      <c r="K4502" s="7" t="s">
        <v>7165</v>
      </c>
      <c r="L4502" s="7"/>
      <c r="M4502" s="7"/>
    </row>
    <row r="4503" spans="1:13" x14ac:dyDescent="0.3">
      <c r="A4503" s="7">
        <v>930005</v>
      </c>
      <c r="B4503" s="7" t="s">
        <v>4510</v>
      </c>
      <c r="C4503" s="7" t="s">
        <v>6997</v>
      </c>
      <c r="D4503" s="7" t="s">
        <v>6295</v>
      </c>
      <c r="E4503" s="7" t="s">
        <v>6951</v>
      </c>
      <c r="F4503" s="7" t="s">
        <v>6398</v>
      </c>
      <c r="G4503" s="7" t="s">
        <v>7150</v>
      </c>
      <c r="H4503" s="7" t="s">
        <v>7156</v>
      </c>
      <c r="I4503" s="7"/>
      <c r="J4503" s="10">
        <v>44537</v>
      </c>
      <c r="K4503" s="7" t="s">
        <v>7165</v>
      </c>
      <c r="L4503" s="7"/>
      <c r="M4503" s="7"/>
    </row>
    <row r="4504" spans="1:13" x14ac:dyDescent="0.3">
      <c r="A4504" s="7">
        <v>14518</v>
      </c>
      <c r="B4504" s="7" t="s">
        <v>4511</v>
      </c>
      <c r="C4504" s="7" t="s">
        <v>6997</v>
      </c>
      <c r="D4504" s="7" t="s">
        <v>6295</v>
      </c>
      <c r="E4504" s="7" t="s">
        <v>6994</v>
      </c>
      <c r="F4504" s="7" t="s">
        <v>6498</v>
      </c>
      <c r="G4504" s="7" t="s">
        <v>7150</v>
      </c>
      <c r="H4504" s="7" t="s">
        <v>7156</v>
      </c>
      <c r="I4504" s="7"/>
      <c r="J4504" s="10">
        <v>44776</v>
      </c>
      <c r="K4504" s="7" t="s">
        <v>7165</v>
      </c>
      <c r="L4504" s="7"/>
      <c r="M4504" s="7"/>
    </row>
    <row r="4505" spans="1:13" x14ac:dyDescent="0.3">
      <c r="A4505" s="7">
        <v>930011</v>
      </c>
      <c r="B4505" s="7" t="s">
        <v>4512</v>
      </c>
      <c r="C4505" s="7" t="s">
        <v>6997</v>
      </c>
      <c r="D4505" s="7" t="s">
        <v>6295</v>
      </c>
      <c r="E4505" s="7" t="s">
        <v>6994</v>
      </c>
      <c r="F4505" s="7" t="s">
        <v>6353</v>
      </c>
      <c r="G4505" s="7" t="s">
        <v>7150</v>
      </c>
      <c r="H4505" s="7" t="s">
        <v>7156</v>
      </c>
      <c r="I4505" s="7"/>
      <c r="J4505" s="10">
        <v>44608</v>
      </c>
      <c r="K4505" s="7" t="s">
        <v>7165</v>
      </c>
      <c r="L4505" s="7"/>
      <c r="M4505" s="7"/>
    </row>
    <row r="4506" spans="1:13" x14ac:dyDescent="0.3">
      <c r="A4506" s="7">
        <v>12389</v>
      </c>
      <c r="B4506" s="7" t="s">
        <v>4513</v>
      </c>
      <c r="C4506" s="7" t="s">
        <v>6997</v>
      </c>
      <c r="D4506" s="7" t="s">
        <v>6295</v>
      </c>
      <c r="E4506" s="7" t="s">
        <v>6994</v>
      </c>
      <c r="F4506" s="7" t="s">
        <v>6353</v>
      </c>
      <c r="G4506" s="7" t="s">
        <v>7150</v>
      </c>
      <c r="H4506" s="7" t="s">
        <v>7156</v>
      </c>
      <c r="I4506" s="7"/>
      <c r="J4506" s="10">
        <v>43727</v>
      </c>
      <c r="K4506" s="7" t="s">
        <v>7165</v>
      </c>
      <c r="L4506" s="7"/>
      <c r="M4506" s="7"/>
    </row>
    <row r="4507" spans="1:13" x14ac:dyDescent="0.3">
      <c r="A4507" s="7">
        <v>930008</v>
      </c>
      <c r="B4507" s="7" t="s">
        <v>4514</v>
      </c>
      <c r="C4507" s="7" t="s">
        <v>6997</v>
      </c>
      <c r="D4507" s="7" t="s">
        <v>6295</v>
      </c>
      <c r="E4507" s="7" t="s">
        <v>6994</v>
      </c>
      <c r="F4507" s="7" t="s">
        <v>6353</v>
      </c>
      <c r="G4507" s="7" t="s">
        <v>7150</v>
      </c>
      <c r="H4507" s="7" t="s">
        <v>7156</v>
      </c>
      <c r="I4507" s="7"/>
      <c r="J4507" s="10">
        <v>44567</v>
      </c>
      <c r="K4507" s="7" t="s">
        <v>7165</v>
      </c>
      <c r="L4507" s="7"/>
      <c r="M4507" s="7"/>
    </row>
    <row r="4508" spans="1:13" x14ac:dyDescent="0.3">
      <c r="A4508" s="7">
        <v>17680</v>
      </c>
      <c r="B4508" s="7" t="s">
        <v>4515</v>
      </c>
      <c r="C4508" s="7" t="s">
        <v>6997</v>
      </c>
      <c r="D4508" s="7" t="s">
        <v>6295</v>
      </c>
      <c r="E4508" s="7" t="s">
        <v>6994</v>
      </c>
      <c r="F4508" s="7" t="s">
        <v>6341</v>
      </c>
      <c r="G4508" s="7" t="s">
        <v>7150</v>
      </c>
      <c r="H4508" s="7" t="s">
        <v>7156</v>
      </c>
      <c r="I4508" s="7"/>
      <c r="J4508" s="10">
        <v>45842</v>
      </c>
      <c r="K4508" s="7" t="s">
        <v>7165</v>
      </c>
      <c r="L4508" s="7"/>
      <c r="M4508" s="7"/>
    </row>
    <row r="4509" spans="1:13" x14ac:dyDescent="0.3">
      <c r="A4509" s="7">
        <v>11829</v>
      </c>
      <c r="B4509" s="7" t="s">
        <v>4516</v>
      </c>
      <c r="C4509" s="7" t="s">
        <v>6999</v>
      </c>
      <c r="D4509" s="7" t="s">
        <v>6295</v>
      </c>
      <c r="E4509" s="7" t="s">
        <v>6295</v>
      </c>
      <c r="F4509" s="7" t="s">
        <v>6939</v>
      </c>
      <c r="G4509" s="7" t="s">
        <v>7150</v>
      </c>
      <c r="H4509" s="7" t="s">
        <v>7156</v>
      </c>
      <c r="I4509" s="7"/>
      <c r="J4509" s="10">
        <v>43168</v>
      </c>
      <c r="K4509" s="7" t="s">
        <v>7165</v>
      </c>
      <c r="L4509" s="7"/>
      <c r="M4509" s="7"/>
    </row>
    <row r="4510" spans="1:13" x14ac:dyDescent="0.3">
      <c r="A4510" s="7">
        <v>220024</v>
      </c>
      <c r="B4510" s="7" t="s">
        <v>4517</v>
      </c>
      <c r="C4510" s="7" t="s">
        <v>6999</v>
      </c>
      <c r="D4510" s="7" t="s">
        <v>6295</v>
      </c>
      <c r="E4510" s="7" t="s">
        <v>6940</v>
      </c>
      <c r="F4510" s="7" t="s">
        <v>6498</v>
      </c>
      <c r="G4510" s="7" t="s">
        <v>7150</v>
      </c>
      <c r="H4510" s="7" t="s">
        <v>7156</v>
      </c>
      <c r="I4510" s="7"/>
      <c r="J4510" s="10">
        <v>42604</v>
      </c>
      <c r="K4510" s="7" t="s">
        <v>7165</v>
      </c>
      <c r="L4510" s="7"/>
      <c r="M4510" s="7"/>
    </row>
    <row r="4511" spans="1:13" x14ac:dyDescent="0.3">
      <c r="A4511" s="7">
        <v>420037</v>
      </c>
      <c r="B4511" s="7" t="s">
        <v>4518</v>
      </c>
      <c r="C4511" s="7" t="s">
        <v>6999</v>
      </c>
      <c r="D4511" s="7" t="s">
        <v>6295</v>
      </c>
      <c r="E4511" s="7" t="s">
        <v>6940</v>
      </c>
      <c r="F4511" s="7" t="s">
        <v>6991</v>
      </c>
      <c r="G4511" s="7" t="s">
        <v>7150</v>
      </c>
      <c r="H4511" s="7" t="s">
        <v>7156</v>
      </c>
      <c r="I4511" s="7"/>
      <c r="J4511" s="10">
        <v>42772</v>
      </c>
      <c r="K4511" s="7" t="s">
        <v>7165</v>
      </c>
      <c r="L4511" s="7"/>
      <c r="M4511" s="7"/>
    </row>
    <row r="4512" spans="1:13" x14ac:dyDescent="0.3">
      <c r="A4512" s="7">
        <v>15159</v>
      </c>
      <c r="B4512" s="7" t="s">
        <v>4519</v>
      </c>
      <c r="C4512" s="7" t="s">
        <v>6999</v>
      </c>
      <c r="D4512" s="7" t="s">
        <v>6295</v>
      </c>
      <c r="E4512" s="7" t="s">
        <v>6940</v>
      </c>
      <c r="F4512" s="7" t="s">
        <v>6979</v>
      </c>
      <c r="G4512" s="7" t="s">
        <v>7150</v>
      </c>
      <c r="H4512" s="7" t="s">
        <v>7156</v>
      </c>
      <c r="I4512" s="7"/>
      <c r="J4512" s="10">
        <v>44967</v>
      </c>
      <c r="K4512" s="7" t="s">
        <v>7165</v>
      </c>
      <c r="L4512" s="7"/>
      <c r="M4512" s="7"/>
    </row>
    <row r="4513" spans="1:13" x14ac:dyDescent="0.3">
      <c r="A4513" s="7">
        <v>18070</v>
      </c>
      <c r="B4513" s="7" t="s">
        <v>4520</v>
      </c>
      <c r="C4513" s="7" t="s">
        <v>6999</v>
      </c>
      <c r="D4513" s="7" t="s">
        <v>6295</v>
      </c>
      <c r="E4513" s="7" t="s">
        <v>6940</v>
      </c>
      <c r="F4513" s="7" t="s">
        <v>6988</v>
      </c>
      <c r="G4513" s="7" t="s">
        <v>7150</v>
      </c>
      <c r="H4513" s="7" t="s">
        <v>7156</v>
      </c>
      <c r="I4513" s="7"/>
      <c r="J4513" s="10">
        <v>45982</v>
      </c>
      <c r="K4513" s="7" t="s">
        <v>7165</v>
      </c>
      <c r="L4513" s="7"/>
      <c r="M4513" s="7"/>
    </row>
    <row r="4514" spans="1:13" x14ac:dyDescent="0.3">
      <c r="A4514" s="7">
        <v>300153</v>
      </c>
      <c r="B4514" s="7" t="s">
        <v>4521</v>
      </c>
      <c r="C4514" s="7" t="s">
        <v>6999</v>
      </c>
      <c r="D4514" s="7" t="s">
        <v>6295</v>
      </c>
      <c r="E4514" s="7" t="s">
        <v>6940</v>
      </c>
      <c r="F4514" s="7" t="s">
        <v>6980</v>
      </c>
      <c r="G4514" s="7" t="s">
        <v>7150</v>
      </c>
      <c r="H4514" s="7" t="s">
        <v>7156</v>
      </c>
      <c r="I4514" s="7"/>
      <c r="J4514" s="10">
        <v>43493</v>
      </c>
      <c r="K4514" s="7" t="s">
        <v>7165</v>
      </c>
      <c r="L4514" s="7"/>
      <c r="M4514" s="7"/>
    </row>
    <row r="4515" spans="1:13" x14ac:dyDescent="0.3">
      <c r="A4515" s="7">
        <v>670033</v>
      </c>
      <c r="B4515" s="7" t="s">
        <v>4522</v>
      </c>
      <c r="C4515" s="7" t="s">
        <v>6999</v>
      </c>
      <c r="D4515" s="7" t="s">
        <v>6295</v>
      </c>
      <c r="E4515" s="7" t="s">
        <v>6940</v>
      </c>
      <c r="F4515" s="7" t="s">
        <v>6980</v>
      </c>
      <c r="G4515" s="7" t="s">
        <v>7150</v>
      </c>
      <c r="H4515" s="7" t="s">
        <v>7156</v>
      </c>
      <c r="I4515" s="7"/>
      <c r="J4515" s="10">
        <v>42562</v>
      </c>
      <c r="K4515" s="7" t="s">
        <v>7165</v>
      </c>
      <c r="L4515" s="7"/>
      <c r="M4515" s="7"/>
    </row>
    <row r="4516" spans="1:13" x14ac:dyDescent="0.3">
      <c r="A4516" s="7">
        <v>300067</v>
      </c>
      <c r="B4516" s="7" t="s">
        <v>4523</v>
      </c>
      <c r="C4516" s="7" t="s">
        <v>6999</v>
      </c>
      <c r="D4516" s="7" t="s">
        <v>6295</v>
      </c>
      <c r="E4516" s="7" t="s">
        <v>6940</v>
      </c>
      <c r="F4516" s="7" t="s">
        <v>6980</v>
      </c>
      <c r="G4516" s="7" t="s">
        <v>7150</v>
      </c>
      <c r="H4516" s="7" t="s">
        <v>7156</v>
      </c>
      <c r="I4516" s="7"/>
      <c r="J4516" s="10">
        <v>42809</v>
      </c>
      <c r="K4516" s="7" t="s">
        <v>7165</v>
      </c>
      <c r="L4516" s="7"/>
      <c r="M4516" s="7"/>
    </row>
    <row r="4517" spans="1:13" x14ac:dyDescent="0.3">
      <c r="A4517" s="7">
        <v>180042</v>
      </c>
      <c r="B4517" s="7" t="s">
        <v>4524</v>
      </c>
      <c r="C4517" s="7" t="s">
        <v>6999</v>
      </c>
      <c r="D4517" s="7" t="s">
        <v>6295</v>
      </c>
      <c r="E4517" s="7" t="s">
        <v>6940</v>
      </c>
      <c r="F4517" s="7" t="s">
        <v>6980</v>
      </c>
      <c r="G4517" s="7" t="s">
        <v>7150</v>
      </c>
      <c r="H4517" s="7" t="s">
        <v>7156</v>
      </c>
      <c r="I4517" s="7"/>
      <c r="J4517" s="10">
        <v>42709</v>
      </c>
      <c r="K4517" s="7" t="s">
        <v>7165</v>
      </c>
      <c r="L4517" s="7"/>
      <c r="M4517" s="7"/>
    </row>
    <row r="4518" spans="1:13" x14ac:dyDescent="0.3">
      <c r="A4518" s="7">
        <v>400031</v>
      </c>
      <c r="B4518" s="7" t="s">
        <v>4525</v>
      </c>
      <c r="C4518" s="7" t="s">
        <v>6999</v>
      </c>
      <c r="D4518" s="7" t="s">
        <v>6295</v>
      </c>
      <c r="E4518" s="7" t="s">
        <v>6940</v>
      </c>
      <c r="F4518" s="7" t="s">
        <v>6980</v>
      </c>
      <c r="G4518" s="7" t="s">
        <v>7150</v>
      </c>
      <c r="H4518" s="7" t="s">
        <v>7156</v>
      </c>
      <c r="I4518" s="7"/>
      <c r="J4518" s="10">
        <v>41835</v>
      </c>
      <c r="K4518" s="7" t="s">
        <v>7165</v>
      </c>
      <c r="L4518" s="7"/>
      <c r="M4518" s="7"/>
    </row>
    <row r="4519" spans="1:13" x14ac:dyDescent="0.3">
      <c r="A4519" s="7">
        <v>230017</v>
      </c>
      <c r="B4519" s="7" t="s">
        <v>4526</v>
      </c>
      <c r="C4519" s="7" t="s">
        <v>6999</v>
      </c>
      <c r="D4519" s="7" t="s">
        <v>6295</v>
      </c>
      <c r="E4519" s="7" t="s">
        <v>6940</v>
      </c>
      <c r="F4519" s="7" t="s">
        <v>6980</v>
      </c>
      <c r="G4519" s="7" t="s">
        <v>7150</v>
      </c>
      <c r="H4519" s="7" t="s">
        <v>7156</v>
      </c>
      <c r="I4519" s="7"/>
      <c r="J4519" s="10">
        <v>41311</v>
      </c>
      <c r="K4519" s="7" t="s">
        <v>7165</v>
      </c>
      <c r="L4519" s="7"/>
      <c r="M4519" s="7"/>
    </row>
    <row r="4520" spans="1:13" x14ac:dyDescent="0.3">
      <c r="A4520" s="7">
        <v>300097</v>
      </c>
      <c r="B4520" s="7" t="s">
        <v>4527</v>
      </c>
      <c r="C4520" s="7" t="s">
        <v>6999</v>
      </c>
      <c r="D4520" s="7" t="s">
        <v>6295</v>
      </c>
      <c r="E4520" s="7" t="s">
        <v>6940</v>
      </c>
      <c r="F4520" s="7" t="s">
        <v>6980</v>
      </c>
      <c r="G4520" s="7" t="s">
        <v>7150</v>
      </c>
      <c r="H4520" s="7" t="s">
        <v>7156</v>
      </c>
      <c r="I4520" s="7"/>
      <c r="J4520" s="10">
        <v>42942</v>
      </c>
      <c r="K4520" s="7" t="s">
        <v>7165</v>
      </c>
      <c r="L4520" s="7"/>
      <c r="M4520" s="7"/>
    </row>
    <row r="4521" spans="1:13" x14ac:dyDescent="0.3">
      <c r="A4521" s="7">
        <v>210022</v>
      </c>
      <c r="B4521" s="7" t="s">
        <v>4528</v>
      </c>
      <c r="C4521" s="7" t="s">
        <v>6999</v>
      </c>
      <c r="D4521" s="7" t="s">
        <v>6295</v>
      </c>
      <c r="E4521" s="7" t="s">
        <v>6940</v>
      </c>
      <c r="F4521" s="7" t="s">
        <v>6980</v>
      </c>
      <c r="G4521" s="7" t="s">
        <v>7150</v>
      </c>
      <c r="H4521" s="7" t="s">
        <v>7156</v>
      </c>
      <c r="I4521" s="7"/>
      <c r="J4521" s="10">
        <v>39916</v>
      </c>
      <c r="K4521" s="7" t="s">
        <v>7165</v>
      </c>
      <c r="L4521" s="7"/>
      <c r="M4521" s="7"/>
    </row>
    <row r="4522" spans="1:13" x14ac:dyDescent="0.3">
      <c r="A4522" s="7">
        <v>300143</v>
      </c>
      <c r="B4522" s="7" t="s">
        <v>4529</v>
      </c>
      <c r="C4522" s="7" t="s">
        <v>6999</v>
      </c>
      <c r="D4522" s="7" t="s">
        <v>6295</v>
      </c>
      <c r="E4522" s="7" t="s">
        <v>6940</v>
      </c>
      <c r="F4522" s="7" t="s">
        <v>6980</v>
      </c>
      <c r="G4522" s="7" t="s">
        <v>7150</v>
      </c>
      <c r="H4522" s="7" t="s">
        <v>7156</v>
      </c>
      <c r="I4522" s="7"/>
      <c r="J4522" s="10">
        <v>43354</v>
      </c>
      <c r="K4522" s="7" t="s">
        <v>7165</v>
      </c>
      <c r="L4522" s="7"/>
      <c r="M4522" s="7"/>
    </row>
    <row r="4523" spans="1:13" x14ac:dyDescent="0.3">
      <c r="A4523" s="7">
        <v>300260</v>
      </c>
      <c r="B4523" s="7" t="s">
        <v>4530</v>
      </c>
      <c r="C4523" s="7" t="s">
        <v>6999</v>
      </c>
      <c r="D4523" s="7" t="s">
        <v>6295</v>
      </c>
      <c r="E4523" s="7" t="s">
        <v>6940</v>
      </c>
      <c r="F4523" s="7" t="s">
        <v>6986</v>
      </c>
      <c r="G4523" s="7" t="s">
        <v>7150</v>
      </c>
      <c r="H4523" s="7" t="s">
        <v>7156</v>
      </c>
      <c r="I4523" s="7"/>
      <c r="J4523" s="10">
        <v>44635</v>
      </c>
      <c r="K4523" s="7" t="s">
        <v>7165</v>
      </c>
      <c r="L4523" s="7"/>
      <c r="M4523" s="7"/>
    </row>
    <row r="4524" spans="1:13" x14ac:dyDescent="0.3">
      <c r="A4524" s="7">
        <v>14995</v>
      </c>
      <c r="B4524" s="7" t="s">
        <v>4531</v>
      </c>
      <c r="C4524" s="7" t="s">
        <v>6999</v>
      </c>
      <c r="D4524" s="7" t="s">
        <v>6295</v>
      </c>
      <c r="E4524" s="7" t="s">
        <v>6940</v>
      </c>
      <c r="F4524" s="7" t="s">
        <v>6986</v>
      </c>
      <c r="G4524" s="7" t="s">
        <v>7150</v>
      </c>
      <c r="H4524" s="7" t="s">
        <v>7156</v>
      </c>
      <c r="I4524" s="7"/>
      <c r="J4524" s="10">
        <v>44910</v>
      </c>
      <c r="K4524" s="7" t="s">
        <v>7165</v>
      </c>
      <c r="L4524" s="7"/>
      <c r="M4524" s="7"/>
    </row>
    <row r="4525" spans="1:13" x14ac:dyDescent="0.3">
      <c r="A4525" s="7">
        <v>210039</v>
      </c>
      <c r="B4525" s="7" t="s">
        <v>4532</v>
      </c>
      <c r="C4525" s="7" t="s">
        <v>6999</v>
      </c>
      <c r="D4525" s="7" t="s">
        <v>6295</v>
      </c>
      <c r="E4525" s="7" t="s">
        <v>6940</v>
      </c>
      <c r="F4525" s="7" t="s">
        <v>6986</v>
      </c>
      <c r="G4525" s="7" t="s">
        <v>7150</v>
      </c>
      <c r="H4525" s="7" t="s">
        <v>7156</v>
      </c>
      <c r="I4525" s="7"/>
      <c r="J4525" s="10">
        <v>44487</v>
      </c>
      <c r="K4525" s="7" t="s">
        <v>7165</v>
      </c>
      <c r="L4525" s="7"/>
      <c r="M4525" s="7"/>
    </row>
    <row r="4526" spans="1:13" x14ac:dyDescent="0.3">
      <c r="A4526" s="7">
        <v>220031</v>
      </c>
      <c r="B4526" s="7" t="s">
        <v>4533</v>
      </c>
      <c r="C4526" s="7" t="s">
        <v>6999</v>
      </c>
      <c r="D4526" s="7" t="s">
        <v>6295</v>
      </c>
      <c r="E4526" s="7" t="s">
        <v>6940</v>
      </c>
      <c r="F4526" s="7" t="s">
        <v>6980</v>
      </c>
      <c r="G4526" s="7" t="s">
        <v>7150</v>
      </c>
      <c r="H4526" s="7" t="s">
        <v>7156</v>
      </c>
      <c r="I4526" s="7"/>
      <c r="J4526" s="10">
        <v>43699</v>
      </c>
      <c r="K4526" s="7" t="s">
        <v>7165</v>
      </c>
      <c r="L4526" s="7"/>
      <c r="M4526" s="7"/>
    </row>
    <row r="4527" spans="1:13" x14ac:dyDescent="0.3">
      <c r="A4527" s="7">
        <v>300219</v>
      </c>
      <c r="B4527" s="7" t="s">
        <v>4534</v>
      </c>
      <c r="C4527" s="7" t="s">
        <v>6999</v>
      </c>
      <c r="D4527" s="7" t="s">
        <v>6295</v>
      </c>
      <c r="E4527" s="7" t="s">
        <v>6940</v>
      </c>
      <c r="F4527" s="7" t="s">
        <v>6986</v>
      </c>
      <c r="G4527" s="7" t="s">
        <v>7150</v>
      </c>
      <c r="H4527" s="7" t="s">
        <v>7156</v>
      </c>
      <c r="I4527" s="7"/>
      <c r="J4527" s="10">
        <v>44172</v>
      </c>
      <c r="K4527" s="7" t="s">
        <v>7165</v>
      </c>
      <c r="L4527" s="7"/>
      <c r="M4527" s="7"/>
    </row>
    <row r="4528" spans="1:13" x14ac:dyDescent="0.3">
      <c r="A4528" s="7">
        <v>15836</v>
      </c>
      <c r="B4528" s="7" t="s">
        <v>4535</v>
      </c>
      <c r="C4528" s="7" t="s">
        <v>6999</v>
      </c>
      <c r="D4528" s="7" t="s">
        <v>6295</v>
      </c>
      <c r="E4528" s="7" t="s">
        <v>6940</v>
      </c>
      <c r="F4528" s="7" t="s">
        <v>6987</v>
      </c>
      <c r="G4528" s="7" t="s">
        <v>7151</v>
      </c>
      <c r="H4528" s="7" t="s">
        <v>7156</v>
      </c>
      <c r="I4528" s="7"/>
      <c r="J4528" s="10">
        <v>45210</v>
      </c>
      <c r="K4528" s="7" t="s">
        <v>7165</v>
      </c>
      <c r="L4528" s="7"/>
      <c r="M4528" s="7"/>
    </row>
    <row r="4529" spans="1:13" x14ac:dyDescent="0.3">
      <c r="A4529" s="7">
        <v>16295</v>
      </c>
      <c r="B4529" s="7" t="s">
        <v>4536</v>
      </c>
      <c r="C4529" s="7" t="s">
        <v>6999</v>
      </c>
      <c r="D4529" s="7" t="s">
        <v>6295</v>
      </c>
      <c r="E4529" s="7" t="s">
        <v>6940</v>
      </c>
      <c r="F4529" s="7" t="s">
        <v>7000</v>
      </c>
      <c r="G4529" s="7" t="s">
        <v>7150</v>
      </c>
      <c r="H4529" s="7" t="s">
        <v>7157</v>
      </c>
      <c r="I4529" s="7"/>
      <c r="J4529" s="10">
        <v>45341</v>
      </c>
      <c r="K4529" s="7" t="s">
        <v>7165</v>
      </c>
      <c r="L4529" s="7"/>
      <c r="M4529" s="7"/>
    </row>
    <row r="4530" spans="1:13" x14ac:dyDescent="0.3">
      <c r="A4530" s="7">
        <v>16371</v>
      </c>
      <c r="B4530" s="7" t="s">
        <v>4537</v>
      </c>
      <c r="C4530" s="7" t="s">
        <v>6999</v>
      </c>
      <c r="D4530" s="7" t="s">
        <v>6295</v>
      </c>
      <c r="E4530" s="7" t="s">
        <v>6940</v>
      </c>
      <c r="F4530" s="7" t="s">
        <v>6989</v>
      </c>
      <c r="G4530" s="7" t="s">
        <v>7150</v>
      </c>
      <c r="H4530" s="7" t="s">
        <v>7156</v>
      </c>
      <c r="I4530" s="7"/>
      <c r="J4530" s="10">
        <v>45363</v>
      </c>
      <c r="K4530" s="7" t="s">
        <v>7165</v>
      </c>
      <c r="L4530" s="7"/>
      <c r="M4530" s="7"/>
    </row>
    <row r="4531" spans="1:13" x14ac:dyDescent="0.3">
      <c r="A4531" s="7">
        <v>137009</v>
      </c>
      <c r="B4531" s="7" t="s">
        <v>4538</v>
      </c>
      <c r="C4531" s="7" t="s">
        <v>6999</v>
      </c>
      <c r="D4531" s="7" t="s">
        <v>6295</v>
      </c>
      <c r="E4531" s="7" t="s">
        <v>6994</v>
      </c>
      <c r="F4531" s="7" t="s">
        <v>6498</v>
      </c>
      <c r="G4531" s="7" t="s">
        <v>7150</v>
      </c>
      <c r="H4531" s="7" t="s">
        <v>7156</v>
      </c>
      <c r="I4531" s="7"/>
      <c r="J4531" s="10">
        <v>44354</v>
      </c>
      <c r="K4531" s="7" t="s">
        <v>7165</v>
      </c>
      <c r="L4531" s="7"/>
      <c r="M4531" s="7"/>
    </row>
    <row r="4532" spans="1:13" x14ac:dyDescent="0.3">
      <c r="A4532" s="7">
        <v>230049</v>
      </c>
      <c r="B4532" s="7" t="s">
        <v>4539</v>
      </c>
      <c r="C4532" s="7" t="s">
        <v>6999</v>
      </c>
      <c r="D4532" s="7" t="s">
        <v>6295</v>
      </c>
      <c r="E4532" s="7" t="s">
        <v>6994</v>
      </c>
      <c r="F4532" s="7" t="s">
        <v>6353</v>
      </c>
      <c r="G4532" s="7" t="s">
        <v>7150</v>
      </c>
      <c r="H4532" s="7" t="s">
        <v>7156</v>
      </c>
      <c r="I4532" s="7"/>
      <c r="J4532" s="10">
        <v>44625</v>
      </c>
      <c r="K4532" s="7" t="s">
        <v>7165</v>
      </c>
      <c r="L4532" s="7"/>
      <c r="M4532" s="7"/>
    </row>
    <row r="4533" spans="1:13" x14ac:dyDescent="0.3">
      <c r="A4533" s="7">
        <v>15857</v>
      </c>
      <c r="B4533" s="7" t="s">
        <v>4540</v>
      </c>
      <c r="C4533" s="7" t="s">
        <v>6999</v>
      </c>
      <c r="D4533" s="7" t="s">
        <v>6295</v>
      </c>
      <c r="E4533" s="7" t="s">
        <v>6994</v>
      </c>
      <c r="F4533" s="7" t="s">
        <v>6341</v>
      </c>
      <c r="G4533" s="7" t="s">
        <v>7150</v>
      </c>
      <c r="H4533" s="7" t="s">
        <v>7156</v>
      </c>
      <c r="I4533" s="7"/>
      <c r="J4533" s="10">
        <v>45219</v>
      </c>
      <c r="K4533" s="7" t="s">
        <v>7165</v>
      </c>
      <c r="L4533" s="7"/>
      <c r="M4533" s="7"/>
    </row>
    <row r="4534" spans="1:13" x14ac:dyDescent="0.3">
      <c r="A4534" s="7">
        <v>18491</v>
      </c>
      <c r="B4534" s="7" t="s">
        <v>4541</v>
      </c>
      <c r="C4534" s="7" t="s">
        <v>6999</v>
      </c>
      <c r="D4534" s="7" t="s">
        <v>6295</v>
      </c>
      <c r="E4534" s="7" t="s">
        <v>6994</v>
      </c>
      <c r="F4534" s="7" t="s">
        <v>6348</v>
      </c>
      <c r="G4534" s="7" t="s">
        <v>7150</v>
      </c>
      <c r="H4534" s="7" t="s">
        <v>7156</v>
      </c>
      <c r="I4534" s="7"/>
      <c r="J4534" s="10">
        <v>46143</v>
      </c>
      <c r="K4534" s="7" t="s">
        <v>7165</v>
      </c>
      <c r="L4534" s="7"/>
      <c r="M4534" s="7"/>
    </row>
    <row r="4535" spans="1:13" x14ac:dyDescent="0.3">
      <c r="A4535" s="7">
        <v>18644</v>
      </c>
      <c r="B4535" s="7" t="s">
        <v>4542</v>
      </c>
      <c r="C4535" s="7" t="s">
        <v>6999</v>
      </c>
      <c r="D4535" s="7" t="s">
        <v>6295</v>
      </c>
      <c r="E4535" s="7" t="s">
        <v>6951</v>
      </c>
      <c r="F4535" s="7" t="s">
        <v>6398</v>
      </c>
      <c r="G4535" s="7" t="s">
        <v>7150</v>
      </c>
      <c r="H4535" s="7" t="s">
        <v>7156</v>
      </c>
      <c r="I4535" s="7"/>
      <c r="J4535" s="10">
        <v>46181</v>
      </c>
      <c r="K4535" s="7" t="s">
        <v>7165</v>
      </c>
      <c r="L4535" s="7"/>
      <c r="M4535" s="7"/>
    </row>
    <row r="4536" spans="1:13" x14ac:dyDescent="0.3">
      <c r="A4536" s="7">
        <v>250001</v>
      </c>
      <c r="B4536" s="7" t="s">
        <v>4543</v>
      </c>
      <c r="C4536" s="7" t="s">
        <v>7001</v>
      </c>
      <c r="D4536" s="7" t="s">
        <v>6295</v>
      </c>
      <c r="E4536" s="7" t="s">
        <v>6295</v>
      </c>
      <c r="F4536" s="7" t="s">
        <v>6939</v>
      </c>
      <c r="G4536" s="7" t="s">
        <v>7150</v>
      </c>
      <c r="H4536" s="7" t="s">
        <v>7156</v>
      </c>
      <c r="I4536" s="7"/>
      <c r="J4536" s="10">
        <v>39756</v>
      </c>
      <c r="K4536" s="7" t="s">
        <v>7165</v>
      </c>
      <c r="L4536" s="7"/>
      <c r="M4536" s="7"/>
    </row>
    <row r="4537" spans="1:13" x14ac:dyDescent="0.3">
      <c r="A4537" s="7">
        <v>110021</v>
      </c>
      <c r="B4537" s="7" t="s">
        <v>4544</v>
      </c>
      <c r="C4537" s="7" t="s">
        <v>7001</v>
      </c>
      <c r="D4537" s="7" t="s">
        <v>6295</v>
      </c>
      <c r="E4537" s="7" t="s">
        <v>6940</v>
      </c>
      <c r="F4537" s="7" t="s">
        <v>6498</v>
      </c>
      <c r="G4537" s="7" t="s">
        <v>7150</v>
      </c>
      <c r="H4537" s="7" t="s">
        <v>7156</v>
      </c>
      <c r="I4537" s="7"/>
      <c r="J4537" s="10">
        <v>42387</v>
      </c>
      <c r="K4537" s="7" t="s">
        <v>7165</v>
      </c>
      <c r="L4537" s="7"/>
      <c r="M4537" s="7"/>
    </row>
    <row r="4538" spans="1:13" x14ac:dyDescent="0.3">
      <c r="A4538" s="7">
        <v>320020</v>
      </c>
      <c r="B4538" s="7" t="s">
        <v>4545</v>
      </c>
      <c r="C4538" s="7" t="s">
        <v>7001</v>
      </c>
      <c r="D4538" s="7" t="s">
        <v>6295</v>
      </c>
      <c r="E4538" s="7" t="s">
        <v>6940</v>
      </c>
      <c r="F4538" s="7" t="s">
        <v>6991</v>
      </c>
      <c r="G4538" s="7" t="s">
        <v>7150</v>
      </c>
      <c r="H4538" s="7" t="s">
        <v>7156</v>
      </c>
      <c r="I4538" s="7"/>
      <c r="J4538" s="10">
        <v>42318</v>
      </c>
      <c r="K4538" s="7" t="s">
        <v>7165</v>
      </c>
      <c r="L4538" s="7"/>
      <c r="M4538" s="7"/>
    </row>
    <row r="4539" spans="1:13" x14ac:dyDescent="0.3">
      <c r="A4539" s="7">
        <v>300144</v>
      </c>
      <c r="B4539" s="7" t="s">
        <v>4546</v>
      </c>
      <c r="C4539" s="7" t="s">
        <v>7001</v>
      </c>
      <c r="D4539" s="7" t="s">
        <v>6295</v>
      </c>
      <c r="E4539" s="7" t="s">
        <v>6940</v>
      </c>
      <c r="F4539" s="7" t="s">
        <v>6991</v>
      </c>
      <c r="G4539" s="7" t="s">
        <v>7150</v>
      </c>
      <c r="H4539" s="7" t="s">
        <v>7156</v>
      </c>
      <c r="I4539" s="7"/>
      <c r="J4539" s="10">
        <v>43367</v>
      </c>
      <c r="K4539" s="7" t="s">
        <v>7165</v>
      </c>
      <c r="L4539" s="7"/>
      <c r="M4539" s="7"/>
    </row>
    <row r="4540" spans="1:13" x14ac:dyDescent="0.3">
      <c r="A4540" s="7">
        <v>16011</v>
      </c>
      <c r="B4540" s="7" t="s">
        <v>4547</v>
      </c>
      <c r="C4540" s="7" t="s">
        <v>7001</v>
      </c>
      <c r="D4540" s="7" t="s">
        <v>6295</v>
      </c>
      <c r="E4540" s="7" t="s">
        <v>6940</v>
      </c>
      <c r="F4540" s="7" t="s">
        <v>6992</v>
      </c>
      <c r="G4540" s="7" t="s">
        <v>7150</v>
      </c>
      <c r="H4540" s="7" t="s">
        <v>7156</v>
      </c>
      <c r="I4540" s="7"/>
      <c r="J4540" s="10">
        <v>45265</v>
      </c>
      <c r="K4540" s="7" t="s">
        <v>7165</v>
      </c>
      <c r="L4540" s="7"/>
      <c r="M4540" s="7"/>
    </row>
    <row r="4541" spans="1:13" x14ac:dyDescent="0.3">
      <c r="A4541" s="7">
        <v>18551</v>
      </c>
      <c r="B4541" s="7" t="s">
        <v>4548</v>
      </c>
      <c r="C4541" s="7" t="s">
        <v>7001</v>
      </c>
      <c r="D4541" s="7" t="s">
        <v>6295</v>
      </c>
      <c r="E4541" s="7" t="s">
        <v>6940</v>
      </c>
      <c r="F4541" s="7" t="s">
        <v>6998</v>
      </c>
      <c r="G4541" s="7" t="s">
        <v>7150</v>
      </c>
      <c r="H4541" s="7" t="s">
        <v>7156</v>
      </c>
      <c r="I4541" s="7"/>
      <c r="J4541" s="10">
        <v>46155</v>
      </c>
      <c r="K4541" s="7" t="s">
        <v>7165</v>
      </c>
      <c r="L4541" s="7"/>
      <c r="M4541" s="7"/>
    </row>
    <row r="4542" spans="1:13" x14ac:dyDescent="0.3">
      <c r="A4542" s="7">
        <v>11491</v>
      </c>
      <c r="B4542" s="7" t="s">
        <v>4549</v>
      </c>
      <c r="C4542" s="7" t="s">
        <v>7001</v>
      </c>
      <c r="D4542" s="7" t="s">
        <v>6295</v>
      </c>
      <c r="E4542" s="7" t="s">
        <v>6940</v>
      </c>
      <c r="F4542" s="7" t="s">
        <v>7002</v>
      </c>
      <c r="G4542" s="7" t="s">
        <v>7150</v>
      </c>
      <c r="H4542" s="7" t="s">
        <v>7156</v>
      </c>
      <c r="I4542" s="7"/>
      <c r="J4542" s="10">
        <v>42760</v>
      </c>
      <c r="K4542" s="7" t="s">
        <v>7165</v>
      </c>
      <c r="L4542" s="7"/>
      <c r="M4542" s="7"/>
    </row>
    <row r="4543" spans="1:13" x14ac:dyDescent="0.3">
      <c r="A4543" s="7">
        <v>160039</v>
      </c>
      <c r="B4543" s="7" t="s">
        <v>4550</v>
      </c>
      <c r="C4543" s="7" t="s">
        <v>7001</v>
      </c>
      <c r="D4543" s="7" t="s">
        <v>6295</v>
      </c>
      <c r="E4543" s="7" t="s">
        <v>6940</v>
      </c>
      <c r="F4543" s="7" t="s">
        <v>6980</v>
      </c>
      <c r="G4543" s="7" t="s">
        <v>7152</v>
      </c>
      <c r="H4543" s="7" t="s">
        <v>7156</v>
      </c>
      <c r="I4543" s="7"/>
      <c r="J4543" s="10">
        <v>42667</v>
      </c>
      <c r="K4543" s="7" t="s">
        <v>7165</v>
      </c>
      <c r="L4543" s="7"/>
      <c r="M4543" s="7"/>
    </row>
    <row r="4544" spans="1:13" x14ac:dyDescent="0.3">
      <c r="A4544" s="7">
        <v>470015</v>
      </c>
      <c r="B4544" s="7" t="s">
        <v>4551</v>
      </c>
      <c r="C4544" s="7" t="s">
        <v>7001</v>
      </c>
      <c r="D4544" s="7" t="s">
        <v>6295</v>
      </c>
      <c r="E4544" s="7" t="s">
        <v>6940</v>
      </c>
      <c r="F4544" s="7" t="s">
        <v>6980</v>
      </c>
      <c r="G4544" s="7" t="s">
        <v>7150</v>
      </c>
      <c r="H4544" s="7" t="s">
        <v>7156</v>
      </c>
      <c r="I4544" s="7"/>
      <c r="J4544" s="10">
        <v>41036</v>
      </c>
      <c r="K4544" s="7" t="s">
        <v>7165</v>
      </c>
      <c r="L4544" s="7"/>
      <c r="M4544" s="7"/>
    </row>
    <row r="4545" spans="1:13" x14ac:dyDescent="0.3">
      <c r="A4545" s="7">
        <v>900044</v>
      </c>
      <c r="B4545" s="7" t="s">
        <v>4552</v>
      </c>
      <c r="C4545" s="7" t="s">
        <v>7001</v>
      </c>
      <c r="D4545" s="7" t="s">
        <v>6295</v>
      </c>
      <c r="E4545" s="7" t="s">
        <v>6940</v>
      </c>
      <c r="F4545" s="7" t="s">
        <v>6986</v>
      </c>
      <c r="G4545" s="7" t="s">
        <v>7150</v>
      </c>
      <c r="H4545" s="7" t="s">
        <v>7156</v>
      </c>
      <c r="I4545" s="7"/>
      <c r="J4545" s="10">
        <v>43054</v>
      </c>
      <c r="K4545" s="7" t="s">
        <v>7165</v>
      </c>
      <c r="L4545" s="7"/>
      <c r="M4545" s="7"/>
    </row>
    <row r="4546" spans="1:13" x14ac:dyDescent="0.3">
      <c r="A4546" s="7">
        <v>300197</v>
      </c>
      <c r="B4546" s="7" t="s">
        <v>4553</v>
      </c>
      <c r="C4546" s="7" t="s">
        <v>7001</v>
      </c>
      <c r="D4546" s="7" t="s">
        <v>6295</v>
      </c>
      <c r="E4546" s="7" t="s">
        <v>6940</v>
      </c>
      <c r="F4546" s="7" t="s">
        <v>6980</v>
      </c>
      <c r="G4546" s="7" t="s">
        <v>7150</v>
      </c>
      <c r="H4546" s="7" t="s">
        <v>7156</v>
      </c>
      <c r="I4546" s="7"/>
      <c r="J4546" s="10">
        <v>43823</v>
      </c>
      <c r="K4546" s="7" t="s">
        <v>7165</v>
      </c>
      <c r="L4546" s="7"/>
      <c r="M4546" s="7"/>
    </row>
    <row r="4547" spans="1:13" x14ac:dyDescent="0.3">
      <c r="A4547" s="7">
        <v>460041</v>
      </c>
      <c r="B4547" s="7" t="s">
        <v>4554</v>
      </c>
      <c r="C4547" s="7" t="s">
        <v>7001</v>
      </c>
      <c r="D4547" s="7" t="s">
        <v>6295</v>
      </c>
      <c r="E4547" s="7" t="s">
        <v>6940</v>
      </c>
      <c r="F4547" s="7" t="s">
        <v>6986</v>
      </c>
      <c r="G4547" s="7" t="s">
        <v>7151</v>
      </c>
      <c r="H4547" s="7" t="s">
        <v>7156</v>
      </c>
      <c r="I4547" s="7"/>
      <c r="J4547" s="10">
        <v>44572</v>
      </c>
      <c r="K4547" s="7" t="s">
        <v>7165</v>
      </c>
      <c r="L4547" s="7"/>
      <c r="M4547" s="7"/>
    </row>
    <row r="4548" spans="1:13" x14ac:dyDescent="0.3">
      <c r="A4548" s="7">
        <v>15722</v>
      </c>
      <c r="B4548" s="7" t="s">
        <v>4555</v>
      </c>
      <c r="C4548" s="7" t="s">
        <v>7001</v>
      </c>
      <c r="D4548" s="7" t="s">
        <v>6295</v>
      </c>
      <c r="E4548" s="7" t="s">
        <v>6940</v>
      </c>
      <c r="F4548" s="7" t="s">
        <v>6986</v>
      </c>
      <c r="G4548" s="7" t="s">
        <v>7150</v>
      </c>
      <c r="H4548" s="7" t="s">
        <v>7156</v>
      </c>
      <c r="I4548" s="7"/>
      <c r="J4548" s="10">
        <v>45176</v>
      </c>
      <c r="K4548" s="7" t="s">
        <v>7165</v>
      </c>
      <c r="L4548" s="7"/>
      <c r="M4548" s="7"/>
    </row>
    <row r="4549" spans="1:13" x14ac:dyDescent="0.3">
      <c r="A4549" s="7">
        <v>300236</v>
      </c>
      <c r="B4549" s="7" t="s">
        <v>4556</v>
      </c>
      <c r="C4549" s="7" t="s">
        <v>7001</v>
      </c>
      <c r="D4549" s="7" t="s">
        <v>6295</v>
      </c>
      <c r="E4549" s="7" t="s">
        <v>6940</v>
      </c>
      <c r="F4549" s="7" t="s">
        <v>6986</v>
      </c>
      <c r="G4549" s="7" t="s">
        <v>7150</v>
      </c>
      <c r="H4549" s="7" t="s">
        <v>7156</v>
      </c>
      <c r="I4549" s="7"/>
      <c r="J4549" s="10">
        <v>44419</v>
      </c>
      <c r="K4549" s="7" t="s">
        <v>7165</v>
      </c>
      <c r="L4549" s="7"/>
      <c r="M4549" s="7"/>
    </row>
    <row r="4550" spans="1:13" x14ac:dyDescent="0.3">
      <c r="A4550" s="7">
        <v>15066</v>
      </c>
      <c r="B4550" s="7" t="s">
        <v>4557</v>
      </c>
      <c r="C4550" s="7" t="s">
        <v>7001</v>
      </c>
      <c r="D4550" s="7" t="s">
        <v>6295</v>
      </c>
      <c r="E4550" s="7" t="s">
        <v>6940</v>
      </c>
      <c r="F4550" s="7" t="s">
        <v>6986</v>
      </c>
      <c r="G4550" s="7" t="s">
        <v>7150</v>
      </c>
      <c r="H4550" s="7" t="s">
        <v>7156</v>
      </c>
      <c r="I4550" s="7"/>
      <c r="J4550" s="10">
        <v>44936</v>
      </c>
      <c r="K4550" s="7" t="s">
        <v>7165</v>
      </c>
      <c r="L4550" s="7"/>
      <c r="M4550" s="7"/>
    </row>
    <row r="4551" spans="1:13" x14ac:dyDescent="0.3">
      <c r="A4551" s="7">
        <v>160050</v>
      </c>
      <c r="B4551" s="7" t="s">
        <v>4558</v>
      </c>
      <c r="C4551" s="7" t="s">
        <v>7001</v>
      </c>
      <c r="D4551" s="7" t="s">
        <v>6295</v>
      </c>
      <c r="E4551" s="7" t="s">
        <v>6940</v>
      </c>
      <c r="F4551" s="7" t="s">
        <v>6986</v>
      </c>
      <c r="G4551" s="7" t="s">
        <v>7151</v>
      </c>
      <c r="H4551" s="7" t="s">
        <v>7156</v>
      </c>
      <c r="I4551" s="7"/>
      <c r="J4551" s="10">
        <v>43238</v>
      </c>
      <c r="K4551" s="7" t="s">
        <v>7165</v>
      </c>
      <c r="L4551" s="7"/>
      <c r="M4551" s="7"/>
    </row>
    <row r="4552" spans="1:13" x14ac:dyDescent="0.3">
      <c r="A4552" s="7">
        <v>18885</v>
      </c>
      <c r="B4552" s="7" t="s">
        <v>4559</v>
      </c>
      <c r="C4552" s="7" t="s">
        <v>7001</v>
      </c>
      <c r="D4552" s="7" t="s">
        <v>6295</v>
      </c>
      <c r="E4552" s="7" t="s">
        <v>6940</v>
      </c>
      <c r="F4552" s="7" t="s">
        <v>7003</v>
      </c>
      <c r="G4552" s="7" t="s">
        <v>7150</v>
      </c>
      <c r="H4552" s="7" t="s">
        <v>7157</v>
      </c>
      <c r="I4552" s="7"/>
      <c r="J4552" s="10">
        <v>46232</v>
      </c>
      <c r="K4552" s="7" t="s">
        <v>7165</v>
      </c>
      <c r="L4552" s="7"/>
      <c r="M4552" s="7"/>
    </row>
    <row r="4553" spans="1:13" x14ac:dyDescent="0.3">
      <c r="A4553" s="7">
        <v>220023</v>
      </c>
      <c r="B4553" s="7" t="s">
        <v>4560</v>
      </c>
      <c r="C4553" s="7" t="s">
        <v>7001</v>
      </c>
      <c r="D4553" s="7" t="s">
        <v>6295</v>
      </c>
      <c r="E4553" s="7" t="s">
        <v>6940</v>
      </c>
      <c r="F4553" s="7" t="s">
        <v>6986</v>
      </c>
      <c r="G4553" s="7" t="s">
        <v>7150</v>
      </c>
      <c r="H4553" s="7" t="s">
        <v>7156</v>
      </c>
      <c r="I4553" s="7"/>
      <c r="J4553" s="10">
        <v>42572</v>
      </c>
      <c r="K4553" s="7" t="s">
        <v>7165</v>
      </c>
      <c r="L4553" s="7"/>
      <c r="M4553" s="7"/>
    </row>
    <row r="4554" spans="1:13" x14ac:dyDescent="0.3">
      <c r="A4554" s="7">
        <v>300261</v>
      </c>
      <c r="B4554" s="7" t="s">
        <v>4561</v>
      </c>
      <c r="C4554" s="7" t="s">
        <v>7001</v>
      </c>
      <c r="D4554" s="7" t="s">
        <v>6295</v>
      </c>
      <c r="E4554" s="7" t="s">
        <v>6940</v>
      </c>
      <c r="F4554" s="7" t="s">
        <v>6986</v>
      </c>
      <c r="G4554" s="7" t="s">
        <v>7150</v>
      </c>
      <c r="H4554" s="7" t="s">
        <v>7156</v>
      </c>
      <c r="I4554" s="7"/>
      <c r="J4554" s="10">
        <v>44635</v>
      </c>
      <c r="K4554" s="7" t="s">
        <v>7165</v>
      </c>
      <c r="L4554" s="7"/>
      <c r="M4554" s="7"/>
    </row>
    <row r="4555" spans="1:13" x14ac:dyDescent="0.3">
      <c r="A4555" s="7">
        <v>300041</v>
      </c>
      <c r="B4555" s="7" t="s">
        <v>4562</v>
      </c>
      <c r="C4555" s="7" t="s">
        <v>7001</v>
      </c>
      <c r="D4555" s="7" t="s">
        <v>6295</v>
      </c>
      <c r="E4555" s="7" t="s">
        <v>6940</v>
      </c>
      <c r="F4555" s="7" t="s">
        <v>6980</v>
      </c>
      <c r="G4555" s="7" t="s">
        <v>7150</v>
      </c>
      <c r="H4555" s="7" t="s">
        <v>7156</v>
      </c>
      <c r="I4555" s="7"/>
      <c r="J4555" s="10">
        <v>42723</v>
      </c>
      <c r="K4555" s="7" t="s">
        <v>7165</v>
      </c>
      <c r="L4555" s="7"/>
      <c r="M4555" s="7"/>
    </row>
    <row r="4556" spans="1:13" x14ac:dyDescent="0.3">
      <c r="A4556" s="7">
        <v>14092</v>
      </c>
      <c r="B4556" s="7" t="s">
        <v>4563</v>
      </c>
      <c r="C4556" s="7" t="s">
        <v>7001</v>
      </c>
      <c r="D4556" s="7" t="s">
        <v>6295</v>
      </c>
      <c r="E4556" s="7" t="s">
        <v>6940</v>
      </c>
      <c r="F4556" s="7" t="s">
        <v>6987</v>
      </c>
      <c r="G4556" s="7" t="s">
        <v>7150</v>
      </c>
      <c r="H4556" s="7" t="s">
        <v>7156</v>
      </c>
      <c r="I4556" s="7"/>
      <c r="J4556" s="10">
        <v>44657</v>
      </c>
      <c r="K4556" s="7" t="s">
        <v>7165</v>
      </c>
      <c r="L4556" s="7"/>
      <c r="M4556" s="7"/>
    </row>
    <row r="4557" spans="1:13" x14ac:dyDescent="0.3">
      <c r="A4557" s="7">
        <v>15917</v>
      </c>
      <c r="B4557" s="7" t="s">
        <v>4564</v>
      </c>
      <c r="C4557" s="7" t="s">
        <v>7001</v>
      </c>
      <c r="D4557" s="7" t="s">
        <v>6295</v>
      </c>
      <c r="E4557" s="7" t="s">
        <v>6940</v>
      </c>
      <c r="F4557" s="7" t="s">
        <v>6987</v>
      </c>
      <c r="G4557" s="7" t="s">
        <v>7152</v>
      </c>
      <c r="H4557" s="7" t="s">
        <v>7156</v>
      </c>
      <c r="I4557" s="7"/>
      <c r="J4557" s="10">
        <v>45236</v>
      </c>
      <c r="K4557" s="7" t="s">
        <v>7165</v>
      </c>
      <c r="L4557" s="7"/>
      <c r="M4557" s="7"/>
    </row>
    <row r="4558" spans="1:13" x14ac:dyDescent="0.3">
      <c r="A4558" s="7">
        <v>18974</v>
      </c>
      <c r="B4558" s="7" t="s">
        <v>4565</v>
      </c>
      <c r="C4558" s="7" t="s">
        <v>7001</v>
      </c>
      <c r="D4558" s="7" t="s">
        <v>6295</v>
      </c>
      <c r="E4558" s="7" t="s">
        <v>6940</v>
      </c>
      <c r="F4558" s="7" t="s">
        <v>7000</v>
      </c>
      <c r="G4558" s="7" t="s">
        <v>7150</v>
      </c>
      <c r="H4558" s="7" t="s">
        <v>7157</v>
      </c>
      <c r="I4558" s="7"/>
      <c r="J4558" s="10">
        <v>46254</v>
      </c>
      <c r="K4558" s="7" t="s">
        <v>7165</v>
      </c>
      <c r="L4558" s="7"/>
      <c r="M4558" s="7"/>
    </row>
    <row r="4559" spans="1:13" x14ac:dyDescent="0.3">
      <c r="A4559" s="7">
        <v>19181</v>
      </c>
      <c r="B4559" s="7" t="s">
        <v>4566</v>
      </c>
      <c r="C4559" s="7" t="s">
        <v>7001</v>
      </c>
      <c r="D4559" s="7" t="s">
        <v>6295</v>
      </c>
      <c r="E4559" s="7" t="s">
        <v>6940</v>
      </c>
      <c r="F4559" s="7" t="s">
        <v>7000</v>
      </c>
      <c r="G4559" s="7" t="s">
        <v>7150</v>
      </c>
      <c r="H4559" s="7" t="s">
        <v>7157</v>
      </c>
      <c r="I4559" s="7"/>
      <c r="J4559" s="10">
        <v>46279</v>
      </c>
      <c r="K4559" s="7" t="s">
        <v>7165</v>
      </c>
      <c r="L4559" s="7"/>
      <c r="M4559" s="7"/>
    </row>
    <row r="4560" spans="1:13" x14ac:dyDescent="0.3">
      <c r="A4560" s="7">
        <v>13852</v>
      </c>
      <c r="B4560" s="7" t="s">
        <v>4567</v>
      </c>
      <c r="C4560" s="7" t="s">
        <v>7001</v>
      </c>
      <c r="D4560" s="7" t="s">
        <v>6295</v>
      </c>
      <c r="E4560" s="7" t="s">
        <v>6940</v>
      </c>
      <c r="F4560" s="7" t="s">
        <v>6987</v>
      </c>
      <c r="G4560" s="7" t="s">
        <v>7150</v>
      </c>
      <c r="H4560" s="7" t="s">
        <v>7156</v>
      </c>
      <c r="I4560" s="7"/>
      <c r="J4560" s="10">
        <v>44606</v>
      </c>
      <c r="K4560" s="7" t="s">
        <v>7165</v>
      </c>
      <c r="L4560" s="7"/>
      <c r="M4560" s="7"/>
    </row>
    <row r="4561" spans="1:13" x14ac:dyDescent="0.3">
      <c r="A4561" s="7">
        <v>16818</v>
      </c>
      <c r="B4561" s="7" t="s">
        <v>4568</v>
      </c>
      <c r="C4561" s="7" t="s">
        <v>7001</v>
      </c>
      <c r="D4561" s="7" t="s">
        <v>6295</v>
      </c>
      <c r="E4561" s="7" t="s">
        <v>6940</v>
      </c>
      <c r="F4561" s="7" t="s">
        <v>6987</v>
      </c>
      <c r="G4561" s="7" t="s">
        <v>7150</v>
      </c>
      <c r="H4561" s="7" t="s">
        <v>7156</v>
      </c>
      <c r="I4561" s="7"/>
      <c r="J4561" s="10">
        <v>45559</v>
      </c>
      <c r="K4561" s="7" t="s">
        <v>7165</v>
      </c>
      <c r="L4561" s="7"/>
      <c r="M4561" s="7"/>
    </row>
    <row r="4562" spans="1:13" x14ac:dyDescent="0.3">
      <c r="A4562" s="7">
        <v>14671</v>
      </c>
      <c r="B4562" s="7" t="s">
        <v>4569</v>
      </c>
      <c r="C4562" s="7" t="s">
        <v>7001</v>
      </c>
      <c r="D4562" s="7" t="s">
        <v>6295</v>
      </c>
      <c r="E4562" s="7" t="s">
        <v>6940</v>
      </c>
      <c r="F4562" s="7" t="s">
        <v>6987</v>
      </c>
      <c r="G4562" s="7" t="s">
        <v>7150</v>
      </c>
      <c r="H4562" s="7" t="s">
        <v>7156</v>
      </c>
      <c r="I4562" s="7"/>
      <c r="J4562" s="10">
        <v>44820</v>
      </c>
      <c r="K4562" s="7" t="s">
        <v>7165</v>
      </c>
      <c r="L4562" s="7"/>
      <c r="M4562" s="7"/>
    </row>
    <row r="4563" spans="1:13" x14ac:dyDescent="0.3">
      <c r="A4563" s="7">
        <v>17512</v>
      </c>
      <c r="B4563" s="7" t="s">
        <v>4570</v>
      </c>
      <c r="C4563" s="7" t="s">
        <v>7001</v>
      </c>
      <c r="D4563" s="7" t="s">
        <v>6295</v>
      </c>
      <c r="E4563" s="7" t="s">
        <v>6940</v>
      </c>
      <c r="F4563" s="7" t="s">
        <v>6987</v>
      </c>
      <c r="G4563" s="7" t="s">
        <v>7150</v>
      </c>
      <c r="H4563" s="7" t="s">
        <v>7156</v>
      </c>
      <c r="I4563" s="7"/>
      <c r="J4563" s="10">
        <v>45779</v>
      </c>
      <c r="K4563" s="7" t="s">
        <v>7165</v>
      </c>
      <c r="L4563" s="7"/>
      <c r="M4563" s="7"/>
    </row>
    <row r="4564" spans="1:13" x14ac:dyDescent="0.3">
      <c r="A4564" s="7">
        <v>18597</v>
      </c>
      <c r="B4564" s="7" t="s">
        <v>4571</v>
      </c>
      <c r="C4564" s="7" t="s">
        <v>7001</v>
      </c>
      <c r="D4564" s="7" t="s">
        <v>6295</v>
      </c>
      <c r="E4564" s="7" t="s">
        <v>6940</v>
      </c>
      <c r="F4564" s="7" t="s">
        <v>7004</v>
      </c>
      <c r="G4564" s="7" t="s">
        <v>7150</v>
      </c>
      <c r="H4564" s="7" t="s">
        <v>7156</v>
      </c>
      <c r="I4564" s="7"/>
      <c r="J4564" s="10">
        <v>46163</v>
      </c>
      <c r="K4564" s="7" t="s">
        <v>7165</v>
      </c>
      <c r="L4564" s="7"/>
      <c r="M4564" s="7"/>
    </row>
    <row r="4565" spans="1:13" x14ac:dyDescent="0.3">
      <c r="A4565" s="7">
        <v>160038</v>
      </c>
      <c r="B4565" s="7" t="s">
        <v>4572</v>
      </c>
      <c r="C4565" s="7" t="s">
        <v>7001</v>
      </c>
      <c r="D4565" s="7" t="s">
        <v>6295</v>
      </c>
      <c r="E4565" s="7" t="s">
        <v>6951</v>
      </c>
      <c r="F4565" s="7" t="s">
        <v>6398</v>
      </c>
      <c r="G4565" s="7" t="s">
        <v>7150</v>
      </c>
      <c r="H4565" s="7" t="s">
        <v>7156</v>
      </c>
      <c r="I4565" s="7"/>
      <c r="J4565" s="10">
        <v>42627</v>
      </c>
      <c r="K4565" s="7" t="s">
        <v>7165</v>
      </c>
      <c r="L4565" s="7"/>
      <c r="M4565" s="7"/>
    </row>
    <row r="4566" spans="1:13" x14ac:dyDescent="0.3">
      <c r="A4566" s="7">
        <v>15251</v>
      </c>
      <c r="B4566" s="7" t="s">
        <v>4573</v>
      </c>
      <c r="C4566" s="7" t="s">
        <v>7001</v>
      </c>
      <c r="D4566" s="7" t="s">
        <v>6295</v>
      </c>
      <c r="E4566" s="7" t="s">
        <v>6994</v>
      </c>
      <c r="F4566" s="7" t="s">
        <v>6498</v>
      </c>
      <c r="G4566" s="7" t="s">
        <v>7150</v>
      </c>
      <c r="H4566" s="7" t="s">
        <v>7156</v>
      </c>
      <c r="I4566" s="7"/>
      <c r="J4566" s="10">
        <v>45023</v>
      </c>
      <c r="K4566" s="7" t="s">
        <v>7165</v>
      </c>
      <c r="L4566" s="7"/>
      <c r="M4566" s="7"/>
    </row>
    <row r="4567" spans="1:13" x14ac:dyDescent="0.3">
      <c r="A4567" s="7">
        <v>15384</v>
      </c>
      <c r="B4567" s="7" t="s">
        <v>4574</v>
      </c>
      <c r="C4567" s="7" t="s">
        <v>7001</v>
      </c>
      <c r="D4567" s="7" t="s">
        <v>6295</v>
      </c>
      <c r="E4567" s="7" t="s">
        <v>6994</v>
      </c>
      <c r="F4567" s="7" t="s">
        <v>6353</v>
      </c>
      <c r="G4567" s="7" t="s">
        <v>7150</v>
      </c>
      <c r="H4567" s="7" t="s">
        <v>7156</v>
      </c>
      <c r="I4567" s="7"/>
      <c r="J4567" s="10">
        <v>45050</v>
      </c>
      <c r="K4567" s="7" t="s">
        <v>7165</v>
      </c>
      <c r="L4567" s="7"/>
      <c r="M4567" s="7"/>
    </row>
    <row r="4568" spans="1:13" x14ac:dyDescent="0.3">
      <c r="A4568" s="7">
        <v>14571</v>
      </c>
      <c r="B4568" s="7" t="s">
        <v>4575</v>
      </c>
      <c r="C4568" s="7" t="s">
        <v>7001</v>
      </c>
      <c r="D4568" s="7" t="s">
        <v>6295</v>
      </c>
      <c r="E4568" s="7" t="s">
        <v>6994</v>
      </c>
      <c r="F4568" s="7" t="s">
        <v>6340</v>
      </c>
      <c r="G4568" s="7" t="s">
        <v>7150</v>
      </c>
      <c r="H4568" s="7" t="s">
        <v>7156</v>
      </c>
      <c r="I4568" s="7"/>
      <c r="J4568" s="10">
        <v>44788</v>
      </c>
      <c r="K4568" s="7" t="s">
        <v>7165</v>
      </c>
      <c r="L4568" s="7"/>
      <c r="M4568" s="7"/>
    </row>
    <row r="4569" spans="1:13" x14ac:dyDescent="0.3">
      <c r="A4569" s="7">
        <v>17140</v>
      </c>
      <c r="B4569" s="7" t="s">
        <v>4576</v>
      </c>
      <c r="C4569" s="7" t="s">
        <v>7001</v>
      </c>
      <c r="D4569" s="7" t="s">
        <v>6295</v>
      </c>
      <c r="E4569" s="7" t="s">
        <v>6994</v>
      </c>
      <c r="F4569" s="7" t="s">
        <v>6341</v>
      </c>
      <c r="G4569" s="7" t="s">
        <v>7150</v>
      </c>
      <c r="H4569" s="7" t="s">
        <v>7156</v>
      </c>
      <c r="I4569" s="7"/>
      <c r="J4569" s="10">
        <v>45645</v>
      </c>
      <c r="K4569" s="7" t="s">
        <v>7165</v>
      </c>
      <c r="L4569" s="7"/>
      <c r="M4569" s="7"/>
    </row>
    <row r="4570" spans="1:13" x14ac:dyDescent="0.3">
      <c r="A4570" s="7">
        <v>17649</v>
      </c>
      <c r="B4570" s="7" t="s">
        <v>4577</v>
      </c>
      <c r="C4570" s="7" t="s">
        <v>7001</v>
      </c>
      <c r="D4570" s="7" t="s">
        <v>6295</v>
      </c>
      <c r="E4570" s="7" t="s">
        <v>6994</v>
      </c>
      <c r="F4570" s="7" t="s">
        <v>6348</v>
      </c>
      <c r="G4570" s="7" t="s">
        <v>7150</v>
      </c>
      <c r="H4570" s="7" t="s">
        <v>7156</v>
      </c>
      <c r="I4570" s="7"/>
      <c r="J4570" s="10">
        <v>45828</v>
      </c>
      <c r="K4570" s="7" t="s">
        <v>7165</v>
      </c>
      <c r="L4570" s="7"/>
      <c r="M4570" s="7"/>
    </row>
    <row r="4571" spans="1:13" x14ac:dyDescent="0.3">
      <c r="A4571" s="7">
        <v>10638</v>
      </c>
      <c r="B4571" s="7" t="s">
        <v>4578</v>
      </c>
      <c r="C4571" s="7" t="s">
        <v>7005</v>
      </c>
      <c r="D4571" s="7" t="s">
        <v>6295</v>
      </c>
      <c r="E4571" s="7" t="s">
        <v>6295</v>
      </c>
      <c r="F4571" s="7" t="s">
        <v>6939</v>
      </c>
      <c r="G4571" s="7" t="s">
        <v>7150</v>
      </c>
      <c r="H4571" s="7" t="s">
        <v>7156</v>
      </c>
      <c r="I4571" s="7"/>
      <c r="J4571" s="10">
        <v>41551</v>
      </c>
      <c r="K4571" s="7" t="s">
        <v>7165</v>
      </c>
      <c r="L4571" s="7"/>
      <c r="M4571" s="7"/>
    </row>
    <row r="4572" spans="1:13" x14ac:dyDescent="0.3">
      <c r="A4572" s="7">
        <v>120033</v>
      </c>
      <c r="B4572" s="7" t="s">
        <v>4579</v>
      </c>
      <c r="C4572" s="7" t="s">
        <v>7005</v>
      </c>
      <c r="D4572" s="7" t="s">
        <v>6295</v>
      </c>
      <c r="E4572" s="7" t="s">
        <v>6940</v>
      </c>
      <c r="F4572" s="7" t="s">
        <v>6991</v>
      </c>
      <c r="G4572" s="7" t="s">
        <v>7150</v>
      </c>
      <c r="H4572" s="7" t="s">
        <v>7156</v>
      </c>
      <c r="I4572" s="7"/>
      <c r="J4572" s="10">
        <v>42444</v>
      </c>
      <c r="K4572" s="7" t="s">
        <v>7165</v>
      </c>
      <c r="L4572" s="7"/>
      <c r="M4572" s="7"/>
    </row>
    <row r="4573" spans="1:13" x14ac:dyDescent="0.3">
      <c r="A4573" s="7">
        <v>250032</v>
      </c>
      <c r="B4573" s="7" t="s">
        <v>4580</v>
      </c>
      <c r="C4573" s="7" t="s">
        <v>7005</v>
      </c>
      <c r="D4573" s="7" t="s">
        <v>6295</v>
      </c>
      <c r="E4573" s="7" t="s">
        <v>6940</v>
      </c>
      <c r="F4573" s="7" t="s">
        <v>6991</v>
      </c>
      <c r="G4573" s="7" t="s">
        <v>7150</v>
      </c>
      <c r="H4573" s="7" t="s">
        <v>7156</v>
      </c>
      <c r="I4573" s="7"/>
      <c r="J4573" s="10">
        <v>42467</v>
      </c>
      <c r="K4573" s="7" t="s">
        <v>7165</v>
      </c>
      <c r="L4573" s="7"/>
      <c r="M4573" s="7"/>
    </row>
    <row r="4574" spans="1:13" x14ac:dyDescent="0.3">
      <c r="A4574" s="7">
        <v>16061</v>
      </c>
      <c r="B4574" s="7" t="s">
        <v>4581</v>
      </c>
      <c r="C4574" s="7" t="s">
        <v>7005</v>
      </c>
      <c r="D4574" s="7" t="s">
        <v>6295</v>
      </c>
      <c r="E4574" s="7" t="s">
        <v>6940</v>
      </c>
      <c r="F4574" s="7" t="s">
        <v>6992</v>
      </c>
      <c r="G4574" s="7" t="s">
        <v>7150</v>
      </c>
      <c r="H4574" s="7" t="s">
        <v>7156</v>
      </c>
      <c r="I4574" s="7"/>
      <c r="J4574" s="10">
        <v>45275</v>
      </c>
      <c r="K4574" s="7" t="s">
        <v>7165</v>
      </c>
      <c r="L4574" s="7"/>
      <c r="M4574" s="7"/>
    </row>
    <row r="4575" spans="1:13" x14ac:dyDescent="0.3">
      <c r="A4575" s="7">
        <v>150006</v>
      </c>
      <c r="B4575" s="7" t="s">
        <v>4582</v>
      </c>
      <c r="C4575" s="7" t="s">
        <v>7005</v>
      </c>
      <c r="D4575" s="7" t="s">
        <v>6295</v>
      </c>
      <c r="E4575" s="7" t="s">
        <v>6940</v>
      </c>
      <c r="F4575" s="7" t="s">
        <v>6980</v>
      </c>
      <c r="G4575" s="7" t="s">
        <v>7150</v>
      </c>
      <c r="H4575" s="7" t="s">
        <v>7156</v>
      </c>
      <c r="I4575" s="7"/>
      <c r="J4575" s="10">
        <v>39687</v>
      </c>
      <c r="K4575" s="7" t="s">
        <v>7165</v>
      </c>
      <c r="L4575" s="7"/>
      <c r="M4575" s="7"/>
    </row>
    <row r="4576" spans="1:13" x14ac:dyDescent="0.3">
      <c r="A4576" s="7">
        <v>170041</v>
      </c>
      <c r="B4576" s="7" t="s">
        <v>4583</v>
      </c>
      <c r="C4576" s="7" t="s">
        <v>7005</v>
      </c>
      <c r="D4576" s="7" t="s">
        <v>6295</v>
      </c>
      <c r="E4576" s="7" t="s">
        <v>6940</v>
      </c>
      <c r="F4576" s="7" t="s">
        <v>6980</v>
      </c>
      <c r="G4576" s="7" t="s">
        <v>7150</v>
      </c>
      <c r="H4576" s="7" t="s">
        <v>7156</v>
      </c>
      <c r="I4576" s="7"/>
      <c r="J4576" s="10">
        <v>43717</v>
      </c>
      <c r="K4576" s="7" t="s">
        <v>7165</v>
      </c>
      <c r="L4576" s="7"/>
      <c r="M4576" s="7"/>
    </row>
    <row r="4577" spans="1:13" x14ac:dyDescent="0.3">
      <c r="A4577" s="7">
        <v>700048</v>
      </c>
      <c r="B4577" s="7" t="s">
        <v>4584</v>
      </c>
      <c r="C4577" s="7" t="s">
        <v>7005</v>
      </c>
      <c r="D4577" s="7" t="s">
        <v>6295</v>
      </c>
      <c r="E4577" s="7" t="s">
        <v>6940</v>
      </c>
      <c r="F4577" s="7" t="s">
        <v>6980</v>
      </c>
      <c r="G4577" s="7" t="s">
        <v>7150</v>
      </c>
      <c r="H4577" s="7" t="s">
        <v>7156</v>
      </c>
      <c r="I4577" s="7"/>
      <c r="J4577" s="10">
        <v>42619</v>
      </c>
      <c r="K4577" s="7" t="s">
        <v>7165</v>
      </c>
      <c r="L4577" s="7"/>
      <c r="M4577" s="7"/>
    </row>
    <row r="4578" spans="1:13" x14ac:dyDescent="0.3">
      <c r="A4578" s="7">
        <v>133008</v>
      </c>
      <c r="B4578" s="7" t="s">
        <v>4585</v>
      </c>
      <c r="C4578" s="7" t="s">
        <v>7005</v>
      </c>
      <c r="D4578" s="7" t="s">
        <v>6295</v>
      </c>
      <c r="E4578" s="7" t="s">
        <v>6940</v>
      </c>
      <c r="F4578" s="7" t="s">
        <v>6980</v>
      </c>
      <c r="G4578" s="7" t="s">
        <v>7150</v>
      </c>
      <c r="H4578" s="7" t="s">
        <v>7156</v>
      </c>
      <c r="I4578" s="7"/>
      <c r="J4578" s="10">
        <v>42972</v>
      </c>
      <c r="K4578" s="7" t="s">
        <v>7165</v>
      </c>
      <c r="L4578" s="7"/>
      <c r="M4578" s="7"/>
    </row>
    <row r="4579" spans="1:13" x14ac:dyDescent="0.3">
      <c r="A4579" s="7">
        <v>130046</v>
      </c>
      <c r="B4579" s="7" t="s">
        <v>4586</v>
      </c>
      <c r="C4579" s="7" t="s">
        <v>7005</v>
      </c>
      <c r="D4579" s="7" t="s">
        <v>6295</v>
      </c>
      <c r="E4579" s="7" t="s">
        <v>6940</v>
      </c>
      <c r="F4579" s="7" t="s">
        <v>6980</v>
      </c>
      <c r="G4579" s="7" t="s">
        <v>7150</v>
      </c>
      <c r="H4579" s="7" t="s">
        <v>7156</v>
      </c>
      <c r="I4579" s="7"/>
      <c r="J4579" s="10">
        <v>42810</v>
      </c>
      <c r="K4579" s="7" t="s">
        <v>7165</v>
      </c>
      <c r="L4579" s="7"/>
      <c r="M4579" s="7"/>
    </row>
    <row r="4580" spans="1:13" x14ac:dyDescent="0.3">
      <c r="A4580" s="7">
        <v>206006</v>
      </c>
      <c r="B4580" s="7" t="s">
        <v>4587</v>
      </c>
      <c r="C4580" s="7" t="s">
        <v>7005</v>
      </c>
      <c r="D4580" s="7" t="s">
        <v>6295</v>
      </c>
      <c r="E4580" s="7" t="s">
        <v>6940</v>
      </c>
      <c r="F4580" s="7" t="s">
        <v>6986</v>
      </c>
      <c r="G4580" s="7" t="s">
        <v>7150</v>
      </c>
      <c r="H4580" s="7" t="s">
        <v>7156</v>
      </c>
      <c r="I4580" s="7"/>
      <c r="J4580" s="10">
        <v>44546</v>
      </c>
      <c r="K4580" s="7" t="s">
        <v>7165</v>
      </c>
      <c r="L4580" s="7"/>
      <c r="M4580" s="7"/>
    </row>
    <row r="4581" spans="1:13" x14ac:dyDescent="0.3">
      <c r="A4581" s="7">
        <v>129001</v>
      </c>
      <c r="B4581" s="7" t="s">
        <v>4588</v>
      </c>
      <c r="C4581" s="7" t="s">
        <v>7005</v>
      </c>
      <c r="D4581" s="7" t="s">
        <v>6295</v>
      </c>
      <c r="E4581" s="7" t="s">
        <v>6951</v>
      </c>
      <c r="F4581" s="7" t="s">
        <v>6398</v>
      </c>
      <c r="G4581" s="7" t="s">
        <v>7150</v>
      </c>
      <c r="H4581" s="7" t="s">
        <v>7156</v>
      </c>
      <c r="I4581" s="7"/>
      <c r="J4581" s="10">
        <v>43507</v>
      </c>
      <c r="K4581" s="7" t="s">
        <v>7165</v>
      </c>
      <c r="L4581" s="7"/>
      <c r="M4581" s="7"/>
    </row>
    <row r="4582" spans="1:13" x14ac:dyDescent="0.3">
      <c r="A4582" s="7">
        <v>700002</v>
      </c>
      <c r="B4582" s="7" t="s">
        <v>4589</v>
      </c>
      <c r="C4582" s="7" t="s">
        <v>7006</v>
      </c>
      <c r="D4582" s="7" t="s">
        <v>6295</v>
      </c>
      <c r="E4582" s="7" t="s">
        <v>6295</v>
      </c>
      <c r="F4582" s="7" t="s">
        <v>6939</v>
      </c>
      <c r="G4582" s="7" t="s">
        <v>7150</v>
      </c>
      <c r="H4582" s="7" t="s">
        <v>7156</v>
      </c>
      <c r="I4582" s="7"/>
      <c r="J4582" s="10">
        <v>38387</v>
      </c>
      <c r="K4582" s="7" t="s">
        <v>7165</v>
      </c>
      <c r="L4582" s="7"/>
      <c r="M4582" s="7"/>
    </row>
    <row r="4583" spans="1:13" x14ac:dyDescent="0.3">
      <c r="A4583" s="7">
        <v>830024</v>
      </c>
      <c r="B4583" s="7" t="s">
        <v>4590</v>
      </c>
      <c r="C4583" s="7" t="s">
        <v>7006</v>
      </c>
      <c r="D4583" s="7" t="s">
        <v>6295</v>
      </c>
      <c r="E4583" s="7" t="s">
        <v>6940</v>
      </c>
      <c r="F4583" s="7" t="s">
        <v>6991</v>
      </c>
      <c r="G4583" s="7" t="s">
        <v>7150</v>
      </c>
      <c r="H4583" s="7" t="s">
        <v>7156</v>
      </c>
      <c r="I4583" s="7"/>
      <c r="J4583" s="10">
        <v>42881</v>
      </c>
      <c r="K4583" s="7" t="s">
        <v>7165</v>
      </c>
      <c r="L4583" s="7"/>
      <c r="M4583" s="7"/>
    </row>
    <row r="4584" spans="1:13" x14ac:dyDescent="0.3">
      <c r="A4584" s="7">
        <v>17608</v>
      </c>
      <c r="B4584" s="7" t="s">
        <v>4591</v>
      </c>
      <c r="C4584" s="7" t="s">
        <v>7006</v>
      </c>
      <c r="D4584" s="7" t="s">
        <v>6295</v>
      </c>
      <c r="E4584" s="7" t="s">
        <v>6940</v>
      </c>
      <c r="F4584" s="7" t="s">
        <v>6988</v>
      </c>
      <c r="G4584" s="7" t="s">
        <v>7150</v>
      </c>
      <c r="H4584" s="7" t="s">
        <v>7156</v>
      </c>
      <c r="I4584" s="7"/>
      <c r="J4584" s="10">
        <v>45813</v>
      </c>
      <c r="K4584" s="7" t="s">
        <v>7165</v>
      </c>
      <c r="L4584" s="7"/>
      <c r="M4584" s="7"/>
    </row>
    <row r="4585" spans="1:13" x14ac:dyDescent="0.3">
      <c r="A4585" s="7">
        <v>880036</v>
      </c>
      <c r="B4585" s="7" t="s">
        <v>4592</v>
      </c>
      <c r="C4585" s="7" t="s">
        <v>7006</v>
      </c>
      <c r="D4585" s="7" t="s">
        <v>6295</v>
      </c>
      <c r="E4585" s="7" t="s">
        <v>6940</v>
      </c>
      <c r="F4585" s="7" t="s">
        <v>6980</v>
      </c>
      <c r="G4585" s="7" t="s">
        <v>7150</v>
      </c>
      <c r="H4585" s="7" t="s">
        <v>7156</v>
      </c>
      <c r="I4585" s="7"/>
      <c r="J4585" s="10">
        <v>42850</v>
      </c>
      <c r="K4585" s="7" t="s">
        <v>7165</v>
      </c>
      <c r="L4585" s="7"/>
      <c r="M4585" s="7"/>
    </row>
    <row r="4586" spans="1:13" x14ac:dyDescent="0.3">
      <c r="A4586" s="7">
        <v>710024</v>
      </c>
      <c r="B4586" s="7" t="s">
        <v>4593</v>
      </c>
      <c r="C4586" s="7" t="s">
        <v>7006</v>
      </c>
      <c r="D4586" s="7" t="s">
        <v>6295</v>
      </c>
      <c r="E4586" s="7" t="s">
        <v>6940</v>
      </c>
      <c r="F4586" s="7" t="s">
        <v>6980</v>
      </c>
      <c r="G4586" s="7" t="s">
        <v>7150</v>
      </c>
      <c r="H4586" s="7" t="s">
        <v>7156</v>
      </c>
      <c r="I4586" s="7"/>
      <c r="J4586" s="10">
        <v>42485</v>
      </c>
      <c r="K4586" s="7" t="s">
        <v>7165</v>
      </c>
      <c r="L4586" s="7"/>
      <c r="M4586" s="7"/>
    </row>
    <row r="4587" spans="1:13" x14ac:dyDescent="0.3">
      <c r="A4587" s="7">
        <v>500034</v>
      </c>
      <c r="B4587" s="7" t="s">
        <v>4594</v>
      </c>
      <c r="C4587" s="7" t="s">
        <v>7006</v>
      </c>
      <c r="D4587" s="7" t="s">
        <v>6295</v>
      </c>
      <c r="E4587" s="7" t="s">
        <v>6940</v>
      </c>
      <c r="F4587" s="7" t="s">
        <v>6980</v>
      </c>
      <c r="G4587" s="7" t="s">
        <v>7150</v>
      </c>
      <c r="H4587" s="7" t="s">
        <v>7156</v>
      </c>
      <c r="I4587" s="7"/>
      <c r="J4587" s="10">
        <v>42509</v>
      </c>
      <c r="K4587" s="7" t="s">
        <v>7165</v>
      </c>
      <c r="L4587" s="7"/>
      <c r="M4587" s="7"/>
    </row>
    <row r="4588" spans="1:13" x14ac:dyDescent="0.3">
      <c r="A4588" s="7">
        <v>300175</v>
      </c>
      <c r="B4588" s="7" t="s">
        <v>4595</v>
      </c>
      <c r="C4588" s="7" t="s">
        <v>7006</v>
      </c>
      <c r="D4588" s="7" t="s">
        <v>6295</v>
      </c>
      <c r="E4588" s="7" t="s">
        <v>6940</v>
      </c>
      <c r="F4588" s="7" t="s">
        <v>6986</v>
      </c>
      <c r="G4588" s="7" t="s">
        <v>7150</v>
      </c>
      <c r="H4588" s="7" t="s">
        <v>7156</v>
      </c>
      <c r="I4588" s="7"/>
      <c r="J4588" s="10">
        <v>43661</v>
      </c>
      <c r="K4588" s="7" t="s">
        <v>7165</v>
      </c>
      <c r="L4588" s="7"/>
      <c r="M4588" s="7"/>
    </row>
    <row r="4589" spans="1:13" x14ac:dyDescent="0.3">
      <c r="A4589" s="7">
        <v>14200</v>
      </c>
      <c r="B4589" s="7" t="s">
        <v>4596</v>
      </c>
      <c r="C4589" s="7" t="s">
        <v>7006</v>
      </c>
      <c r="D4589" s="7" t="s">
        <v>6295</v>
      </c>
      <c r="E4589" s="7" t="s">
        <v>6940</v>
      </c>
      <c r="F4589" s="7" t="s">
        <v>6986</v>
      </c>
      <c r="G4589" s="7" t="s">
        <v>7150</v>
      </c>
      <c r="H4589" s="7" t="s">
        <v>7156</v>
      </c>
      <c r="I4589" s="7"/>
      <c r="J4589" s="10">
        <v>44698</v>
      </c>
      <c r="K4589" s="7" t="s">
        <v>7165</v>
      </c>
      <c r="L4589" s="7"/>
      <c r="M4589" s="7"/>
    </row>
    <row r="4590" spans="1:13" x14ac:dyDescent="0.3">
      <c r="A4590" s="7">
        <v>17675</v>
      </c>
      <c r="B4590" s="7" t="s">
        <v>4597</v>
      </c>
      <c r="C4590" s="7" t="s">
        <v>7006</v>
      </c>
      <c r="D4590" s="7" t="s">
        <v>6295</v>
      </c>
      <c r="E4590" s="7" t="s">
        <v>6940</v>
      </c>
      <c r="F4590" s="7" t="s">
        <v>6989</v>
      </c>
      <c r="G4590" s="7" t="s">
        <v>7150</v>
      </c>
      <c r="H4590" s="7" t="s">
        <v>7156</v>
      </c>
      <c r="I4590" s="7"/>
      <c r="J4590" s="10">
        <v>45841</v>
      </c>
      <c r="K4590" s="7" t="s">
        <v>7165</v>
      </c>
      <c r="L4590" s="7"/>
      <c r="M4590" s="7"/>
    </row>
    <row r="4591" spans="1:13" x14ac:dyDescent="0.3">
      <c r="A4591" s="7">
        <v>300162</v>
      </c>
      <c r="B4591" s="7" t="s">
        <v>4598</v>
      </c>
      <c r="C4591" s="7" t="s">
        <v>7006</v>
      </c>
      <c r="D4591" s="7" t="s">
        <v>6295</v>
      </c>
      <c r="E4591" s="7" t="s">
        <v>6951</v>
      </c>
      <c r="F4591" s="7" t="s">
        <v>6398</v>
      </c>
      <c r="G4591" s="7" t="s">
        <v>7150</v>
      </c>
      <c r="H4591" s="7" t="s">
        <v>7156</v>
      </c>
      <c r="I4591" s="7"/>
      <c r="J4591" s="10">
        <v>43531</v>
      </c>
      <c r="K4591" s="7" t="s">
        <v>7165</v>
      </c>
      <c r="L4591" s="7"/>
      <c r="M4591" s="7"/>
    </row>
    <row r="4592" spans="1:13" x14ac:dyDescent="0.3">
      <c r="A4592" s="7">
        <v>190033</v>
      </c>
      <c r="B4592" s="7" t="s">
        <v>4599</v>
      </c>
      <c r="C4592" s="7" t="s">
        <v>7007</v>
      </c>
      <c r="D4592" s="7" t="s">
        <v>6295</v>
      </c>
      <c r="E4592" s="7" t="s">
        <v>6295</v>
      </c>
      <c r="F4592" s="7" t="s">
        <v>6939</v>
      </c>
      <c r="G4592" s="7" t="s">
        <v>7150</v>
      </c>
      <c r="H4592" s="7" t="s">
        <v>7156</v>
      </c>
      <c r="I4592" s="7"/>
      <c r="J4592" s="10">
        <v>41554</v>
      </c>
      <c r="K4592" s="7" t="s">
        <v>7165</v>
      </c>
      <c r="L4592" s="7"/>
      <c r="M4592" s="7"/>
    </row>
    <row r="4593" spans="1:13" x14ac:dyDescent="0.3">
      <c r="A4593" s="7">
        <v>120023</v>
      </c>
      <c r="B4593" s="7" t="s">
        <v>4600</v>
      </c>
      <c r="C4593" s="7" t="s">
        <v>7007</v>
      </c>
      <c r="D4593" s="7" t="s">
        <v>6295</v>
      </c>
      <c r="E4593" s="7" t="s">
        <v>6940</v>
      </c>
      <c r="F4593" s="7" t="s">
        <v>6991</v>
      </c>
      <c r="G4593" s="7" t="s">
        <v>7150</v>
      </c>
      <c r="H4593" s="7" t="s">
        <v>7156</v>
      </c>
      <c r="I4593" s="7"/>
      <c r="J4593" s="10">
        <v>38587</v>
      </c>
      <c r="K4593" s="7" t="s">
        <v>7165</v>
      </c>
      <c r="L4593" s="7"/>
      <c r="M4593" s="7"/>
    </row>
    <row r="4594" spans="1:13" x14ac:dyDescent="0.3">
      <c r="A4594" s="7">
        <v>300021</v>
      </c>
      <c r="B4594" s="7" t="s">
        <v>4601</v>
      </c>
      <c r="C4594" s="7" t="s">
        <v>7007</v>
      </c>
      <c r="D4594" s="7" t="s">
        <v>6295</v>
      </c>
      <c r="E4594" s="7" t="s">
        <v>6940</v>
      </c>
      <c r="F4594" s="7" t="s">
        <v>6991</v>
      </c>
      <c r="G4594" s="7" t="s">
        <v>7150</v>
      </c>
      <c r="H4594" s="7" t="s">
        <v>7156</v>
      </c>
      <c r="I4594" s="7"/>
      <c r="J4594" s="10">
        <v>38958</v>
      </c>
      <c r="K4594" s="7" t="s">
        <v>7165</v>
      </c>
      <c r="L4594" s="7"/>
      <c r="M4594" s="7"/>
    </row>
    <row r="4595" spans="1:13" x14ac:dyDescent="0.3">
      <c r="A4595" s="7">
        <v>300221</v>
      </c>
      <c r="B4595" s="7" t="s">
        <v>4602</v>
      </c>
      <c r="C4595" s="7" t="s">
        <v>7007</v>
      </c>
      <c r="D4595" s="7" t="s">
        <v>6295</v>
      </c>
      <c r="E4595" s="7" t="s">
        <v>6940</v>
      </c>
      <c r="F4595" s="7" t="s">
        <v>6988</v>
      </c>
      <c r="G4595" s="7" t="s">
        <v>7151</v>
      </c>
      <c r="H4595" s="7" t="s">
        <v>7156</v>
      </c>
      <c r="I4595" s="7"/>
      <c r="J4595" s="10">
        <v>44186</v>
      </c>
      <c r="K4595" s="7" t="s">
        <v>7165</v>
      </c>
      <c r="L4595" s="7"/>
      <c r="M4595" s="7"/>
    </row>
    <row r="4596" spans="1:13" x14ac:dyDescent="0.3">
      <c r="A4596" s="7">
        <v>15014</v>
      </c>
      <c r="B4596" s="7" t="s">
        <v>4603</v>
      </c>
      <c r="C4596" s="7" t="s">
        <v>7007</v>
      </c>
      <c r="D4596" s="7" t="s">
        <v>6295</v>
      </c>
      <c r="E4596" s="7" t="s">
        <v>6940</v>
      </c>
      <c r="F4596" s="7" t="s">
        <v>7008</v>
      </c>
      <c r="G4596" s="7" t="s">
        <v>7150</v>
      </c>
      <c r="H4596" s="7" t="s">
        <v>7157</v>
      </c>
      <c r="I4596" s="7"/>
      <c r="J4596" s="10">
        <v>44916</v>
      </c>
      <c r="K4596" s="7" t="s">
        <v>7165</v>
      </c>
      <c r="L4596" s="7"/>
      <c r="M4596" s="7"/>
    </row>
    <row r="4597" spans="1:13" x14ac:dyDescent="0.3">
      <c r="A4597" s="7">
        <v>15939</v>
      </c>
      <c r="B4597" s="7" t="s">
        <v>4604</v>
      </c>
      <c r="C4597" s="7" t="s">
        <v>7007</v>
      </c>
      <c r="D4597" s="7" t="s">
        <v>6295</v>
      </c>
      <c r="E4597" s="7" t="s">
        <v>6940</v>
      </c>
      <c r="F4597" s="7" t="s">
        <v>6992</v>
      </c>
      <c r="G4597" s="7" t="s">
        <v>7152</v>
      </c>
      <c r="H4597" s="7" t="s">
        <v>7156</v>
      </c>
      <c r="I4597" s="7"/>
      <c r="J4597" s="10">
        <v>45245</v>
      </c>
      <c r="K4597" s="7" t="s">
        <v>7165</v>
      </c>
      <c r="L4597" s="7"/>
      <c r="M4597" s="7"/>
    </row>
    <row r="4598" spans="1:13" x14ac:dyDescent="0.3">
      <c r="A4598" s="7">
        <v>500011</v>
      </c>
      <c r="B4598" s="7" t="s">
        <v>4605</v>
      </c>
      <c r="C4598" s="7" t="s">
        <v>7007</v>
      </c>
      <c r="D4598" s="7" t="s">
        <v>6295</v>
      </c>
      <c r="E4598" s="7" t="s">
        <v>6940</v>
      </c>
      <c r="F4598" s="7" t="s">
        <v>6980</v>
      </c>
      <c r="G4598" s="7" t="s">
        <v>7150</v>
      </c>
      <c r="H4598" s="7" t="s">
        <v>7156</v>
      </c>
      <c r="I4598" s="7"/>
      <c r="J4598" s="10">
        <v>39832</v>
      </c>
      <c r="K4598" s="7" t="s">
        <v>7165</v>
      </c>
      <c r="L4598" s="7"/>
      <c r="M4598" s="7"/>
    </row>
    <row r="4599" spans="1:13" x14ac:dyDescent="0.3">
      <c r="A4599" s="7">
        <v>170040</v>
      </c>
      <c r="B4599" s="7" t="s">
        <v>4606</v>
      </c>
      <c r="C4599" s="7" t="s">
        <v>7007</v>
      </c>
      <c r="D4599" s="7" t="s">
        <v>6295</v>
      </c>
      <c r="E4599" s="7" t="s">
        <v>6940</v>
      </c>
      <c r="F4599" s="7" t="s">
        <v>6980</v>
      </c>
      <c r="G4599" s="7" t="s">
        <v>7150</v>
      </c>
      <c r="H4599" s="7" t="s">
        <v>7156</v>
      </c>
      <c r="I4599" s="7"/>
      <c r="J4599" s="10">
        <v>43710</v>
      </c>
      <c r="K4599" s="7" t="s">
        <v>7165</v>
      </c>
      <c r="L4599" s="7"/>
      <c r="M4599" s="7"/>
    </row>
    <row r="4600" spans="1:13" x14ac:dyDescent="0.3">
      <c r="A4600" s="7">
        <v>500041</v>
      </c>
      <c r="B4600" s="7" t="s">
        <v>4607</v>
      </c>
      <c r="C4600" s="7" t="s">
        <v>7007</v>
      </c>
      <c r="D4600" s="7" t="s">
        <v>6295</v>
      </c>
      <c r="E4600" s="7" t="s">
        <v>6940</v>
      </c>
      <c r="F4600" s="7" t="s">
        <v>6980</v>
      </c>
      <c r="G4600" s="7" t="s">
        <v>7150</v>
      </c>
      <c r="H4600" s="7" t="s">
        <v>7156</v>
      </c>
      <c r="I4600" s="7"/>
      <c r="J4600" s="10">
        <v>43700</v>
      </c>
      <c r="K4600" s="7" t="s">
        <v>7165</v>
      </c>
      <c r="L4600" s="7"/>
      <c r="M4600" s="7"/>
    </row>
    <row r="4601" spans="1:13" x14ac:dyDescent="0.3">
      <c r="A4601" s="7">
        <v>500047</v>
      </c>
      <c r="B4601" s="7" t="s">
        <v>4608</v>
      </c>
      <c r="C4601" s="7" t="s">
        <v>7007</v>
      </c>
      <c r="D4601" s="7" t="s">
        <v>6295</v>
      </c>
      <c r="E4601" s="7" t="s">
        <v>6940</v>
      </c>
      <c r="F4601" s="7" t="s">
        <v>6980</v>
      </c>
      <c r="G4601" s="7" t="s">
        <v>7150</v>
      </c>
      <c r="H4601" s="7" t="s">
        <v>7156</v>
      </c>
      <c r="I4601" s="7"/>
      <c r="J4601" s="10">
        <v>44600</v>
      </c>
      <c r="K4601" s="7" t="s">
        <v>7165</v>
      </c>
      <c r="L4601" s="7"/>
      <c r="M4601" s="7"/>
    </row>
    <row r="4602" spans="1:13" x14ac:dyDescent="0.3">
      <c r="A4602" s="7">
        <v>300159</v>
      </c>
      <c r="B4602" s="7" t="s">
        <v>4609</v>
      </c>
      <c r="C4602" s="7" t="s">
        <v>7007</v>
      </c>
      <c r="D4602" s="7" t="s">
        <v>6295</v>
      </c>
      <c r="E4602" s="7" t="s">
        <v>6940</v>
      </c>
      <c r="F4602" s="7" t="s">
        <v>6980</v>
      </c>
      <c r="G4602" s="7" t="s">
        <v>7150</v>
      </c>
      <c r="H4602" s="7" t="s">
        <v>7156</v>
      </c>
      <c r="I4602" s="7"/>
      <c r="J4602" s="10">
        <v>43509</v>
      </c>
      <c r="K4602" s="7" t="s">
        <v>7165</v>
      </c>
      <c r="L4602" s="7"/>
      <c r="M4602" s="7"/>
    </row>
    <row r="4603" spans="1:13" x14ac:dyDescent="0.3">
      <c r="A4603" s="7">
        <v>17851</v>
      </c>
      <c r="B4603" s="7" t="s">
        <v>4610</v>
      </c>
      <c r="C4603" s="7" t="s">
        <v>7007</v>
      </c>
      <c r="D4603" s="7" t="s">
        <v>6295</v>
      </c>
      <c r="E4603" s="7" t="s">
        <v>6940</v>
      </c>
      <c r="F4603" s="7" t="s">
        <v>6987</v>
      </c>
      <c r="G4603" s="7" t="s">
        <v>7150</v>
      </c>
      <c r="H4603" s="7" t="s">
        <v>7156</v>
      </c>
      <c r="I4603" s="7"/>
      <c r="J4603" s="10">
        <v>45891</v>
      </c>
      <c r="K4603" s="7" t="s">
        <v>7165</v>
      </c>
      <c r="L4603" s="7"/>
      <c r="M4603" s="7"/>
    </row>
    <row r="4604" spans="1:13" x14ac:dyDescent="0.3">
      <c r="A4604" s="7">
        <v>17130</v>
      </c>
      <c r="B4604" s="7" t="s">
        <v>4611</v>
      </c>
      <c r="C4604" s="7" t="s">
        <v>7007</v>
      </c>
      <c r="D4604" s="7" t="s">
        <v>6295</v>
      </c>
      <c r="E4604" s="7" t="s">
        <v>6940</v>
      </c>
      <c r="F4604" s="7" t="s">
        <v>6987</v>
      </c>
      <c r="G4604" s="7" t="s">
        <v>7150</v>
      </c>
      <c r="H4604" s="7" t="s">
        <v>7156</v>
      </c>
      <c r="I4604" s="7"/>
      <c r="J4604" s="10">
        <v>45643</v>
      </c>
      <c r="K4604" s="7" t="s">
        <v>7165</v>
      </c>
      <c r="L4604" s="7"/>
      <c r="M4604" s="7"/>
    </row>
    <row r="4605" spans="1:13" x14ac:dyDescent="0.3">
      <c r="A4605" s="7">
        <v>17579</v>
      </c>
      <c r="B4605" s="7" t="s">
        <v>4612</v>
      </c>
      <c r="C4605" s="7" t="s">
        <v>7007</v>
      </c>
      <c r="D4605" s="7" t="s">
        <v>6295</v>
      </c>
      <c r="E4605" s="7" t="s">
        <v>6940</v>
      </c>
      <c r="F4605" s="7" t="s">
        <v>6987</v>
      </c>
      <c r="G4605" s="7" t="s">
        <v>7150</v>
      </c>
      <c r="H4605" s="7" t="s">
        <v>7156</v>
      </c>
      <c r="I4605" s="7"/>
      <c r="J4605" s="10">
        <v>45800</v>
      </c>
      <c r="K4605" s="7" t="s">
        <v>7165</v>
      </c>
      <c r="L4605" s="7"/>
      <c r="M4605" s="7"/>
    </row>
    <row r="4606" spans="1:13" x14ac:dyDescent="0.3">
      <c r="A4606" s="7">
        <v>500017</v>
      </c>
      <c r="B4606" s="7" t="s">
        <v>4613</v>
      </c>
      <c r="C4606" s="7" t="s">
        <v>7007</v>
      </c>
      <c r="D4606" s="7" t="s">
        <v>6295</v>
      </c>
      <c r="E4606" s="7" t="s">
        <v>6951</v>
      </c>
      <c r="F4606" s="7" t="s">
        <v>6398</v>
      </c>
      <c r="G4606" s="7" t="s">
        <v>7150</v>
      </c>
      <c r="H4606" s="7" t="s">
        <v>7156</v>
      </c>
      <c r="I4606" s="7"/>
      <c r="J4606" s="10">
        <v>40634</v>
      </c>
      <c r="K4606" s="7" t="s">
        <v>7165</v>
      </c>
      <c r="L4606" s="7"/>
      <c r="M4606" s="7"/>
    </row>
    <row r="4607" spans="1:13" x14ac:dyDescent="0.3">
      <c r="A4607" s="7">
        <v>10643</v>
      </c>
      <c r="B4607" s="7" t="s">
        <v>4614</v>
      </c>
      <c r="C4607" s="7" t="s">
        <v>7009</v>
      </c>
      <c r="D4607" s="7" t="s">
        <v>6295</v>
      </c>
      <c r="E4607" s="7" t="s">
        <v>6295</v>
      </c>
      <c r="F4607" s="7" t="s">
        <v>6939</v>
      </c>
      <c r="G4607" s="7" t="s">
        <v>7150</v>
      </c>
      <c r="H4607" s="7" t="s">
        <v>7156</v>
      </c>
      <c r="I4607" s="7"/>
      <c r="J4607" s="10">
        <v>41551</v>
      </c>
      <c r="K4607" s="7" t="s">
        <v>7165</v>
      </c>
      <c r="L4607" s="7"/>
      <c r="M4607" s="7"/>
    </row>
    <row r="4608" spans="1:13" x14ac:dyDescent="0.3">
      <c r="A4608" s="7">
        <v>530004</v>
      </c>
      <c r="B4608" s="7" t="s">
        <v>4615</v>
      </c>
      <c r="C4608" s="7" t="s">
        <v>7009</v>
      </c>
      <c r="D4608" s="7" t="s">
        <v>6295</v>
      </c>
      <c r="E4608" s="7" t="s">
        <v>6940</v>
      </c>
      <c r="F4608" s="7" t="s">
        <v>6498</v>
      </c>
      <c r="G4608" s="7" t="s">
        <v>7150</v>
      </c>
      <c r="H4608" s="7" t="s">
        <v>7156</v>
      </c>
      <c r="I4608" s="7"/>
      <c r="J4608" s="10">
        <v>40387</v>
      </c>
      <c r="K4608" s="7" t="s">
        <v>7165</v>
      </c>
      <c r="L4608" s="7"/>
      <c r="M4608" s="7"/>
    </row>
    <row r="4609" spans="1:13" x14ac:dyDescent="0.3">
      <c r="A4609" s="7">
        <v>15013</v>
      </c>
      <c r="B4609" s="7" t="s">
        <v>4616</v>
      </c>
      <c r="C4609" s="7" t="s">
        <v>7009</v>
      </c>
      <c r="D4609" s="7" t="s">
        <v>6295</v>
      </c>
      <c r="E4609" s="7" t="s">
        <v>6940</v>
      </c>
      <c r="F4609" s="7" t="s">
        <v>6979</v>
      </c>
      <c r="G4609" s="7" t="s">
        <v>7150</v>
      </c>
      <c r="H4609" s="7" t="s">
        <v>7156</v>
      </c>
      <c r="I4609" s="7"/>
      <c r="J4609" s="10">
        <v>44915</v>
      </c>
      <c r="K4609" s="7" t="s">
        <v>7165</v>
      </c>
      <c r="L4609" s="7"/>
      <c r="M4609" s="7"/>
    </row>
    <row r="4610" spans="1:13" x14ac:dyDescent="0.3">
      <c r="A4610" s="7">
        <v>17310</v>
      </c>
      <c r="B4610" s="7" t="s">
        <v>4617</v>
      </c>
      <c r="C4610" s="7" t="s">
        <v>7009</v>
      </c>
      <c r="D4610" s="7" t="s">
        <v>6295</v>
      </c>
      <c r="E4610" s="7" t="s">
        <v>6940</v>
      </c>
      <c r="F4610" s="7" t="s">
        <v>6988</v>
      </c>
      <c r="G4610" s="7" t="s">
        <v>7150</v>
      </c>
      <c r="H4610" s="7" t="s">
        <v>7156</v>
      </c>
      <c r="I4610" s="7"/>
      <c r="J4610" s="10">
        <v>45707</v>
      </c>
      <c r="K4610" s="7" t="s">
        <v>7165</v>
      </c>
      <c r="L4610" s="7"/>
      <c r="M4610" s="7"/>
    </row>
    <row r="4611" spans="1:13" x14ac:dyDescent="0.3">
      <c r="A4611" s="7">
        <v>17915</v>
      </c>
      <c r="B4611" s="7" t="s">
        <v>4618</v>
      </c>
      <c r="C4611" s="7" t="s">
        <v>7009</v>
      </c>
      <c r="D4611" s="7" t="s">
        <v>6295</v>
      </c>
      <c r="E4611" s="7" t="s">
        <v>6940</v>
      </c>
      <c r="F4611" s="7" t="s">
        <v>6949</v>
      </c>
      <c r="G4611" s="7" t="s">
        <v>7150</v>
      </c>
      <c r="H4611" s="7" t="s">
        <v>7156</v>
      </c>
      <c r="I4611" s="7"/>
      <c r="J4611" s="10">
        <v>45916</v>
      </c>
      <c r="K4611" s="7" t="s">
        <v>7165</v>
      </c>
      <c r="L4611" s="7"/>
      <c r="M4611" s="7"/>
    </row>
    <row r="4612" spans="1:13" x14ac:dyDescent="0.3">
      <c r="A4612" s="7">
        <v>17295</v>
      </c>
      <c r="B4612" s="7" t="s">
        <v>4619</v>
      </c>
      <c r="C4612" s="7" t="s">
        <v>7009</v>
      </c>
      <c r="D4612" s="7" t="s">
        <v>6295</v>
      </c>
      <c r="E4612" s="7" t="s">
        <v>6940</v>
      </c>
      <c r="F4612" s="7" t="s">
        <v>6989</v>
      </c>
      <c r="G4612" s="7" t="s">
        <v>7150</v>
      </c>
      <c r="H4612" s="7" t="s">
        <v>7156</v>
      </c>
      <c r="I4612" s="7"/>
      <c r="J4612" s="10">
        <v>45693</v>
      </c>
      <c r="K4612" s="7" t="s">
        <v>7165</v>
      </c>
      <c r="L4612" s="7"/>
      <c r="M4612" s="7"/>
    </row>
    <row r="4613" spans="1:13" x14ac:dyDescent="0.3">
      <c r="A4613" s="7">
        <v>15999</v>
      </c>
      <c r="B4613" s="7" t="s">
        <v>4620</v>
      </c>
      <c r="C4613" s="7" t="s">
        <v>7009</v>
      </c>
      <c r="D4613" s="7" t="s">
        <v>6295</v>
      </c>
      <c r="E4613" s="7" t="s">
        <v>6940</v>
      </c>
      <c r="F4613" s="7" t="s">
        <v>6989</v>
      </c>
      <c r="G4613" s="7" t="s">
        <v>7150</v>
      </c>
      <c r="H4613" s="7" t="s">
        <v>7156</v>
      </c>
      <c r="I4613" s="7"/>
      <c r="J4613" s="10">
        <v>45264</v>
      </c>
      <c r="K4613" s="7" t="s">
        <v>7165</v>
      </c>
      <c r="L4613" s="7"/>
      <c r="M4613" s="7"/>
    </row>
    <row r="4614" spans="1:13" x14ac:dyDescent="0.3">
      <c r="A4614" s="7">
        <v>670031</v>
      </c>
      <c r="B4614" s="7" t="s">
        <v>4621</v>
      </c>
      <c r="C4614" s="7" t="s">
        <v>7009</v>
      </c>
      <c r="D4614" s="7" t="s">
        <v>6295</v>
      </c>
      <c r="E4614" s="7" t="s">
        <v>6940</v>
      </c>
      <c r="F4614" s="7" t="s">
        <v>6980</v>
      </c>
      <c r="G4614" s="7" t="s">
        <v>7150</v>
      </c>
      <c r="H4614" s="7" t="s">
        <v>7156</v>
      </c>
      <c r="I4614" s="7"/>
      <c r="J4614" s="10">
        <v>42527</v>
      </c>
      <c r="K4614" s="7" t="s">
        <v>7165</v>
      </c>
      <c r="L4614" s="7"/>
      <c r="M4614" s="7"/>
    </row>
    <row r="4615" spans="1:13" x14ac:dyDescent="0.3">
      <c r="A4615" s="7">
        <v>113041</v>
      </c>
      <c r="B4615" s="7" t="s">
        <v>4622</v>
      </c>
      <c r="C4615" s="7" t="s">
        <v>7009</v>
      </c>
      <c r="D4615" s="7" t="s">
        <v>6295</v>
      </c>
      <c r="E4615" s="7" t="s">
        <v>6940</v>
      </c>
      <c r="F4615" s="7" t="s">
        <v>6986</v>
      </c>
      <c r="G4615" s="7" t="s">
        <v>7151</v>
      </c>
      <c r="H4615" s="7" t="s">
        <v>7156</v>
      </c>
      <c r="I4615" s="7"/>
      <c r="J4615" s="10">
        <v>43840</v>
      </c>
      <c r="K4615" s="7" t="s">
        <v>7165</v>
      </c>
      <c r="L4615" s="7"/>
      <c r="M4615" s="7"/>
    </row>
    <row r="4616" spans="1:13" x14ac:dyDescent="0.3">
      <c r="A4616" s="7">
        <v>18762</v>
      </c>
      <c r="B4616" s="7" t="s">
        <v>4623</v>
      </c>
      <c r="C4616" s="7" t="s">
        <v>7009</v>
      </c>
      <c r="D4616" s="7" t="s">
        <v>6295</v>
      </c>
      <c r="E4616" s="7" t="s">
        <v>6940</v>
      </c>
      <c r="F4616" s="7" t="s">
        <v>7000</v>
      </c>
      <c r="G4616" s="7" t="s">
        <v>7150</v>
      </c>
      <c r="H4616" s="7" t="s">
        <v>7157</v>
      </c>
      <c r="I4616" s="7"/>
      <c r="J4616" s="10">
        <v>46209</v>
      </c>
      <c r="K4616" s="7" t="s">
        <v>7165</v>
      </c>
      <c r="L4616" s="7"/>
      <c r="M4616" s="7"/>
    </row>
    <row r="4617" spans="1:13" x14ac:dyDescent="0.3">
      <c r="A4617" s="7">
        <v>240037</v>
      </c>
      <c r="B4617" s="7" t="s">
        <v>4624</v>
      </c>
      <c r="C4617" s="7" t="s">
        <v>7009</v>
      </c>
      <c r="D4617" s="7" t="s">
        <v>6295</v>
      </c>
      <c r="E4617" s="7" t="s">
        <v>6940</v>
      </c>
      <c r="F4617" s="7" t="s">
        <v>6980</v>
      </c>
      <c r="G4617" s="7" t="s">
        <v>7150</v>
      </c>
      <c r="H4617" s="7" t="s">
        <v>7156</v>
      </c>
      <c r="I4617" s="7"/>
      <c r="J4617" s="10">
        <v>42838</v>
      </c>
      <c r="K4617" s="7" t="s">
        <v>7165</v>
      </c>
      <c r="L4617" s="7"/>
      <c r="M4617" s="7"/>
    </row>
    <row r="4618" spans="1:13" x14ac:dyDescent="0.3">
      <c r="A4618" s="7">
        <v>110025</v>
      </c>
      <c r="B4618" s="7" t="s">
        <v>4625</v>
      </c>
      <c r="C4618" s="7" t="s">
        <v>7009</v>
      </c>
      <c r="D4618" s="7" t="s">
        <v>6295</v>
      </c>
      <c r="E4618" s="7" t="s">
        <v>6940</v>
      </c>
      <c r="F4618" s="7" t="s">
        <v>6980</v>
      </c>
      <c r="G4618" s="7" t="s">
        <v>7150</v>
      </c>
      <c r="H4618" s="7" t="s">
        <v>7156</v>
      </c>
      <c r="I4618" s="7"/>
      <c r="J4618" s="10">
        <v>43018</v>
      </c>
      <c r="K4618" s="7" t="s">
        <v>7165</v>
      </c>
      <c r="L4618" s="7"/>
      <c r="M4618" s="7"/>
    </row>
    <row r="4619" spans="1:13" x14ac:dyDescent="0.3">
      <c r="A4619" s="7">
        <v>110033</v>
      </c>
      <c r="B4619" s="7" t="s">
        <v>4626</v>
      </c>
      <c r="C4619" s="7" t="s">
        <v>7009</v>
      </c>
      <c r="D4619" s="7" t="s">
        <v>6295</v>
      </c>
      <c r="E4619" s="7" t="s">
        <v>6940</v>
      </c>
      <c r="F4619" s="7" t="s">
        <v>6980</v>
      </c>
      <c r="G4619" s="7" t="s">
        <v>7150</v>
      </c>
      <c r="H4619" s="7" t="s">
        <v>7156</v>
      </c>
      <c r="I4619" s="7"/>
      <c r="J4619" s="10">
        <v>44610</v>
      </c>
      <c r="K4619" s="7" t="s">
        <v>7165</v>
      </c>
      <c r="L4619" s="7"/>
      <c r="M4619" s="7"/>
    </row>
    <row r="4620" spans="1:13" x14ac:dyDescent="0.3">
      <c r="A4620" s="7">
        <v>210031</v>
      </c>
      <c r="B4620" s="7" t="s">
        <v>4627</v>
      </c>
      <c r="C4620" s="7" t="s">
        <v>7009</v>
      </c>
      <c r="D4620" s="7" t="s">
        <v>6295</v>
      </c>
      <c r="E4620" s="7" t="s">
        <v>6940</v>
      </c>
      <c r="F4620" s="7" t="s">
        <v>6980</v>
      </c>
      <c r="G4620" s="7" t="s">
        <v>7150</v>
      </c>
      <c r="H4620" s="7" t="s">
        <v>7156</v>
      </c>
      <c r="I4620" s="7"/>
      <c r="J4620" s="10">
        <v>42513</v>
      </c>
      <c r="K4620" s="7" t="s">
        <v>7165</v>
      </c>
      <c r="L4620" s="7"/>
      <c r="M4620" s="7"/>
    </row>
    <row r="4621" spans="1:13" x14ac:dyDescent="0.3">
      <c r="A4621" s="7">
        <v>230040</v>
      </c>
      <c r="B4621" s="7" t="s">
        <v>4628</v>
      </c>
      <c r="C4621" s="7" t="s">
        <v>7009</v>
      </c>
      <c r="D4621" s="7" t="s">
        <v>6295</v>
      </c>
      <c r="E4621" s="7" t="s">
        <v>6940</v>
      </c>
      <c r="F4621" s="7" t="s">
        <v>6986</v>
      </c>
      <c r="G4621" s="7" t="s">
        <v>7150</v>
      </c>
      <c r="H4621" s="7" t="s">
        <v>7156</v>
      </c>
      <c r="I4621" s="7"/>
      <c r="J4621" s="10">
        <v>43692</v>
      </c>
      <c r="K4621" s="7" t="s">
        <v>7165</v>
      </c>
      <c r="L4621" s="7"/>
      <c r="M4621" s="7"/>
    </row>
    <row r="4622" spans="1:13" x14ac:dyDescent="0.3">
      <c r="A4622" s="7">
        <v>300231</v>
      </c>
      <c r="B4622" s="7" t="s">
        <v>4629</v>
      </c>
      <c r="C4622" s="7" t="s">
        <v>7009</v>
      </c>
      <c r="D4622" s="7" t="s">
        <v>6295</v>
      </c>
      <c r="E4622" s="7" t="s">
        <v>6940</v>
      </c>
      <c r="F4622" s="7" t="s">
        <v>6980</v>
      </c>
      <c r="G4622" s="7" t="s">
        <v>7150</v>
      </c>
      <c r="H4622" s="7" t="s">
        <v>7156</v>
      </c>
      <c r="I4622" s="7"/>
      <c r="J4622" s="10">
        <v>44238</v>
      </c>
      <c r="K4622" s="7" t="s">
        <v>7165</v>
      </c>
      <c r="L4622" s="7"/>
      <c r="M4622" s="7"/>
    </row>
    <row r="4623" spans="1:13" x14ac:dyDescent="0.3">
      <c r="A4623" s="7">
        <v>14146</v>
      </c>
      <c r="B4623" s="7" t="s">
        <v>4630</v>
      </c>
      <c r="C4623" s="7" t="s">
        <v>7009</v>
      </c>
      <c r="D4623" s="7" t="s">
        <v>6295</v>
      </c>
      <c r="E4623" s="7" t="s">
        <v>6940</v>
      </c>
      <c r="F4623" s="7" t="s">
        <v>6986</v>
      </c>
      <c r="G4623" s="7" t="s">
        <v>7150</v>
      </c>
      <c r="H4623" s="7" t="s">
        <v>7156</v>
      </c>
      <c r="I4623" s="7"/>
      <c r="J4623" s="10">
        <v>44673</v>
      </c>
      <c r="K4623" s="7" t="s">
        <v>7165</v>
      </c>
      <c r="L4623" s="7"/>
      <c r="M4623" s="7"/>
    </row>
    <row r="4624" spans="1:13" x14ac:dyDescent="0.3">
      <c r="A4624" s="7">
        <v>125003</v>
      </c>
      <c r="B4624" s="7" t="s">
        <v>4631</v>
      </c>
      <c r="C4624" s="7" t="s">
        <v>7009</v>
      </c>
      <c r="D4624" s="7" t="s">
        <v>6295</v>
      </c>
      <c r="E4624" s="7" t="s">
        <v>6940</v>
      </c>
      <c r="F4624" s="7" t="s">
        <v>6986</v>
      </c>
      <c r="G4624" s="7" t="s">
        <v>7151</v>
      </c>
      <c r="H4624" s="7" t="s">
        <v>7156</v>
      </c>
      <c r="I4624" s="7"/>
      <c r="J4624" s="10">
        <v>43392</v>
      </c>
      <c r="K4624" s="7" t="s">
        <v>7165</v>
      </c>
      <c r="L4624" s="7"/>
      <c r="M4624" s="7"/>
    </row>
    <row r="4625" spans="1:13" x14ac:dyDescent="0.3">
      <c r="A4625" s="7">
        <v>14730</v>
      </c>
      <c r="B4625" s="7" t="s">
        <v>4632</v>
      </c>
      <c r="C4625" s="7" t="s">
        <v>7009</v>
      </c>
      <c r="D4625" s="7" t="s">
        <v>6295</v>
      </c>
      <c r="E4625" s="7" t="s">
        <v>6940</v>
      </c>
      <c r="F4625" s="7" t="s">
        <v>6986</v>
      </c>
      <c r="G4625" s="7" t="s">
        <v>7150</v>
      </c>
      <c r="H4625" s="7" t="s">
        <v>7156</v>
      </c>
      <c r="I4625" s="7"/>
      <c r="J4625" s="10">
        <v>44839</v>
      </c>
      <c r="K4625" s="7" t="s">
        <v>7165</v>
      </c>
      <c r="L4625" s="7"/>
      <c r="M4625" s="7"/>
    </row>
    <row r="4626" spans="1:13" x14ac:dyDescent="0.3">
      <c r="A4626" s="7">
        <v>14191</v>
      </c>
      <c r="B4626" s="7" t="s">
        <v>4633</v>
      </c>
      <c r="C4626" s="7" t="s">
        <v>7009</v>
      </c>
      <c r="D4626" s="7" t="s">
        <v>6295</v>
      </c>
      <c r="E4626" s="7" t="s">
        <v>6940</v>
      </c>
      <c r="F4626" s="7" t="s">
        <v>6986</v>
      </c>
      <c r="G4626" s="7" t="s">
        <v>7150</v>
      </c>
      <c r="H4626" s="7" t="s">
        <v>7156</v>
      </c>
      <c r="I4626" s="7"/>
      <c r="J4626" s="10">
        <v>44697</v>
      </c>
      <c r="K4626" s="7" t="s">
        <v>7165</v>
      </c>
      <c r="L4626" s="7"/>
      <c r="M4626" s="7"/>
    </row>
    <row r="4627" spans="1:13" x14ac:dyDescent="0.3">
      <c r="A4627" s="7">
        <v>290042</v>
      </c>
      <c r="B4627" s="7" t="s">
        <v>4634</v>
      </c>
      <c r="C4627" s="7" t="s">
        <v>7009</v>
      </c>
      <c r="D4627" s="7" t="s">
        <v>6295</v>
      </c>
      <c r="E4627" s="7" t="s">
        <v>6940</v>
      </c>
      <c r="F4627" s="7" t="s">
        <v>6986</v>
      </c>
      <c r="G4627" s="7" t="s">
        <v>7150</v>
      </c>
      <c r="H4627" s="7" t="s">
        <v>7156</v>
      </c>
      <c r="I4627" s="7"/>
      <c r="J4627" s="10">
        <v>42531</v>
      </c>
      <c r="K4627" s="7" t="s">
        <v>7165</v>
      </c>
      <c r="L4627" s="7"/>
      <c r="M4627" s="7"/>
    </row>
    <row r="4628" spans="1:13" x14ac:dyDescent="0.3">
      <c r="A4628" s="7">
        <v>17542</v>
      </c>
      <c r="B4628" s="7" t="s">
        <v>4635</v>
      </c>
      <c r="C4628" s="7" t="s">
        <v>7009</v>
      </c>
      <c r="D4628" s="7" t="s">
        <v>6295</v>
      </c>
      <c r="E4628" s="7" t="s">
        <v>6940</v>
      </c>
      <c r="F4628" s="7" t="s">
        <v>6987</v>
      </c>
      <c r="G4628" s="7" t="s">
        <v>7150</v>
      </c>
      <c r="H4628" s="7" t="s">
        <v>7156</v>
      </c>
      <c r="I4628" s="7"/>
      <c r="J4628" s="10">
        <v>45785</v>
      </c>
      <c r="K4628" s="7" t="s">
        <v>7165</v>
      </c>
      <c r="L4628" s="7"/>
      <c r="M4628" s="7"/>
    </row>
    <row r="4629" spans="1:13" x14ac:dyDescent="0.3">
      <c r="A4629" s="7">
        <v>16106</v>
      </c>
      <c r="B4629" s="7" t="s">
        <v>4636</v>
      </c>
      <c r="C4629" s="7" t="s">
        <v>7009</v>
      </c>
      <c r="D4629" s="7" t="s">
        <v>6295</v>
      </c>
      <c r="E4629" s="7" t="s">
        <v>6940</v>
      </c>
      <c r="F4629" s="7" t="s">
        <v>6987</v>
      </c>
      <c r="G4629" s="7" t="s">
        <v>7152</v>
      </c>
      <c r="H4629" s="7" t="s">
        <v>7156</v>
      </c>
      <c r="I4629" s="7"/>
      <c r="J4629" s="10">
        <v>45286</v>
      </c>
      <c r="K4629" s="7" t="s">
        <v>7165</v>
      </c>
      <c r="L4629" s="7"/>
      <c r="M4629" s="7"/>
    </row>
    <row r="4630" spans="1:13" x14ac:dyDescent="0.3">
      <c r="A4630" s="7">
        <v>17816</v>
      </c>
      <c r="B4630" s="7" t="s">
        <v>4637</v>
      </c>
      <c r="C4630" s="7" t="s">
        <v>7009</v>
      </c>
      <c r="D4630" s="7" t="s">
        <v>6295</v>
      </c>
      <c r="E4630" s="7" t="s">
        <v>6940</v>
      </c>
      <c r="F4630" s="7" t="s">
        <v>6987</v>
      </c>
      <c r="G4630" s="7" t="s">
        <v>7150</v>
      </c>
      <c r="H4630" s="7" t="s">
        <v>7156</v>
      </c>
      <c r="I4630" s="7"/>
      <c r="J4630" s="10">
        <v>45882</v>
      </c>
      <c r="K4630" s="7" t="s">
        <v>7165</v>
      </c>
      <c r="L4630" s="7"/>
      <c r="M4630" s="7"/>
    </row>
    <row r="4631" spans="1:13" x14ac:dyDescent="0.3">
      <c r="A4631" s="7">
        <v>16166</v>
      </c>
      <c r="B4631" s="7" t="s">
        <v>4638</v>
      </c>
      <c r="C4631" s="7" t="s">
        <v>7009</v>
      </c>
      <c r="D4631" s="7" t="s">
        <v>6295</v>
      </c>
      <c r="E4631" s="7" t="s">
        <v>6951</v>
      </c>
      <c r="F4631" s="7" t="s">
        <v>6398</v>
      </c>
      <c r="G4631" s="7" t="s">
        <v>7150</v>
      </c>
      <c r="H4631" s="7" t="s">
        <v>7156</v>
      </c>
      <c r="I4631" s="7"/>
      <c r="J4631" s="10">
        <v>45307</v>
      </c>
      <c r="K4631" s="7" t="s">
        <v>7165</v>
      </c>
      <c r="L4631" s="7"/>
      <c r="M4631" s="7"/>
    </row>
    <row r="4632" spans="1:13" x14ac:dyDescent="0.3">
      <c r="A4632" s="7">
        <v>11834</v>
      </c>
      <c r="B4632" s="7" t="s">
        <v>4639</v>
      </c>
      <c r="C4632" s="7" t="s">
        <v>7010</v>
      </c>
      <c r="D4632" s="7" t="s">
        <v>6295</v>
      </c>
      <c r="E4632" s="7" t="s">
        <v>6295</v>
      </c>
      <c r="F4632" s="7" t="s">
        <v>6939</v>
      </c>
      <c r="G4632" s="7" t="s">
        <v>7150</v>
      </c>
      <c r="H4632" s="7" t="s">
        <v>7156</v>
      </c>
      <c r="I4632" s="7"/>
      <c r="J4632" s="10">
        <v>43175</v>
      </c>
      <c r="K4632" s="7" t="s">
        <v>7165</v>
      </c>
      <c r="L4632" s="7"/>
      <c r="M4632" s="7"/>
    </row>
    <row r="4633" spans="1:13" x14ac:dyDescent="0.3">
      <c r="A4633" s="7">
        <v>890016</v>
      </c>
      <c r="B4633" s="7" t="s">
        <v>4640</v>
      </c>
      <c r="C4633" s="7" t="s">
        <v>7010</v>
      </c>
      <c r="D4633" s="7" t="s">
        <v>6295</v>
      </c>
      <c r="E4633" s="7" t="s">
        <v>6940</v>
      </c>
      <c r="F4633" s="7" t="s">
        <v>6991</v>
      </c>
      <c r="G4633" s="7" t="s">
        <v>7150</v>
      </c>
      <c r="H4633" s="7" t="s">
        <v>7156</v>
      </c>
      <c r="I4633" s="7"/>
      <c r="J4633" s="10">
        <v>42772</v>
      </c>
      <c r="K4633" s="7" t="s">
        <v>7165</v>
      </c>
      <c r="L4633" s="7"/>
      <c r="M4633" s="7"/>
    </row>
    <row r="4634" spans="1:13" x14ac:dyDescent="0.3">
      <c r="A4634" s="7">
        <v>670040</v>
      </c>
      <c r="B4634" s="7" t="s">
        <v>4641</v>
      </c>
      <c r="C4634" s="7" t="s">
        <v>7010</v>
      </c>
      <c r="D4634" s="7" t="s">
        <v>6295</v>
      </c>
      <c r="E4634" s="7" t="s">
        <v>6940</v>
      </c>
      <c r="F4634" s="7" t="s">
        <v>6980</v>
      </c>
      <c r="G4634" s="7" t="s">
        <v>7150</v>
      </c>
      <c r="H4634" s="7" t="s">
        <v>7156</v>
      </c>
      <c r="I4634" s="7"/>
      <c r="J4634" s="10">
        <v>43285</v>
      </c>
      <c r="K4634" s="7" t="s">
        <v>7165</v>
      </c>
      <c r="L4634" s="7"/>
      <c r="M4634" s="7"/>
    </row>
    <row r="4635" spans="1:13" x14ac:dyDescent="0.3">
      <c r="A4635" s="7">
        <v>15689</v>
      </c>
      <c r="B4635" s="7" t="s">
        <v>4642</v>
      </c>
      <c r="C4635" s="7" t="s">
        <v>7010</v>
      </c>
      <c r="D4635" s="7" t="s">
        <v>6295</v>
      </c>
      <c r="E4635" s="7" t="s">
        <v>6940</v>
      </c>
      <c r="F4635" s="7" t="s">
        <v>6986</v>
      </c>
      <c r="G4635" s="7" t="s">
        <v>7150</v>
      </c>
      <c r="H4635" s="7" t="s">
        <v>7156</v>
      </c>
      <c r="I4635" s="7"/>
      <c r="J4635" s="10">
        <v>45166</v>
      </c>
      <c r="K4635" s="7" t="s">
        <v>7165</v>
      </c>
      <c r="L4635" s="7"/>
      <c r="M4635" s="7"/>
    </row>
    <row r="4636" spans="1:13" x14ac:dyDescent="0.3">
      <c r="A4636" s="7">
        <v>15054</v>
      </c>
      <c r="B4636" s="7" t="s">
        <v>4643</v>
      </c>
      <c r="C4636" s="7" t="s">
        <v>7010</v>
      </c>
      <c r="D4636" s="7" t="s">
        <v>6295</v>
      </c>
      <c r="E4636" s="7" t="s">
        <v>6940</v>
      </c>
      <c r="F4636" s="7" t="s">
        <v>6986</v>
      </c>
      <c r="G4636" s="7" t="s">
        <v>7150</v>
      </c>
      <c r="H4636" s="7" t="s">
        <v>7156</v>
      </c>
      <c r="I4636" s="7"/>
      <c r="J4636" s="10">
        <v>44932</v>
      </c>
      <c r="K4636" s="7" t="s">
        <v>7165</v>
      </c>
      <c r="L4636" s="7"/>
      <c r="M4636" s="7"/>
    </row>
    <row r="4637" spans="1:13" x14ac:dyDescent="0.3">
      <c r="A4637" s="7">
        <v>15935</v>
      </c>
      <c r="B4637" s="7" t="s">
        <v>4644</v>
      </c>
      <c r="C4637" s="7" t="s">
        <v>7010</v>
      </c>
      <c r="D4637" s="7" t="s">
        <v>6295</v>
      </c>
      <c r="E4637" s="7" t="s">
        <v>6940</v>
      </c>
      <c r="F4637" s="7" t="s">
        <v>6992</v>
      </c>
      <c r="G4637" s="7" t="s">
        <v>7150</v>
      </c>
      <c r="H4637" s="7" t="s">
        <v>7156</v>
      </c>
      <c r="I4637" s="7"/>
      <c r="J4637" s="10">
        <v>45244</v>
      </c>
      <c r="K4637" s="7" t="s">
        <v>7165</v>
      </c>
      <c r="L4637" s="7"/>
      <c r="M4637" s="7"/>
    </row>
    <row r="4638" spans="1:13" x14ac:dyDescent="0.3">
      <c r="A4638" s="7">
        <v>700060</v>
      </c>
      <c r="B4638" s="7" t="s">
        <v>4645</v>
      </c>
      <c r="C4638" s="7" t="s">
        <v>7010</v>
      </c>
      <c r="D4638" s="7" t="s">
        <v>6295</v>
      </c>
      <c r="E4638" s="7" t="s">
        <v>6951</v>
      </c>
      <c r="F4638" s="7" t="s">
        <v>6398</v>
      </c>
      <c r="G4638" s="7" t="s">
        <v>7150</v>
      </c>
      <c r="H4638" s="7" t="s">
        <v>7156</v>
      </c>
      <c r="I4638" s="7"/>
      <c r="J4638" s="10">
        <v>43620</v>
      </c>
      <c r="K4638" s="7" t="s">
        <v>7165</v>
      </c>
      <c r="L4638" s="7"/>
      <c r="M4638" s="7"/>
    </row>
    <row r="4639" spans="1:13" x14ac:dyDescent="0.3">
      <c r="A4639" s="7">
        <v>10665</v>
      </c>
      <c r="B4639" s="7" t="s">
        <v>4646</v>
      </c>
      <c r="C4639" s="7" t="s">
        <v>7011</v>
      </c>
      <c r="D4639" s="7" t="s">
        <v>6295</v>
      </c>
      <c r="E4639" s="7" t="s">
        <v>6295</v>
      </c>
      <c r="F4639" s="7" t="s">
        <v>6939</v>
      </c>
      <c r="G4639" s="7" t="s">
        <v>7150</v>
      </c>
      <c r="H4639" s="7" t="s">
        <v>7156</v>
      </c>
      <c r="I4639" s="7"/>
      <c r="J4639" s="10">
        <v>41631</v>
      </c>
      <c r="K4639" s="7" t="s">
        <v>7165</v>
      </c>
      <c r="L4639" s="7"/>
      <c r="M4639" s="7"/>
    </row>
    <row r="4640" spans="1:13" x14ac:dyDescent="0.3">
      <c r="A4640" s="7">
        <v>270019</v>
      </c>
      <c r="B4640" s="7" t="s">
        <v>4647</v>
      </c>
      <c r="C4640" s="7" t="s">
        <v>7011</v>
      </c>
      <c r="D4640" s="7" t="s">
        <v>6295</v>
      </c>
      <c r="E4640" s="7" t="s">
        <v>6940</v>
      </c>
      <c r="F4640" s="7" t="s">
        <v>6991</v>
      </c>
      <c r="G4640" s="7" t="s">
        <v>7150</v>
      </c>
      <c r="H4640" s="7" t="s">
        <v>7156</v>
      </c>
      <c r="I4640" s="7"/>
      <c r="J4640" s="10">
        <v>37202</v>
      </c>
      <c r="K4640" s="7" t="s">
        <v>7165</v>
      </c>
      <c r="L4640" s="7"/>
      <c r="M4640" s="7"/>
    </row>
    <row r="4641" spans="1:13" x14ac:dyDescent="0.3">
      <c r="A4641" s="7">
        <v>17253</v>
      </c>
      <c r="B4641" s="7" t="s">
        <v>4648</v>
      </c>
      <c r="C4641" s="7" t="s">
        <v>7011</v>
      </c>
      <c r="D4641" s="7" t="s">
        <v>6295</v>
      </c>
      <c r="E4641" s="7" t="s">
        <v>6940</v>
      </c>
      <c r="F4641" s="7" t="s">
        <v>6988</v>
      </c>
      <c r="G4641" s="7" t="s">
        <v>7150</v>
      </c>
      <c r="H4641" s="7" t="s">
        <v>7156</v>
      </c>
      <c r="I4641" s="7"/>
      <c r="J4641" s="10">
        <v>45684</v>
      </c>
      <c r="K4641" s="7" t="s">
        <v>7165</v>
      </c>
      <c r="L4641" s="7"/>
      <c r="M4641" s="7"/>
    </row>
    <row r="4642" spans="1:13" x14ac:dyDescent="0.3">
      <c r="A4642" s="7">
        <v>270047</v>
      </c>
      <c r="B4642" s="7" t="s">
        <v>4649</v>
      </c>
      <c r="C4642" s="7" t="s">
        <v>7011</v>
      </c>
      <c r="D4642" s="7" t="s">
        <v>6295</v>
      </c>
      <c r="E4642" s="7" t="s">
        <v>6940</v>
      </c>
      <c r="F4642" s="7" t="s">
        <v>6980</v>
      </c>
      <c r="G4642" s="7" t="s">
        <v>7150</v>
      </c>
      <c r="H4642" s="7" t="s">
        <v>7156</v>
      </c>
      <c r="I4642" s="7"/>
      <c r="J4642" s="10">
        <v>44083</v>
      </c>
      <c r="K4642" s="7" t="s">
        <v>7165</v>
      </c>
      <c r="L4642" s="7"/>
      <c r="M4642" s="7"/>
    </row>
    <row r="4643" spans="1:13" x14ac:dyDescent="0.3">
      <c r="A4643" s="7">
        <v>260004</v>
      </c>
      <c r="B4643" s="7" t="s">
        <v>4650</v>
      </c>
      <c r="C4643" s="7" t="s">
        <v>7011</v>
      </c>
      <c r="D4643" s="7" t="s">
        <v>6295</v>
      </c>
      <c r="E4643" s="7" t="s">
        <v>6940</v>
      </c>
      <c r="F4643" s="7" t="s">
        <v>6980</v>
      </c>
      <c r="G4643" s="7" t="s">
        <v>7150</v>
      </c>
      <c r="H4643" s="7" t="s">
        <v>7156</v>
      </c>
      <c r="I4643" s="7"/>
      <c r="J4643" s="10">
        <v>38733</v>
      </c>
      <c r="K4643" s="7" t="s">
        <v>7165</v>
      </c>
      <c r="L4643" s="7"/>
      <c r="M4643" s="7"/>
    </row>
    <row r="4644" spans="1:13" x14ac:dyDescent="0.3">
      <c r="A4644" s="7">
        <v>270020</v>
      </c>
      <c r="B4644" s="7" t="s">
        <v>4651</v>
      </c>
      <c r="C4644" s="7" t="s">
        <v>7011</v>
      </c>
      <c r="D4644" s="7" t="s">
        <v>6295</v>
      </c>
      <c r="E4644" s="7" t="s">
        <v>6940</v>
      </c>
      <c r="F4644" s="7" t="s">
        <v>6980</v>
      </c>
      <c r="G4644" s="7" t="s">
        <v>7150</v>
      </c>
      <c r="H4644" s="7" t="s">
        <v>7156</v>
      </c>
      <c r="I4644" s="7"/>
      <c r="J4644" s="10">
        <v>40031</v>
      </c>
      <c r="K4644" s="7" t="s">
        <v>7165</v>
      </c>
      <c r="L4644" s="7"/>
      <c r="M4644" s="7"/>
    </row>
    <row r="4645" spans="1:13" x14ac:dyDescent="0.3">
      <c r="A4645" s="7">
        <v>120049</v>
      </c>
      <c r="B4645" s="7" t="s">
        <v>4652</v>
      </c>
      <c r="C4645" s="7" t="s">
        <v>7011</v>
      </c>
      <c r="D4645" s="7" t="s">
        <v>6295</v>
      </c>
      <c r="E4645" s="7" t="s">
        <v>6940</v>
      </c>
      <c r="F4645" s="7" t="s">
        <v>6980</v>
      </c>
      <c r="G4645" s="7" t="s">
        <v>7150</v>
      </c>
      <c r="H4645" s="7" t="s">
        <v>7156</v>
      </c>
      <c r="I4645" s="7"/>
      <c r="J4645" s="10">
        <v>43679</v>
      </c>
      <c r="K4645" s="7" t="s">
        <v>7165</v>
      </c>
      <c r="L4645" s="7"/>
      <c r="M4645" s="7"/>
    </row>
    <row r="4646" spans="1:13" x14ac:dyDescent="0.3">
      <c r="A4646" s="7">
        <v>820014</v>
      </c>
      <c r="B4646" s="7" t="s">
        <v>4653</v>
      </c>
      <c r="C4646" s="7" t="s">
        <v>7011</v>
      </c>
      <c r="D4646" s="7" t="s">
        <v>6295</v>
      </c>
      <c r="E4646" s="7" t="s">
        <v>6940</v>
      </c>
      <c r="F4646" s="7" t="s">
        <v>6980</v>
      </c>
      <c r="G4646" s="7" t="s">
        <v>7150</v>
      </c>
      <c r="H4646" s="7" t="s">
        <v>7156</v>
      </c>
      <c r="I4646" s="7"/>
      <c r="J4646" s="10">
        <v>41925</v>
      </c>
      <c r="K4646" s="7" t="s">
        <v>7165</v>
      </c>
      <c r="L4646" s="7"/>
      <c r="M4646" s="7"/>
    </row>
    <row r="4647" spans="1:13" x14ac:dyDescent="0.3">
      <c r="A4647" s="7">
        <v>15420</v>
      </c>
      <c r="B4647" s="7" t="s">
        <v>4654</v>
      </c>
      <c r="C4647" s="7" t="s">
        <v>7011</v>
      </c>
      <c r="D4647" s="7" t="s">
        <v>6295</v>
      </c>
      <c r="E4647" s="7" t="s">
        <v>6940</v>
      </c>
      <c r="F4647" s="7" t="s">
        <v>6987</v>
      </c>
      <c r="G4647" s="7" t="s">
        <v>7150</v>
      </c>
      <c r="H4647" s="7" t="s">
        <v>7156</v>
      </c>
      <c r="I4647" s="7"/>
      <c r="J4647" s="10">
        <v>45064</v>
      </c>
      <c r="K4647" s="7" t="s">
        <v>7165</v>
      </c>
      <c r="L4647" s="7"/>
      <c r="M4647" s="7"/>
    </row>
    <row r="4648" spans="1:13" x14ac:dyDescent="0.3">
      <c r="A4648" s="7">
        <v>15096</v>
      </c>
      <c r="B4648" s="7" t="s">
        <v>4655</v>
      </c>
      <c r="C4648" s="7" t="s">
        <v>7011</v>
      </c>
      <c r="D4648" s="7" t="s">
        <v>6295</v>
      </c>
      <c r="E4648" s="7" t="s">
        <v>6940</v>
      </c>
      <c r="F4648" s="7" t="s">
        <v>6987</v>
      </c>
      <c r="G4648" s="7" t="s">
        <v>7150</v>
      </c>
      <c r="H4648" s="7" t="s">
        <v>7156</v>
      </c>
      <c r="I4648" s="7"/>
      <c r="J4648" s="10">
        <v>44945</v>
      </c>
      <c r="K4648" s="7" t="s">
        <v>7165</v>
      </c>
      <c r="L4648" s="7"/>
      <c r="M4648" s="7"/>
    </row>
    <row r="4649" spans="1:13" x14ac:dyDescent="0.3">
      <c r="A4649" s="7">
        <v>220022</v>
      </c>
      <c r="B4649" s="7" t="s">
        <v>4656</v>
      </c>
      <c r="C4649" s="7" t="s">
        <v>7011</v>
      </c>
      <c r="D4649" s="7" t="s">
        <v>6295</v>
      </c>
      <c r="E4649" s="7" t="s">
        <v>6940</v>
      </c>
      <c r="F4649" s="7" t="s">
        <v>6986</v>
      </c>
      <c r="G4649" s="7" t="s">
        <v>7150</v>
      </c>
      <c r="H4649" s="7" t="s">
        <v>7156</v>
      </c>
      <c r="I4649" s="7"/>
      <c r="J4649" s="10">
        <v>42278</v>
      </c>
      <c r="K4649" s="7" t="s">
        <v>7165</v>
      </c>
      <c r="L4649" s="7"/>
      <c r="M4649" s="7"/>
    </row>
    <row r="4650" spans="1:13" x14ac:dyDescent="0.3">
      <c r="A4650" s="7">
        <v>300257</v>
      </c>
      <c r="B4650" s="7" t="s">
        <v>4657</v>
      </c>
      <c r="C4650" s="7" t="s">
        <v>7011</v>
      </c>
      <c r="D4650" s="7" t="s">
        <v>6295</v>
      </c>
      <c r="E4650" s="7" t="s">
        <v>6940</v>
      </c>
      <c r="F4650" s="7" t="s">
        <v>6986</v>
      </c>
      <c r="G4650" s="7" t="s">
        <v>7150</v>
      </c>
      <c r="H4650" s="7" t="s">
        <v>7156</v>
      </c>
      <c r="I4650" s="7"/>
      <c r="J4650" s="10">
        <v>44623</v>
      </c>
      <c r="K4650" s="7" t="s">
        <v>7165</v>
      </c>
      <c r="L4650" s="7"/>
      <c r="M4650" s="7"/>
    </row>
    <row r="4651" spans="1:13" x14ac:dyDescent="0.3">
      <c r="A4651" s="7">
        <v>15194</v>
      </c>
      <c r="B4651" s="7" t="s">
        <v>4658</v>
      </c>
      <c r="C4651" s="7" t="s">
        <v>7011</v>
      </c>
      <c r="D4651" s="7" t="s">
        <v>6295</v>
      </c>
      <c r="E4651" s="7" t="s">
        <v>6940</v>
      </c>
      <c r="F4651" s="7" t="s">
        <v>6986</v>
      </c>
      <c r="G4651" s="7" t="s">
        <v>7150</v>
      </c>
      <c r="H4651" s="7" t="s">
        <v>7156</v>
      </c>
      <c r="I4651" s="7"/>
      <c r="J4651" s="10">
        <v>44979</v>
      </c>
      <c r="K4651" s="7" t="s">
        <v>7165</v>
      </c>
      <c r="L4651" s="7"/>
      <c r="M4651" s="7"/>
    </row>
    <row r="4652" spans="1:13" x14ac:dyDescent="0.3">
      <c r="A4652" s="7">
        <v>14910</v>
      </c>
      <c r="B4652" s="7" t="s">
        <v>4659</v>
      </c>
      <c r="C4652" s="7" t="s">
        <v>7011</v>
      </c>
      <c r="D4652" s="7" t="s">
        <v>6295</v>
      </c>
      <c r="E4652" s="7" t="s">
        <v>6940</v>
      </c>
      <c r="F4652" s="7" t="s">
        <v>6992</v>
      </c>
      <c r="G4652" s="7" t="s">
        <v>7150</v>
      </c>
      <c r="H4652" s="7" t="s">
        <v>7156</v>
      </c>
      <c r="I4652" s="7"/>
      <c r="J4652" s="10">
        <v>44889</v>
      </c>
      <c r="K4652" s="7" t="s">
        <v>7165</v>
      </c>
      <c r="L4652" s="7"/>
      <c r="M4652" s="7"/>
    </row>
    <row r="4653" spans="1:13" x14ac:dyDescent="0.3">
      <c r="A4653" s="7">
        <v>14975</v>
      </c>
      <c r="B4653" s="7" t="s">
        <v>4660</v>
      </c>
      <c r="C4653" s="7" t="s">
        <v>7011</v>
      </c>
      <c r="D4653" s="7" t="s">
        <v>6295</v>
      </c>
      <c r="E4653" s="7" t="s">
        <v>6951</v>
      </c>
      <c r="F4653" s="7" t="s">
        <v>6398</v>
      </c>
      <c r="G4653" s="7" t="s">
        <v>7150</v>
      </c>
      <c r="H4653" s="7" t="s">
        <v>7156</v>
      </c>
      <c r="I4653" s="7"/>
      <c r="J4653" s="10">
        <v>44903</v>
      </c>
      <c r="K4653" s="7" t="s">
        <v>7165</v>
      </c>
      <c r="L4653" s="7"/>
      <c r="M4653" s="7"/>
    </row>
    <row r="4654" spans="1:13" x14ac:dyDescent="0.3">
      <c r="A4654" s="7">
        <v>190001</v>
      </c>
      <c r="B4654" s="7" t="s">
        <v>4661</v>
      </c>
      <c r="C4654" s="7" t="s">
        <v>7012</v>
      </c>
      <c r="D4654" s="7" t="s">
        <v>6295</v>
      </c>
      <c r="E4654" s="7" t="s">
        <v>6295</v>
      </c>
      <c r="F4654" s="7" t="s">
        <v>6939</v>
      </c>
      <c r="G4654" s="7" t="s">
        <v>7150</v>
      </c>
      <c r="H4654" s="7" t="s">
        <v>7156</v>
      </c>
      <c r="I4654" s="7"/>
      <c r="J4654" s="10">
        <v>38629</v>
      </c>
      <c r="K4654" s="7" t="s">
        <v>7165</v>
      </c>
      <c r="L4654" s="7"/>
      <c r="M4654" s="7"/>
    </row>
    <row r="4655" spans="1:13" x14ac:dyDescent="0.3">
      <c r="A4655" s="7">
        <v>300237</v>
      </c>
      <c r="B4655" s="7" t="s">
        <v>4662</v>
      </c>
      <c r="C4655" s="7" t="s">
        <v>7012</v>
      </c>
      <c r="D4655" s="7" t="s">
        <v>6295</v>
      </c>
      <c r="E4655" s="7" t="s">
        <v>6940</v>
      </c>
      <c r="F4655" s="7" t="s">
        <v>6991</v>
      </c>
      <c r="G4655" s="7" t="s">
        <v>7150</v>
      </c>
      <c r="H4655" s="7" t="s">
        <v>7156</v>
      </c>
      <c r="I4655" s="7"/>
      <c r="J4655" s="10">
        <v>44425</v>
      </c>
      <c r="K4655" s="7" t="s">
        <v>7165</v>
      </c>
      <c r="L4655" s="7"/>
      <c r="M4655" s="7"/>
    </row>
    <row r="4656" spans="1:13" x14ac:dyDescent="0.3">
      <c r="A4656" s="7">
        <v>16455</v>
      </c>
      <c r="B4656" s="7" t="s">
        <v>4663</v>
      </c>
      <c r="C4656" s="7" t="s">
        <v>7012</v>
      </c>
      <c r="D4656" s="7" t="s">
        <v>6295</v>
      </c>
      <c r="E4656" s="7" t="s">
        <v>6940</v>
      </c>
      <c r="F4656" s="7" t="s">
        <v>6988</v>
      </c>
      <c r="G4656" s="7" t="s">
        <v>7150</v>
      </c>
      <c r="H4656" s="7" t="s">
        <v>7156</v>
      </c>
      <c r="I4656" s="7"/>
      <c r="J4656" s="10">
        <v>45408</v>
      </c>
      <c r="K4656" s="7" t="s">
        <v>7165</v>
      </c>
      <c r="L4656" s="7"/>
      <c r="M4656" s="7"/>
    </row>
    <row r="4657" spans="1:13" x14ac:dyDescent="0.3">
      <c r="A4657" s="7">
        <v>190016</v>
      </c>
      <c r="B4657" s="7" t="s">
        <v>4664</v>
      </c>
      <c r="C4657" s="7" t="s">
        <v>7012</v>
      </c>
      <c r="D4657" s="7" t="s">
        <v>6295</v>
      </c>
      <c r="E4657" s="7" t="s">
        <v>6940</v>
      </c>
      <c r="F4657" s="7" t="s">
        <v>6986</v>
      </c>
      <c r="G4657" s="7" t="s">
        <v>7150</v>
      </c>
      <c r="H4657" s="7" t="s">
        <v>7156</v>
      </c>
      <c r="I4657" s="7"/>
      <c r="J4657" s="10">
        <v>40247</v>
      </c>
      <c r="K4657" s="7" t="s">
        <v>7165</v>
      </c>
      <c r="L4657" s="7"/>
      <c r="M4657" s="7"/>
    </row>
    <row r="4658" spans="1:13" x14ac:dyDescent="0.3">
      <c r="A4658" s="7">
        <v>240027</v>
      </c>
      <c r="B4658" s="7" t="s">
        <v>4665</v>
      </c>
      <c r="C4658" s="7" t="s">
        <v>7012</v>
      </c>
      <c r="D4658" s="7" t="s">
        <v>6295</v>
      </c>
      <c r="E4658" s="7" t="s">
        <v>6940</v>
      </c>
      <c r="F4658" s="7" t="s">
        <v>6986</v>
      </c>
      <c r="G4658" s="7" t="s">
        <v>7150</v>
      </c>
      <c r="H4658" s="7" t="s">
        <v>7156</v>
      </c>
      <c r="I4658" s="7"/>
      <c r="J4658" s="10">
        <v>41701</v>
      </c>
      <c r="K4658" s="7" t="s">
        <v>7165</v>
      </c>
      <c r="L4658" s="7"/>
      <c r="M4658" s="7"/>
    </row>
    <row r="4659" spans="1:13" x14ac:dyDescent="0.3">
      <c r="A4659" s="7">
        <v>14591</v>
      </c>
      <c r="B4659" s="7" t="s">
        <v>4666</v>
      </c>
      <c r="C4659" s="7" t="s">
        <v>7012</v>
      </c>
      <c r="D4659" s="7" t="s">
        <v>6295</v>
      </c>
      <c r="E4659" s="7" t="s">
        <v>6940</v>
      </c>
      <c r="F4659" s="7" t="s">
        <v>6986</v>
      </c>
      <c r="G4659" s="7" t="s">
        <v>7150</v>
      </c>
      <c r="H4659" s="7" t="s">
        <v>7156</v>
      </c>
      <c r="I4659" s="7"/>
      <c r="J4659" s="10">
        <v>44795</v>
      </c>
      <c r="K4659" s="7" t="s">
        <v>7165</v>
      </c>
      <c r="L4659" s="7"/>
      <c r="M4659" s="7"/>
    </row>
    <row r="4660" spans="1:13" x14ac:dyDescent="0.3">
      <c r="A4660" s="7">
        <v>190046</v>
      </c>
      <c r="B4660" s="7" t="s">
        <v>4667</v>
      </c>
      <c r="C4660" s="7" t="s">
        <v>7012</v>
      </c>
      <c r="D4660" s="7" t="s">
        <v>6295</v>
      </c>
      <c r="E4660" s="7" t="s">
        <v>6940</v>
      </c>
      <c r="F4660" s="7" t="s">
        <v>6986</v>
      </c>
      <c r="G4660" s="7" t="s">
        <v>7150</v>
      </c>
      <c r="H4660" s="7" t="s">
        <v>7156</v>
      </c>
      <c r="I4660" s="7"/>
      <c r="J4660" s="10">
        <v>43809</v>
      </c>
      <c r="K4660" s="7" t="s">
        <v>7165</v>
      </c>
      <c r="L4660" s="7"/>
      <c r="M4660" s="7"/>
    </row>
    <row r="4661" spans="1:13" x14ac:dyDescent="0.3">
      <c r="A4661" s="7">
        <v>14080</v>
      </c>
      <c r="B4661" s="7" t="s">
        <v>4668</v>
      </c>
      <c r="C4661" s="7" t="s">
        <v>7012</v>
      </c>
      <c r="D4661" s="7" t="s">
        <v>6295</v>
      </c>
      <c r="E4661" s="7" t="s">
        <v>6940</v>
      </c>
      <c r="F4661" s="7" t="s">
        <v>6986</v>
      </c>
      <c r="G4661" s="7" t="s">
        <v>7150</v>
      </c>
      <c r="H4661" s="7" t="s">
        <v>7156</v>
      </c>
      <c r="I4661" s="7"/>
      <c r="J4661" s="10">
        <v>44656</v>
      </c>
      <c r="K4661" s="7" t="s">
        <v>7165</v>
      </c>
      <c r="L4661" s="7"/>
      <c r="M4661" s="7"/>
    </row>
    <row r="4662" spans="1:13" x14ac:dyDescent="0.3">
      <c r="A4662" s="7">
        <v>18339</v>
      </c>
      <c r="B4662" s="7" t="s">
        <v>4669</v>
      </c>
      <c r="C4662" s="7" t="s">
        <v>7012</v>
      </c>
      <c r="D4662" s="7" t="s">
        <v>6295</v>
      </c>
      <c r="E4662" s="7" t="s">
        <v>6940</v>
      </c>
      <c r="F4662" s="7" t="s">
        <v>7013</v>
      </c>
      <c r="G4662" s="7" t="s">
        <v>7150</v>
      </c>
      <c r="H4662" s="7" t="s">
        <v>7156</v>
      </c>
      <c r="I4662" s="7"/>
      <c r="J4662" s="10">
        <v>46097</v>
      </c>
      <c r="K4662" s="7" t="s">
        <v>7165</v>
      </c>
      <c r="L4662" s="7"/>
      <c r="M4662" s="7"/>
    </row>
    <row r="4663" spans="1:13" x14ac:dyDescent="0.3">
      <c r="A4663" s="7">
        <v>17165</v>
      </c>
      <c r="B4663" s="7" t="s">
        <v>4670</v>
      </c>
      <c r="C4663" s="7" t="s">
        <v>7012</v>
      </c>
      <c r="D4663" s="7" t="s">
        <v>6295</v>
      </c>
      <c r="E4663" s="7" t="s">
        <v>6940</v>
      </c>
      <c r="F4663" s="7" t="s">
        <v>6989</v>
      </c>
      <c r="G4663" s="7" t="s">
        <v>7150</v>
      </c>
      <c r="H4663" s="7" t="s">
        <v>7156</v>
      </c>
      <c r="I4663" s="7"/>
      <c r="J4663" s="10">
        <v>45652</v>
      </c>
      <c r="K4663" s="7" t="s">
        <v>7165</v>
      </c>
      <c r="L4663" s="7"/>
      <c r="M4663" s="7"/>
    </row>
    <row r="4664" spans="1:13" x14ac:dyDescent="0.3">
      <c r="A4664" s="7">
        <v>190031</v>
      </c>
      <c r="B4664" s="7" t="s">
        <v>4671</v>
      </c>
      <c r="C4664" s="7" t="s">
        <v>7012</v>
      </c>
      <c r="D4664" s="7" t="s">
        <v>6295</v>
      </c>
      <c r="E4664" s="7" t="s">
        <v>6951</v>
      </c>
      <c r="F4664" s="7" t="s">
        <v>6398</v>
      </c>
      <c r="G4664" s="7" t="s">
        <v>7150</v>
      </c>
      <c r="H4664" s="7" t="s">
        <v>7156</v>
      </c>
      <c r="I4664" s="7"/>
      <c r="J4664" s="10">
        <v>38821</v>
      </c>
      <c r="K4664" s="7" t="s">
        <v>7165</v>
      </c>
      <c r="L4664" s="7"/>
      <c r="M4664" s="7"/>
    </row>
    <row r="4665" spans="1:13" x14ac:dyDescent="0.3">
      <c r="A4665" s="7">
        <v>190032</v>
      </c>
      <c r="B4665" s="7" t="s">
        <v>4672</v>
      </c>
      <c r="C4665" s="7" t="s">
        <v>7012</v>
      </c>
      <c r="D4665" s="7" t="s">
        <v>6295</v>
      </c>
      <c r="E4665" s="7" t="s">
        <v>6951</v>
      </c>
      <c r="F4665" s="7" t="s">
        <v>6398</v>
      </c>
      <c r="G4665" s="7" t="s">
        <v>7150</v>
      </c>
      <c r="H4665" s="7" t="s">
        <v>7156</v>
      </c>
      <c r="I4665" s="7"/>
      <c r="J4665" s="10">
        <v>41071</v>
      </c>
      <c r="K4665" s="7" t="s">
        <v>7165</v>
      </c>
      <c r="L4665" s="7"/>
      <c r="M4665" s="7"/>
    </row>
    <row r="4666" spans="1:13" x14ac:dyDescent="0.3">
      <c r="A4666" s="7">
        <v>10793</v>
      </c>
      <c r="B4666" s="7" t="s">
        <v>4673</v>
      </c>
      <c r="C4666" s="7" t="s">
        <v>7014</v>
      </c>
      <c r="D4666" s="7" t="s">
        <v>6295</v>
      </c>
      <c r="E4666" s="7" t="s">
        <v>6295</v>
      </c>
      <c r="F4666" s="7" t="s">
        <v>6939</v>
      </c>
      <c r="G4666" s="7" t="s">
        <v>7150</v>
      </c>
      <c r="H4666" s="7" t="s">
        <v>7156</v>
      </c>
      <c r="I4666" s="7"/>
      <c r="J4666" s="10">
        <v>41897</v>
      </c>
      <c r="K4666" s="7" t="s">
        <v>7165</v>
      </c>
      <c r="L4666" s="7"/>
      <c r="M4666" s="7"/>
    </row>
    <row r="4667" spans="1:13" x14ac:dyDescent="0.3">
      <c r="A4667" s="7">
        <v>710025</v>
      </c>
      <c r="B4667" s="7" t="s">
        <v>4674</v>
      </c>
      <c r="C4667" s="7" t="s">
        <v>7014</v>
      </c>
      <c r="D4667" s="7" t="s">
        <v>6295</v>
      </c>
      <c r="E4667" s="7" t="s">
        <v>6940</v>
      </c>
      <c r="F4667" s="7" t="s">
        <v>6991</v>
      </c>
      <c r="G4667" s="7" t="s">
        <v>7150</v>
      </c>
      <c r="H4667" s="7" t="s">
        <v>7156</v>
      </c>
      <c r="I4667" s="7"/>
      <c r="J4667" s="10">
        <v>42509</v>
      </c>
      <c r="K4667" s="7" t="s">
        <v>7165</v>
      </c>
      <c r="L4667" s="7"/>
      <c r="M4667" s="7"/>
    </row>
    <row r="4668" spans="1:13" x14ac:dyDescent="0.3">
      <c r="A4668" s="7">
        <v>300121</v>
      </c>
      <c r="B4668" s="7" t="s">
        <v>4675</v>
      </c>
      <c r="C4668" s="7" t="s">
        <v>7014</v>
      </c>
      <c r="D4668" s="7" t="s">
        <v>6295</v>
      </c>
      <c r="E4668" s="7" t="s">
        <v>6940</v>
      </c>
      <c r="F4668" s="7" t="s">
        <v>6991</v>
      </c>
      <c r="G4668" s="7" t="s">
        <v>7150</v>
      </c>
      <c r="H4668" s="7" t="s">
        <v>7156</v>
      </c>
      <c r="I4668" s="7"/>
      <c r="J4668" s="10">
        <v>43133</v>
      </c>
      <c r="K4668" s="7" t="s">
        <v>7165</v>
      </c>
      <c r="L4668" s="7"/>
      <c r="M4668" s="7"/>
    </row>
    <row r="4669" spans="1:13" x14ac:dyDescent="0.3">
      <c r="A4669" s="7">
        <v>630024</v>
      </c>
      <c r="B4669" s="7" t="s">
        <v>4676</v>
      </c>
      <c r="C4669" s="7" t="s">
        <v>7014</v>
      </c>
      <c r="D4669" s="7" t="s">
        <v>6295</v>
      </c>
      <c r="E4669" s="7" t="s">
        <v>6940</v>
      </c>
      <c r="F4669" s="7" t="s">
        <v>6979</v>
      </c>
      <c r="G4669" s="7" t="s">
        <v>7150</v>
      </c>
      <c r="H4669" s="7" t="s">
        <v>7156</v>
      </c>
      <c r="I4669" s="7"/>
      <c r="J4669" s="10">
        <v>44546</v>
      </c>
      <c r="K4669" s="7" t="s">
        <v>7165</v>
      </c>
      <c r="L4669" s="7"/>
      <c r="M4669" s="7"/>
    </row>
    <row r="4670" spans="1:13" x14ac:dyDescent="0.3">
      <c r="A4670" s="7">
        <v>17692</v>
      </c>
      <c r="B4670" s="7" t="s">
        <v>4677</v>
      </c>
      <c r="C4670" s="7" t="s">
        <v>7014</v>
      </c>
      <c r="D4670" s="7" t="s">
        <v>6295</v>
      </c>
      <c r="E4670" s="7" t="s">
        <v>6940</v>
      </c>
      <c r="F4670" s="7" t="s">
        <v>6989</v>
      </c>
      <c r="G4670" s="7" t="s">
        <v>7150</v>
      </c>
      <c r="H4670" s="7" t="s">
        <v>7156</v>
      </c>
      <c r="I4670" s="7"/>
      <c r="J4670" s="10">
        <v>45846</v>
      </c>
      <c r="K4670" s="7" t="s">
        <v>7165</v>
      </c>
      <c r="L4670" s="7"/>
      <c r="M4670" s="7"/>
    </row>
    <row r="4671" spans="1:13" x14ac:dyDescent="0.3">
      <c r="A4671" s="7">
        <v>670029</v>
      </c>
      <c r="B4671" s="7" t="s">
        <v>4678</v>
      </c>
      <c r="C4671" s="7" t="s">
        <v>7014</v>
      </c>
      <c r="D4671" s="7" t="s">
        <v>6295</v>
      </c>
      <c r="E4671" s="7" t="s">
        <v>6940</v>
      </c>
      <c r="F4671" s="7" t="s">
        <v>6498</v>
      </c>
      <c r="G4671" s="7" t="s">
        <v>7150</v>
      </c>
      <c r="H4671" s="7" t="s">
        <v>7156</v>
      </c>
      <c r="I4671" s="7"/>
      <c r="J4671" s="10">
        <v>42136</v>
      </c>
      <c r="K4671" s="7" t="s">
        <v>7165</v>
      </c>
      <c r="L4671" s="7"/>
      <c r="M4671" s="7"/>
    </row>
    <row r="4672" spans="1:13" x14ac:dyDescent="0.3">
      <c r="A4672" s="7">
        <v>670027</v>
      </c>
      <c r="B4672" s="7" t="s">
        <v>4679</v>
      </c>
      <c r="C4672" s="7" t="s">
        <v>7014</v>
      </c>
      <c r="D4672" s="7" t="s">
        <v>6295</v>
      </c>
      <c r="E4672" s="7" t="s">
        <v>6940</v>
      </c>
      <c r="F4672" s="7" t="s">
        <v>6980</v>
      </c>
      <c r="G4672" s="7" t="s">
        <v>7150</v>
      </c>
      <c r="H4672" s="7" t="s">
        <v>7156</v>
      </c>
      <c r="I4672" s="7"/>
      <c r="J4672" s="10">
        <v>42019</v>
      </c>
      <c r="K4672" s="7" t="s">
        <v>7165</v>
      </c>
      <c r="L4672" s="7"/>
      <c r="M4672" s="7"/>
    </row>
    <row r="4673" spans="1:13" x14ac:dyDescent="0.3">
      <c r="A4673" s="7">
        <v>830027</v>
      </c>
      <c r="B4673" s="7" t="s">
        <v>4680</v>
      </c>
      <c r="C4673" s="7" t="s">
        <v>7014</v>
      </c>
      <c r="D4673" s="7" t="s">
        <v>6295</v>
      </c>
      <c r="E4673" s="7" t="s">
        <v>6940</v>
      </c>
      <c r="F4673" s="7" t="s">
        <v>6980</v>
      </c>
      <c r="G4673" s="7" t="s">
        <v>7150</v>
      </c>
      <c r="H4673" s="7" t="s">
        <v>7156</v>
      </c>
      <c r="I4673" s="7"/>
      <c r="J4673" s="10">
        <v>43290</v>
      </c>
      <c r="K4673" s="7" t="s">
        <v>7165</v>
      </c>
      <c r="L4673" s="7"/>
      <c r="M4673" s="7"/>
    </row>
    <row r="4674" spans="1:13" x14ac:dyDescent="0.3">
      <c r="A4674" s="7">
        <v>850090</v>
      </c>
      <c r="B4674" s="7" t="s">
        <v>4681</v>
      </c>
      <c r="C4674" s="7" t="s">
        <v>7014</v>
      </c>
      <c r="D4674" s="7" t="s">
        <v>6295</v>
      </c>
      <c r="E4674" s="7" t="s">
        <v>6940</v>
      </c>
      <c r="F4674" s="7" t="s">
        <v>6980</v>
      </c>
      <c r="G4674" s="7" t="s">
        <v>7150</v>
      </c>
      <c r="H4674" s="7" t="s">
        <v>7156</v>
      </c>
      <c r="I4674" s="7"/>
      <c r="J4674" s="10">
        <v>43755</v>
      </c>
      <c r="K4674" s="7" t="s">
        <v>7165</v>
      </c>
      <c r="L4674" s="7"/>
      <c r="M4674" s="7"/>
    </row>
    <row r="4675" spans="1:13" x14ac:dyDescent="0.3">
      <c r="A4675" s="7">
        <v>14077</v>
      </c>
      <c r="B4675" s="7" t="s">
        <v>4682</v>
      </c>
      <c r="C4675" s="7" t="s">
        <v>7014</v>
      </c>
      <c r="D4675" s="7" t="s">
        <v>6295</v>
      </c>
      <c r="E4675" s="7" t="s">
        <v>6940</v>
      </c>
      <c r="F4675" s="7" t="s">
        <v>6980</v>
      </c>
      <c r="G4675" s="7" t="s">
        <v>7150</v>
      </c>
      <c r="H4675" s="7" t="s">
        <v>7156</v>
      </c>
      <c r="I4675" s="7"/>
      <c r="J4675" s="10">
        <v>44655</v>
      </c>
      <c r="K4675" s="7" t="s">
        <v>7165</v>
      </c>
      <c r="L4675" s="7"/>
      <c r="M4675" s="7"/>
    </row>
    <row r="4676" spans="1:13" x14ac:dyDescent="0.3">
      <c r="A4676" s="7">
        <v>710032</v>
      </c>
      <c r="B4676" s="7" t="s">
        <v>4683</v>
      </c>
      <c r="C4676" s="7" t="s">
        <v>7014</v>
      </c>
      <c r="D4676" s="7" t="s">
        <v>6295</v>
      </c>
      <c r="E4676" s="7" t="s">
        <v>6940</v>
      </c>
      <c r="F4676" s="7" t="s">
        <v>6980</v>
      </c>
      <c r="G4676" s="7" t="s">
        <v>7150</v>
      </c>
      <c r="H4676" s="7" t="s">
        <v>7156</v>
      </c>
      <c r="I4676" s="7"/>
      <c r="J4676" s="10">
        <v>43017</v>
      </c>
      <c r="K4676" s="7" t="s">
        <v>7165</v>
      </c>
      <c r="L4676" s="7"/>
      <c r="M4676" s="7"/>
    </row>
    <row r="4677" spans="1:13" x14ac:dyDescent="0.3">
      <c r="A4677" s="7">
        <v>14105</v>
      </c>
      <c r="B4677" s="7" t="s">
        <v>4684</v>
      </c>
      <c r="C4677" s="7" t="s">
        <v>7014</v>
      </c>
      <c r="D4677" s="7" t="s">
        <v>6295</v>
      </c>
      <c r="E4677" s="7" t="s">
        <v>6940</v>
      </c>
      <c r="F4677" s="7" t="s">
        <v>6986</v>
      </c>
      <c r="G4677" s="7" t="s">
        <v>7150</v>
      </c>
      <c r="H4677" s="7" t="s">
        <v>7156</v>
      </c>
      <c r="I4677" s="7"/>
      <c r="J4677" s="10">
        <v>44659</v>
      </c>
      <c r="K4677" s="7" t="s">
        <v>7165</v>
      </c>
      <c r="L4677" s="7"/>
      <c r="M4677" s="7"/>
    </row>
    <row r="4678" spans="1:13" x14ac:dyDescent="0.3">
      <c r="A4678" s="7">
        <v>760046</v>
      </c>
      <c r="B4678" s="7" t="s">
        <v>4685</v>
      </c>
      <c r="C4678" s="7" t="s">
        <v>7014</v>
      </c>
      <c r="D4678" s="7" t="s">
        <v>6295</v>
      </c>
      <c r="E4678" s="7" t="s">
        <v>6940</v>
      </c>
      <c r="F4678" s="7" t="s">
        <v>6986</v>
      </c>
      <c r="G4678" s="7" t="s">
        <v>7150</v>
      </c>
      <c r="H4678" s="7" t="s">
        <v>7156</v>
      </c>
      <c r="I4678" s="7"/>
      <c r="J4678" s="10">
        <v>44516</v>
      </c>
      <c r="K4678" s="7" t="s">
        <v>7165</v>
      </c>
      <c r="L4678" s="7"/>
      <c r="M4678" s="7"/>
    </row>
    <row r="4679" spans="1:13" x14ac:dyDescent="0.3">
      <c r="A4679" s="7">
        <v>15587</v>
      </c>
      <c r="B4679" s="7" t="s">
        <v>4686</v>
      </c>
      <c r="C4679" s="7" t="s">
        <v>7014</v>
      </c>
      <c r="D4679" s="7" t="s">
        <v>6295</v>
      </c>
      <c r="E4679" s="7" t="s">
        <v>6940</v>
      </c>
      <c r="F4679" s="7" t="s">
        <v>6987</v>
      </c>
      <c r="G4679" s="7" t="s">
        <v>7150</v>
      </c>
      <c r="H4679" s="7" t="s">
        <v>7156</v>
      </c>
      <c r="I4679" s="7"/>
      <c r="J4679" s="10">
        <v>45132</v>
      </c>
      <c r="K4679" s="7" t="s">
        <v>7165</v>
      </c>
      <c r="L4679" s="7"/>
      <c r="M4679" s="7"/>
    </row>
    <row r="4680" spans="1:13" x14ac:dyDescent="0.3">
      <c r="A4680" s="7">
        <v>15623</v>
      </c>
      <c r="B4680" s="7" t="s">
        <v>4687</v>
      </c>
      <c r="C4680" s="7" t="s">
        <v>7014</v>
      </c>
      <c r="D4680" s="7" t="s">
        <v>6295</v>
      </c>
      <c r="E4680" s="7" t="s">
        <v>6940</v>
      </c>
      <c r="F4680" s="7" t="s">
        <v>6987</v>
      </c>
      <c r="G4680" s="7" t="s">
        <v>7150</v>
      </c>
      <c r="H4680" s="7" t="s">
        <v>7156</v>
      </c>
      <c r="I4680" s="7"/>
      <c r="J4680" s="10">
        <v>45142</v>
      </c>
      <c r="K4680" s="7" t="s">
        <v>7165</v>
      </c>
      <c r="L4680" s="7"/>
      <c r="M4680" s="7"/>
    </row>
    <row r="4681" spans="1:13" x14ac:dyDescent="0.3">
      <c r="A4681" s="7">
        <v>17252</v>
      </c>
      <c r="B4681" s="7" t="s">
        <v>4688</v>
      </c>
      <c r="C4681" s="7" t="s">
        <v>7014</v>
      </c>
      <c r="D4681" s="7" t="s">
        <v>6295</v>
      </c>
      <c r="E4681" s="7" t="s">
        <v>6940</v>
      </c>
      <c r="F4681" s="7" t="s">
        <v>6987</v>
      </c>
      <c r="G4681" s="7" t="s">
        <v>7150</v>
      </c>
      <c r="H4681" s="7" t="s">
        <v>7156</v>
      </c>
      <c r="I4681" s="7"/>
      <c r="J4681" s="10">
        <v>45684</v>
      </c>
      <c r="K4681" s="7" t="s">
        <v>7165</v>
      </c>
      <c r="L4681" s="7"/>
      <c r="M4681" s="7"/>
    </row>
    <row r="4682" spans="1:13" x14ac:dyDescent="0.3">
      <c r="A4682" s="7">
        <v>14696</v>
      </c>
      <c r="B4682" s="7" t="s">
        <v>4689</v>
      </c>
      <c r="C4682" s="7" t="s">
        <v>7014</v>
      </c>
      <c r="D4682" s="7" t="s">
        <v>6295</v>
      </c>
      <c r="E4682" s="7" t="s">
        <v>6951</v>
      </c>
      <c r="F4682" s="7" t="s">
        <v>6398</v>
      </c>
      <c r="G4682" s="7" t="s">
        <v>7150</v>
      </c>
      <c r="H4682" s="7" t="s">
        <v>7156</v>
      </c>
      <c r="I4682" s="7"/>
      <c r="J4682" s="10">
        <v>44826</v>
      </c>
      <c r="K4682" s="7" t="s">
        <v>7165</v>
      </c>
      <c r="L4682" s="7"/>
      <c r="M4682" s="7"/>
    </row>
    <row r="4683" spans="1:13" x14ac:dyDescent="0.3">
      <c r="A4683" s="7">
        <v>11892</v>
      </c>
      <c r="B4683" s="7" t="s">
        <v>4690</v>
      </c>
      <c r="C4683" s="7" t="s">
        <v>7015</v>
      </c>
      <c r="D4683" s="7" t="s">
        <v>6295</v>
      </c>
      <c r="E4683" s="7" t="s">
        <v>6295</v>
      </c>
      <c r="F4683" s="7" t="s">
        <v>6939</v>
      </c>
      <c r="G4683" s="7" t="s">
        <v>7150</v>
      </c>
      <c r="H4683" s="7" t="s">
        <v>7156</v>
      </c>
      <c r="I4683" s="7"/>
      <c r="J4683" s="10">
        <v>43245</v>
      </c>
      <c r="K4683" s="7" t="s">
        <v>7165</v>
      </c>
      <c r="L4683" s="7"/>
      <c r="M4683" s="7"/>
    </row>
    <row r="4684" spans="1:13" x14ac:dyDescent="0.3">
      <c r="A4684" s="7">
        <v>20024</v>
      </c>
      <c r="B4684" s="7" t="s">
        <v>4691</v>
      </c>
      <c r="C4684" s="7" t="s">
        <v>7015</v>
      </c>
      <c r="D4684" s="7" t="s">
        <v>6295</v>
      </c>
      <c r="E4684" s="7" t="s">
        <v>6940</v>
      </c>
      <c r="F4684" s="7" t="s">
        <v>6991</v>
      </c>
      <c r="G4684" s="7" t="s">
        <v>7150</v>
      </c>
      <c r="H4684" s="7" t="s">
        <v>7156</v>
      </c>
      <c r="I4684" s="7"/>
      <c r="J4684" s="10">
        <v>41043</v>
      </c>
      <c r="K4684" s="7" t="s">
        <v>7165</v>
      </c>
      <c r="L4684" s="7"/>
      <c r="M4684" s="7"/>
    </row>
    <row r="4685" spans="1:13" x14ac:dyDescent="0.3">
      <c r="A4685" s="7">
        <v>220006</v>
      </c>
      <c r="B4685" s="7" t="s">
        <v>4692</v>
      </c>
      <c r="C4685" s="7" t="s">
        <v>7015</v>
      </c>
      <c r="D4685" s="7" t="s">
        <v>6295</v>
      </c>
      <c r="E4685" s="7" t="s">
        <v>6940</v>
      </c>
      <c r="F4685" s="7" t="s">
        <v>6979</v>
      </c>
      <c r="G4685" s="7" t="s">
        <v>7150</v>
      </c>
      <c r="H4685" s="7" t="s">
        <v>7156</v>
      </c>
      <c r="I4685" s="7"/>
      <c r="J4685" s="10">
        <v>36689</v>
      </c>
      <c r="K4685" s="7" t="s">
        <v>7165</v>
      </c>
      <c r="L4685" s="7"/>
      <c r="M4685" s="7"/>
    </row>
    <row r="4686" spans="1:13" x14ac:dyDescent="0.3">
      <c r="A4686" s="7">
        <v>14903</v>
      </c>
      <c r="B4686" s="7" t="s">
        <v>4693</v>
      </c>
      <c r="C4686" s="7" t="s">
        <v>7015</v>
      </c>
      <c r="D4686" s="7" t="s">
        <v>6295</v>
      </c>
      <c r="E4686" s="7" t="s">
        <v>6940</v>
      </c>
      <c r="F4686" s="7" t="s">
        <v>6992</v>
      </c>
      <c r="G4686" s="7" t="s">
        <v>7151</v>
      </c>
      <c r="H4686" s="7" t="s">
        <v>7156</v>
      </c>
      <c r="I4686" s="7"/>
      <c r="J4686" s="10">
        <v>44887</v>
      </c>
      <c r="K4686" s="7" t="s">
        <v>7165</v>
      </c>
      <c r="L4686" s="7"/>
      <c r="M4686" s="7"/>
    </row>
    <row r="4687" spans="1:13" x14ac:dyDescent="0.3">
      <c r="A4687" s="7">
        <v>230046</v>
      </c>
      <c r="B4687" s="7" t="s">
        <v>4694</v>
      </c>
      <c r="C4687" s="7" t="s">
        <v>7015</v>
      </c>
      <c r="D4687" s="7" t="s">
        <v>6295</v>
      </c>
      <c r="E4687" s="7" t="s">
        <v>6940</v>
      </c>
      <c r="F4687" s="7" t="s">
        <v>6992</v>
      </c>
      <c r="G4687" s="7" t="s">
        <v>7150</v>
      </c>
      <c r="H4687" s="7" t="s">
        <v>7156</v>
      </c>
      <c r="I4687" s="7"/>
      <c r="J4687" s="10">
        <v>44558</v>
      </c>
      <c r="K4687" s="7" t="s">
        <v>7165</v>
      </c>
      <c r="L4687" s="7"/>
      <c r="M4687" s="7"/>
    </row>
    <row r="4688" spans="1:13" x14ac:dyDescent="0.3">
      <c r="A4688" s="7">
        <v>410036</v>
      </c>
      <c r="B4688" s="7" t="s">
        <v>4695</v>
      </c>
      <c r="C4688" s="7" t="s">
        <v>7015</v>
      </c>
      <c r="D4688" s="7" t="s">
        <v>6295</v>
      </c>
      <c r="E4688" s="7" t="s">
        <v>6940</v>
      </c>
      <c r="F4688" s="7" t="s">
        <v>6980</v>
      </c>
      <c r="G4688" s="7" t="s">
        <v>7150</v>
      </c>
      <c r="H4688" s="7" t="s">
        <v>7156</v>
      </c>
      <c r="I4688" s="7"/>
      <c r="J4688" s="10">
        <v>42082</v>
      </c>
      <c r="K4688" s="7" t="s">
        <v>7165</v>
      </c>
      <c r="L4688" s="7"/>
      <c r="M4688" s="7"/>
    </row>
    <row r="4689" spans="1:13" x14ac:dyDescent="0.3">
      <c r="A4689" s="7">
        <v>300060</v>
      </c>
      <c r="B4689" s="7" t="s">
        <v>4696</v>
      </c>
      <c r="C4689" s="7" t="s">
        <v>7015</v>
      </c>
      <c r="D4689" s="7" t="s">
        <v>6295</v>
      </c>
      <c r="E4689" s="7" t="s">
        <v>6940</v>
      </c>
      <c r="F4689" s="7" t="s">
        <v>6980</v>
      </c>
      <c r="G4689" s="7" t="s">
        <v>7150</v>
      </c>
      <c r="H4689" s="7" t="s">
        <v>7156</v>
      </c>
      <c r="I4689" s="7"/>
      <c r="J4689" s="10">
        <v>42786</v>
      </c>
      <c r="K4689" s="7" t="s">
        <v>7165</v>
      </c>
      <c r="L4689" s="7"/>
      <c r="M4689" s="7"/>
    </row>
    <row r="4690" spans="1:13" x14ac:dyDescent="0.3">
      <c r="A4690" s="7">
        <v>240019</v>
      </c>
      <c r="B4690" s="7" t="s">
        <v>4697</v>
      </c>
      <c r="C4690" s="7" t="s">
        <v>7015</v>
      </c>
      <c r="D4690" s="7" t="s">
        <v>6295</v>
      </c>
      <c r="E4690" s="7" t="s">
        <v>6940</v>
      </c>
      <c r="F4690" s="7" t="s">
        <v>6980</v>
      </c>
      <c r="G4690" s="7" t="s">
        <v>7150</v>
      </c>
      <c r="H4690" s="7" t="s">
        <v>7156</v>
      </c>
      <c r="I4690" s="7"/>
      <c r="J4690" s="10">
        <v>39854</v>
      </c>
      <c r="K4690" s="7" t="s">
        <v>7165</v>
      </c>
      <c r="L4690" s="7"/>
      <c r="M4690" s="7"/>
    </row>
    <row r="4691" spans="1:13" x14ac:dyDescent="0.3">
      <c r="A4691" s="7">
        <v>110019</v>
      </c>
      <c r="B4691" s="7" t="s">
        <v>4698</v>
      </c>
      <c r="C4691" s="7" t="s">
        <v>7015</v>
      </c>
      <c r="D4691" s="7" t="s">
        <v>6295</v>
      </c>
      <c r="E4691" s="7" t="s">
        <v>6940</v>
      </c>
      <c r="F4691" s="7" t="s">
        <v>6980</v>
      </c>
      <c r="G4691" s="7" t="s">
        <v>7150</v>
      </c>
      <c r="H4691" s="7" t="s">
        <v>7156</v>
      </c>
      <c r="I4691" s="7"/>
      <c r="J4691" s="10">
        <v>42333</v>
      </c>
      <c r="K4691" s="7" t="s">
        <v>7165</v>
      </c>
      <c r="L4691" s="7"/>
      <c r="M4691" s="7"/>
    </row>
    <row r="4692" spans="1:13" x14ac:dyDescent="0.3">
      <c r="A4692" s="7">
        <v>700045</v>
      </c>
      <c r="B4692" s="7" t="s">
        <v>4699</v>
      </c>
      <c r="C4692" s="7" t="s">
        <v>7015</v>
      </c>
      <c r="D4692" s="7" t="s">
        <v>6295</v>
      </c>
      <c r="E4692" s="7" t="s">
        <v>6940</v>
      </c>
      <c r="F4692" s="7" t="s">
        <v>6980</v>
      </c>
      <c r="G4692" s="7" t="s">
        <v>7150</v>
      </c>
      <c r="H4692" s="7" t="s">
        <v>7156</v>
      </c>
      <c r="I4692" s="7"/>
      <c r="J4692" s="10">
        <v>42405</v>
      </c>
      <c r="K4692" s="7" t="s">
        <v>7165</v>
      </c>
      <c r="L4692" s="7"/>
      <c r="M4692" s="7"/>
    </row>
    <row r="4693" spans="1:13" x14ac:dyDescent="0.3">
      <c r="A4693" s="7">
        <v>300255</v>
      </c>
      <c r="B4693" s="7" t="s">
        <v>4700</v>
      </c>
      <c r="C4693" s="7" t="s">
        <v>7015</v>
      </c>
      <c r="D4693" s="7" t="s">
        <v>6295</v>
      </c>
      <c r="E4693" s="7" t="s">
        <v>6940</v>
      </c>
      <c r="F4693" s="7" t="s">
        <v>6980</v>
      </c>
      <c r="G4693" s="7" t="s">
        <v>7150</v>
      </c>
      <c r="H4693" s="7" t="s">
        <v>7156</v>
      </c>
      <c r="I4693" s="7"/>
      <c r="J4693" s="10">
        <v>44610</v>
      </c>
      <c r="K4693" s="7" t="s">
        <v>7165</v>
      </c>
      <c r="L4693" s="7"/>
      <c r="M4693" s="7"/>
    </row>
    <row r="4694" spans="1:13" x14ac:dyDescent="0.3">
      <c r="A4694" s="7">
        <v>800032</v>
      </c>
      <c r="B4694" s="7" t="s">
        <v>4701</v>
      </c>
      <c r="C4694" s="7" t="s">
        <v>7015</v>
      </c>
      <c r="D4694" s="7" t="s">
        <v>6295</v>
      </c>
      <c r="E4694" s="7" t="s">
        <v>6940</v>
      </c>
      <c r="F4694" s="7" t="s">
        <v>6986</v>
      </c>
      <c r="G4694" s="7" t="s">
        <v>7150</v>
      </c>
      <c r="H4694" s="7" t="s">
        <v>7156</v>
      </c>
      <c r="I4694" s="7"/>
      <c r="J4694" s="10">
        <v>42508</v>
      </c>
      <c r="K4694" s="7" t="s">
        <v>7165</v>
      </c>
      <c r="L4694" s="7"/>
      <c r="M4694" s="7"/>
    </row>
    <row r="4695" spans="1:13" x14ac:dyDescent="0.3">
      <c r="A4695" s="7">
        <v>230041</v>
      </c>
      <c r="B4695" s="7" t="s">
        <v>4702</v>
      </c>
      <c r="C4695" s="7" t="s">
        <v>7015</v>
      </c>
      <c r="D4695" s="7" t="s">
        <v>6295</v>
      </c>
      <c r="E4695" s="7" t="s">
        <v>6940</v>
      </c>
      <c r="F4695" s="7" t="s">
        <v>6980</v>
      </c>
      <c r="G4695" s="7" t="s">
        <v>7150</v>
      </c>
      <c r="H4695" s="7" t="s">
        <v>7156</v>
      </c>
      <c r="I4695" s="7"/>
      <c r="J4695" s="10">
        <v>43720</v>
      </c>
      <c r="K4695" s="7" t="s">
        <v>7165</v>
      </c>
      <c r="L4695" s="7"/>
      <c r="M4695" s="7"/>
    </row>
    <row r="4696" spans="1:13" x14ac:dyDescent="0.3">
      <c r="A4696" s="7">
        <v>500006</v>
      </c>
      <c r="B4696" s="7" t="s">
        <v>4703</v>
      </c>
      <c r="C4696" s="7" t="s">
        <v>7015</v>
      </c>
      <c r="D4696" s="7" t="s">
        <v>6295</v>
      </c>
      <c r="E4696" s="7" t="s">
        <v>6940</v>
      </c>
      <c r="F4696" s="7" t="s">
        <v>6980</v>
      </c>
      <c r="G4696" s="7" t="s">
        <v>7150</v>
      </c>
      <c r="H4696" s="7" t="s">
        <v>7156</v>
      </c>
      <c r="I4696" s="7"/>
      <c r="J4696" s="10">
        <v>40232</v>
      </c>
      <c r="K4696" s="7" t="s">
        <v>7165</v>
      </c>
      <c r="L4696" s="7"/>
      <c r="M4696" s="7"/>
    </row>
    <row r="4697" spans="1:13" x14ac:dyDescent="0.3">
      <c r="A4697" s="7">
        <v>17444</v>
      </c>
      <c r="B4697" s="7" t="s">
        <v>4704</v>
      </c>
      <c r="C4697" s="7" t="s">
        <v>7015</v>
      </c>
      <c r="D4697" s="7" t="s">
        <v>6295</v>
      </c>
      <c r="E4697" s="7" t="s">
        <v>6940</v>
      </c>
      <c r="F4697" s="7" t="s">
        <v>6987</v>
      </c>
      <c r="G4697" s="7" t="s">
        <v>7150</v>
      </c>
      <c r="H4697" s="7" t="s">
        <v>7156</v>
      </c>
      <c r="I4697" s="7"/>
      <c r="J4697" s="10">
        <v>45755</v>
      </c>
      <c r="K4697" s="7" t="s">
        <v>7165</v>
      </c>
      <c r="L4697" s="7"/>
      <c r="M4697" s="7"/>
    </row>
    <row r="4698" spans="1:13" x14ac:dyDescent="0.3">
      <c r="A4698" s="7">
        <v>16123</v>
      </c>
      <c r="B4698" s="7" t="s">
        <v>4705</v>
      </c>
      <c r="C4698" s="7" t="s">
        <v>7015</v>
      </c>
      <c r="D4698" s="7" t="s">
        <v>6295</v>
      </c>
      <c r="E4698" s="7" t="s">
        <v>6940</v>
      </c>
      <c r="F4698" s="7" t="s">
        <v>6986</v>
      </c>
      <c r="G4698" s="7" t="s">
        <v>7150</v>
      </c>
      <c r="H4698" s="7" t="s">
        <v>7156</v>
      </c>
      <c r="I4698" s="7"/>
      <c r="J4698" s="10">
        <v>45289</v>
      </c>
      <c r="K4698" s="7" t="s">
        <v>7165</v>
      </c>
      <c r="L4698" s="7"/>
      <c r="M4698" s="7"/>
    </row>
    <row r="4699" spans="1:13" x14ac:dyDescent="0.3">
      <c r="A4699" s="7">
        <v>800045</v>
      </c>
      <c r="B4699" s="7" t="s">
        <v>4706</v>
      </c>
      <c r="C4699" s="7" t="s">
        <v>7015</v>
      </c>
      <c r="D4699" s="7" t="s">
        <v>6295</v>
      </c>
      <c r="E4699" s="7" t="s">
        <v>6940</v>
      </c>
      <c r="F4699" s="7" t="s">
        <v>6987</v>
      </c>
      <c r="G4699" s="7" t="s">
        <v>7151</v>
      </c>
      <c r="H4699" s="7" t="s">
        <v>7156</v>
      </c>
      <c r="I4699" s="7"/>
      <c r="J4699" s="10">
        <v>44543</v>
      </c>
      <c r="K4699" s="7" t="s">
        <v>7165</v>
      </c>
      <c r="L4699" s="7"/>
      <c r="M4699" s="7"/>
    </row>
    <row r="4700" spans="1:13" x14ac:dyDescent="0.3">
      <c r="A4700" s="7">
        <v>14742</v>
      </c>
      <c r="B4700" s="7" t="s">
        <v>4707</v>
      </c>
      <c r="C4700" s="7" t="s">
        <v>7015</v>
      </c>
      <c r="D4700" s="7" t="s">
        <v>6295</v>
      </c>
      <c r="E4700" s="7" t="s">
        <v>6940</v>
      </c>
      <c r="F4700" s="7" t="s">
        <v>7016</v>
      </c>
      <c r="G4700" s="7" t="s">
        <v>7150</v>
      </c>
      <c r="H4700" s="7" t="s">
        <v>7157</v>
      </c>
      <c r="I4700" s="7"/>
      <c r="J4700" s="10">
        <v>44840</v>
      </c>
      <c r="K4700" s="7" t="s">
        <v>7165</v>
      </c>
      <c r="L4700" s="7"/>
      <c r="M4700" s="7"/>
    </row>
    <row r="4701" spans="1:13" x14ac:dyDescent="0.3">
      <c r="A4701" s="7">
        <v>17389</v>
      </c>
      <c r="B4701" s="7" t="s">
        <v>4708</v>
      </c>
      <c r="C4701" s="7" t="s">
        <v>7015</v>
      </c>
      <c r="D4701" s="7" t="s">
        <v>6295</v>
      </c>
      <c r="E4701" s="7" t="s">
        <v>6940</v>
      </c>
      <c r="F4701" s="7" t="s">
        <v>6989</v>
      </c>
      <c r="G4701" s="7" t="s">
        <v>7150</v>
      </c>
      <c r="H4701" s="7" t="s">
        <v>7156</v>
      </c>
      <c r="I4701" s="7"/>
      <c r="J4701" s="10">
        <v>45729</v>
      </c>
      <c r="K4701" s="7" t="s">
        <v>7165</v>
      </c>
      <c r="L4701" s="7"/>
      <c r="M4701" s="7"/>
    </row>
    <row r="4702" spans="1:13" x14ac:dyDescent="0.3">
      <c r="A4702" s="7">
        <v>800020</v>
      </c>
      <c r="B4702" s="7" t="s">
        <v>4709</v>
      </c>
      <c r="C4702" s="7" t="s">
        <v>7015</v>
      </c>
      <c r="D4702" s="7" t="s">
        <v>6295</v>
      </c>
      <c r="E4702" s="7" t="s">
        <v>6951</v>
      </c>
      <c r="F4702" s="7" t="s">
        <v>6398</v>
      </c>
      <c r="G4702" s="7" t="s">
        <v>7150</v>
      </c>
      <c r="H4702" s="7" t="s">
        <v>7156</v>
      </c>
      <c r="I4702" s="7"/>
      <c r="J4702" s="10">
        <v>39022</v>
      </c>
      <c r="K4702" s="7" t="s">
        <v>7165</v>
      </c>
      <c r="L4702" s="7"/>
      <c r="M4702" s="7"/>
    </row>
    <row r="4703" spans="1:13" x14ac:dyDescent="0.3">
      <c r="A4703" s="7">
        <v>10956</v>
      </c>
      <c r="B4703" s="7" t="s">
        <v>4710</v>
      </c>
      <c r="C4703" s="7" t="s">
        <v>7017</v>
      </c>
      <c r="D4703" s="7" t="s">
        <v>6295</v>
      </c>
      <c r="E4703" s="7" t="s">
        <v>6295</v>
      </c>
      <c r="F4703" s="7" t="s">
        <v>6939</v>
      </c>
      <c r="G4703" s="7" t="s">
        <v>7150</v>
      </c>
      <c r="H4703" s="7" t="s">
        <v>7156</v>
      </c>
      <c r="I4703" s="7"/>
      <c r="J4703" s="10">
        <v>42187</v>
      </c>
      <c r="K4703" s="7" t="s">
        <v>7165</v>
      </c>
      <c r="L4703" s="7"/>
      <c r="M4703" s="7"/>
    </row>
    <row r="4704" spans="1:13" x14ac:dyDescent="0.3">
      <c r="A4704" s="7">
        <v>20023</v>
      </c>
      <c r="B4704" s="7" t="s">
        <v>4711</v>
      </c>
      <c r="C4704" s="7" t="s">
        <v>7017</v>
      </c>
      <c r="D4704" s="7" t="s">
        <v>6295</v>
      </c>
      <c r="E4704" s="7" t="s">
        <v>6940</v>
      </c>
      <c r="F4704" s="7" t="s">
        <v>6991</v>
      </c>
      <c r="G4704" s="7" t="s">
        <v>7150</v>
      </c>
      <c r="H4704" s="7" t="s">
        <v>7156</v>
      </c>
      <c r="I4704" s="7"/>
      <c r="J4704" s="10">
        <v>36697</v>
      </c>
      <c r="K4704" s="7" t="s">
        <v>7165</v>
      </c>
      <c r="L4704" s="7"/>
      <c r="M4704" s="7"/>
    </row>
    <row r="4705" spans="1:13" x14ac:dyDescent="0.3">
      <c r="A4705" s="7">
        <v>17776</v>
      </c>
      <c r="B4705" s="7" t="s">
        <v>4712</v>
      </c>
      <c r="C4705" s="7" t="s">
        <v>7017</v>
      </c>
      <c r="D4705" s="7" t="s">
        <v>6295</v>
      </c>
      <c r="E4705" s="7" t="s">
        <v>6940</v>
      </c>
      <c r="F4705" s="7" t="s">
        <v>6988</v>
      </c>
      <c r="G4705" s="7" t="s">
        <v>7150</v>
      </c>
      <c r="H4705" s="7" t="s">
        <v>7156</v>
      </c>
      <c r="I4705" s="7"/>
      <c r="J4705" s="10">
        <v>45876</v>
      </c>
      <c r="K4705" s="7" t="s">
        <v>7165</v>
      </c>
      <c r="L4705" s="7"/>
      <c r="M4705" s="7"/>
    </row>
    <row r="4706" spans="1:13" x14ac:dyDescent="0.3">
      <c r="A4706" s="7">
        <v>300165</v>
      </c>
      <c r="B4706" s="7" t="s">
        <v>4713</v>
      </c>
      <c r="C4706" s="7" t="s">
        <v>7017</v>
      </c>
      <c r="D4706" s="7" t="s">
        <v>6295</v>
      </c>
      <c r="E4706" s="7" t="s">
        <v>6940</v>
      </c>
      <c r="F4706" s="7" t="s">
        <v>6986</v>
      </c>
      <c r="G4706" s="7" t="s">
        <v>7151</v>
      </c>
      <c r="H4706" s="7" t="s">
        <v>7156</v>
      </c>
      <c r="I4706" s="7"/>
      <c r="J4706" s="10">
        <v>43598</v>
      </c>
      <c r="K4706" s="7" t="s">
        <v>7165</v>
      </c>
      <c r="L4706" s="7"/>
      <c r="M4706" s="7"/>
    </row>
    <row r="4707" spans="1:13" x14ac:dyDescent="0.3">
      <c r="A4707" s="7">
        <v>14522</v>
      </c>
      <c r="B4707" s="7" t="s">
        <v>4714</v>
      </c>
      <c r="C4707" s="7" t="s">
        <v>7017</v>
      </c>
      <c r="D4707" s="7" t="s">
        <v>6295</v>
      </c>
      <c r="E4707" s="7" t="s">
        <v>6940</v>
      </c>
      <c r="F4707" s="7" t="s">
        <v>6986</v>
      </c>
      <c r="G4707" s="7" t="s">
        <v>7150</v>
      </c>
      <c r="H4707" s="7" t="s">
        <v>7156</v>
      </c>
      <c r="I4707" s="7"/>
      <c r="J4707" s="10">
        <v>44776</v>
      </c>
      <c r="K4707" s="7" t="s">
        <v>7165</v>
      </c>
      <c r="L4707" s="7"/>
      <c r="M4707" s="7"/>
    </row>
    <row r="4708" spans="1:13" x14ac:dyDescent="0.3">
      <c r="A4708" s="7">
        <v>450046</v>
      </c>
      <c r="B4708" s="7" t="s">
        <v>4715</v>
      </c>
      <c r="C4708" s="7" t="s">
        <v>7017</v>
      </c>
      <c r="D4708" s="7" t="s">
        <v>6295</v>
      </c>
      <c r="E4708" s="7" t="s">
        <v>6940</v>
      </c>
      <c r="F4708" s="7" t="s">
        <v>6986</v>
      </c>
      <c r="G4708" s="7" t="s">
        <v>7150</v>
      </c>
      <c r="H4708" s="7" t="s">
        <v>7156</v>
      </c>
      <c r="I4708" s="7"/>
      <c r="J4708" s="10">
        <v>43356</v>
      </c>
      <c r="K4708" s="7" t="s">
        <v>7165</v>
      </c>
      <c r="L4708" s="7"/>
      <c r="M4708" s="7"/>
    </row>
    <row r="4709" spans="1:13" x14ac:dyDescent="0.3">
      <c r="A4709" s="7">
        <v>720047</v>
      </c>
      <c r="B4709" s="7" t="s">
        <v>4716</v>
      </c>
      <c r="C4709" s="7" t="s">
        <v>7017</v>
      </c>
      <c r="D4709" s="7" t="s">
        <v>6295</v>
      </c>
      <c r="E4709" s="7" t="s">
        <v>6940</v>
      </c>
      <c r="F4709" s="7" t="s">
        <v>6980</v>
      </c>
      <c r="G4709" s="7" t="s">
        <v>7150</v>
      </c>
      <c r="H4709" s="7" t="s">
        <v>7156</v>
      </c>
      <c r="I4709" s="7"/>
      <c r="J4709" s="10">
        <v>43825</v>
      </c>
      <c r="K4709" s="7" t="s">
        <v>7165</v>
      </c>
      <c r="L4709" s="7"/>
      <c r="M4709" s="7"/>
    </row>
    <row r="4710" spans="1:13" x14ac:dyDescent="0.3">
      <c r="A4710" s="7">
        <v>180067</v>
      </c>
      <c r="B4710" s="7" t="s">
        <v>4717</v>
      </c>
      <c r="C4710" s="7" t="s">
        <v>7017</v>
      </c>
      <c r="D4710" s="7" t="s">
        <v>6295</v>
      </c>
      <c r="E4710" s="7" t="s">
        <v>6940</v>
      </c>
      <c r="F4710" s="7" t="s">
        <v>6986</v>
      </c>
      <c r="G4710" s="7" t="s">
        <v>7150</v>
      </c>
      <c r="H4710" s="7" t="s">
        <v>7156</v>
      </c>
      <c r="I4710" s="7"/>
      <c r="J4710" s="10">
        <v>44587</v>
      </c>
      <c r="K4710" s="7" t="s">
        <v>7165</v>
      </c>
      <c r="L4710" s="7"/>
      <c r="M4710" s="7"/>
    </row>
    <row r="4711" spans="1:13" x14ac:dyDescent="0.3">
      <c r="A4711" s="7">
        <v>16730</v>
      </c>
      <c r="B4711" s="7" t="s">
        <v>4718</v>
      </c>
      <c r="C4711" s="7" t="s">
        <v>7017</v>
      </c>
      <c r="D4711" s="7" t="s">
        <v>6295</v>
      </c>
      <c r="E4711" s="7" t="s">
        <v>6940</v>
      </c>
      <c r="F4711" s="7" t="s">
        <v>6987</v>
      </c>
      <c r="G4711" s="7" t="s">
        <v>7150</v>
      </c>
      <c r="H4711" s="7" t="s">
        <v>7156</v>
      </c>
      <c r="I4711" s="7"/>
      <c r="J4711" s="10">
        <v>45538</v>
      </c>
      <c r="K4711" s="7" t="s">
        <v>7165</v>
      </c>
      <c r="L4711" s="7"/>
      <c r="M4711" s="7"/>
    </row>
    <row r="4712" spans="1:13" x14ac:dyDescent="0.3">
      <c r="A4712" s="7">
        <v>550044</v>
      </c>
      <c r="B4712" s="7" t="s">
        <v>4719</v>
      </c>
      <c r="C4712" s="7" t="s">
        <v>7017</v>
      </c>
      <c r="D4712" s="7" t="s">
        <v>6295</v>
      </c>
      <c r="E4712" s="7" t="s">
        <v>6940</v>
      </c>
      <c r="F4712" s="7" t="s">
        <v>6987</v>
      </c>
      <c r="G4712" s="7" t="s">
        <v>7150</v>
      </c>
      <c r="H4712" s="7" t="s">
        <v>7156</v>
      </c>
      <c r="I4712" s="7"/>
      <c r="J4712" s="10">
        <v>44609</v>
      </c>
      <c r="K4712" s="7" t="s">
        <v>7165</v>
      </c>
      <c r="L4712" s="7"/>
      <c r="M4712" s="7"/>
    </row>
    <row r="4713" spans="1:13" x14ac:dyDescent="0.3">
      <c r="A4713" s="7">
        <v>16268</v>
      </c>
      <c r="B4713" s="7" t="s">
        <v>4720</v>
      </c>
      <c r="C4713" s="7" t="s">
        <v>7017</v>
      </c>
      <c r="D4713" s="7" t="s">
        <v>6295</v>
      </c>
      <c r="E4713" s="7" t="s">
        <v>6940</v>
      </c>
      <c r="F4713" s="7" t="s">
        <v>6992</v>
      </c>
      <c r="G4713" s="7" t="s">
        <v>7150</v>
      </c>
      <c r="H4713" s="7" t="s">
        <v>7156</v>
      </c>
      <c r="I4713" s="7"/>
      <c r="J4713" s="10">
        <v>45335</v>
      </c>
      <c r="K4713" s="7" t="s">
        <v>7165</v>
      </c>
      <c r="L4713" s="7"/>
      <c r="M4713" s="7"/>
    </row>
    <row r="4714" spans="1:13" x14ac:dyDescent="0.3">
      <c r="A4714" s="7">
        <v>15965</v>
      </c>
      <c r="B4714" s="7" t="s">
        <v>4721</v>
      </c>
      <c r="C4714" s="7" t="s">
        <v>7017</v>
      </c>
      <c r="D4714" s="7" t="s">
        <v>6295</v>
      </c>
      <c r="E4714" s="7" t="s">
        <v>6951</v>
      </c>
      <c r="F4714" s="7" t="s">
        <v>6398</v>
      </c>
      <c r="G4714" s="7" t="s">
        <v>7150</v>
      </c>
      <c r="H4714" s="7" t="s">
        <v>7156</v>
      </c>
      <c r="I4714" s="7"/>
      <c r="J4714" s="10">
        <v>45246</v>
      </c>
      <c r="K4714" s="7" t="s">
        <v>7165</v>
      </c>
      <c r="L4714" s="7"/>
      <c r="M4714" s="7"/>
    </row>
    <row r="4715" spans="1:13" x14ac:dyDescent="0.3">
      <c r="A4715" s="7">
        <v>11632</v>
      </c>
      <c r="B4715" s="7" t="s">
        <v>4722</v>
      </c>
      <c r="C4715" s="7" t="s">
        <v>7018</v>
      </c>
      <c r="D4715" s="7" t="s">
        <v>6295</v>
      </c>
      <c r="E4715" s="7" t="s">
        <v>6295</v>
      </c>
      <c r="F4715" s="7" t="s">
        <v>6939</v>
      </c>
      <c r="G4715" s="7" t="s">
        <v>7150</v>
      </c>
      <c r="H4715" s="7" t="s">
        <v>7156</v>
      </c>
      <c r="I4715" s="7"/>
      <c r="J4715" s="10">
        <v>42954</v>
      </c>
      <c r="K4715" s="7" t="s">
        <v>7165</v>
      </c>
      <c r="L4715" s="7"/>
      <c r="M4715" s="7"/>
    </row>
    <row r="4716" spans="1:13" x14ac:dyDescent="0.3">
      <c r="A4716" s="7">
        <v>14870</v>
      </c>
      <c r="B4716" s="7" t="s">
        <v>4723</v>
      </c>
      <c r="C4716" s="7" t="s">
        <v>7018</v>
      </c>
      <c r="D4716" s="7" t="s">
        <v>6295</v>
      </c>
      <c r="E4716" s="7" t="s">
        <v>6940</v>
      </c>
      <c r="F4716" s="7" t="s">
        <v>6498</v>
      </c>
      <c r="G4716" s="7" t="s">
        <v>7150</v>
      </c>
      <c r="H4716" s="7" t="s">
        <v>7156</v>
      </c>
      <c r="I4716" s="7"/>
      <c r="J4716" s="10">
        <v>44880</v>
      </c>
      <c r="K4716" s="7" t="s">
        <v>7165</v>
      </c>
      <c r="L4716" s="7"/>
      <c r="M4716" s="7"/>
    </row>
    <row r="4717" spans="1:13" x14ac:dyDescent="0.3">
      <c r="A4717" s="7">
        <v>570043</v>
      </c>
      <c r="B4717" s="7" t="s">
        <v>4724</v>
      </c>
      <c r="C4717" s="7" t="s">
        <v>7018</v>
      </c>
      <c r="D4717" s="7" t="s">
        <v>6295</v>
      </c>
      <c r="E4717" s="7" t="s">
        <v>6940</v>
      </c>
      <c r="F4717" s="7" t="s">
        <v>6958</v>
      </c>
      <c r="G4717" s="7" t="s">
        <v>7150</v>
      </c>
      <c r="H4717" s="7" t="s">
        <v>7156</v>
      </c>
      <c r="I4717" s="7"/>
      <c r="J4717" s="10">
        <v>43885</v>
      </c>
      <c r="K4717" s="7" t="s">
        <v>7165</v>
      </c>
      <c r="L4717" s="7"/>
      <c r="M4717" s="7"/>
    </row>
    <row r="4718" spans="1:13" x14ac:dyDescent="0.3">
      <c r="A4718" s="7">
        <v>15115</v>
      </c>
      <c r="B4718" s="7" t="s">
        <v>4725</v>
      </c>
      <c r="C4718" s="7" t="s">
        <v>7018</v>
      </c>
      <c r="D4718" s="7" t="s">
        <v>6295</v>
      </c>
      <c r="E4718" s="7" t="s">
        <v>6940</v>
      </c>
      <c r="F4718" s="7" t="s">
        <v>6949</v>
      </c>
      <c r="G4718" s="7" t="s">
        <v>7151</v>
      </c>
      <c r="H4718" s="7" t="s">
        <v>7156</v>
      </c>
      <c r="I4718" s="7"/>
      <c r="J4718" s="10">
        <v>44951</v>
      </c>
      <c r="K4718" s="7" t="s">
        <v>7165</v>
      </c>
      <c r="L4718" s="7"/>
      <c r="M4718" s="7"/>
    </row>
    <row r="4719" spans="1:13" x14ac:dyDescent="0.3">
      <c r="A4719" s="7">
        <v>17045</v>
      </c>
      <c r="B4719" s="7" t="s">
        <v>4726</v>
      </c>
      <c r="C4719" s="7" t="s">
        <v>7018</v>
      </c>
      <c r="D4719" s="7" t="s">
        <v>6295</v>
      </c>
      <c r="E4719" s="7" t="s">
        <v>6940</v>
      </c>
      <c r="F4719" s="7" t="s">
        <v>7019</v>
      </c>
      <c r="G4719" s="7" t="s">
        <v>7150</v>
      </c>
      <c r="H4719" s="7" t="s">
        <v>7157</v>
      </c>
      <c r="I4719" s="7"/>
      <c r="J4719" s="10">
        <v>45602</v>
      </c>
      <c r="K4719" s="7" t="s">
        <v>7165</v>
      </c>
      <c r="L4719" s="7"/>
      <c r="M4719" s="7"/>
    </row>
    <row r="4720" spans="1:13" x14ac:dyDescent="0.3">
      <c r="A4720" s="7">
        <v>15963</v>
      </c>
      <c r="B4720" s="7" t="s">
        <v>4727</v>
      </c>
      <c r="C4720" s="7" t="s">
        <v>7018</v>
      </c>
      <c r="D4720" s="7" t="s">
        <v>6295</v>
      </c>
      <c r="E4720" s="7" t="s">
        <v>6940</v>
      </c>
      <c r="F4720" s="7" t="s">
        <v>6949</v>
      </c>
      <c r="G4720" s="7" t="s">
        <v>7151</v>
      </c>
      <c r="H4720" s="7" t="s">
        <v>7156</v>
      </c>
      <c r="I4720" s="7"/>
      <c r="J4720" s="10">
        <v>45251</v>
      </c>
      <c r="K4720" s="7" t="s">
        <v>7165</v>
      </c>
      <c r="L4720" s="7"/>
      <c r="M4720" s="7"/>
    </row>
    <row r="4721" spans="1:13" x14ac:dyDescent="0.3">
      <c r="A4721" s="7">
        <v>17101</v>
      </c>
      <c r="B4721" s="7" t="s">
        <v>4728</v>
      </c>
      <c r="C4721" s="7" t="s">
        <v>7018</v>
      </c>
      <c r="D4721" s="7" t="s">
        <v>6295</v>
      </c>
      <c r="E4721" s="7" t="s">
        <v>6940</v>
      </c>
      <c r="F4721" s="7" t="s">
        <v>7019</v>
      </c>
      <c r="G4721" s="7" t="s">
        <v>7150</v>
      </c>
      <c r="H4721" s="7" t="s">
        <v>7157</v>
      </c>
      <c r="I4721" s="7"/>
      <c r="J4721" s="10">
        <v>45629</v>
      </c>
      <c r="K4721" s="7" t="s">
        <v>7165</v>
      </c>
      <c r="L4721" s="7"/>
      <c r="M4721" s="7"/>
    </row>
    <row r="4722" spans="1:13" x14ac:dyDescent="0.3">
      <c r="A4722" s="7">
        <v>17889</v>
      </c>
      <c r="B4722" s="7" t="s">
        <v>4729</v>
      </c>
      <c r="C4722" s="7" t="s">
        <v>7018</v>
      </c>
      <c r="D4722" s="7" t="s">
        <v>6295</v>
      </c>
      <c r="E4722" s="7" t="s">
        <v>6940</v>
      </c>
      <c r="F4722" s="7" t="s">
        <v>6949</v>
      </c>
      <c r="G4722" s="7" t="s">
        <v>7150</v>
      </c>
      <c r="H4722" s="7" t="s">
        <v>7156</v>
      </c>
      <c r="I4722" s="7"/>
      <c r="J4722" s="10">
        <v>45909</v>
      </c>
      <c r="K4722" s="7" t="s">
        <v>7165</v>
      </c>
      <c r="L4722" s="7"/>
      <c r="M4722" s="7"/>
    </row>
    <row r="4723" spans="1:13" x14ac:dyDescent="0.3">
      <c r="A4723" s="7">
        <v>18069</v>
      </c>
      <c r="B4723" s="7" t="s">
        <v>4730</v>
      </c>
      <c r="C4723" s="7" t="s">
        <v>7018</v>
      </c>
      <c r="D4723" s="7" t="s">
        <v>6295</v>
      </c>
      <c r="E4723" s="7" t="s">
        <v>6940</v>
      </c>
      <c r="F4723" s="7" t="s">
        <v>6949</v>
      </c>
      <c r="G4723" s="7" t="s">
        <v>7150</v>
      </c>
      <c r="H4723" s="7" t="s">
        <v>7156</v>
      </c>
      <c r="I4723" s="7"/>
      <c r="J4723" s="10">
        <v>45982</v>
      </c>
      <c r="K4723" s="7" t="s">
        <v>7165</v>
      </c>
      <c r="L4723" s="7"/>
      <c r="M4723" s="7"/>
    </row>
    <row r="4724" spans="1:13" x14ac:dyDescent="0.3">
      <c r="A4724" s="7">
        <v>16681</v>
      </c>
      <c r="B4724" s="7" t="s">
        <v>4731</v>
      </c>
      <c r="C4724" s="7" t="s">
        <v>7018</v>
      </c>
      <c r="D4724" s="7" t="s">
        <v>6295</v>
      </c>
      <c r="E4724" s="7" t="s">
        <v>6940</v>
      </c>
      <c r="F4724" s="7" t="s">
        <v>6988</v>
      </c>
      <c r="G4724" s="7" t="s">
        <v>7150</v>
      </c>
      <c r="H4724" s="7" t="s">
        <v>7156</v>
      </c>
      <c r="I4724" s="7"/>
      <c r="J4724" s="10">
        <v>45519</v>
      </c>
      <c r="K4724" s="7" t="s">
        <v>7165</v>
      </c>
      <c r="L4724" s="7"/>
      <c r="M4724" s="7"/>
    </row>
    <row r="4725" spans="1:13" x14ac:dyDescent="0.3">
      <c r="A4725" s="7">
        <v>17166</v>
      </c>
      <c r="B4725" s="7" t="s">
        <v>4732</v>
      </c>
      <c r="C4725" s="7" t="s">
        <v>7018</v>
      </c>
      <c r="D4725" s="7" t="s">
        <v>6295</v>
      </c>
      <c r="E4725" s="7" t="s">
        <v>6940</v>
      </c>
      <c r="F4725" s="7" t="s">
        <v>6988</v>
      </c>
      <c r="G4725" s="7" t="s">
        <v>7150</v>
      </c>
      <c r="H4725" s="7" t="s">
        <v>7156</v>
      </c>
      <c r="I4725" s="7"/>
      <c r="J4725" s="10">
        <v>45652</v>
      </c>
      <c r="K4725" s="7" t="s">
        <v>7165</v>
      </c>
      <c r="L4725" s="7"/>
      <c r="M4725" s="7"/>
    </row>
    <row r="4726" spans="1:13" x14ac:dyDescent="0.3">
      <c r="A4726" s="7">
        <v>17226</v>
      </c>
      <c r="B4726" s="7" t="s">
        <v>4733</v>
      </c>
      <c r="C4726" s="7" t="s">
        <v>7018</v>
      </c>
      <c r="D4726" s="7" t="s">
        <v>6295</v>
      </c>
      <c r="E4726" s="7" t="s">
        <v>6940</v>
      </c>
      <c r="F4726" s="7" t="s">
        <v>6989</v>
      </c>
      <c r="G4726" s="7" t="s">
        <v>7150</v>
      </c>
      <c r="H4726" s="7" t="s">
        <v>7156</v>
      </c>
      <c r="I4726" s="7"/>
      <c r="J4726" s="10">
        <v>45694</v>
      </c>
      <c r="K4726" s="7" t="s">
        <v>7165</v>
      </c>
      <c r="L4726" s="7"/>
      <c r="M4726" s="7"/>
    </row>
    <row r="4727" spans="1:13" x14ac:dyDescent="0.3">
      <c r="A4727" s="7">
        <v>180032</v>
      </c>
      <c r="B4727" s="7" t="s">
        <v>4734</v>
      </c>
      <c r="C4727" s="7" t="s">
        <v>7018</v>
      </c>
      <c r="D4727" s="7" t="s">
        <v>6295</v>
      </c>
      <c r="E4727" s="7" t="s">
        <v>6940</v>
      </c>
      <c r="F4727" s="7" t="s">
        <v>6980</v>
      </c>
      <c r="G4727" s="7" t="s">
        <v>7150</v>
      </c>
      <c r="H4727" s="7" t="s">
        <v>7156</v>
      </c>
      <c r="I4727" s="7"/>
      <c r="J4727" s="10">
        <v>39920</v>
      </c>
      <c r="K4727" s="7" t="s">
        <v>7165</v>
      </c>
      <c r="L4727" s="7"/>
      <c r="M4727" s="7"/>
    </row>
    <row r="4728" spans="1:13" x14ac:dyDescent="0.3">
      <c r="A4728" s="7">
        <v>180045</v>
      </c>
      <c r="B4728" s="7" t="s">
        <v>4735</v>
      </c>
      <c r="C4728" s="7" t="s">
        <v>7018</v>
      </c>
      <c r="D4728" s="7" t="s">
        <v>6295</v>
      </c>
      <c r="E4728" s="7" t="s">
        <v>6940</v>
      </c>
      <c r="F4728" s="7" t="s">
        <v>6980</v>
      </c>
      <c r="G4728" s="7" t="s">
        <v>7150</v>
      </c>
      <c r="H4728" s="7" t="s">
        <v>7156</v>
      </c>
      <c r="I4728" s="7"/>
      <c r="J4728" s="10">
        <v>43238</v>
      </c>
      <c r="K4728" s="7" t="s">
        <v>7165</v>
      </c>
      <c r="L4728" s="7"/>
      <c r="M4728" s="7"/>
    </row>
    <row r="4729" spans="1:13" x14ac:dyDescent="0.3">
      <c r="A4729" s="7">
        <v>180065</v>
      </c>
      <c r="B4729" s="7" t="s">
        <v>4736</v>
      </c>
      <c r="C4729" s="7" t="s">
        <v>7018</v>
      </c>
      <c r="D4729" s="7" t="s">
        <v>6295</v>
      </c>
      <c r="E4729" s="7" t="s">
        <v>6940</v>
      </c>
      <c r="F4729" s="7" t="s">
        <v>6980</v>
      </c>
      <c r="G4729" s="7" t="s">
        <v>7150</v>
      </c>
      <c r="H4729" s="7" t="s">
        <v>7156</v>
      </c>
      <c r="I4729" s="7"/>
      <c r="J4729" s="10">
        <v>44536</v>
      </c>
      <c r="K4729" s="7" t="s">
        <v>7165</v>
      </c>
      <c r="L4729" s="7"/>
      <c r="M4729" s="7"/>
    </row>
    <row r="4730" spans="1:13" x14ac:dyDescent="0.3">
      <c r="A4730" s="7">
        <v>15691</v>
      </c>
      <c r="B4730" s="7" t="s">
        <v>4737</v>
      </c>
      <c r="C4730" s="7" t="s">
        <v>7018</v>
      </c>
      <c r="D4730" s="7" t="s">
        <v>6295</v>
      </c>
      <c r="E4730" s="7" t="s">
        <v>6940</v>
      </c>
      <c r="F4730" s="7" t="s">
        <v>6980</v>
      </c>
      <c r="G4730" s="7" t="s">
        <v>7150</v>
      </c>
      <c r="H4730" s="7" t="s">
        <v>7156</v>
      </c>
      <c r="I4730" s="7"/>
      <c r="J4730" s="10">
        <v>45166</v>
      </c>
      <c r="K4730" s="7" t="s">
        <v>7165</v>
      </c>
      <c r="L4730" s="7"/>
      <c r="M4730" s="7"/>
    </row>
    <row r="4731" spans="1:13" x14ac:dyDescent="0.3">
      <c r="A4731" s="7">
        <v>180055</v>
      </c>
      <c r="B4731" s="7" t="s">
        <v>4738</v>
      </c>
      <c r="C4731" s="7" t="s">
        <v>7018</v>
      </c>
      <c r="D4731" s="7" t="s">
        <v>6295</v>
      </c>
      <c r="E4731" s="7" t="s">
        <v>6940</v>
      </c>
      <c r="F4731" s="7" t="s">
        <v>6987</v>
      </c>
      <c r="G4731" s="7" t="s">
        <v>7150</v>
      </c>
      <c r="H4731" s="7" t="s">
        <v>7156</v>
      </c>
      <c r="I4731" s="7"/>
      <c r="J4731" s="10">
        <v>44123</v>
      </c>
      <c r="K4731" s="7" t="s">
        <v>7165</v>
      </c>
      <c r="L4731" s="7"/>
      <c r="M4731" s="7"/>
    </row>
    <row r="4732" spans="1:13" x14ac:dyDescent="0.3">
      <c r="A4732" s="7">
        <v>180069</v>
      </c>
      <c r="B4732" s="7" t="s">
        <v>4739</v>
      </c>
      <c r="C4732" s="7" t="s">
        <v>7018</v>
      </c>
      <c r="D4732" s="7" t="s">
        <v>6295</v>
      </c>
      <c r="E4732" s="7" t="s">
        <v>6940</v>
      </c>
      <c r="F4732" s="7" t="s">
        <v>6986</v>
      </c>
      <c r="G4732" s="7" t="s">
        <v>7150</v>
      </c>
      <c r="H4732" s="7" t="s">
        <v>7156</v>
      </c>
      <c r="I4732" s="7"/>
      <c r="J4732" s="10">
        <v>44603</v>
      </c>
      <c r="K4732" s="7" t="s">
        <v>7165</v>
      </c>
      <c r="L4732" s="7"/>
      <c r="M4732" s="7"/>
    </row>
    <row r="4733" spans="1:13" x14ac:dyDescent="0.3">
      <c r="A4733" s="7">
        <v>180068</v>
      </c>
      <c r="B4733" s="7" t="s">
        <v>4740</v>
      </c>
      <c r="C4733" s="7" t="s">
        <v>7018</v>
      </c>
      <c r="D4733" s="7" t="s">
        <v>6295</v>
      </c>
      <c r="E4733" s="7" t="s">
        <v>6940</v>
      </c>
      <c r="F4733" s="7" t="s">
        <v>6986</v>
      </c>
      <c r="G4733" s="7" t="s">
        <v>7151</v>
      </c>
      <c r="H4733" s="7" t="s">
        <v>7156</v>
      </c>
      <c r="I4733" s="7"/>
      <c r="J4733" s="10">
        <v>44599</v>
      </c>
      <c r="K4733" s="7" t="s">
        <v>7165</v>
      </c>
      <c r="L4733" s="7"/>
      <c r="M4733" s="7"/>
    </row>
    <row r="4734" spans="1:13" x14ac:dyDescent="0.3">
      <c r="A4734" s="7">
        <v>18138</v>
      </c>
      <c r="B4734" s="7" t="s">
        <v>4741</v>
      </c>
      <c r="C4734" s="7" t="s">
        <v>7018</v>
      </c>
      <c r="D4734" s="7" t="s">
        <v>6295</v>
      </c>
      <c r="E4734" s="7" t="s">
        <v>6940</v>
      </c>
      <c r="F4734" s="7" t="s">
        <v>7000</v>
      </c>
      <c r="G4734" s="7" t="s">
        <v>7150</v>
      </c>
      <c r="H4734" s="7" t="s">
        <v>7157</v>
      </c>
      <c r="I4734" s="7"/>
      <c r="J4734" s="10">
        <v>46009</v>
      </c>
      <c r="K4734" s="7" t="s">
        <v>7165</v>
      </c>
      <c r="L4734" s="7"/>
      <c r="M4734" s="7"/>
    </row>
    <row r="4735" spans="1:13" x14ac:dyDescent="0.3">
      <c r="A4735" s="7">
        <v>14083</v>
      </c>
      <c r="B4735" s="7" t="s">
        <v>4742</v>
      </c>
      <c r="C4735" s="7" t="s">
        <v>7018</v>
      </c>
      <c r="D4735" s="7" t="s">
        <v>6295</v>
      </c>
      <c r="E4735" s="7" t="s">
        <v>6940</v>
      </c>
      <c r="F4735" s="7" t="s">
        <v>6986</v>
      </c>
      <c r="G4735" s="7" t="s">
        <v>7150</v>
      </c>
      <c r="H4735" s="7" t="s">
        <v>7156</v>
      </c>
      <c r="I4735" s="7"/>
      <c r="J4735" s="10">
        <v>44655</v>
      </c>
      <c r="K4735" s="7" t="s">
        <v>7165</v>
      </c>
      <c r="L4735" s="7"/>
      <c r="M4735" s="7"/>
    </row>
    <row r="4736" spans="1:13" x14ac:dyDescent="0.3">
      <c r="A4736" s="7">
        <v>16995</v>
      </c>
      <c r="B4736" s="7" t="s">
        <v>4743</v>
      </c>
      <c r="C4736" s="7" t="s">
        <v>7018</v>
      </c>
      <c r="D4736" s="7" t="s">
        <v>6295</v>
      </c>
      <c r="E4736" s="7" t="s">
        <v>6940</v>
      </c>
      <c r="F4736" s="7" t="s">
        <v>6987</v>
      </c>
      <c r="G4736" s="7" t="s">
        <v>7150</v>
      </c>
      <c r="H4736" s="7" t="s">
        <v>7156</v>
      </c>
      <c r="I4736" s="7"/>
      <c r="J4736" s="10">
        <v>45589</v>
      </c>
      <c r="K4736" s="7" t="s">
        <v>7165</v>
      </c>
      <c r="L4736" s="7"/>
      <c r="M4736" s="7"/>
    </row>
    <row r="4737" spans="1:13" x14ac:dyDescent="0.3">
      <c r="A4737" s="7">
        <v>180066</v>
      </c>
      <c r="B4737" s="7" t="s">
        <v>4744</v>
      </c>
      <c r="C4737" s="7" t="s">
        <v>7018</v>
      </c>
      <c r="D4737" s="7" t="s">
        <v>6295</v>
      </c>
      <c r="E4737" s="7" t="s">
        <v>6994</v>
      </c>
      <c r="F4737" s="7" t="s">
        <v>6498</v>
      </c>
      <c r="G4737" s="7" t="s">
        <v>7150</v>
      </c>
      <c r="H4737" s="7" t="s">
        <v>7156</v>
      </c>
      <c r="I4737" s="7"/>
      <c r="J4737" s="10">
        <v>44547</v>
      </c>
      <c r="K4737" s="7" t="s">
        <v>7165</v>
      </c>
      <c r="L4737" s="7"/>
      <c r="M4737" s="7"/>
    </row>
    <row r="4738" spans="1:13" x14ac:dyDescent="0.3">
      <c r="A4738" s="7">
        <v>180064</v>
      </c>
      <c r="B4738" s="7" t="s">
        <v>4745</v>
      </c>
      <c r="C4738" s="7" t="s">
        <v>7018</v>
      </c>
      <c r="D4738" s="7" t="s">
        <v>6295</v>
      </c>
      <c r="E4738" s="7" t="s">
        <v>6994</v>
      </c>
      <c r="F4738" s="7" t="s">
        <v>6340</v>
      </c>
      <c r="G4738" s="7" t="s">
        <v>7150</v>
      </c>
      <c r="H4738" s="7" t="s">
        <v>7156</v>
      </c>
      <c r="I4738" s="7"/>
      <c r="J4738" s="10">
        <v>44494</v>
      </c>
      <c r="K4738" s="7" t="s">
        <v>7165</v>
      </c>
      <c r="L4738" s="7"/>
      <c r="M4738" s="7"/>
    </row>
    <row r="4739" spans="1:13" x14ac:dyDescent="0.3">
      <c r="A4739" s="7">
        <v>15831</v>
      </c>
      <c r="B4739" s="7" t="s">
        <v>4746</v>
      </c>
      <c r="C4739" s="7" t="s">
        <v>7018</v>
      </c>
      <c r="D4739" s="7" t="s">
        <v>6295</v>
      </c>
      <c r="E4739" s="7" t="s">
        <v>6994</v>
      </c>
      <c r="F4739" s="7" t="s">
        <v>6341</v>
      </c>
      <c r="G4739" s="7" t="s">
        <v>7150</v>
      </c>
      <c r="H4739" s="7" t="s">
        <v>7156</v>
      </c>
      <c r="I4739" s="7"/>
      <c r="J4739" s="10">
        <v>45209</v>
      </c>
      <c r="K4739" s="7" t="s">
        <v>7165</v>
      </c>
      <c r="L4739" s="7"/>
      <c r="M4739" s="7"/>
    </row>
    <row r="4740" spans="1:13" x14ac:dyDescent="0.3">
      <c r="A4740" s="7">
        <v>18910</v>
      </c>
      <c r="B4740" s="7" t="s">
        <v>4747</v>
      </c>
      <c r="C4740" s="7" t="s">
        <v>7018</v>
      </c>
      <c r="D4740" s="7" t="s">
        <v>6295</v>
      </c>
      <c r="E4740" s="7" t="s">
        <v>6994</v>
      </c>
      <c r="F4740" s="7" t="s">
        <v>6341</v>
      </c>
      <c r="G4740" s="7" t="s">
        <v>7150</v>
      </c>
      <c r="H4740" s="7" t="s">
        <v>7156</v>
      </c>
      <c r="I4740" s="7"/>
      <c r="J4740" s="10">
        <v>46238</v>
      </c>
      <c r="K4740" s="7" t="s">
        <v>7165</v>
      </c>
      <c r="L4740" s="7"/>
      <c r="M4740" s="7"/>
    </row>
    <row r="4741" spans="1:13" x14ac:dyDescent="0.3">
      <c r="A4741" s="7">
        <v>17629</v>
      </c>
      <c r="B4741" s="7" t="s">
        <v>4748</v>
      </c>
      <c r="C4741" s="7" t="s">
        <v>7018</v>
      </c>
      <c r="D4741" s="7" t="s">
        <v>6295</v>
      </c>
      <c r="E4741" s="7" t="s">
        <v>6994</v>
      </c>
      <c r="F4741" s="7" t="s">
        <v>6341</v>
      </c>
      <c r="G4741" s="7" t="s">
        <v>7150</v>
      </c>
      <c r="H4741" s="7" t="s">
        <v>7156</v>
      </c>
      <c r="I4741" s="7"/>
      <c r="J4741" s="10">
        <v>45820</v>
      </c>
      <c r="K4741" s="7" t="s">
        <v>7165</v>
      </c>
      <c r="L4741" s="7"/>
      <c r="M4741" s="7"/>
    </row>
    <row r="4742" spans="1:13" x14ac:dyDescent="0.3">
      <c r="A4742" s="7">
        <v>120014</v>
      </c>
      <c r="B4742" s="7" t="s">
        <v>4749</v>
      </c>
      <c r="C4742" s="7" t="s">
        <v>7020</v>
      </c>
      <c r="D4742" s="7" t="s">
        <v>6295</v>
      </c>
      <c r="E4742" s="7" t="s">
        <v>6295</v>
      </c>
      <c r="F4742" s="7" t="s">
        <v>6939</v>
      </c>
      <c r="G4742" s="7" t="s">
        <v>7150</v>
      </c>
      <c r="H4742" s="7" t="s">
        <v>7156</v>
      </c>
      <c r="I4742" s="7"/>
      <c r="J4742" s="10">
        <v>39664</v>
      </c>
      <c r="K4742" s="7" t="s">
        <v>7165</v>
      </c>
      <c r="L4742" s="7"/>
      <c r="M4742" s="7"/>
    </row>
    <row r="4743" spans="1:13" x14ac:dyDescent="0.3">
      <c r="A4743" s="7">
        <v>300052</v>
      </c>
      <c r="B4743" s="7" t="s">
        <v>4750</v>
      </c>
      <c r="C4743" s="7" t="s">
        <v>7020</v>
      </c>
      <c r="D4743" s="7" t="s">
        <v>6295</v>
      </c>
      <c r="E4743" s="7" t="s">
        <v>6940</v>
      </c>
      <c r="F4743" s="7" t="s">
        <v>6991</v>
      </c>
      <c r="G4743" s="7" t="s">
        <v>7150</v>
      </c>
      <c r="H4743" s="7" t="s">
        <v>7156</v>
      </c>
      <c r="I4743" s="7"/>
      <c r="J4743" s="10">
        <v>42752</v>
      </c>
      <c r="K4743" s="7" t="s">
        <v>7165</v>
      </c>
      <c r="L4743" s="7"/>
      <c r="M4743" s="7"/>
    </row>
    <row r="4744" spans="1:13" x14ac:dyDescent="0.3">
      <c r="A4744" s="7">
        <v>250014</v>
      </c>
      <c r="B4744" s="7" t="s">
        <v>4751</v>
      </c>
      <c r="C4744" s="7" t="s">
        <v>7020</v>
      </c>
      <c r="D4744" s="7" t="s">
        <v>6295</v>
      </c>
      <c r="E4744" s="7" t="s">
        <v>6940</v>
      </c>
      <c r="F4744" s="7" t="s">
        <v>6991</v>
      </c>
      <c r="G4744" s="7" t="s">
        <v>7150</v>
      </c>
      <c r="H4744" s="7" t="s">
        <v>7156</v>
      </c>
      <c r="I4744" s="7"/>
      <c r="J4744" s="10">
        <v>36801</v>
      </c>
      <c r="K4744" s="7" t="s">
        <v>7165</v>
      </c>
      <c r="L4744" s="7"/>
      <c r="M4744" s="7"/>
    </row>
    <row r="4745" spans="1:13" x14ac:dyDescent="0.3">
      <c r="A4745" s="7">
        <v>14752</v>
      </c>
      <c r="B4745" s="7" t="s">
        <v>4752</v>
      </c>
      <c r="C4745" s="7" t="s">
        <v>7020</v>
      </c>
      <c r="D4745" s="7" t="s">
        <v>6295</v>
      </c>
      <c r="E4745" s="7" t="s">
        <v>6940</v>
      </c>
      <c r="F4745" s="7" t="s">
        <v>6989</v>
      </c>
      <c r="G4745" s="7" t="s">
        <v>7151</v>
      </c>
      <c r="H4745" s="7" t="s">
        <v>7156</v>
      </c>
      <c r="I4745" s="7"/>
      <c r="J4745" s="10">
        <v>44845</v>
      </c>
      <c r="K4745" s="7" t="s">
        <v>7165</v>
      </c>
      <c r="L4745" s="7"/>
      <c r="M4745" s="7"/>
    </row>
    <row r="4746" spans="1:13" x14ac:dyDescent="0.3">
      <c r="A4746" s="7">
        <v>17169</v>
      </c>
      <c r="B4746" s="7" t="s">
        <v>4753</v>
      </c>
      <c r="C4746" s="7" t="s">
        <v>7020</v>
      </c>
      <c r="D4746" s="7" t="s">
        <v>6295</v>
      </c>
      <c r="E4746" s="7" t="s">
        <v>6940</v>
      </c>
      <c r="F4746" s="7" t="s">
        <v>7021</v>
      </c>
      <c r="G4746" s="7" t="s">
        <v>7150</v>
      </c>
      <c r="H4746" s="7" t="s">
        <v>7157</v>
      </c>
      <c r="I4746" s="7"/>
      <c r="J4746" s="10">
        <v>45652</v>
      </c>
      <c r="K4746" s="7" t="s">
        <v>7165</v>
      </c>
      <c r="L4746" s="7"/>
      <c r="M4746" s="7"/>
    </row>
    <row r="4747" spans="1:13" x14ac:dyDescent="0.3">
      <c r="A4747" s="7">
        <v>250033</v>
      </c>
      <c r="B4747" s="7" t="s">
        <v>4754</v>
      </c>
      <c r="C4747" s="7" t="s">
        <v>7020</v>
      </c>
      <c r="D4747" s="7" t="s">
        <v>6295</v>
      </c>
      <c r="E4747" s="7" t="s">
        <v>6940</v>
      </c>
      <c r="F4747" s="7" t="s">
        <v>6980</v>
      </c>
      <c r="G4747" s="7" t="s">
        <v>7150</v>
      </c>
      <c r="H4747" s="7" t="s">
        <v>7156</v>
      </c>
      <c r="I4747" s="7"/>
      <c r="J4747" s="10">
        <v>42467</v>
      </c>
      <c r="K4747" s="7" t="s">
        <v>7165</v>
      </c>
      <c r="L4747" s="7"/>
      <c r="M4747" s="7"/>
    </row>
    <row r="4748" spans="1:13" x14ac:dyDescent="0.3">
      <c r="A4748" s="7">
        <v>280009</v>
      </c>
      <c r="B4748" s="7" t="s">
        <v>4755</v>
      </c>
      <c r="C4748" s="7" t="s">
        <v>7020</v>
      </c>
      <c r="D4748" s="7" t="s">
        <v>6295</v>
      </c>
      <c r="E4748" s="7" t="s">
        <v>6940</v>
      </c>
      <c r="F4748" s="7" t="s">
        <v>6980</v>
      </c>
      <c r="G4748" s="7" t="s">
        <v>7150</v>
      </c>
      <c r="H4748" s="7" t="s">
        <v>7156</v>
      </c>
      <c r="I4748" s="7"/>
      <c r="J4748" s="10">
        <v>39633</v>
      </c>
      <c r="K4748" s="7" t="s">
        <v>7165</v>
      </c>
      <c r="L4748" s="7"/>
      <c r="M4748" s="7"/>
    </row>
    <row r="4749" spans="1:13" x14ac:dyDescent="0.3">
      <c r="A4749" s="7">
        <v>670038</v>
      </c>
      <c r="B4749" s="7" t="s">
        <v>4756</v>
      </c>
      <c r="C4749" s="7" t="s">
        <v>7020</v>
      </c>
      <c r="D4749" s="7" t="s">
        <v>6295</v>
      </c>
      <c r="E4749" s="7" t="s">
        <v>6940</v>
      </c>
      <c r="F4749" s="7" t="s">
        <v>6980</v>
      </c>
      <c r="G4749" s="7" t="s">
        <v>7150</v>
      </c>
      <c r="H4749" s="7" t="s">
        <v>7156</v>
      </c>
      <c r="I4749" s="7"/>
      <c r="J4749" s="10">
        <v>43116</v>
      </c>
      <c r="K4749" s="7" t="s">
        <v>7165</v>
      </c>
      <c r="L4749" s="7"/>
      <c r="M4749" s="7"/>
    </row>
    <row r="4750" spans="1:13" x14ac:dyDescent="0.3">
      <c r="A4750" s="7">
        <v>122013</v>
      </c>
      <c r="B4750" s="7" t="s">
        <v>4757</v>
      </c>
      <c r="C4750" s="7" t="s">
        <v>7020</v>
      </c>
      <c r="D4750" s="7" t="s">
        <v>6295</v>
      </c>
      <c r="E4750" s="7" t="s">
        <v>6940</v>
      </c>
      <c r="F4750" s="7" t="s">
        <v>6980</v>
      </c>
      <c r="G4750" s="7" t="s">
        <v>7150</v>
      </c>
      <c r="H4750" s="7" t="s">
        <v>7156</v>
      </c>
      <c r="I4750" s="7"/>
      <c r="J4750" s="10">
        <v>42125</v>
      </c>
      <c r="K4750" s="7" t="s">
        <v>7165</v>
      </c>
      <c r="L4750" s="7"/>
      <c r="M4750" s="7"/>
    </row>
    <row r="4751" spans="1:13" x14ac:dyDescent="0.3">
      <c r="A4751" s="7">
        <v>500009</v>
      </c>
      <c r="B4751" s="7" t="s">
        <v>4758</v>
      </c>
      <c r="C4751" s="7" t="s">
        <v>7020</v>
      </c>
      <c r="D4751" s="7" t="s">
        <v>6295</v>
      </c>
      <c r="E4751" s="7" t="s">
        <v>6940</v>
      </c>
      <c r="F4751" s="7" t="s">
        <v>6986</v>
      </c>
      <c r="G4751" s="7" t="s">
        <v>7150</v>
      </c>
      <c r="H4751" s="7" t="s">
        <v>7156</v>
      </c>
      <c r="I4751" s="7"/>
      <c r="J4751" s="10">
        <v>38310</v>
      </c>
      <c r="K4751" s="7" t="s">
        <v>7165</v>
      </c>
      <c r="L4751" s="7"/>
      <c r="M4751" s="7"/>
    </row>
    <row r="4752" spans="1:13" x14ac:dyDescent="0.3">
      <c r="A4752" s="7">
        <v>410047</v>
      </c>
      <c r="B4752" s="7" t="s">
        <v>4759</v>
      </c>
      <c r="C4752" s="7" t="s">
        <v>7020</v>
      </c>
      <c r="D4752" s="7" t="s">
        <v>6295</v>
      </c>
      <c r="E4752" s="7" t="s">
        <v>6940</v>
      </c>
      <c r="F4752" s="7" t="s">
        <v>6980</v>
      </c>
      <c r="G4752" s="7" t="s">
        <v>7150</v>
      </c>
      <c r="H4752" s="7" t="s">
        <v>7156</v>
      </c>
      <c r="I4752" s="7"/>
      <c r="J4752" s="10">
        <v>42751</v>
      </c>
      <c r="K4752" s="7" t="s">
        <v>7165</v>
      </c>
      <c r="L4752" s="7"/>
      <c r="M4752" s="7"/>
    </row>
    <row r="4753" spans="1:13" x14ac:dyDescent="0.3">
      <c r="A4753" s="7">
        <v>300254</v>
      </c>
      <c r="B4753" s="7" t="s">
        <v>4760</v>
      </c>
      <c r="C4753" s="7" t="s">
        <v>7020</v>
      </c>
      <c r="D4753" s="7" t="s">
        <v>6295</v>
      </c>
      <c r="E4753" s="7" t="s">
        <v>6940</v>
      </c>
      <c r="F4753" s="7" t="s">
        <v>6986</v>
      </c>
      <c r="G4753" s="7" t="s">
        <v>7152</v>
      </c>
      <c r="H4753" s="7" t="s">
        <v>7156</v>
      </c>
      <c r="I4753" s="7"/>
      <c r="J4753" s="10">
        <v>44608</v>
      </c>
      <c r="K4753" s="7" t="s">
        <v>7165</v>
      </c>
      <c r="L4753" s="7"/>
      <c r="M4753" s="7"/>
    </row>
    <row r="4754" spans="1:13" x14ac:dyDescent="0.3">
      <c r="A4754" s="7">
        <v>300148</v>
      </c>
      <c r="B4754" s="7" t="s">
        <v>4761</v>
      </c>
      <c r="C4754" s="7" t="s">
        <v>7020</v>
      </c>
      <c r="D4754" s="7" t="s">
        <v>6295</v>
      </c>
      <c r="E4754" s="7" t="s">
        <v>6940</v>
      </c>
      <c r="F4754" s="7" t="s">
        <v>6986</v>
      </c>
      <c r="G4754" s="7" t="s">
        <v>7150</v>
      </c>
      <c r="H4754" s="7" t="s">
        <v>7156</v>
      </c>
      <c r="I4754" s="7"/>
      <c r="J4754" s="10">
        <v>43406</v>
      </c>
      <c r="K4754" s="7" t="s">
        <v>7165</v>
      </c>
      <c r="L4754" s="7"/>
      <c r="M4754" s="7"/>
    </row>
    <row r="4755" spans="1:13" x14ac:dyDescent="0.3">
      <c r="A4755" s="7">
        <v>16407</v>
      </c>
      <c r="B4755" s="7" t="s">
        <v>4762</v>
      </c>
      <c r="C4755" s="7" t="s">
        <v>7020</v>
      </c>
      <c r="D4755" s="7" t="s">
        <v>6295</v>
      </c>
      <c r="E4755" s="7" t="s">
        <v>6940</v>
      </c>
      <c r="F4755" s="7" t="s">
        <v>6987</v>
      </c>
      <c r="G4755" s="7" t="s">
        <v>7152</v>
      </c>
      <c r="H4755" s="7" t="s">
        <v>7156</v>
      </c>
      <c r="I4755" s="7"/>
      <c r="J4755" s="10">
        <v>45384</v>
      </c>
      <c r="K4755" s="7" t="s">
        <v>7165</v>
      </c>
      <c r="L4755" s="7"/>
      <c r="M4755" s="7"/>
    </row>
    <row r="4756" spans="1:13" x14ac:dyDescent="0.3">
      <c r="A4756" s="7">
        <v>13666</v>
      </c>
      <c r="B4756" s="7" t="s">
        <v>4763</v>
      </c>
      <c r="C4756" s="7" t="s">
        <v>7020</v>
      </c>
      <c r="D4756" s="7" t="s">
        <v>6295</v>
      </c>
      <c r="E4756" s="7" t="s">
        <v>6940</v>
      </c>
      <c r="F4756" s="7" t="s">
        <v>7022</v>
      </c>
      <c r="G4756" s="7" t="s">
        <v>7150</v>
      </c>
      <c r="H4756" s="7" t="s">
        <v>7157</v>
      </c>
      <c r="I4756" s="7"/>
      <c r="J4756" s="10">
        <v>44532</v>
      </c>
      <c r="K4756" s="7" t="s">
        <v>7165</v>
      </c>
      <c r="L4756" s="7"/>
      <c r="M4756" s="7"/>
    </row>
    <row r="4757" spans="1:13" x14ac:dyDescent="0.3">
      <c r="A4757" s="7">
        <v>250040</v>
      </c>
      <c r="B4757" s="7" t="s">
        <v>4764</v>
      </c>
      <c r="C4757" s="7" t="s">
        <v>7020</v>
      </c>
      <c r="D4757" s="7" t="s">
        <v>6295</v>
      </c>
      <c r="E4757" s="7" t="s">
        <v>6940</v>
      </c>
      <c r="F4757" s="7" t="s">
        <v>6986</v>
      </c>
      <c r="G4757" s="7" t="s">
        <v>7150</v>
      </c>
      <c r="H4757" s="7" t="s">
        <v>7156</v>
      </c>
      <c r="I4757" s="7"/>
      <c r="J4757" s="10">
        <v>43383</v>
      </c>
      <c r="K4757" s="7" t="s">
        <v>7165</v>
      </c>
      <c r="L4757" s="7"/>
      <c r="M4757" s="7"/>
    </row>
    <row r="4758" spans="1:13" x14ac:dyDescent="0.3">
      <c r="A4758" s="7">
        <v>17852</v>
      </c>
      <c r="B4758" s="7" t="s">
        <v>4765</v>
      </c>
      <c r="C4758" s="7" t="s">
        <v>7020</v>
      </c>
      <c r="D4758" s="7" t="s">
        <v>6295</v>
      </c>
      <c r="E4758" s="7" t="s">
        <v>6940</v>
      </c>
      <c r="F4758" s="7" t="s">
        <v>6987</v>
      </c>
      <c r="G4758" s="7" t="s">
        <v>7150</v>
      </c>
      <c r="H4758" s="7" t="s">
        <v>7156</v>
      </c>
      <c r="I4758" s="7"/>
      <c r="J4758" s="10">
        <v>45891</v>
      </c>
      <c r="K4758" s="7" t="s">
        <v>7165</v>
      </c>
      <c r="L4758" s="7"/>
      <c r="M4758" s="7"/>
    </row>
    <row r="4759" spans="1:13" x14ac:dyDescent="0.3">
      <c r="A4759" s="7">
        <v>17158</v>
      </c>
      <c r="B4759" s="7" t="s">
        <v>4766</v>
      </c>
      <c r="C4759" s="7" t="s">
        <v>7020</v>
      </c>
      <c r="D4759" s="7" t="s">
        <v>6295</v>
      </c>
      <c r="E4759" s="7" t="s">
        <v>6951</v>
      </c>
      <c r="F4759" s="7" t="s">
        <v>6398</v>
      </c>
      <c r="G4759" s="7" t="s">
        <v>7150</v>
      </c>
      <c r="H4759" s="7" t="s">
        <v>7156</v>
      </c>
      <c r="I4759" s="7"/>
      <c r="J4759" s="10">
        <v>45651</v>
      </c>
      <c r="K4759" s="7" t="s">
        <v>7165</v>
      </c>
      <c r="L4759" s="7"/>
      <c r="M4759" s="7"/>
    </row>
    <row r="4760" spans="1:13" x14ac:dyDescent="0.3">
      <c r="A4760" s="7">
        <v>300030</v>
      </c>
      <c r="B4760" s="7" t="s">
        <v>4767</v>
      </c>
      <c r="C4760" s="7" t="s">
        <v>7023</v>
      </c>
      <c r="D4760" s="7" t="s">
        <v>6295</v>
      </c>
      <c r="E4760" s="7" t="s">
        <v>6295</v>
      </c>
      <c r="F4760" s="7" t="s">
        <v>6939</v>
      </c>
      <c r="G4760" s="7" t="s">
        <v>7150</v>
      </c>
      <c r="H4760" s="7" t="s">
        <v>7156</v>
      </c>
      <c r="I4760" s="7"/>
      <c r="J4760" s="10">
        <v>42342</v>
      </c>
      <c r="K4760" s="7" t="s">
        <v>7165</v>
      </c>
      <c r="L4760" s="7"/>
      <c r="M4760" s="7"/>
    </row>
    <row r="4761" spans="1:13" x14ac:dyDescent="0.3">
      <c r="A4761" s="7">
        <v>740019</v>
      </c>
      <c r="B4761" s="7" t="s">
        <v>4768</v>
      </c>
      <c r="C4761" s="7" t="s">
        <v>7023</v>
      </c>
      <c r="D4761" s="7" t="s">
        <v>6295</v>
      </c>
      <c r="E4761" s="7" t="s">
        <v>6940</v>
      </c>
      <c r="F4761" s="7" t="s">
        <v>6991</v>
      </c>
      <c r="G4761" s="7" t="s">
        <v>7150</v>
      </c>
      <c r="H4761" s="7" t="s">
        <v>7156</v>
      </c>
      <c r="I4761" s="7"/>
      <c r="J4761" s="10">
        <v>42241</v>
      </c>
      <c r="K4761" s="7" t="s">
        <v>7165</v>
      </c>
      <c r="L4761" s="7"/>
      <c r="M4761" s="7"/>
    </row>
    <row r="4762" spans="1:13" x14ac:dyDescent="0.3">
      <c r="A4762" s="7">
        <v>120040</v>
      </c>
      <c r="B4762" s="7" t="s">
        <v>4769</v>
      </c>
      <c r="C4762" s="7" t="s">
        <v>7023</v>
      </c>
      <c r="D4762" s="7" t="s">
        <v>6295</v>
      </c>
      <c r="E4762" s="7" t="s">
        <v>6940</v>
      </c>
      <c r="F4762" s="7" t="s">
        <v>6980</v>
      </c>
      <c r="G4762" s="7" t="s">
        <v>7150</v>
      </c>
      <c r="H4762" s="7" t="s">
        <v>7156</v>
      </c>
      <c r="I4762" s="7"/>
      <c r="J4762" s="10">
        <v>43199</v>
      </c>
      <c r="K4762" s="7" t="s">
        <v>7165</v>
      </c>
      <c r="L4762" s="7"/>
      <c r="M4762" s="7"/>
    </row>
    <row r="4763" spans="1:13" x14ac:dyDescent="0.3">
      <c r="A4763" s="7">
        <v>14888</v>
      </c>
      <c r="B4763" s="7" t="s">
        <v>4770</v>
      </c>
      <c r="C4763" s="7" t="s">
        <v>7023</v>
      </c>
      <c r="D4763" s="7" t="s">
        <v>6295</v>
      </c>
      <c r="E4763" s="7" t="s">
        <v>6940</v>
      </c>
      <c r="F4763" s="7" t="s">
        <v>6986</v>
      </c>
      <c r="G4763" s="7" t="s">
        <v>7150</v>
      </c>
      <c r="H4763" s="7" t="s">
        <v>7156</v>
      </c>
      <c r="I4763" s="7"/>
      <c r="J4763" s="10">
        <v>44882</v>
      </c>
      <c r="K4763" s="7" t="s">
        <v>7165</v>
      </c>
      <c r="L4763" s="7"/>
      <c r="M4763" s="7"/>
    </row>
    <row r="4764" spans="1:13" x14ac:dyDescent="0.3">
      <c r="A4764" s="7">
        <v>15011</v>
      </c>
      <c r="B4764" s="7" t="s">
        <v>4771</v>
      </c>
      <c r="C4764" s="7" t="s">
        <v>7023</v>
      </c>
      <c r="D4764" s="7" t="s">
        <v>6295</v>
      </c>
      <c r="E4764" s="7" t="s">
        <v>6951</v>
      </c>
      <c r="F4764" s="7" t="s">
        <v>6398</v>
      </c>
      <c r="G4764" s="7" t="s">
        <v>7150</v>
      </c>
      <c r="H4764" s="7" t="s">
        <v>7156</v>
      </c>
      <c r="I4764" s="7"/>
      <c r="J4764" s="10">
        <v>44915</v>
      </c>
      <c r="K4764" s="7" t="s">
        <v>7165</v>
      </c>
      <c r="L4764" s="7"/>
      <c r="M4764" s="7"/>
    </row>
    <row r="4765" spans="1:13" x14ac:dyDescent="0.3">
      <c r="A4765" s="7">
        <v>870025</v>
      </c>
      <c r="B4765" s="7" t="s">
        <v>4772</v>
      </c>
      <c r="C4765" s="7" t="s">
        <v>7024</v>
      </c>
      <c r="D4765" s="7" t="s">
        <v>6295</v>
      </c>
      <c r="E4765" s="7" t="s">
        <v>6295</v>
      </c>
      <c r="F4765" s="7" t="s">
        <v>6939</v>
      </c>
      <c r="G4765" s="7" t="s">
        <v>7150</v>
      </c>
      <c r="H4765" s="7" t="s">
        <v>7156</v>
      </c>
      <c r="I4765" s="7"/>
      <c r="J4765" s="10">
        <v>42269</v>
      </c>
      <c r="K4765" s="7" t="s">
        <v>7165</v>
      </c>
      <c r="L4765" s="7"/>
      <c r="M4765" s="7"/>
    </row>
    <row r="4766" spans="1:13" x14ac:dyDescent="0.3">
      <c r="A4766" s="7">
        <v>500037</v>
      </c>
      <c r="B4766" s="7" t="s">
        <v>4773</v>
      </c>
      <c r="C4766" s="7" t="s">
        <v>7024</v>
      </c>
      <c r="D4766" s="7" t="s">
        <v>6295</v>
      </c>
      <c r="E4766" s="7" t="s">
        <v>6940</v>
      </c>
      <c r="F4766" s="7" t="s">
        <v>6498</v>
      </c>
      <c r="G4766" s="7" t="s">
        <v>7150</v>
      </c>
      <c r="H4766" s="7" t="s">
        <v>7156</v>
      </c>
      <c r="I4766" s="7"/>
      <c r="J4766" s="10">
        <v>42970</v>
      </c>
      <c r="K4766" s="7" t="s">
        <v>7165</v>
      </c>
      <c r="L4766" s="7"/>
      <c r="M4766" s="7"/>
    </row>
    <row r="4767" spans="1:13" x14ac:dyDescent="0.3">
      <c r="A4767" s="7">
        <v>120036</v>
      </c>
      <c r="B4767" s="7" t="s">
        <v>4774</v>
      </c>
      <c r="C4767" s="7" t="s">
        <v>7024</v>
      </c>
      <c r="D4767" s="7" t="s">
        <v>6295</v>
      </c>
      <c r="E4767" s="7" t="s">
        <v>6940</v>
      </c>
      <c r="F4767" s="7" t="s">
        <v>6991</v>
      </c>
      <c r="G4767" s="7" t="s">
        <v>7150</v>
      </c>
      <c r="H4767" s="7" t="s">
        <v>7156</v>
      </c>
      <c r="I4767" s="7"/>
      <c r="J4767" s="10">
        <v>42780</v>
      </c>
      <c r="K4767" s="7" t="s">
        <v>7165</v>
      </c>
      <c r="L4767" s="7"/>
      <c r="M4767" s="7"/>
    </row>
    <row r="4768" spans="1:13" x14ac:dyDescent="0.3">
      <c r="A4768" s="7">
        <v>450032</v>
      </c>
      <c r="B4768" s="7" t="s">
        <v>4775</v>
      </c>
      <c r="C4768" s="7" t="s">
        <v>7024</v>
      </c>
      <c r="D4768" s="7" t="s">
        <v>6295</v>
      </c>
      <c r="E4768" s="7" t="s">
        <v>6940</v>
      </c>
      <c r="F4768" s="7" t="s">
        <v>6991</v>
      </c>
      <c r="G4768" s="7" t="s">
        <v>7150</v>
      </c>
      <c r="H4768" s="7" t="s">
        <v>7156</v>
      </c>
      <c r="I4768" s="7"/>
      <c r="J4768" s="10">
        <v>42417</v>
      </c>
      <c r="K4768" s="7" t="s">
        <v>7165</v>
      </c>
      <c r="L4768" s="7"/>
      <c r="M4768" s="7"/>
    </row>
    <row r="4769" spans="1:13" x14ac:dyDescent="0.3">
      <c r="A4769" s="7">
        <v>640002</v>
      </c>
      <c r="B4769" s="7" t="s">
        <v>4776</v>
      </c>
      <c r="C4769" s="7" t="s">
        <v>7024</v>
      </c>
      <c r="D4769" s="7" t="s">
        <v>6295</v>
      </c>
      <c r="E4769" s="7" t="s">
        <v>6940</v>
      </c>
      <c r="F4769" s="7" t="s">
        <v>6941</v>
      </c>
      <c r="G4769" s="7" t="s">
        <v>7150</v>
      </c>
      <c r="H4769" s="7" t="s">
        <v>7156</v>
      </c>
      <c r="I4769" s="7"/>
      <c r="J4769" s="10">
        <v>39022</v>
      </c>
      <c r="K4769" s="7" t="s">
        <v>7165</v>
      </c>
      <c r="L4769" s="7"/>
      <c r="M4769" s="7"/>
    </row>
    <row r="4770" spans="1:13" x14ac:dyDescent="0.3">
      <c r="A4770" s="7">
        <v>150019</v>
      </c>
      <c r="B4770" s="7" t="s">
        <v>4777</v>
      </c>
      <c r="C4770" s="7" t="s">
        <v>7024</v>
      </c>
      <c r="D4770" s="7" t="s">
        <v>6295</v>
      </c>
      <c r="E4770" s="7" t="s">
        <v>6940</v>
      </c>
      <c r="F4770" s="7" t="s">
        <v>6980</v>
      </c>
      <c r="G4770" s="7" t="s">
        <v>7150</v>
      </c>
      <c r="H4770" s="7" t="s">
        <v>7156</v>
      </c>
      <c r="I4770" s="7"/>
      <c r="J4770" s="10">
        <v>38411</v>
      </c>
      <c r="K4770" s="7" t="s">
        <v>7165</v>
      </c>
      <c r="L4770" s="7"/>
      <c r="M4770" s="7"/>
    </row>
    <row r="4771" spans="1:13" x14ac:dyDescent="0.3">
      <c r="A4771" s="7">
        <v>300061</v>
      </c>
      <c r="B4771" s="7" t="s">
        <v>4778</v>
      </c>
      <c r="C4771" s="7" t="s">
        <v>7024</v>
      </c>
      <c r="D4771" s="7" t="s">
        <v>6295</v>
      </c>
      <c r="E4771" s="7" t="s">
        <v>6940</v>
      </c>
      <c r="F4771" s="7" t="s">
        <v>6980</v>
      </c>
      <c r="G4771" s="7" t="s">
        <v>7151</v>
      </c>
      <c r="H4771" s="7" t="s">
        <v>7156</v>
      </c>
      <c r="I4771" s="7"/>
      <c r="J4771" s="10">
        <v>42790</v>
      </c>
      <c r="K4771" s="7" t="s">
        <v>7165</v>
      </c>
      <c r="L4771" s="7"/>
      <c r="M4771" s="7"/>
    </row>
    <row r="4772" spans="1:13" x14ac:dyDescent="0.3">
      <c r="A4772" s="7">
        <v>250008</v>
      </c>
      <c r="B4772" s="7" t="s">
        <v>4779</v>
      </c>
      <c r="C4772" s="7" t="s">
        <v>7024</v>
      </c>
      <c r="D4772" s="7" t="s">
        <v>6295</v>
      </c>
      <c r="E4772" s="7" t="s">
        <v>6940</v>
      </c>
      <c r="F4772" s="7" t="s">
        <v>6980</v>
      </c>
      <c r="G4772" s="7" t="s">
        <v>7151</v>
      </c>
      <c r="H4772" s="7" t="s">
        <v>7156</v>
      </c>
      <c r="I4772" s="7"/>
      <c r="J4772" s="10">
        <v>41198</v>
      </c>
      <c r="K4772" s="7" t="s">
        <v>7165</v>
      </c>
      <c r="L4772" s="7"/>
      <c r="M4772" s="7"/>
    </row>
    <row r="4773" spans="1:13" x14ac:dyDescent="0.3">
      <c r="A4773" s="7">
        <v>19203</v>
      </c>
      <c r="B4773" s="7" t="s">
        <v>4780</v>
      </c>
      <c r="C4773" s="7" t="s">
        <v>7024</v>
      </c>
      <c r="D4773" s="7" t="s">
        <v>6295</v>
      </c>
      <c r="E4773" s="7" t="s">
        <v>6940</v>
      </c>
      <c r="F4773" s="7" t="s">
        <v>7003</v>
      </c>
      <c r="G4773" s="7" t="s">
        <v>7150</v>
      </c>
      <c r="H4773" s="7" t="s">
        <v>7157</v>
      </c>
      <c r="I4773" s="7"/>
      <c r="J4773" s="10">
        <v>46281</v>
      </c>
      <c r="K4773" s="7" t="s">
        <v>7165</v>
      </c>
      <c r="L4773" s="7"/>
      <c r="M4773" s="7"/>
    </row>
    <row r="4774" spans="1:13" x14ac:dyDescent="0.3">
      <c r="A4774" s="7">
        <v>137004</v>
      </c>
      <c r="B4774" s="7" t="s">
        <v>4781</v>
      </c>
      <c r="C4774" s="7" t="s">
        <v>7024</v>
      </c>
      <c r="D4774" s="7" t="s">
        <v>6295</v>
      </c>
      <c r="E4774" s="7" t="s">
        <v>6940</v>
      </c>
      <c r="F4774" s="7" t="s">
        <v>6980</v>
      </c>
      <c r="G4774" s="7" t="s">
        <v>7150</v>
      </c>
      <c r="H4774" s="7" t="s">
        <v>7156</v>
      </c>
      <c r="I4774" s="7"/>
      <c r="J4774" s="10">
        <v>44179</v>
      </c>
      <c r="K4774" s="7" t="s">
        <v>7165</v>
      </c>
      <c r="L4774" s="7"/>
      <c r="M4774" s="7"/>
    </row>
    <row r="4775" spans="1:13" x14ac:dyDescent="0.3">
      <c r="A4775" s="7">
        <v>160043</v>
      </c>
      <c r="B4775" s="7" t="s">
        <v>4782</v>
      </c>
      <c r="C4775" s="7" t="s">
        <v>7024</v>
      </c>
      <c r="D4775" s="7" t="s">
        <v>6295</v>
      </c>
      <c r="E4775" s="7" t="s">
        <v>6940</v>
      </c>
      <c r="F4775" s="7" t="s">
        <v>6980</v>
      </c>
      <c r="G4775" s="7" t="s">
        <v>7150</v>
      </c>
      <c r="H4775" s="7" t="s">
        <v>7156</v>
      </c>
      <c r="I4775" s="7"/>
      <c r="J4775" s="10">
        <v>42804</v>
      </c>
      <c r="K4775" s="7" t="s">
        <v>7165</v>
      </c>
      <c r="L4775" s="7"/>
      <c r="M4775" s="7"/>
    </row>
    <row r="4776" spans="1:13" x14ac:dyDescent="0.3">
      <c r="A4776" s="7">
        <v>300142</v>
      </c>
      <c r="B4776" s="7" t="s">
        <v>4783</v>
      </c>
      <c r="C4776" s="7" t="s">
        <v>7024</v>
      </c>
      <c r="D4776" s="7" t="s">
        <v>6295</v>
      </c>
      <c r="E4776" s="7" t="s">
        <v>6940</v>
      </c>
      <c r="F4776" s="7" t="s">
        <v>6980</v>
      </c>
      <c r="G4776" s="7" t="s">
        <v>7150</v>
      </c>
      <c r="H4776" s="7" t="s">
        <v>7156</v>
      </c>
      <c r="I4776" s="7"/>
      <c r="J4776" s="10">
        <v>43348</v>
      </c>
      <c r="K4776" s="7" t="s">
        <v>7165</v>
      </c>
      <c r="L4776" s="7"/>
      <c r="M4776" s="7"/>
    </row>
    <row r="4777" spans="1:13" x14ac:dyDescent="0.3">
      <c r="A4777" s="7">
        <v>116019</v>
      </c>
      <c r="B4777" s="7" t="s">
        <v>4784</v>
      </c>
      <c r="C4777" s="7" t="s">
        <v>7024</v>
      </c>
      <c r="D4777" s="7" t="s">
        <v>6295</v>
      </c>
      <c r="E4777" s="7" t="s">
        <v>6940</v>
      </c>
      <c r="F4777" s="7" t="s">
        <v>6980</v>
      </c>
      <c r="G4777" s="7" t="s">
        <v>7150</v>
      </c>
      <c r="H4777" s="7" t="s">
        <v>7156</v>
      </c>
      <c r="I4777" s="7"/>
      <c r="J4777" s="10">
        <v>43577</v>
      </c>
      <c r="K4777" s="7" t="s">
        <v>7165</v>
      </c>
      <c r="L4777" s="7"/>
      <c r="M4777" s="7"/>
    </row>
    <row r="4778" spans="1:13" x14ac:dyDescent="0.3">
      <c r="A4778" s="7">
        <v>780021</v>
      </c>
      <c r="B4778" s="7" t="s">
        <v>4785</v>
      </c>
      <c r="C4778" s="7" t="s">
        <v>7024</v>
      </c>
      <c r="D4778" s="7" t="s">
        <v>6295</v>
      </c>
      <c r="E4778" s="7" t="s">
        <v>6940</v>
      </c>
      <c r="F4778" s="7" t="s">
        <v>6980</v>
      </c>
      <c r="G4778" s="7" t="s">
        <v>7150</v>
      </c>
      <c r="H4778" s="7" t="s">
        <v>7156</v>
      </c>
      <c r="I4778" s="7"/>
      <c r="J4778" s="10">
        <v>44624</v>
      </c>
      <c r="K4778" s="7" t="s">
        <v>7165</v>
      </c>
      <c r="L4778" s="7"/>
      <c r="M4778" s="7"/>
    </row>
    <row r="4779" spans="1:13" x14ac:dyDescent="0.3">
      <c r="A4779" s="7">
        <v>230048</v>
      </c>
      <c r="B4779" s="7" t="s">
        <v>4786</v>
      </c>
      <c r="C4779" s="7" t="s">
        <v>7024</v>
      </c>
      <c r="D4779" s="7" t="s">
        <v>6295</v>
      </c>
      <c r="E4779" s="7" t="s">
        <v>6940</v>
      </c>
      <c r="F4779" s="7" t="s">
        <v>6980</v>
      </c>
      <c r="G4779" s="7" t="s">
        <v>7150</v>
      </c>
      <c r="H4779" s="7" t="s">
        <v>7156</v>
      </c>
      <c r="I4779" s="7"/>
      <c r="J4779" s="10">
        <v>44594</v>
      </c>
      <c r="K4779" s="7" t="s">
        <v>7165</v>
      </c>
      <c r="L4779" s="7"/>
      <c r="M4779" s="7"/>
    </row>
    <row r="4780" spans="1:13" x14ac:dyDescent="0.3">
      <c r="A4780" s="7">
        <v>450044</v>
      </c>
      <c r="B4780" s="7" t="s">
        <v>4787</v>
      </c>
      <c r="C4780" s="7" t="s">
        <v>7024</v>
      </c>
      <c r="D4780" s="7" t="s">
        <v>6295</v>
      </c>
      <c r="E4780" s="7" t="s">
        <v>6940</v>
      </c>
      <c r="F4780" s="7" t="s">
        <v>6980</v>
      </c>
      <c r="G4780" s="7" t="s">
        <v>7150</v>
      </c>
      <c r="H4780" s="7" t="s">
        <v>7156</v>
      </c>
      <c r="I4780" s="7"/>
      <c r="J4780" s="10">
        <v>43258</v>
      </c>
      <c r="K4780" s="7" t="s">
        <v>7165</v>
      </c>
      <c r="L4780" s="7"/>
      <c r="M4780" s="7"/>
    </row>
    <row r="4781" spans="1:13" x14ac:dyDescent="0.3">
      <c r="A4781" s="7">
        <v>137016</v>
      </c>
      <c r="B4781" s="7" t="s">
        <v>4788</v>
      </c>
      <c r="C4781" s="7" t="s">
        <v>7024</v>
      </c>
      <c r="D4781" s="7" t="s">
        <v>6295</v>
      </c>
      <c r="E4781" s="7" t="s">
        <v>6940</v>
      </c>
      <c r="F4781" s="7" t="s">
        <v>6986</v>
      </c>
      <c r="G4781" s="7" t="s">
        <v>7150</v>
      </c>
      <c r="H4781" s="7" t="s">
        <v>7156</v>
      </c>
      <c r="I4781" s="7"/>
      <c r="J4781" s="10">
        <v>44578</v>
      </c>
      <c r="K4781" s="7" t="s">
        <v>7165</v>
      </c>
      <c r="L4781" s="7"/>
      <c r="M4781" s="7"/>
    </row>
    <row r="4782" spans="1:13" x14ac:dyDescent="0.3">
      <c r="A4782" s="7">
        <v>15097</v>
      </c>
      <c r="B4782" s="7" t="s">
        <v>4789</v>
      </c>
      <c r="C4782" s="7" t="s">
        <v>7024</v>
      </c>
      <c r="D4782" s="7" t="s">
        <v>6295</v>
      </c>
      <c r="E4782" s="7" t="s">
        <v>6940</v>
      </c>
      <c r="F4782" s="7" t="s">
        <v>6986</v>
      </c>
      <c r="G4782" s="7" t="s">
        <v>7150</v>
      </c>
      <c r="H4782" s="7" t="s">
        <v>7156</v>
      </c>
      <c r="I4782" s="7"/>
      <c r="J4782" s="10">
        <v>44945</v>
      </c>
      <c r="K4782" s="7" t="s">
        <v>7165</v>
      </c>
      <c r="L4782" s="7"/>
      <c r="M4782" s="7"/>
    </row>
    <row r="4783" spans="1:13" x14ac:dyDescent="0.3">
      <c r="A4783" s="7">
        <v>142001</v>
      </c>
      <c r="B4783" s="7" t="s">
        <v>4790</v>
      </c>
      <c r="C4783" s="7" t="s">
        <v>7024</v>
      </c>
      <c r="D4783" s="7" t="s">
        <v>6295</v>
      </c>
      <c r="E4783" s="7" t="s">
        <v>6940</v>
      </c>
      <c r="F4783" s="7" t="s">
        <v>6986</v>
      </c>
      <c r="G4783" s="7" t="s">
        <v>7150</v>
      </c>
      <c r="H4783" s="7" t="s">
        <v>7156</v>
      </c>
      <c r="I4783" s="7"/>
      <c r="J4783" s="10">
        <v>44123</v>
      </c>
      <c r="K4783" s="7" t="s">
        <v>7165</v>
      </c>
      <c r="L4783" s="7"/>
      <c r="M4783" s="7"/>
    </row>
    <row r="4784" spans="1:13" x14ac:dyDescent="0.3">
      <c r="A4784" s="7">
        <v>300183</v>
      </c>
      <c r="B4784" s="7" t="s">
        <v>4791</v>
      </c>
      <c r="C4784" s="7" t="s">
        <v>7024</v>
      </c>
      <c r="D4784" s="7" t="s">
        <v>6295</v>
      </c>
      <c r="E4784" s="7" t="s">
        <v>6940</v>
      </c>
      <c r="F4784" s="7" t="s">
        <v>6986</v>
      </c>
      <c r="G4784" s="7" t="s">
        <v>7150</v>
      </c>
      <c r="H4784" s="7" t="s">
        <v>7156</v>
      </c>
      <c r="I4784" s="7"/>
      <c r="J4784" s="10">
        <v>43698</v>
      </c>
      <c r="K4784" s="7" t="s">
        <v>7165</v>
      </c>
      <c r="L4784" s="7"/>
      <c r="M4784" s="7"/>
    </row>
    <row r="4785" spans="1:13" x14ac:dyDescent="0.3">
      <c r="A4785" s="7">
        <v>15348</v>
      </c>
      <c r="B4785" s="7" t="s">
        <v>4792</v>
      </c>
      <c r="C4785" s="7" t="s">
        <v>7024</v>
      </c>
      <c r="D4785" s="7" t="s">
        <v>6295</v>
      </c>
      <c r="E4785" s="7" t="s">
        <v>6940</v>
      </c>
      <c r="F4785" s="7" t="s">
        <v>6986</v>
      </c>
      <c r="G4785" s="7" t="s">
        <v>7150</v>
      </c>
      <c r="H4785" s="7" t="s">
        <v>7156</v>
      </c>
      <c r="I4785" s="7"/>
      <c r="J4785" s="10">
        <v>45036</v>
      </c>
      <c r="K4785" s="7" t="s">
        <v>7165</v>
      </c>
      <c r="L4785" s="7"/>
      <c r="M4785" s="7"/>
    </row>
    <row r="4786" spans="1:13" x14ac:dyDescent="0.3">
      <c r="A4786" s="7">
        <v>14553</v>
      </c>
      <c r="B4786" s="7" t="s">
        <v>4793</v>
      </c>
      <c r="C4786" s="7" t="s">
        <v>7024</v>
      </c>
      <c r="D4786" s="7" t="s">
        <v>6295</v>
      </c>
      <c r="E4786" s="7" t="s">
        <v>6940</v>
      </c>
      <c r="F4786" s="7" t="s">
        <v>6987</v>
      </c>
      <c r="G4786" s="7" t="s">
        <v>7150</v>
      </c>
      <c r="H4786" s="7" t="s">
        <v>7156</v>
      </c>
      <c r="I4786" s="7"/>
      <c r="J4786" s="10">
        <v>44782</v>
      </c>
      <c r="K4786" s="7" t="s">
        <v>7165</v>
      </c>
      <c r="L4786" s="7"/>
      <c r="M4786" s="7"/>
    </row>
    <row r="4787" spans="1:13" x14ac:dyDescent="0.3">
      <c r="A4787" s="7">
        <v>17173</v>
      </c>
      <c r="B4787" s="7" t="s">
        <v>4794</v>
      </c>
      <c r="C4787" s="7" t="s">
        <v>7024</v>
      </c>
      <c r="D4787" s="7" t="s">
        <v>6295</v>
      </c>
      <c r="E4787" s="7" t="s">
        <v>6940</v>
      </c>
      <c r="F4787" s="7" t="s">
        <v>6987</v>
      </c>
      <c r="G4787" s="7" t="s">
        <v>7150</v>
      </c>
      <c r="H4787" s="7" t="s">
        <v>7156</v>
      </c>
      <c r="I4787" s="7"/>
      <c r="J4787" s="10">
        <v>45653</v>
      </c>
      <c r="K4787" s="7" t="s">
        <v>7165</v>
      </c>
      <c r="L4787" s="7"/>
      <c r="M4787" s="7"/>
    </row>
    <row r="4788" spans="1:13" x14ac:dyDescent="0.3">
      <c r="A4788" s="7">
        <v>410061</v>
      </c>
      <c r="B4788" s="7" t="s">
        <v>4795</v>
      </c>
      <c r="C4788" s="7" t="s">
        <v>7024</v>
      </c>
      <c r="D4788" s="7" t="s">
        <v>6295</v>
      </c>
      <c r="E4788" s="7" t="s">
        <v>6940</v>
      </c>
      <c r="F4788" s="7" t="s">
        <v>6992</v>
      </c>
      <c r="G4788" s="7" t="s">
        <v>7150</v>
      </c>
      <c r="H4788" s="7" t="s">
        <v>7156</v>
      </c>
      <c r="I4788" s="7"/>
      <c r="J4788" s="10">
        <v>44312</v>
      </c>
      <c r="K4788" s="7" t="s">
        <v>7165</v>
      </c>
      <c r="L4788" s="7"/>
      <c r="M4788" s="7"/>
    </row>
    <row r="4789" spans="1:13" x14ac:dyDescent="0.3">
      <c r="A4789" s="7">
        <v>18489</v>
      </c>
      <c r="B4789" s="7" t="s">
        <v>4796</v>
      </c>
      <c r="C4789" s="7" t="s">
        <v>7024</v>
      </c>
      <c r="D4789" s="7" t="s">
        <v>6295</v>
      </c>
      <c r="E4789" s="7" t="s">
        <v>6940</v>
      </c>
      <c r="F4789" s="7" t="s">
        <v>6998</v>
      </c>
      <c r="G4789" s="7" t="s">
        <v>7150</v>
      </c>
      <c r="H4789" s="7" t="s">
        <v>7156</v>
      </c>
      <c r="I4789" s="7"/>
      <c r="J4789" s="10">
        <v>46140</v>
      </c>
      <c r="K4789" s="7" t="s">
        <v>7165</v>
      </c>
      <c r="L4789" s="7"/>
      <c r="M4789" s="7"/>
    </row>
    <row r="4790" spans="1:13" x14ac:dyDescent="0.3">
      <c r="A4790" s="7">
        <v>137015</v>
      </c>
      <c r="B4790" s="7" t="s">
        <v>4797</v>
      </c>
      <c r="C4790" s="7" t="s">
        <v>7024</v>
      </c>
      <c r="D4790" s="7" t="s">
        <v>6295</v>
      </c>
      <c r="E4790" s="7" t="s">
        <v>6994</v>
      </c>
      <c r="F4790" s="7" t="s">
        <v>6498</v>
      </c>
      <c r="G4790" s="7" t="s">
        <v>7150</v>
      </c>
      <c r="H4790" s="7" t="s">
        <v>7156</v>
      </c>
      <c r="I4790" s="7"/>
      <c r="J4790" s="10">
        <v>44574</v>
      </c>
      <c r="K4790" s="7" t="s">
        <v>7165</v>
      </c>
      <c r="L4790" s="7"/>
      <c r="M4790" s="7"/>
    </row>
    <row r="4791" spans="1:13" x14ac:dyDescent="0.3">
      <c r="A4791" s="7">
        <v>137014</v>
      </c>
      <c r="B4791" s="7" t="s">
        <v>4798</v>
      </c>
      <c r="C4791" s="7" t="s">
        <v>7024</v>
      </c>
      <c r="D4791" s="7" t="s">
        <v>6295</v>
      </c>
      <c r="E4791" s="7" t="s">
        <v>6994</v>
      </c>
      <c r="F4791" s="7" t="s">
        <v>6353</v>
      </c>
      <c r="G4791" s="7" t="s">
        <v>7150</v>
      </c>
      <c r="H4791" s="7" t="s">
        <v>7156</v>
      </c>
      <c r="I4791" s="7"/>
      <c r="J4791" s="10">
        <v>44568</v>
      </c>
      <c r="K4791" s="7" t="s">
        <v>7165</v>
      </c>
      <c r="L4791" s="7"/>
      <c r="M4791" s="7"/>
    </row>
    <row r="4792" spans="1:13" x14ac:dyDescent="0.3">
      <c r="A4792" s="7">
        <v>14971</v>
      </c>
      <c r="B4792" s="7" t="s">
        <v>4799</v>
      </c>
      <c r="C4792" s="7" t="s">
        <v>7024</v>
      </c>
      <c r="D4792" s="7" t="s">
        <v>6295</v>
      </c>
      <c r="E4792" s="7" t="s">
        <v>6994</v>
      </c>
      <c r="F4792" s="7" t="s">
        <v>6340</v>
      </c>
      <c r="G4792" s="7" t="s">
        <v>7150</v>
      </c>
      <c r="H4792" s="7" t="s">
        <v>7156</v>
      </c>
      <c r="I4792" s="7"/>
      <c r="J4792" s="10">
        <v>44902</v>
      </c>
      <c r="K4792" s="7" t="s">
        <v>7165</v>
      </c>
      <c r="L4792" s="7"/>
      <c r="M4792" s="7"/>
    </row>
    <row r="4793" spans="1:13" x14ac:dyDescent="0.3">
      <c r="A4793" s="7">
        <v>16672</v>
      </c>
      <c r="B4793" s="7" t="s">
        <v>4800</v>
      </c>
      <c r="C4793" s="7" t="s">
        <v>7024</v>
      </c>
      <c r="D4793" s="7" t="s">
        <v>6295</v>
      </c>
      <c r="E4793" s="7" t="s">
        <v>6994</v>
      </c>
      <c r="F4793" s="7" t="s">
        <v>6340</v>
      </c>
      <c r="G4793" s="7" t="s">
        <v>7150</v>
      </c>
      <c r="H4793" s="7" t="s">
        <v>7156</v>
      </c>
      <c r="I4793" s="7"/>
      <c r="J4793" s="10">
        <v>45516</v>
      </c>
      <c r="K4793" s="7" t="s">
        <v>7165</v>
      </c>
      <c r="L4793" s="7"/>
      <c r="M4793" s="7"/>
    </row>
    <row r="4794" spans="1:13" x14ac:dyDescent="0.3">
      <c r="A4794" s="7">
        <v>17679</v>
      </c>
      <c r="B4794" s="7" t="s">
        <v>4801</v>
      </c>
      <c r="C4794" s="7" t="s">
        <v>7024</v>
      </c>
      <c r="D4794" s="7" t="s">
        <v>6295</v>
      </c>
      <c r="E4794" s="7" t="s">
        <v>6994</v>
      </c>
      <c r="F4794" s="7" t="s">
        <v>6341</v>
      </c>
      <c r="G4794" s="7" t="s">
        <v>7150</v>
      </c>
      <c r="H4794" s="7" t="s">
        <v>7156</v>
      </c>
      <c r="I4794" s="7"/>
      <c r="J4794" s="10">
        <v>45842</v>
      </c>
      <c r="K4794" s="7" t="s">
        <v>7165</v>
      </c>
      <c r="L4794" s="7"/>
      <c r="M4794" s="7"/>
    </row>
    <row r="4795" spans="1:13" x14ac:dyDescent="0.3">
      <c r="A4795" s="7">
        <v>670035</v>
      </c>
      <c r="B4795" s="7" t="s">
        <v>4802</v>
      </c>
      <c r="C4795" s="7" t="s">
        <v>7024</v>
      </c>
      <c r="D4795" s="7" t="s">
        <v>6295</v>
      </c>
      <c r="E4795" s="7" t="s">
        <v>6951</v>
      </c>
      <c r="F4795" s="7" t="s">
        <v>6398</v>
      </c>
      <c r="G4795" s="7" t="s">
        <v>7150</v>
      </c>
      <c r="H4795" s="7" t="s">
        <v>7156</v>
      </c>
      <c r="I4795" s="7"/>
      <c r="J4795" s="10">
        <v>42573</v>
      </c>
      <c r="K4795" s="7" t="s">
        <v>7165</v>
      </c>
      <c r="L4795" s="7"/>
      <c r="M4795" s="7"/>
    </row>
    <row r="4796" spans="1:13" x14ac:dyDescent="0.3">
      <c r="A4796" s="7">
        <v>11721</v>
      </c>
      <c r="B4796" s="7" t="s">
        <v>4803</v>
      </c>
      <c r="C4796" s="7" t="s">
        <v>7025</v>
      </c>
      <c r="D4796" s="7" t="s">
        <v>6295</v>
      </c>
      <c r="E4796" s="7" t="s">
        <v>6295</v>
      </c>
      <c r="F4796" s="7" t="s">
        <v>6939</v>
      </c>
      <c r="G4796" s="7" t="s">
        <v>7150</v>
      </c>
      <c r="H4796" s="7" t="s">
        <v>7156</v>
      </c>
      <c r="I4796" s="7"/>
      <c r="J4796" s="10">
        <v>43061</v>
      </c>
      <c r="K4796" s="7" t="s">
        <v>7165</v>
      </c>
      <c r="L4796" s="7"/>
      <c r="M4796" s="7"/>
    </row>
    <row r="4797" spans="1:13" x14ac:dyDescent="0.3">
      <c r="A4797" s="7">
        <v>980027</v>
      </c>
      <c r="B4797" s="7" t="s">
        <v>4804</v>
      </c>
      <c r="C4797" s="7" t="s">
        <v>7025</v>
      </c>
      <c r="D4797" s="7" t="s">
        <v>6295</v>
      </c>
      <c r="E4797" s="7" t="s">
        <v>6940</v>
      </c>
      <c r="F4797" s="7" t="s">
        <v>6941</v>
      </c>
      <c r="G4797" s="7" t="s">
        <v>7150</v>
      </c>
      <c r="H4797" s="7" t="s">
        <v>7156</v>
      </c>
      <c r="I4797" s="7"/>
      <c r="J4797" s="10">
        <v>44179</v>
      </c>
      <c r="K4797" s="7" t="s">
        <v>7165</v>
      </c>
      <c r="L4797" s="7"/>
      <c r="M4797" s="7"/>
    </row>
    <row r="4798" spans="1:13" x14ac:dyDescent="0.3">
      <c r="A4798" s="7">
        <v>15901</v>
      </c>
      <c r="B4798" s="7" t="s">
        <v>4805</v>
      </c>
      <c r="C4798" s="7" t="s">
        <v>7025</v>
      </c>
      <c r="D4798" s="7" t="s">
        <v>6295</v>
      </c>
      <c r="E4798" s="7" t="s">
        <v>6940</v>
      </c>
      <c r="F4798" s="7" t="s">
        <v>6979</v>
      </c>
      <c r="G4798" s="7" t="s">
        <v>7150</v>
      </c>
      <c r="H4798" s="7" t="s">
        <v>7156</v>
      </c>
      <c r="I4798" s="7"/>
      <c r="J4798" s="10">
        <v>45234</v>
      </c>
      <c r="K4798" s="7" t="s">
        <v>7165</v>
      </c>
      <c r="L4798" s="7"/>
      <c r="M4798" s="7"/>
    </row>
    <row r="4799" spans="1:13" x14ac:dyDescent="0.3">
      <c r="A4799" s="7">
        <v>14170</v>
      </c>
      <c r="B4799" s="7" t="s">
        <v>4806</v>
      </c>
      <c r="C4799" s="7" t="s">
        <v>7025</v>
      </c>
      <c r="D4799" s="7" t="s">
        <v>6295</v>
      </c>
      <c r="E4799" s="7" t="s">
        <v>6940</v>
      </c>
      <c r="F4799" s="7" t="s">
        <v>6992</v>
      </c>
      <c r="G4799" s="7" t="s">
        <v>7150</v>
      </c>
      <c r="H4799" s="7" t="s">
        <v>7156</v>
      </c>
      <c r="I4799" s="7"/>
      <c r="J4799" s="10">
        <v>44686</v>
      </c>
      <c r="K4799" s="7" t="s">
        <v>7165</v>
      </c>
      <c r="L4799" s="7"/>
      <c r="M4799" s="7"/>
    </row>
    <row r="4800" spans="1:13" x14ac:dyDescent="0.3">
      <c r="A4800" s="7">
        <v>840019</v>
      </c>
      <c r="B4800" s="7" t="s">
        <v>4807</v>
      </c>
      <c r="C4800" s="7" t="s">
        <v>7025</v>
      </c>
      <c r="D4800" s="7" t="s">
        <v>6295</v>
      </c>
      <c r="E4800" s="7" t="s">
        <v>6940</v>
      </c>
      <c r="F4800" s="7" t="s">
        <v>6980</v>
      </c>
      <c r="G4800" s="7" t="s">
        <v>7150</v>
      </c>
      <c r="H4800" s="7" t="s">
        <v>7156</v>
      </c>
      <c r="I4800" s="7"/>
      <c r="J4800" s="10">
        <v>43367</v>
      </c>
      <c r="K4800" s="7" t="s">
        <v>7165</v>
      </c>
      <c r="L4800" s="7"/>
      <c r="M4800" s="7"/>
    </row>
    <row r="4801" spans="1:13" x14ac:dyDescent="0.3">
      <c r="A4801" s="7">
        <v>14145</v>
      </c>
      <c r="B4801" s="7" t="s">
        <v>4808</v>
      </c>
      <c r="C4801" s="7" t="s">
        <v>7025</v>
      </c>
      <c r="D4801" s="7" t="s">
        <v>6295</v>
      </c>
      <c r="E4801" s="7" t="s">
        <v>6940</v>
      </c>
      <c r="F4801" s="7" t="s">
        <v>6986</v>
      </c>
      <c r="G4801" s="7" t="s">
        <v>7150</v>
      </c>
      <c r="H4801" s="7" t="s">
        <v>7156</v>
      </c>
      <c r="I4801" s="7"/>
      <c r="J4801" s="10">
        <v>44673</v>
      </c>
      <c r="K4801" s="7" t="s">
        <v>7165</v>
      </c>
      <c r="L4801" s="7"/>
      <c r="M4801" s="7"/>
    </row>
    <row r="4802" spans="1:13" x14ac:dyDescent="0.3">
      <c r="A4802" s="7">
        <v>170042</v>
      </c>
      <c r="B4802" s="7" t="s">
        <v>4809</v>
      </c>
      <c r="C4802" s="7" t="s">
        <v>7025</v>
      </c>
      <c r="D4802" s="7" t="s">
        <v>6295</v>
      </c>
      <c r="E4802" s="7" t="s">
        <v>6940</v>
      </c>
      <c r="F4802" s="7" t="s">
        <v>6986</v>
      </c>
      <c r="G4802" s="7" t="s">
        <v>7150</v>
      </c>
      <c r="H4802" s="7" t="s">
        <v>7156</v>
      </c>
      <c r="I4802" s="7"/>
      <c r="J4802" s="10">
        <v>43720</v>
      </c>
      <c r="K4802" s="7" t="s">
        <v>7165</v>
      </c>
      <c r="L4802" s="7"/>
      <c r="M4802" s="7"/>
    </row>
    <row r="4803" spans="1:13" x14ac:dyDescent="0.3">
      <c r="A4803" s="7">
        <v>15961</v>
      </c>
      <c r="B4803" s="7" t="s">
        <v>4810</v>
      </c>
      <c r="C4803" s="7" t="s">
        <v>7025</v>
      </c>
      <c r="D4803" s="7" t="s">
        <v>6295</v>
      </c>
      <c r="E4803" s="7" t="s">
        <v>6940</v>
      </c>
      <c r="F4803" s="7" t="s">
        <v>6987</v>
      </c>
      <c r="G4803" s="7" t="s">
        <v>7151</v>
      </c>
      <c r="H4803" s="7" t="s">
        <v>7156</v>
      </c>
      <c r="I4803" s="7"/>
      <c r="J4803" s="10">
        <v>45250</v>
      </c>
      <c r="K4803" s="7" t="s">
        <v>7165</v>
      </c>
      <c r="L4803" s="7"/>
      <c r="M4803" s="7"/>
    </row>
    <row r="4804" spans="1:13" x14ac:dyDescent="0.3">
      <c r="A4804" s="7">
        <v>15585</v>
      </c>
      <c r="B4804" s="7" t="s">
        <v>4811</v>
      </c>
      <c r="C4804" s="7" t="s">
        <v>7025</v>
      </c>
      <c r="D4804" s="7" t="s">
        <v>6295</v>
      </c>
      <c r="E4804" s="7" t="s">
        <v>6940</v>
      </c>
      <c r="F4804" s="7" t="s">
        <v>7016</v>
      </c>
      <c r="G4804" s="7" t="s">
        <v>7150</v>
      </c>
      <c r="H4804" s="7" t="s">
        <v>7157</v>
      </c>
      <c r="I4804" s="7"/>
      <c r="J4804" s="10">
        <v>45132</v>
      </c>
      <c r="K4804" s="7" t="s">
        <v>7165</v>
      </c>
      <c r="L4804" s="7"/>
      <c r="M4804" s="7"/>
    </row>
    <row r="4805" spans="1:13" x14ac:dyDescent="0.3">
      <c r="A4805" s="7">
        <v>143001</v>
      </c>
      <c r="B4805" s="7" t="s">
        <v>4812</v>
      </c>
      <c r="C4805" s="7" t="s">
        <v>7025</v>
      </c>
      <c r="D4805" s="7" t="s">
        <v>6295</v>
      </c>
      <c r="E4805" s="7" t="s">
        <v>6951</v>
      </c>
      <c r="F4805" s="7" t="s">
        <v>6398</v>
      </c>
      <c r="G4805" s="7" t="s">
        <v>7150</v>
      </c>
      <c r="H4805" s="7" t="s">
        <v>7156</v>
      </c>
      <c r="I4805" s="7"/>
      <c r="J4805" s="10">
        <v>44424</v>
      </c>
      <c r="K4805" s="7" t="s">
        <v>7165</v>
      </c>
      <c r="L4805" s="7"/>
      <c r="M4805" s="7"/>
    </row>
    <row r="4806" spans="1:13" x14ac:dyDescent="0.3">
      <c r="A4806" s="7">
        <v>14564</v>
      </c>
      <c r="B4806" s="7" t="s">
        <v>4813</v>
      </c>
      <c r="C4806" s="7" t="s">
        <v>7026</v>
      </c>
      <c r="D4806" s="7" t="s">
        <v>6295</v>
      </c>
      <c r="E4806" s="7" t="s">
        <v>6940</v>
      </c>
      <c r="F4806" s="7" t="s">
        <v>6943</v>
      </c>
      <c r="G4806" s="7" t="s">
        <v>7150</v>
      </c>
      <c r="H4806" s="7" t="s">
        <v>7156</v>
      </c>
      <c r="I4806" s="7"/>
      <c r="J4806" s="10">
        <v>44784</v>
      </c>
      <c r="K4806" s="7" t="s">
        <v>7165</v>
      </c>
      <c r="L4806" s="7"/>
      <c r="M4806" s="7"/>
    </row>
    <row r="4807" spans="1:13" x14ac:dyDescent="0.3">
      <c r="A4807" s="7">
        <v>15902</v>
      </c>
      <c r="B4807" s="7" t="s">
        <v>4814</v>
      </c>
      <c r="C4807" s="7" t="s">
        <v>7026</v>
      </c>
      <c r="D4807" s="7" t="s">
        <v>6295</v>
      </c>
      <c r="E4807" s="7" t="s">
        <v>6940</v>
      </c>
      <c r="F4807" s="7" t="s">
        <v>6943</v>
      </c>
      <c r="G4807" s="7" t="s">
        <v>7150</v>
      </c>
      <c r="H4807" s="7" t="s">
        <v>7156</v>
      </c>
      <c r="I4807" s="7"/>
      <c r="J4807" s="10">
        <v>45234</v>
      </c>
      <c r="K4807" s="7" t="s">
        <v>7165</v>
      </c>
      <c r="L4807" s="7"/>
      <c r="M4807" s="7"/>
    </row>
    <row r="4808" spans="1:13" x14ac:dyDescent="0.3">
      <c r="A4808" s="7">
        <v>17390</v>
      </c>
      <c r="B4808" s="7" t="s">
        <v>4815</v>
      </c>
      <c r="C4808" s="7" t="s">
        <v>7026</v>
      </c>
      <c r="D4808" s="7" t="s">
        <v>6295</v>
      </c>
      <c r="E4808" s="7" t="s">
        <v>6940</v>
      </c>
      <c r="F4808" s="7" t="s">
        <v>6949</v>
      </c>
      <c r="G4808" s="7" t="s">
        <v>7150</v>
      </c>
      <c r="H4808" s="7" t="s">
        <v>7156</v>
      </c>
      <c r="I4808" s="7"/>
      <c r="J4808" s="10">
        <v>45730</v>
      </c>
      <c r="K4808" s="7" t="s">
        <v>7165</v>
      </c>
      <c r="L4808" s="7"/>
      <c r="M4808" s="7"/>
    </row>
    <row r="4809" spans="1:13" x14ac:dyDescent="0.3">
      <c r="A4809" s="7">
        <v>10634</v>
      </c>
      <c r="B4809" s="7" t="s">
        <v>4816</v>
      </c>
      <c r="C4809" s="7" t="s">
        <v>7027</v>
      </c>
      <c r="D4809" s="7" t="s">
        <v>6295</v>
      </c>
      <c r="E4809" s="7" t="s">
        <v>6295</v>
      </c>
      <c r="F4809" s="7" t="s">
        <v>6939</v>
      </c>
      <c r="G4809" s="7" t="s">
        <v>7150</v>
      </c>
      <c r="H4809" s="7" t="s">
        <v>7156</v>
      </c>
      <c r="I4809" s="7"/>
      <c r="J4809" s="10">
        <v>41061</v>
      </c>
      <c r="K4809" s="7" t="s">
        <v>7165</v>
      </c>
      <c r="L4809" s="7"/>
      <c r="M4809" s="7"/>
    </row>
    <row r="4810" spans="1:13" x14ac:dyDescent="0.3">
      <c r="A4810" s="7">
        <v>110020</v>
      </c>
      <c r="B4810" s="7" t="s">
        <v>4817</v>
      </c>
      <c r="C4810" s="7" t="s">
        <v>7027</v>
      </c>
      <c r="D4810" s="7" t="s">
        <v>6295</v>
      </c>
      <c r="E4810" s="7" t="s">
        <v>6940</v>
      </c>
      <c r="F4810" s="7" t="s">
        <v>6498</v>
      </c>
      <c r="G4810" s="7" t="s">
        <v>7150</v>
      </c>
      <c r="H4810" s="7" t="s">
        <v>7156</v>
      </c>
      <c r="I4810" s="7"/>
      <c r="J4810" s="10">
        <v>42383</v>
      </c>
      <c r="K4810" s="7" t="s">
        <v>7165</v>
      </c>
      <c r="L4810" s="7"/>
      <c r="M4810" s="7"/>
    </row>
    <row r="4811" spans="1:13" x14ac:dyDescent="0.3">
      <c r="A4811" s="7">
        <v>16690</v>
      </c>
      <c r="B4811" s="7" t="s">
        <v>4818</v>
      </c>
      <c r="C4811" s="7" t="s">
        <v>7027</v>
      </c>
      <c r="D4811" s="7" t="s">
        <v>6295</v>
      </c>
      <c r="E4811" s="7" t="s">
        <v>6940</v>
      </c>
      <c r="F4811" s="7" t="s">
        <v>6979</v>
      </c>
      <c r="G4811" s="7" t="s">
        <v>7150</v>
      </c>
      <c r="H4811" s="7" t="s">
        <v>7156</v>
      </c>
      <c r="I4811" s="7"/>
      <c r="J4811" s="10">
        <v>45525</v>
      </c>
      <c r="K4811" s="7" t="s">
        <v>7165</v>
      </c>
      <c r="L4811" s="7"/>
      <c r="M4811" s="7"/>
    </row>
    <row r="4812" spans="1:13" x14ac:dyDescent="0.3">
      <c r="A4812" s="7">
        <v>300172</v>
      </c>
      <c r="B4812" s="7" t="s">
        <v>4819</v>
      </c>
      <c r="C4812" s="7" t="s">
        <v>7027</v>
      </c>
      <c r="D4812" s="7" t="s">
        <v>6295</v>
      </c>
      <c r="E4812" s="7" t="s">
        <v>6940</v>
      </c>
      <c r="F4812" s="7" t="s">
        <v>6979</v>
      </c>
      <c r="G4812" s="7" t="s">
        <v>7150</v>
      </c>
      <c r="H4812" s="7" t="s">
        <v>7156</v>
      </c>
      <c r="I4812" s="7"/>
      <c r="J4812" s="10">
        <v>43651</v>
      </c>
      <c r="K4812" s="7" t="s">
        <v>7165</v>
      </c>
      <c r="L4812" s="7"/>
      <c r="M4812" s="7"/>
    </row>
    <row r="4813" spans="1:13" x14ac:dyDescent="0.3">
      <c r="A4813" s="7">
        <v>17420</v>
      </c>
      <c r="B4813" s="7" t="s">
        <v>4820</v>
      </c>
      <c r="C4813" s="7" t="s">
        <v>7027</v>
      </c>
      <c r="D4813" s="7" t="s">
        <v>6295</v>
      </c>
      <c r="E4813" s="7" t="s">
        <v>6940</v>
      </c>
      <c r="F4813" s="7" t="s">
        <v>6949</v>
      </c>
      <c r="G4813" s="7" t="s">
        <v>7151</v>
      </c>
      <c r="H4813" s="7" t="s">
        <v>7156</v>
      </c>
      <c r="I4813" s="7"/>
      <c r="J4813" s="10">
        <v>45751</v>
      </c>
      <c r="K4813" s="7" t="s">
        <v>7165</v>
      </c>
      <c r="L4813" s="7"/>
      <c r="M4813" s="7"/>
    </row>
    <row r="4814" spans="1:13" x14ac:dyDescent="0.3">
      <c r="A4814" s="7">
        <v>18829</v>
      </c>
      <c r="B4814" s="7" t="s">
        <v>4821</v>
      </c>
      <c r="C4814" s="7" t="s">
        <v>7027</v>
      </c>
      <c r="D4814" s="7" t="s">
        <v>6295</v>
      </c>
      <c r="E4814" s="7" t="s">
        <v>6940</v>
      </c>
      <c r="F4814" s="7" t="s">
        <v>7028</v>
      </c>
      <c r="G4814" s="7" t="s">
        <v>7150</v>
      </c>
      <c r="H4814" s="7" t="s">
        <v>7157</v>
      </c>
      <c r="I4814" s="7"/>
      <c r="J4814" s="10">
        <v>46220</v>
      </c>
      <c r="K4814" s="7" t="s">
        <v>7165</v>
      </c>
      <c r="L4814" s="7"/>
      <c r="M4814" s="7"/>
    </row>
    <row r="4815" spans="1:13" x14ac:dyDescent="0.3">
      <c r="A4815" s="7">
        <v>150018</v>
      </c>
      <c r="B4815" s="7" t="s">
        <v>4822</v>
      </c>
      <c r="C4815" s="7" t="s">
        <v>7027</v>
      </c>
      <c r="D4815" s="7" t="s">
        <v>6295</v>
      </c>
      <c r="E4815" s="7" t="s">
        <v>6940</v>
      </c>
      <c r="F4815" s="7" t="s">
        <v>6980</v>
      </c>
      <c r="G4815" s="7" t="s">
        <v>7150</v>
      </c>
      <c r="H4815" s="7" t="s">
        <v>7156</v>
      </c>
      <c r="I4815" s="7"/>
      <c r="J4815" s="10">
        <v>38607</v>
      </c>
      <c r="K4815" s="7" t="s">
        <v>7165</v>
      </c>
      <c r="L4815" s="7"/>
      <c r="M4815" s="7"/>
    </row>
    <row r="4816" spans="1:13" x14ac:dyDescent="0.3">
      <c r="A4816" s="7">
        <v>700056</v>
      </c>
      <c r="B4816" s="7" t="s">
        <v>4823</v>
      </c>
      <c r="C4816" s="7" t="s">
        <v>7027</v>
      </c>
      <c r="D4816" s="7" t="s">
        <v>6295</v>
      </c>
      <c r="E4816" s="7" t="s">
        <v>6940</v>
      </c>
      <c r="F4816" s="7" t="s">
        <v>6980</v>
      </c>
      <c r="G4816" s="7" t="s">
        <v>7150</v>
      </c>
      <c r="H4816" s="7" t="s">
        <v>7156</v>
      </c>
      <c r="I4816" s="7"/>
      <c r="J4816" s="10">
        <v>43063</v>
      </c>
      <c r="K4816" s="7" t="s">
        <v>7165</v>
      </c>
      <c r="L4816" s="7"/>
      <c r="M4816" s="7"/>
    </row>
    <row r="4817" spans="1:13" x14ac:dyDescent="0.3">
      <c r="A4817" s="7">
        <v>900049</v>
      </c>
      <c r="B4817" s="7" t="s">
        <v>4824</v>
      </c>
      <c r="C4817" s="7" t="s">
        <v>7027</v>
      </c>
      <c r="D4817" s="7" t="s">
        <v>6295</v>
      </c>
      <c r="E4817" s="7" t="s">
        <v>6940</v>
      </c>
      <c r="F4817" s="7" t="s">
        <v>6986</v>
      </c>
      <c r="G4817" s="7" t="s">
        <v>7150</v>
      </c>
      <c r="H4817" s="7" t="s">
        <v>7156</v>
      </c>
      <c r="I4817" s="7"/>
      <c r="J4817" s="10">
        <v>44096</v>
      </c>
      <c r="K4817" s="7" t="s">
        <v>7165</v>
      </c>
      <c r="L4817" s="7"/>
      <c r="M4817" s="7"/>
    </row>
    <row r="4818" spans="1:13" x14ac:dyDescent="0.3">
      <c r="A4818" s="7">
        <v>670037</v>
      </c>
      <c r="B4818" s="7" t="s">
        <v>4825</v>
      </c>
      <c r="C4818" s="7" t="s">
        <v>7027</v>
      </c>
      <c r="D4818" s="7" t="s">
        <v>6295</v>
      </c>
      <c r="E4818" s="7" t="s">
        <v>6940</v>
      </c>
      <c r="F4818" s="7" t="s">
        <v>6980</v>
      </c>
      <c r="G4818" s="7" t="s">
        <v>7150</v>
      </c>
      <c r="H4818" s="7" t="s">
        <v>7156</v>
      </c>
      <c r="I4818" s="7"/>
      <c r="J4818" s="10">
        <v>42858</v>
      </c>
      <c r="K4818" s="7" t="s">
        <v>7165</v>
      </c>
      <c r="L4818" s="7"/>
      <c r="M4818" s="7"/>
    </row>
    <row r="4819" spans="1:13" x14ac:dyDescent="0.3">
      <c r="A4819" s="7">
        <v>15379</v>
      </c>
      <c r="B4819" s="7" t="s">
        <v>4826</v>
      </c>
      <c r="C4819" s="7" t="s">
        <v>7027</v>
      </c>
      <c r="D4819" s="7" t="s">
        <v>6295</v>
      </c>
      <c r="E4819" s="7" t="s">
        <v>6940</v>
      </c>
      <c r="F4819" s="7" t="s">
        <v>6986</v>
      </c>
      <c r="G4819" s="7" t="s">
        <v>7150</v>
      </c>
      <c r="H4819" s="7" t="s">
        <v>7156</v>
      </c>
      <c r="I4819" s="7"/>
      <c r="J4819" s="10">
        <v>45050</v>
      </c>
      <c r="K4819" s="7" t="s">
        <v>7165</v>
      </c>
      <c r="L4819" s="7"/>
      <c r="M4819" s="7"/>
    </row>
    <row r="4820" spans="1:13" x14ac:dyDescent="0.3">
      <c r="A4820" s="7">
        <v>14621</v>
      </c>
      <c r="B4820" s="7" t="s">
        <v>4827</v>
      </c>
      <c r="C4820" s="7" t="s">
        <v>7027</v>
      </c>
      <c r="D4820" s="7" t="s">
        <v>6295</v>
      </c>
      <c r="E4820" s="7" t="s">
        <v>6940</v>
      </c>
      <c r="F4820" s="7" t="s">
        <v>6986</v>
      </c>
      <c r="G4820" s="7" t="s">
        <v>7150</v>
      </c>
      <c r="H4820" s="7" t="s">
        <v>7156</v>
      </c>
      <c r="I4820" s="7"/>
      <c r="J4820" s="10">
        <v>44806</v>
      </c>
      <c r="K4820" s="7" t="s">
        <v>7165</v>
      </c>
      <c r="L4820" s="7"/>
      <c r="M4820" s="7"/>
    </row>
    <row r="4821" spans="1:13" x14ac:dyDescent="0.3">
      <c r="A4821" s="7">
        <v>150049</v>
      </c>
      <c r="B4821" s="7" t="s">
        <v>4828</v>
      </c>
      <c r="C4821" s="7" t="s">
        <v>7027</v>
      </c>
      <c r="D4821" s="7" t="s">
        <v>6295</v>
      </c>
      <c r="E4821" s="7" t="s">
        <v>6940</v>
      </c>
      <c r="F4821" s="7" t="s">
        <v>6986</v>
      </c>
      <c r="G4821" s="7" t="s">
        <v>7150</v>
      </c>
      <c r="H4821" s="7" t="s">
        <v>7156</v>
      </c>
      <c r="I4821" s="7"/>
      <c r="J4821" s="10">
        <v>44571</v>
      </c>
      <c r="K4821" s="7" t="s">
        <v>7165</v>
      </c>
      <c r="L4821" s="7"/>
      <c r="M4821" s="7"/>
    </row>
    <row r="4822" spans="1:13" x14ac:dyDescent="0.3">
      <c r="A4822" s="7">
        <v>15153</v>
      </c>
      <c r="B4822" s="7" t="s">
        <v>4829</v>
      </c>
      <c r="C4822" s="7" t="s">
        <v>7027</v>
      </c>
      <c r="D4822" s="7" t="s">
        <v>6295</v>
      </c>
      <c r="E4822" s="7" t="s">
        <v>6940</v>
      </c>
      <c r="F4822" s="7" t="s">
        <v>6986</v>
      </c>
      <c r="G4822" s="7" t="s">
        <v>7150</v>
      </c>
      <c r="H4822" s="7" t="s">
        <v>7156</v>
      </c>
      <c r="I4822" s="7"/>
      <c r="J4822" s="10">
        <v>44965</v>
      </c>
      <c r="K4822" s="7" t="s">
        <v>7165</v>
      </c>
      <c r="L4822" s="7"/>
      <c r="M4822" s="7"/>
    </row>
    <row r="4823" spans="1:13" x14ac:dyDescent="0.3">
      <c r="A4823" s="7">
        <v>14291</v>
      </c>
      <c r="B4823" s="7" t="s">
        <v>4830</v>
      </c>
      <c r="C4823" s="7" t="s">
        <v>7027</v>
      </c>
      <c r="D4823" s="7" t="s">
        <v>6295</v>
      </c>
      <c r="E4823" s="7" t="s">
        <v>6940</v>
      </c>
      <c r="F4823" s="7" t="s">
        <v>6986</v>
      </c>
      <c r="G4823" s="7" t="s">
        <v>7152</v>
      </c>
      <c r="H4823" s="7" t="s">
        <v>7156</v>
      </c>
      <c r="I4823" s="7"/>
      <c r="J4823" s="10">
        <v>44715</v>
      </c>
      <c r="K4823" s="7" t="s">
        <v>7165</v>
      </c>
      <c r="L4823" s="7"/>
      <c r="M4823" s="7"/>
    </row>
    <row r="4824" spans="1:13" x14ac:dyDescent="0.3">
      <c r="A4824" s="7">
        <v>760040</v>
      </c>
      <c r="B4824" s="7" t="s">
        <v>4831</v>
      </c>
      <c r="C4824" s="7" t="s">
        <v>7027</v>
      </c>
      <c r="D4824" s="7" t="s">
        <v>6295</v>
      </c>
      <c r="E4824" s="7" t="s">
        <v>6940</v>
      </c>
      <c r="F4824" s="7" t="s">
        <v>6986</v>
      </c>
      <c r="G4824" s="7" t="s">
        <v>7150</v>
      </c>
      <c r="H4824" s="7" t="s">
        <v>7156</v>
      </c>
      <c r="I4824" s="7"/>
      <c r="J4824" s="10">
        <v>43054</v>
      </c>
      <c r="K4824" s="7" t="s">
        <v>7165</v>
      </c>
      <c r="L4824" s="7"/>
      <c r="M4824" s="7"/>
    </row>
    <row r="4825" spans="1:13" x14ac:dyDescent="0.3">
      <c r="A4825" s="7">
        <v>230037</v>
      </c>
      <c r="B4825" s="7" t="s">
        <v>4832</v>
      </c>
      <c r="C4825" s="7" t="s">
        <v>7027</v>
      </c>
      <c r="D4825" s="7" t="s">
        <v>6295</v>
      </c>
      <c r="E4825" s="7" t="s">
        <v>6940</v>
      </c>
      <c r="F4825" s="7" t="s">
        <v>6986</v>
      </c>
      <c r="G4825" s="7" t="s">
        <v>7150</v>
      </c>
      <c r="H4825" s="7" t="s">
        <v>7156</v>
      </c>
      <c r="I4825" s="7"/>
      <c r="J4825" s="10">
        <v>43297</v>
      </c>
      <c r="K4825" s="7" t="s">
        <v>7165</v>
      </c>
      <c r="L4825" s="7"/>
      <c r="M4825" s="7"/>
    </row>
    <row r="4826" spans="1:13" x14ac:dyDescent="0.3">
      <c r="A4826" s="7">
        <v>14743</v>
      </c>
      <c r="B4826" s="7" t="s">
        <v>4833</v>
      </c>
      <c r="C4826" s="7" t="s">
        <v>7027</v>
      </c>
      <c r="D4826" s="7" t="s">
        <v>6295</v>
      </c>
      <c r="E4826" s="7" t="s">
        <v>6940</v>
      </c>
      <c r="F4826" s="7" t="s">
        <v>6986</v>
      </c>
      <c r="G4826" s="7" t="s">
        <v>7150</v>
      </c>
      <c r="H4826" s="7" t="s">
        <v>7156</v>
      </c>
      <c r="I4826" s="7"/>
      <c r="J4826" s="10">
        <v>44845</v>
      </c>
      <c r="K4826" s="7" t="s">
        <v>7165</v>
      </c>
      <c r="L4826" s="7"/>
      <c r="M4826" s="7"/>
    </row>
    <row r="4827" spans="1:13" x14ac:dyDescent="0.3">
      <c r="A4827" s="7">
        <v>110032</v>
      </c>
      <c r="B4827" s="7" t="s">
        <v>4834</v>
      </c>
      <c r="C4827" s="7" t="s">
        <v>7027</v>
      </c>
      <c r="D4827" s="7" t="s">
        <v>6295</v>
      </c>
      <c r="E4827" s="7" t="s">
        <v>6940</v>
      </c>
      <c r="F4827" s="7" t="s">
        <v>6986</v>
      </c>
      <c r="G4827" s="7" t="s">
        <v>7150</v>
      </c>
      <c r="H4827" s="7" t="s">
        <v>7156</v>
      </c>
      <c r="I4827" s="7"/>
      <c r="J4827" s="10">
        <v>44566</v>
      </c>
      <c r="K4827" s="7" t="s">
        <v>7165</v>
      </c>
      <c r="L4827" s="7"/>
      <c r="M4827" s="7"/>
    </row>
    <row r="4828" spans="1:13" x14ac:dyDescent="0.3">
      <c r="A4828" s="7">
        <v>17262</v>
      </c>
      <c r="B4828" s="7" t="s">
        <v>4835</v>
      </c>
      <c r="C4828" s="7" t="s">
        <v>7027</v>
      </c>
      <c r="D4828" s="7" t="s">
        <v>6295</v>
      </c>
      <c r="E4828" s="7" t="s">
        <v>6940</v>
      </c>
      <c r="F4828" s="7" t="s">
        <v>6987</v>
      </c>
      <c r="G4828" s="7" t="s">
        <v>7150</v>
      </c>
      <c r="H4828" s="7" t="s">
        <v>7156</v>
      </c>
      <c r="I4828" s="7"/>
      <c r="J4828" s="10">
        <v>45693</v>
      </c>
      <c r="K4828" s="7" t="s">
        <v>7165</v>
      </c>
      <c r="L4828" s="7"/>
      <c r="M4828" s="7"/>
    </row>
    <row r="4829" spans="1:13" x14ac:dyDescent="0.3">
      <c r="A4829" s="7">
        <v>17007</v>
      </c>
      <c r="B4829" s="7" t="s">
        <v>4836</v>
      </c>
      <c r="C4829" s="7" t="s">
        <v>7027</v>
      </c>
      <c r="D4829" s="7" t="s">
        <v>6295</v>
      </c>
      <c r="E4829" s="7" t="s">
        <v>6940</v>
      </c>
      <c r="F4829" s="7" t="s">
        <v>6987</v>
      </c>
      <c r="G4829" s="7" t="s">
        <v>7150</v>
      </c>
      <c r="H4829" s="7" t="s">
        <v>7156</v>
      </c>
      <c r="I4829" s="7"/>
      <c r="J4829" s="10">
        <v>45602</v>
      </c>
      <c r="K4829" s="7" t="s">
        <v>7165</v>
      </c>
      <c r="L4829" s="7"/>
      <c r="M4829" s="7"/>
    </row>
    <row r="4830" spans="1:13" x14ac:dyDescent="0.3">
      <c r="A4830" s="7">
        <v>16406</v>
      </c>
      <c r="B4830" s="7" t="s">
        <v>4837</v>
      </c>
      <c r="C4830" s="7" t="s">
        <v>7027</v>
      </c>
      <c r="D4830" s="7" t="s">
        <v>6295</v>
      </c>
      <c r="E4830" s="7" t="s">
        <v>6940</v>
      </c>
      <c r="F4830" s="7" t="s">
        <v>6989</v>
      </c>
      <c r="G4830" s="7" t="s">
        <v>7151</v>
      </c>
      <c r="H4830" s="7" t="s">
        <v>7156</v>
      </c>
      <c r="I4830" s="7"/>
      <c r="J4830" s="10">
        <v>45383</v>
      </c>
      <c r="K4830" s="7" t="s">
        <v>7165</v>
      </c>
      <c r="L4830" s="7"/>
      <c r="M4830" s="7"/>
    </row>
    <row r="4831" spans="1:13" x14ac:dyDescent="0.3">
      <c r="A4831" s="7">
        <v>18775</v>
      </c>
      <c r="B4831" s="7" t="s">
        <v>4838</v>
      </c>
      <c r="C4831" s="7" t="s">
        <v>7027</v>
      </c>
      <c r="D4831" s="7" t="s">
        <v>6295</v>
      </c>
      <c r="E4831" s="7" t="s">
        <v>6940</v>
      </c>
      <c r="F4831" s="7" t="s">
        <v>6993</v>
      </c>
      <c r="G4831" s="7" t="s">
        <v>7150</v>
      </c>
      <c r="H4831" s="7" t="s">
        <v>7157</v>
      </c>
      <c r="I4831" s="7"/>
      <c r="J4831" s="10">
        <v>46210</v>
      </c>
      <c r="K4831" s="7" t="s">
        <v>7165</v>
      </c>
      <c r="L4831" s="7"/>
      <c r="M4831" s="7"/>
    </row>
    <row r="4832" spans="1:13" x14ac:dyDescent="0.3">
      <c r="A4832" s="7">
        <v>17544</v>
      </c>
      <c r="B4832" s="7" t="s">
        <v>4839</v>
      </c>
      <c r="C4832" s="7" t="s">
        <v>7027</v>
      </c>
      <c r="D4832" s="7" t="s">
        <v>6295</v>
      </c>
      <c r="E4832" s="7" t="s">
        <v>6940</v>
      </c>
      <c r="F4832" s="7" t="s">
        <v>6989</v>
      </c>
      <c r="G4832" s="7" t="s">
        <v>7150</v>
      </c>
      <c r="H4832" s="7" t="s">
        <v>7156</v>
      </c>
      <c r="I4832" s="7"/>
      <c r="J4832" s="10">
        <v>45785</v>
      </c>
      <c r="K4832" s="7" t="s">
        <v>7165</v>
      </c>
      <c r="L4832" s="7"/>
      <c r="M4832" s="7"/>
    </row>
    <row r="4833" spans="1:13" x14ac:dyDescent="0.3">
      <c r="A4833" s="7">
        <v>150013</v>
      </c>
      <c r="B4833" s="7" t="s">
        <v>4840</v>
      </c>
      <c r="C4833" s="7" t="s">
        <v>7027</v>
      </c>
      <c r="D4833" s="7" t="s">
        <v>6295</v>
      </c>
      <c r="E4833" s="7" t="s">
        <v>6951</v>
      </c>
      <c r="F4833" s="7" t="s">
        <v>6398</v>
      </c>
      <c r="G4833" s="7" t="s">
        <v>7150</v>
      </c>
      <c r="H4833" s="7" t="s">
        <v>7156</v>
      </c>
      <c r="I4833" s="7"/>
      <c r="J4833" s="10">
        <v>36893</v>
      </c>
      <c r="K4833" s="7" t="s">
        <v>7165</v>
      </c>
      <c r="L4833" s="7"/>
      <c r="M4833" s="7"/>
    </row>
    <row r="4834" spans="1:13" x14ac:dyDescent="0.3">
      <c r="A4834" s="7">
        <v>150045</v>
      </c>
      <c r="B4834" s="7" t="s">
        <v>4841</v>
      </c>
      <c r="C4834" s="7" t="s">
        <v>7027</v>
      </c>
      <c r="D4834" s="7" t="s">
        <v>6295</v>
      </c>
      <c r="E4834" s="7" t="s">
        <v>6994</v>
      </c>
      <c r="F4834" s="7" t="s">
        <v>6498</v>
      </c>
      <c r="G4834" s="7" t="s">
        <v>7150</v>
      </c>
      <c r="H4834" s="7" t="s">
        <v>7156</v>
      </c>
      <c r="I4834" s="7"/>
      <c r="J4834" s="10">
        <v>44363</v>
      </c>
      <c r="K4834" s="7" t="s">
        <v>7165</v>
      </c>
      <c r="L4834" s="7"/>
      <c r="M4834" s="7"/>
    </row>
    <row r="4835" spans="1:13" x14ac:dyDescent="0.3">
      <c r="A4835" s="7">
        <v>14262</v>
      </c>
      <c r="B4835" s="7" t="s">
        <v>4842</v>
      </c>
      <c r="C4835" s="7" t="s">
        <v>7027</v>
      </c>
      <c r="D4835" s="7" t="s">
        <v>6295</v>
      </c>
      <c r="E4835" s="7" t="s">
        <v>6994</v>
      </c>
      <c r="F4835" s="7" t="s">
        <v>6340</v>
      </c>
      <c r="G4835" s="7" t="s">
        <v>7150</v>
      </c>
      <c r="H4835" s="7" t="s">
        <v>7156</v>
      </c>
      <c r="I4835" s="7"/>
      <c r="J4835" s="10">
        <v>44714</v>
      </c>
      <c r="K4835" s="7" t="s">
        <v>7165</v>
      </c>
      <c r="L4835" s="7"/>
      <c r="M4835" s="7"/>
    </row>
    <row r="4836" spans="1:13" x14ac:dyDescent="0.3">
      <c r="A4836" s="7">
        <v>930006</v>
      </c>
      <c r="B4836" s="7" t="s">
        <v>4843</v>
      </c>
      <c r="C4836" s="7" t="s">
        <v>7027</v>
      </c>
      <c r="D4836" s="7" t="s">
        <v>6295</v>
      </c>
      <c r="E4836" s="7" t="s">
        <v>6994</v>
      </c>
      <c r="F4836" s="7" t="s">
        <v>6341</v>
      </c>
      <c r="G4836" s="7" t="s">
        <v>7150</v>
      </c>
      <c r="H4836" s="7" t="s">
        <v>7156</v>
      </c>
      <c r="I4836" s="7"/>
      <c r="J4836" s="10">
        <v>44539</v>
      </c>
      <c r="K4836" s="7" t="s">
        <v>7165</v>
      </c>
      <c r="L4836" s="7"/>
      <c r="M4836" s="7"/>
    </row>
    <row r="4837" spans="1:13" x14ac:dyDescent="0.3">
      <c r="A4837" s="7">
        <v>18793</v>
      </c>
      <c r="B4837" s="7" t="s">
        <v>4844</v>
      </c>
      <c r="C4837" s="7" t="s">
        <v>7027</v>
      </c>
      <c r="D4837" s="7" t="s">
        <v>6295</v>
      </c>
      <c r="E4837" s="7" t="s">
        <v>6994</v>
      </c>
      <c r="F4837" s="7" t="s">
        <v>6341</v>
      </c>
      <c r="G4837" s="7" t="s">
        <v>7150</v>
      </c>
      <c r="H4837" s="7" t="s">
        <v>7156</v>
      </c>
      <c r="I4837" s="7"/>
      <c r="J4837" s="10">
        <v>46216</v>
      </c>
      <c r="K4837" s="7" t="s">
        <v>7165</v>
      </c>
      <c r="L4837" s="7"/>
      <c r="M4837" s="7"/>
    </row>
    <row r="4838" spans="1:13" x14ac:dyDescent="0.3">
      <c r="A4838" s="7">
        <v>18791</v>
      </c>
      <c r="B4838" s="7" t="s">
        <v>4845</v>
      </c>
      <c r="C4838" s="7" t="s">
        <v>7027</v>
      </c>
      <c r="D4838" s="7" t="s">
        <v>6295</v>
      </c>
      <c r="E4838" s="7" t="s">
        <v>6994</v>
      </c>
      <c r="F4838" s="7" t="s">
        <v>6341</v>
      </c>
      <c r="G4838" s="7" t="s">
        <v>7150</v>
      </c>
      <c r="H4838" s="7" t="s">
        <v>7156</v>
      </c>
      <c r="I4838" s="7"/>
      <c r="J4838" s="10">
        <v>46216</v>
      </c>
      <c r="K4838" s="7" t="s">
        <v>7165</v>
      </c>
      <c r="L4838" s="7"/>
      <c r="M4838" s="7"/>
    </row>
    <row r="4839" spans="1:13" x14ac:dyDescent="0.3">
      <c r="A4839" s="7">
        <v>540024</v>
      </c>
      <c r="B4839" s="7" t="s">
        <v>4846</v>
      </c>
      <c r="C4839" s="7" t="s">
        <v>7029</v>
      </c>
      <c r="D4839" s="7" t="s">
        <v>6295</v>
      </c>
      <c r="E4839" s="7" t="s">
        <v>6295</v>
      </c>
      <c r="F4839" s="7" t="s">
        <v>6939</v>
      </c>
      <c r="G4839" s="7" t="s">
        <v>7150</v>
      </c>
      <c r="H4839" s="7" t="s">
        <v>7156</v>
      </c>
      <c r="I4839" s="7"/>
      <c r="J4839" s="10">
        <v>42229</v>
      </c>
      <c r="K4839" s="7" t="s">
        <v>7165</v>
      </c>
      <c r="L4839" s="7"/>
      <c r="M4839" s="7"/>
    </row>
    <row r="4840" spans="1:13" x14ac:dyDescent="0.3">
      <c r="A4840" s="7">
        <v>16740</v>
      </c>
      <c r="B4840" s="7" t="s">
        <v>4847</v>
      </c>
      <c r="C4840" s="7" t="s">
        <v>7029</v>
      </c>
      <c r="D4840" s="7" t="s">
        <v>6295</v>
      </c>
      <c r="E4840" s="7" t="s">
        <v>6940</v>
      </c>
      <c r="F4840" s="7" t="s">
        <v>6979</v>
      </c>
      <c r="G4840" s="7" t="s">
        <v>7150</v>
      </c>
      <c r="H4840" s="7" t="s">
        <v>7156</v>
      </c>
      <c r="I4840" s="7"/>
      <c r="J4840" s="10">
        <v>45537</v>
      </c>
      <c r="K4840" s="7" t="s">
        <v>7165</v>
      </c>
      <c r="L4840" s="7"/>
      <c r="M4840" s="7"/>
    </row>
    <row r="4841" spans="1:13" x14ac:dyDescent="0.3">
      <c r="A4841" s="7">
        <v>16003</v>
      </c>
      <c r="B4841" s="7" t="s">
        <v>4848</v>
      </c>
      <c r="C4841" s="7" t="s">
        <v>7029</v>
      </c>
      <c r="D4841" s="7" t="s">
        <v>6295</v>
      </c>
      <c r="E4841" s="7" t="s">
        <v>6940</v>
      </c>
      <c r="F4841" s="7" t="s">
        <v>6979</v>
      </c>
      <c r="G4841" s="7" t="s">
        <v>7150</v>
      </c>
      <c r="H4841" s="7" t="s">
        <v>7156</v>
      </c>
      <c r="I4841" s="7"/>
      <c r="J4841" s="10">
        <v>45264</v>
      </c>
      <c r="K4841" s="7" t="s">
        <v>7165</v>
      </c>
      <c r="L4841" s="7"/>
      <c r="M4841" s="7"/>
    </row>
    <row r="4842" spans="1:13" x14ac:dyDescent="0.3">
      <c r="A4842" s="7">
        <v>17936</v>
      </c>
      <c r="B4842" s="7" t="s">
        <v>4849</v>
      </c>
      <c r="C4842" s="7" t="s">
        <v>7029</v>
      </c>
      <c r="D4842" s="7" t="s">
        <v>6295</v>
      </c>
      <c r="E4842" s="7" t="s">
        <v>6940</v>
      </c>
      <c r="F4842" s="7" t="s">
        <v>6989</v>
      </c>
      <c r="G4842" s="7" t="s">
        <v>7150</v>
      </c>
      <c r="H4842" s="7" t="s">
        <v>7156</v>
      </c>
      <c r="I4842" s="7"/>
      <c r="J4842" s="10">
        <v>45925</v>
      </c>
      <c r="K4842" s="7" t="s">
        <v>7165</v>
      </c>
      <c r="L4842" s="7"/>
      <c r="M4842" s="7"/>
    </row>
    <row r="4843" spans="1:13" x14ac:dyDescent="0.3">
      <c r="A4843" s="7">
        <v>770016</v>
      </c>
      <c r="B4843" s="7" t="s">
        <v>4850</v>
      </c>
      <c r="C4843" s="7" t="s">
        <v>7029</v>
      </c>
      <c r="D4843" s="7" t="s">
        <v>6295</v>
      </c>
      <c r="E4843" s="7" t="s">
        <v>6940</v>
      </c>
      <c r="F4843" s="7" t="s">
        <v>6980</v>
      </c>
      <c r="G4843" s="7" t="s">
        <v>7150</v>
      </c>
      <c r="H4843" s="7" t="s">
        <v>7156</v>
      </c>
      <c r="I4843" s="7"/>
      <c r="J4843" s="10">
        <v>42342</v>
      </c>
      <c r="K4843" s="7" t="s">
        <v>7165</v>
      </c>
      <c r="L4843" s="7"/>
      <c r="M4843" s="7"/>
    </row>
    <row r="4844" spans="1:13" x14ac:dyDescent="0.3">
      <c r="A4844" s="7">
        <v>300178</v>
      </c>
      <c r="B4844" s="7" t="s">
        <v>4851</v>
      </c>
      <c r="C4844" s="7" t="s">
        <v>7029</v>
      </c>
      <c r="D4844" s="7" t="s">
        <v>6295</v>
      </c>
      <c r="E4844" s="7" t="s">
        <v>6940</v>
      </c>
      <c r="F4844" s="7" t="s">
        <v>6980</v>
      </c>
      <c r="G4844" s="7" t="s">
        <v>7150</v>
      </c>
      <c r="H4844" s="7" t="s">
        <v>7156</v>
      </c>
      <c r="I4844" s="7"/>
      <c r="J4844" s="10">
        <v>43672</v>
      </c>
      <c r="K4844" s="7" t="s">
        <v>7165</v>
      </c>
      <c r="L4844" s="7"/>
      <c r="M4844" s="7"/>
    </row>
    <row r="4845" spans="1:13" x14ac:dyDescent="0.3">
      <c r="A4845" s="7">
        <v>130042</v>
      </c>
      <c r="B4845" s="7" t="s">
        <v>4852</v>
      </c>
      <c r="C4845" s="7" t="s">
        <v>7029</v>
      </c>
      <c r="D4845" s="7" t="s">
        <v>6295</v>
      </c>
      <c r="E4845" s="7" t="s">
        <v>6940</v>
      </c>
      <c r="F4845" s="7" t="s">
        <v>6498</v>
      </c>
      <c r="G4845" s="7" t="s">
        <v>7150</v>
      </c>
      <c r="H4845" s="7" t="s">
        <v>7156</v>
      </c>
      <c r="I4845" s="7"/>
      <c r="J4845" s="10">
        <v>42593</v>
      </c>
      <c r="K4845" s="7" t="s">
        <v>7165</v>
      </c>
      <c r="L4845" s="7"/>
      <c r="M4845" s="7"/>
    </row>
    <row r="4846" spans="1:13" x14ac:dyDescent="0.3">
      <c r="A4846" s="7">
        <v>240044</v>
      </c>
      <c r="B4846" s="7" t="s">
        <v>4853</v>
      </c>
      <c r="C4846" s="7" t="s">
        <v>7029</v>
      </c>
      <c r="D4846" s="7" t="s">
        <v>6295</v>
      </c>
      <c r="E4846" s="7" t="s">
        <v>6940</v>
      </c>
      <c r="F4846" s="7" t="s">
        <v>6980</v>
      </c>
      <c r="G4846" s="7" t="s">
        <v>7150</v>
      </c>
      <c r="H4846" s="7" t="s">
        <v>7156</v>
      </c>
      <c r="I4846" s="7"/>
      <c r="J4846" s="10">
        <v>43664</v>
      </c>
      <c r="K4846" s="7" t="s">
        <v>7165</v>
      </c>
      <c r="L4846" s="7"/>
      <c r="M4846" s="7"/>
    </row>
    <row r="4847" spans="1:13" x14ac:dyDescent="0.3">
      <c r="A4847" s="7">
        <v>240049</v>
      </c>
      <c r="B4847" s="7" t="s">
        <v>4854</v>
      </c>
      <c r="C4847" s="7" t="s">
        <v>7029</v>
      </c>
      <c r="D4847" s="7" t="s">
        <v>6295</v>
      </c>
      <c r="E4847" s="7" t="s">
        <v>6940</v>
      </c>
      <c r="F4847" s="7" t="s">
        <v>6980</v>
      </c>
      <c r="G4847" s="7" t="s">
        <v>7150</v>
      </c>
      <c r="H4847" s="7" t="s">
        <v>7156</v>
      </c>
      <c r="I4847" s="7"/>
      <c r="J4847" s="10">
        <v>44608</v>
      </c>
      <c r="K4847" s="7" t="s">
        <v>7165</v>
      </c>
      <c r="L4847" s="7"/>
      <c r="M4847" s="7"/>
    </row>
    <row r="4848" spans="1:13" x14ac:dyDescent="0.3">
      <c r="A4848" s="7">
        <v>15579</v>
      </c>
      <c r="B4848" s="7" t="s">
        <v>4855</v>
      </c>
      <c r="C4848" s="7" t="s">
        <v>7029</v>
      </c>
      <c r="D4848" s="7" t="s">
        <v>6295</v>
      </c>
      <c r="E4848" s="7" t="s">
        <v>6940</v>
      </c>
      <c r="F4848" s="7" t="s">
        <v>6987</v>
      </c>
      <c r="G4848" s="7" t="s">
        <v>7150</v>
      </c>
      <c r="H4848" s="7" t="s">
        <v>7156</v>
      </c>
      <c r="I4848" s="7"/>
      <c r="J4848" s="10">
        <v>45128</v>
      </c>
      <c r="K4848" s="7" t="s">
        <v>7165</v>
      </c>
      <c r="L4848" s="7"/>
      <c r="M4848" s="7"/>
    </row>
    <row r="4849" spans="1:13" x14ac:dyDescent="0.3">
      <c r="A4849" s="7">
        <v>240021</v>
      </c>
      <c r="B4849" s="7" t="s">
        <v>4856</v>
      </c>
      <c r="C4849" s="7" t="s">
        <v>7029</v>
      </c>
      <c r="D4849" s="7" t="s">
        <v>6295</v>
      </c>
      <c r="E4849" s="7" t="s">
        <v>6940</v>
      </c>
      <c r="F4849" s="7" t="s">
        <v>6986</v>
      </c>
      <c r="G4849" s="7" t="s">
        <v>7150</v>
      </c>
      <c r="H4849" s="7" t="s">
        <v>7156</v>
      </c>
      <c r="I4849" s="7"/>
      <c r="J4849" s="10">
        <v>36691</v>
      </c>
      <c r="K4849" s="7" t="s">
        <v>7165</v>
      </c>
      <c r="L4849" s="7"/>
      <c r="M4849" s="7"/>
    </row>
    <row r="4850" spans="1:13" x14ac:dyDescent="0.3">
      <c r="A4850" s="7">
        <v>15950</v>
      </c>
      <c r="B4850" s="7" t="s">
        <v>4857</v>
      </c>
      <c r="C4850" s="7" t="s">
        <v>7029</v>
      </c>
      <c r="D4850" s="7" t="s">
        <v>6295</v>
      </c>
      <c r="E4850" s="7" t="s">
        <v>6940</v>
      </c>
      <c r="F4850" s="7" t="s">
        <v>6986</v>
      </c>
      <c r="G4850" s="7" t="s">
        <v>7150</v>
      </c>
      <c r="H4850" s="7" t="s">
        <v>7156</v>
      </c>
      <c r="I4850" s="7"/>
      <c r="J4850" s="10">
        <v>45250</v>
      </c>
      <c r="K4850" s="7" t="s">
        <v>7165</v>
      </c>
      <c r="L4850" s="7"/>
      <c r="M4850" s="7"/>
    </row>
    <row r="4851" spans="1:13" x14ac:dyDescent="0.3">
      <c r="A4851" s="7">
        <v>17071</v>
      </c>
      <c r="B4851" s="7" t="s">
        <v>4858</v>
      </c>
      <c r="C4851" s="7" t="s">
        <v>7029</v>
      </c>
      <c r="D4851" s="7" t="s">
        <v>6295</v>
      </c>
      <c r="E4851" s="7" t="s">
        <v>6940</v>
      </c>
      <c r="F4851" s="7" t="s">
        <v>6987</v>
      </c>
      <c r="G4851" s="7" t="s">
        <v>7150</v>
      </c>
      <c r="H4851" s="7" t="s">
        <v>7156</v>
      </c>
      <c r="I4851" s="7"/>
      <c r="J4851" s="10">
        <v>45623</v>
      </c>
      <c r="K4851" s="7" t="s">
        <v>7165</v>
      </c>
      <c r="L4851" s="7"/>
      <c r="M4851" s="7"/>
    </row>
    <row r="4852" spans="1:13" x14ac:dyDescent="0.3">
      <c r="A4852" s="7">
        <v>15314</v>
      </c>
      <c r="B4852" s="7" t="s">
        <v>4859</v>
      </c>
      <c r="C4852" s="7" t="s">
        <v>7029</v>
      </c>
      <c r="D4852" s="7" t="s">
        <v>6295</v>
      </c>
      <c r="E4852" s="7" t="s">
        <v>6940</v>
      </c>
      <c r="F4852" s="7" t="s">
        <v>6987</v>
      </c>
      <c r="G4852" s="7" t="s">
        <v>7150</v>
      </c>
      <c r="H4852" s="7" t="s">
        <v>7156</v>
      </c>
      <c r="I4852" s="7"/>
      <c r="J4852" s="10">
        <v>45023</v>
      </c>
      <c r="K4852" s="7" t="s">
        <v>7165</v>
      </c>
      <c r="L4852" s="7"/>
      <c r="M4852" s="7"/>
    </row>
    <row r="4853" spans="1:13" x14ac:dyDescent="0.3">
      <c r="A4853" s="7">
        <v>240047</v>
      </c>
      <c r="B4853" s="7" t="s">
        <v>4860</v>
      </c>
      <c r="C4853" s="7" t="s">
        <v>7029</v>
      </c>
      <c r="D4853" s="7" t="s">
        <v>6295</v>
      </c>
      <c r="E4853" s="7" t="s">
        <v>6940</v>
      </c>
      <c r="F4853" s="7" t="s">
        <v>6987</v>
      </c>
      <c r="G4853" s="7" t="s">
        <v>7150</v>
      </c>
      <c r="H4853" s="7" t="s">
        <v>7156</v>
      </c>
      <c r="I4853" s="7"/>
      <c r="J4853" s="10">
        <v>44140</v>
      </c>
      <c r="K4853" s="7" t="s">
        <v>7165</v>
      </c>
      <c r="L4853" s="7"/>
      <c r="M4853" s="7"/>
    </row>
    <row r="4854" spans="1:13" x14ac:dyDescent="0.3">
      <c r="A4854" s="7">
        <v>240015</v>
      </c>
      <c r="B4854" s="7" t="s">
        <v>4861</v>
      </c>
      <c r="C4854" s="7" t="s">
        <v>7029</v>
      </c>
      <c r="D4854" s="7" t="s">
        <v>6295</v>
      </c>
      <c r="E4854" s="7" t="s">
        <v>6951</v>
      </c>
      <c r="F4854" s="7" t="s">
        <v>6398</v>
      </c>
      <c r="G4854" s="7" t="s">
        <v>7150</v>
      </c>
      <c r="H4854" s="7" t="s">
        <v>7156</v>
      </c>
      <c r="I4854" s="7"/>
      <c r="J4854" s="10">
        <v>40238</v>
      </c>
      <c r="K4854" s="7" t="s">
        <v>7165</v>
      </c>
      <c r="L4854" s="7"/>
      <c r="M4854" s="7"/>
    </row>
    <row r="4855" spans="1:13" x14ac:dyDescent="0.3">
      <c r="A4855" s="7">
        <v>140014</v>
      </c>
      <c r="B4855" s="7" t="s">
        <v>4862</v>
      </c>
      <c r="C4855" s="7" t="s">
        <v>7030</v>
      </c>
      <c r="D4855" s="7" t="s">
        <v>6295</v>
      </c>
      <c r="E4855" s="7" t="s">
        <v>6295</v>
      </c>
      <c r="F4855" s="7" t="s">
        <v>6939</v>
      </c>
      <c r="G4855" s="7" t="s">
        <v>7150</v>
      </c>
      <c r="H4855" s="7" t="s">
        <v>7156</v>
      </c>
      <c r="I4855" s="7"/>
      <c r="J4855" s="10">
        <v>39128</v>
      </c>
      <c r="K4855" s="7" t="s">
        <v>7165</v>
      </c>
      <c r="L4855" s="7"/>
      <c r="M4855" s="7"/>
    </row>
    <row r="4856" spans="1:13" x14ac:dyDescent="0.3">
      <c r="A4856" s="7">
        <v>760036</v>
      </c>
      <c r="B4856" s="7" t="s">
        <v>4863</v>
      </c>
      <c r="C4856" s="7" t="s">
        <v>7030</v>
      </c>
      <c r="D4856" s="7" t="s">
        <v>6295</v>
      </c>
      <c r="E4856" s="7" t="s">
        <v>6940</v>
      </c>
      <c r="F4856" s="7" t="s">
        <v>6991</v>
      </c>
      <c r="G4856" s="7" t="s">
        <v>7150</v>
      </c>
      <c r="H4856" s="7" t="s">
        <v>7156</v>
      </c>
      <c r="I4856" s="7"/>
      <c r="J4856" s="10">
        <v>42711</v>
      </c>
      <c r="K4856" s="7" t="s">
        <v>7165</v>
      </c>
      <c r="L4856" s="7"/>
      <c r="M4856" s="7"/>
    </row>
    <row r="4857" spans="1:13" x14ac:dyDescent="0.3">
      <c r="A4857" s="7">
        <v>17907</v>
      </c>
      <c r="B4857" s="7" t="s">
        <v>4864</v>
      </c>
      <c r="C4857" s="7" t="s">
        <v>7030</v>
      </c>
      <c r="D4857" s="7" t="s">
        <v>6295</v>
      </c>
      <c r="E4857" s="7" t="s">
        <v>6940</v>
      </c>
      <c r="F4857" s="7" t="s">
        <v>6988</v>
      </c>
      <c r="G4857" s="7" t="s">
        <v>7150</v>
      </c>
      <c r="H4857" s="7" t="s">
        <v>7156</v>
      </c>
      <c r="I4857" s="7"/>
      <c r="J4857" s="10">
        <v>45911</v>
      </c>
      <c r="K4857" s="7" t="s">
        <v>7165</v>
      </c>
      <c r="L4857" s="7"/>
      <c r="M4857" s="7"/>
    </row>
    <row r="4858" spans="1:13" x14ac:dyDescent="0.3">
      <c r="A4858" s="7">
        <v>15927</v>
      </c>
      <c r="B4858" s="7" t="s">
        <v>4865</v>
      </c>
      <c r="C4858" s="7" t="s">
        <v>7030</v>
      </c>
      <c r="D4858" s="7" t="s">
        <v>6295</v>
      </c>
      <c r="E4858" s="7" t="s">
        <v>6940</v>
      </c>
      <c r="F4858" s="7" t="s">
        <v>6989</v>
      </c>
      <c r="G4858" s="7" t="s">
        <v>7152</v>
      </c>
      <c r="H4858" s="7" t="s">
        <v>7156</v>
      </c>
      <c r="I4858" s="7"/>
      <c r="J4858" s="10">
        <v>45237</v>
      </c>
      <c r="K4858" s="7" t="s">
        <v>7165</v>
      </c>
      <c r="L4858" s="7"/>
      <c r="M4858" s="7"/>
    </row>
    <row r="4859" spans="1:13" x14ac:dyDescent="0.3">
      <c r="A4859" s="7">
        <v>14438</v>
      </c>
      <c r="B4859" s="7" t="s">
        <v>4866</v>
      </c>
      <c r="C4859" s="7" t="s">
        <v>7030</v>
      </c>
      <c r="D4859" s="7" t="s">
        <v>6295</v>
      </c>
      <c r="E4859" s="7" t="s">
        <v>6940</v>
      </c>
      <c r="F4859" s="7" t="s">
        <v>7021</v>
      </c>
      <c r="G4859" s="7" t="s">
        <v>7150</v>
      </c>
      <c r="H4859" s="7" t="s">
        <v>7157</v>
      </c>
      <c r="I4859" s="7"/>
      <c r="J4859" s="10">
        <v>44757</v>
      </c>
      <c r="K4859" s="7" t="s">
        <v>7165</v>
      </c>
      <c r="L4859" s="7"/>
      <c r="M4859" s="7"/>
    </row>
    <row r="4860" spans="1:13" x14ac:dyDescent="0.3">
      <c r="A4860" s="7">
        <v>300120</v>
      </c>
      <c r="B4860" s="7" t="s">
        <v>4867</v>
      </c>
      <c r="C4860" s="7" t="s">
        <v>7030</v>
      </c>
      <c r="D4860" s="7" t="s">
        <v>6295</v>
      </c>
      <c r="E4860" s="7" t="s">
        <v>6940</v>
      </c>
      <c r="F4860" s="7" t="s">
        <v>6980</v>
      </c>
      <c r="G4860" s="7" t="s">
        <v>7150</v>
      </c>
      <c r="H4860" s="7" t="s">
        <v>7156</v>
      </c>
      <c r="I4860" s="7"/>
      <c r="J4860" s="10">
        <v>43132</v>
      </c>
      <c r="K4860" s="7" t="s">
        <v>7165</v>
      </c>
      <c r="L4860" s="7"/>
      <c r="M4860" s="7"/>
    </row>
    <row r="4861" spans="1:13" x14ac:dyDescent="0.3">
      <c r="A4861" s="7">
        <v>280004</v>
      </c>
      <c r="B4861" s="7" t="s">
        <v>4868</v>
      </c>
      <c r="C4861" s="7" t="s">
        <v>7030</v>
      </c>
      <c r="D4861" s="7" t="s">
        <v>6295</v>
      </c>
      <c r="E4861" s="7" t="s">
        <v>6940</v>
      </c>
      <c r="F4861" s="7" t="s">
        <v>6980</v>
      </c>
      <c r="G4861" s="7" t="s">
        <v>7150</v>
      </c>
      <c r="H4861" s="7" t="s">
        <v>7156</v>
      </c>
      <c r="I4861" s="7"/>
      <c r="J4861" s="10">
        <v>40630</v>
      </c>
      <c r="K4861" s="7" t="s">
        <v>7165</v>
      </c>
      <c r="L4861" s="7"/>
      <c r="M4861" s="7"/>
    </row>
    <row r="4862" spans="1:13" x14ac:dyDescent="0.3">
      <c r="A4862" s="7">
        <v>260014</v>
      </c>
      <c r="B4862" s="7" t="s">
        <v>4869</v>
      </c>
      <c r="C4862" s="7" t="s">
        <v>7030</v>
      </c>
      <c r="D4862" s="7" t="s">
        <v>6295</v>
      </c>
      <c r="E4862" s="7" t="s">
        <v>6940</v>
      </c>
      <c r="F4862" s="7" t="s">
        <v>6980</v>
      </c>
      <c r="G4862" s="7" t="s">
        <v>7150</v>
      </c>
      <c r="H4862" s="7" t="s">
        <v>7156</v>
      </c>
      <c r="I4862" s="7"/>
      <c r="J4862" s="10">
        <v>42500</v>
      </c>
      <c r="K4862" s="7" t="s">
        <v>7165</v>
      </c>
      <c r="L4862" s="7"/>
      <c r="M4862" s="7"/>
    </row>
    <row r="4863" spans="1:13" x14ac:dyDescent="0.3">
      <c r="A4863" s="7">
        <v>270045</v>
      </c>
      <c r="B4863" s="7" t="s">
        <v>4870</v>
      </c>
      <c r="C4863" s="7" t="s">
        <v>7030</v>
      </c>
      <c r="D4863" s="7" t="s">
        <v>6295</v>
      </c>
      <c r="E4863" s="7" t="s">
        <v>6940</v>
      </c>
      <c r="F4863" s="7" t="s">
        <v>6980</v>
      </c>
      <c r="G4863" s="7" t="s">
        <v>7150</v>
      </c>
      <c r="H4863" s="7" t="s">
        <v>7156</v>
      </c>
      <c r="I4863" s="7"/>
      <c r="J4863" s="10">
        <v>43696</v>
      </c>
      <c r="K4863" s="7" t="s">
        <v>7165</v>
      </c>
      <c r="L4863" s="7"/>
      <c r="M4863" s="7"/>
    </row>
    <row r="4864" spans="1:13" x14ac:dyDescent="0.3">
      <c r="A4864" s="7">
        <v>280025</v>
      </c>
      <c r="B4864" s="7" t="s">
        <v>4871</v>
      </c>
      <c r="C4864" s="7" t="s">
        <v>7030</v>
      </c>
      <c r="D4864" s="7" t="s">
        <v>6295</v>
      </c>
      <c r="E4864" s="7" t="s">
        <v>6940</v>
      </c>
      <c r="F4864" s="7" t="s">
        <v>6980</v>
      </c>
      <c r="G4864" s="7" t="s">
        <v>7150</v>
      </c>
      <c r="H4864" s="7" t="s">
        <v>7156</v>
      </c>
      <c r="I4864" s="7"/>
      <c r="J4864" s="10">
        <v>42842</v>
      </c>
      <c r="K4864" s="7" t="s">
        <v>7165</v>
      </c>
      <c r="L4864" s="7"/>
      <c r="M4864" s="7"/>
    </row>
    <row r="4865" spans="1:13" x14ac:dyDescent="0.3">
      <c r="A4865" s="7">
        <v>280010</v>
      </c>
      <c r="B4865" s="7" t="s">
        <v>4872</v>
      </c>
      <c r="C4865" s="7" t="s">
        <v>7030</v>
      </c>
      <c r="D4865" s="7" t="s">
        <v>6295</v>
      </c>
      <c r="E4865" s="7" t="s">
        <v>6940</v>
      </c>
      <c r="F4865" s="7" t="s">
        <v>6980</v>
      </c>
      <c r="G4865" s="7" t="s">
        <v>7150</v>
      </c>
      <c r="H4865" s="7" t="s">
        <v>7156</v>
      </c>
      <c r="I4865" s="7"/>
      <c r="J4865" s="10">
        <v>39974</v>
      </c>
      <c r="K4865" s="7" t="s">
        <v>7165</v>
      </c>
      <c r="L4865" s="7"/>
      <c r="M4865" s="7"/>
    </row>
    <row r="4866" spans="1:13" x14ac:dyDescent="0.3">
      <c r="A4866" s="7">
        <v>14215</v>
      </c>
      <c r="B4866" s="7" t="s">
        <v>4873</v>
      </c>
      <c r="C4866" s="7" t="s">
        <v>7030</v>
      </c>
      <c r="D4866" s="7" t="s">
        <v>6295</v>
      </c>
      <c r="E4866" s="7" t="s">
        <v>6940</v>
      </c>
      <c r="F4866" s="7" t="s">
        <v>6986</v>
      </c>
      <c r="G4866" s="7" t="s">
        <v>7150</v>
      </c>
      <c r="H4866" s="7" t="s">
        <v>7156</v>
      </c>
      <c r="I4866" s="7"/>
      <c r="J4866" s="10">
        <v>44699</v>
      </c>
      <c r="K4866" s="7" t="s">
        <v>7165</v>
      </c>
      <c r="L4866" s="7"/>
      <c r="M4866" s="7"/>
    </row>
    <row r="4867" spans="1:13" x14ac:dyDescent="0.3">
      <c r="A4867" s="7">
        <v>280031</v>
      </c>
      <c r="B4867" s="7" t="s">
        <v>4874</v>
      </c>
      <c r="C4867" s="7" t="s">
        <v>7030</v>
      </c>
      <c r="D4867" s="7" t="s">
        <v>6295</v>
      </c>
      <c r="E4867" s="7" t="s">
        <v>6940</v>
      </c>
      <c r="F4867" s="7" t="s">
        <v>6986</v>
      </c>
      <c r="G4867" s="7" t="s">
        <v>7150</v>
      </c>
      <c r="H4867" s="7" t="s">
        <v>7156</v>
      </c>
      <c r="I4867" s="7"/>
      <c r="J4867" s="10">
        <v>43700</v>
      </c>
      <c r="K4867" s="7" t="s">
        <v>7165</v>
      </c>
      <c r="L4867" s="7"/>
      <c r="M4867" s="7"/>
    </row>
    <row r="4868" spans="1:13" x14ac:dyDescent="0.3">
      <c r="A4868" s="7">
        <v>17391</v>
      </c>
      <c r="B4868" s="7" t="s">
        <v>4875</v>
      </c>
      <c r="C4868" s="7" t="s">
        <v>7030</v>
      </c>
      <c r="D4868" s="7" t="s">
        <v>6295</v>
      </c>
      <c r="E4868" s="7" t="s">
        <v>6940</v>
      </c>
      <c r="F4868" s="7" t="s">
        <v>6987</v>
      </c>
      <c r="G4868" s="7" t="s">
        <v>7150</v>
      </c>
      <c r="H4868" s="7" t="s">
        <v>7156</v>
      </c>
      <c r="I4868" s="7"/>
      <c r="J4868" s="10">
        <v>45730</v>
      </c>
      <c r="K4868" s="7" t="s">
        <v>7165</v>
      </c>
      <c r="L4868" s="7"/>
      <c r="M4868" s="7"/>
    </row>
    <row r="4869" spans="1:13" x14ac:dyDescent="0.3">
      <c r="A4869" s="7">
        <v>15264</v>
      </c>
      <c r="B4869" s="7" t="s">
        <v>4876</v>
      </c>
      <c r="C4869" s="7" t="s">
        <v>7030</v>
      </c>
      <c r="D4869" s="7" t="s">
        <v>6295</v>
      </c>
      <c r="E4869" s="7" t="s">
        <v>6951</v>
      </c>
      <c r="F4869" s="7" t="s">
        <v>6398</v>
      </c>
      <c r="G4869" s="7" t="s">
        <v>7150</v>
      </c>
      <c r="H4869" s="7" t="s">
        <v>7156</v>
      </c>
      <c r="I4869" s="7"/>
      <c r="J4869" s="10">
        <v>45000</v>
      </c>
      <c r="K4869" s="7" t="s">
        <v>7165</v>
      </c>
      <c r="L4869" s="7"/>
      <c r="M4869" s="7"/>
    </row>
    <row r="4870" spans="1:13" x14ac:dyDescent="0.3">
      <c r="A4870" s="7">
        <v>500026</v>
      </c>
      <c r="B4870" s="7" t="s">
        <v>4877</v>
      </c>
      <c r="C4870" s="7" t="s">
        <v>7031</v>
      </c>
      <c r="D4870" s="7" t="s">
        <v>6295</v>
      </c>
      <c r="E4870" s="7" t="s">
        <v>6295</v>
      </c>
      <c r="F4870" s="7" t="s">
        <v>6939</v>
      </c>
      <c r="G4870" s="7" t="s">
        <v>7150</v>
      </c>
      <c r="H4870" s="7" t="s">
        <v>7156</v>
      </c>
      <c r="I4870" s="7"/>
      <c r="J4870" s="10">
        <v>42184</v>
      </c>
      <c r="K4870" s="7" t="s">
        <v>7165</v>
      </c>
      <c r="L4870" s="7"/>
      <c r="M4870" s="7"/>
    </row>
    <row r="4871" spans="1:13" x14ac:dyDescent="0.3">
      <c r="A4871" s="7">
        <v>15729</v>
      </c>
      <c r="B4871" s="7" t="s">
        <v>4878</v>
      </c>
      <c r="C4871" s="7" t="s">
        <v>7031</v>
      </c>
      <c r="D4871" s="7" t="s">
        <v>6295</v>
      </c>
      <c r="E4871" s="7" t="s">
        <v>6940</v>
      </c>
      <c r="F4871" s="7" t="s">
        <v>6979</v>
      </c>
      <c r="G4871" s="7" t="s">
        <v>7151</v>
      </c>
      <c r="H4871" s="7" t="s">
        <v>7156</v>
      </c>
      <c r="I4871" s="7"/>
      <c r="J4871" s="10">
        <v>45177</v>
      </c>
      <c r="K4871" s="7" t="s">
        <v>7165</v>
      </c>
      <c r="L4871" s="7"/>
      <c r="M4871" s="7"/>
    </row>
    <row r="4872" spans="1:13" x14ac:dyDescent="0.3">
      <c r="A4872" s="7">
        <v>17944</v>
      </c>
      <c r="B4872" s="7" t="s">
        <v>4879</v>
      </c>
      <c r="C4872" s="7" t="s">
        <v>7031</v>
      </c>
      <c r="D4872" s="7" t="s">
        <v>6295</v>
      </c>
      <c r="E4872" s="7" t="s">
        <v>6940</v>
      </c>
      <c r="F4872" s="7" t="s">
        <v>7032</v>
      </c>
      <c r="G4872" s="7" t="s">
        <v>7150</v>
      </c>
      <c r="H4872" s="7" t="s">
        <v>7157</v>
      </c>
      <c r="I4872" s="7"/>
      <c r="J4872" s="10">
        <v>45932</v>
      </c>
      <c r="K4872" s="7" t="s">
        <v>7165</v>
      </c>
      <c r="L4872" s="7"/>
      <c r="M4872" s="7"/>
    </row>
    <row r="4873" spans="1:13" x14ac:dyDescent="0.3">
      <c r="A4873" s="7">
        <v>800024</v>
      </c>
      <c r="B4873" s="7" t="s">
        <v>4880</v>
      </c>
      <c r="C4873" s="7" t="s">
        <v>7031</v>
      </c>
      <c r="D4873" s="7" t="s">
        <v>6295</v>
      </c>
      <c r="E4873" s="7" t="s">
        <v>6940</v>
      </c>
      <c r="F4873" s="7" t="s">
        <v>6980</v>
      </c>
      <c r="G4873" s="7" t="s">
        <v>7150</v>
      </c>
      <c r="H4873" s="7" t="s">
        <v>7156</v>
      </c>
      <c r="I4873" s="7"/>
      <c r="J4873" s="10">
        <v>41774</v>
      </c>
      <c r="K4873" s="7" t="s">
        <v>7165</v>
      </c>
      <c r="L4873" s="7"/>
      <c r="M4873" s="7"/>
    </row>
    <row r="4874" spans="1:13" x14ac:dyDescent="0.3">
      <c r="A4874" s="7">
        <v>300053</v>
      </c>
      <c r="B4874" s="7" t="s">
        <v>4881</v>
      </c>
      <c r="C4874" s="7" t="s">
        <v>7031</v>
      </c>
      <c r="D4874" s="7" t="s">
        <v>6295</v>
      </c>
      <c r="E4874" s="7" t="s">
        <v>6940</v>
      </c>
      <c r="F4874" s="7" t="s">
        <v>6980</v>
      </c>
      <c r="G4874" s="7" t="s">
        <v>7150</v>
      </c>
      <c r="H4874" s="7" t="s">
        <v>7156</v>
      </c>
      <c r="I4874" s="7"/>
      <c r="J4874" s="10">
        <v>42758</v>
      </c>
      <c r="K4874" s="7" t="s">
        <v>7165</v>
      </c>
      <c r="L4874" s="7"/>
      <c r="M4874" s="7"/>
    </row>
    <row r="4875" spans="1:13" x14ac:dyDescent="0.3">
      <c r="A4875" s="7">
        <v>220029</v>
      </c>
      <c r="B4875" s="7" t="s">
        <v>4882</v>
      </c>
      <c r="C4875" s="7" t="s">
        <v>7031</v>
      </c>
      <c r="D4875" s="7" t="s">
        <v>6295</v>
      </c>
      <c r="E4875" s="7" t="s">
        <v>6940</v>
      </c>
      <c r="F4875" s="7" t="s">
        <v>6980</v>
      </c>
      <c r="G4875" s="7" t="s">
        <v>7150</v>
      </c>
      <c r="H4875" s="7" t="s">
        <v>7156</v>
      </c>
      <c r="I4875" s="7"/>
      <c r="J4875" s="10">
        <v>43346</v>
      </c>
      <c r="K4875" s="7" t="s">
        <v>7165</v>
      </c>
      <c r="L4875" s="7"/>
      <c r="M4875" s="7"/>
    </row>
    <row r="4876" spans="1:13" x14ac:dyDescent="0.3">
      <c r="A4876" s="7">
        <v>140044</v>
      </c>
      <c r="B4876" s="7" t="s">
        <v>4883</v>
      </c>
      <c r="C4876" s="7" t="s">
        <v>7031</v>
      </c>
      <c r="D4876" s="7" t="s">
        <v>6295</v>
      </c>
      <c r="E4876" s="7" t="s">
        <v>6940</v>
      </c>
      <c r="F4876" s="7" t="s">
        <v>6986</v>
      </c>
      <c r="G4876" s="7" t="s">
        <v>7151</v>
      </c>
      <c r="H4876" s="7" t="s">
        <v>7156</v>
      </c>
      <c r="I4876" s="7"/>
      <c r="J4876" s="10">
        <v>43815</v>
      </c>
      <c r="K4876" s="7" t="s">
        <v>7165</v>
      </c>
      <c r="L4876" s="7"/>
      <c r="M4876" s="7"/>
    </row>
    <row r="4877" spans="1:13" x14ac:dyDescent="0.3">
      <c r="A4877" s="7">
        <v>17891</v>
      </c>
      <c r="B4877" s="7" t="s">
        <v>4884</v>
      </c>
      <c r="C4877" s="7" t="s">
        <v>7031</v>
      </c>
      <c r="D4877" s="7" t="s">
        <v>6295</v>
      </c>
      <c r="E4877" s="7" t="s">
        <v>6940</v>
      </c>
      <c r="F4877" s="7" t="s">
        <v>7000</v>
      </c>
      <c r="G4877" s="7" t="s">
        <v>7150</v>
      </c>
      <c r="H4877" s="7" t="s">
        <v>7157</v>
      </c>
      <c r="I4877" s="7"/>
      <c r="J4877" s="10">
        <v>45908</v>
      </c>
      <c r="K4877" s="7" t="s">
        <v>7165</v>
      </c>
      <c r="L4877" s="7"/>
      <c r="M4877" s="7"/>
    </row>
    <row r="4878" spans="1:13" x14ac:dyDescent="0.3">
      <c r="A4878" s="7">
        <v>180056</v>
      </c>
      <c r="B4878" s="7" t="s">
        <v>4885</v>
      </c>
      <c r="C4878" s="7" t="s">
        <v>7031</v>
      </c>
      <c r="D4878" s="7" t="s">
        <v>6295</v>
      </c>
      <c r="E4878" s="7" t="s">
        <v>6940</v>
      </c>
      <c r="F4878" s="7" t="s">
        <v>6980</v>
      </c>
      <c r="G4878" s="7" t="s">
        <v>7150</v>
      </c>
      <c r="H4878" s="7" t="s">
        <v>7156</v>
      </c>
      <c r="I4878" s="7"/>
      <c r="J4878" s="10">
        <v>44120</v>
      </c>
      <c r="K4878" s="7" t="s">
        <v>7165</v>
      </c>
      <c r="L4878" s="7"/>
      <c r="M4878" s="7"/>
    </row>
    <row r="4879" spans="1:13" x14ac:dyDescent="0.3">
      <c r="A4879" s="7">
        <v>500044</v>
      </c>
      <c r="B4879" s="7" t="s">
        <v>4886</v>
      </c>
      <c r="C4879" s="7" t="s">
        <v>7031</v>
      </c>
      <c r="D4879" s="7" t="s">
        <v>6295</v>
      </c>
      <c r="E4879" s="7" t="s">
        <v>6940</v>
      </c>
      <c r="F4879" s="7" t="s">
        <v>6980</v>
      </c>
      <c r="G4879" s="7" t="s">
        <v>7152</v>
      </c>
      <c r="H4879" s="7" t="s">
        <v>7156</v>
      </c>
      <c r="I4879" s="7"/>
      <c r="J4879" s="10">
        <v>44155</v>
      </c>
      <c r="K4879" s="7" t="s">
        <v>7165</v>
      </c>
      <c r="L4879" s="7"/>
      <c r="M4879" s="7"/>
    </row>
    <row r="4880" spans="1:13" x14ac:dyDescent="0.3">
      <c r="A4880" s="7">
        <v>15225</v>
      </c>
      <c r="B4880" s="7" t="s">
        <v>4887</v>
      </c>
      <c r="C4880" s="7" t="s">
        <v>7031</v>
      </c>
      <c r="D4880" s="7" t="s">
        <v>6295</v>
      </c>
      <c r="E4880" s="7" t="s">
        <v>6940</v>
      </c>
      <c r="F4880" s="7" t="s">
        <v>6987</v>
      </c>
      <c r="G4880" s="7" t="s">
        <v>7151</v>
      </c>
      <c r="H4880" s="7" t="s">
        <v>7156</v>
      </c>
      <c r="I4880" s="7"/>
      <c r="J4880" s="10">
        <v>44995</v>
      </c>
      <c r="K4880" s="7" t="s">
        <v>7165</v>
      </c>
      <c r="L4880" s="7"/>
      <c r="M4880" s="7"/>
    </row>
    <row r="4881" spans="1:13" x14ac:dyDescent="0.3">
      <c r="A4881" s="7">
        <v>17424</v>
      </c>
      <c r="B4881" s="7" t="s">
        <v>4888</v>
      </c>
      <c r="C4881" s="7" t="s">
        <v>7031</v>
      </c>
      <c r="D4881" s="7" t="s">
        <v>6295</v>
      </c>
      <c r="E4881" s="7" t="s">
        <v>6940</v>
      </c>
      <c r="F4881" s="7" t="s">
        <v>6987</v>
      </c>
      <c r="G4881" s="7" t="s">
        <v>7150</v>
      </c>
      <c r="H4881" s="7" t="s">
        <v>7156</v>
      </c>
      <c r="I4881" s="7"/>
      <c r="J4881" s="10">
        <v>45751</v>
      </c>
      <c r="K4881" s="7" t="s">
        <v>7165</v>
      </c>
      <c r="L4881" s="7"/>
      <c r="M4881" s="7"/>
    </row>
    <row r="4882" spans="1:13" x14ac:dyDescent="0.3">
      <c r="A4882" s="7">
        <v>16046</v>
      </c>
      <c r="B4882" s="7" t="s">
        <v>4889</v>
      </c>
      <c r="C4882" s="7" t="s">
        <v>7031</v>
      </c>
      <c r="D4882" s="7" t="s">
        <v>6295</v>
      </c>
      <c r="E4882" s="7" t="s">
        <v>6940</v>
      </c>
      <c r="F4882" s="7" t="s">
        <v>6987</v>
      </c>
      <c r="G4882" s="7" t="s">
        <v>7150</v>
      </c>
      <c r="H4882" s="7" t="s">
        <v>7156</v>
      </c>
      <c r="I4882" s="7"/>
      <c r="J4882" s="10">
        <v>45272</v>
      </c>
      <c r="K4882" s="7" t="s">
        <v>7165</v>
      </c>
      <c r="L4882" s="7"/>
      <c r="M4882" s="7"/>
    </row>
    <row r="4883" spans="1:13" x14ac:dyDescent="0.3">
      <c r="A4883" s="7">
        <v>14698</v>
      </c>
      <c r="B4883" s="7" t="s">
        <v>4890</v>
      </c>
      <c r="C4883" s="7" t="s">
        <v>7031</v>
      </c>
      <c r="D4883" s="7" t="s">
        <v>6295</v>
      </c>
      <c r="E4883" s="7" t="s">
        <v>6940</v>
      </c>
      <c r="F4883" s="7" t="s">
        <v>6987</v>
      </c>
      <c r="G4883" s="7" t="s">
        <v>7150</v>
      </c>
      <c r="H4883" s="7" t="s">
        <v>7156</v>
      </c>
      <c r="I4883" s="7"/>
      <c r="J4883" s="10">
        <v>44827</v>
      </c>
      <c r="K4883" s="7" t="s">
        <v>7165</v>
      </c>
      <c r="L4883" s="7"/>
      <c r="M4883" s="7"/>
    </row>
    <row r="4884" spans="1:13" x14ac:dyDescent="0.3">
      <c r="A4884" s="7">
        <v>18409</v>
      </c>
      <c r="B4884" s="7" t="s">
        <v>4891</v>
      </c>
      <c r="C4884" s="7" t="s">
        <v>7031</v>
      </c>
      <c r="D4884" s="7" t="s">
        <v>6295</v>
      </c>
      <c r="E4884" s="7" t="s">
        <v>6940</v>
      </c>
      <c r="F4884" s="7" t="s">
        <v>6998</v>
      </c>
      <c r="G4884" s="7" t="s">
        <v>7150</v>
      </c>
      <c r="H4884" s="7" t="s">
        <v>7156</v>
      </c>
      <c r="I4884" s="7"/>
      <c r="J4884" s="10">
        <v>46125</v>
      </c>
      <c r="K4884" s="7" t="s">
        <v>7165</v>
      </c>
      <c r="L4884" s="7"/>
      <c r="M4884" s="7"/>
    </row>
    <row r="4885" spans="1:13" x14ac:dyDescent="0.3">
      <c r="A4885" s="7">
        <v>230013</v>
      </c>
      <c r="B4885" s="7" t="s">
        <v>4892</v>
      </c>
      <c r="C4885" s="7" t="s">
        <v>7031</v>
      </c>
      <c r="D4885" s="7" t="s">
        <v>6295</v>
      </c>
      <c r="E4885" s="7" t="s">
        <v>6951</v>
      </c>
      <c r="F4885" s="7" t="s">
        <v>6398</v>
      </c>
      <c r="G4885" s="7" t="s">
        <v>7150</v>
      </c>
      <c r="H4885" s="7" t="s">
        <v>7156</v>
      </c>
      <c r="I4885" s="7"/>
      <c r="J4885" s="10">
        <v>41290</v>
      </c>
      <c r="K4885" s="7" t="s">
        <v>7165</v>
      </c>
      <c r="L4885" s="7"/>
      <c r="M4885" s="7"/>
    </row>
    <row r="4886" spans="1:13" x14ac:dyDescent="0.3">
      <c r="A4886" s="7">
        <v>12562</v>
      </c>
      <c r="B4886" s="7" t="s">
        <v>4893</v>
      </c>
      <c r="C4886" s="7" t="s">
        <v>7033</v>
      </c>
      <c r="D4886" s="7" t="s">
        <v>6295</v>
      </c>
      <c r="E4886" s="7" t="s">
        <v>6295</v>
      </c>
      <c r="F4886" s="7" t="s">
        <v>6939</v>
      </c>
      <c r="G4886" s="7" t="s">
        <v>7150</v>
      </c>
      <c r="H4886" s="7" t="s">
        <v>7156</v>
      </c>
      <c r="I4886" s="7"/>
      <c r="J4886" s="10">
        <v>43815</v>
      </c>
      <c r="K4886" s="7" t="s">
        <v>7165</v>
      </c>
      <c r="L4886" s="7"/>
      <c r="M4886" s="7"/>
    </row>
    <row r="4887" spans="1:13" x14ac:dyDescent="0.3">
      <c r="A4887" s="7">
        <v>800039</v>
      </c>
      <c r="B4887" s="7" t="s">
        <v>4894</v>
      </c>
      <c r="C4887" s="7" t="s">
        <v>7033</v>
      </c>
      <c r="D4887" s="7" t="s">
        <v>6295</v>
      </c>
      <c r="E4887" s="7" t="s">
        <v>6940</v>
      </c>
      <c r="F4887" s="7" t="s">
        <v>6498</v>
      </c>
      <c r="G4887" s="7" t="s">
        <v>7150</v>
      </c>
      <c r="H4887" s="7" t="s">
        <v>7156</v>
      </c>
      <c r="I4887" s="7"/>
      <c r="J4887" s="10">
        <v>42984</v>
      </c>
      <c r="K4887" s="7" t="s">
        <v>7165</v>
      </c>
      <c r="L4887" s="7"/>
      <c r="M4887" s="7"/>
    </row>
    <row r="4888" spans="1:13" x14ac:dyDescent="0.3">
      <c r="A4888" s="7">
        <v>11600</v>
      </c>
      <c r="B4888" s="7" t="s">
        <v>4895</v>
      </c>
      <c r="C4888" s="7" t="s">
        <v>7033</v>
      </c>
      <c r="D4888" s="7" t="s">
        <v>6295</v>
      </c>
      <c r="E4888" s="7" t="s">
        <v>6940</v>
      </c>
      <c r="F4888" s="7" t="s">
        <v>6996</v>
      </c>
      <c r="G4888" s="7" t="s">
        <v>7150</v>
      </c>
      <c r="H4888" s="7" t="s">
        <v>7156</v>
      </c>
      <c r="I4888" s="7"/>
      <c r="J4888" s="10">
        <v>42894</v>
      </c>
      <c r="K4888" s="7" t="s">
        <v>7165</v>
      </c>
      <c r="L4888" s="7"/>
      <c r="M4888" s="7"/>
    </row>
    <row r="4889" spans="1:13" x14ac:dyDescent="0.3">
      <c r="A4889" s="7">
        <v>14292</v>
      </c>
      <c r="B4889" s="7" t="s">
        <v>4896</v>
      </c>
      <c r="C4889" s="7" t="s">
        <v>7033</v>
      </c>
      <c r="D4889" s="7" t="s">
        <v>6295</v>
      </c>
      <c r="E4889" s="7" t="s">
        <v>6940</v>
      </c>
      <c r="F4889" s="7" t="s">
        <v>6996</v>
      </c>
      <c r="G4889" s="7" t="s">
        <v>7150</v>
      </c>
      <c r="H4889" s="7" t="s">
        <v>7156</v>
      </c>
      <c r="I4889" s="7"/>
      <c r="J4889" s="10">
        <v>44718</v>
      </c>
      <c r="K4889" s="7" t="s">
        <v>7165</v>
      </c>
      <c r="L4889" s="7"/>
      <c r="M4889" s="7"/>
    </row>
    <row r="4890" spans="1:13" x14ac:dyDescent="0.3">
      <c r="A4890" s="7">
        <v>15586</v>
      </c>
      <c r="B4890" s="7" t="s">
        <v>4897</v>
      </c>
      <c r="C4890" s="7" t="s">
        <v>7033</v>
      </c>
      <c r="D4890" s="7" t="s">
        <v>6295</v>
      </c>
      <c r="E4890" s="7" t="s">
        <v>6940</v>
      </c>
      <c r="F4890" s="7" t="s">
        <v>7034</v>
      </c>
      <c r="G4890" s="7" t="s">
        <v>7150</v>
      </c>
      <c r="H4890" s="7" t="s">
        <v>7156</v>
      </c>
      <c r="I4890" s="7"/>
      <c r="J4890" s="10">
        <v>45132</v>
      </c>
      <c r="K4890" s="7" t="s">
        <v>7165</v>
      </c>
      <c r="L4890" s="7"/>
      <c r="M4890" s="7"/>
    </row>
    <row r="4891" spans="1:13" x14ac:dyDescent="0.3">
      <c r="A4891" s="7">
        <v>16475</v>
      </c>
      <c r="B4891" s="7" t="s">
        <v>4898</v>
      </c>
      <c r="C4891" s="7" t="s">
        <v>7033</v>
      </c>
      <c r="D4891" s="7" t="s">
        <v>6295</v>
      </c>
      <c r="E4891" s="7" t="s">
        <v>6940</v>
      </c>
      <c r="F4891" s="7" t="s">
        <v>6988</v>
      </c>
      <c r="G4891" s="7" t="s">
        <v>7150</v>
      </c>
      <c r="H4891" s="7" t="s">
        <v>7156</v>
      </c>
      <c r="I4891" s="7"/>
      <c r="J4891" s="10">
        <v>45425</v>
      </c>
      <c r="K4891" s="7" t="s">
        <v>7165</v>
      </c>
      <c r="L4891" s="7"/>
      <c r="M4891" s="7"/>
    </row>
    <row r="4892" spans="1:13" x14ac:dyDescent="0.3">
      <c r="A4892" s="7">
        <v>18605</v>
      </c>
      <c r="B4892" s="7" t="s">
        <v>4899</v>
      </c>
      <c r="C4892" s="7" t="s">
        <v>7033</v>
      </c>
      <c r="D4892" s="7" t="s">
        <v>6295</v>
      </c>
      <c r="E4892" s="7" t="s">
        <v>6940</v>
      </c>
      <c r="F4892" s="7" t="s">
        <v>6988</v>
      </c>
      <c r="G4892" s="7" t="s">
        <v>7150</v>
      </c>
      <c r="H4892" s="7" t="s">
        <v>7156</v>
      </c>
      <c r="I4892" s="7"/>
      <c r="J4892" s="10">
        <v>46164</v>
      </c>
      <c r="K4892" s="7" t="s">
        <v>7165</v>
      </c>
      <c r="L4892" s="7"/>
      <c r="M4892" s="7"/>
    </row>
    <row r="4893" spans="1:13" x14ac:dyDescent="0.3">
      <c r="A4893" s="7">
        <v>940006</v>
      </c>
      <c r="B4893" s="7" t="s">
        <v>4900</v>
      </c>
      <c r="C4893" s="7" t="s">
        <v>7033</v>
      </c>
      <c r="D4893" s="7" t="s">
        <v>6295</v>
      </c>
      <c r="E4893" s="7" t="s">
        <v>6940</v>
      </c>
      <c r="F4893" s="7" t="s">
        <v>6991</v>
      </c>
      <c r="G4893" s="7" t="s">
        <v>7150</v>
      </c>
      <c r="H4893" s="7" t="s">
        <v>7156</v>
      </c>
      <c r="I4893" s="7"/>
      <c r="J4893" s="10">
        <v>40974</v>
      </c>
      <c r="K4893" s="7" t="s">
        <v>7165</v>
      </c>
      <c r="L4893" s="7"/>
      <c r="M4893" s="7"/>
    </row>
    <row r="4894" spans="1:13" x14ac:dyDescent="0.3">
      <c r="A4894" s="7">
        <v>17237</v>
      </c>
      <c r="B4894" s="7" t="s">
        <v>4901</v>
      </c>
      <c r="C4894" s="7" t="s">
        <v>7033</v>
      </c>
      <c r="D4894" s="7" t="s">
        <v>6295</v>
      </c>
      <c r="E4894" s="7" t="s">
        <v>6940</v>
      </c>
      <c r="F4894" s="7" t="s">
        <v>6979</v>
      </c>
      <c r="G4894" s="7" t="s">
        <v>7150</v>
      </c>
      <c r="H4894" s="7" t="s">
        <v>7156</v>
      </c>
      <c r="I4894" s="7"/>
      <c r="J4894" s="10">
        <v>45679</v>
      </c>
      <c r="K4894" s="7" t="s">
        <v>7165</v>
      </c>
      <c r="L4894" s="7"/>
      <c r="M4894" s="7"/>
    </row>
    <row r="4895" spans="1:13" x14ac:dyDescent="0.3">
      <c r="A4895" s="7">
        <v>14744</v>
      </c>
      <c r="B4895" s="7" t="s">
        <v>4902</v>
      </c>
      <c r="C4895" s="7" t="s">
        <v>7033</v>
      </c>
      <c r="D4895" s="7" t="s">
        <v>6295</v>
      </c>
      <c r="E4895" s="7" t="s">
        <v>6940</v>
      </c>
      <c r="F4895" s="7" t="s">
        <v>6979</v>
      </c>
      <c r="G4895" s="7" t="s">
        <v>7150</v>
      </c>
      <c r="H4895" s="7" t="s">
        <v>7156</v>
      </c>
      <c r="I4895" s="7"/>
      <c r="J4895" s="10">
        <v>44844</v>
      </c>
      <c r="K4895" s="7" t="s">
        <v>7165</v>
      </c>
      <c r="L4895" s="7"/>
      <c r="M4895" s="7"/>
    </row>
    <row r="4896" spans="1:13" x14ac:dyDescent="0.3">
      <c r="A4896" s="7">
        <v>16831</v>
      </c>
      <c r="B4896" s="7" t="s">
        <v>4903</v>
      </c>
      <c r="C4896" s="7" t="s">
        <v>7033</v>
      </c>
      <c r="D4896" s="7" t="s">
        <v>6295</v>
      </c>
      <c r="E4896" s="7" t="s">
        <v>6940</v>
      </c>
      <c r="F4896" s="7" t="s">
        <v>6988</v>
      </c>
      <c r="G4896" s="7" t="s">
        <v>7150</v>
      </c>
      <c r="H4896" s="7" t="s">
        <v>7156</v>
      </c>
      <c r="I4896" s="7"/>
      <c r="J4896" s="10">
        <v>45583</v>
      </c>
      <c r="K4896" s="7" t="s">
        <v>7165</v>
      </c>
      <c r="L4896" s="7"/>
      <c r="M4896" s="7"/>
    </row>
    <row r="4897" spans="1:13" x14ac:dyDescent="0.3">
      <c r="A4897" s="7">
        <v>18431</v>
      </c>
      <c r="B4897" s="7" t="s">
        <v>4904</v>
      </c>
      <c r="C4897" s="7" t="s">
        <v>7033</v>
      </c>
      <c r="D4897" s="7" t="s">
        <v>6295</v>
      </c>
      <c r="E4897" s="7" t="s">
        <v>6940</v>
      </c>
      <c r="F4897" s="7" t="s">
        <v>7035</v>
      </c>
      <c r="G4897" s="7" t="s">
        <v>7150</v>
      </c>
      <c r="H4897" s="7" t="s">
        <v>7156</v>
      </c>
      <c r="I4897" s="7"/>
      <c r="J4897" s="10">
        <v>46128</v>
      </c>
      <c r="K4897" s="7" t="s">
        <v>7165</v>
      </c>
      <c r="L4897" s="7"/>
      <c r="M4897" s="7"/>
    </row>
    <row r="4898" spans="1:13" x14ac:dyDescent="0.3">
      <c r="A4898" s="7">
        <v>18760</v>
      </c>
      <c r="B4898" s="7" t="s">
        <v>4905</v>
      </c>
      <c r="C4898" s="7" t="s">
        <v>7033</v>
      </c>
      <c r="D4898" s="7" t="s">
        <v>6295</v>
      </c>
      <c r="E4898" s="7" t="s">
        <v>6940</v>
      </c>
      <c r="F4898" s="7" t="s">
        <v>7035</v>
      </c>
      <c r="G4898" s="7" t="s">
        <v>7150</v>
      </c>
      <c r="H4898" s="7" t="s">
        <v>7156</v>
      </c>
      <c r="I4898" s="7"/>
      <c r="J4898" s="10">
        <v>46206</v>
      </c>
      <c r="K4898" s="7" t="s">
        <v>7165</v>
      </c>
      <c r="L4898" s="7"/>
      <c r="M4898" s="7"/>
    </row>
    <row r="4899" spans="1:13" x14ac:dyDescent="0.3">
      <c r="A4899" s="7">
        <v>14142</v>
      </c>
      <c r="B4899" s="7" t="s">
        <v>4906</v>
      </c>
      <c r="C4899" s="7" t="s">
        <v>7033</v>
      </c>
      <c r="D4899" s="7" t="s">
        <v>6295</v>
      </c>
      <c r="E4899" s="7" t="s">
        <v>6940</v>
      </c>
      <c r="F4899" s="7" t="s">
        <v>6992</v>
      </c>
      <c r="G4899" s="7" t="s">
        <v>7151</v>
      </c>
      <c r="H4899" s="7" t="s">
        <v>7156</v>
      </c>
      <c r="I4899" s="7"/>
      <c r="J4899" s="10">
        <v>44672</v>
      </c>
      <c r="K4899" s="7" t="s">
        <v>7165</v>
      </c>
      <c r="L4899" s="7"/>
      <c r="M4899" s="7"/>
    </row>
    <row r="4900" spans="1:13" x14ac:dyDescent="0.3">
      <c r="A4900" s="7">
        <v>18746</v>
      </c>
      <c r="B4900" s="7" t="s">
        <v>4907</v>
      </c>
      <c r="C4900" s="7" t="s">
        <v>7033</v>
      </c>
      <c r="D4900" s="7" t="s">
        <v>6295</v>
      </c>
      <c r="E4900" s="7" t="s">
        <v>6940</v>
      </c>
      <c r="F4900" s="7" t="s">
        <v>6993</v>
      </c>
      <c r="G4900" s="7" t="s">
        <v>7150</v>
      </c>
      <c r="H4900" s="7" t="s">
        <v>7157</v>
      </c>
      <c r="I4900" s="7"/>
      <c r="J4900" s="10">
        <v>46204</v>
      </c>
      <c r="K4900" s="7" t="s">
        <v>7165</v>
      </c>
      <c r="L4900" s="7"/>
      <c r="M4900" s="7"/>
    </row>
    <row r="4901" spans="1:13" x14ac:dyDescent="0.3">
      <c r="A4901" s="7">
        <v>300191</v>
      </c>
      <c r="B4901" s="7" t="s">
        <v>4908</v>
      </c>
      <c r="C4901" s="7" t="s">
        <v>7033</v>
      </c>
      <c r="D4901" s="7" t="s">
        <v>6295</v>
      </c>
      <c r="E4901" s="7" t="s">
        <v>6940</v>
      </c>
      <c r="F4901" s="7" t="s">
        <v>6992</v>
      </c>
      <c r="G4901" s="7" t="s">
        <v>7151</v>
      </c>
      <c r="H4901" s="7" t="s">
        <v>7156</v>
      </c>
      <c r="I4901" s="7"/>
      <c r="J4901" s="10">
        <v>43790</v>
      </c>
      <c r="K4901" s="7" t="s">
        <v>7165</v>
      </c>
      <c r="L4901" s="7"/>
      <c r="M4901" s="7"/>
    </row>
    <row r="4902" spans="1:13" x14ac:dyDescent="0.3">
      <c r="A4902" s="7">
        <v>18408</v>
      </c>
      <c r="B4902" s="7" t="s">
        <v>4909</v>
      </c>
      <c r="C4902" s="7" t="s">
        <v>7033</v>
      </c>
      <c r="D4902" s="7" t="s">
        <v>6295</v>
      </c>
      <c r="E4902" s="7" t="s">
        <v>6940</v>
      </c>
      <c r="F4902" s="7" t="s">
        <v>6993</v>
      </c>
      <c r="G4902" s="7" t="s">
        <v>7150</v>
      </c>
      <c r="H4902" s="7" t="s">
        <v>7157</v>
      </c>
      <c r="I4902" s="7"/>
      <c r="J4902" s="10">
        <v>46125</v>
      </c>
      <c r="K4902" s="7" t="s">
        <v>7165</v>
      </c>
      <c r="L4902" s="7"/>
      <c r="M4902" s="7"/>
    </row>
    <row r="4903" spans="1:13" x14ac:dyDescent="0.3">
      <c r="A4903" s="7">
        <v>14860</v>
      </c>
      <c r="B4903" s="7" t="s">
        <v>4910</v>
      </c>
      <c r="C4903" s="7" t="s">
        <v>7033</v>
      </c>
      <c r="D4903" s="7" t="s">
        <v>6295</v>
      </c>
      <c r="E4903" s="7" t="s">
        <v>6940</v>
      </c>
      <c r="F4903" s="7" t="s">
        <v>6989</v>
      </c>
      <c r="G4903" s="7" t="s">
        <v>7150</v>
      </c>
      <c r="H4903" s="7" t="s">
        <v>7156</v>
      </c>
      <c r="I4903" s="7"/>
      <c r="J4903" s="10">
        <v>44881</v>
      </c>
      <c r="K4903" s="7" t="s">
        <v>7165</v>
      </c>
      <c r="L4903" s="7"/>
      <c r="M4903" s="7"/>
    </row>
    <row r="4904" spans="1:13" x14ac:dyDescent="0.3">
      <c r="A4904" s="7">
        <v>16382</v>
      </c>
      <c r="B4904" s="7" t="s">
        <v>4911</v>
      </c>
      <c r="C4904" s="7" t="s">
        <v>7033</v>
      </c>
      <c r="D4904" s="7" t="s">
        <v>6295</v>
      </c>
      <c r="E4904" s="7" t="s">
        <v>6940</v>
      </c>
      <c r="F4904" s="7" t="s">
        <v>7021</v>
      </c>
      <c r="G4904" s="7" t="s">
        <v>7151</v>
      </c>
      <c r="H4904" s="7" t="s">
        <v>7157</v>
      </c>
      <c r="I4904" s="7"/>
      <c r="J4904" s="10">
        <v>45365</v>
      </c>
      <c r="K4904" s="7" t="s">
        <v>7165</v>
      </c>
      <c r="L4904" s="7"/>
      <c r="M4904" s="7"/>
    </row>
    <row r="4905" spans="1:13" x14ac:dyDescent="0.3">
      <c r="A4905" s="7">
        <v>16118</v>
      </c>
      <c r="B4905" s="7" t="s">
        <v>4912</v>
      </c>
      <c r="C4905" s="7" t="s">
        <v>7033</v>
      </c>
      <c r="D4905" s="7" t="s">
        <v>6295</v>
      </c>
      <c r="E4905" s="7" t="s">
        <v>6940</v>
      </c>
      <c r="F4905" s="7" t="s">
        <v>6989</v>
      </c>
      <c r="G4905" s="7" t="s">
        <v>7151</v>
      </c>
      <c r="H4905" s="7" t="s">
        <v>7156</v>
      </c>
      <c r="I4905" s="7"/>
      <c r="J4905" s="10">
        <v>45286</v>
      </c>
      <c r="K4905" s="7" t="s">
        <v>7165</v>
      </c>
      <c r="L4905" s="7"/>
      <c r="M4905" s="7"/>
    </row>
    <row r="4906" spans="1:13" x14ac:dyDescent="0.3">
      <c r="A4906" s="7">
        <v>18470</v>
      </c>
      <c r="B4906" s="7" t="s">
        <v>4913</v>
      </c>
      <c r="C4906" s="7" t="s">
        <v>7033</v>
      </c>
      <c r="D4906" s="7" t="s">
        <v>6295</v>
      </c>
      <c r="E4906" s="7" t="s">
        <v>6940</v>
      </c>
      <c r="F4906" s="7" t="s">
        <v>6998</v>
      </c>
      <c r="G4906" s="7" t="s">
        <v>7150</v>
      </c>
      <c r="H4906" s="7" t="s">
        <v>7156</v>
      </c>
      <c r="I4906" s="7"/>
      <c r="J4906" s="10">
        <v>46134</v>
      </c>
      <c r="K4906" s="7" t="s">
        <v>7165</v>
      </c>
      <c r="L4906" s="7"/>
      <c r="M4906" s="7"/>
    </row>
    <row r="4907" spans="1:13" x14ac:dyDescent="0.3">
      <c r="A4907" s="7">
        <v>18488</v>
      </c>
      <c r="B4907" s="7" t="s">
        <v>4914</v>
      </c>
      <c r="C4907" s="7" t="s">
        <v>7033</v>
      </c>
      <c r="D4907" s="7" t="s">
        <v>6295</v>
      </c>
      <c r="E4907" s="7" t="s">
        <v>6940</v>
      </c>
      <c r="F4907" s="7" t="s">
        <v>6998</v>
      </c>
      <c r="G4907" s="7" t="s">
        <v>7150</v>
      </c>
      <c r="H4907" s="7" t="s">
        <v>7156</v>
      </c>
      <c r="I4907" s="7"/>
      <c r="J4907" s="10">
        <v>46140</v>
      </c>
      <c r="K4907" s="7" t="s">
        <v>7165</v>
      </c>
      <c r="L4907" s="7"/>
      <c r="M4907" s="7"/>
    </row>
    <row r="4908" spans="1:13" x14ac:dyDescent="0.3">
      <c r="A4908" s="7">
        <v>19229</v>
      </c>
      <c r="B4908" s="7" t="s">
        <v>4915</v>
      </c>
      <c r="C4908" s="7" t="s">
        <v>7033</v>
      </c>
      <c r="D4908" s="7" t="s">
        <v>6295</v>
      </c>
      <c r="E4908" s="7" t="s">
        <v>6940</v>
      </c>
      <c r="F4908" s="7" t="s">
        <v>6998</v>
      </c>
      <c r="G4908" s="7" t="s">
        <v>7150</v>
      </c>
      <c r="H4908" s="7" t="s">
        <v>7156</v>
      </c>
      <c r="I4908" s="7"/>
      <c r="J4908" s="10">
        <v>46283</v>
      </c>
      <c r="K4908" s="7" t="s">
        <v>7165</v>
      </c>
      <c r="L4908" s="7"/>
      <c r="M4908" s="7"/>
    </row>
    <row r="4909" spans="1:13" x14ac:dyDescent="0.3">
      <c r="A4909" s="7">
        <v>19231</v>
      </c>
      <c r="B4909" s="7" t="s">
        <v>4916</v>
      </c>
      <c r="C4909" s="7" t="s">
        <v>7033</v>
      </c>
      <c r="D4909" s="7" t="s">
        <v>6295</v>
      </c>
      <c r="E4909" s="7" t="s">
        <v>6940</v>
      </c>
      <c r="F4909" s="7" t="s">
        <v>6998</v>
      </c>
      <c r="G4909" s="7" t="s">
        <v>7150</v>
      </c>
      <c r="H4909" s="7" t="s">
        <v>7156</v>
      </c>
      <c r="I4909" s="7"/>
      <c r="J4909" s="10">
        <v>46283</v>
      </c>
      <c r="K4909" s="7" t="s">
        <v>7165</v>
      </c>
      <c r="L4909" s="7"/>
      <c r="M4909" s="7"/>
    </row>
    <row r="4910" spans="1:13" x14ac:dyDescent="0.3">
      <c r="A4910" s="7">
        <v>19264</v>
      </c>
      <c r="B4910" s="7" t="s">
        <v>4917</v>
      </c>
      <c r="C4910" s="7" t="s">
        <v>7033</v>
      </c>
      <c r="D4910" s="7" t="s">
        <v>6295</v>
      </c>
      <c r="E4910" s="7" t="s">
        <v>6940</v>
      </c>
      <c r="F4910" s="7" t="s">
        <v>6998</v>
      </c>
      <c r="G4910" s="7" t="s">
        <v>7150</v>
      </c>
      <c r="H4910" s="7" t="s">
        <v>7156</v>
      </c>
      <c r="I4910" s="7"/>
      <c r="J4910" s="10">
        <v>46289</v>
      </c>
      <c r="K4910" s="7" t="s">
        <v>7165</v>
      </c>
      <c r="L4910" s="7"/>
      <c r="M4910" s="7"/>
    </row>
    <row r="4911" spans="1:13" x14ac:dyDescent="0.3">
      <c r="A4911" s="7">
        <v>18490</v>
      </c>
      <c r="B4911" s="7" t="s">
        <v>4918</v>
      </c>
      <c r="C4911" s="7" t="s">
        <v>7033</v>
      </c>
      <c r="D4911" s="7" t="s">
        <v>6295</v>
      </c>
      <c r="E4911" s="7" t="s">
        <v>6940</v>
      </c>
      <c r="F4911" s="7" t="s">
        <v>6998</v>
      </c>
      <c r="G4911" s="7" t="s">
        <v>7150</v>
      </c>
      <c r="H4911" s="7" t="s">
        <v>7156</v>
      </c>
      <c r="I4911" s="7"/>
      <c r="J4911" s="10">
        <v>46143</v>
      </c>
      <c r="K4911" s="7" t="s">
        <v>7165</v>
      </c>
      <c r="L4911" s="7"/>
      <c r="M4911" s="7"/>
    </row>
    <row r="4912" spans="1:13" x14ac:dyDescent="0.3">
      <c r="A4912" s="7">
        <v>18899</v>
      </c>
      <c r="B4912" s="7" t="s">
        <v>4919</v>
      </c>
      <c r="C4912" s="7" t="s">
        <v>7033</v>
      </c>
      <c r="D4912" s="7" t="s">
        <v>6295</v>
      </c>
      <c r="E4912" s="7" t="s">
        <v>6940</v>
      </c>
      <c r="F4912" s="7" t="s">
        <v>6998</v>
      </c>
      <c r="G4912" s="7" t="s">
        <v>7150</v>
      </c>
      <c r="H4912" s="7" t="s">
        <v>7156</v>
      </c>
      <c r="I4912" s="7"/>
      <c r="J4912" s="10">
        <v>46238</v>
      </c>
      <c r="K4912" s="7" t="s">
        <v>7165</v>
      </c>
      <c r="L4912" s="7"/>
      <c r="M4912" s="7"/>
    </row>
    <row r="4913" spans="1:13" x14ac:dyDescent="0.3">
      <c r="A4913" s="7">
        <v>18754</v>
      </c>
      <c r="B4913" s="7" t="s">
        <v>4920</v>
      </c>
      <c r="C4913" s="7" t="s">
        <v>7033</v>
      </c>
      <c r="D4913" s="7" t="s">
        <v>6295</v>
      </c>
      <c r="E4913" s="7" t="s">
        <v>6940</v>
      </c>
      <c r="F4913" s="7" t="s">
        <v>6998</v>
      </c>
      <c r="G4913" s="7" t="s">
        <v>7150</v>
      </c>
      <c r="H4913" s="7" t="s">
        <v>7156</v>
      </c>
      <c r="I4913" s="7"/>
      <c r="J4913" s="10">
        <v>46205</v>
      </c>
      <c r="K4913" s="7" t="s">
        <v>7165</v>
      </c>
      <c r="L4913" s="7"/>
      <c r="M4913" s="7"/>
    </row>
    <row r="4914" spans="1:13" x14ac:dyDescent="0.3">
      <c r="A4914" s="7">
        <v>19266</v>
      </c>
      <c r="B4914" s="7" t="s">
        <v>4921</v>
      </c>
      <c r="C4914" s="7" t="s">
        <v>7033</v>
      </c>
      <c r="D4914" s="7" t="s">
        <v>6295</v>
      </c>
      <c r="E4914" s="7" t="s">
        <v>6940</v>
      </c>
      <c r="F4914" s="7" t="s">
        <v>6998</v>
      </c>
      <c r="G4914" s="7" t="s">
        <v>7150</v>
      </c>
      <c r="H4914" s="7" t="s">
        <v>7156</v>
      </c>
      <c r="I4914" s="7"/>
      <c r="J4914" s="10">
        <v>46297</v>
      </c>
      <c r="K4914" s="7" t="s">
        <v>7165</v>
      </c>
      <c r="L4914" s="7"/>
      <c r="M4914" s="7"/>
    </row>
    <row r="4915" spans="1:13" x14ac:dyDescent="0.3">
      <c r="A4915" s="7">
        <v>500038</v>
      </c>
      <c r="B4915" s="7" t="s">
        <v>4922</v>
      </c>
      <c r="C4915" s="7" t="s">
        <v>7033</v>
      </c>
      <c r="D4915" s="7" t="s">
        <v>6295</v>
      </c>
      <c r="E4915" s="7" t="s">
        <v>6940</v>
      </c>
      <c r="F4915" s="7" t="s">
        <v>6980</v>
      </c>
      <c r="G4915" s="7" t="s">
        <v>7150</v>
      </c>
      <c r="H4915" s="7" t="s">
        <v>7156</v>
      </c>
      <c r="I4915" s="7"/>
      <c r="J4915" s="10">
        <v>43199</v>
      </c>
      <c r="K4915" s="7" t="s">
        <v>7165</v>
      </c>
      <c r="L4915" s="7"/>
      <c r="M4915" s="7"/>
    </row>
    <row r="4916" spans="1:13" x14ac:dyDescent="0.3">
      <c r="A4916" s="7">
        <v>530017</v>
      </c>
      <c r="B4916" s="7" t="s">
        <v>4923</v>
      </c>
      <c r="C4916" s="7" t="s">
        <v>7033</v>
      </c>
      <c r="D4916" s="7" t="s">
        <v>6295</v>
      </c>
      <c r="E4916" s="7" t="s">
        <v>6940</v>
      </c>
      <c r="F4916" s="7" t="s">
        <v>6980</v>
      </c>
      <c r="G4916" s="7" t="s">
        <v>7150</v>
      </c>
      <c r="H4916" s="7" t="s">
        <v>7156</v>
      </c>
      <c r="I4916" s="7"/>
      <c r="J4916" s="10">
        <v>42702</v>
      </c>
      <c r="K4916" s="7" t="s">
        <v>7165</v>
      </c>
      <c r="L4916" s="7"/>
      <c r="M4916" s="7"/>
    </row>
    <row r="4917" spans="1:13" x14ac:dyDescent="0.3">
      <c r="A4917" s="7">
        <v>710043</v>
      </c>
      <c r="B4917" s="7" t="s">
        <v>4924</v>
      </c>
      <c r="C4917" s="7" t="s">
        <v>7033</v>
      </c>
      <c r="D4917" s="7" t="s">
        <v>6295</v>
      </c>
      <c r="E4917" s="7" t="s">
        <v>6940</v>
      </c>
      <c r="F4917" s="7" t="s">
        <v>6980</v>
      </c>
      <c r="G4917" s="7" t="s">
        <v>7150</v>
      </c>
      <c r="H4917" s="7" t="s">
        <v>7156</v>
      </c>
      <c r="I4917" s="7"/>
      <c r="J4917" s="10">
        <v>44571</v>
      </c>
      <c r="K4917" s="7" t="s">
        <v>7165</v>
      </c>
      <c r="L4917" s="7"/>
      <c r="M4917" s="7"/>
    </row>
    <row r="4918" spans="1:13" x14ac:dyDescent="0.3">
      <c r="A4918" s="7">
        <v>205010</v>
      </c>
      <c r="B4918" s="7" t="s">
        <v>4925</v>
      </c>
      <c r="C4918" s="7" t="s">
        <v>7033</v>
      </c>
      <c r="D4918" s="7" t="s">
        <v>6295</v>
      </c>
      <c r="E4918" s="7" t="s">
        <v>6940</v>
      </c>
      <c r="F4918" s="7" t="s">
        <v>6986</v>
      </c>
      <c r="G4918" s="7" t="s">
        <v>7151</v>
      </c>
      <c r="H4918" s="7" t="s">
        <v>7156</v>
      </c>
      <c r="I4918" s="7"/>
      <c r="J4918" s="10">
        <v>44587</v>
      </c>
      <c r="K4918" s="7" t="s">
        <v>7165</v>
      </c>
      <c r="L4918" s="7"/>
      <c r="M4918" s="7"/>
    </row>
    <row r="4919" spans="1:13" x14ac:dyDescent="0.3">
      <c r="A4919" s="7">
        <v>300230</v>
      </c>
      <c r="B4919" s="7" t="s">
        <v>4926</v>
      </c>
      <c r="C4919" s="7" t="s">
        <v>7033</v>
      </c>
      <c r="D4919" s="7" t="s">
        <v>6295</v>
      </c>
      <c r="E4919" s="7" t="s">
        <v>6940</v>
      </c>
      <c r="F4919" s="7" t="s">
        <v>6986</v>
      </c>
      <c r="G4919" s="7" t="s">
        <v>7151</v>
      </c>
      <c r="H4919" s="7" t="s">
        <v>7156</v>
      </c>
      <c r="I4919" s="7"/>
      <c r="J4919" s="10">
        <v>44237</v>
      </c>
      <c r="K4919" s="7" t="s">
        <v>7165</v>
      </c>
      <c r="L4919" s="7"/>
      <c r="M4919" s="7"/>
    </row>
    <row r="4920" spans="1:13" x14ac:dyDescent="0.3">
      <c r="A4920" s="7">
        <v>17309</v>
      </c>
      <c r="B4920" s="7" t="s">
        <v>4927</v>
      </c>
      <c r="C4920" s="7" t="s">
        <v>7033</v>
      </c>
      <c r="D4920" s="7" t="s">
        <v>6295</v>
      </c>
      <c r="E4920" s="7" t="s">
        <v>6940</v>
      </c>
      <c r="F4920" s="7" t="s">
        <v>7003</v>
      </c>
      <c r="G4920" s="7" t="s">
        <v>7150</v>
      </c>
      <c r="H4920" s="7" t="s">
        <v>7157</v>
      </c>
      <c r="I4920" s="7"/>
      <c r="J4920" s="10">
        <v>45700</v>
      </c>
      <c r="K4920" s="7" t="s">
        <v>7165</v>
      </c>
      <c r="L4920" s="7"/>
      <c r="M4920" s="7"/>
    </row>
    <row r="4921" spans="1:13" x14ac:dyDescent="0.3">
      <c r="A4921" s="7">
        <v>300207</v>
      </c>
      <c r="B4921" s="7" t="s">
        <v>4928</v>
      </c>
      <c r="C4921" s="7" t="s">
        <v>7033</v>
      </c>
      <c r="D4921" s="7" t="s">
        <v>6295</v>
      </c>
      <c r="E4921" s="7" t="s">
        <v>6940</v>
      </c>
      <c r="F4921" s="7" t="s">
        <v>6986</v>
      </c>
      <c r="G4921" s="7" t="s">
        <v>7151</v>
      </c>
      <c r="H4921" s="7" t="s">
        <v>7156</v>
      </c>
      <c r="I4921" s="7"/>
      <c r="J4921" s="10">
        <v>44026</v>
      </c>
      <c r="K4921" s="7" t="s">
        <v>7165</v>
      </c>
      <c r="L4921" s="7"/>
      <c r="M4921" s="7"/>
    </row>
    <row r="4922" spans="1:13" x14ac:dyDescent="0.3">
      <c r="A4922" s="7">
        <v>17083</v>
      </c>
      <c r="B4922" s="7" t="s">
        <v>4929</v>
      </c>
      <c r="C4922" s="7" t="s">
        <v>7033</v>
      </c>
      <c r="D4922" s="7" t="s">
        <v>6295</v>
      </c>
      <c r="E4922" s="7" t="s">
        <v>6940</v>
      </c>
      <c r="F4922" s="7" t="s">
        <v>7000</v>
      </c>
      <c r="G4922" s="7" t="s">
        <v>7150</v>
      </c>
      <c r="H4922" s="7" t="s">
        <v>7157</v>
      </c>
      <c r="I4922" s="7"/>
      <c r="J4922" s="10">
        <v>45621</v>
      </c>
      <c r="K4922" s="7" t="s">
        <v>7165</v>
      </c>
      <c r="L4922" s="7"/>
      <c r="M4922" s="7"/>
    </row>
    <row r="4923" spans="1:13" x14ac:dyDescent="0.3">
      <c r="A4923" s="7">
        <v>15406</v>
      </c>
      <c r="B4923" s="7" t="s">
        <v>4930</v>
      </c>
      <c r="C4923" s="7" t="s">
        <v>7033</v>
      </c>
      <c r="D4923" s="7" t="s">
        <v>6295</v>
      </c>
      <c r="E4923" s="7" t="s">
        <v>6940</v>
      </c>
      <c r="F4923" s="7" t="s">
        <v>6987</v>
      </c>
      <c r="G4923" s="7" t="s">
        <v>7150</v>
      </c>
      <c r="H4923" s="7" t="s">
        <v>7156</v>
      </c>
      <c r="I4923" s="7"/>
      <c r="J4923" s="10">
        <v>45058</v>
      </c>
      <c r="K4923" s="7" t="s">
        <v>7165</v>
      </c>
      <c r="L4923" s="7"/>
      <c r="M4923" s="7"/>
    </row>
    <row r="4924" spans="1:13" x14ac:dyDescent="0.3">
      <c r="A4924" s="7">
        <v>14397</v>
      </c>
      <c r="B4924" s="7" t="s">
        <v>4931</v>
      </c>
      <c r="C4924" s="7" t="s">
        <v>7033</v>
      </c>
      <c r="D4924" s="7" t="s">
        <v>6295</v>
      </c>
      <c r="E4924" s="7" t="s">
        <v>6940</v>
      </c>
      <c r="F4924" s="7" t="s">
        <v>6987</v>
      </c>
      <c r="G4924" s="7" t="s">
        <v>7150</v>
      </c>
      <c r="H4924" s="7" t="s">
        <v>7156</v>
      </c>
      <c r="I4924" s="7"/>
      <c r="J4924" s="10">
        <v>44748</v>
      </c>
      <c r="K4924" s="7" t="s">
        <v>7165</v>
      </c>
      <c r="L4924" s="7"/>
      <c r="M4924" s="7"/>
    </row>
    <row r="4925" spans="1:13" x14ac:dyDescent="0.3">
      <c r="A4925" s="7">
        <v>15073</v>
      </c>
      <c r="B4925" s="7" t="s">
        <v>4932</v>
      </c>
      <c r="C4925" s="7" t="s">
        <v>7033</v>
      </c>
      <c r="D4925" s="7" t="s">
        <v>6295</v>
      </c>
      <c r="E4925" s="7" t="s">
        <v>6940</v>
      </c>
      <c r="F4925" s="7" t="s">
        <v>6987</v>
      </c>
      <c r="G4925" s="7" t="s">
        <v>7150</v>
      </c>
      <c r="H4925" s="7" t="s">
        <v>7156</v>
      </c>
      <c r="I4925" s="7"/>
      <c r="J4925" s="10">
        <v>44942</v>
      </c>
      <c r="K4925" s="7" t="s">
        <v>7165</v>
      </c>
      <c r="L4925" s="7"/>
      <c r="M4925" s="7"/>
    </row>
    <row r="4926" spans="1:13" x14ac:dyDescent="0.3">
      <c r="A4926" s="7">
        <v>19182</v>
      </c>
      <c r="B4926" s="7" t="s">
        <v>4933</v>
      </c>
      <c r="C4926" s="7" t="s">
        <v>7033</v>
      </c>
      <c r="D4926" s="7" t="s">
        <v>6295</v>
      </c>
      <c r="E4926" s="7" t="s">
        <v>6940</v>
      </c>
      <c r="F4926" s="7" t="s">
        <v>6987</v>
      </c>
      <c r="G4926" s="7" t="s">
        <v>7150</v>
      </c>
      <c r="H4926" s="7" t="s">
        <v>7156</v>
      </c>
      <c r="I4926" s="7"/>
      <c r="J4926" s="10">
        <v>46279</v>
      </c>
      <c r="K4926" s="7" t="s">
        <v>7165</v>
      </c>
      <c r="L4926" s="7"/>
      <c r="M4926" s="7"/>
    </row>
    <row r="4927" spans="1:13" x14ac:dyDescent="0.3">
      <c r="A4927" s="7">
        <v>15230</v>
      </c>
      <c r="B4927" s="7" t="s">
        <v>4934</v>
      </c>
      <c r="C4927" s="7" t="s">
        <v>7033</v>
      </c>
      <c r="D4927" s="7" t="s">
        <v>6295</v>
      </c>
      <c r="E4927" s="7" t="s">
        <v>6940</v>
      </c>
      <c r="F4927" s="7" t="s">
        <v>6986</v>
      </c>
      <c r="G4927" s="7" t="s">
        <v>7150</v>
      </c>
      <c r="H4927" s="7" t="s">
        <v>7156</v>
      </c>
      <c r="I4927" s="7"/>
      <c r="J4927" s="10">
        <v>44995</v>
      </c>
      <c r="K4927" s="7" t="s">
        <v>7165</v>
      </c>
      <c r="L4927" s="7"/>
      <c r="M4927" s="7"/>
    </row>
    <row r="4928" spans="1:13" x14ac:dyDescent="0.3">
      <c r="A4928" s="7">
        <v>300224</v>
      </c>
      <c r="B4928" s="7" t="s">
        <v>4935</v>
      </c>
      <c r="C4928" s="7" t="s">
        <v>7033</v>
      </c>
      <c r="D4928" s="7" t="s">
        <v>6295</v>
      </c>
      <c r="E4928" s="7" t="s">
        <v>6940</v>
      </c>
      <c r="F4928" s="7" t="s">
        <v>6986</v>
      </c>
      <c r="G4928" s="7" t="s">
        <v>7151</v>
      </c>
      <c r="H4928" s="7" t="s">
        <v>7156</v>
      </c>
      <c r="I4928" s="7"/>
      <c r="J4928" s="10">
        <v>44207</v>
      </c>
      <c r="K4928" s="7" t="s">
        <v>7165</v>
      </c>
      <c r="L4928" s="7"/>
      <c r="M4928" s="7"/>
    </row>
    <row r="4929" spans="1:13" x14ac:dyDescent="0.3">
      <c r="A4929" s="7">
        <v>17824</v>
      </c>
      <c r="B4929" s="7" t="s">
        <v>4936</v>
      </c>
      <c r="C4929" s="7" t="s">
        <v>7033</v>
      </c>
      <c r="D4929" s="7" t="s">
        <v>6295</v>
      </c>
      <c r="E4929" s="7" t="s">
        <v>6940</v>
      </c>
      <c r="F4929" s="7" t="s">
        <v>7000</v>
      </c>
      <c r="G4929" s="7" t="s">
        <v>7150</v>
      </c>
      <c r="H4929" s="7" t="s">
        <v>7157</v>
      </c>
      <c r="I4929" s="7"/>
      <c r="J4929" s="10">
        <v>45884</v>
      </c>
      <c r="K4929" s="7" t="s">
        <v>7165</v>
      </c>
      <c r="L4929" s="7"/>
      <c r="M4929" s="7"/>
    </row>
    <row r="4930" spans="1:13" x14ac:dyDescent="0.3">
      <c r="A4930" s="7">
        <v>15778</v>
      </c>
      <c r="B4930" s="7" t="s">
        <v>4937</v>
      </c>
      <c r="C4930" s="7" t="s">
        <v>7033</v>
      </c>
      <c r="D4930" s="7" t="s">
        <v>6295</v>
      </c>
      <c r="E4930" s="7" t="s">
        <v>6940</v>
      </c>
      <c r="F4930" s="7" t="s">
        <v>6987</v>
      </c>
      <c r="G4930" s="7" t="s">
        <v>7151</v>
      </c>
      <c r="H4930" s="7" t="s">
        <v>7156</v>
      </c>
      <c r="I4930" s="7"/>
      <c r="J4930" s="10">
        <v>45191</v>
      </c>
      <c r="K4930" s="7" t="s">
        <v>7165</v>
      </c>
      <c r="L4930" s="7"/>
      <c r="M4930" s="7"/>
    </row>
    <row r="4931" spans="1:13" x14ac:dyDescent="0.3">
      <c r="A4931" s="7">
        <v>15308</v>
      </c>
      <c r="B4931" s="7" t="s">
        <v>4938</v>
      </c>
      <c r="C4931" s="7" t="s">
        <v>7033</v>
      </c>
      <c r="D4931" s="7" t="s">
        <v>6295</v>
      </c>
      <c r="E4931" s="7" t="s">
        <v>6940</v>
      </c>
      <c r="F4931" s="7" t="s">
        <v>7000</v>
      </c>
      <c r="G4931" s="7" t="s">
        <v>7150</v>
      </c>
      <c r="H4931" s="7" t="s">
        <v>7157</v>
      </c>
      <c r="I4931" s="7"/>
      <c r="J4931" s="10">
        <v>45023</v>
      </c>
      <c r="K4931" s="7" t="s">
        <v>7165</v>
      </c>
      <c r="L4931" s="7"/>
      <c r="M4931" s="7"/>
    </row>
    <row r="4932" spans="1:13" x14ac:dyDescent="0.3">
      <c r="A4932" s="7">
        <v>15837</v>
      </c>
      <c r="B4932" s="7" t="s">
        <v>4939</v>
      </c>
      <c r="C4932" s="7" t="s">
        <v>7033</v>
      </c>
      <c r="D4932" s="7" t="s">
        <v>6295</v>
      </c>
      <c r="E4932" s="7" t="s">
        <v>6940</v>
      </c>
      <c r="F4932" s="7" t="s">
        <v>6986</v>
      </c>
      <c r="G4932" s="7" t="s">
        <v>7150</v>
      </c>
      <c r="H4932" s="7" t="s">
        <v>7156</v>
      </c>
      <c r="I4932" s="7"/>
      <c r="J4932" s="10">
        <v>45210</v>
      </c>
      <c r="K4932" s="7" t="s">
        <v>7165</v>
      </c>
      <c r="L4932" s="7"/>
      <c r="M4932" s="7"/>
    </row>
    <row r="4933" spans="1:13" x14ac:dyDescent="0.3">
      <c r="A4933" s="7">
        <v>17067</v>
      </c>
      <c r="B4933" s="7" t="s">
        <v>4940</v>
      </c>
      <c r="C4933" s="7" t="s">
        <v>7033</v>
      </c>
      <c r="D4933" s="7" t="s">
        <v>6295</v>
      </c>
      <c r="E4933" s="7" t="s">
        <v>6940</v>
      </c>
      <c r="F4933" s="7" t="s">
        <v>6987</v>
      </c>
      <c r="G4933" s="7" t="s">
        <v>7150</v>
      </c>
      <c r="H4933" s="7" t="s">
        <v>7156</v>
      </c>
      <c r="I4933" s="7"/>
      <c r="J4933" s="10">
        <v>45622</v>
      </c>
      <c r="K4933" s="7" t="s">
        <v>7165</v>
      </c>
      <c r="L4933" s="7"/>
      <c r="M4933" s="7"/>
    </row>
    <row r="4934" spans="1:13" x14ac:dyDescent="0.3">
      <c r="A4934" s="7">
        <v>18215</v>
      </c>
      <c r="B4934" s="7" t="s">
        <v>4941</v>
      </c>
      <c r="C4934" s="7" t="s">
        <v>7033</v>
      </c>
      <c r="D4934" s="7" t="s">
        <v>6295</v>
      </c>
      <c r="E4934" s="7" t="s">
        <v>6940</v>
      </c>
      <c r="F4934" s="7" t="s">
        <v>6987</v>
      </c>
      <c r="G4934" s="7" t="s">
        <v>7150</v>
      </c>
      <c r="H4934" s="7" t="s">
        <v>7156</v>
      </c>
      <c r="I4934" s="7"/>
      <c r="J4934" s="10">
        <v>46057</v>
      </c>
      <c r="K4934" s="7" t="s">
        <v>7165</v>
      </c>
      <c r="L4934" s="7"/>
      <c r="M4934" s="7"/>
    </row>
    <row r="4935" spans="1:13" x14ac:dyDescent="0.3">
      <c r="A4935" s="7">
        <v>18364</v>
      </c>
      <c r="B4935" s="7" t="s">
        <v>4942</v>
      </c>
      <c r="C4935" s="7" t="s">
        <v>7033</v>
      </c>
      <c r="D4935" s="7" t="s">
        <v>6295</v>
      </c>
      <c r="E4935" s="7" t="s">
        <v>6940</v>
      </c>
      <c r="F4935" s="7" t="s">
        <v>7013</v>
      </c>
      <c r="G4935" s="7" t="s">
        <v>7150</v>
      </c>
      <c r="H4935" s="7" t="s">
        <v>7156</v>
      </c>
      <c r="I4935" s="7"/>
      <c r="J4935" s="10">
        <v>46113</v>
      </c>
      <c r="K4935" s="7" t="s">
        <v>7165</v>
      </c>
      <c r="L4935" s="7"/>
      <c r="M4935" s="7"/>
    </row>
    <row r="4936" spans="1:13" x14ac:dyDescent="0.3">
      <c r="A4936" s="7">
        <v>18473</v>
      </c>
      <c r="B4936" s="7" t="s">
        <v>4943</v>
      </c>
      <c r="C4936" s="7" t="s">
        <v>7033</v>
      </c>
      <c r="D4936" s="7" t="s">
        <v>6295</v>
      </c>
      <c r="E4936" s="7" t="s">
        <v>6940</v>
      </c>
      <c r="F4936" s="7" t="s">
        <v>7013</v>
      </c>
      <c r="G4936" s="7" t="s">
        <v>7150</v>
      </c>
      <c r="H4936" s="7" t="s">
        <v>7156</v>
      </c>
      <c r="I4936" s="7"/>
      <c r="J4936" s="10">
        <v>46135</v>
      </c>
      <c r="K4936" s="7" t="s">
        <v>7165</v>
      </c>
      <c r="L4936" s="7"/>
      <c r="M4936" s="7"/>
    </row>
    <row r="4937" spans="1:13" x14ac:dyDescent="0.3">
      <c r="A4937" s="7">
        <v>18703</v>
      </c>
      <c r="B4937" s="7" t="s">
        <v>4944</v>
      </c>
      <c r="C4937" s="7" t="s">
        <v>7033</v>
      </c>
      <c r="D4937" s="7" t="s">
        <v>6295</v>
      </c>
      <c r="E4937" s="7" t="s">
        <v>6940</v>
      </c>
      <c r="F4937" s="7" t="s">
        <v>7013</v>
      </c>
      <c r="G4937" s="7" t="s">
        <v>7150</v>
      </c>
      <c r="H4937" s="7" t="s">
        <v>7156</v>
      </c>
      <c r="I4937" s="7"/>
      <c r="J4937" s="10">
        <v>46195</v>
      </c>
      <c r="K4937" s="7" t="s">
        <v>7165</v>
      </c>
      <c r="L4937" s="7"/>
      <c r="M4937" s="7"/>
    </row>
    <row r="4938" spans="1:13" x14ac:dyDescent="0.3">
      <c r="A4938" s="7">
        <v>700018</v>
      </c>
      <c r="B4938" s="7" t="s">
        <v>4945</v>
      </c>
      <c r="C4938" s="7" t="s">
        <v>7033</v>
      </c>
      <c r="D4938" s="7" t="s">
        <v>6295</v>
      </c>
      <c r="E4938" s="7" t="s">
        <v>6940</v>
      </c>
      <c r="F4938" s="7" t="s">
        <v>6941</v>
      </c>
      <c r="G4938" s="7" t="s">
        <v>7150</v>
      </c>
      <c r="H4938" s="7" t="s">
        <v>7156</v>
      </c>
      <c r="I4938" s="7"/>
      <c r="J4938" s="10">
        <v>38105</v>
      </c>
      <c r="K4938" s="7" t="s">
        <v>7165</v>
      </c>
      <c r="L4938" s="7"/>
      <c r="M4938" s="7"/>
    </row>
    <row r="4939" spans="1:13" x14ac:dyDescent="0.3">
      <c r="A4939" s="7">
        <v>12667</v>
      </c>
      <c r="B4939" s="7" t="s">
        <v>4946</v>
      </c>
      <c r="C4939" s="7" t="s">
        <v>7033</v>
      </c>
      <c r="D4939" s="7" t="s">
        <v>6295</v>
      </c>
      <c r="E4939" s="7" t="s">
        <v>6940</v>
      </c>
      <c r="F4939" s="7" t="s">
        <v>6949</v>
      </c>
      <c r="G4939" s="7" t="s">
        <v>7150</v>
      </c>
      <c r="H4939" s="7" t="s">
        <v>7156</v>
      </c>
      <c r="I4939" s="7"/>
      <c r="J4939" s="10">
        <v>43864</v>
      </c>
      <c r="K4939" s="7" t="s">
        <v>7165</v>
      </c>
      <c r="L4939" s="7"/>
      <c r="M4939" s="7"/>
    </row>
    <row r="4940" spans="1:13" x14ac:dyDescent="0.3">
      <c r="A4940" s="7">
        <v>19070</v>
      </c>
      <c r="B4940" s="7" t="s">
        <v>4947</v>
      </c>
      <c r="C4940" s="7" t="s">
        <v>7033</v>
      </c>
      <c r="D4940" s="7" t="s">
        <v>6295</v>
      </c>
      <c r="E4940" s="7" t="s">
        <v>6940</v>
      </c>
      <c r="F4940" s="7" t="s">
        <v>6949</v>
      </c>
      <c r="G4940" s="7" t="s">
        <v>7150</v>
      </c>
      <c r="H4940" s="7" t="s">
        <v>7156</v>
      </c>
      <c r="I4940" s="7"/>
      <c r="J4940" s="10">
        <v>46266</v>
      </c>
      <c r="K4940" s="7" t="s">
        <v>7165</v>
      </c>
      <c r="L4940" s="7"/>
      <c r="M4940" s="7"/>
    </row>
    <row r="4941" spans="1:13" x14ac:dyDescent="0.3">
      <c r="A4941" s="7">
        <v>18255</v>
      </c>
      <c r="B4941" s="7" t="s">
        <v>4948</v>
      </c>
      <c r="C4941" s="7" t="s">
        <v>7033</v>
      </c>
      <c r="D4941" s="7" t="s">
        <v>6295</v>
      </c>
      <c r="E4941" s="7" t="s">
        <v>6940</v>
      </c>
      <c r="F4941" s="7" t="s">
        <v>7004</v>
      </c>
      <c r="G4941" s="7" t="s">
        <v>7150</v>
      </c>
      <c r="H4941" s="7" t="s">
        <v>7156</v>
      </c>
      <c r="I4941" s="7"/>
      <c r="J4941" s="10">
        <v>46072</v>
      </c>
      <c r="K4941" s="7" t="s">
        <v>7165</v>
      </c>
      <c r="L4941" s="7"/>
      <c r="M4941" s="7"/>
    </row>
    <row r="4942" spans="1:13" x14ac:dyDescent="0.3">
      <c r="A4942" s="7">
        <v>18589</v>
      </c>
      <c r="B4942" s="7" t="s">
        <v>4949</v>
      </c>
      <c r="C4942" s="7" t="s">
        <v>7033</v>
      </c>
      <c r="D4942" s="7" t="s">
        <v>6295</v>
      </c>
      <c r="E4942" s="7" t="s">
        <v>6940</v>
      </c>
      <c r="F4942" s="7" t="s">
        <v>7004</v>
      </c>
      <c r="G4942" s="7" t="s">
        <v>7150</v>
      </c>
      <c r="H4942" s="7" t="s">
        <v>7156</v>
      </c>
      <c r="I4942" s="7"/>
      <c r="J4942" s="10">
        <v>46162</v>
      </c>
      <c r="K4942" s="7" t="s">
        <v>7165</v>
      </c>
      <c r="L4942" s="7"/>
      <c r="M4942" s="7"/>
    </row>
    <row r="4943" spans="1:13" x14ac:dyDescent="0.3">
      <c r="A4943" s="7">
        <v>18606</v>
      </c>
      <c r="B4943" s="7" t="s">
        <v>4950</v>
      </c>
      <c r="C4943" s="7" t="s">
        <v>7033</v>
      </c>
      <c r="D4943" s="7" t="s">
        <v>6295</v>
      </c>
      <c r="E4943" s="7" t="s">
        <v>6940</v>
      </c>
      <c r="F4943" s="7" t="s">
        <v>7004</v>
      </c>
      <c r="G4943" s="7" t="s">
        <v>7150</v>
      </c>
      <c r="H4943" s="7" t="s">
        <v>7156</v>
      </c>
      <c r="I4943" s="7"/>
      <c r="J4943" s="10">
        <v>46164</v>
      </c>
      <c r="K4943" s="7" t="s">
        <v>7165</v>
      </c>
      <c r="L4943" s="7"/>
      <c r="M4943" s="7"/>
    </row>
    <row r="4944" spans="1:13" x14ac:dyDescent="0.3">
      <c r="A4944" s="7">
        <v>18751</v>
      </c>
      <c r="B4944" s="7" t="s">
        <v>4951</v>
      </c>
      <c r="C4944" s="7" t="s">
        <v>7033</v>
      </c>
      <c r="D4944" s="7" t="s">
        <v>6295</v>
      </c>
      <c r="E4944" s="7" t="s">
        <v>6940</v>
      </c>
      <c r="F4944" s="7" t="s">
        <v>7004</v>
      </c>
      <c r="G4944" s="7" t="s">
        <v>7150</v>
      </c>
      <c r="H4944" s="7" t="s">
        <v>7156</v>
      </c>
      <c r="I4944" s="7"/>
      <c r="J4944" s="10">
        <v>46205</v>
      </c>
      <c r="K4944" s="7" t="s">
        <v>7165</v>
      </c>
      <c r="L4944" s="7"/>
      <c r="M4944" s="7"/>
    </row>
    <row r="4945" spans="1:13" x14ac:dyDescent="0.3">
      <c r="A4945" s="7">
        <v>18757</v>
      </c>
      <c r="B4945" s="7" t="s">
        <v>4952</v>
      </c>
      <c r="C4945" s="7" t="s">
        <v>7033</v>
      </c>
      <c r="D4945" s="7" t="s">
        <v>6295</v>
      </c>
      <c r="E4945" s="7" t="s">
        <v>6940</v>
      </c>
      <c r="F4945" s="7" t="s">
        <v>7004</v>
      </c>
      <c r="G4945" s="7" t="s">
        <v>7150</v>
      </c>
      <c r="H4945" s="7" t="s">
        <v>7156</v>
      </c>
      <c r="I4945" s="7"/>
      <c r="J4945" s="10">
        <v>46206</v>
      </c>
      <c r="K4945" s="7" t="s">
        <v>7165</v>
      </c>
      <c r="L4945" s="7"/>
      <c r="M4945" s="7"/>
    </row>
    <row r="4946" spans="1:13" x14ac:dyDescent="0.3">
      <c r="A4946" s="7">
        <v>18776</v>
      </c>
      <c r="B4946" s="7" t="s">
        <v>4953</v>
      </c>
      <c r="C4946" s="7" t="s">
        <v>7033</v>
      </c>
      <c r="D4946" s="7" t="s">
        <v>6295</v>
      </c>
      <c r="E4946" s="7" t="s">
        <v>6940</v>
      </c>
      <c r="F4946" s="7" t="s">
        <v>7004</v>
      </c>
      <c r="G4946" s="7" t="s">
        <v>7150</v>
      </c>
      <c r="H4946" s="7" t="s">
        <v>7156</v>
      </c>
      <c r="I4946" s="7"/>
      <c r="J4946" s="10">
        <v>46210</v>
      </c>
      <c r="K4946" s="7" t="s">
        <v>7165</v>
      </c>
      <c r="L4946" s="7"/>
      <c r="M4946" s="7"/>
    </row>
    <row r="4947" spans="1:13" x14ac:dyDescent="0.3">
      <c r="A4947" s="7">
        <v>18973</v>
      </c>
      <c r="B4947" s="7" t="s">
        <v>4954</v>
      </c>
      <c r="C4947" s="7" t="s">
        <v>7033</v>
      </c>
      <c r="D4947" s="7" t="s">
        <v>6295</v>
      </c>
      <c r="E4947" s="7" t="s">
        <v>6940</v>
      </c>
      <c r="F4947" s="7" t="s">
        <v>7004</v>
      </c>
      <c r="G4947" s="7" t="s">
        <v>7150</v>
      </c>
      <c r="H4947" s="7" t="s">
        <v>7156</v>
      </c>
      <c r="I4947" s="7"/>
      <c r="J4947" s="10">
        <v>46254</v>
      </c>
      <c r="K4947" s="7" t="s">
        <v>7165</v>
      </c>
      <c r="L4947" s="7"/>
      <c r="M4947" s="7"/>
    </row>
    <row r="4948" spans="1:13" x14ac:dyDescent="0.3">
      <c r="A4948" s="7">
        <v>19011</v>
      </c>
      <c r="B4948" s="7" t="s">
        <v>4955</v>
      </c>
      <c r="C4948" s="7" t="s">
        <v>7033</v>
      </c>
      <c r="D4948" s="7" t="s">
        <v>6295</v>
      </c>
      <c r="E4948" s="7" t="s">
        <v>6940</v>
      </c>
      <c r="F4948" s="7" t="s">
        <v>7004</v>
      </c>
      <c r="G4948" s="7" t="s">
        <v>7150</v>
      </c>
      <c r="H4948" s="7" t="s">
        <v>7156</v>
      </c>
      <c r="I4948" s="7"/>
      <c r="J4948" s="10">
        <v>46259</v>
      </c>
      <c r="K4948" s="7" t="s">
        <v>7165</v>
      </c>
      <c r="L4948" s="7"/>
      <c r="M4948" s="7"/>
    </row>
    <row r="4949" spans="1:13" x14ac:dyDescent="0.3">
      <c r="A4949" s="7">
        <v>300157</v>
      </c>
      <c r="B4949" s="7" t="s">
        <v>4956</v>
      </c>
      <c r="C4949" s="7" t="s">
        <v>7033</v>
      </c>
      <c r="D4949" s="7" t="s">
        <v>6295</v>
      </c>
      <c r="E4949" s="7" t="s">
        <v>6951</v>
      </c>
      <c r="F4949" s="7" t="s">
        <v>6398</v>
      </c>
      <c r="G4949" s="7" t="s">
        <v>7150</v>
      </c>
      <c r="H4949" s="7" t="s">
        <v>7156</v>
      </c>
      <c r="I4949" s="7"/>
      <c r="J4949" s="10">
        <v>43507</v>
      </c>
      <c r="K4949" s="7" t="s">
        <v>7165</v>
      </c>
      <c r="L4949" s="7"/>
      <c r="M4949" s="7"/>
    </row>
    <row r="4950" spans="1:13" x14ac:dyDescent="0.3">
      <c r="A4950" s="7">
        <v>300195</v>
      </c>
      <c r="B4950" s="7" t="s">
        <v>4957</v>
      </c>
      <c r="C4950" s="7" t="s">
        <v>7033</v>
      </c>
      <c r="D4950" s="7" t="s">
        <v>6295</v>
      </c>
      <c r="E4950" s="7" t="s">
        <v>6951</v>
      </c>
      <c r="F4950" s="7" t="s">
        <v>6398</v>
      </c>
      <c r="G4950" s="7" t="s">
        <v>7150</v>
      </c>
      <c r="H4950" s="7" t="s">
        <v>7156</v>
      </c>
      <c r="I4950" s="7"/>
      <c r="J4950" s="10">
        <v>43815</v>
      </c>
      <c r="K4950" s="7" t="s">
        <v>7165</v>
      </c>
      <c r="L4950" s="7"/>
      <c r="M4950" s="7"/>
    </row>
    <row r="4951" spans="1:13" x14ac:dyDescent="0.3">
      <c r="A4951" s="7">
        <v>16288</v>
      </c>
      <c r="B4951" s="7" t="s">
        <v>4958</v>
      </c>
      <c r="C4951" s="7" t="s">
        <v>7033</v>
      </c>
      <c r="D4951" s="7" t="s">
        <v>6295</v>
      </c>
      <c r="E4951" s="7" t="s">
        <v>6951</v>
      </c>
      <c r="F4951" s="7" t="s">
        <v>6398</v>
      </c>
      <c r="G4951" s="7" t="s">
        <v>7150</v>
      </c>
      <c r="H4951" s="7" t="s">
        <v>7156</v>
      </c>
      <c r="I4951" s="7"/>
      <c r="J4951" s="10">
        <v>45338</v>
      </c>
      <c r="K4951" s="7" t="s">
        <v>7165</v>
      </c>
      <c r="L4951" s="7"/>
      <c r="M4951" s="7"/>
    </row>
    <row r="4952" spans="1:13" x14ac:dyDescent="0.3">
      <c r="A4952" s="7">
        <v>125002</v>
      </c>
      <c r="B4952" s="7" t="s">
        <v>4959</v>
      </c>
      <c r="C4952" s="7" t="s">
        <v>7033</v>
      </c>
      <c r="D4952" s="7" t="s">
        <v>6295</v>
      </c>
      <c r="E4952" s="7" t="s">
        <v>6951</v>
      </c>
      <c r="F4952" s="7" t="s">
        <v>6398</v>
      </c>
      <c r="G4952" s="7" t="s">
        <v>7150</v>
      </c>
      <c r="H4952" s="7" t="s">
        <v>7156</v>
      </c>
      <c r="I4952" s="7"/>
      <c r="J4952" s="10">
        <v>43151</v>
      </c>
      <c r="K4952" s="7" t="s">
        <v>7165</v>
      </c>
      <c r="L4952" s="7"/>
      <c r="M4952" s="7"/>
    </row>
    <row r="4953" spans="1:13" x14ac:dyDescent="0.3">
      <c r="A4953" s="7">
        <v>12922</v>
      </c>
      <c r="B4953" s="7" t="s">
        <v>4960</v>
      </c>
      <c r="C4953" s="7" t="s">
        <v>7033</v>
      </c>
      <c r="D4953" s="7" t="s">
        <v>6295</v>
      </c>
      <c r="E4953" s="7" t="s">
        <v>7036</v>
      </c>
      <c r="F4953" s="7" t="s">
        <v>6498</v>
      </c>
      <c r="G4953" s="7" t="s">
        <v>7150</v>
      </c>
      <c r="H4953" s="7" t="s">
        <v>7156</v>
      </c>
      <c r="I4953" s="7"/>
      <c r="J4953" s="10">
        <v>44111</v>
      </c>
      <c r="K4953" s="7" t="s">
        <v>7165</v>
      </c>
      <c r="L4953" s="7"/>
      <c r="M4953" s="7"/>
    </row>
    <row r="4954" spans="1:13" x14ac:dyDescent="0.3">
      <c r="A4954" s="7">
        <v>20045</v>
      </c>
      <c r="B4954" s="7" t="s">
        <v>4961</v>
      </c>
      <c r="C4954" s="7" t="s">
        <v>7033</v>
      </c>
      <c r="D4954" s="7" t="s">
        <v>6295</v>
      </c>
      <c r="E4954" s="7" t="s">
        <v>7036</v>
      </c>
      <c r="F4954" s="7" t="s">
        <v>6353</v>
      </c>
      <c r="G4954" s="7" t="s">
        <v>7152</v>
      </c>
      <c r="H4954" s="7" t="s">
        <v>7156</v>
      </c>
      <c r="I4954" s="7"/>
      <c r="J4954" s="10">
        <v>44624</v>
      </c>
      <c r="K4954" s="7" t="s">
        <v>7165</v>
      </c>
      <c r="L4954" s="7"/>
      <c r="M4954" s="7"/>
    </row>
    <row r="4955" spans="1:13" x14ac:dyDescent="0.3">
      <c r="A4955" s="7">
        <v>17265</v>
      </c>
      <c r="B4955" s="7" t="s">
        <v>4962</v>
      </c>
      <c r="C4955" s="7" t="s">
        <v>7033</v>
      </c>
      <c r="D4955" s="7" t="s">
        <v>6295</v>
      </c>
      <c r="E4955" s="7" t="s">
        <v>7036</v>
      </c>
      <c r="F4955" s="7" t="s">
        <v>6389</v>
      </c>
      <c r="G4955" s="7" t="s">
        <v>7150</v>
      </c>
      <c r="H4955" s="7" t="s">
        <v>7157</v>
      </c>
      <c r="I4955" s="7"/>
      <c r="J4955" s="10">
        <v>45693</v>
      </c>
      <c r="K4955" s="7" t="s">
        <v>7165</v>
      </c>
      <c r="L4955" s="7"/>
      <c r="M4955" s="7"/>
    </row>
    <row r="4956" spans="1:13" x14ac:dyDescent="0.3">
      <c r="A4956" s="7">
        <v>15116</v>
      </c>
      <c r="B4956" s="7" t="s">
        <v>4963</v>
      </c>
      <c r="C4956" s="7" t="s">
        <v>7033</v>
      </c>
      <c r="D4956" s="7" t="s">
        <v>6295</v>
      </c>
      <c r="E4956" s="7" t="s">
        <v>7036</v>
      </c>
      <c r="F4956" s="7" t="s">
        <v>6340</v>
      </c>
      <c r="G4956" s="7" t="s">
        <v>7150</v>
      </c>
      <c r="H4956" s="7" t="s">
        <v>7156</v>
      </c>
      <c r="I4956" s="7"/>
      <c r="J4956" s="10">
        <v>44951</v>
      </c>
      <c r="K4956" s="7" t="s">
        <v>7165</v>
      </c>
      <c r="L4956" s="7"/>
      <c r="M4956" s="7"/>
    </row>
    <row r="4957" spans="1:13" x14ac:dyDescent="0.3">
      <c r="A4957" s="7">
        <v>15226</v>
      </c>
      <c r="B4957" s="7" t="s">
        <v>4964</v>
      </c>
      <c r="C4957" s="7" t="s">
        <v>7033</v>
      </c>
      <c r="D4957" s="7" t="s">
        <v>6295</v>
      </c>
      <c r="E4957" s="7" t="s">
        <v>7036</v>
      </c>
      <c r="F4957" s="7" t="s">
        <v>6340</v>
      </c>
      <c r="G4957" s="7" t="s">
        <v>7150</v>
      </c>
      <c r="H4957" s="7" t="s">
        <v>7156</v>
      </c>
      <c r="I4957" s="7"/>
      <c r="J4957" s="10">
        <v>44995</v>
      </c>
      <c r="K4957" s="7" t="s">
        <v>7165</v>
      </c>
      <c r="L4957" s="7"/>
      <c r="M4957" s="7"/>
    </row>
    <row r="4958" spans="1:13" x14ac:dyDescent="0.3">
      <c r="A4958" s="7">
        <v>14506</v>
      </c>
      <c r="B4958" s="7" t="s">
        <v>4965</v>
      </c>
      <c r="C4958" s="7" t="s">
        <v>7033</v>
      </c>
      <c r="D4958" s="7" t="s">
        <v>6295</v>
      </c>
      <c r="E4958" s="7" t="s">
        <v>7036</v>
      </c>
      <c r="F4958" s="7" t="s">
        <v>6341</v>
      </c>
      <c r="G4958" s="7" t="s">
        <v>7150</v>
      </c>
      <c r="H4958" s="7" t="s">
        <v>7156</v>
      </c>
      <c r="I4958" s="7"/>
      <c r="J4958" s="10">
        <v>44777</v>
      </c>
      <c r="K4958" s="7" t="s">
        <v>7165</v>
      </c>
      <c r="L4958" s="7"/>
      <c r="M4958" s="7"/>
    </row>
    <row r="4959" spans="1:13" x14ac:dyDescent="0.3">
      <c r="A4959" s="7">
        <v>500049</v>
      </c>
      <c r="B4959" s="7" t="s">
        <v>4966</v>
      </c>
      <c r="C4959" s="7" t="s">
        <v>7033</v>
      </c>
      <c r="D4959" s="7" t="s">
        <v>6295</v>
      </c>
      <c r="E4959" s="7" t="s">
        <v>7036</v>
      </c>
      <c r="F4959" s="7" t="s">
        <v>6341</v>
      </c>
      <c r="G4959" s="7" t="s">
        <v>7150</v>
      </c>
      <c r="H4959" s="7" t="s">
        <v>7156</v>
      </c>
      <c r="I4959" s="7"/>
      <c r="J4959" s="10">
        <v>44630</v>
      </c>
      <c r="K4959" s="7" t="s">
        <v>7165</v>
      </c>
      <c r="L4959" s="7"/>
      <c r="M4959" s="7"/>
    </row>
    <row r="4960" spans="1:13" x14ac:dyDescent="0.3">
      <c r="A4960" s="7">
        <v>16505</v>
      </c>
      <c r="B4960" s="7" t="s">
        <v>4967</v>
      </c>
      <c r="C4960" s="7" t="s">
        <v>7033</v>
      </c>
      <c r="D4960" s="7" t="s">
        <v>6295</v>
      </c>
      <c r="E4960" s="7" t="s">
        <v>7036</v>
      </c>
      <c r="F4960" s="7" t="s">
        <v>6341</v>
      </c>
      <c r="G4960" s="7" t="s">
        <v>7150</v>
      </c>
      <c r="H4960" s="7" t="s">
        <v>7156</v>
      </c>
      <c r="I4960" s="7"/>
      <c r="J4960" s="10">
        <v>45446</v>
      </c>
      <c r="K4960" s="7" t="s">
        <v>7165</v>
      </c>
      <c r="L4960" s="7"/>
      <c r="M4960" s="7"/>
    </row>
    <row r="4961" spans="1:13" x14ac:dyDescent="0.3">
      <c r="A4961" s="7">
        <v>11586</v>
      </c>
      <c r="B4961" s="7" t="s">
        <v>4968</v>
      </c>
      <c r="C4961" s="7" t="s">
        <v>7037</v>
      </c>
      <c r="D4961" s="7" t="s">
        <v>6295</v>
      </c>
      <c r="E4961" s="7" t="s">
        <v>6295</v>
      </c>
      <c r="F4961" s="7" t="s">
        <v>6939</v>
      </c>
      <c r="G4961" s="7" t="s">
        <v>7150</v>
      </c>
      <c r="H4961" s="7" t="s">
        <v>7156</v>
      </c>
      <c r="I4961" s="7"/>
      <c r="J4961" s="10">
        <v>42885</v>
      </c>
      <c r="K4961" s="7" t="s">
        <v>7165</v>
      </c>
      <c r="L4961" s="7"/>
      <c r="M4961" s="7"/>
    </row>
    <row r="4962" spans="1:13" x14ac:dyDescent="0.3">
      <c r="A4962" s="7">
        <v>300190</v>
      </c>
      <c r="B4962" s="7" t="s">
        <v>4969</v>
      </c>
      <c r="C4962" s="7" t="s">
        <v>7037</v>
      </c>
      <c r="D4962" s="7" t="s">
        <v>6295</v>
      </c>
      <c r="E4962" s="7" t="s">
        <v>7036</v>
      </c>
      <c r="F4962" s="7" t="s">
        <v>6353</v>
      </c>
      <c r="G4962" s="7" t="s">
        <v>7150</v>
      </c>
      <c r="H4962" s="7" t="s">
        <v>7156</v>
      </c>
      <c r="I4962" s="7"/>
      <c r="J4962" s="10">
        <v>43766</v>
      </c>
      <c r="K4962" s="7" t="s">
        <v>7165</v>
      </c>
      <c r="L4962" s="7"/>
      <c r="M4962" s="7"/>
    </row>
    <row r="4963" spans="1:13" x14ac:dyDescent="0.3">
      <c r="A4963" s="7">
        <v>300228</v>
      </c>
      <c r="B4963" s="7" t="s">
        <v>4970</v>
      </c>
      <c r="C4963" s="7" t="s">
        <v>7037</v>
      </c>
      <c r="D4963" s="7" t="s">
        <v>6295</v>
      </c>
      <c r="E4963" s="7" t="s">
        <v>7036</v>
      </c>
      <c r="F4963" s="7" t="s">
        <v>6353</v>
      </c>
      <c r="G4963" s="7" t="s">
        <v>7150</v>
      </c>
      <c r="H4963" s="7" t="s">
        <v>7156</v>
      </c>
      <c r="I4963" s="7"/>
      <c r="J4963" s="10">
        <v>44245</v>
      </c>
      <c r="K4963" s="7" t="s">
        <v>7165</v>
      </c>
      <c r="L4963" s="7"/>
      <c r="M4963" s="7"/>
    </row>
    <row r="4964" spans="1:13" x14ac:dyDescent="0.3">
      <c r="A4964" s="7">
        <v>300202</v>
      </c>
      <c r="B4964" s="7" t="s">
        <v>4971</v>
      </c>
      <c r="C4964" s="7" t="s">
        <v>7037</v>
      </c>
      <c r="D4964" s="7" t="s">
        <v>6295</v>
      </c>
      <c r="E4964" s="7" t="s">
        <v>7036</v>
      </c>
      <c r="F4964" s="7" t="s">
        <v>6353</v>
      </c>
      <c r="G4964" s="7" t="s">
        <v>7150</v>
      </c>
      <c r="H4964" s="7" t="s">
        <v>7156</v>
      </c>
      <c r="I4964" s="7"/>
      <c r="J4964" s="10">
        <v>44006</v>
      </c>
      <c r="K4964" s="7" t="s">
        <v>7165</v>
      </c>
      <c r="L4964" s="7"/>
      <c r="M4964" s="7"/>
    </row>
    <row r="4965" spans="1:13" x14ac:dyDescent="0.3">
      <c r="A4965" s="7">
        <v>300234</v>
      </c>
      <c r="B4965" s="7" t="s">
        <v>4972</v>
      </c>
      <c r="C4965" s="7" t="s">
        <v>7037</v>
      </c>
      <c r="D4965" s="7" t="s">
        <v>6295</v>
      </c>
      <c r="E4965" s="7" t="s">
        <v>7036</v>
      </c>
      <c r="F4965" s="7" t="s">
        <v>6353</v>
      </c>
      <c r="G4965" s="7" t="s">
        <v>7151</v>
      </c>
      <c r="H4965" s="7" t="s">
        <v>7156</v>
      </c>
      <c r="I4965" s="7"/>
      <c r="J4965" s="10">
        <v>44414</v>
      </c>
      <c r="K4965" s="7" t="s">
        <v>7165</v>
      </c>
      <c r="L4965" s="7"/>
      <c r="M4965" s="7"/>
    </row>
    <row r="4966" spans="1:13" x14ac:dyDescent="0.3">
      <c r="A4966" s="7">
        <v>190050</v>
      </c>
      <c r="B4966" s="7" t="s">
        <v>4973</v>
      </c>
      <c r="C4966" s="7" t="s">
        <v>7037</v>
      </c>
      <c r="D4966" s="7" t="s">
        <v>6295</v>
      </c>
      <c r="E4966" s="7" t="s">
        <v>7036</v>
      </c>
      <c r="F4966" s="7" t="s">
        <v>7038</v>
      </c>
      <c r="G4966" s="7" t="s">
        <v>7150</v>
      </c>
      <c r="H4966" s="7" t="s">
        <v>7157</v>
      </c>
      <c r="I4966" s="7"/>
      <c r="J4966" s="10">
        <v>44546</v>
      </c>
      <c r="K4966" s="7" t="s">
        <v>7165</v>
      </c>
      <c r="L4966" s="7"/>
      <c r="M4966" s="7"/>
    </row>
    <row r="4967" spans="1:13" x14ac:dyDescent="0.3">
      <c r="A4967" s="7">
        <v>220018</v>
      </c>
      <c r="B4967" s="7" t="s">
        <v>4974</v>
      </c>
      <c r="C4967" s="7" t="s">
        <v>7037</v>
      </c>
      <c r="D4967" s="7" t="s">
        <v>6295</v>
      </c>
      <c r="E4967" s="7" t="s">
        <v>6940</v>
      </c>
      <c r="F4967" s="7" t="s">
        <v>6498</v>
      </c>
      <c r="G4967" s="7" t="s">
        <v>7150</v>
      </c>
      <c r="H4967" s="7" t="s">
        <v>7156</v>
      </c>
      <c r="I4967" s="7"/>
      <c r="J4967" s="10">
        <v>38628</v>
      </c>
      <c r="K4967" s="7" t="s">
        <v>7165</v>
      </c>
      <c r="L4967" s="7"/>
      <c r="M4967" s="7"/>
    </row>
    <row r="4968" spans="1:13" x14ac:dyDescent="0.3">
      <c r="A4968" s="7">
        <v>14597</v>
      </c>
      <c r="B4968" s="7" t="s">
        <v>4975</v>
      </c>
      <c r="C4968" s="7" t="s">
        <v>7037</v>
      </c>
      <c r="D4968" s="7" t="s">
        <v>6295</v>
      </c>
      <c r="E4968" s="7" t="s">
        <v>6940</v>
      </c>
      <c r="F4968" s="7" t="s">
        <v>6991</v>
      </c>
      <c r="G4968" s="7" t="s">
        <v>7150</v>
      </c>
      <c r="H4968" s="7" t="s">
        <v>7156</v>
      </c>
      <c r="I4968" s="7"/>
      <c r="J4968" s="10">
        <v>44816</v>
      </c>
      <c r="K4968" s="7" t="s">
        <v>7165</v>
      </c>
      <c r="L4968" s="7"/>
      <c r="M4968" s="7"/>
    </row>
    <row r="4969" spans="1:13" x14ac:dyDescent="0.3">
      <c r="A4969" s="7">
        <v>133013</v>
      </c>
      <c r="B4969" s="7" t="s">
        <v>4976</v>
      </c>
      <c r="C4969" s="7" t="s">
        <v>7037</v>
      </c>
      <c r="D4969" s="7" t="s">
        <v>6295</v>
      </c>
      <c r="E4969" s="7" t="s">
        <v>6940</v>
      </c>
      <c r="F4969" s="7" t="s">
        <v>6991</v>
      </c>
      <c r="G4969" s="7" t="s">
        <v>7150</v>
      </c>
      <c r="H4969" s="7" t="s">
        <v>7156</v>
      </c>
      <c r="I4969" s="7"/>
      <c r="J4969" s="10">
        <v>43630</v>
      </c>
      <c r="K4969" s="7" t="s">
        <v>7165</v>
      </c>
      <c r="L4969" s="7"/>
      <c r="M4969" s="7"/>
    </row>
    <row r="4970" spans="1:13" x14ac:dyDescent="0.3">
      <c r="A4970" s="7">
        <v>15012</v>
      </c>
      <c r="B4970" s="7" t="s">
        <v>4977</v>
      </c>
      <c r="C4970" s="7" t="s">
        <v>7037</v>
      </c>
      <c r="D4970" s="7" t="s">
        <v>6295</v>
      </c>
      <c r="E4970" s="7" t="s">
        <v>6940</v>
      </c>
      <c r="F4970" s="7" t="s">
        <v>6979</v>
      </c>
      <c r="G4970" s="7" t="s">
        <v>7150</v>
      </c>
      <c r="H4970" s="7" t="s">
        <v>7156</v>
      </c>
      <c r="I4970" s="7"/>
      <c r="J4970" s="10">
        <v>44915</v>
      </c>
      <c r="K4970" s="7" t="s">
        <v>7165</v>
      </c>
      <c r="L4970" s="7"/>
      <c r="M4970" s="7"/>
    </row>
    <row r="4971" spans="1:13" x14ac:dyDescent="0.3">
      <c r="A4971" s="7">
        <v>17676</v>
      </c>
      <c r="B4971" s="7" t="s">
        <v>4978</v>
      </c>
      <c r="C4971" s="7" t="s">
        <v>7037</v>
      </c>
      <c r="D4971" s="7" t="s">
        <v>6295</v>
      </c>
      <c r="E4971" s="7" t="s">
        <v>6940</v>
      </c>
      <c r="F4971" s="7" t="s">
        <v>6988</v>
      </c>
      <c r="G4971" s="7" t="s">
        <v>7150</v>
      </c>
      <c r="H4971" s="7" t="s">
        <v>7156</v>
      </c>
      <c r="I4971" s="7"/>
      <c r="J4971" s="10">
        <v>45841</v>
      </c>
      <c r="K4971" s="7" t="s">
        <v>7165</v>
      </c>
      <c r="L4971" s="7"/>
      <c r="M4971" s="7"/>
    </row>
    <row r="4972" spans="1:13" x14ac:dyDescent="0.3">
      <c r="A4972" s="7">
        <v>300176</v>
      </c>
      <c r="B4972" s="7" t="s">
        <v>4979</v>
      </c>
      <c r="C4972" s="7" t="s">
        <v>7037</v>
      </c>
      <c r="D4972" s="7" t="s">
        <v>6295</v>
      </c>
      <c r="E4972" s="7" t="s">
        <v>6940</v>
      </c>
      <c r="F4972" s="7" t="s">
        <v>6980</v>
      </c>
      <c r="G4972" s="7" t="s">
        <v>7150</v>
      </c>
      <c r="H4972" s="7" t="s">
        <v>7156</v>
      </c>
      <c r="I4972" s="7"/>
      <c r="J4972" s="10">
        <v>43721</v>
      </c>
      <c r="K4972" s="7" t="s">
        <v>7165</v>
      </c>
      <c r="L4972" s="7"/>
      <c r="M4972" s="7"/>
    </row>
    <row r="4973" spans="1:13" x14ac:dyDescent="0.3">
      <c r="A4973" s="7">
        <v>14797</v>
      </c>
      <c r="B4973" s="7" t="s">
        <v>4980</v>
      </c>
      <c r="C4973" s="7" t="s">
        <v>7037</v>
      </c>
      <c r="D4973" s="7" t="s">
        <v>6295</v>
      </c>
      <c r="E4973" s="7" t="s">
        <v>6940</v>
      </c>
      <c r="F4973" s="7" t="s">
        <v>6986</v>
      </c>
      <c r="G4973" s="7" t="s">
        <v>7150</v>
      </c>
      <c r="H4973" s="7" t="s">
        <v>7156</v>
      </c>
      <c r="I4973" s="7"/>
      <c r="J4973" s="10">
        <v>44858</v>
      </c>
      <c r="K4973" s="7" t="s">
        <v>7165</v>
      </c>
      <c r="L4973" s="7"/>
      <c r="M4973" s="7"/>
    </row>
    <row r="4974" spans="1:13" x14ac:dyDescent="0.3">
      <c r="A4974" s="7">
        <v>120037</v>
      </c>
      <c r="B4974" s="7" t="s">
        <v>4981</v>
      </c>
      <c r="C4974" s="7" t="s">
        <v>7037</v>
      </c>
      <c r="D4974" s="7" t="s">
        <v>6295</v>
      </c>
      <c r="E4974" s="7" t="s">
        <v>6940</v>
      </c>
      <c r="F4974" s="7" t="s">
        <v>6986</v>
      </c>
      <c r="G4974" s="7" t="s">
        <v>7150</v>
      </c>
      <c r="H4974" s="7" t="s">
        <v>7156</v>
      </c>
      <c r="I4974" s="7"/>
      <c r="J4974" s="10">
        <v>42900</v>
      </c>
      <c r="K4974" s="7" t="s">
        <v>7165</v>
      </c>
      <c r="L4974" s="7"/>
      <c r="M4974" s="7"/>
    </row>
    <row r="4975" spans="1:13" x14ac:dyDescent="0.3">
      <c r="A4975" s="7">
        <v>14395</v>
      </c>
      <c r="B4975" s="7" t="s">
        <v>4982</v>
      </c>
      <c r="C4975" s="7" t="s">
        <v>7037</v>
      </c>
      <c r="D4975" s="7" t="s">
        <v>6295</v>
      </c>
      <c r="E4975" s="7" t="s">
        <v>6940</v>
      </c>
      <c r="F4975" s="7" t="s">
        <v>6986</v>
      </c>
      <c r="G4975" s="7" t="s">
        <v>7150</v>
      </c>
      <c r="H4975" s="7" t="s">
        <v>7156</v>
      </c>
      <c r="I4975" s="7"/>
      <c r="J4975" s="10">
        <v>44746</v>
      </c>
      <c r="K4975" s="7" t="s">
        <v>7165</v>
      </c>
      <c r="L4975" s="7"/>
      <c r="M4975" s="7"/>
    </row>
    <row r="4976" spans="1:13" x14ac:dyDescent="0.3">
      <c r="A4976" s="7">
        <v>15620</v>
      </c>
      <c r="B4976" s="7" t="s">
        <v>4983</v>
      </c>
      <c r="C4976" s="7" t="s">
        <v>7037</v>
      </c>
      <c r="D4976" s="7" t="s">
        <v>6295</v>
      </c>
      <c r="E4976" s="7" t="s">
        <v>6940</v>
      </c>
      <c r="F4976" s="7" t="s">
        <v>6986</v>
      </c>
      <c r="G4976" s="7" t="s">
        <v>7150</v>
      </c>
      <c r="H4976" s="7" t="s">
        <v>7156</v>
      </c>
      <c r="I4976" s="7"/>
      <c r="J4976" s="10">
        <v>45141</v>
      </c>
      <c r="K4976" s="7" t="s">
        <v>7165</v>
      </c>
      <c r="L4976" s="7"/>
      <c r="M4976" s="7"/>
    </row>
    <row r="4977" spans="1:13" x14ac:dyDescent="0.3">
      <c r="A4977" s="7">
        <v>16416</v>
      </c>
      <c r="B4977" s="7" t="s">
        <v>4984</v>
      </c>
      <c r="C4977" s="7" t="s">
        <v>7037</v>
      </c>
      <c r="D4977" s="7" t="s">
        <v>6295</v>
      </c>
      <c r="E4977" s="7" t="s">
        <v>6940</v>
      </c>
      <c r="F4977" s="7" t="s">
        <v>6989</v>
      </c>
      <c r="G4977" s="7" t="s">
        <v>7150</v>
      </c>
      <c r="H4977" s="7" t="s">
        <v>7156</v>
      </c>
      <c r="I4977" s="7"/>
      <c r="J4977" s="10">
        <v>45385</v>
      </c>
      <c r="K4977" s="7" t="s">
        <v>7165</v>
      </c>
      <c r="L4977" s="7"/>
      <c r="M4977" s="7"/>
    </row>
    <row r="4978" spans="1:13" x14ac:dyDescent="0.3">
      <c r="A4978" s="7">
        <v>17904</v>
      </c>
      <c r="B4978" s="7" t="s">
        <v>4985</v>
      </c>
      <c r="C4978" s="7" t="s">
        <v>7037</v>
      </c>
      <c r="D4978" s="7" t="s">
        <v>6295</v>
      </c>
      <c r="E4978" s="7" t="s">
        <v>6940</v>
      </c>
      <c r="F4978" s="7" t="s">
        <v>6989</v>
      </c>
      <c r="G4978" s="7" t="s">
        <v>7150</v>
      </c>
      <c r="H4978" s="7" t="s">
        <v>7156</v>
      </c>
      <c r="I4978" s="7"/>
      <c r="J4978" s="10">
        <v>45908</v>
      </c>
      <c r="K4978" s="7" t="s">
        <v>7165</v>
      </c>
      <c r="L4978" s="7"/>
      <c r="M4978" s="7"/>
    </row>
    <row r="4979" spans="1:13" x14ac:dyDescent="0.3">
      <c r="A4979" s="7">
        <v>17607</v>
      </c>
      <c r="B4979" s="7" t="s">
        <v>4986</v>
      </c>
      <c r="C4979" s="7" t="s">
        <v>7037</v>
      </c>
      <c r="D4979" s="7" t="s">
        <v>6295</v>
      </c>
      <c r="E4979" s="7" t="s">
        <v>6951</v>
      </c>
      <c r="F4979" s="7" t="s">
        <v>6398</v>
      </c>
      <c r="G4979" s="7" t="s">
        <v>7150</v>
      </c>
      <c r="H4979" s="7" t="s">
        <v>7156</v>
      </c>
      <c r="I4979" s="7"/>
      <c r="J4979" s="10">
        <v>45812</v>
      </c>
      <c r="K4979" s="7" t="s">
        <v>7165</v>
      </c>
      <c r="L4979" s="7"/>
      <c r="M4979" s="7"/>
    </row>
    <row r="4980" spans="1:13" x14ac:dyDescent="0.3">
      <c r="A4980" s="7">
        <v>300155</v>
      </c>
      <c r="B4980" s="7" t="s">
        <v>4987</v>
      </c>
      <c r="C4980" s="7" t="s">
        <v>7037</v>
      </c>
      <c r="D4980" s="7" t="s">
        <v>6295</v>
      </c>
      <c r="E4980" s="7" t="s">
        <v>6951</v>
      </c>
      <c r="F4980" s="7" t="s">
        <v>6398</v>
      </c>
      <c r="G4980" s="7" t="s">
        <v>7150</v>
      </c>
      <c r="H4980" s="7" t="s">
        <v>7156</v>
      </c>
      <c r="I4980" s="7"/>
      <c r="J4980" s="10">
        <v>43500</v>
      </c>
      <c r="K4980" s="7" t="s">
        <v>7165</v>
      </c>
      <c r="L4980" s="7"/>
      <c r="M4980" s="7"/>
    </row>
    <row r="4981" spans="1:13" x14ac:dyDescent="0.3">
      <c r="A4981" s="7">
        <v>11289</v>
      </c>
      <c r="B4981" s="7" t="s">
        <v>4988</v>
      </c>
      <c r="C4981" s="7" t="s">
        <v>7039</v>
      </c>
      <c r="D4981" s="7" t="s">
        <v>6295</v>
      </c>
      <c r="E4981" s="7" t="s">
        <v>6295</v>
      </c>
      <c r="F4981" s="7" t="s">
        <v>6939</v>
      </c>
      <c r="G4981" s="7" t="s">
        <v>7150</v>
      </c>
      <c r="H4981" s="7" t="s">
        <v>7156</v>
      </c>
      <c r="I4981" s="7"/>
      <c r="J4981" s="10">
        <v>42494</v>
      </c>
      <c r="K4981" s="7" t="s">
        <v>7165</v>
      </c>
      <c r="L4981" s="7"/>
      <c r="M4981" s="7"/>
    </row>
    <row r="4982" spans="1:13" x14ac:dyDescent="0.3">
      <c r="A4982" s="7">
        <v>800012</v>
      </c>
      <c r="B4982" s="7" t="s">
        <v>4989</v>
      </c>
      <c r="C4982" s="7" t="s">
        <v>7039</v>
      </c>
      <c r="D4982" s="7" t="s">
        <v>6295</v>
      </c>
      <c r="E4982" s="7" t="s">
        <v>6940</v>
      </c>
      <c r="F4982" s="7" t="s">
        <v>6941</v>
      </c>
      <c r="G4982" s="7" t="s">
        <v>7150</v>
      </c>
      <c r="H4982" s="7" t="s">
        <v>7156</v>
      </c>
      <c r="I4982" s="7"/>
      <c r="J4982" s="10">
        <v>36696</v>
      </c>
      <c r="K4982" s="7" t="s">
        <v>7165</v>
      </c>
      <c r="L4982" s="7"/>
      <c r="M4982" s="7"/>
    </row>
    <row r="4983" spans="1:13" x14ac:dyDescent="0.3">
      <c r="A4983" s="7">
        <v>300163</v>
      </c>
      <c r="B4983" s="7" t="s">
        <v>4990</v>
      </c>
      <c r="C4983" s="7" t="s">
        <v>7039</v>
      </c>
      <c r="D4983" s="7" t="s">
        <v>6295</v>
      </c>
      <c r="E4983" s="7" t="s">
        <v>6940</v>
      </c>
      <c r="F4983" s="7" t="s">
        <v>6991</v>
      </c>
      <c r="G4983" s="7" t="s">
        <v>7150</v>
      </c>
      <c r="H4983" s="7" t="s">
        <v>7156</v>
      </c>
      <c r="I4983" s="7"/>
      <c r="J4983" s="10">
        <v>43566</v>
      </c>
      <c r="K4983" s="7" t="s">
        <v>7165</v>
      </c>
      <c r="L4983" s="7"/>
      <c r="M4983" s="7"/>
    </row>
    <row r="4984" spans="1:13" x14ac:dyDescent="0.3">
      <c r="A4984" s="7">
        <v>16248</v>
      </c>
      <c r="B4984" s="7" t="s">
        <v>4991</v>
      </c>
      <c r="C4984" s="7" t="s">
        <v>7039</v>
      </c>
      <c r="D4984" s="7" t="s">
        <v>6295</v>
      </c>
      <c r="E4984" s="7" t="s">
        <v>6940</v>
      </c>
      <c r="F4984" s="7" t="s">
        <v>6988</v>
      </c>
      <c r="G4984" s="7" t="s">
        <v>7150</v>
      </c>
      <c r="H4984" s="7" t="s">
        <v>7156</v>
      </c>
      <c r="I4984" s="7"/>
      <c r="J4984" s="10">
        <v>45337</v>
      </c>
      <c r="K4984" s="7" t="s">
        <v>7165</v>
      </c>
      <c r="L4984" s="7"/>
      <c r="M4984" s="7"/>
    </row>
    <row r="4985" spans="1:13" x14ac:dyDescent="0.3">
      <c r="A4985" s="7">
        <v>14604</v>
      </c>
      <c r="B4985" s="7" t="s">
        <v>4992</v>
      </c>
      <c r="C4985" s="7" t="s">
        <v>7039</v>
      </c>
      <c r="D4985" s="7" t="s">
        <v>6295</v>
      </c>
      <c r="E4985" s="7" t="s">
        <v>6940</v>
      </c>
      <c r="F4985" s="7" t="s">
        <v>6949</v>
      </c>
      <c r="G4985" s="7" t="s">
        <v>7150</v>
      </c>
      <c r="H4985" s="7" t="s">
        <v>7156</v>
      </c>
      <c r="I4985" s="7"/>
      <c r="J4985" s="10">
        <v>44797</v>
      </c>
      <c r="K4985" s="7" t="s">
        <v>7165</v>
      </c>
      <c r="L4985" s="7"/>
      <c r="M4985" s="7"/>
    </row>
    <row r="4986" spans="1:13" x14ac:dyDescent="0.3">
      <c r="A4986" s="7">
        <v>18036</v>
      </c>
      <c r="B4986" s="7" t="s">
        <v>4993</v>
      </c>
      <c r="C4986" s="7" t="s">
        <v>7039</v>
      </c>
      <c r="D4986" s="7" t="s">
        <v>6295</v>
      </c>
      <c r="E4986" s="7" t="s">
        <v>6940</v>
      </c>
      <c r="F4986" s="7" t="s">
        <v>6949</v>
      </c>
      <c r="G4986" s="7" t="s">
        <v>7150</v>
      </c>
      <c r="H4986" s="7" t="s">
        <v>7156</v>
      </c>
      <c r="I4986" s="7"/>
      <c r="J4986" s="10">
        <v>45974</v>
      </c>
      <c r="K4986" s="7" t="s">
        <v>7165</v>
      </c>
      <c r="L4986" s="7"/>
      <c r="M4986" s="7"/>
    </row>
    <row r="4987" spans="1:13" x14ac:dyDescent="0.3">
      <c r="A4987" s="7">
        <v>180062</v>
      </c>
      <c r="B4987" s="7" t="s">
        <v>4994</v>
      </c>
      <c r="C4987" s="7" t="s">
        <v>7039</v>
      </c>
      <c r="D4987" s="7" t="s">
        <v>6295</v>
      </c>
      <c r="E4987" s="7" t="s">
        <v>6940</v>
      </c>
      <c r="F4987" s="7" t="s">
        <v>6989</v>
      </c>
      <c r="G4987" s="7" t="s">
        <v>7151</v>
      </c>
      <c r="H4987" s="7" t="s">
        <v>7156</v>
      </c>
      <c r="I4987" s="7"/>
      <c r="J4987" s="10">
        <v>44462</v>
      </c>
      <c r="K4987" s="7" t="s">
        <v>7165</v>
      </c>
      <c r="L4987" s="7"/>
      <c r="M4987" s="7"/>
    </row>
    <row r="4988" spans="1:13" x14ac:dyDescent="0.3">
      <c r="A4988" s="7">
        <v>18140</v>
      </c>
      <c r="B4988" s="7" t="s">
        <v>4995</v>
      </c>
      <c r="C4988" s="7" t="s">
        <v>7039</v>
      </c>
      <c r="D4988" s="7" t="s">
        <v>6295</v>
      </c>
      <c r="E4988" s="7" t="s">
        <v>6940</v>
      </c>
      <c r="F4988" s="7" t="s">
        <v>7021</v>
      </c>
      <c r="G4988" s="7" t="s">
        <v>7150</v>
      </c>
      <c r="H4988" s="7" t="s">
        <v>7157</v>
      </c>
      <c r="I4988" s="7"/>
      <c r="J4988" s="10">
        <v>46009</v>
      </c>
      <c r="K4988" s="7" t="s">
        <v>7165</v>
      </c>
      <c r="L4988" s="7"/>
      <c r="M4988" s="7"/>
    </row>
    <row r="4989" spans="1:13" x14ac:dyDescent="0.3">
      <c r="A4989" s="7">
        <v>150037</v>
      </c>
      <c r="B4989" s="7" t="s">
        <v>4996</v>
      </c>
      <c r="C4989" s="7" t="s">
        <v>7039</v>
      </c>
      <c r="D4989" s="7" t="s">
        <v>6295</v>
      </c>
      <c r="E4989" s="7" t="s">
        <v>6940</v>
      </c>
      <c r="F4989" s="7" t="s">
        <v>6980</v>
      </c>
      <c r="G4989" s="7" t="s">
        <v>7150</v>
      </c>
      <c r="H4989" s="7" t="s">
        <v>7156</v>
      </c>
      <c r="I4989" s="7"/>
      <c r="J4989" s="10">
        <v>43669</v>
      </c>
      <c r="K4989" s="7" t="s">
        <v>7165</v>
      </c>
      <c r="L4989" s="7"/>
      <c r="M4989" s="7"/>
    </row>
    <row r="4990" spans="1:13" x14ac:dyDescent="0.3">
      <c r="A4990" s="7">
        <v>410041</v>
      </c>
      <c r="B4990" s="7" t="s">
        <v>4997</v>
      </c>
      <c r="C4990" s="7" t="s">
        <v>7039</v>
      </c>
      <c r="D4990" s="7" t="s">
        <v>6295</v>
      </c>
      <c r="E4990" s="7" t="s">
        <v>6940</v>
      </c>
      <c r="F4990" s="7" t="s">
        <v>6980</v>
      </c>
      <c r="G4990" s="7" t="s">
        <v>7150</v>
      </c>
      <c r="H4990" s="7" t="s">
        <v>7156</v>
      </c>
      <c r="I4990" s="7"/>
      <c r="J4990" s="10">
        <v>42142</v>
      </c>
      <c r="K4990" s="7" t="s">
        <v>7165</v>
      </c>
      <c r="L4990" s="7"/>
      <c r="M4990" s="7"/>
    </row>
    <row r="4991" spans="1:13" x14ac:dyDescent="0.3">
      <c r="A4991" s="7">
        <v>14665</v>
      </c>
      <c r="B4991" s="7" t="s">
        <v>4998</v>
      </c>
      <c r="C4991" s="7" t="s">
        <v>7039</v>
      </c>
      <c r="D4991" s="7" t="s">
        <v>6295</v>
      </c>
      <c r="E4991" s="7" t="s">
        <v>6940</v>
      </c>
      <c r="F4991" s="7" t="s">
        <v>6986</v>
      </c>
      <c r="G4991" s="7" t="s">
        <v>7150</v>
      </c>
      <c r="H4991" s="7" t="s">
        <v>7156</v>
      </c>
      <c r="I4991" s="7"/>
      <c r="J4991" s="10">
        <v>44818</v>
      </c>
      <c r="K4991" s="7" t="s">
        <v>7165</v>
      </c>
      <c r="L4991" s="7"/>
      <c r="M4991" s="7"/>
    </row>
    <row r="4992" spans="1:13" x14ac:dyDescent="0.3">
      <c r="A4992" s="7">
        <v>15080</v>
      </c>
      <c r="B4992" s="7" t="s">
        <v>4999</v>
      </c>
      <c r="C4992" s="7" t="s">
        <v>7039</v>
      </c>
      <c r="D4992" s="7" t="s">
        <v>6295</v>
      </c>
      <c r="E4992" s="7" t="s">
        <v>6940</v>
      </c>
      <c r="F4992" s="7" t="s">
        <v>6986</v>
      </c>
      <c r="G4992" s="7" t="s">
        <v>7150</v>
      </c>
      <c r="H4992" s="7" t="s">
        <v>7156</v>
      </c>
      <c r="I4992" s="7"/>
      <c r="J4992" s="10">
        <v>44942</v>
      </c>
      <c r="K4992" s="7" t="s">
        <v>7165</v>
      </c>
      <c r="L4992" s="7"/>
      <c r="M4992" s="7"/>
    </row>
    <row r="4993" spans="1:13" x14ac:dyDescent="0.3">
      <c r="A4993" s="7">
        <v>860025</v>
      </c>
      <c r="B4993" s="7" t="s">
        <v>5000</v>
      </c>
      <c r="C4993" s="7" t="s">
        <v>7039</v>
      </c>
      <c r="D4993" s="7" t="s">
        <v>6295</v>
      </c>
      <c r="E4993" s="7" t="s">
        <v>6940</v>
      </c>
      <c r="F4993" s="7" t="s">
        <v>6980</v>
      </c>
      <c r="G4993" s="7" t="s">
        <v>7150</v>
      </c>
      <c r="H4993" s="7" t="s">
        <v>7156</v>
      </c>
      <c r="I4993" s="7"/>
      <c r="J4993" s="10">
        <v>44295</v>
      </c>
      <c r="K4993" s="7" t="s">
        <v>7165</v>
      </c>
      <c r="L4993" s="7"/>
      <c r="M4993" s="7"/>
    </row>
    <row r="4994" spans="1:13" x14ac:dyDescent="0.3">
      <c r="A4994" s="7">
        <v>15731</v>
      </c>
      <c r="B4994" s="7" t="s">
        <v>5001</v>
      </c>
      <c r="C4994" s="7" t="s">
        <v>7039</v>
      </c>
      <c r="D4994" s="7" t="s">
        <v>6295</v>
      </c>
      <c r="E4994" s="7" t="s">
        <v>6940</v>
      </c>
      <c r="F4994" s="7" t="s">
        <v>6986</v>
      </c>
      <c r="G4994" s="7" t="s">
        <v>7150</v>
      </c>
      <c r="H4994" s="7" t="s">
        <v>7156</v>
      </c>
      <c r="I4994" s="7"/>
      <c r="J4994" s="10">
        <v>45177</v>
      </c>
      <c r="K4994" s="7" t="s">
        <v>7165</v>
      </c>
      <c r="L4994" s="7"/>
      <c r="M4994" s="7"/>
    </row>
    <row r="4995" spans="1:13" x14ac:dyDescent="0.3">
      <c r="A4995" s="7">
        <v>14238</v>
      </c>
      <c r="B4995" s="7" t="s">
        <v>5002</v>
      </c>
      <c r="C4995" s="7" t="s">
        <v>7039</v>
      </c>
      <c r="D4995" s="7" t="s">
        <v>6295</v>
      </c>
      <c r="E4995" s="7" t="s">
        <v>6940</v>
      </c>
      <c r="F4995" s="7" t="s">
        <v>6986</v>
      </c>
      <c r="G4995" s="7" t="s">
        <v>7150</v>
      </c>
      <c r="H4995" s="7" t="s">
        <v>7156</v>
      </c>
      <c r="I4995" s="7"/>
      <c r="J4995" s="10">
        <v>44701</v>
      </c>
      <c r="K4995" s="7" t="s">
        <v>7165</v>
      </c>
      <c r="L4995" s="7"/>
      <c r="M4995" s="7"/>
    </row>
    <row r="4996" spans="1:13" x14ac:dyDescent="0.3">
      <c r="A4996" s="7">
        <v>18556</v>
      </c>
      <c r="B4996" s="7" t="s">
        <v>5003</v>
      </c>
      <c r="C4996" s="7" t="s">
        <v>7039</v>
      </c>
      <c r="D4996" s="7" t="s">
        <v>6295</v>
      </c>
      <c r="E4996" s="7" t="s">
        <v>6940</v>
      </c>
      <c r="F4996" s="7" t="s">
        <v>7013</v>
      </c>
      <c r="G4996" s="7" t="s">
        <v>7150</v>
      </c>
      <c r="H4996" s="7" t="s">
        <v>7156</v>
      </c>
      <c r="I4996" s="7"/>
      <c r="J4996" s="10">
        <v>46155</v>
      </c>
      <c r="K4996" s="7" t="s">
        <v>7165</v>
      </c>
      <c r="L4996" s="7"/>
      <c r="M4996" s="7"/>
    </row>
    <row r="4997" spans="1:13" x14ac:dyDescent="0.3">
      <c r="A4997" s="7">
        <v>16965</v>
      </c>
      <c r="B4997" s="7" t="s">
        <v>5004</v>
      </c>
      <c r="C4997" s="7" t="s">
        <v>7039</v>
      </c>
      <c r="D4997" s="7" t="s">
        <v>6295</v>
      </c>
      <c r="E4997" s="7" t="s">
        <v>6940</v>
      </c>
      <c r="F4997" s="7" t="s">
        <v>6987</v>
      </c>
      <c r="G4997" s="7" t="s">
        <v>7150</v>
      </c>
      <c r="H4997" s="7" t="s">
        <v>7156</v>
      </c>
      <c r="I4997" s="7"/>
      <c r="J4997" s="10">
        <v>45580</v>
      </c>
      <c r="K4997" s="7" t="s">
        <v>7165</v>
      </c>
      <c r="L4997" s="7"/>
      <c r="M4997" s="7"/>
    </row>
    <row r="4998" spans="1:13" x14ac:dyDescent="0.3">
      <c r="A4998" s="7">
        <v>16335</v>
      </c>
      <c r="B4998" s="7" t="s">
        <v>5005</v>
      </c>
      <c r="C4998" s="7" t="s">
        <v>7039</v>
      </c>
      <c r="D4998" s="7" t="s">
        <v>6295</v>
      </c>
      <c r="E4998" s="7" t="s">
        <v>6940</v>
      </c>
      <c r="F4998" s="7" t="s">
        <v>6987</v>
      </c>
      <c r="G4998" s="7" t="s">
        <v>7150</v>
      </c>
      <c r="H4998" s="7" t="s">
        <v>7156</v>
      </c>
      <c r="I4998" s="7"/>
      <c r="J4998" s="10">
        <v>45356</v>
      </c>
      <c r="K4998" s="7" t="s">
        <v>7165</v>
      </c>
      <c r="L4998" s="7"/>
      <c r="M4998" s="7"/>
    </row>
    <row r="4999" spans="1:13" x14ac:dyDescent="0.3">
      <c r="A4999" s="7">
        <v>205001</v>
      </c>
      <c r="B4999" s="7" t="s">
        <v>5006</v>
      </c>
      <c r="C4999" s="7" t="s">
        <v>7039</v>
      </c>
      <c r="D4999" s="7" t="s">
        <v>6295</v>
      </c>
      <c r="E4999" s="7" t="s">
        <v>6951</v>
      </c>
      <c r="F4999" s="7" t="s">
        <v>6398</v>
      </c>
      <c r="G4999" s="7" t="s">
        <v>7150</v>
      </c>
      <c r="H4999" s="7" t="s">
        <v>7156</v>
      </c>
      <c r="I4999" s="7"/>
      <c r="J4999" s="10">
        <v>43488</v>
      </c>
      <c r="K4999" s="7" t="s">
        <v>7165</v>
      </c>
      <c r="L4999" s="7"/>
      <c r="M4999" s="7"/>
    </row>
    <row r="5000" spans="1:13" x14ac:dyDescent="0.3">
      <c r="A5000" s="7">
        <v>230036</v>
      </c>
      <c r="B5000" s="7" t="s">
        <v>5007</v>
      </c>
      <c r="C5000" s="7" t="s">
        <v>7040</v>
      </c>
      <c r="D5000" s="7" t="s">
        <v>6295</v>
      </c>
      <c r="E5000" s="7" t="s">
        <v>6295</v>
      </c>
      <c r="F5000" s="7" t="s">
        <v>6939</v>
      </c>
      <c r="G5000" s="7" t="s">
        <v>7150</v>
      </c>
      <c r="H5000" s="7" t="s">
        <v>7156</v>
      </c>
      <c r="I5000" s="7"/>
      <c r="J5000" s="10">
        <v>43199</v>
      </c>
      <c r="K5000" s="7" t="s">
        <v>7165</v>
      </c>
      <c r="L5000" s="7"/>
      <c r="M5000" s="7"/>
    </row>
    <row r="5001" spans="1:13" x14ac:dyDescent="0.3">
      <c r="A5001" s="7">
        <v>15645</v>
      </c>
      <c r="B5001" s="7" t="s">
        <v>5008</v>
      </c>
      <c r="C5001" s="7" t="s">
        <v>7040</v>
      </c>
      <c r="D5001" s="7" t="s">
        <v>6295</v>
      </c>
      <c r="E5001" s="7" t="s">
        <v>6940</v>
      </c>
      <c r="F5001" s="7" t="s">
        <v>6979</v>
      </c>
      <c r="G5001" s="7" t="s">
        <v>7150</v>
      </c>
      <c r="H5001" s="7" t="s">
        <v>7156</v>
      </c>
      <c r="I5001" s="7"/>
      <c r="J5001" s="10">
        <v>45149</v>
      </c>
      <c r="K5001" s="7" t="s">
        <v>7165</v>
      </c>
      <c r="L5001" s="7"/>
      <c r="M5001" s="7"/>
    </row>
    <row r="5002" spans="1:13" x14ac:dyDescent="0.3">
      <c r="A5002" s="7">
        <v>14915</v>
      </c>
      <c r="B5002" s="7" t="s">
        <v>5009</v>
      </c>
      <c r="C5002" s="7" t="s">
        <v>7040</v>
      </c>
      <c r="D5002" s="7" t="s">
        <v>6295</v>
      </c>
      <c r="E5002" s="7" t="s">
        <v>6940</v>
      </c>
      <c r="F5002" s="7" t="s">
        <v>6988</v>
      </c>
      <c r="G5002" s="7" t="s">
        <v>7151</v>
      </c>
      <c r="H5002" s="7" t="s">
        <v>7156</v>
      </c>
      <c r="I5002" s="7"/>
      <c r="J5002" s="10">
        <v>44889</v>
      </c>
      <c r="K5002" s="7" t="s">
        <v>7165</v>
      </c>
      <c r="L5002" s="7"/>
      <c r="M5002" s="7"/>
    </row>
    <row r="5003" spans="1:13" x14ac:dyDescent="0.3">
      <c r="A5003" s="7">
        <v>15026</v>
      </c>
      <c r="B5003" s="7" t="s">
        <v>5010</v>
      </c>
      <c r="C5003" s="7" t="s">
        <v>7040</v>
      </c>
      <c r="D5003" s="7" t="s">
        <v>6295</v>
      </c>
      <c r="E5003" s="7" t="s">
        <v>6940</v>
      </c>
      <c r="F5003" s="7" t="s">
        <v>7008</v>
      </c>
      <c r="G5003" s="7" t="s">
        <v>7150</v>
      </c>
      <c r="H5003" s="7" t="s">
        <v>7157</v>
      </c>
      <c r="I5003" s="7"/>
      <c r="J5003" s="10">
        <v>44921</v>
      </c>
      <c r="K5003" s="7" t="s">
        <v>7165</v>
      </c>
      <c r="L5003" s="7"/>
      <c r="M5003" s="7"/>
    </row>
    <row r="5004" spans="1:13" x14ac:dyDescent="0.3">
      <c r="A5004" s="7">
        <v>300215</v>
      </c>
      <c r="B5004" s="7" t="s">
        <v>5011</v>
      </c>
      <c r="C5004" s="7" t="s">
        <v>7040</v>
      </c>
      <c r="D5004" s="7" t="s">
        <v>6295</v>
      </c>
      <c r="E5004" s="7" t="s">
        <v>6940</v>
      </c>
      <c r="F5004" s="7" t="s">
        <v>6992</v>
      </c>
      <c r="G5004" s="7" t="s">
        <v>7151</v>
      </c>
      <c r="H5004" s="7" t="s">
        <v>7156</v>
      </c>
      <c r="I5004" s="7"/>
      <c r="J5004" s="10">
        <v>44155</v>
      </c>
      <c r="K5004" s="7" t="s">
        <v>7165</v>
      </c>
      <c r="L5004" s="7"/>
      <c r="M5004" s="7"/>
    </row>
    <row r="5005" spans="1:13" x14ac:dyDescent="0.3">
      <c r="A5005" s="7">
        <v>420030</v>
      </c>
      <c r="B5005" s="7" t="s">
        <v>5012</v>
      </c>
      <c r="C5005" s="7" t="s">
        <v>7040</v>
      </c>
      <c r="D5005" s="7" t="s">
        <v>6295</v>
      </c>
      <c r="E5005" s="7" t="s">
        <v>6940</v>
      </c>
      <c r="F5005" s="7" t="s">
        <v>6498</v>
      </c>
      <c r="G5005" s="7" t="s">
        <v>7150</v>
      </c>
      <c r="H5005" s="7" t="s">
        <v>7156</v>
      </c>
      <c r="I5005" s="7"/>
      <c r="J5005" s="10">
        <v>42592</v>
      </c>
      <c r="K5005" s="7" t="s">
        <v>7165</v>
      </c>
      <c r="L5005" s="7"/>
      <c r="M5005" s="7"/>
    </row>
    <row r="5006" spans="1:13" x14ac:dyDescent="0.3">
      <c r="A5006" s="7">
        <v>206004</v>
      </c>
      <c r="B5006" s="7" t="s">
        <v>5013</v>
      </c>
      <c r="C5006" s="7" t="s">
        <v>7040</v>
      </c>
      <c r="D5006" s="7" t="s">
        <v>6295</v>
      </c>
      <c r="E5006" s="7" t="s">
        <v>6940</v>
      </c>
      <c r="F5006" s="7" t="s">
        <v>6980</v>
      </c>
      <c r="G5006" s="7" t="s">
        <v>7150</v>
      </c>
      <c r="H5006" s="7" t="s">
        <v>7156</v>
      </c>
      <c r="I5006" s="7"/>
      <c r="J5006" s="10">
        <v>43710</v>
      </c>
      <c r="K5006" s="7" t="s">
        <v>7165</v>
      </c>
      <c r="L5006" s="7"/>
      <c r="M5006" s="7"/>
    </row>
    <row r="5007" spans="1:13" x14ac:dyDescent="0.3">
      <c r="A5007" s="7">
        <v>110030</v>
      </c>
      <c r="B5007" s="7" t="s">
        <v>5014</v>
      </c>
      <c r="C5007" s="7" t="s">
        <v>7040</v>
      </c>
      <c r="D5007" s="7" t="s">
        <v>6295</v>
      </c>
      <c r="E5007" s="7" t="s">
        <v>6940</v>
      </c>
      <c r="F5007" s="7" t="s">
        <v>6980</v>
      </c>
      <c r="G5007" s="7" t="s">
        <v>7150</v>
      </c>
      <c r="H5007" s="7" t="s">
        <v>7156</v>
      </c>
      <c r="I5007" s="7"/>
      <c r="J5007" s="10">
        <v>44049</v>
      </c>
      <c r="K5007" s="7" t="s">
        <v>7165</v>
      </c>
      <c r="L5007" s="7"/>
      <c r="M5007" s="7"/>
    </row>
    <row r="5008" spans="1:13" x14ac:dyDescent="0.3">
      <c r="A5008" s="7">
        <v>540020</v>
      </c>
      <c r="B5008" s="7" t="s">
        <v>5015</v>
      </c>
      <c r="C5008" s="7" t="s">
        <v>7040</v>
      </c>
      <c r="D5008" s="7" t="s">
        <v>6295</v>
      </c>
      <c r="E5008" s="7" t="s">
        <v>6940</v>
      </c>
      <c r="F5008" s="7" t="s">
        <v>6980</v>
      </c>
      <c r="G5008" s="7" t="s">
        <v>7150</v>
      </c>
      <c r="H5008" s="7" t="s">
        <v>7156</v>
      </c>
      <c r="I5008" s="7"/>
      <c r="J5008" s="10">
        <v>41893</v>
      </c>
      <c r="K5008" s="7" t="s">
        <v>7165</v>
      </c>
      <c r="L5008" s="7"/>
      <c r="M5008" s="7"/>
    </row>
    <row r="5009" spans="1:13" x14ac:dyDescent="0.3">
      <c r="A5009" s="7">
        <v>900013</v>
      </c>
      <c r="B5009" s="7" t="s">
        <v>5016</v>
      </c>
      <c r="C5009" s="7" t="s">
        <v>7040</v>
      </c>
      <c r="D5009" s="7" t="s">
        <v>6295</v>
      </c>
      <c r="E5009" s="7" t="s">
        <v>6940</v>
      </c>
      <c r="F5009" s="7" t="s">
        <v>6986</v>
      </c>
      <c r="G5009" s="7" t="s">
        <v>7150</v>
      </c>
      <c r="H5009" s="7" t="s">
        <v>7156</v>
      </c>
      <c r="I5009" s="7"/>
      <c r="J5009" s="10">
        <v>41030</v>
      </c>
      <c r="K5009" s="7" t="s">
        <v>7165</v>
      </c>
      <c r="L5009" s="7"/>
      <c r="M5009" s="7"/>
    </row>
    <row r="5010" spans="1:13" x14ac:dyDescent="0.3">
      <c r="A5010" s="7">
        <v>230004</v>
      </c>
      <c r="B5010" s="7" t="s">
        <v>5017</v>
      </c>
      <c r="C5010" s="7" t="s">
        <v>7040</v>
      </c>
      <c r="D5010" s="7" t="s">
        <v>6295</v>
      </c>
      <c r="E5010" s="7" t="s">
        <v>6940</v>
      </c>
      <c r="F5010" s="7" t="s">
        <v>6980</v>
      </c>
      <c r="G5010" s="7" t="s">
        <v>7150</v>
      </c>
      <c r="H5010" s="7" t="s">
        <v>7156</v>
      </c>
      <c r="I5010" s="7"/>
      <c r="J5010" s="10">
        <v>39934</v>
      </c>
      <c r="K5010" s="7" t="s">
        <v>7165</v>
      </c>
      <c r="L5010" s="7"/>
      <c r="M5010" s="7"/>
    </row>
    <row r="5011" spans="1:13" x14ac:dyDescent="0.3">
      <c r="A5011" s="7">
        <v>12939</v>
      </c>
      <c r="B5011" s="7" t="s">
        <v>5018</v>
      </c>
      <c r="C5011" s="7" t="s">
        <v>7040</v>
      </c>
      <c r="D5011" s="7" t="s">
        <v>6295</v>
      </c>
      <c r="E5011" s="7" t="s">
        <v>6940</v>
      </c>
      <c r="F5011" s="7" t="s">
        <v>6986</v>
      </c>
      <c r="G5011" s="7" t="s">
        <v>7150</v>
      </c>
      <c r="H5011" s="7" t="s">
        <v>7156</v>
      </c>
      <c r="I5011" s="7"/>
      <c r="J5011" s="10">
        <v>44124</v>
      </c>
      <c r="K5011" s="7" t="s">
        <v>7165</v>
      </c>
      <c r="L5011" s="7"/>
      <c r="M5011" s="7"/>
    </row>
    <row r="5012" spans="1:13" x14ac:dyDescent="0.3">
      <c r="A5012" s="7">
        <v>14566</v>
      </c>
      <c r="B5012" s="7" t="s">
        <v>5019</v>
      </c>
      <c r="C5012" s="7" t="s">
        <v>7040</v>
      </c>
      <c r="D5012" s="7" t="s">
        <v>6295</v>
      </c>
      <c r="E5012" s="7" t="s">
        <v>6940</v>
      </c>
      <c r="F5012" s="7" t="s">
        <v>6986</v>
      </c>
      <c r="G5012" s="7" t="s">
        <v>7150</v>
      </c>
      <c r="H5012" s="7" t="s">
        <v>7156</v>
      </c>
      <c r="I5012" s="7"/>
      <c r="J5012" s="10">
        <v>44788</v>
      </c>
      <c r="K5012" s="7" t="s">
        <v>7165</v>
      </c>
      <c r="L5012" s="7"/>
      <c r="M5012" s="7"/>
    </row>
    <row r="5013" spans="1:13" x14ac:dyDescent="0.3">
      <c r="A5013" s="7">
        <v>14912</v>
      </c>
      <c r="B5013" s="7" t="s">
        <v>5020</v>
      </c>
      <c r="C5013" s="7" t="s">
        <v>7040</v>
      </c>
      <c r="D5013" s="7" t="s">
        <v>6295</v>
      </c>
      <c r="E5013" s="7" t="s">
        <v>6940</v>
      </c>
      <c r="F5013" s="7" t="s">
        <v>6986</v>
      </c>
      <c r="G5013" s="7" t="s">
        <v>7152</v>
      </c>
      <c r="H5013" s="7" t="s">
        <v>7156</v>
      </c>
      <c r="I5013" s="7"/>
      <c r="J5013" s="10">
        <v>44889</v>
      </c>
      <c r="K5013" s="7" t="s">
        <v>7165</v>
      </c>
      <c r="L5013" s="7"/>
      <c r="M5013" s="7"/>
    </row>
    <row r="5014" spans="1:13" x14ac:dyDescent="0.3">
      <c r="A5014" s="7">
        <v>18734</v>
      </c>
      <c r="B5014" s="7" t="s">
        <v>5021</v>
      </c>
      <c r="C5014" s="7" t="s">
        <v>7040</v>
      </c>
      <c r="D5014" s="7" t="s">
        <v>6295</v>
      </c>
      <c r="E5014" s="7" t="s">
        <v>6940</v>
      </c>
      <c r="F5014" s="7" t="s">
        <v>7003</v>
      </c>
      <c r="G5014" s="7" t="s">
        <v>7150</v>
      </c>
      <c r="H5014" s="7" t="s">
        <v>7157</v>
      </c>
      <c r="I5014" s="7"/>
      <c r="J5014" s="10">
        <v>46198</v>
      </c>
      <c r="K5014" s="7" t="s">
        <v>7165</v>
      </c>
      <c r="L5014" s="7"/>
      <c r="M5014" s="7"/>
    </row>
    <row r="5015" spans="1:13" x14ac:dyDescent="0.3">
      <c r="A5015" s="7">
        <v>240038</v>
      </c>
      <c r="B5015" s="7" t="s">
        <v>5022</v>
      </c>
      <c r="C5015" s="7" t="s">
        <v>7040</v>
      </c>
      <c r="D5015" s="7" t="s">
        <v>6295</v>
      </c>
      <c r="E5015" s="7" t="s">
        <v>6940</v>
      </c>
      <c r="F5015" s="7" t="s">
        <v>6986</v>
      </c>
      <c r="G5015" s="7" t="s">
        <v>7150</v>
      </c>
      <c r="H5015" s="7" t="s">
        <v>7156</v>
      </c>
      <c r="I5015" s="7"/>
      <c r="J5015" s="10">
        <v>42842</v>
      </c>
      <c r="K5015" s="7" t="s">
        <v>7165</v>
      </c>
      <c r="L5015" s="7"/>
      <c r="M5015" s="7"/>
    </row>
    <row r="5016" spans="1:13" x14ac:dyDescent="0.3">
      <c r="A5016" s="7">
        <v>16996</v>
      </c>
      <c r="B5016" s="7" t="s">
        <v>5023</v>
      </c>
      <c r="C5016" s="7" t="s">
        <v>7040</v>
      </c>
      <c r="D5016" s="7" t="s">
        <v>6295</v>
      </c>
      <c r="E5016" s="7" t="s">
        <v>6940</v>
      </c>
      <c r="F5016" s="7" t="s">
        <v>6987</v>
      </c>
      <c r="G5016" s="7" t="s">
        <v>7150</v>
      </c>
      <c r="H5016" s="7" t="s">
        <v>7156</v>
      </c>
      <c r="I5016" s="7"/>
      <c r="J5016" s="10">
        <v>45589</v>
      </c>
      <c r="K5016" s="7" t="s">
        <v>7165</v>
      </c>
      <c r="L5016" s="7"/>
      <c r="M5016" s="7"/>
    </row>
    <row r="5017" spans="1:13" x14ac:dyDescent="0.3">
      <c r="A5017" s="7">
        <v>15792</v>
      </c>
      <c r="B5017" s="7" t="s">
        <v>5024</v>
      </c>
      <c r="C5017" s="7" t="s">
        <v>7040</v>
      </c>
      <c r="D5017" s="7" t="s">
        <v>6295</v>
      </c>
      <c r="E5017" s="7" t="s">
        <v>6940</v>
      </c>
      <c r="F5017" s="7" t="s">
        <v>6986</v>
      </c>
      <c r="G5017" s="7" t="s">
        <v>7150</v>
      </c>
      <c r="H5017" s="7" t="s">
        <v>7156</v>
      </c>
      <c r="I5017" s="7"/>
      <c r="J5017" s="10">
        <v>45194</v>
      </c>
      <c r="K5017" s="7" t="s">
        <v>7165</v>
      </c>
      <c r="L5017" s="7"/>
      <c r="M5017" s="7"/>
    </row>
    <row r="5018" spans="1:13" x14ac:dyDescent="0.3">
      <c r="A5018" s="7">
        <v>900046</v>
      </c>
      <c r="B5018" s="7" t="s">
        <v>5025</v>
      </c>
      <c r="C5018" s="7" t="s">
        <v>7040</v>
      </c>
      <c r="D5018" s="7" t="s">
        <v>6295</v>
      </c>
      <c r="E5018" s="7" t="s">
        <v>6951</v>
      </c>
      <c r="F5018" s="7" t="s">
        <v>6398</v>
      </c>
      <c r="G5018" s="7" t="s">
        <v>7150</v>
      </c>
      <c r="H5018" s="7" t="s">
        <v>7156</v>
      </c>
      <c r="I5018" s="7"/>
      <c r="J5018" s="10">
        <v>43244</v>
      </c>
      <c r="K5018" s="7" t="s">
        <v>7165</v>
      </c>
      <c r="L5018" s="7"/>
      <c r="M5018" s="7"/>
    </row>
    <row r="5019" spans="1:13" x14ac:dyDescent="0.3">
      <c r="A5019" s="7">
        <v>15879</v>
      </c>
      <c r="B5019" s="7" t="s">
        <v>5026</v>
      </c>
      <c r="C5019" s="7" t="s">
        <v>7040</v>
      </c>
      <c r="D5019" s="7" t="s">
        <v>6295</v>
      </c>
      <c r="E5019" s="7" t="s">
        <v>6994</v>
      </c>
      <c r="F5019" s="7" t="s">
        <v>6498</v>
      </c>
      <c r="G5019" s="7" t="s">
        <v>7150</v>
      </c>
      <c r="H5019" s="7" t="s">
        <v>7156</v>
      </c>
      <c r="I5019" s="7"/>
      <c r="J5019" s="10">
        <v>45226</v>
      </c>
      <c r="K5019" s="7" t="s">
        <v>7165</v>
      </c>
      <c r="L5019" s="7"/>
      <c r="M5019" s="7"/>
    </row>
    <row r="5020" spans="1:13" x14ac:dyDescent="0.3">
      <c r="A5020" s="7">
        <v>14416</v>
      </c>
      <c r="B5020" s="7" t="s">
        <v>5027</v>
      </c>
      <c r="C5020" s="7" t="s">
        <v>7040</v>
      </c>
      <c r="D5020" s="7" t="s">
        <v>6295</v>
      </c>
      <c r="E5020" s="7" t="s">
        <v>6994</v>
      </c>
      <c r="F5020" s="7" t="s">
        <v>6340</v>
      </c>
      <c r="G5020" s="7" t="s">
        <v>7150</v>
      </c>
      <c r="H5020" s="7" t="s">
        <v>7156</v>
      </c>
      <c r="I5020" s="7"/>
      <c r="J5020" s="10">
        <v>44750</v>
      </c>
      <c r="K5020" s="7" t="s">
        <v>7165</v>
      </c>
      <c r="L5020" s="7"/>
      <c r="M5020" s="7"/>
    </row>
    <row r="5021" spans="1:13" x14ac:dyDescent="0.3">
      <c r="A5021" s="7">
        <v>16190</v>
      </c>
      <c r="B5021" s="7" t="s">
        <v>5028</v>
      </c>
      <c r="C5021" s="7" t="s">
        <v>7040</v>
      </c>
      <c r="D5021" s="7" t="s">
        <v>6295</v>
      </c>
      <c r="E5021" s="7" t="s">
        <v>6994</v>
      </c>
      <c r="F5021" s="7" t="s">
        <v>6340</v>
      </c>
      <c r="G5021" s="7" t="s">
        <v>7150</v>
      </c>
      <c r="H5021" s="7" t="s">
        <v>7156</v>
      </c>
      <c r="I5021" s="7"/>
      <c r="J5021" s="10">
        <v>45314</v>
      </c>
      <c r="K5021" s="7" t="s">
        <v>7165</v>
      </c>
      <c r="L5021" s="7"/>
      <c r="M5021" s="7"/>
    </row>
    <row r="5022" spans="1:13" x14ac:dyDescent="0.3">
      <c r="A5022" s="7">
        <v>18116</v>
      </c>
      <c r="B5022" s="7" t="s">
        <v>5029</v>
      </c>
      <c r="C5022" s="7" t="s">
        <v>7040</v>
      </c>
      <c r="D5022" s="7" t="s">
        <v>6295</v>
      </c>
      <c r="E5022" s="7" t="s">
        <v>6994</v>
      </c>
      <c r="F5022" s="7" t="s">
        <v>6341</v>
      </c>
      <c r="G5022" s="7" t="s">
        <v>7150</v>
      </c>
      <c r="H5022" s="7" t="s">
        <v>7156</v>
      </c>
      <c r="I5022" s="7"/>
      <c r="J5022" s="10">
        <v>46002</v>
      </c>
      <c r="K5022" s="7" t="s">
        <v>7165</v>
      </c>
      <c r="L5022" s="7"/>
      <c r="M5022" s="7"/>
    </row>
    <row r="5023" spans="1:13" x14ac:dyDescent="0.3">
      <c r="A5023" s="7">
        <v>18163</v>
      </c>
      <c r="B5023" s="7" t="s">
        <v>5030</v>
      </c>
      <c r="C5023" s="7" t="s">
        <v>7040</v>
      </c>
      <c r="D5023" s="7" t="s">
        <v>6295</v>
      </c>
      <c r="E5023" s="7" t="s">
        <v>6994</v>
      </c>
      <c r="F5023" s="7" t="s">
        <v>6348</v>
      </c>
      <c r="G5023" s="7" t="s">
        <v>7150</v>
      </c>
      <c r="H5023" s="7" t="s">
        <v>7156</v>
      </c>
      <c r="I5023" s="7"/>
      <c r="J5023" s="10">
        <v>46027</v>
      </c>
      <c r="K5023" s="7" t="s">
        <v>7165</v>
      </c>
      <c r="L5023" s="7"/>
      <c r="M5023" s="7"/>
    </row>
    <row r="5024" spans="1:13" x14ac:dyDescent="0.3">
      <c r="A5024" s="7">
        <v>18474</v>
      </c>
      <c r="B5024" s="7" t="s">
        <v>5031</v>
      </c>
      <c r="C5024" s="7" t="s">
        <v>7040</v>
      </c>
      <c r="D5024" s="7" t="s">
        <v>6295</v>
      </c>
      <c r="E5024" s="7" t="s">
        <v>6994</v>
      </c>
      <c r="F5024" s="7" t="s">
        <v>6348</v>
      </c>
      <c r="G5024" s="7" t="s">
        <v>7150</v>
      </c>
      <c r="H5024" s="7" t="s">
        <v>7156</v>
      </c>
      <c r="I5024" s="7"/>
      <c r="J5024" s="10">
        <v>46135</v>
      </c>
      <c r="K5024" s="7" t="s">
        <v>7165</v>
      </c>
      <c r="L5024" s="7"/>
      <c r="M5024" s="7"/>
    </row>
    <row r="5025" spans="1:13" x14ac:dyDescent="0.3">
      <c r="A5025" s="7">
        <v>120042</v>
      </c>
      <c r="B5025" s="7" t="s">
        <v>5032</v>
      </c>
      <c r="C5025" s="7" t="s">
        <v>7041</v>
      </c>
      <c r="D5025" s="7" t="s">
        <v>6295</v>
      </c>
      <c r="E5025" s="7" t="s">
        <v>6295</v>
      </c>
      <c r="F5025" s="7" t="s">
        <v>6939</v>
      </c>
      <c r="G5025" s="7" t="s">
        <v>7150</v>
      </c>
      <c r="H5025" s="7" t="s">
        <v>7156</v>
      </c>
      <c r="I5025" s="7"/>
      <c r="J5025" s="10">
        <v>43243</v>
      </c>
      <c r="K5025" s="7" t="s">
        <v>7165</v>
      </c>
      <c r="L5025" s="7"/>
      <c r="M5025" s="7"/>
    </row>
    <row r="5026" spans="1:13" x14ac:dyDescent="0.3">
      <c r="A5026" s="7">
        <v>120043</v>
      </c>
      <c r="B5026" s="7" t="s">
        <v>5033</v>
      </c>
      <c r="C5026" s="7" t="s">
        <v>7041</v>
      </c>
      <c r="D5026" s="7" t="s">
        <v>6295</v>
      </c>
      <c r="E5026" s="7" t="s">
        <v>6940</v>
      </c>
      <c r="F5026" s="7" t="s">
        <v>6991</v>
      </c>
      <c r="G5026" s="7" t="s">
        <v>7150</v>
      </c>
      <c r="H5026" s="7" t="s">
        <v>7156</v>
      </c>
      <c r="I5026" s="7"/>
      <c r="J5026" s="10">
        <v>43244</v>
      </c>
      <c r="K5026" s="7" t="s">
        <v>7165</v>
      </c>
      <c r="L5026" s="7"/>
      <c r="M5026" s="7"/>
    </row>
    <row r="5027" spans="1:13" x14ac:dyDescent="0.3">
      <c r="A5027" s="7">
        <v>120024</v>
      </c>
      <c r="B5027" s="7" t="s">
        <v>5034</v>
      </c>
      <c r="C5027" s="7" t="s">
        <v>7041</v>
      </c>
      <c r="D5027" s="7" t="s">
        <v>6295</v>
      </c>
      <c r="E5027" s="7" t="s">
        <v>6940</v>
      </c>
      <c r="F5027" s="7" t="s">
        <v>6991</v>
      </c>
      <c r="G5027" s="7" t="s">
        <v>7150</v>
      </c>
      <c r="H5027" s="7" t="s">
        <v>7156</v>
      </c>
      <c r="I5027" s="7"/>
      <c r="J5027" s="10">
        <v>41232</v>
      </c>
      <c r="K5027" s="7" t="s">
        <v>7165</v>
      </c>
      <c r="L5027" s="7"/>
      <c r="M5027" s="7"/>
    </row>
    <row r="5028" spans="1:13" x14ac:dyDescent="0.3">
      <c r="A5028" s="7">
        <v>17048</v>
      </c>
      <c r="B5028" s="7" t="s">
        <v>5035</v>
      </c>
      <c r="C5028" s="7" t="s">
        <v>7041</v>
      </c>
      <c r="D5028" s="7" t="s">
        <v>6295</v>
      </c>
      <c r="E5028" s="7" t="s">
        <v>6940</v>
      </c>
      <c r="F5028" s="7" t="s">
        <v>6988</v>
      </c>
      <c r="G5028" s="7" t="s">
        <v>7150</v>
      </c>
      <c r="H5028" s="7" t="s">
        <v>7156</v>
      </c>
      <c r="I5028" s="7"/>
      <c r="J5028" s="10">
        <v>45602</v>
      </c>
      <c r="K5028" s="7" t="s">
        <v>7165</v>
      </c>
      <c r="L5028" s="7"/>
      <c r="M5028" s="7"/>
    </row>
    <row r="5029" spans="1:13" x14ac:dyDescent="0.3">
      <c r="A5029" s="7">
        <v>240035</v>
      </c>
      <c r="B5029" s="7" t="s">
        <v>5036</v>
      </c>
      <c r="C5029" s="7" t="s">
        <v>7041</v>
      </c>
      <c r="D5029" s="7" t="s">
        <v>6295</v>
      </c>
      <c r="E5029" s="7" t="s">
        <v>6940</v>
      </c>
      <c r="F5029" s="7" t="s">
        <v>6980</v>
      </c>
      <c r="G5029" s="7" t="s">
        <v>7150</v>
      </c>
      <c r="H5029" s="7" t="s">
        <v>7156</v>
      </c>
      <c r="I5029" s="7"/>
      <c r="J5029" s="10">
        <v>42564</v>
      </c>
      <c r="K5029" s="7" t="s">
        <v>7165</v>
      </c>
      <c r="L5029" s="7"/>
      <c r="M5029" s="7"/>
    </row>
    <row r="5030" spans="1:13" x14ac:dyDescent="0.3">
      <c r="A5030" s="7">
        <v>670034</v>
      </c>
      <c r="B5030" s="7" t="s">
        <v>5037</v>
      </c>
      <c r="C5030" s="7" t="s">
        <v>7041</v>
      </c>
      <c r="D5030" s="7" t="s">
        <v>6295</v>
      </c>
      <c r="E5030" s="7" t="s">
        <v>6940</v>
      </c>
      <c r="F5030" s="7" t="s">
        <v>6980</v>
      </c>
      <c r="G5030" s="7" t="s">
        <v>7150</v>
      </c>
      <c r="H5030" s="7" t="s">
        <v>7156</v>
      </c>
      <c r="I5030" s="7"/>
      <c r="J5030" s="10">
        <v>42573</v>
      </c>
      <c r="K5030" s="7" t="s">
        <v>7165</v>
      </c>
      <c r="L5030" s="7"/>
      <c r="M5030" s="7"/>
    </row>
    <row r="5031" spans="1:13" x14ac:dyDescent="0.3">
      <c r="A5031" s="7">
        <v>610027</v>
      </c>
      <c r="B5031" s="7" t="s">
        <v>5038</v>
      </c>
      <c r="C5031" s="7" t="s">
        <v>7041</v>
      </c>
      <c r="D5031" s="7" t="s">
        <v>6295</v>
      </c>
      <c r="E5031" s="7" t="s">
        <v>6940</v>
      </c>
      <c r="F5031" s="7" t="s">
        <v>6980</v>
      </c>
      <c r="G5031" s="7" t="s">
        <v>7151</v>
      </c>
      <c r="H5031" s="7" t="s">
        <v>7156</v>
      </c>
      <c r="I5031" s="7"/>
      <c r="J5031" s="10">
        <v>42810</v>
      </c>
      <c r="K5031" s="7" t="s">
        <v>7165</v>
      </c>
      <c r="L5031" s="7"/>
      <c r="M5031" s="7"/>
    </row>
    <row r="5032" spans="1:13" x14ac:dyDescent="0.3">
      <c r="A5032" s="7">
        <v>17167</v>
      </c>
      <c r="B5032" s="7" t="s">
        <v>5039</v>
      </c>
      <c r="C5032" s="7" t="s">
        <v>7041</v>
      </c>
      <c r="D5032" s="7" t="s">
        <v>6295</v>
      </c>
      <c r="E5032" s="7" t="s">
        <v>6940</v>
      </c>
      <c r="F5032" s="7" t="s">
        <v>7000</v>
      </c>
      <c r="G5032" s="7" t="s">
        <v>7150</v>
      </c>
      <c r="H5032" s="7" t="s">
        <v>7157</v>
      </c>
      <c r="I5032" s="7"/>
      <c r="J5032" s="10">
        <v>45652</v>
      </c>
      <c r="K5032" s="7" t="s">
        <v>7165</v>
      </c>
      <c r="L5032" s="7"/>
      <c r="M5032" s="7"/>
    </row>
    <row r="5033" spans="1:13" x14ac:dyDescent="0.3">
      <c r="A5033" s="7">
        <v>300214</v>
      </c>
      <c r="B5033" s="7" t="s">
        <v>5040</v>
      </c>
      <c r="C5033" s="7" t="s">
        <v>7041</v>
      </c>
      <c r="D5033" s="7" t="s">
        <v>6295</v>
      </c>
      <c r="E5033" s="7" t="s">
        <v>6940</v>
      </c>
      <c r="F5033" s="7" t="s">
        <v>6980</v>
      </c>
      <c r="G5033" s="7" t="s">
        <v>7150</v>
      </c>
      <c r="H5033" s="7" t="s">
        <v>7156</v>
      </c>
      <c r="I5033" s="7"/>
      <c r="J5033" s="10">
        <v>44151</v>
      </c>
      <c r="K5033" s="7" t="s">
        <v>7165</v>
      </c>
      <c r="L5033" s="7"/>
      <c r="M5033" s="7"/>
    </row>
    <row r="5034" spans="1:13" x14ac:dyDescent="0.3">
      <c r="A5034" s="7">
        <v>120048</v>
      </c>
      <c r="B5034" s="7" t="s">
        <v>5041</v>
      </c>
      <c r="C5034" s="7" t="s">
        <v>7041</v>
      </c>
      <c r="D5034" s="7" t="s">
        <v>6295</v>
      </c>
      <c r="E5034" s="7" t="s">
        <v>6940</v>
      </c>
      <c r="F5034" s="7" t="s">
        <v>6980</v>
      </c>
      <c r="G5034" s="7" t="s">
        <v>7150</v>
      </c>
      <c r="H5034" s="7" t="s">
        <v>7156</v>
      </c>
      <c r="I5034" s="7"/>
      <c r="J5034" s="10">
        <v>43634</v>
      </c>
      <c r="K5034" s="7" t="s">
        <v>7165</v>
      </c>
      <c r="L5034" s="7"/>
      <c r="M5034" s="7"/>
    </row>
    <row r="5035" spans="1:13" x14ac:dyDescent="0.3">
      <c r="A5035" s="7">
        <v>120039</v>
      </c>
      <c r="B5035" s="7" t="s">
        <v>5042</v>
      </c>
      <c r="C5035" s="7" t="s">
        <v>7041</v>
      </c>
      <c r="D5035" s="7" t="s">
        <v>6295</v>
      </c>
      <c r="E5035" s="7" t="s">
        <v>6940</v>
      </c>
      <c r="F5035" s="7" t="s">
        <v>6986</v>
      </c>
      <c r="G5035" s="7" t="s">
        <v>7150</v>
      </c>
      <c r="H5035" s="7" t="s">
        <v>7156</v>
      </c>
      <c r="I5035" s="7"/>
      <c r="J5035" s="10">
        <v>43174</v>
      </c>
      <c r="K5035" s="7" t="s">
        <v>7165</v>
      </c>
      <c r="L5035" s="7"/>
      <c r="M5035" s="7"/>
    </row>
    <row r="5036" spans="1:13" x14ac:dyDescent="0.3">
      <c r="A5036" s="7">
        <v>16267</v>
      </c>
      <c r="B5036" s="7" t="s">
        <v>5043</v>
      </c>
      <c r="C5036" s="7" t="s">
        <v>7041</v>
      </c>
      <c r="D5036" s="7" t="s">
        <v>6295</v>
      </c>
      <c r="E5036" s="7" t="s">
        <v>6940</v>
      </c>
      <c r="F5036" s="7" t="s">
        <v>6987</v>
      </c>
      <c r="G5036" s="7" t="s">
        <v>7150</v>
      </c>
      <c r="H5036" s="7" t="s">
        <v>7156</v>
      </c>
      <c r="I5036" s="7"/>
      <c r="J5036" s="10">
        <v>45335</v>
      </c>
      <c r="K5036" s="7" t="s">
        <v>7165</v>
      </c>
      <c r="L5036" s="7"/>
      <c r="M5036" s="7"/>
    </row>
    <row r="5037" spans="1:13" x14ac:dyDescent="0.3">
      <c r="A5037" s="7">
        <v>17707</v>
      </c>
      <c r="B5037" s="7" t="s">
        <v>5044</v>
      </c>
      <c r="C5037" s="7" t="s">
        <v>7041</v>
      </c>
      <c r="D5037" s="7" t="s">
        <v>6295</v>
      </c>
      <c r="E5037" s="7" t="s">
        <v>6940</v>
      </c>
      <c r="F5037" s="7" t="s">
        <v>6987</v>
      </c>
      <c r="G5037" s="7" t="s">
        <v>7150</v>
      </c>
      <c r="H5037" s="7" t="s">
        <v>7156</v>
      </c>
      <c r="I5037" s="7"/>
      <c r="J5037" s="10">
        <v>45849</v>
      </c>
      <c r="K5037" s="7" t="s">
        <v>7165</v>
      </c>
      <c r="L5037" s="7"/>
      <c r="M5037" s="7"/>
    </row>
    <row r="5038" spans="1:13" x14ac:dyDescent="0.3">
      <c r="A5038" s="7">
        <v>17387</v>
      </c>
      <c r="B5038" s="7" t="s">
        <v>5045</v>
      </c>
      <c r="C5038" s="7" t="s">
        <v>7041</v>
      </c>
      <c r="D5038" s="7" t="s">
        <v>6295</v>
      </c>
      <c r="E5038" s="7" t="s">
        <v>6940</v>
      </c>
      <c r="F5038" s="7" t="s">
        <v>6989</v>
      </c>
      <c r="G5038" s="7" t="s">
        <v>7150</v>
      </c>
      <c r="H5038" s="7" t="s">
        <v>7156</v>
      </c>
      <c r="I5038" s="7"/>
      <c r="J5038" s="10">
        <v>45729</v>
      </c>
      <c r="K5038" s="7" t="s">
        <v>7165</v>
      </c>
      <c r="L5038" s="7"/>
      <c r="M5038" s="7"/>
    </row>
    <row r="5039" spans="1:13" x14ac:dyDescent="0.3">
      <c r="A5039" s="7">
        <v>120012</v>
      </c>
      <c r="B5039" s="7" t="s">
        <v>5046</v>
      </c>
      <c r="C5039" s="7" t="s">
        <v>7041</v>
      </c>
      <c r="D5039" s="7" t="s">
        <v>6295</v>
      </c>
      <c r="E5039" s="7" t="s">
        <v>6951</v>
      </c>
      <c r="F5039" s="7" t="s">
        <v>6398</v>
      </c>
      <c r="G5039" s="7" t="s">
        <v>7150</v>
      </c>
      <c r="H5039" s="7" t="s">
        <v>7156</v>
      </c>
      <c r="I5039" s="7"/>
      <c r="J5039" s="10">
        <v>39279</v>
      </c>
      <c r="K5039" s="7" t="s">
        <v>7165</v>
      </c>
      <c r="L5039" s="7"/>
      <c r="M5039" s="7"/>
    </row>
    <row r="5040" spans="1:13" x14ac:dyDescent="0.3">
      <c r="A5040" s="7">
        <v>120051</v>
      </c>
      <c r="B5040" s="7" t="s">
        <v>5047</v>
      </c>
      <c r="C5040" s="7" t="s">
        <v>7041</v>
      </c>
      <c r="D5040" s="7" t="s">
        <v>6295</v>
      </c>
      <c r="E5040" s="7" t="s">
        <v>6951</v>
      </c>
      <c r="F5040" s="7" t="s">
        <v>6398</v>
      </c>
      <c r="G5040" s="7" t="s">
        <v>7150</v>
      </c>
      <c r="H5040" s="7" t="s">
        <v>7156</v>
      </c>
      <c r="I5040" s="7"/>
      <c r="J5040" s="10">
        <v>43815</v>
      </c>
      <c r="K5040" s="7" t="s">
        <v>7165</v>
      </c>
      <c r="L5040" s="7"/>
      <c r="M5040" s="7"/>
    </row>
    <row r="5041" spans="1:13" x14ac:dyDescent="0.3">
      <c r="A5041" s="7">
        <v>11848</v>
      </c>
      <c r="B5041" s="7" t="s">
        <v>5048</v>
      </c>
      <c r="C5041" s="7" t="s">
        <v>7042</v>
      </c>
      <c r="D5041" s="7" t="s">
        <v>6295</v>
      </c>
      <c r="E5041" s="7" t="s">
        <v>6295</v>
      </c>
      <c r="F5041" s="7" t="s">
        <v>6939</v>
      </c>
      <c r="G5041" s="7" t="s">
        <v>7150</v>
      </c>
      <c r="H5041" s="7" t="s">
        <v>7156</v>
      </c>
      <c r="I5041" s="7"/>
      <c r="J5041" s="10">
        <v>43196</v>
      </c>
      <c r="K5041" s="7" t="s">
        <v>7165</v>
      </c>
      <c r="L5041" s="7"/>
      <c r="M5041" s="7"/>
    </row>
    <row r="5042" spans="1:13" x14ac:dyDescent="0.3">
      <c r="A5042" s="7">
        <v>210010</v>
      </c>
      <c r="B5042" s="7" t="s">
        <v>5049</v>
      </c>
      <c r="C5042" s="7" t="s">
        <v>7042</v>
      </c>
      <c r="D5042" s="7" t="s">
        <v>6295</v>
      </c>
      <c r="E5042" s="7" t="s">
        <v>6940</v>
      </c>
      <c r="F5042" s="7" t="s">
        <v>6498</v>
      </c>
      <c r="G5042" s="7" t="s">
        <v>7150</v>
      </c>
      <c r="H5042" s="7" t="s">
        <v>7156</v>
      </c>
      <c r="I5042" s="7"/>
      <c r="J5042" s="10">
        <v>36691</v>
      </c>
      <c r="K5042" s="7" t="s">
        <v>7165</v>
      </c>
      <c r="L5042" s="7"/>
      <c r="M5042" s="7"/>
    </row>
    <row r="5043" spans="1:13" x14ac:dyDescent="0.3">
      <c r="A5043" s="7">
        <v>15629</v>
      </c>
      <c r="B5043" s="7" t="s">
        <v>5050</v>
      </c>
      <c r="C5043" s="7" t="s">
        <v>7042</v>
      </c>
      <c r="D5043" s="7" t="s">
        <v>6295</v>
      </c>
      <c r="E5043" s="7" t="s">
        <v>6940</v>
      </c>
      <c r="F5043" s="7" t="s">
        <v>6979</v>
      </c>
      <c r="G5043" s="7" t="s">
        <v>7150</v>
      </c>
      <c r="H5043" s="7" t="s">
        <v>7156</v>
      </c>
      <c r="I5043" s="7"/>
      <c r="J5043" s="10">
        <v>45146</v>
      </c>
      <c r="K5043" s="7" t="s">
        <v>7165</v>
      </c>
      <c r="L5043" s="7"/>
      <c r="M5043" s="7"/>
    </row>
    <row r="5044" spans="1:13" x14ac:dyDescent="0.3">
      <c r="A5044" s="7">
        <v>16440</v>
      </c>
      <c r="B5044" s="7" t="s">
        <v>5051</v>
      </c>
      <c r="C5044" s="7" t="s">
        <v>7042</v>
      </c>
      <c r="D5044" s="7" t="s">
        <v>6295</v>
      </c>
      <c r="E5044" s="7" t="s">
        <v>6940</v>
      </c>
      <c r="F5044" s="7" t="s">
        <v>6988</v>
      </c>
      <c r="G5044" s="7" t="s">
        <v>7150</v>
      </c>
      <c r="H5044" s="7" t="s">
        <v>7156</v>
      </c>
      <c r="I5044" s="7"/>
      <c r="J5044" s="10">
        <v>45400</v>
      </c>
      <c r="K5044" s="7" t="s">
        <v>7165</v>
      </c>
      <c r="L5044" s="7"/>
      <c r="M5044" s="7"/>
    </row>
    <row r="5045" spans="1:13" x14ac:dyDescent="0.3">
      <c r="A5045" s="7">
        <v>17495</v>
      </c>
      <c r="B5045" s="7" t="s">
        <v>5052</v>
      </c>
      <c r="C5045" s="7" t="s">
        <v>7042</v>
      </c>
      <c r="D5045" s="7" t="s">
        <v>6295</v>
      </c>
      <c r="E5045" s="7" t="s">
        <v>6940</v>
      </c>
      <c r="F5045" s="7" t="s">
        <v>6989</v>
      </c>
      <c r="G5045" s="7" t="s">
        <v>7150</v>
      </c>
      <c r="H5045" s="7" t="s">
        <v>7156</v>
      </c>
      <c r="I5045" s="7"/>
      <c r="J5045" s="10">
        <v>45770</v>
      </c>
      <c r="K5045" s="7" t="s">
        <v>7165</v>
      </c>
      <c r="L5045" s="7"/>
      <c r="M5045" s="7"/>
    </row>
    <row r="5046" spans="1:13" x14ac:dyDescent="0.3">
      <c r="A5046" s="7">
        <v>230034</v>
      </c>
      <c r="B5046" s="7" t="s">
        <v>5053</v>
      </c>
      <c r="C5046" s="7" t="s">
        <v>7042</v>
      </c>
      <c r="D5046" s="7" t="s">
        <v>6295</v>
      </c>
      <c r="E5046" s="7" t="s">
        <v>6940</v>
      </c>
      <c r="F5046" s="7" t="s">
        <v>6980</v>
      </c>
      <c r="G5046" s="7" t="s">
        <v>7150</v>
      </c>
      <c r="H5046" s="7" t="s">
        <v>7156</v>
      </c>
      <c r="I5046" s="7"/>
      <c r="J5046" s="10">
        <v>42984</v>
      </c>
      <c r="K5046" s="7" t="s">
        <v>7165</v>
      </c>
      <c r="L5046" s="7"/>
      <c r="M5046" s="7"/>
    </row>
    <row r="5047" spans="1:13" x14ac:dyDescent="0.3">
      <c r="A5047" s="7">
        <v>310042</v>
      </c>
      <c r="B5047" s="7" t="s">
        <v>5054</v>
      </c>
      <c r="C5047" s="7" t="s">
        <v>7042</v>
      </c>
      <c r="D5047" s="7" t="s">
        <v>6295</v>
      </c>
      <c r="E5047" s="7" t="s">
        <v>6940</v>
      </c>
      <c r="F5047" s="7" t="s">
        <v>6980</v>
      </c>
      <c r="G5047" s="7" t="s">
        <v>7150</v>
      </c>
      <c r="H5047" s="7" t="s">
        <v>7156</v>
      </c>
      <c r="I5047" s="7"/>
      <c r="J5047" s="10">
        <v>43482</v>
      </c>
      <c r="K5047" s="7" t="s">
        <v>7165</v>
      </c>
      <c r="L5047" s="7"/>
      <c r="M5047" s="7"/>
    </row>
    <row r="5048" spans="1:13" x14ac:dyDescent="0.3">
      <c r="A5048" s="7">
        <v>140023</v>
      </c>
      <c r="B5048" s="7" t="s">
        <v>5055</v>
      </c>
      <c r="C5048" s="7" t="s">
        <v>7042</v>
      </c>
      <c r="D5048" s="7" t="s">
        <v>6295</v>
      </c>
      <c r="E5048" s="7" t="s">
        <v>6940</v>
      </c>
      <c r="F5048" s="7" t="s">
        <v>6980</v>
      </c>
      <c r="G5048" s="7" t="s">
        <v>7150</v>
      </c>
      <c r="H5048" s="7" t="s">
        <v>7156</v>
      </c>
      <c r="I5048" s="7"/>
      <c r="J5048" s="10">
        <v>38925</v>
      </c>
      <c r="K5048" s="7" t="s">
        <v>7165</v>
      </c>
      <c r="L5048" s="7"/>
      <c r="M5048" s="7"/>
    </row>
    <row r="5049" spans="1:13" x14ac:dyDescent="0.3">
      <c r="A5049" s="7">
        <v>300063</v>
      </c>
      <c r="B5049" s="7" t="s">
        <v>5056</v>
      </c>
      <c r="C5049" s="7" t="s">
        <v>7042</v>
      </c>
      <c r="D5049" s="7" t="s">
        <v>6295</v>
      </c>
      <c r="E5049" s="7" t="s">
        <v>6940</v>
      </c>
      <c r="F5049" s="7" t="s">
        <v>6980</v>
      </c>
      <c r="G5049" s="7" t="s">
        <v>7150</v>
      </c>
      <c r="H5049" s="7" t="s">
        <v>7156</v>
      </c>
      <c r="I5049" s="7"/>
      <c r="J5049" s="10">
        <v>42790</v>
      </c>
      <c r="K5049" s="7" t="s">
        <v>7165</v>
      </c>
      <c r="L5049" s="7"/>
      <c r="M5049" s="7"/>
    </row>
    <row r="5050" spans="1:13" x14ac:dyDescent="0.3">
      <c r="A5050" s="7">
        <v>140058</v>
      </c>
      <c r="B5050" s="7" t="s">
        <v>5057</v>
      </c>
      <c r="C5050" s="7" t="s">
        <v>7042</v>
      </c>
      <c r="D5050" s="7" t="s">
        <v>6295</v>
      </c>
      <c r="E5050" s="7" t="s">
        <v>6940</v>
      </c>
      <c r="F5050" s="7" t="s">
        <v>6980</v>
      </c>
      <c r="G5050" s="7" t="s">
        <v>7150</v>
      </c>
      <c r="H5050" s="7" t="s">
        <v>7156</v>
      </c>
      <c r="I5050" s="7"/>
      <c r="J5050" s="10">
        <v>44593</v>
      </c>
      <c r="K5050" s="7" t="s">
        <v>7165</v>
      </c>
      <c r="L5050" s="7"/>
      <c r="M5050" s="7"/>
    </row>
    <row r="5051" spans="1:13" x14ac:dyDescent="0.3">
      <c r="A5051" s="7">
        <v>14869</v>
      </c>
      <c r="B5051" s="7" t="s">
        <v>5058</v>
      </c>
      <c r="C5051" s="7" t="s">
        <v>7042</v>
      </c>
      <c r="D5051" s="7" t="s">
        <v>6295</v>
      </c>
      <c r="E5051" s="7" t="s">
        <v>6940</v>
      </c>
      <c r="F5051" s="7" t="s">
        <v>6986</v>
      </c>
      <c r="G5051" s="7" t="s">
        <v>7150</v>
      </c>
      <c r="H5051" s="7" t="s">
        <v>7156</v>
      </c>
      <c r="I5051" s="7"/>
      <c r="J5051" s="10">
        <v>44880</v>
      </c>
      <c r="K5051" s="7" t="s">
        <v>7165</v>
      </c>
      <c r="L5051" s="7"/>
      <c r="M5051" s="7"/>
    </row>
    <row r="5052" spans="1:13" x14ac:dyDescent="0.3">
      <c r="A5052" s="7">
        <v>140053</v>
      </c>
      <c r="B5052" s="7" t="s">
        <v>5059</v>
      </c>
      <c r="C5052" s="7" t="s">
        <v>7042</v>
      </c>
      <c r="D5052" s="7" t="s">
        <v>6295</v>
      </c>
      <c r="E5052" s="7" t="s">
        <v>6940</v>
      </c>
      <c r="F5052" s="7" t="s">
        <v>6986</v>
      </c>
      <c r="G5052" s="7" t="s">
        <v>7150</v>
      </c>
      <c r="H5052" s="7" t="s">
        <v>7156</v>
      </c>
      <c r="I5052" s="7"/>
      <c r="J5052" s="10">
        <v>44538</v>
      </c>
      <c r="K5052" s="7" t="s">
        <v>7165</v>
      </c>
      <c r="L5052" s="7"/>
      <c r="M5052" s="7"/>
    </row>
    <row r="5053" spans="1:13" x14ac:dyDescent="0.3">
      <c r="A5053" s="7">
        <v>19260</v>
      </c>
      <c r="B5053" s="7" t="s">
        <v>5060</v>
      </c>
      <c r="C5053" s="7" t="s">
        <v>7042</v>
      </c>
      <c r="D5053" s="7" t="s">
        <v>6295</v>
      </c>
      <c r="E5053" s="7" t="s">
        <v>6940</v>
      </c>
      <c r="F5053" s="7" t="s">
        <v>7043</v>
      </c>
      <c r="G5053" s="7" t="s">
        <v>7150</v>
      </c>
      <c r="H5053" s="7" t="s">
        <v>7156</v>
      </c>
      <c r="I5053" s="7"/>
      <c r="J5053" s="10">
        <v>46288</v>
      </c>
      <c r="K5053" s="7" t="s">
        <v>7165</v>
      </c>
      <c r="L5053" s="7"/>
      <c r="M5053" s="7"/>
    </row>
    <row r="5054" spans="1:13" x14ac:dyDescent="0.3">
      <c r="A5054" s="7">
        <v>140057</v>
      </c>
      <c r="B5054" s="7" t="s">
        <v>5061</v>
      </c>
      <c r="C5054" s="7" t="s">
        <v>7042</v>
      </c>
      <c r="D5054" s="7" t="s">
        <v>6295</v>
      </c>
      <c r="E5054" s="7" t="s">
        <v>6940</v>
      </c>
      <c r="F5054" s="7" t="s">
        <v>6987</v>
      </c>
      <c r="G5054" s="7" t="s">
        <v>7152</v>
      </c>
      <c r="H5054" s="7" t="s">
        <v>7156</v>
      </c>
      <c r="I5054" s="7"/>
      <c r="J5054" s="10">
        <v>44582</v>
      </c>
      <c r="K5054" s="7" t="s">
        <v>7165</v>
      </c>
      <c r="L5054" s="7"/>
      <c r="M5054" s="7"/>
    </row>
    <row r="5055" spans="1:13" x14ac:dyDescent="0.3">
      <c r="A5055" s="7">
        <v>150041</v>
      </c>
      <c r="B5055" s="7" t="s">
        <v>5062</v>
      </c>
      <c r="C5055" s="7" t="s">
        <v>7042</v>
      </c>
      <c r="D5055" s="7" t="s">
        <v>6295</v>
      </c>
      <c r="E5055" s="7" t="s">
        <v>6994</v>
      </c>
      <c r="F5055" s="7" t="s">
        <v>6498</v>
      </c>
      <c r="G5055" s="7" t="s">
        <v>7150</v>
      </c>
      <c r="H5055" s="7" t="s">
        <v>7156</v>
      </c>
      <c r="I5055" s="7"/>
      <c r="J5055" s="10">
        <v>44320</v>
      </c>
      <c r="K5055" s="7" t="s">
        <v>7165</v>
      </c>
      <c r="L5055" s="7"/>
      <c r="M5055" s="7"/>
    </row>
    <row r="5056" spans="1:13" x14ac:dyDescent="0.3">
      <c r="A5056" s="7">
        <v>140056</v>
      </c>
      <c r="B5056" s="7" t="s">
        <v>5063</v>
      </c>
      <c r="C5056" s="7" t="s">
        <v>7042</v>
      </c>
      <c r="D5056" s="7" t="s">
        <v>6295</v>
      </c>
      <c r="E5056" s="7" t="s">
        <v>6994</v>
      </c>
      <c r="F5056" s="7" t="s">
        <v>6353</v>
      </c>
      <c r="G5056" s="7" t="s">
        <v>7150</v>
      </c>
      <c r="H5056" s="7" t="s">
        <v>7156</v>
      </c>
      <c r="I5056" s="7"/>
      <c r="J5056" s="10">
        <v>44572</v>
      </c>
      <c r="K5056" s="7" t="s">
        <v>7165</v>
      </c>
      <c r="L5056" s="7"/>
      <c r="M5056" s="7"/>
    </row>
    <row r="5057" spans="1:13" x14ac:dyDescent="0.3">
      <c r="A5057" s="7">
        <v>140050</v>
      </c>
      <c r="B5057" s="7" t="s">
        <v>5064</v>
      </c>
      <c r="C5057" s="7" t="s">
        <v>7042</v>
      </c>
      <c r="D5057" s="7" t="s">
        <v>6295</v>
      </c>
      <c r="E5057" s="7" t="s">
        <v>6994</v>
      </c>
      <c r="F5057" s="7" t="s">
        <v>6353</v>
      </c>
      <c r="G5057" s="7" t="s">
        <v>7150</v>
      </c>
      <c r="H5057" s="7" t="s">
        <v>7156</v>
      </c>
      <c r="I5057" s="7"/>
      <c r="J5057" s="10">
        <v>44350</v>
      </c>
      <c r="K5057" s="7" t="s">
        <v>7165</v>
      </c>
      <c r="L5057" s="7"/>
      <c r="M5057" s="7"/>
    </row>
    <row r="5058" spans="1:13" x14ac:dyDescent="0.3">
      <c r="A5058" s="7">
        <v>250047</v>
      </c>
      <c r="B5058" s="7" t="s">
        <v>5065</v>
      </c>
      <c r="C5058" s="7" t="s">
        <v>7042</v>
      </c>
      <c r="D5058" s="7" t="s">
        <v>6295</v>
      </c>
      <c r="E5058" s="7" t="s">
        <v>6994</v>
      </c>
      <c r="F5058" s="7" t="s">
        <v>6353</v>
      </c>
      <c r="G5058" s="7" t="s">
        <v>7150</v>
      </c>
      <c r="H5058" s="7" t="s">
        <v>7156</v>
      </c>
      <c r="I5058" s="7"/>
      <c r="J5058" s="10">
        <v>44354</v>
      </c>
      <c r="K5058" s="7" t="s">
        <v>7165</v>
      </c>
      <c r="L5058" s="7"/>
      <c r="M5058" s="7"/>
    </row>
    <row r="5059" spans="1:13" x14ac:dyDescent="0.3">
      <c r="A5059" s="7">
        <v>15802</v>
      </c>
      <c r="B5059" s="7" t="s">
        <v>5066</v>
      </c>
      <c r="C5059" s="7" t="s">
        <v>7042</v>
      </c>
      <c r="D5059" s="7" t="s">
        <v>6295</v>
      </c>
      <c r="E5059" s="7" t="s">
        <v>6994</v>
      </c>
      <c r="F5059" s="7" t="s">
        <v>6340</v>
      </c>
      <c r="G5059" s="7" t="s">
        <v>7150</v>
      </c>
      <c r="H5059" s="7" t="s">
        <v>7156</v>
      </c>
      <c r="I5059" s="7"/>
      <c r="J5059" s="10">
        <v>45196</v>
      </c>
      <c r="K5059" s="7" t="s">
        <v>7165</v>
      </c>
      <c r="L5059" s="7"/>
      <c r="M5059" s="7"/>
    </row>
    <row r="5060" spans="1:13" x14ac:dyDescent="0.3">
      <c r="A5060" s="7">
        <v>137002</v>
      </c>
      <c r="B5060" s="7" t="s">
        <v>5067</v>
      </c>
      <c r="C5060" s="7" t="s">
        <v>7042</v>
      </c>
      <c r="D5060" s="7" t="s">
        <v>6295</v>
      </c>
      <c r="E5060" s="7" t="s">
        <v>6951</v>
      </c>
      <c r="F5060" s="7" t="s">
        <v>6398</v>
      </c>
      <c r="G5060" s="7" t="s">
        <v>7150</v>
      </c>
      <c r="H5060" s="7" t="s">
        <v>7156</v>
      </c>
      <c r="I5060" s="7"/>
      <c r="J5060" s="10">
        <v>44049</v>
      </c>
      <c r="K5060" s="7" t="s">
        <v>7165</v>
      </c>
      <c r="L5060" s="7"/>
      <c r="M5060" s="7"/>
    </row>
    <row r="5061" spans="1:13" x14ac:dyDescent="0.3">
      <c r="A5061" s="7">
        <v>660016</v>
      </c>
      <c r="B5061" s="7" t="s">
        <v>5068</v>
      </c>
      <c r="C5061" s="7" t="s">
        <v>7044</v>
      </c>
      <c r="D5061" s="7" t="s">
        <v>6295</v>
      </c>
      <c r="E5061" s="7" t="s">
        <v>6295</v>
      </c>
      <c r="F5061" s="7" t="s">
        <v>6939</v>
      </c>
      <c r="G5061" s="7" t="s">
        <v>7150</v>
      </c>
      <c r="H5061" s="7" t="s">
        <v>7156</v>
      </c>
      <c r="I5061" s="7"/>
      <c r="J5061" s="10">
        <v>41809</v>
      </c>
      <c r="K5061" s="7" t="s">
        <v>7165</v>
      </c>
      <c r="L5061" s="7"/>
      <c r="M5061" s="7"/>
    </row>
    <row r="5062" spans="1:13" x14ac:dyDescent="0.3">
      <c r="A5062" s="7">
        <v>150051</v>
      </c>
      <c r="B5062" s="7" t="s">
        <v>5069</v>
      </c>
      <c r="C5062" s="7" t="s">
        <v>7044</v>
      </c>
      <c r="D5062" s="7" t="s">
        <v>6295</v>
      </c>
      <c r="E5062" s="7" t="s">
        <v>6940</v>
      </c>
      <c r="F5062" s="7" t="s">
        <v>6979</v>
      </c>
      <c r="G5062" s="7" t="s">
        <v>7150</v>
      </c>
      <c r="H5062" s="7" t="s">
        <v>7156</v>
      </c>
      <c r="I5062" s="7"/>
      <c r="J5062" s="10">
        <v>44586</v>
      </c>
      <c r="K5062" s="7" t="s">
        <v>7165</v>
      </c>
      <c r="L5062" s="7"/>
      <c r="M5062" s="7"/>
    </row>
    <row r="5063" spans="1:13" x14ac:dyDescent="0.3">
      <c r="A5063" s="7">
        <v>17840</v>
      </c>
      <c r="B5063" s="7" t="s">
        <v>5070</v>
      </c>
      <c r="C5063" s="7" t="s">
        <v>7044</v>
      </c>
      <c r="D5063" s="7" t="s">
        <v>6295</v>
      </c>
      <c r="E5063" s="7" t="s">
        <v>6940</v>
      </c>
      <c r="F5063" s="7" t="s">
        <v>6988</v>
      </c>
      <c r="G5063" s="7" t="s">
        <v>7150</v>
      </c>
      <c r="H5063" s="7" t="s">
        <v>7156</v>
      </c>
      <c r="I5063" s="7"/>
      <c r="J5063" s="10">
        <v>45889</v>
      </c>
      <c r="K5063" s="7" t="s">
        <v>7165</v>
      </c>
      <c r="L5063" s="7"/>
      <c r="M5063" s="7"/>
    </row>
    <row r="5064" spans="1:13" x14ac:dyDescent="0.3">
      <c r="A5064" s="7">
        <v>130030</v>
      </c>
      <c r="B5064" s="7" t="s">
        <v>5071</v>
      </c>
      <c r="C5064" s="7" t="s">
        <v>7044</v>
      </c>
      <c r="D5064" s="7" t="s">
        <v>6295</v>
      </c>
      <c r="E5064" s="7" t="s">
        <v>6940</v>
      </c>
      <c r="F5064" s="7" t="s">
        <v>6980</v>
      </c>
      <c r="G5064" s="7" t="s">
        <v>7150</v>
      </c>
      <c r="H5064" s="7" t="s">
        <v>7156</v>
      </c>
      <c r="I5064" s="7"/>
      <c r="J5064" s="10">
        <v>39909</v>
      </c>
      <c r="K5064" s="7" t="s">
        <v>7165</v>
      </c>
      <c r="L5064" s="7"/>
      <c r="M5064" s="7"/>
    </row>
    <row r="5065" spans="1:13" x14ac:dyDescent="0.3">
      <c r="A5065" s="7">
        <v>180052</v>
      </c>
      <c r="B5065" s="7" t="s">
        <v>5072</v>
      </c>
      <c r="C5065" s="7" t="s">
        <v>7044</v>
      </c>
      <c r="D5065" s="7" t="s">
        <v>6295</v>
      </c>
      <c r="E5065" s="7" t="s">
        <v>6940</v>
      </c>
      <c r="F5065" s="7" t="s">
        <v>6980</v>
      </c>
      <c r="G5065" s="7" t="s">
        <v>7151</v>
      </c>
      <c r="H5065" s="7" t="s">
        <v>7156</v>
      </c>
      <c r="I5065" s="7"/>
      <c r="J5065" s="10">
        <v>43675</v>
      </c>
      <c r="K5065" s="7" t="s">
        <v>7165</v>
      </c>
      <c r="L5065" s="7"/>
      <c r="M5065" s="7"/>
    </row>
    <row r="5066" spans="1:13" x14ac:dyDescent="0.3">
      <c r="A5066" s="7">
        <v>17806</v>
      </c>
      <c r="B5066" s="7" t="s">
        <v>5073</v>
      </c>
      <c r="C5066" s="7" t="s">
        <v>7044</v>
      </c>
      <c r="D5066" s="7" t="s">
        <v>6295</v>
      </c>
      <c r="E5066" s="7" t="s">
        <v>6940</v>
      </c>
      <c r="F5066" s="7" t="s">
        <v>7000</v>
      </c>
      <c r="G5066" s="7" t="s">
        <v>7150</v>
      </c>
      <c r="H5066" s="7" t="s">
        <v>7157</v>
      </c>
      <c r="I5066" s="7"/>
      <c r="J5066" s="10">
        <v>45880</v>
      </c>
      <c r="K5066" s="7" t="s">
        <v>7165</v>
      </c>
      <c r="L5066" s="7"/>
      <c r="M5066" s="7"/>
    </row>
    <row r="5067" spans="1:13" x14ac:dyDescent="0.3">
      <c r="A5067" s="7">
        <v>220010</v>
      </c>
      <c r="B5067" s="7" t="s">
        <v>5074</v>
      </c>
      <c r="C5067" s="7" t="s">
        <v>7044</v>
      </c>
      <c r="D5067" s="7" t="s">
        <v>6295</v>
      </c>
      <c r="E5067" s="7" t="s">
        <v>6940</v>
      </c>
      <c r="F5067" s="7" t="s">
        <v>6986</v>
      </c>
      <c r="G5067" s="7" t="s">
        <v>7150</v>
      </c>
      <c r="H5067" s="7" t="s">
        <v>7156</v>
      </c>
      <c r="I5067" s="7"/>
      <c r="J5067" s="10">
        <v>40085</v>
      </c>
      <c r="K5067" s="7" t="s">
        <v>7165</v>
      </c>
      <c r="L5067" s="7"/>
      <c r="M5067" s="7"/>
    </row>
    <row r="5068" spans="1:13" x14ac:dyDescent="0.3">
      <c r="A5068" s="7">
        <v>530022</v>
      </c>
      <c r="B5068" s="7" t="s">
        <v>5075</v>
      </c>
      <c r="C5068" s="7" t="s">
        <v>7044</v>
      </c>
      <c r="D5068" s="7" t="s">
        <v>6295</v>
      </c>
      <c r="E5068" s="7" t="s">
        <v>6940</v>
      </c>
      <c r="F5068" s="7" t="s">
        <v>6986</v>
      </c>
      <c r="G5068" s="7" t="s">
        <v>7150</v>
      </c>
      <c r="H5068" s="7" t="s">
        <v>7156</v>
      </c>
      <c r="I5068" s="7"/>
      <c r="J5068" s="10">
        <v>43843</v>
      </c>
      <c r="K5068" s="7" t="s">
        <v>7165</v>
      </c>
      <c r="L5068" s="7"/>
      <c r="M5068" s="7"/>
    </row>
    <row r="5069" spans="1:13" x14ac:dyDescent="0.3">
      <c r="A5069" s="7">
        <v>15583</v>
      </c>
      <c r="B5069" s="7" t="s">
        <v>5076</v>
      </c>
      <c r="C5069" s="7" t="s">
        <v>7044</v>
      </c>
      <c r="D5069" s="7" t="s">
        <v>6295</v>
      </c>
      <c r="E5069" s="7" t="s">
        <v>6940</v>
      </c>
      <c r="F5069" s="7" t="s">
        <v>6987</v>
      </c>
      <c r="G5069" s="7" t="s">
        <v>7150</v>
      </c>
      <c r="H5069" s="7" t="s">
        <v>7156</v>
      </c>
      <c r="I5069" s="7"/>
      <c r="J5069" s="10">
        <v>45131</v>
      </c>
      <c r="K5069" s="7" t="s">
        <v>7165</v>
      </c>
      <c r="L5069" s="7"/>
      <c r="M5069" s="7"/>
    </row>
    <row r="5070" spans="1:13" x14ac:dyDescent="0.3">
      <c r="A5070" s="7">
        <v>18501</v>
      </c>
      <c r="B5070" s="7" t="s">
        <v>5077</v>
      </c>
      <c r="C5070" s="7" t="s">
        <v>7044</v>
      </c>
      <c r="D5070" s="7" t="s">
        <v>6295</v>
      </c>
      <c r="E5070" s="7" t="s">
        <v>6940</v>
      </c>
      <c r="F5070" s="7" t="s">
        <v>7013</v>
      </c>
      <c r="G5070" s="7" t="s">
        <v>7150</v>
      </c>
      <c r="H5070" s="7" t="s">
        <v>7156</v>
      </c>
      <c r="I5070" s="7"/>
      <c r="J5070" s="10">
        <v>46146</v>
      </c>
      <c r="K5070" s="7" t="s">
        <v>7165</v>
      </c>
      <c r="L5070" s="7"/>
      <c r="M5070" s="7"/>
    </row>
    <row r="5071" spans="1:13" x14ac:dyDescent="0.3">
      <c r="A5071" s="7">
        <v>14592</v>
      </c>
      <c r="B5071" s="7" t="s">
        <v>5078</v>
      </c>
      <c r="C5071" s="7" t="s">
        <v>7044</v>
      </c>
      <c r="D5071" s="7" t="s">
        <v>6295</v>
      </c>
      <c r="E5071" s="7" t="s">
        <v>6940</v>
      </c>
      <c r="F5071" s="7" t="s">
        <v>6992</v>
      </c>
      <c r="G5071" s="7" t="s">
        <v>7150</v>
      </c>
      <c r="H5071" s="7" t="s">
        <v>7156</v>
      </c>
      <c r="I5071" s="7"/>
      <c r="J5071" s="10">
        <v>44795</v>
      </c>
      <c r="K5071" s="7" t="s">
        <v>7165</v>
      </c>
      <c r="L5071" s="7"/>
      <c r="M5071" s="7"/>
    </row>
    <row r="5072" spans="1:13" x14ac:dyDescent="0.3">
      <c r="A5072" s="7">
        <v>16520</v>
      </c>
      <c r="B5072" s="7" t="s">
        <v>5079</v>
      </c>
      <c r="C5072" s="7" t="s">
        <v>7044</v>
      </c>
      <c r="D5072" s="7" t="s">
        <v>6295</v>
      </c>
      <c r="E5072" s="7" t="s">
        <v>6951</v>
      </c>
      <c r="F5072" s="7" t="s">
        <v>6398</v>
      </c>
      <c r="G5072" s="7" t="s">
        <v>7150</v>
      </c>
      <c r="H5072" s="7" t="s">
        <v>7156</v>
      </c>
      <c r="I5072" s="7"/>
      <c r="J5072" s="10">
        <v>45457</v>
      </c>
      <c r="K5072" s="7" t="s">
        <v>7165</v>
      </c>
      <c r="L5072" s="7"/>
      <c r="M5072" s="7"/>
    </row>
    <row r="5073" spans="1:13" x14ac:dyDescent="0.3">
      <c r="A5073" s="7">
        <v>10736</v>
      </c>
      <c r="B5073" s="7" t="s">
        <v>5080</v>
      </c>
      <c r="C5073" s="7" t="s">
        <v>7045</v>
      </c>
      <c r="D5073" s="7" t="s">
        <v>6295</v>
      </c>
      <c r="E5073" s="7" t="s">
        <v>6295</v>
      </c>
      <c r="F5073" s="7" t="s">
        <v>6939</v>
      </c>
      <c r="G5073" s="7" t="s">
        <v>7150</v>
      </c>
      <c r="H5073" s="7" t="s">
        <v>7156</v>
      </c>
      <c r="I5073" s="7"/>
      <c r="J5073" s="10">
        <v>41761</v>
      </c>
      <c r="K5073" s="7" t="s">
        <v>7165</v>
      </c>
      <c r="L5073" s="7"/>
      <c r="M5073" s="7"/>
    </row>
    <row r="5074" spans="1:13" x14ac:dyDescent="0.3">
      <c r="A5074" s="7">
        <v>16348</v>
      </c>
      <c r="B5074" s="7" t="s">
        <v>5081</v>
      </c>
      <c r="C5074" s="7" t="s">
        <v>7045</v>
      </c>
      <c r="D5074" s="7" t="s">
        <v>6295</v>
      </c>
      <c r="E5074" s="7" t="s">
        <v>6940</v>
      </c>
      <c r="F5074" s="7" t="s">
        <v>6991</v>
      </c>
      <c r="G5074" s="7" t="s">
        <v>7150</v>
      </c>
      <c r="H5074" s="7" t="s">
        <v>7156</v>
      </c>
      <c r="I5074" s="7"/>
      <c r="J5074" s="10">
        <v>45369</v>
      </c>
      <c r="K5074" s="7" t="s">
        <v>7165</v>
      </c>
      <c r="L5074" s="7"/>
      <c r="M5074" s="7"/>
    </row>
    <row r="5075" spans="1:13" x14ac:dyDescent="0.3">
      <c r="A5075" s="7">
        <v>17229</v>
      </c>
      <c r="B5075" s="7" t="s">
        <v>5082</v>
      </c>
      <c r="C5075" s="7" t="s">
        <v>7045</v>
      </c>
      <c r="D5075" s="7" t="s">
        <v>6295</v>
      </c>
      <c r="E5075" s="7" t="s">
        <v>6940</v>
      </c>
      <c r="F5075" s="7" t="s">
        <v>6988</v>
      </c>
      <c r="G5075" s="7" t="s">
        <v>7150</v>
      </c>
      <c r="H5075" s="7" t="s">
        <v>7156</v>
      </c>
      <c r="I5075" s="7"/>
      <c r="J5075" s="10">
        <v>45678</v>
      </c>
      <c r="K5075" s="7" t="s">
        <v>7165</v>
      </c>
      <c r="L5075" s="7"/>
      <c r="M5075" s="7"/>
    </row>
    <row r="5076" spans="1:13" x14ac:dyDescent="0.3">
      <c r="A5076" s="7">
        <v>16992</v>
      </c>
      <c r="B5076" s="7" t="s">
        <v>5083</v>
      </c>
      <c r="C5076" s="7" t="s">
        <v>7045</v>
      </c>
      <c r="D5076" s="7" t="s">
        <v>6295</v>
      </c>
      <c r="E5076" s="7" t="s">
        <v>6940</v>
      </c>
      <c r="F5076" s="7" t="s">
        <v>6989</v>
      </c>
      <c r="G5076" s="7" t="s">
        <v>7150</v>
      </c>
      <c r="H5076" s="7" t="s">
        <v>7156</v>
      </c>
      <c r="I5076" s="7"/>
      <c r="J5076" s="10">
        <v>45587</v>
      </c>
      <c r="K5076" s="7" t="s">
        <v>7165</v>
      </c>
      <c r="L5076" s="7"/>
      <c r="M5076" s="7"/>
    </row>
    <row r="5077" spans="1:13" x14ac:dyDescent="0.3">
      <c r="A5077" s="7">
        <v>120035</v>
      </c>
      <c r="B5077" s="7" t="s">
        <v>5084</v>
      </c>
      <c r="C5077" s="7" t="s">
        <v>7045</v>
      </c>
      <c r="D5077" s="7" t="s">
        <v>6295</v>
      </c>
      <c r="E5077" s="7" t="s">
        <v>6940</v>
      </c>
      <c r="F5077" s="7" t="s">
        <v>6980</v>
      </c>
      <c r="G5077" s="7" t="s">
        <v>7150</v>
      </c>
      <c r="H5077" s="7" t="s">
        <v>7156</v>
      </c>
      <c r="I5077" s="7"/>
      <c r="J5077" s="10">
        <v>42675</v>
      </c>
      <c r="K5077" s="7" t="s">
        <v>7165</v>
      </c>
      <c r="L5077" s="7"/>
      <c r="M5077" s="7"/>
    </row>
    <row r="5078" spans="1:13" x14ac:dyDescent="0.3">
      <c r="A5078" s="7">
        <v>300193</v>
      </c>
      <c r="B5078" s="7" t="s">
        <v>5085</v>
      </c>
      <c r="C5078" s="7" t="s">
        <v>7045</v>
      </c>
      <c r="D5078" s="7" t="s">
        <v>6295</v>
      </c>
      <c r="E5078" s="7" t="s">
        <v>6940</v>
      </c>
      <c r="F5078" s="7" t="s">
        <v>6980</v>
      </c>
      <c r="G5078" s="7" t="s">
        <v>7150</v>
      </c>
      <c r="H5078" s="7" t="s">
        <v>7156</v>
      </c>
      <c r="I5078" s="7"/>
      <c r="J5078" s="10">
        <v>43801</v>
      </c>
      <c r="K5078" s="7" t="s">
        <v>7165</v>
      </c>
      <c r="L5078" s="7"/>
      <c r="M5078" s="7"/>
    </row>
    <row r="5079" spans="1:13" x14ac:dyDescent="0.3">
      <c r="A5079" s="7">
        <v>130048</v>
      </c>
      <c r="B5079" s="7" t="s">
        <v>5086</v>
      </c>
      <c r="C5079" s="7" t="s">
        <v>7045</v>
      </c>
      <c r="D5079" s="7" t="s">
        <v>6295</v>
      </c>
      <c r="E5079" s="7" t="s">
        <v>6940</v>
      </c>
      <c r="F5079" s="7" t="s">
        <v>6986</v>
      </c>
      <c r="G5079" s="7" t="s">
        <v>7150</v>
      </c>
      <c r="H5079" s="7" t="s">
        <v>7156</v>
      </c>
      <c r="I5079" s="7"/>
      <c r="J5079" s="10">
        <v>42997</v>
      </c>
      <c r="K5079" s="7" t="s">
        <v>7165</v>
      </c>
      <c r="L5079" s="7"/>
      <c r="M5079" s="7"/>
    </row>
    <row r="5080" spans="1:13" x14ac:dyDescent="0.3">
      <c r="A5080" s="7">
        <v>15728</v>
      </c>
      <c r="B5080" s="7" t="s">
        <v>5087</v>
      </c>
      <c r="C5080" s="7" t="s">
        <v>7045</v>
      </c>
      <c r="D5080" s="7" t="s">
        <v>6295</v>
      </c>
      <c r="E5080" s="7" t="s">
        <v>6940</v>
      </c>
      <c r="F5080" s="7" t="s">
        <v>6986</v>
      </c>
      <c r="G5080" s="7" t="s">
        <v>7150</v>
      </c>
      <c r="H5080" s="7" t="s">
        <v>7156</v>
      </c>
      <c r="I5080" s="7"/>
      <c r="J5080" s="10">
        <v>45177</v>
      </c>
      <c r="K5080" s="7" t="s">
        <v>7165</v>
      </c>
      <c r="L5080" s="7"/>
      <c r="M5080" s="7"/>
    </row>
    <row r="5081" spans="1:13" x14ac:dyDescent="0.3">
      <c r="A5081" s="7">
        <v>15730</v>
      </c>
      <c r="B5081" s="7" t="s">
        <v>5088</v>
      </c>
      <c r="C5081" s="7" t="s">
        <v>7045</v>
      </c>
      <c r="D5081" s="7" t="s">
        <v>6295</v>
      </c>
      <c r="E5081" s="7" t="s">
        <v>6940</v>
      </c>
      <c r="F5081" s="7" t="s">
        <v>6986</v>
      </c>
      <c r="G5081" s="7" t="s">
        <v>7150</v>
      </c>
      <c r="H5081" s="7" t="s">
        <v>7156</v>
      </c>
      <c r="I5081" s="7"/>
      <c r="J5081" s="10">
        <v>45177</v>
      </c>
      <c r="K5081" s="7" t="s">
        <v>7165</v>
      </c>
      <c r="L5081" s="7"/>
      <c r="M5081" s="7"/>
    </row>
    <row r="5082" spans="1:13" x14ac:dyDescent="0.3">
      <c r="A5082" s="7">
        <v>204008</v>
      </c>
      <c r="B5082" s="7" t="s">
        <v>5089</v>
      </c>
      <c r="C5082" s="7" t="s">
        <v>7045</v>
      </c>
      <c r="D5082" s="7" t="s">
        <v>6295</v>
      </c>
      <c r="E5082" s="7" t="s">
        <v>6940</v>
      </c>
      <c r="F5082" s="7" t="s">
        <v>6986</v>
      </c>
      <c r="G5082" s="7" t="s">
        <v>7150</v>
      </c>
      <c r="H5082" s="7" t="s">
        <v>7156</v>
      </c>
      <c r="I5082" s="7"/>
      <c r="J5082" s="10">
        <v>44566</v>
      </c>
      <c r="K5082" s="7" t="s">
        <v>7165</v>
      </c>
      <c r="L5082" s="7"/>
      <c r="M5082" s="7"/>
    </row>
    <row r="5083" spans="1:13" x14ac:dyDescent="0.3">
      <c r="A5083" s="7">
        <v>16680</v>
      </c>
      <c r="B5083" s="7" t="s">
        <v>5090</v>
      </c>
      <c r="C5083" s="7" t="s">
        <v>7045</v>
      </c>
      <c r="D5083" s="7" t="s">
        <v>6295</v>
      </c>
      <c r="E5083" s="7" t="s">
        <v>6940</v>
      </c>
      <c r="F5083" s="7" t="s">
        <v>6986</v>
      </c>
      <c r="G5083" s="7" t="s">
        <v>7150</v>
      </c>
      <c r="H5083" s="7" t="s">
        <v>7156</v>
      </c>
      <c r="I5083" s="7"/>
      <c r="J5083" s="10">
        <v>45519</v>
      </c>
      <c r="K5083" s="7" t="s">
        <v>7165</v>
      </c>
      <c r="L5083" s="7"/>
      <c r="M5083" s="7"/>
    </row>
    <row r="5084" spans="1:13" x14ac:dyDescent="0.3">
      <c r="A5084" s="7">
        <v>17263</v>
      </c>
      <c r="B5084" s="7" t="s">
        <v>5091</v>
      </c>
      <c r="C5084" s="7" t="s">
        <v>7045</v>
      </c>
      <c r="D5084" s="7" t="s">
        <v>6295</v>
      </c>
      <c r="E5084" s="7" t="s">
        <v>6940</v>
      </c>
      <c r="F5084" s="7" t="s">
        <v>6987</v>
      </c>
      <c r="G5084" s="7" t="s">
        <v>7150</v>
      </c>
      <c r="H5084" s="7" t="s">
        <v>7156</v>
      </c>
      <c r="I5084" s="7"/>
      <c r="J5084" s="10">
        <v>45693</v>
      </c>
      <c r="K5084" s="7" t="s">
        <v>7165</v>
      </c>
      <c r="L5084" s="7"/>
      <c r="M5084" s="7"/>
    </row>
    <row r="5085" spans="1:13" x14ac:dyDescent="0.3">
      <c r="A5085" s="7">
        <v>204001</v>
      </c>
      <c r="B5085" s="7" t="s">
        <v>5092</v>
      </c>
      <c r="C5085" s="7" t="s">
        <v>7045</v>
      </c>
      <c r="D5085" s="7" t="s">
        <v>6295</v>
      </c>
      <c r="E5085" s="7" t="s">
        <v>6951</v>
      </c>
      <c r="F5085" s="7" t="s">
        <v>6398</v>
      </c>
      <c r="G5085" s="7" t="s">
        <v>7150</v>
      </c>
      <c r="H5085" s="7" t="s">
        <v>7156</v>
      </c>
      <c r="I5085" s="7"/>
      <c r="J5085" s="10">
        <v>43427</v>
      </c>
      <c r="K5085" s="7" t="s">
        <v>7165</v>
      </c>
      <c r="L5085" s="7"/>
      <c r="M5085" s="7"/>
    </row>
    <row r="5086" spans="1:13" x14ac:dyDescent="0.3">
      <c r="A5086" s="7">
        <v>11916</v>
      </c>
      <c r="B5086" s="7" t="s">
        <v>5093</v>
      </c>
      <c r="C5086" s="7" t="s">
        <v>7046</v>
      </c>
      <c r="D5086" s="7" t="s">
        <v>6295</v>
      </c>
      <c r="E5086" s="7" t="s">
        <v>6295</v>
      </c>
      <c r="F5086" s="7" t="s">
        <v>6939</v>
      </c>
      <c r="G5086" s="7" t="s">
        <v>7150</v>
      </c>
      <c r="H5086" s="7" t="s">
        <v>7156</v>
      </c>
      <c r="I5086" s="7"/>
      <c r="J5086" s="10">
        <v>43276</v>
      </c>
      <c r="K5086" s="7" t="s">
        <v>7165</v>
      </c>
      <c r="L5086" s="7"/>
      <c r="M5086" s="7"/>
    </row>
    <row r="5087" spans="1:13" x14ac:dyDescent="0.3">
      <c r="A5087" s="7">
        <v>14344</v>
      </c>
      <c r="B5087" s="7" t="s">
        <v>5094</v>
      </c>
      <c r="C5087" s="7" t="s">
        <v>7046</v>
      </c>
      <c r="D5087" s="7" t="s">
        <v>6295</v>
      </c>
      <c r="E5087" s="7" t="s">
        <v>6940</v>
      </c>
      <c r="F5087" s="7" t="s">
        <v>6996</v>
      </c>
      <c r="G5087" s="7" t="s">
        <v>7150</v>
      </c>
      <c r="H5087" s="7" t="s">
        <v>7156</v>
      </c>
      <c r="I5087" s="7"/>
      <c r="J5087" s="10">
        <v>44736</v>
      </c>
      <c r="K5087" s="7" t="s">
        <v>7165</v>
      </c>
      <c r="L5087" s="7"/>
      <c r="M5087" s="7"/>
    </row>
    <row r="5088" spans="1:13" x14ac:dyDescent="0.3">
      <c r="A5088" s="7">
        <v>13719</v>
      </c>
      <c r="B5088" s="7" t="s">
        <v>5095</v>
      </c>
      <c r="C5088" s="7" t="s">
        <v>7046</v>
      </c>
      <c r="D5088" s="7" t="s">
        <v>6295</v>
      </c>
      <c r="E5088" s="7" t="s">
        <v>6940</v>
      </c>
      <c r="F5088" s="7" t="s">
        <v>7047</v>
      </c>
      <c r="G5088" s="7" t="s">
        <v>7150</v>
      </c>
      <c r="H5088" s="7" t="s">
        <v>7156</v>
      </c>
      <c r="I5088" s="7"/>
      <c r="J5088" s="10">
        <v>44545</v>
      </c>
      <c r="K5088" s="7" t="s">
        <v>7165</v>
      </c>
      <c r="L5088" s="7"/>
      <c r="M5088" s="7"/>
    </row>
    <row r="5089" spans="1:13" x14ac:dyDescent="0.3">
      <c r="A5089" s="7">
        <v>160040</v>
      </c>
      <c r="B5089" s="7" t="s">
        <v>5096</v>
      </c>
      <c r="C5089" s="7" t="s">
        <v>7046</v>
      </c>
      <c r="D5089" s="7" t="s">
        <v>6295</v>
      </c>
      <c r="E5089" s="7" t="s">
        <v>6940</v>
      </c>
      <c r="F5089" s="7" t="s">
        <v>6991</v>
      </c>
      <c r="G5089" s="7" t="s">
        <v>7150</v>
      </c>
      <c r="H5089" s="7" t="s">
        <v>7156</v>
      </c>
      <c r="I5089" s="7"/>
      <c r="J5089" s="10">
        <v>42675</v>
      </c>
      <c r="K5089" s="7" t="s">
        <v>7165</v>
      </c>
      <c r="L5089" s="7"/>
      <c r="M5089" s="7"/>
    </row>
    <row r="5090" spans="1:13" x14ac:dyDescent="0.3">
      <c r="A5090" s="7">
        <v>14257</v>
      </c>
      <c r="B5090" s="7" t="s">
        <v>5097</v>
      </c>
      <c r="C5090" s="7" t="s">
        <v>7046</v>
      </c>
      <c r="D5090" s="7" t="s">
        <v>6295</v>
      </c>
      <c r="E5090" s="7" t="s">
        <v>6940</v>
      </c>
      <c r="F5090" s="7" t="s">
        <v>6989</v>
      </c>
      <c r="G5090" s="7" t="s">
        <v>7151</v>
      </c>
      <c r="H5090" s="7" t="s">
        <v>7156</v>
      </c>
      <c r="I5090" s="7"/>
      <c r="J5090" s="10">
        <v>44714</v>
      </c>
      <c r="K5090" s="7" t="s">
        <v>7165</v>
      </c>
      <c r="L5090" s="7"/>
      <c r="M5090" s="7"/>
    </row>
    <row r="5091" spans="1:13" x14ac:dyDescent="0.3">
      <c r="A5091" s="7">
        <v>19251</v>
      </c>
      <c r="B5091" s="7" t="s">
        <v>5098</v>
      </c>
      <c r="C5091" s="7" t="s">
        <v>7046</v>
      </c>
      <c r="D5091" s="7" t="s">
        <v>6295</v>
      </c>
      <c r="E5091" s="7" t="s">
        <v>6940</v>
      </c>
      <c r="F5091" s="7" t="s">
        <v>6993</v>
      </c>
      <c r="G5091" s="7" t="s">
        <v>7150</v>
      </c>
      <c r="H5091" s="7" t="s">
        <v>7157</v>
      </c>
      <c r="I5091" s="7"/>
      <c r="J5091" s="10">
        <v>46287</v>
      </c>
      <c r="K5091" s="7" t="s">
        <v>7165</v>
      </c>
      <c r="L5091" s="7"/>
      <c r="M5091" s="7"/>
    </row>
    <row r="5092" spans="1:13" x14ac:dyDescent="0.3">
      <c r="A5092" s="7">
        <v>20007</v>
      </c>
      <c r="B5092" s="7" t="s">
        <v>5099</v>
      </c>
      <c r="C5092" s="7" t="s">
        <v>7046</v>
      </c>
      <c r="D5092" s="7" t="s">
        <v>6295</v>
      </c>
      <c r="E5092" s="7" t="s">
        <v>6940</v>
      </c>
      <c r="F5092" s="7" t="s">
        <v>6980</v>
      </c>
      <c r="G5092" s="7" t="s">
        <v>7150</v>
      </c>
      <c r="H5092" s="7" t="s">
        <v>7156</v>
      </c>
      <c r="I5092" s="7"/>
      <c r="J5092" s="10">
        <v>40532</v>
      </c>
      <c r="K5092" s="7" t="s">
        <v>7165</v>
      </c>
      <c r="L5092" s="7"/>
      <c r="M5092" s="7"/>
    </row>
    <row r="5093" spans="1:13" x14ac:dyDescent="0.3">
      <c r="A5093" s="7">
        <v>140027</v>
      </c>
      <c r="B5093" s="7" t="s">
        <v>5100</v>
      </c>
      <c r="C5093" s="7" t="s">
        <v>7046</v>
      </c>
      <c r="D5093" s="7" t="s">
        <v>6295</v>
      </c>
      <c r="E5093" s="7" t="s">
        <v>6940</v>
      </c>
      <c r="F5093" s="7" t="s">
        <v>6980</v>
      </c>
      <c r="G5093" s="7" t="s">
        <v>7150</v>
      </c>
      <c r="H5093" s="7" t="s">
        <v>7156</v>
      </c>
      <c r="I5093" s="7"/>
      <c r="J5093" s="10">
        <v>42241</v>
      </c>
      <c r="K5093" s="7" t="s">
        <v>7165</v>
      </c>
      <c r="L5093" s="7"/>
      <c r="M5093" s="7"/>
    </row>
    <row r="5094" spans="1:13" x14ac:dyDescent="0.3">
      <c r="A5094" s="7">
        <v>300184</v>
      </c>
      <c r="B5094" s="7" t="s">
        <v>5101</v>
      </c>
      <c r="C5094" s="7" t="s">
        <v>7046</v>
      </c>
      <c r="D5094" s="7" t="s">
        <v>6295</v>
      </c>
      <c r="E5094" s="7" t="s">
        <v>6940</v>
      </c>
      <c r="F5094" s="7" t="s">
        <v>6980</v>
      </c>
      <c r="G5094" s="7" t="s">
        <v>7150</v>
      </c>
      <c r="H5094" s="7" t="s">
        <v>7156</v>
      </c>
      <c r="I5094" s="7"/>
      <c r="J5094" s="10">
        <v>43698</v>
      </c>
      <c r="K5094" s="7" t="s">
        <v>7165</v>
      </c>
      <c r="L5094" s="7"/>
      <c r="M5094" s="7"/>
    </row>
    <row r="5095" spans="1:13" x14ac:dyDescent="0.3">
      <c r="A5095" s="7">
        <v>11618</v>
      </c>
      <c r="B5095" s="7" t="s">
        <v>5102</v>
      </c>
      <c r="C5095" s="7" t="s">
        <v>7046</v>
      </c>
      <c r="D5095" s="7" t="s">
        <v>6295</v>
      </c>
      <c r="E5095" s="7" t="s">
        <v>6940</v>
      </c>
      <c r="F5095" s="7" t="s">
        <v>6980</v>
      </c>
      <c r="G5095" s="7" t="s">
        <v>7150</v>
      </c>
      <c r="H5095" s="7" t="s">
        <v>7156</v>
      </c>
      <c r="I5095" s="7"/>
      <c r="J5095" s="10">
        <v>42933</v>
      </c>
      <c r="K5095" s="7" t="s">
        <v>7165</v>
      </c>
      <c r="L5095" s="7"/>
      <c r="M5095" s="7"/>
    </row>
    <row r="5096" spans="1:13" x14ac:dyDescent="0.3">
      <c r="A5096" s="7">
        <v>120054</v>
      </c>
      <c r="B5096" s="7" t="s">
        <v>5103</v>
      </c>
      <c r="C5096" s="7" t="s">
        <v>7046</v>
      </c>
      <c r="D5096" s="7" t="s">
        <v>6295</v>
      </c>
      <c r="E5096" s="7" t="s">
        <v>6940</v>
      </c>
      <c r="F5096" s="7" t="s">
        <v>6986</v>
      </c>
      <c r="G5096" s="7" t="s">
        <v>7151</v>
      </c>
      <c r="H5096" s="7" t="s">
        <v>7156</v>
      </c>
      <c r="I5096" s="7"/>
      <c r="J5096" s="10">
        <v>44572</v>
      </c>
      <c r="K5096" s="7" t="s">
        <v>7165</v>
      </c>
      <c r="L5096" s="7"/>
      <c r="M5096" s="7"/>
    </row>
    <row r="5097" spans="1:13" x14ac:dyDescent="0.3">
      <c r="A5097" s="7">
        <v>600026</v>
      </c>
      <c r="B5097" s="7" t="s">
        <v>5104</v>
      </c>
      <c r="C5097" s="7" t="s">
        <v>7046</v>
      </c>
      <c r="D5097" s="7" t="s">
        <v>6295</v>
      </c>
      <c r="E5097" s="7" t="s">
        <v>6951</v>
      </c>
      <c r="F5097" s="7" t="s">
        <v>6398</v>
      </c>
      <c r="G5097" s="7" t="s">
        <v>7150</v>
      </c>
      <c r="H5097" s="7" t="s">
        <v>7156</v>
      </c>
      <c r="I5097" s="7"/>
      <c r="J5097" s="10">
        <v>38992</v>
      </c>
      <c r="K5097" s="7" t="s">
        <v>7165</v>
      </c>
      <c r="L5097" s="7"/>
      <c r="M5097" s="7"/>
    </row>
    <row r="5098" spans="1:13" x14ac:dyDescent="0.3">
      <c r="A5098" s="7">
        <v>600027</v>
      </c>
      <c r="B5098" s="7" t="s">
        <v>5105</v>
      </c>
      <c r="C5098" s="7" t="s">
        <v>7046</v>
      </c>
      <c r="D5098" s="7" t="s">
        <v>6295</v>
      </c>
      <c r="E5098" s="7" t="s">
        <v>6951</v>
      </c>
      <c r="F5098" s="7" t="s">
        <v>6398</v>
      </c>
      <c r="G5098" s="7" t="s">
        <v>7150</v>
      </c>
      <c r="H5098" s="7" t="s">
        <v>7156</v>
      </c>
      <c r="I5098" s="7"/>
      <c r="J5098" s="10">
        <v>39212</v>
      </c>
      <c r="K5098" s="7" t="s">
        <v>7165</v>
      </c>
      <c r="L5098" s="7"/>
      <c r="M5098" s="7"/>
    </row>
    <row r="5099" spans="1:13" x14ac:dyDescent="0.3">
      <c r="A5099" s="7">
        <v>12317</v>
      </c>
      <c r="B5099" s="7" t="s">
        <v>5106</v>
      </c>
      <c r="C5099" s="7" t="s">
        <v>7048</v>
      </c>
      <c r="D5099" s="7" t="s">
        <v>6295</v>
      </c>
      <c r="E5099" s="7" t="s">
        <v>6295</v>
      </c>
      <c r="F5099" s="7" t="s">
        <v>6939</v>
      </c>
      <c r="G5099" s="7" t="s">
        <v>7150</v>
      </c>
      <c r="H5099" s="7" t="s">
        <v>7156</v>
      </c>
      <c r="I5099" s="7"/>
      <c r="J5099" s="10">
        <v>43682</v>
      </c>
      <c r="K5099" s="7" t="s">
        <v>7165</v>
      </c>
      <c r="L5099" s="7"/>
      <c r="M5099" s="7"/>
    </row>
    <row r="5100" spans="1:13" x14ac:dyDescent="0.3">
      <c r="A5100" s="7">
        <v>400044</v>
      </c>
      <c r="B5100" s="7" t="s">
        <v>5107</v>
      </c>
      <c r="C5100" s="7" t="s">
        <v>7048</v>
      </c>
      <c r="D5100" s="7" t="s">
        <v>6295</v>
      </c>
      <c r="E5100" s="7" t="s">
        <v>6940</v>
      </c>
      <c r="F5100" s="7" t="s">
        <v>6498</v>
      </c>
      <c r="G5100" s="7" t="s">
        <v>7150</v>
      </c>
      <c r="H5100" s="7" t="s">
        <v>7156</v>
      </c>
      <c r="I5100" s="7"/>
      <c r="J5100" s="10">
        <v>42821</v>
      </c>
      <c r="K5100" s="7" t="s">
        <v>7165</v>
      </c>
      <c r="L5100" s="7"/>
      <c r="M5100" s="7"/>
    </row>
    <row r="5101" spans="1:13" x14ac:dyDescent="0.3">
      <c r="A5101" s="7">
        <v>280002</v>
      </c>
      <c r="B5101" s="7" t="s">
        <v>5108</v>
      </c>
      <c r="C5101" s="7" t="s">
        <v>7048</v>
      </c>
      <c r="D5101" s="7" t="s">
        <v>6295</v>
      </c>
      <c r="E5101" s="7" t="s">
        <v>6940</v>
      </c>
      <c r="F5101" s="7" t="s">
        <v>6991</v>
      </c>
      <c r="G5101" s="7" t="s">
        <v>7150</v>
      </c>
      <c r="H5101" s="7" t="s">
        <v>7156</v>
      </c>
      <c r="I5101" s="7"/>
      <c r="J5101" s="10">
        <v>39176</v>
      </c>
      <c r="K5101" s="7" t="s">
        <v>7165</v>
      </c>
      <c r="L5101" s="7"/>
      <c r="M5101" s="7"/>
    </row>
    <row r="5102" spans="1:13" x14ac:dyDescent="0.3">
      <c r="A5102" s="7">
        <v>270004</v>
      </c>
      <c r="B5102" s="7" t="s">
        <v>5109</v>
      </c>
      <c r="C5102" s="7" t="s">
        <v>7048</v>
      </c>
      <c r="D5102" s="7" t="s">
        <v>6295</v>
      </c>
      <c r="E5102" s="7" t="s">
        <v>6940</v>
      </c>
      <c r="F5102" s="7" t="s">
        <v>6991</v>
      </c>
      <c r="G5102" s="7" t="s">
        <v>7150</v>
      </c>
      <c r="H5102" s="7" t="s">
        <v>7156</v>
      </c>
      <c r="I5102" s="7"/>
      <c r="J5102" s="10">
        <v>36685</v>
      </c>
      <c r="K5102" s="7" t="s">
        <v>7165</v>
      </c>
      <c r="L5102" s="7"/>
      <c r="M5102" s="7"/>
    </row>
    <row r="5103" spans="1:13" x14ac:dyDescent="0.3">
      <c r="A5103" s="7">
        <v>270026</v>
      </c>
      <c r="B5103" s="7" t="s">
        <v>5110</v>
      </c>
      <c r="C5103" s="7" t="s">
        <v>7048</v>
      </c>
      <c r="D5103" s="7" t="s">
        <v>6295</v>
      </c>
      <c r="E5103" s="7" t="s">
        <v>6940</v>
      </c>
      <c r="F5103" s="7" t="s">
        <v>6992</v>
      </c>
      <c r="G5103" s="7" t="s">
        <v>7150</v>
      </c>
      <c r="H5103" s="7" t="s">
        <v>7156</v>
      </c>
      <c r="I5103" s="7"/>
      <c r="J5103" s="10">
        <v>41710</v>
      </c>
      <c r="K5103" s="7" t="s">
        <v>7165</v>
      </c>
      <c r="L5103" s="7"/>
      <c r="M5103" s="7"/>
    </row>
    <row r="5104" spans="1:13" x14ac:dyDescent="0.3">
      <c r="A5104" s="7">
        <v>15215</v>
      </c>
      <c r="B5104" s="7" t="s">
        <v>5111</v>
      </c>
      <c r="C5104" s="7" t="s">
        <v>7048</v>
      </c>
      <c r="D5104" s="7" t="s">
        <v>6295</v>
      </c>
      <c r="E5104" s="7" t="s">
        <v>6940</v>
      </c>
      <c r="F5104" s="7" t="s">
        <v>6992</v>
      </c>
      <c r="G5104" s="7" t="s">
        <v>7150</v>
      </c>
      <c r="H5104" s="7" t="s">
        <v>7156</v>
      </c>
      <c r="I5104" s="7"/>
      <c r="J5104" s="10">
        <v>44988</v>
      </c>
      <c r="K5104" s="7" t="s">
        <v>7165</v>
      </c>
      <c r="L5104" s="7"/>
      <c r="M5104" s="7"/>
    </row>
    <row r="5105" spans="1:13" x14ac:dyDescent="0.3">
      <c r="A5105" s="7">
        <v>270041</v>
      </c>
      <c r="B5105" s="7" t="s">
        <v>5112</v>
      </c>
      <c r="C5105" s="7" t="s">
        <v>7048</v>
      </c>
      <c r="D5105" s="7" t="s">
        <v>6295</v>
      </c>
      <c r="E5105" s="7" t="s">
        <v>6940</v>
      </c>
      <c r="F5105" s="7" t="s">
        <v>6980</v>
      </c>
      <c r="G5105" s="7" t="s">
        <v>7152</v>
      </c>
      <c r="H5105" s="7" t="s">
        <v>7156</v>
      </c>
      <c r="I5105" s="7"/>
      <c r="J5105" s="10">
        <v>43353</v>
      </c>
      <c r="K5105" s="7" t="s">
        <v>7165</v>
      </c>
      <c r="L5105" s="7"/>
      <c r="M5105" s="7"/>
    </row>
    <row r="5106" spans="1:13" x14ac:dyDescent="0.3">
      <c r="A5106" s="7">
        <v>270046</v>
      </c>
      <c r="B5106" s="7" t="s">
        <v>5113</v>
      </c>
      <c r="C5106" s="7" t="s">
        <v>7048</v>
      </c>
      <c r="D5106" s="7" t="s">
        <v>6295</v>
      </c>
      <c r="E5106" s="7" t="s">
        <v>6940</v>
      </c>
      <c r="F5106" s="7" t="s">
        <v>6980</v>
      </c>
      <c r="G5106" s="7" t="s">
        <v>7150</v>
      </c>
      <c r="H5106" s="7" t="s">
        <v>7156</v>
      </c>
      <c r="I5106" s="7"/>
      <c r="J5106" s="10">
        <v>43777</v>
      </c>
      <c r="K5106" s="7" t="s">
        <v>7165</v>
      </c>
      <c r="L5106" s="7"/>
      <c r="M5106" s="7"/>
    </row>
    <row r="5107" spans="1:13" x14ac:dyDescent="0.3">
      <c r="A5107" s="7">
        <v>260007</v>
      </c>
      <c r="B5107" s="7" t="s">
        <v>5114</v>
      </c>
      <c r="C5107" s="7" t="s">
        <v>7048</v>
      </c>
      <c r="D5107" s="7" t="s">
        <v>6295</v>
      </c>
      <c r="E5107" s="7" t="s">
        <v>6940</v>
      </c>
      <c r="F5107" s="7" t="s">
        <v>6980</v>
      </c>
      <c r="G5107" s="7" t="s">
        <v>7150</v>
      </c>
      <c r="H5107" s="7" t="s">
        <v>7156</v>
      </c>
      <c r="I5107" s="7"/>
      <c r="J5107" s="10">
        <v>37211</v>
      </c>
      <c r="K5107" s="7" t="s">
        <v>7165</v>
      </c>
      <c r="L5107" s="7"/>
      <c r="M5107" s="7"/>
    </row>
    <row r="5108" spans="1:13" x14ac:dyDescent="0.3">
      <c r="A5108" s="7">
        <v>870026</v>
      </c>
      <c r="B5108" s="7" t="s">
        <v>5115</v>
      </c>
      <c r="C5108" s="7" t="s">
        <v>7048</v>
      </c>
      <c r="D5108" s="7" t="s">
        <v>6295</v>
      </c>
      <c r="E5108" s="7" t="s">
        <v>6940</v>
      </c>
      <c r="F5108" s="7" t="s">
        <v>6980</v>
      </c>
      <c r="G5108" s="7" t="s">
        <v>7150</v>
      </c>
      <c r="H5108" s="7" t="s">
        <v>7156</v>
      </c>
      <c r="I5108" s="7"/>
      <c r="J5108" s="10">
        <v>42821</v>
      </c>
      <c r="K5108" s="7" t="s">
        <v>7165</v>
      </c>
      <c r="L5108" s="7"/>
      <c r="M5108" s="7"/>
    </row>
    <row r="5109" spans="1:13" x14ac:dyDescent="0.3">
      <c r="A5109" s="7">
        <v>280017</v>
      </c>
      <c r="B5109" s="7" t="s">
        <v>5116</v>
      </c>
      <c r="C5109" s="7" t="s">
        <v>7048</v>
      </c>
      <c r="D5109" s="7" t="s">
        <v>6295</v>
      </c>
      <c r="E5109" s="7" t="s">
        <v>6940</v>
      </c>
      <c r="F5109" s="7" t="s">
        <v>6980</v>
      </c>
      <c r="G5109" s="7" t="s">
        <v>7150</v>
      </c>
      <c r="H5109" s="7" t="s">
        <v>7156</v>
      </c>
      <c r="I5109" s="7"/>
      <c r="J5109" s="10">
        <v>37202</v>
      </c>
      <c r="K5109" s="7" t="s">
        <v>7165</v>
      </c>
      <c r="L5109" s="7"/>
      <c r="M5109" s="7"/>
    </row>
    <row r="5110" spans="1:13" x14ac:dyDescent="0.3">
      <c r="A5110" s="7">
        <v>770018</v>
      </c>
      <c r="B5110" s="7" t="s">
        <v>5117</v>
      </c>
      <c r="C5110" s="7" t="s">
        <v>7048</v>
      </c>
      <c r="D5110" s="7" t="s">
        <v>6295</v>
      </c>
      <c r="E5110" s="7" t="s">
        <v>6940</v>
      </c>
      <c r="F5110" s="7" t="s">
        <v>6980</v>
      </c>
      <c r="G5110" s="7" t="s">
        <v>7150</v>
      </c>
      <c r="H5110" s="7" t="s">
        <v>7156</v>
      </c>
      <c r="I5110" s="7"/>
      <c r="J5110" s="10">
        <v>42352</v>
      </c>
      <c r="K5110" s="7" t="s">
        <v>7165</v>
      </c>
      <c r="L5110" s="7"/>
      <c r="M5110" s="7"/>
    </row>
    <row r="5111" spans="1:13" x14ac:dyDescent="0.3">
      <c r="A5111" s="7">
        <v>260016</v>
      </c>
      <c r="B5111" s="7" t="s">
        <v>5118</v>
      </c>
      <c r="C5111" s="7" t="s">
        <v>7048</v>
      </c>
      <c r="D5111" s="7" t="s">
        <v>6295</v>
      </c>
      <c r="E5111" s="7" t="s">
        <v>6940</v>
      </c>
      <c r="F5111" s="7" t="s">
        <v>6980</v>
      </c>
      <c r="G5111" s="7" t="s">
        <v>7150</v>
      </c>
      <c r="H5111" s="7" t="s">
        <v>7156</v>
      </c>
      <c r="I5111" s="7"/>
      <c r="J5111" s="10">
        <v>43843</v>
      </c>
      <c r="K5111" s="7" t="s">
        <v>7165</v>
      </c>
      <c r="L5111" s="7"/>
      <c r="M5111" s="7"/>
    </row>
    <row r="5112" spans="1:13" x14ac:dyDescent="0.3">
      <c r="A5112" s="7">
        <v>18234</v>
      </c>
      <c r="B5112" s="7" t="s">
        <v>5119</v>
      </c>
      <c r="C5112" s="7" t="s">
        <v>7048</v>
      </c>
      <c r="D5112" s="7" t="s">
        <v>6295</v>
      </c>
      <c r="E5112" s="7" t="s">
        <v>6940</v>
      </c>
      <c r="F5112" s="7" t="s">
        <v>7004</v>
      </c>
      <c r="G5112" s="7" t="s">
        <v>7150</v>
      </c>
      <c r="H5112" s="7" t="s">
        <v>7156</v>
      </c>
      <c r="I5112" s="7"/>
      <c r="J5112" s="10">
        <v>46066</v>
      </c>
      <c r="K5112" s="7" t="s">
        <v>7165</v>
      </c>
      <c r="L5112" s="7"/>
      <c r="M5112" s="7"/>
    </row>
    <row r="5113" spans="1:13" x14ac:dyDescent="0.3">
      <c r="A5113" s="7">
        <v>850115</v>
      </c>
      <c r="B5113" s="7" t="s">
        <v>5120</v>
      </c>
      <c r="C5113" s="7" t="s">
        <v>7048</v>
      </c>
      <c r="D5113" s="7" t="s">
        <v>6295</v>
      </c>
      <c r="E5113" s="7" t="s">
        <v>6940</v>
      </c>
      <c r="F5113" s="7" t="s">
        <v>6986</v>
      </c>
      <c r="G5113" s="7" t="s">
        <v>7150</v>
      </c>
      <c r="H5113" s="7" t="s">
        <v>7156</v>
      </c>
      <c r="I5113" s="7"/>
      <c r="J5113" s="10">
        <v>44257</v>
      </c>
      <c r="K5113" s="7" t="s">
        <v>7165</v>
      </c>
      <c r="L5113" s="7"/>
      <c r="M5113" s="7"/>
    </row>
    <row r="5114" spans="1:13" x14ac:dyDescent="0.3">
      <c r="A5114" s="7">
        <v>16354</v>
      </c>
      <c r="B5114" s="7" t="s">
        <v>5121</v>
      </c>
      <c r="C5114" s="7" t="s">
        <v>7048</v>
      </c>
      <c r="D5114" s="7" t="s">
        <v>6295</v>
      </c>
      <c r="E5114" s="7" t="s">
        <v>6940</v>
      </c>
      <c r="F5114" s="7" t="s">
        <v>6987</v>
      </c>
      <c r="G5114" s="7" t="s">
        <v>7150</v>
      </c>
      <c r="H5114" s="7" t="s">
        <v>7156</v>
      </c>
      <c r="I5114" s="7"/>
      <c r="J5114" s="10">
        <v>45358</v>
      </c>
      <c r="K5114" s="7" t="s">
        <v>7165</v>
      </c>
      <c r="L5114" s="7"/>
      <c r="M5114" s="7"/>
    </row>
    <row r="5115" spans="1:13" x14ac:dyDescent="0.3">
      <c r="A5115" s="7">
        <v>18051</v>
      </c>
      <c r="B5115" s="7" t="s">
        <v>5122</v>
      </c>
      <c r="C5115" s="7" t="s">
        <v>7048</v>
      </c>
      <c r="D5115" s="7" t="s">
        <v>6295</v>
      </c>
      <c r="E5115" s="7" t="s">
        <v>6940</v>
      </c>
      <c r="F5115" s="7" t="s">
        <v>6987</v>
      </c>
      <c r="G5115" s="7" t="s">
        <v>7150</v>
      </c>
      <c r="H5115" s="7" t="s">
        <v>7156</v>
      </c>
      <c r="I5115" s="7"/>
      <c r="J5115" s="10">
        <v>45978</v>
      </c>
      <c r="K5115" s="7" t="s">
        <v>7165</v>
      </c>
      <c r="L5115" s="7"/>
      <c r="M5115" s="7"/>
    </row>
    <row r="5116" spans="1:13" x14ac:dyDescent="0.3">
      <c r="A5116" s="7">
        <v>280037</v>
      </c>
      <c r="B5116" s="7" t="s">
        <v>5123</v>
      </c>
      <c r="C5116" s="7" t="s">
        <v>7048</v>
      </c>
      <c r="D5116" s="7" t="s">
        <v>6295</v>
      </c>
      <c r="E5116" s="7" t="s">
        <v>6940</v>
      </c>
      <c r="F5116" s="7" t="s">
        <v>6986</v>
      </c>
      <c r="G5116" s="7" t="s">
        <v>7150</v>
      </c>
      <c r="H5116" s="7" t="s">
        <v>7156</v>
      </c>
      <c r="I5116" s="7"/>
      <c r="J5116" s="10">
        <v>44624</v>
      </c>
      <c r="K5116" s="7" t="s">
        <v>7165</v>
      </c>
      <c r="L5116" s="7"/>
      <c r="M5116" s="7"/>
    </row>
    <row r="5117" spans="1:13" x14ac:dyDescent="0.3">
      <c r="A5117" s="7">
        <v>300258</v>
      </c>
      <c r="B5117" s="7" t="s">
        <v>5124</v>
      </c>
      <c r="C5117" s="7" t="s">
        <v>7048</v>
      </c>
      <c r="D5117" s="7" t="s">
        <v>6295</v>
      </c>
      <c r="E5117" s="7" t="s">
        <v>6940</v>
      </c>
      <c r="F5117" s="7" t="s">
        <v>6986</v>
      </c>
      <c r="G5117" s="7" t="s">
        <v>7150</v>
      </c>
      <c r="H5117" s="7" t="s">
        <v>7156</v>
      </c>
      <c r="I5117" s="7"/>
      <c r="J5117" s="10">
        <v>44631</v>
      </c>
      <c r="K5117" s="7" t="s">
        <v>7165</v>
      </c>
      <c r="L5117" s="7"/>
      <c r="M5117" s="7"/>
    </row>
    <row r="5118" spans="1:13" x14ac:dyDescent="0.3">
      <c r="A5118" s="7">
        <v>18099</v>
      </c>
      <c r="B5118" s="7" t="s">
        <v>5125</v>
      </c>
      <c r="C5118" s="7" t="s">
        <v>7048</v>
      </c>
      <c r="D5118" s="7" t="s">
        <v>6295</v>
      </c>
      <c r="E5118" s="7" t="s">
        <v>6940</v>
      </c>
      <c r="F5118" s="7" t="s">
        <v>6987</v>
      </c>
      <c r="G5118" s="7" t="s">
        <v>7150</v>
      </c>
      <c r="H5118" s="7" t="s">
        <v>7156</v>
      </c>
      <c r="I5118" s="7"/>
      <c r="J5118" s="10">
        <v>45994</v>
      </c>
      <c r="K5118" s="7" t="s">
        <v>7165</v>
      </c>
      <c r="L5118" s="7"/>
      <c r="M5118" s="7"/>
    </row>
    <row r="5119" spans="1:13" x14ac:dyDescent="0.3">
      <c r="A5119" s="7">
        <v>270014</v>
      </c>
      <c r="B5119" s="7" t="s">
        <v>5126</v>
      </c>
      <c r="C5119" s="7" t="s">
        <v>7048</v>
      </c>
      <c r="D5119" s="7" t="s">
        <v>6295</v>
      </c>
      <c r="E5119" s="7" t="s">
        <v>6951</v>
      </c>
      <c r="F5119" s="7" t="s">
        <v>6398</v>
      </c>
      <c r="G5119" s="7" t="s">
        <v>7150</v>
      </c>
      <c r="H5119" s="7" t="s">
        <v>7156</v>
      </c>
      <c r="I5119" s="7"/>
      <c r="J5119" s="10">
        <v>41236</v>
      </c>
      <c r="K5119" s="7" t="s">
        <v>7165</v>
      </c>
      <c r="L5119" s="7"/>
      <c r="M5119" s="7"/>
    </row>
    <row r="5120" spans="1:13" x14ac:dyDescent="0.3">
      <c r="A5120" s="7">
        <v>14088</v>
      </c>
      <c r="B5120" s="7" t="s">
        <v>5127</v>
      </c>
      <c r="C5120" s="7" t="s">
        <v>7048</v>
      </c>
      <c r="D5120" s="7" t="s">
        <v>6295</v>
      </c>
      <c r="E5120" s="7" t="s">
        <v>6994</v>
      </c>
      <c r="F5120" s="7" t="s">
        <v>6498</v>
      </c>
      <c r="G5120" s="7" t="s">
        <v>7150</v>
      </c>
      <c r="H5120" s="7" t="s">
        <v>7156</v>
      </c>
      <c r="I5120" s="7"/>
      <c r="J5120" s="10">
        <v>44656</v>
      </c>
      <c r="K5120" s="7" t="s">
        <v>7165</v>
      </c>
      <c r="L5120" s="7"/>
      <c r="M5120" s="7"/>
    </row>
    <row r="5121" spans="1:13" x14ac:dyDescent="0.3">
      <c r="A5121" s="7">
        <v>250050</v>
      </c>
      <c r="B5121" s="7" t="s">
        <v>5128</v>
      </c>
      <c r="C5121" s="7" t="s">
        <v>7048</v>
      </c>
      <c r="D5121" s="7" t="s">
        <v>6295</v>
      </c>
      <c r="E5121" s="7" t="s">
        <v>6994</v>
      </c>
      <c r="F5121" s="7" t="s">
        <v>6353</v>
      </c>
      <c r="G5121" s="7" t="s">
        <v>7150</v>
      </c>
      <c r="H5121" s="7" t="s">
        <v>7156</v>
      </c>
      <c r="I5121" s="7"/>
      <c r="J5121" s="10">
        <v>44545</v>
      </c>
      <c r="K5121" s="7" t="s">
        <v>7165</v>
      </c>
      <c r="L5121" s="7"/>
      <c r="M5121" s="7"/>
    </row>
    <row r="5122" spans="1:13" x14ac:dyDescent="0.3">
      <c r="A5122" s="7">
        <v>15345</v>
      </c>
      <c r="B5122" s="7" t="s">
        <v>5129</v>
      </c>
      <c r="C5122" s="7" t="s">
        <v>7048</v>
      </c>
      <c r="D5122" s="7" t="s">
        <v>6295</v>
      </c>
      <c r="E5122" s="7" t="s">
        <v>6994</v>
      </c>
      <c r="F5122" s="7" t="s">
        <v>6340</v>
      </c>
      <c r="G5122" s="7" t="s">
        <v>7150</v>
      </c>
      <c r="H5122" s="7" t="s">
        <v>7156</v>
      </c>
      <c r="I5122" s="7"/>
      <c r="J5122" s="10">
        <v>45036</v>
      </c>
      <c r="K5122" s="7" t="s">
        <v>7165</v>
      </c>
      <c r="L5122" s="7"/>
      <c r="M5122" s="7"/>
    </row>
    <row r="5123" spans="1:13" x14ac:dyDescent="0.3">
      <c r="A5123" s="7">
        <v>17337</v>
      </c>
      <c r="B5123" s="7" t="s">
        <v>5130</v>
      </c>
      <c r="C5123" s="7" t="s">
        <v>7048</v>
      </c>
      <c r="D5123" s="7" t="s">
        <v>6295</v>
      </c>
      <c r="E5123" s="7" t="s">
        <v>6994</v>
      </c>
      <c r="F5123" s="7" t="s">
        <v>6348</v>
      </c>
      <c r="G5123" s="7" t="s">
        <v>7150</v>
      </c>
      <c r="H5123" s="7" t="s">
        <v>7156</v>
      </c>
      <c r="I5123" s="7"/>
      <c r="J5123" s="10">
        <v>45712</v>
      </c>
      <c r="K5123" s="7" t="s">
        <v>7165</v>
      </c>
      <c r="L5123" s="7"/>
      <c r="M5123" s="7"/>
    </row>
    <row r="5124" spans="1:13" x14ac:dyDescent="0.3">
      <c r="A5124" s="7">
        <v>18414</v>
      </c>
      <c r="B5124" s="7" t="s">
        <v>5131</v>
      </c>
      <c r="C5124" s="7" t="s">
        <v>7048</v>
      </c>
      <c r="D5124" s="7" t="s">
        <v>6295</v>
      </c>
      <c r="E5124" s="7" t="s">
        <v>6994</v>
      </c>
      <c r="F5124" s="7" t="s">
        <v>6348</v>
      </c>
      <c r="G5124" s="7" t="s">
        <v>7150</v>
      </c>
      <c r="H5124" s="7" t="s">
        <v>7156</v>
      </c>
      <c r="I5124" s="7"/>
      <c r="J5124" s="10">
        <v>46126</v>
      </c>
      <c r="K5124" s="7" t="s">
        <v>7165</v>
      </c>
      <c r="L5124" s="7"/>
      <c r="M5124" s="7"/>
    </row>
    <row r="5125" spans="1:13" x14ac:dyDescent="0.3">
      <c r="A5125" s="7">
        <v>210001</v>
      </c>
      <c r="B5125" s="7" t="s">
        <v>5132</v>
      </c>
      <c r="C5125" s="7" t="s">
        <v>7049</v>
      </c>
      <c r="D5125" s="7" t="s">
        <v>6295</v>
      </c>
      <c r="E5125" s="7" t="s">
        <v>6295</v>
      </c>
      <c r="F5125" s="7" t="s">
        <v>6939</v>
      </c>
      <c r="G5125" s="7" t="s">
        <v>7150</v>
      </c>
      <c r="H5125" s="7" t="s">
        <v>7156</v>
      </c>
      <c r="I5125" s="7"/>
      <c r="J5125" s="10">
        <v>36745</v>
      </c>
      <c r="K5125" s="7" t="s">
        <v>7165</v>
      </c>
      <c r="L5125" s="7"/>
      <c r="M5125" s="7"/>
    </row>
    <row r="5126" spans="1:13" x14ac:dyDescent="0.3">
      <c r="A5126" s="7">
        <v>210024</v>
      </c>
      <c r="B5126" s="7" t="s">
        <v>5133</v>
      </c>
      <c r="C5126" s="7" t="s">
        <v>7049</v>
      </c>
      <c r="D5126" s="7" t="s">
        <v>6295</v>
      </c>
      <c r="E5126" s="7" t="s">
        <v>6940</v>
      </c>
      <c r="F5126" s="7" t="s">
        <v>6991</v>
      </c>
      <c r="G5126" s="7" t="s">
        <v>7150</v>
      </c>
      <c r="H5126" s="7" t="s">
        <v>7156</v>
      </c>
      <c r="I5126" s="7"/>
      <c r="J5126" s="10">
        <v>36690</v>
      </c>
      <c r="K5126" s="7" t="s">
        <v>7165</v>
      </c>
      <c r="L5126" s="7"/>
      <c r="M5126" s="7"/>
    </row>
    <row r="5127" spans="1:13" x14ac:dyDescent="0.3">
      <c r="A5127" s="7">
        <v>210025</v>
      </c>
      <c r="B5127" s="7" t="s">
        <v>5134</v>
      </c>
      <c r="C5127" s="7" t="s">
        <v>7049</v>
      </c>
      <c r="D5127" s="7" t="s">
        <v>6295</v>
      </c>
      <c r="E5127" s="7" t="s">
        <v>6940</v>
      </c>
      <c r="F5127" s="7" t="s">
        <v>6991</v>
      </c>
      <c r="G5127" s="7" t="s">
        <v>7150</v>
      </c>
      <c r="H5127" s="7" t="s">
        <v>7156</v>
      </c>
      <c r="I5127" s="7"/>
      <c r="J5127" s="10">
        <v>39916</v>
      </c>
      <c r="K5127" s="7" t="s">
        <v>7165</v>
      </c>
      <c r="L5127" s="7"/>
      <c r="M5127" s="7"/>
    </row>
    <row r="5128" spans="1:13" x14ac:dyDescent="0.3">
      <c r="A5128" s="7">
        <v>17329</v>
      </c>
      <c r="B5128" s="7" t="s">
        <v>5135</v>
      </c>
      <c r="C5128" s="7" t="s">
        <v>7049</v>
      </c>
      <c r="D5128" s="7" t="s">
        <v>6295</v>
      </c>
      <c r="E5128" s="7" t="s">
        <v>6940</v>
      </c>
      <c r="F5128" s="7" t="s">
        <v>6989</v>
      </c>
      <c r="G5128" s="7" t="s">
        <v>7150</v>
      </c>
      <c r="H5128" s="7" t="s">
        <v>7156</v>
      </c>
      <c r="I5128" s="7"/>
      <c r="J5128" s="10">
        <v>45709</v>
      </c>
      <c r="K5128" s="7" t="s">
        <v>7165</v>
      </c>
      <c r="L5128" s="7"/>
      <c r="M5128" s="7"/>
    </row>
    <row r="5129" spans="1:13" x14ac:dyDescent="0.3">
      <c r="A5129" s="7">
        <v>180034</v>
      </c>
      <c r="B5129" s="7" t="s">
        <v>5136</v>
      </c>
      <c r="C5129" s="7" t="s">
        <v>7049</v>
      </c>
      <c r="D5129" s="7" t="s">
        <v>6295</v>
      </c>
      <c r="E5129" s="7" t="s">
        <v>6940</v>
      </c>
      <c r="F5129" s="7" t="s">
        <v>6980</v>
      </c>
      <c r="G5129" s="7" t="s">
        <v>7150</v>
      </c>
      <c r="H5129" s="7" t="s">
        <v>7156</v>
      </c>
      <c r="I5129" s="7"/>
      <c r="J5129" s="10">
        <v>42079</v>
      </c>
      <c r="K5129" s="7" t="s">
        <v>7165</v>
      </c>
      <c r="L5129" s="7"/>
      <c r="M5129" s="7"/>
    </row>
    <row r="5130" spans="1:13" x14ac:dyDescent="0.3">
      <c r="A5130" s="7">
        <v>210035</v>
      </c>
      <c r="B5130" s="7" t="s">
        <v>5137</v>
      </c>
      <c r="C5130" s="7" t="s">
        <v>7049</v>
      </c>
      <c r="D5130" s="7" t="s">
        <v>6295</v>
      </c>
      <c r="E5130" s="7" t="s">
        <v>6940</v>
      </c>
      <c r="F5130" s="7" t="s">
        <v>6980</v>
      </c>
      <c r="G5130" s="7" t="s">
        <v>7150</v>
      </c>
      <c r="H5130" s="7" t="s">
        <v>7156</v>
      </c>
      <c r="I5130" s="7"/>
      <c r="J5130" s="10">
        <v>43628</v>
      </c>
      <c r="K5130" s="7" t="s">
        <v>7165</v>
      </c>
      <c r="L5130" s="7"/>
      <c r="M5130" s="7"/>
    </row>
    <row r="5131" spans="1:13" x14ac:dyDescent="0.3">
      <c r="A5131" s="7">
        <v>210009</v>
      </c>
      <c r="B5131" s="7" t="s">
        <v>5138</v>
      </c>
      <c r="C5131" s="7" t="s">
        <v>7049</v>
      </c>
      <c r="D5131" s="7" t="s">
        <v>6295</v>
      </c>
      <c r="E5131" s="7" t="s">
        <v>6940</v>
      </c>
      <c r="F5131" s="7" t="s">
        <v>6980</v>
      </c>
      <c r="G5131" s="7" t="s">
        <v>7150</v>
      </c>
      <c r="H5131" s="7" t="s">
        <v>7156</v>
      </c>
      <c r="I5131" s="7"/>
      <c r="J5131" s="10">
        <v>40246</v>
      </c>
      <c r="K5131" s="7" t="s">
        <v>7165</v>
      </c>
      <c r="L5131" s="7"/>
      <c r="M5131" s="7"/>
    </row>
    <row r="5132" spans="1:13" x14ac:dyDescent="0.3">
      <c r="A5132" s="7">
        <v>210034</v>
      </c>
      <c r="B5132" s="7" t="s">
        <v>5139</v>
      </c>
      <c r="C5132" s="7" t="s">
        <v>7049</v>
      </c>
      <c r="D5132" s="7" t="s">
        <v>6295</v>
      </c>
      <c r="E5132" s="7" t="s">
        <v>6940</v>
      </c>
      <c r="F5132" s="7" t="s">
        <v>6980</v>
      </c>
      <c r="G5132" s="7" t="s">
        <v>7150</v>
      </c>
      <c r="H5132" s="7" t="s">
        <v>7156</v>
      </c>
      <c r="I5132" s="7"/>
      <c r="J5132" s="10">
        <v>43385</v>
      </c>
      <c r="K5132" s="7" t="s">
        <v>7165</v>
      </c>
      <c r="L5132" s="7"/>
      <c r="M5132" s="7"/>
    </row>
    <row r="5133" spans="1:13" x14ac:dyDescent="0.3">
      <c r="A5133" s="7">
        <v>220027</v>
      </c>
      <c r="B5133" s="7" t="s">
        <v>5140</v>
      </c>
      <c r="C5133" s="7" t="s">
        <v>7049</v>
      </c>
      <c r="D5133" s="7" t="s">
        <v>6295</v>
      </c>
      <c r="E5133" s="7" t="s">
        <v>6940</v>
      </c>
      <c r="F5133" s="7" t="s">
        <v>6980</v>
      </c>
      <c r="G5133" s="7" t="s">
        <v>7150</v>
      </c>
      <c r="H5133" s="7" t="s">
        <v>7156</v>
      </c>
      <c r="I5133" s="7"/>
      <c r="J5133" s="10">
        <v>43271</v>
      </c>
      <c r="K5133" s="7" t="s">
        <v>7165</v>
      </c>
      <c r="L5133" s="7"/>
      <c r="M5133" s="7"/>
    </row>
    <row r="5134" spans="1:13" x14ac:dyDescent="0.3">
      <c r="A5134" s="7">
        <v>800014</v>
      </c>
      <c r="B5134" s="7" t="s">
        <v>5141</v>
      </c>
      <c r="C5134" s="7" t="s">
        <v>7049</v>
      </c>
      <c r="D5134" s="7" t="s">
        <v>6295</v>
      </c>
      <c r="E5134" s="7" t="s">
        <v>6940</v>
      </c>
      <c r="F5134" s="7" t="s">
        <v>6986</v>
      </c>
      <c r="G5134" s="7" t="s">
        <v>7150</v>
      </c>
      <c r="H5134" s="7" t="s">
        <v>7156</v>
      </c>
      <c r="I5134" s="7"/>
      <c r="J5134" s="10">
        <v>40221</v>
      </c>
      <c r="K5134" s="7" t="s">
        <v>7165</v>
      </c>
      <c r="L5134" s="7"/>
      <c r="M5134" s="7"/>
    </row>
    <row r="5135" spans="1:13" x14ac:dyDescent="0.3">
      <c r="A5135" s="7">
        <v>14593</v>
      </c>
      <c r="B5135" s="7" t="s">
        <v>5142</v>
      </c>
      <c r="C5135" s="7" t="s">
        <v>7049</v>
      </c>
      <c r="D5135" s="7" t="s">
        <v>6295</v>
      </c>
      <c r="E5135" s="7" t="s">
        <v>6940</v>
      </c>
      <c r="F5135" s="7" t="s">
        <v>6986</v>
      </c>
      <c r="G5135" s="7" t="s">
        <v>7150</v>
      </c>
      <c r="H5135" s="7" t="s">
        <v>7156</v>
      </c>
      <c r="I5135" s="7"/>
      <c r="J5135" s="10">
        <v>44806</v>
      </c>
      <c r="K5135" s="7" t="s">
        <v>7165</v>
      </c>
      <c r="L5135" s="7"/>
      <c r="M5135" s="7"/>
    </row>
    <row r="5136" spans="1:13" x14ac:dyDescent="0.3">
      <c r="A5136" s="7">
        <v>15830</v>
      </c>
      <c r="B5136" s="7" t="s">
        <v>5143</v>
      </c>
      <c r="C5136" s="7" t="s">
        <v>7049</v>
      </c>
      <c r="D5136" s="7" t="s">
        <v>6295</v>
      </c>
      <c r="E5136" s="7" t="s">
        <v>6940</v>
      </c>
      <c r="F5136" s="7" t="s">
        <v>6987</v>
      </c>
      <c r="G5136" s="7" t="s">
        <v>7150</v>
      </c>
      <c r="H5136" s="7" t="s">
        <v>7156</v>
      </c>
      <c r="I5136" s="7"/>
      <c r="J5136" s="10">
        <v>45209</v>
      </c>
      <c r="K5136" s="7" t="s">
        <v>7165</v>
      </c>
      <c r="L5136" s="7"/>
      <c r="M5136" s="7"/>
    </row>
    <row r="5137" spans="1:13" x14ac:dyDescent="0.3">
      <c r="A5137" s="7">
        <v>210015</v>
      </c>
      <c r="B5137" s="7" t="s">
        <v>5144</v>
      </c>
      <c r="C5137" s="7" t="s">
        <v>7049</v>
      </c>
      <c r="D5137" s="7" t="s">
        <v>6295</v>
      </c>
      <c r="E5137" s="7" t="s">
        <v>6951</v>
      </c>
      <c r="F5137" s="7" t="s">
        <v>6398</v>
      </c>
      <c r="G5137" s="7" t="s">
        <v>7150</v>
      </c>
      <c r="H5137" s="7" t="s">
        <v>7156</v>
      </c>
      <c r="I5137" s="7"/>
      <c r="J5137" s="10">
        <v>38838</v>
      </c>
      <c r="K5137" s="7" t="s">
        <v>7165</v>
      </c>
      <c r="L5137" s="7"/>
      <c r="M5137" s="7"/>
    </row>
    <row r="5138" spans="1:13" x14ac:dyDescent="0.3">
      <c r="A5138" s="7">
        <v>11480</v>
      </c>
      <c r="B5138" s="7" t="s">
        <v>5145</v>
      </c>
      <c r="C5138" s="7" t="s">
        <v>7050</v>
      </c>
      <c r="D5138" s="7" t="s">
        <v>6295</v>
      </c>
      <c r="E5138" s="7" t="s">
        <v>6295</v>
      </c>
      <c r="F5138" s="7" t="s">
        <v>6939</v>
      </c>
      <c r="G5138" s="7" t="s">
        <v>7150</v>
      </c>
      <c r="H5138" s="7" t="s">
        <v>7156</v>
      </c>
      <c r="I5138" s="7"/>
      <c r="J5138" s="10">
        <v>42748</v>
      </c>
      <c r="K5138" s="7" t="s">
        <v>7165</v>
      </c>
      <c r="L5138" s="7"/>
      <c r="M5138" s="7"/>
    </row>
    <row r="5139" spans="1:13" x14ac:dyDescent="0.3">
      <c r="A5139" s="7">
        <v>170004</v>
      </c>
      <c r="B5139" s="7" t="s">
        <v>5146</v>
      </c>
      <c r="C5139" s="7" t="s">
        <v>7050</v>
      </c>
      <c r="D5139" s="7" t="s">
        <v>6295</v>
      </c>
      <c r="E5139" s="7" t="s">
        <v>6940</v>
      </c>
      <c r="F5139" s="7" t="s">
        <v>6991</v>
      </c>
      <c r="G5139" s="7" t="s">
        <v>7150</v>
      </c>
      <c r="H5139" s="7" t="s">
        <v>7156</v>
      </c>
      <c r="I5139" s="7"/>
      <c r="J5139" s="10">
        <v>38749</v>
      </c>
      <c r="K5139" s="7" t="s">
        <v>7165</v>
      </c>
      <c r="L5139" s="7"/>
      <c r="M5139" s="7"/>
    </row>
    <row r="5140" spans="1:13" x14ac:dyDescent="0.3">
      <c r="A5140" s="7">
        <v>700034</v>
      </c>
      <c r="B5140" s="7" t="s">
        <v>5147</v>
      </c>
      <c r="C5140" s="7" t="s">
        <v>7050</v>
      </c>
      <c r="D5140" s="7" t="s">
        <v>6295</v>
      </c>
      <c r="E5140" s="7" t="s">
        <v>6940</v>
      </c>
      <c r="F5140" s="7" t="s">
        <v>6991</v>
      </c>
      <c r="G5140" s="7" t="s">
        <v>7150</v>
      </c>
      <c r="H5140" s="7" t="s">
        <v>7156</v>
      </c>
      <c r="I5140" s="7"/>
      <c r="J5140" s="10">
        <v>38698</v>
      </c>
      <c r="K5140" s="7" t="s">
        <v>7165</v>
      </c>
      <c r="L5140" s="7"/>
      <c r="M5140" s="7"/>
    </row>
    <row r="5141" spans="1:13" x14ac:dyDescent="0.3">
      <c r="A5141" s="7">
        <v>113031</v>
      </c>
      <c r="B5141" s="7" t="s">
        <v>5148</v>
      </c>
      <c r="C5141" s="7" t="s">
        <v>7050</v>
      </c>
      <c r="D5141" s="7" t="s">
        <v>6295</v>
      </c>
      <c r="E5141" s="7" t="s">
        <v>6940</v>
      </c>
      <c r="F5141" s="7" t="s">
        <v>6991</v>
      </c>
      <c r="G5141" s="7" t="s">
        <v>7152</v>
      </c>
      <c r="H5141" s="7" t="s">
        <v>7156</v>
      </c>
      <c r="I5141" s="7"/>
      <c r="J5141" s="10">
        <v>42485</v>
      </c>
      <c r="K5141" s="7" t="s">
        <v>7165</v>
      </c>
      <c r="L5141" s="7"/>
      <c r="M5141" s="7"/>
    </row>
    <row r="5142" spans="1:13" x14ac:dyDescent="0.3">
      <c r="A5142" s="7">
        <v>270037</v>
      </c>
      <c r="B5142" s="7" t="s">
        <v>5149</v>
      </c>
      <c r="C5142" s="7" t="s">
        <v>7050</v>
      </c>
      <c r="D5142" s="7" t="s">
        <v>6295</v>
      </c>
      <c r="E5142" s="7" t="s">
        <v>6940</v>
      </c>
      <c r="F5142" s="7" t="s">
        <v>6498</v>
      </c>
      <c r="G5142" s="7" t="s">
        <v>7150</v>
      </c>
      <c r="H5142" s="7" t="s">
        <v>7156</v>
      </c>
      <c r="I5142" s="7"/>
      <c r="J5142" s="10">
        <v>43238</v>
      </c>
      <c r="K5142" s="7" t="s">
        <v>7165</v>
      </c>
      <c r="L5142" s="7"/>
      <c r="M5142" s="7"/>
    </row>
    <row r="5143" spans="1:13" x14ac:dyDescent="0.3">
      <c r="A5143" s="7">
        <v>250039</v>
      </c>
      <c r="B5143" s="7" t="s">
        <v>5150</v>
      </c>
      <c r="C5143" s="7" t="s">
        <v>7050</v>
      </c>
      <c r="D5143" s="7" t="s">
        <v>6295</v>
      </c>
      <c r="E5143" s="7" t="s">
        <v>6940</v>
      </c>
      <c r="F5143" s="7" t="s">
        <v>6980</v>
      </c>
      <c r="G5143" s="7" t="s">
        <v>7150</v>
      </c>
      <c r="H5143" s="7" t="s">
        <v>7156</v>
      </c>
      <c r="I5143" s="7"/>
      <c r="J5143" s="10">
        <v>43244</v>
      </c>
      <c r="K5143" s="7" t="s">
        <v>7165</v>
      </c>
      <c r="L5143" s="7"/>
      <c r="M5143" s="7"/>
    </row>
    <row r="5144" spans="1:13" x14ac:dyDescent="0.3">
      <c r="A5144" s="7">
        <v>170032</v>
      </c>
      <c r="B5144" s="7" t="s">
        <v>5151</v>
      </c>
      <c r="C5144" s="7" t="s">
        <v>7050</v>
      </c>
      <c r="D5144" s="7" t="s">
        <v>6295</v>
      </c>
      <c r="E5144" s="7" t="s">
        <v>6940</v>
      </c>
      <c r="F5144" s="7" t="s">
        <v>6980</v>
      </c>
      <c r="G5144" s="7" t="s">
        <v>7150</v>
      </c>
      <c r="H5144" s="7" t="s">
        <v>7156</v>
      </c>
      <c r="I5144" s="7"/>
      <c r="J5144" s="10">
        <v>42842</v>
      </c>
      <c r="K5144" s="7" t="s">
        <v>7165</v>
      </c>
      <c r="L5144" s="7"/>
      <c r="M5144" s="7"/>
    </row>
    <row r="5145" spans="1:13" x14ac:dyDescent="0.3">
      <c r="A5145" s="7">
        <v>14254</v>
      </c>
      <c r="B5145" s="7" t="s">
        <v>5152</v>
      </c>
      <c r="C5145" s="7" t="s">
        <v>7050</v>
      </c>
      <c r="D5145" s="7" t="s">
        <v>6295</v>
      </c>
      <c r="E5145" s="7" t="s">
        <v>6940</v>
      </c>
      <c r="F5145" s="7" t="s">
        <v>6980</v>
      </c>
      <c r="G5145" s="7" t="s">
        <v>7150</v>
      </c>
      <c r="H5145" s="7" t="s">
        <v>7156</v>
      </c>
      <c r="I5145" s="7"/>
      <c r="J5145" s="10">
        <v>44713</v>
      </c>
      <c r="K5145" s="7" t="s">
        <v>7165</v>
      </c>
      <c r="L5145" s="7"/>
      <c r="M5145" s="7"/>
    </row>
    <row r="5146" spans="1:13" x14ac:dyDescent="0.3">
      <c r="A5146" s="7">
        <v>120052</v>
      </c>
      <c r="B5146" s="7" t="s">
        <v>5153</v>
      </c>
      <c r="C5146" s="7" t="s">
        <v>7050</v>
      </c>
      <c r="D5146" s="7" t="s">
        <v>6295</v>
      </c>
      <c r="E5146" s="7" t="s">
        <v>6940</v>
      </c>
      <c r="F5146" s="7" t="s">
        <v>6980</v>
      </c>
      <c r="G5146" s="7" t="s">
        <v>7150</v>
      </c>
      <c r="H5146" s="7" t="s">
        <v>7156</v>
      </c>
      <c r="I5146" s="7"/>
      <c r="J5146" s="10">
        <v>43824</v>
      </c>
      <c r="K5146" s="7" t="s">
        <v>7165</v>
      </c>
      <c r="L5146" s="7"/>
      <c r="M5146" s="7"/>
    </row>
    <row r="5147" spans="1:13" x14ac:dyDescent="0.3">
      <c r="A5147" s="7">
        <v>130055</v>
      </c>
      <c r="B5147" s="7" t="s">
        <v>5154</v>
      </c>
      <c r="C5147" s="7" t="s">
        <v>7050</v>
      </c>
      <c r="D5147" s="7" t="s">
        <v>6295</v>
      </c>
      <c r="E5147" s="7" t="s">
        <v>6940</v>
      </c>
      <c r="F5147" s="7" t="s">
        <v>6980</v>
      </c>
      <c r="G5147" s="7" t="s">
        <v>7150</v>
      </c>
      <c r="H5147" s="7" t="s">
        <v>7156</v>
      </c>
      <c r="I5147" s="7"/>
      <c r="J5147" s="10">
        <v>44120</v>
      </c>
      <c r="K5147" s="7" t="s">
        <v>7165</v>
      </c>
      <c r="L5147" s="7"/>
      <c r="M5147" s="7"/>
    </row>
    <row r="5148" spans="1:13" x14ac:dyDescent="0.3">
      <c r="A5148" s="7">
        <v>14819</v>
      </c>
      <c r="B5148" s="7" t="s">
        <v>5155</v>
      </c>
      <c r="C5148" s="7" t="s">
        <v>7050</v>
      </c>
      <c r="D5148" s="7" t="s">
        <v>6295</v>
      </c>
      <c r="E5148" s="7" t="s">
        <v>6940</v>
      </c>
      <c r="F5148" s="7" t="s">
        <v>6986</v>
      </c>
      <c r="G5148" s="7" t="s">
        <v>7150</v>
      </c>
      <c r="H5148" s="7" t="s">
        <v>7156</v>
      </c>
      <c r="I5148" s="7"/>
      <c r="J5148" s="10">
        <v>44866</v>
      </c>
      <c r="K5148" s="7" t="s">
        <v>7165</v>
      </c>
      <c r="L5148" s="7"/>
      <c r="M5148" s="7"/>
    </row>
    <row r="5149" spans="1:13" x14ac:dyDescent="0.3">
      <c r="A5149" s="7">
        <v>170043</v>
      </c>
      <c r="B5149" s="7" t="s">
        <v>5156</v>
      </c>
      <c r="C5149" s="7" t="s">
        <v>7050</v>
      </c>
      <c r="D5149" s="7" t="s">
        <v>6295</v>
      </c>
      <c r="E5149" s="7" t="s">
        <v>6940</v>
      </c>
      <c r="F5149" s="7" t="s">
        <v>6986</v>
      </c>
      <c r="G5149" s="7" t="s">
        <v>7150</v>
      </c>
      <c r="H5149" s="7" t="s">
        <v>7156</v>
      </c>
      <c r="I5149" s="7"/>
      <c r="J5149" s="10">
        <v>44503</v>
      </c>
      <c r="K5149" s="7" t="s">
        <v>7165</v>
      </c>
      <c r="L5149" s="7"/>
      <c r="M5149" s="7"/>
    </row>
    <row r="5150" spans="1:13" x14ac:dyDescent="0.3">
      <c r="A5150" s="7">
        <v>15759</v>
      </c>
      <c r="B5150" s="7" t="s">
        <v>5157</v>
      </c>
      <c r="C5150" s="7" t="s">
        <v>7050</v>
      </c>
      <c r="D5150" s="7" t="s">
        <v>6295</v>
      </c>
      <c r="E5150" s="7" t="s">
        <v>6940</v>
      </c>
      <c r="F5150" s="7" t="s">
        <v>6986</v>
      </c>
      <c r="G5150" s="7" t="s">
        <v>7150</v>
      </c>
      <c r="H5150" s="7" t="s">
        <v>7156</v>
      </c>
      <c r="I5150" s="7"/>
      <c r="J5150" s="10">
        <v>45184</v>
      </c>
      <c r="K5150" s="7" t="s">
        <v>7165</v>
      </c>
      <c r="L5150" s="7"/>
      <c r="M5150" s="7"/>
    </row>
    <row r="5151" spans="1:13" x14ac:dyDescent="0.3">
      <c r="A5151" s="7">
        <v>17473</v>
      </c>
      <c r="B5151" s="7" t="s">
        <v>5158</v>
      </c>
      <c r="C5151" s="7" t="s">
        <v>7050</v>
      </c>
      <c r="D5151" s="7" t="s">
        <v>6295</v>
      </c>
      <c r="E5151" s="7" t="s">
        <v>6940</v>
      </c>
      <c r="F5151" s="7" t="s">
        <v>6987</v>
      </c>
      <c r="G5151" s="7" t="s">
        <v>7150</v>
      </c>
      <c r="H5151" s="7" t="s">
        <v>7156</v>
      </c>
      <c r="I5151" s="7"/>
      <c r="J5151" s="10">
        <v>45762</v>
      </c>
      <c r="K5151" s="7" t="s">
        <v>7165</v>
      </c>
      <c r="L5151" s="7"/>
      <c r="M5151" s="7"/>
    </row>
    <row r="5152" spans="1:13" x14ac:dyDescent="0.3">
      <c r="A5152" s="7">
        <v>15412</v>
      </c>
      <c r="B5152" s="7" t="s">
        <v>5159</v>
      </c>
      <c r="C5152" s="7" t="s">
        <v>7050</v>
      </c>
      <c r="D5152" s="7" t="s">
        <v>6295</v>
      </c>
      <c r="E5152" s="7" t="s">
        <v>6940</v>
      </c>
      <c r="F5152" s="7" t="s">
        <v>6986</v>
      </c>
      <c r="G5152" s="7" t="s">
        <v>7150</v>
      </c>
      <c r="H5152" s="7" t="s">
        <v>7156</v>
      </c>
      <c r="I5152" s="7"/>
      <c r="J5152" s="10">
        <v>45064</v>
      </c>
      <c r="K5152" s="7" t="s">
        <v>7165</v>
      </c>
      <c r="L5152" s="7"/>
      <c r="M5152" s="7"/>
    </row>
    <row r="5153" spans="1:13" x14ac:dyDescent="0.3">
      <c r="A5153" s="7">
        <v>16448</v>
      </c>
      <c r="B5153" s="7" t="s">
        <v>5160</v>
      </c>
      <c r="C5153" s="7" t="s">
        <v>7050</v>
      </c>
      <c r="D5153" s="7" t="s">
        <v>6295</v>
      </c>
      <c r="E5153" s="7" t="s">
        <v>6940</v>
      </c>
      <c r="F5153" s="7" t="s">
        <v>6987</v>
      </c>
      <c r="G5153" s="7" t="s">
        <v>7150</v>
      </c>
      <c r="H5153" s="7" t="s">
        <v>7156</v>
      </c>
      <c r="I5153" s="7"/>
      <c r="J5153" s="10">
        <v>45405</v>
      </c>
      <c r="K5153" s="7" t="s">
        <v>7165</v>
      </c>
      <c r="L5153" s="7"/>
      <c r="M5153" s="7"/>
    </row>
    <row r="5154" spans="1:13" x14ac:dyDescent="0.3">
      <c r="A5154" s="7">
        <v>300240</v>
      </c>
      <c r="B5154" s="7" t="s">
        <v>5161</v>
      </c>
      <c r="C5154" s="7" t="s">
        <v>7050</v>
      </c>
      <c r="D5154" s="7" t="s">
        <v>6295</v>
      </c>
      <c r="E5154" s="7" t="s">
        <v>6940</v>
      </c>
      <c r="F5154" s="7" t="s">
        <v>6992</v>
      </c>
      <c r="G5154" s="7" t="s">
        <v>7150</v>
      </c>
      <c r="H5154" s="7" t="s">
        <v>7156</v>
      </c>
      <c r="I5154" s="7"/>
      <c r="J5154" s="10">
        <v>44518</v>
      </c>
      <c r="K5154" s="7" t="s">
        <v>7165</v>
      </c>
      <c r="L5154" s="7"/>
      <c r="M5154" s="7"/>
    </row>
    <row r="5155" spans="1:13" x14ac:dyDescent="0.3">
      <c r="A5155" s="7">
        <v>18636</v>
      </c>
      <c r="B5155" s="7" t="s">
        <v>5162</v>
      </c>
      <c r="C5155" s="7" t="s">
        <v>7050</v>
      </c>
      <c r="D5155" s="7" t="s">
        <v>6295</v>
      </c>
      <c r="E5155" s="7" t="s">
        <v>6940</v>
      </c>
      <c r="F5155" s="7" t="s">
        <v>6998</v>
      </c>
      <c r="G5155" s="7" t="s">
        <v>7150</v>
      </c>
      <c r="H5155" s="7" t="s">
        <v>7156</v>
      </c>
      <c r="I5155" s="7"/>
      <c r="J5155" s="10">
        <v>46178</v>
      </c>
      <c r="K5155" s="7" t="s">
        <v>7165</v>
      </c>
      <c r="L5155" s="7"/>
      <c r="M5155" s="7"/>
    </row>
    <row r="5156" spans="1:13" x14ac:dyDescent="0.3">
      <c r="A5156" s="7">
        <v>170011</v>
      </c>
      <c r="B5156" s="7" t="s">
        <v>5163</v>
      </c>
      <c r="C5156" s="7" t="s">
        <v>7050</v>
      </c>
      <c r="D5156" s="7" t="s">
        <v>6295</v>
      </c>
      <c r="E5156" s="7" t="s">
        <v>6951</v>
      </c>
      <c r="F5156" s="7" t="s">
        <v>6398</v>
      </c>
      <c r="G5156" s="7" t="s">
        <v>7150</v>
      </c>
      <c r="H5156" s="7" t="s">
        <v>7156</v>
      </c>
      <c r="I5156" s="7"/>
      <c r="J5156" s="10">
        <v>40760</v>
      </c>
      <c r="K5156" s="7" t="s">
        <v>7165</v>
      </c>
      <c r="L5156" s="7"/>
      <c r="M5156" s="7"/>
    </row>
    <row r="5157" spans="1:13" x14ac:dyDescent="0.3">
      <c r="A5157" s="7">
        <v>510004</v>
      </c>
      <c r="B5157" s="7" t="s">
        <v>5164</v>
      </c>
      <c r="C5157" s="7" t="s">
        <v>7051</v>
      </c>
      <c r="D5157" s="7" t="s">
        <v>6295</v>
      </c>
      <c r="E5157" s="7" t="s">
        <v>6295</v>
      </c>
      <c r="F5157" s="7" t="s">
        <v>6939</v>
      </c>
      <c r="G5157" s="7" t="s">
        <v>7150</v>
      </c>
      <c r="H5157" s="7" t="s">
        <v>7156</v>
      </c>
      <c r="I5157" s="7"/>
      <c r="J5157" s="10">
        <v>41533</v>
      </c>
      <c r="K5157" s="7" t="s">
        <v>7165</v>
      </c>
      <c r="L5157" s="7"/>
      <c r="M5157" s="7"/>
    </row>
    <row r="5158" spans="1:13" x14ac:dyDescent="0.3">
      <c r="A5158" s="7">
        <v>119016</v>
      </c>
      <c r="B5158" s="7" t="s">
        <v>5165</v>
      </c>
      <c r="C5158" s="7" t="s">
        <v>7051</v>
      </c>
      <c r="D5158" s="7" t="s">
        <v>6295</v>
      </c>
      <c r="E5158" s="7" t="s">
        <v>6940</v>
      </c>
      <c r="F5158" s="7" t="s">
        <v>6941</v>
      </c>
      <c r="G5158" s="7" t="s">
        <v>7150</v>
      </c>
      <c r="H5158" s="7" t="s">
        <v>7156</v>
      </c>
      <c r="I5158" s="7"/>
      <c r="J5158" s="10">
        <v>42408</v>
      </c>
      <c r="K5158" s="7" t="s">
        <v>7165</v>
      </c>
      <c r="L5158" s="7"/>
      <c r="M5158" s="7"/>
    </row>
    <row r="5159" spans="1:13" x14ac:dyDescent="0.3">
      <c r="A5159" s="7">
        <v>600014</v>
      </c>
      <c r="B5159" s="7" t="s">
        <v>5166</v>
      </c>
      <c r="C5159" s="7" t="s">
        <v>7051</v>
      </c>
      <c r="D5159" s="7" t="s">
        <v>6295</v>
      </c>
      <c r="E5159" s="7" t="s">
        <v>6940</v>
      </c>
      <c r="F5159" s="7" t="s">
        <v>6941</v>
      </c>
      <c r="G5159" s="7" t="s">
        <v>7150</v>
      </c>
      <c r="H5159" s="7" t="s">
        <v>7156</v>
      </c>
      <c r="I5159" s="7"/>
      <c r="J5159" s="10">
        <v>39687</v>
      </c>
      <c r="K5159" s="7" t="s">
        <v>7165</v>
      </c>
      <c r="L5159" s="7"/>
      <c r="M5159" s="7"/>
    </row>
    <row r="5160" spans="1:13" x14ac:dyDescent="0.3">
      <c r="A5160" s="7">
        <v>14391</v>
      </c>
      <c r="B5160" s="7" t="s">
        <v>5167</v>
      </c>
      <c r="C5160" s="7" t="s">
        <v>7051</v>
      </c>
      <c r="D5160" s="7" t="s">
        <v>6295</v>
      </c>
      <c r="E5160" s="7" t="s">
        <v>6940</v>
      </c>
      <c r="F5160" s="7" t="s">
        <v>6979</v>
      </c>
      <c r="G5160" s="7" t="s">
        <v>7150</v>
      </c>
      <c r="H5160" s="7" t="s">
        <v>7156</v>
      </c>
      <c r="I5160" s="7"/>
      <c r="J5160" s="10">
        <v>44746</v>
      </c>
      <c r="K5160" s="7" t="s">
        <v>7165</v>
      </c>
      <c r="L5160" s="7"/>
      <c r="M5160" s="7"/>
    </row>
    <row r="5161" spans="1:13" x14ac:dyDescent="0.3">
      <c r="A5161" s="7">
        <v>14959</v>
      </c>
      <c r="B5161" s="7" t="s">
        <v>5168</v>
      </c>
      <c r="C5161" s="7" t="s">
        <v>7051</v>
      </c>
      <c r="D5161" s="7" t="s">
        <v>6295</v>
      </c>
      <c r="E5161" s="7" t="s">
        <v>6940</v>
      </c>
      <c r="F5161" s="7" t="s">
        <v>6979</v>
      </c>
      <c r="G5161" s="7" t="s">
        <v>7150</v>
      </c>
      <c r="H5161" s="7" t="s">
        <v>7156</v>
      </c>
      <c r="I5161" s="7"/>
      <c r="J5161" s="10">
        <v>44900</v>
      </c>
      <c r="K5161" s="7" t="s">
        <v>7165</v>
      </c>
      <c r="L5161" s="7"/>
      <c r="M5161" s="7"/>
    </row>
    <row r="5162" spans="1:13" x14ac:dyDescent="0.3">
      <c r="A5162" s="7">
        <v>118031</v>
      </c>
      <c r="B5162" s="7" t="s">
        <v>5169</v>
      </c>
      <c r="C5162" s="7" t="s">
        <v>7051</v>
      </c>
      <c r="D5162" s="7" t="s">
        <v>6295</v>
      </c>
      <c r="E5162" s="7" t="s">
        <v>6940</v>
      </c>
      <c r="F5162" s="7" t="s">
        <v>6992</v>
      </c>
      <c r="G5162" s="7" t="s">
        <v>7150</v>
      </c>
      <c r="H5162" s="7" t="s">
        <v>7156</v>
      </c>
      <c r="I5162" s="7"/>
      <c r="J5162" s="10">
        <v>43839</v>
      </c>
      <c r="K5162" s="7" t="s">
        <v>7165</v>
      </c>
      <c r="L5162" s="7"/>
      <c r="M5162" s="7"/>
    </row>
    <row r="5163" spans="1:13" x14ac:dyDescent="0.3">
      <c r="A5163" s="7">
        <v>160034</v>
      </c>
      <c r="B5163" s="7" t="s">
        <v>5170</v>
      </c>
      <c r="C5163" s="7" t="s">
        <v>7051</v>
      </c>
      <c r="D5163" s="7" t="s">
        <v>6295</v>
      </c>
      <c r="E5163" s="7" t="s">
        <v>6940</v>
      </c>
      <c r="F5163" s="7" t="s">
        <v>6498</v>
      </c>
      <c r="G5163" s="7" t="s">
        <v>7150</v>
      </c>
      <c r="H5163" s="7" t="s">
        <v>7156</v>
      </c>
      <c r="I5163" s="7"/>
      <c r="J5163" s="10">
        <v>42380</v>
      </c>
      <c r="K5163" s="7" t="s">
        <v>7165</v>
      </c>
      <c r="L5163" s="7"/>
      <c r="M5163" s="7"/>
    </row>
    <row r="5164" spans="1:13" x14ac:dyDescent="0.3">
      <c r="A5164" s="7">
        <v>300196</v>
      </c>
      <c r="B5164" s="7" t="s">
        <v>5171</v>
      </c>
      <c r="C5164" s="7" t="s">
        <v>7051</v>
      </c>
      <c r="D5164" s="7" t="s">
        <v>6295</v>
      </c>
      <c r="E5164" s="7" t="s">
        <v>6940</v>
      </c>
      <c r="F5164" s="7" t="s">
        <v>6980</v>
      </c>
      <c r="G5164" s="7" t="s">
        <v>7150</v>
      </c>
      <c r="H5164" s="7" t="s">
        <v>7156</v>
      </c>
      <c r="I5164" s="7"/>
      <c r="J5164" s="10">
        <v>43823</v>
      </c>
      <c r="K5164" s="7" t="s">
        <v>7165</v>
      </c>
      <c r="L5164" s="7"/>
      <c r="M5164" s="7"/>
    </row>
    <row r="5165" spans="1:13" x14ac:dyDescent="0.3">
      <c r="A5165" s="7">
        <v>130040</v>
      </c>
      <c r="B5165" s="7" t="s">
        <v>5172</v>
      </c>
      <c r="C5165" s="7" t="s">
        <v>7051</v>
      </c>
      <c r="D5165" s="7" t="s">
        <v>6295</v>
      </c>
      <c r="E5165" s="7" t="s">
        <v>6940</v>
      </c>
      <c r="F5165" s="7" t="s">
        <v>6980</v>
      </c>
      <c r="G5165" s="7" t="s">
        <v>7150</v>
      </c>
      <c r="H5165" s="7" t="s">
        <v>7156</v>
      </c>
      <c r="I5165" s="7"/>
      <c r="J5165" s="10">
        <v>42527</v>
      </c>
      <c r="K5165" s="7" t="s">
        <v>7165</v>
      </c>
      <c r="L5165" s="7"/>
      <c r="M5165" s="7"/>
    </row>
    <row r="5166" spans="1:13" x14ac:dyDescent="0.3">
      <c r="A5166" s="7">
        <v>400049</v>
      </c>
      <c r="B5166" s="7" t="s">
        <v>5173</v>
      </c>
      <c r="C5166" s="7" t="s">
        <v>7051</v>
      </c>
      <c r="D5166" s="7" t="s">
        <v>6295</v>
      </c>
      <c r="E5166" s="7" t="s">
        <v>6940</v>
      </c>
      <c r="F5166" s="7" t="s">
        <v>6980</v>
      </c>
      <c r="G5166" s="7" t="s">
        <v>7150</v>
      </c>
      <c r="H5166" s="7" t="s">
        <v>7156</v>
      </c>
      <c r="I5166" s="7"/>
      <c r="J5166" s="10">
        <v>43601</v>
      </c>
      <c r="K5166" s="7" t="s">
        <v>7165</v>
      </c>
      <c r="L5166" s="7"/>
      <c r="M5166" s="7"/>
    </row>
    <row r="5167" spans="1:13" x14ac:dyDescent="0.3">
      <c r="A5167" s="7">
        <v>980004</v>
      </c>
      <c r="B5167" s="7" t="s">
        <v>5174</v>
      </c>
      <c r="C5167" s="7" t="s">
        <v>7051</v>
      </c>
      <c r="D5167" s="7" t="s">
        <v>6295</v>
      </c>
      <c r="E5167" s="7" t="s">
        <v>6940</v>
      </c>
      <c r="F5167" s="7" t="s">
        <v>6980</v>
      </c>
      <c r="G5167" s="7" t="s">
        <v>7150</v>
      </c>
      <c r="H5167" s="7" t="s">
        <v>7156</v>
      </c>
      <c r="I5167" s="7"/>
      <c r="J5167" s="10">
        <v>40422</v>
      </c>
      <c r="K5167" s="7" t="s">
        <v>7165</v>
      </c>
      <c r="L5167" s="7"/>
      <c r="M5167" s="7"/>
    </row>
    <row r="5168" spans="1:13" x14ac:dyDescent="0.3">
      <c r="A5168" s="7">
        <v>122018</v>
      </c>
      <c r="B5168" s="7" t="s">
        <v>5175</v>
      </c>
      <c r="C5168" s="7" t="s">
        <v>7051</v>
      </c>
      <c r="D5168" s="7" t="s">
        <v>6295</v>
      </c>
      <c r="E5168" s="7" t="s">
        <v>6940</v>
      </c>
      <c r="F5168" s="7" t="s">
        <v>6980</v>
      </c>
      <c r="G5168" s="7" t="s">
        <v>7150</v>
      </c>
      <c r="H5168" s="7" t="s">
        <v>7156</v>
      </c>
      <c r="I5168" s="7"/>
      <c r="J5168" s="10">
        <v>44099</v>
      </c>
      <c r="K5168" s="7" t="s">
        <v>7165</v>
      </c>
      <c r="L5168" s="7"/>
      <c r="M5168" s="7"/>
    </row>
    <row r="5169" spans="1:13" x14ac:dyDescent="0.3">
      <c r="A5169" s="7">
        <v>14978</v>
      </c>
      <c r="B5169" s="7" t="s">
        <v>5176</v>
      </c>
      <c r="C5169" s="7" t="s">
        <v>7051</v>
      </c>
      <c r="D5169" s="7" t="s">
        <v>6295</v>
      </c>
      <c r="E5169" s="7" t="s">
        <v>6940</v>
      </c>
      <c r="F5169" s="7" t="s">
        <v>6986</v>
      </c>
      <c r="G5169" s="7" t="s">
        <v>7150</v>
      </c>
      <c r="H5169" s="7" t="s">
        <v>7156</v>
      </c>
      <c r="I5169" s="7"/>
      <c r="J5169" s="10">
        <v>44904</v>
      </c>
      <c r="K5169" s="7" t="s">
        <v>7165</v>
      </c>
      <c r="L5169" s="7"/>
      <c r="M5169" s="7"/>
    </row>
    <row r="5170" spans="1:13" x14ac:dyDescent="0.3">
      <c r="A5170" s="7">
        <v>15697</v>
      </c>
      <c r="B5170" s="7" t="s">
        <v>5177</v>
      </c>
      <c r="C5170" s="7" t="s">
        <v>7051</v>
      </c>
      <c r="D5170" s="7" t="s">
        <v>6295</v>
      </c>
      <c r="E5170" s="7" t="s">
        <v>6940</v>
      </c>
      <c r="F5170" s="7" t="s">
        <v>6986</v>
      </c>
      <c r="G5170" s="7" t="s">
        <v>7150</v>
      </c>
      <c r="H5170" s="7" t="s">
        <v>7156</v>
      </c>
      <c r="I5170" s="7"/>
      <c r="J5170" s="10">
        <v>45167</v>
      </c>
      <c r="K5170" s="7" t="s">
        <v>7165</v>
      </c>
      <c r="L5170" s="7"/>
      <c r="M5170" s="7"/>
    </row>
    <row r="5171" spans="1:13" x14ac:dyDescent="0.3">
      <c r="A5171" s="7">
        <v>190042</v>
      </c>
      <c r="B5171" s="7" t="s">
        <v>5178</v>
      </c>
      <c r="C5171" s="7" t="s">
        <v>7051</v>
      </c>
      <c r="D5171" s="7" t="s">
        <v>6295</v>
      </c>
      <c r="E5171" s="7" t="s">
        <v>6940</v>
      </c>
      <c r="F5171" s="7" t="s">
        <v>6980</v>
      </c>
      <c r="G5171" s="7" t="s">
        <v>7150</v>
      </c>
      <c r="H5171" s="7" t="s">
        <v>7156</v>
      </c>
      <c r="I5171" s="7"/>
      <c r="J5171" s="10">
        <v>43164</v>
      </c>
      <c r="K5171" s="7" t="s">
        <v>7165</v>
      </c>
      <c r="L5171" s="7"/>
      <c r="M5171" s="7"/>
    </row>
    <row r="5172" spans="1:13" x14ac:dyDescent="0.3">
      <c r="A5172" s="7">
        <v>16161</v>
      </c>
      <c r="B5172" s="7" t="s">
        <v>5179</v>
      </c>
      <c r="C5172" s="7" t="s">
        <v>7051</v>
      </c>
      <c r="D5172" s="7" t="s">
        <v>6295</v>
      </c>
      <c r="E5172" s="7" t="s">
        <v>6940</v>
      </c>
      <c r="F5172" s="7" t="s">
        <v>6987</v>
      </c>
      <c r="G5172" s="7" t="s">
        <v>7152</v>
      </c>
      <c r="H5172" s="7" t="s">
        <v>7156</v>
      </c>
      <c r="I5172" s="7"/>
      <c r="J5172" s="10">
        <v>45306</v>
      </c>
      <c r="K5172" s="7" t="s">
        <v>7165</v>
      </c>
      <c r="L5172" s="7"/>
      <c r="M5172" s="7"/>
    </row>
    <row r="5173" spans="1:13" x14ac:dyDescent="0.3">
      <c r="A5173" s="7">
        <v>300259</v>
      </c>
      <c r="B5173" s="7" t="s">
        <v>5180</v>
      </c>
      <c r="C5173" s="7" t="s">
        <v>7051</v>
      </c>
      <c r="D5173" s="7" t="s">
        <v>6295</v>
      </c>
      <c r="E5173" s="7" t="s">
        <v>6940</v>
      </c>
      <c r="F5173" s="7" t="s">
        <v>6987</v>
      </c>
      <c r="G5173" s="7" t="s">
        <v>7150</v>
      </c>
      <c r="H5173" s="7" t="s">
        <v>7156</v>
      </c>
      <c r="I5173" s="7"/>
      <c r="J5173" s="10">
        <v>44635</v>
      </c>
      <c r="K5173" s="7" t="s">
        <v>7165</v>
      </c>
      <c r="L5173" s="7"/>
      <c r="M5173" s="7"/>
    </row>
    <row r="5174" spans="1:13" x14ac:dyDescent="0.3">
      <c r="A5174" s="7">
        <v>127001</v>
      </c>
      <c r="B5174" s="7" t="s">
        <v>5181</v>
      </c>
      <c r="C5174" s="7" t="s">
        <v>7051</v>
      </c>
      <c r="D5174" s="7" t="s">
        <v>6295</v>
      </c>
      <c r="E5174" s="7" t="s">
        <v>6951</v>
      </c>
      <c r="F5174" s="7" t="s">
        <v>6398</v>
      </c>
      <c r="G5174" s="7" t="s">
        <v>7150</v>
      </c>
      <c r="H5174" s="7" t="s">
        <v>7156</v>
      </c>
      <c r="I5174" s="7"/>
      <c r="J5174" s="10">
        <v>42900</v>
      </c>
      <c r="K5174" s="7" t="s">
        <v>7165</v>
      </c>
      <c r="L5174" s="7"/>
      <c r="M5174" s="7"/>
    </row>
    <row r="5175" spans="1:13" x14ac:dyDescent="0.3">
      <c r="A5175" s="7">
        <v>12182</v>
      </c>
      <c r="B5175" s="7" t="s">
        <v>5182</v>
      </c>
      <c r="C5175" s="7" t="s">
        <v>7052</v>
      </c>
      <c r="D5175" s="7" t="s">
        <v>6295</v>
      </c>
      <c r="E5175" s="7" t="s">
        <v>6295</v>
      </c>
      <c r="F5175" s="7" t="s">
        <v>6939</v>
      </c>
      <c r="G5175" s="7" t="s">
        <v>7150</v>
      </c>
      <c r="H5175" s="7" t="s">
        <v>7156</v>
      </c>
      <c r="I5175" s="7"/>
      <c r="J5175" s="10">
        <v>43563</v>
      </c>
      <c r="K5175" s="7" t="s">
        <v>7165</v>
      </c>
      <c r="L5175" s="7"/>
      <c r="M5175" s="7"/>
    </row>
    <row r="5176" spans="1:13" x14ac:dyDescent="0.3">
      <c r="A5176" s="7">
        <v>14154</v>
      </c>
      <c r="B5176" s="7" t="s">
        <v>5183</v>
      </c>
      <c r="C5176" s="7" t="s">
        <v>7052</v>
      </c>
      <c r="D5176" s="7" t="s">
        <v>6295</v>
      </c>
      <c r="E5176" s="7" t="s">
        <v>6940</v>
      </c>
      <c r="F5176" s="7" t="s">
        <v>6979</v>
      </c>
      <c r="G5176" s="7" t="s">
        <v>7151</v>
      </c>
      <c r="H5176" s="7" t="s">
        <v>7156</v>
      </c>
      <c r="I5176" s="7"/>
      <c r="J5176" s="10">
        <v>44677</v>
      </c>
      <c r="K5176" s="7" t="s">
        <v>7165</v>
      </c>
      <c r="L5176" s="7"/>
      <c r="M5176" s="7"/>
    </row>
    <row r="5177" spans="1:13" x14ac:dyDescent="0.3">
      <c r="A5177" s="7">
        <v>15036</v>
      </c>
      <c r="B5177" s="7" t="s">
        <v>5184</v>
      </c>
      <c r="C5177" s="7" t="s">
        <v>7052</v>
      </c>
      <c r="D5177" s="7" t="s">
        <v>6295</v>
      </c>
      <c r="E5177" s="7" t="s">
        <v>6940</v>
      </c>
      <c r="F5177" s="7" t="s">
        <v>6943</v>
      </c>
      <c r="G5177" s="7" t="s">
        <v>7150</v>
      </c>
      <c r="H5177" s="7" t="s">
        <v>7156</v>
      </c>
      <c r="I5177" s="7"/>
      <c r="J5177" s="10">
        <v>44931</v>
      </c>
      <c r="K5177" s="7" t="s">
        <v>7165</v>
      </c>
      <c r="L5177" s="7"/>
      <c r="M5177" s="7"/>
    </row>
    <row r="5178" spans="1:13" x14ac:dyDescent="0.3">
      <c r="A5178" s="7">
        <v>16289</v>
      </c>
      <c r="B5178" s="7" t="s">
        <v>5185</v>
      </c>
      <c r="C5178" s="7" t="s">
        <v>7052</v>
      </c>
      <c r="D5178" s="7" t="s">
        <v>6295</v>
      </c>
      <c r="E5178" s="7" t="s">
        <v>6940</v>
      </c>
      <c r="F5178" s="7" t="s">
        <v>6943</v>
      </c>
      <c r="G5178" s="7" t="s">
        <v>7150</v>
      </c>
      <c r="H5178" s="7" t="s">
        <v>7156</v>
      </c>
      <c r="I5178" s="7"/>
      <c r="J5178" s="10">
        <v>45338</v>
      </c>
      <c r="K5178" s="7" t="s">
        <v>7165</v>
      </c>
      <c r="L5178" s="7"/>
      <c r="M5178" s="7"/>
    </row>
    <row r="5179" spans="1:13" x14ac:dyDescent="0.3">
      <c r="A5179" s="7">
        <v>17297</v>
      </c>
      <c r="B5179" s="7" t="s">
        <v>5186</v>
      </c>
      <c r="C5179" s="7" t="s">
        <v>7052</v>
      </c>
      <c r="D5179" s="7" t="s">
        <v>6295</v>
      </c>
      <c r="E5179" s="7" t="s">
        <v>6940</v>
      </c>
      <c r="F5179" s="7" t="s">
        <v>6989</v>
      </c>
      <c r="G5179" s="7" t="s">
        <v>7150</v>
      </c>
      <c r="H5179" s="7" t="s">
        <v>7156</v>
      </c>
      <c r="I5179" s="7"/>
      <c r="J5179" s="10">
        <v>45698</v>
      </c>
      <c r="K5179" s="7" t="s">
        <v>7165</v>
      </c>
      <c r="L5179" s="7"/>
      <c r="M5179" s="7"/>
    </row>
    <row r="5180" spans="1:13" x14ac:dyDescent="0.3">
      <c r="A5180" s="7">
        <v>160023</v>
      </c>
      <c r="B5180" s="7" t="s">
        <v>5187</v>
      </c>
      <c r="C5180" s="7" t="s">
        <v>7052</v>
      </c>
      <c r="D5180" s="7" t="s">
        <v>6295</v>
      </c>
      <c r="E5180" s="7" t="s">
        <v>6940</v>
      </c>
      <c r="F5180" s="7" t="s">
        <v>6980</v>
      </c>
      <c r="G5180" s="7" t="s">
        <v>7150</v>
      </c>
      <c r="H5180" s="7" t="s">
        <v>7156</v>
      </c>
      <c r="I5180" s="7"/>
      <c r="J5180" s="10">
        <v>40299</v>
      </c>
      <c r="K5180" s="7" t="s">
        <v>7165</v>
      </c>
      <c r="L5180" s="7"/>
      <c r="M5180" s="7"/>
    </row>
    <row r="5181" spans="1:13" x14ac:dyDescent="0.3">
      <c r="A5181" s="7">
        <v>134002</v>
      </c>
      <c r="B5181" s="7" t="s">
        <v>5188</v>
      </c>
      <c r="C5181" s="7" t="s">
        <v>7052</v>
      </c>
      <c r="D5181" s="7" t="s">
        <v>6295</v>
      </c>
      <c r="E5181" s="7" t="s">
        <v>6940</v>
      </c>
      <c r="F5181" s="7" t="s">
        <v>6980</v>
      </c>
      <c r="G5181" s="7" t="s">
        <v>7150</v>
      </c>
      <c r="H5181" s="7" t="s">
        <v>7156</v>
      </c>
      <c r="I5181" s="7"/>
      <c r="J5181" s="10">
        <v>43843</v>
      </c>
      <c r="K5181" s="7" t="s">
        <v>7165</v>
      </c>
      <c r="L5181" s="7"/>
      <c r="M5181" s="7"/>
    </row>
    <row r="5182" spans="1:13" x14ac:dyDescent="0.3">
      <c r="A5182" s="7">
        <v>15222</v>
      </c>
      <c r="B5182" s="7" t="s">
        <v>5189</v>
      </c>
      <c r="C5182" s="7" t="s">
        <v>7052</v>
      </c>
      <c r="D5182" s="7" t="s">
        <v>6295</v>
      </c>
      <c r="E5182" s="7" t="s">
        <v>6940</v>
      </c>
      <c r="F5182" s="7" t="s">
        <v>6986</v>
      </c>
      <c r="G5182" s="7" t="s">
        <v>7150</v>
      </c>
      <c r="H5182" s="7" t="s">
        <v>7156</v>
      </c>
      <c r="I5182" s="7"/>
      <c r="J5182" s="10">
        <v>44991</v>
      </c>
      <c r="K5182" s="7" t="s">
        <v>7165</v>
      </c>
      <c r="L5182" s="7"/>
      <c r="M5182" s="7"/>
    </row>
    <row r="5183" spans="1:13" x14ac:dyDescent="0.3">
      <c r="A5183" s="7">
        <v>16585</v>
      </c>
      <c r="B5183" s="7" t="s">
        <v>5190</v>
      </c>
      <c r="C5183" s="7" t="s">
        <v>7052</v>
      </c>
      <c r="D5183" s="7" t="s">
        <v>6295</v>
      </c>
      <c r="E5183" s="7" t="s">
        <v>6940</v>
      </c>
      <c r="F5183" s="7" t="s">
        <v>6987</v>
      </c>
      <c r="G5183" s="7" t="s">
        <v>7150</v>
      </c>
      <c r="H5183" s="7" t="s">
        <v>7156</v>
      </c>
      <c r="I5183" s="7"/>
      <c r="J5183" s="10">
        <v>45490</v>
      </c>
      <c r="K5183" s="7" t="s">
        <v>7165</v>
      </c>
      <c r="L5183" s="7"/>
      <c r="M5183" s="7"/>
    </row>
    <row r="5184" spans="1:13" x14ac:dyDescent="0.3">
      <c r="A5184" s="7">
        <v>17823</v>
      </c>
      <c r="B5184" s="7" t="s">
        <v>5191</v>
      </c>
      <c r="C5184" s="7" t="s">
        <v>7052</v>
      </c>
      <c r="D5184" s="7" t="s">
        <v>6295</v>
      </c>
      <c r="E5184" s="7" t="s">
        <v>6940</v>
      </c>
      <c r="F5184" s="7" t="s">
        <v>6987</v>
      </c>
      <c r="G5184" s="7" t="s">
        <v>7150</v>
      </c>
      <c r="H5184" s="7" t="s">
        <v>7156</v>
      </c>
      <c r="I5184" s="7"/>
      <c r="J5184" s="10">
        <v>45884</v>
      </c>
      <c r="K5184" s="7" t="s">
        <v>7165</v>
      </c>
      <c r="L5184" s="7"/>
      <c r="M5184" s="7"/>
    </row>
    <row r="5185" spans="1:13" x14ac:dyDescent="0.3">
      <c r="A5185" s="7">
        <v>17901</v>
      </c>
      <c r="B5185" s="7" t="s">
        <v>5192</v>
      </c>
      <c r="C5185" s="7" t="s">
        <v>7052</v>
      </c>
      <c r="D5185" s="7" t="s">
        <v>6295</v>
      </c>
      <c r="E5185" s="7" t="s">
        <v>6940</v>
      </c>
      <c r="F5185" s="7" t="s">
        <v>6987</v>
      </c>
      <c r="G5185" s="7" t="s">
        <v>7150</v>
      </c>
      <c r="H5185" s="7" t="s">
        <v>7156</v>
      </c>
      <c r="I5185" s="7"/>
      <c r="J5185" s="10">
        <v>45910</v>
      </c>
      <c r="K5185" s="7" t="s">
        <v>7165</v>
      </c>
      <c r="L5185" s="7"/>
      <c r="M5185" s="7"/>
    </row>
    <row r="5186" spans="1:13" x14ac:dyDescent="0.3">
      <c r="A5186" s="7">
        <v>900055</v>
      </c>
      <c r="B5186" s="7" t="s">
        <v>5193</v>
      </c>
      <c r="C5186" s="7" t="s">
        <v>7052</v>
      </c>
      <c r="D5186" s="7" t="s">
        <v>6295</v>
      </c>
      <c r="E5186" s="7" t="s">
        <v>6994</v>
      </c>
      <c r="F5186" s="7" t="s">
        <v>6498</v>
      </c>
      <c r="G5186" s="7" t="s">
        <v>7150</v>
      </c>
      <c r="H5186" s="7" t="s">
        <v>7156</v>
      </c>
      <c r="I5186" s="7"/>
      <c r="J5186" s="10">
        <v>44477</v>
      </c>
      <c r="K5186" s="7" t="s">
        <v>7165</v>
      </c>
      <c r="L5186" s="7"/>
      <c r="M5186" s="7"/>
    </row>
    <row r="5187" spans="1:13" x14ac:dyDescent="0.3">
      <c r="A5187" s="7">
        <v>540039</v>
      </c>
      <c r="B5187" s="7" t="s">
        <v>5194</v>
      </c>
      <c r="C5187" s="7" t="s">
        <v>7052</v>
      </c>
      <c r="D5187" s="7" t="s">
        <v>6295</v>
      </c>
      <c r="E5187" s="7" t="s">
        <v>6994</v>
      </c>
      <c r="F5187" s="7" t="s">
        <v>6353</v>
      </c>
      <c r="G5187" s="7" t="s">
        <v>7150</v>
      </c>
      <c r="H5187" s="7" t="s">
        <v>7156</v>
      </c>
      <c r="I5187" s="7"/>
      <c r="J5187" s="10">
        <v>44410</v>
      </c>
      <c r="K5187" s="7" t="s">
        <v>7165</v>
      </c>
      <c r="L5187" s="7"/>
      <c r="M5187" s="7"/>
    </row>
    <row r="5188" spans="1:13" x14ac:dyDescent="0.3">
      <c r="A5188" s="7">
        <v>16341</v>
      </c>
      <c r="B5188" s="7" t="s">
        <v>5195</v>
      </c>
      <c r="C5188" s="7" t="s">
        <v>7052</v>
      </c>
      <c r="D5188" s="7" t="s">
        <v>6295</v>
      </c>
      <c r="E5188" s="7" t="s">
        <v>6994</v>
      </c>
      <c r="F5188" s="7" t="s">
        <v>6341</v>
      </c>
      <c r="G5188" s="7" t="s">
        <v>7150</v>
      </c>
      <c r="H5188" s="7" t="s">
        <v>7156</v>
      </c>
      <c r="I5188" s="7"/>
      <c r="J5188" s="10">
        <v>45356</v>
      </c>
      <c r="K5188" s="7" t="s">
        <v>7165</v>
      </c>
      <c r="L5188" s="7"/>
      <c r="M5188" s="7"/>
    </row>
    <row r="5189" spans="1:13" x14ac:dyDescent="0.3">
      <c r="A5189" s="7">
        <v>15568</v>
      </c>
      <c r="B5189" s="7" t="s">
        <v>5196</v>
      </c>
      <c r="C5189" s="7" t="s">
        <v>7052</v>
      </c>
      <c r="D5189" s="7" t="s">
        <v>6295</v>
      </c>
      <c r="E5189" s="7" t="s">
        <v>6994</v>
      </c>
      <c r="F5189" s="7" t="s">
        <v>6341</v>
      </c>
      <c r="G5189" s="7" t="s">
        <v>7150</v>
      </c>
      <c r="H5189" s="7" t="s">
        <v>7156</v>
      </c>
      <c r="I5189" s="7"/>
      <c r="J5189" s="10">
        <v>45127</v>
      </c>
      <c r="K5189" s="7" t="s">
        <v>7165</v>
      </c>
      <c r="L5189" s="7"/>
      <c r="M5189" s="7"/>
    </row>
    <row r="5190" spans="1:13" x14ac:dyDescent="0.3">
      <c r="A5190" s="7">
        <v>16333</v>
      </c>
      <c r="B5190" s="7" t="s">
        <v>5197</v>
      </c>
      <c r="C5190" s="7" t="s">
        <v>7052</v>
      </c>
      <c r="D5190" s="7" t="s">
        <v>6295</v>
      </c>
      <c r="E5190" s="7" t="s">
        <v>6994</v>
      </c>
      <c r="F5190" s="7" t="s">
        <v>6341</v>
      </c>
      <c r="G5190" s="7" t="s">
        <v>7150</v>
      </c>
      <c r="H5190" s="7" t="s">
        <v>7156</v>
      </c>
      <c r="I5190" s="7"/>
      <c r="J5190" s="10">
        <v>45356</v>
      </c>
      <c r="K5190" s="7" t="s">
        <v>7165</v>
      </c>
      <c r="L5190" s="7"/>
      <c r="M5190" s="7"/>
    </row>
    <row r="5191" spans="1:13" x14ac:dyDescent="0.3">
      <c r="A5191" s="7">
        <v>16642</v>
      </c>
      <c r="B5191" s="7" t="s">
        <v>5198</v>
      </c>
      <c r="C5191" s="7" t="s">
        <v>7052</v>
      </c>
      <c r="D5191" s="7" t="s">
        <v>6295</v>
      </c>
      <c r="E5191" s="7" t="s">
        <v>6951</v>
      </c>
      <c r="F5191" s="7" t="s">
        <v>6398</v>
      </c>
      <c r="G5191" s="7" t="s">
        <v>7150</v>
      </c>
      <c r="H5191" s="7" t="s">
        <v>7156</v>
      </c>
      <c r="I5191" s="7"/>
      <c r="J5191" s="10">
        <v>45509</v>
      </c>
      <c r="K5191" s="7" t="s">
        <v>7165</v>
      </c>
      <c r="L5191" s="7"/>
      <c r="M5191" s="7"/>
    </row>
    <row r="5192" spans="1:13" x14ac:dyDescent="0.3">
      <c r="A5192" s="7">
        <v>900001</v>
      </c>
      <c r="B5192" s="7" t="s">
        <v>5199</v>
      </c>
      <c r="C5192" s="7" t="s">
        <v>7053</v>
      </c>
      <c r="D5192" s="7" t="s">
        <v>6295</v>
      </c>
      <c r="E5192" s="7" t="s">
        <v>6295</v>
      </c>
      <c r="F5192" s="7" t="s">
        <v>6939</v>
      </c>
      <c r="G5192" s="7" t="s">
        <v>7150</v>
      </c>
      <c r="H5192" s="7" t="s">
        <v>7156</v>
      </c>
      <c r="I5192" s="7"/>
      <c r="J5192" s="10">
        <v>41554</v>
      </c>
      <c r="K5192" s="7" t="s">
        <v>7165</v>
      </c>
      <c r="L5192" s="7"/>
      <c r="M5192" s="7"/>
    </row>
    <row r="5193" spans="1:13" x14ac:dyDescent="0.3">
      <c r="A5193" s="7">
        <v>190041</v>
      </c>
      <c r="B5193" s="7" t="s">
        <v>5200</v>
      </c>
      <c r="C5193" s="7" t="s">
        <v>7053</v>
      </c>
      <c r="D5193" s="7" t="s">
        <v>6295</v>
      </c>
      <c r="E5193" s="7" t="s">
        <v>6940</v>
      </c>
      <c r="F5193" s="7" t="s">
        <v>6498</v>
      </c>
      <c r="G5193" s="7" t="s">
        <v>7150</v>
      </c>
      <c r="H5193" s="7" t="s">
        <v>7156</v>
      </c>
      <c r="I5193" s="7"/>
      <c r="J5193" s="10">
        <v>42760</v>
      </c>
      <c r="K5193" s="7" t="s">
        <v>7165</v>
      </c>
      <c r="L5193" s="7"/>
      <c r="M5193" s="7"/>
    </row>
    <row r="5194" spans="1:13" x14ac:dyDescent="0.3">
      <c r="A5194" s="7">
        <v>900035</v>
      </c>
      <c r="B5194" s="7" t="s">
        <v>5201</v>
      </c>
      <c r="C5194" s="7" t="s">
        <v>7053</v>
      </c>
      <c r="D5194" s="7" t="s">
        <v>6295</v>
      </c>
      <c r="E5194" s="7" t="s">
        <v>6940</v>
      </c>
      <c r="F5194" s="7" t="s">
        <v>6991</v>
      </c>
      <c r="G5194" s="7" t="s">
        <v>7150</v>
      </c>
      <c r="H5194" s="7" t="s">
        <v>7156</v>
      </c>
      <c r="I5194" s="7"/>
      <c r="J5194" s="10">
        <v>41821</v>
      </c>
      <c r="K5194" s="7" t="s">
        <v>7165</v>
      </c>
      <c r="L5194" s="7"/>
      <c r="M5194" s="7"/>
    </row>
    <row r="5195" spans="1:13" x14ac:dyDescent="0.3">
      <c r="A5195" s="7">
        <v>142002</v>
      </c>
      <c r="B5195" s="7" t="s">
        <v>5202</v>
      </c>
      <c r="C5195" s="7" t="s">
        <v>7053</v>
      </c>
      <c r="D5195" s="7" t="s">
        <v>6295</v>
      </c>
      <c r="E5195" s="7" t="s">
        <v>6940</v>
      </c>
      <c r="F5195" s="7" t="s">
        <v>6991</v>
      </c>
      <c r="G5195" s="7" t="s">
        <v>7150</v>
      </c>
      <c r="H5195" s="7" t="s">
        <v>7156</v>
      </c>
      <c r="I5195" s="7"/>
      <c r="J5195" s="10">
        <v>44554</v>
      </c>
      <c r="K5195" s="7" t="s">
        <v>7165</v>
      </c>
      <c r="L5195" s="7"/>
      <c r="M5195" s="7"/>
    </row>
    <row r="5196" spans="1:13" x14ac:dyDescent="0.3">
      <c r="A5196" s="7">
        <v>14659</v>
      </c>
      <c r="B5196" s="7" t="s">
        <v>5203</v>
      </c>
      <c r="C5196" s="7" t="s">
        <v>7053</v>
      </c>
      <c r="D5196" s="7" t="s">
        <v>6295</v>
      </c>
      <c r="E5196" s="7" t="s">
        <v>6940</v>
      </c>
      <c r="F5196" s="7" t="s">
        <v>6949</v>
      </c>
      <c r="G5196" s="7" t="s">
        <v>7150</v>
      </c>
      <c r="H5196" s="7" t="s">
        <v>7156</v>
      </c>
      <c r="I5196" s="7"/>
      <c r="J5196" s="10">
        <v>44816</v>
      </c>
      <c r="K5196" s="7" t="s">
        <v>7165</v>
      </c>
      <c r="L5196" s="7"/>
      <c r="M5196" s="7"/>
    </row>
    <row r="5197" spans="1:13" x14ac:dyDescent="0.3">
      <c r="A5197" s="7">
        <v>15756</v>
      </c>
      <c r="B5197" s="7" t="s">
        <v>5204</v>
      </c>
      <c r="C5197" s="7" t="s">
        <v>7053</v>
      </c>
      <c r="D5197" s="7" t="s">
        <v>6295</v>
      </c>
      <c r="E5197" s="7" t="s">
        <v>6940</v>
      </c>
      <c r="F5197" s="7" t="s">
        <v>6992</v>
      </c>
      <c r="G5197" s="7" t="s">
        <v>7150</v>
      </c>
      <c r="H5197" s="7" t="s">
        <v>7156</v>
      </c>
      <c r="I5197" s="7"/>
      <c r="J5197" s="10">
        <v>45183</v>
      </c>
      <c r="K5197" s="7" t="s">
        <v>7165</v>
      </c>
      <c r="L5197" s="7"/>
      <c r="M5197" s="7"/>
    </row>
    <row r="5198" spans="1:13" x14ac:dyDescent="0.3">
      <c r="A5198" s="7">
        <v>300026</v>
      </c>
      <c r="B5198" s="7" t="s">
        <v>5205</v>
      </c>
      <c r="C5198" s="7" t="s">
        <v>7053</v>
      </c>
      <c r="D5198" s="7" t="s">
        <v>6295</v>
      </c>
      <c r="E5198" s="7" t="s">
        <v>6940</v>
      </c>
      <c r="F5198" s="7" t="s">
        <v>6980</v>
      </c>
      <c r="G5198" s="7" t="s">
        <v>7150</v>
      </c>
      <c r="H5198" s="7" t="s">
        <v>7156</v>
      </c>
      <c r="I5198" s="7"/>
      <c r="J5198" s="10">
        <v>41456</v>
      </c>
      <c r="K5198" s="7" t="s">
        <v>7165</v>
      </c>
      <c r="L5198" s="7"/>
      <c r="M5198" s="7"/>
    </row>
    <row r="5199" spans="1:13" x14ac:dyDescent="0.3">
      <c r="A5199" s="7">
        <v>720046</v>
      </c>
      <c r="B5199" s="7" t="s">
        <v>5206</v>
      </c>
      <c r="C5199" s="7" t="s">
        <v>7053</v>
      </c>
      <c r="D5199" s="7" t="s">
        <v>6295</v>
      </c>
      <c r="E5199" s="7" t="s">
        <v>6940</v>
      </c>
      <c r="F5199" s="7" t="s">
        <v>6980</v>
      </c>
      <c r="G5199" s="7" t="s">
        <v>7150</v>
      </c>
      <c r="H5199" s="7" t="s">
        <v>7156</v>
      </c>
      <c r="I5199" s="7"/>
      <c r="J5199" s="10">
        <v>43782</v>
      </c>
      <c r="K5199" s="7" t="s">
        <v>7165</v>
      </c>
      <c r="L5199" s="7"/>
      <c r="M5199" s="7"/>
    </row>
    <row r="5200" spans="1:13" x14ac:dyDescent="0.3">
      <c r="A5200" s="7">
        <v>880046</v>
      </c>
      <c r="B5200" s="7" t="s">
        <v>5207</v>
      </c>
      <c r="C5200" s="7" t="s">
        <v>7053</v>
      </c>
      <c r="D5200" s="7" t="s">
        <v>6295</v>
      </c>
      <c r="E5200" s="7" t="s">
        <v>6940</v>
      </c>
      <c r="F5200" s="7" t="s">
        <v>6980</v>
      </c>
      <c r="G5200" s="7" t="s">
        <v>7150</v>
      </c>
      <c r="H5200" s="7" t="s">
        <v>7156</v>
      </c>
      <c r="I5200" s="7"/>
      <c r="J5200" s="10">
        <v>43760</v>
      </c>
      <c r="K5200" s="7" t="s">
        <v>7165</v>
      </c>
      <c r="L5200" s="7"/>
      <c r="M5200" s="7"/>
    </row>
    <row r="5201" spans="1:13" x14ac:dyDescent="0.3">
      <c r="A5201" s="7">
        <v>400043</v>
      </c>
      <c r="B5201" s="7" t="s">
        <v>5208</v>
      </c>
      <c r="C5201" s="7" t="s">
        <v>7053</v>
      </c>
      <c r="D5201" s="7" t="s">
        <v>6295</v>
      </c>
      <c r="E5201" s="7" t="s">
        <v>6940</v>
      </c>
      <c r="F5201" s="7" t="s">
        <v>6986</v>
      </c>
      <c r="G5201" s="7" t="s">
        <v>7150</v>
      </c>
      <c r="H5201" s="7" t="s">
        <v>7156</v>
      </c>
      <c r="I5201" s="7"/>
      <c r="J5201" s="10">
        <v>42726</v>
      </c>
      <c r="K5201" s="7" t="s">
        <v>7165</v>
      </c>
      <c r="L5201" s="7"/>
      <c r="M5201" s="7"/>
    </row>
    <row r="5202" spans="1:13" x14ac:dyDescent="0.3">
      <c r="A5202" s="7">
        <v>130051</v>
      </c>
      <c r="B5202" s="7" t="s">
        <v>5209</v>
      </c>
      <c r="C5202" s="7" t="s">
        <v>7053</v>
      </c>
      <c r="D5202" s="7" t="s">
        <v>6295</v>
      </c>
      <c r="E5202" s="7" t="s">
        <v>6940</v>
      </c>
      <c r="F5202" s="7" t="s">
        <v>6986</v>
      </c>
      <c r="G5202" s="7" t="s">
        <v>7151</v>
      </c>
      <c r="H5202" s="7" t="s">
        <v>7156</v>
      </c>
      <c r="I5202" s="7"/>
      <c r="J5202" s="10">
        <v>43390</v>
      </c>
      <c r="K5202" s="7" t="s">
        <v>7165</v>
      </c>
      <c r="L5202" s="7"/>
      <c r="M5202" s="7"/>
    </row>
    <row r="5203" spans="1:13" x14ac:dyDescent="0.3">
      <c r="A5203" s="7">
        <v>17911</v>
      </c>
      <c r="B5203" s="7" t="s">
        <v>5210</v>
      </c>
      <c r="C5203" s="7" t="s">
        <v>7053</v>
      </c>
      <c r="D5203" s="7" t="s">
        <v>6295</v>
      </c>
      <c r="E5203" s="7" t="s">
        <v>6940</v>
      </c>
      <c r="F5203" s="7" t="s">
        <v>7000</v>
      </c>
      <c r="G5203" s="7" t="s">
        <v>7150</v>
      </c>
      <c r="H5203" s="7" t="s">
        <v>7157</v>
      </c>
      <c r="I5203" s="7"/>
      <c r="J5203" s="10">
        <v>45912</v>
      </c>
      <c r="K5203" s="7" t="s">
        <v>7165</v>
      </c>
      <c r="L5203" s="7"/>
      <c r="M5203" s="7"/>
    </row>
    <row r="5204" spans="1:13" x14ac:dyDescent="0.3">
      <c r="A5204" s="7">
        <v>16052</v>
      </c>
      <c r="B5204" s="7" t="s">
        <v>5211</v>
      </c>
      <c r="C5204" s="7" t="s">
        <v>7053</v>
      </c>
      <c r="D5204" s="7" t="s">
        <v>6295</v>
      </c>
      <c r="E5204" s="7" t="s">
        <v>6940</v>
      </c>
      <c r="F5204" s="7" t="s">
        <v>6980</v>
      </c>
      <c r="G5204" s="7" t="s">
        <v>7150</v>
      </c>
      <c r="H5204" s="7" t="s">
        <v>7156</v>
      </c>
      <c r="I5204" s="7"/>
      <c r="J5204" s="10">
        <v>45278</v>
      </c>
      <c r="K5204" s="7" t="s">
        <v>7165</v>
      </c>
      <c r="L5204" s="7"/>
      <c r="M5204" s="7"/>
    </row>
    <row r="5205" spans="1:13" x14ac:dyDescent="0.3">
      <c r="A5205" s="7">
        <v>460026</v>
      </c>
      <c r="B5205" s="7" t="s">
        <v>5212</v>
      </c>
      <c r="C5205" s="7" t="s">
        <v>7053</v>
      </c>
      <c r="D5205" s="7" t="s">
        <v>6295</v>
      </c>
      <c r="E5205" s="7" t="s">
        <v>6940</v>
      </c>
      <c r="F5205" s="7" t="s">
        <v>6980</v>
      </c>
      <c r="G5205" s="7" t="s">
        <v>7150</v>
      </c>
      <c r="H5205" s="7" t="s">
        <v>7156</v>
      </c>
      <c r="I5205" s="7"/>
      <c r="J5205" s="10">
        <v>42810</v>
      </c>
      <c r="K5205" s="7" t="s">
        <v>7165</v>
      </c>
      <c r="L5205" s="7"/>
      <c r="M5205" s="7"/>
    </row>
    <row r="5206" spans="1:13" x14ac:dyDescent="0.3">
      <c r="A5206" s="7">
        <v>400059</v>
      </c>
      <c r="B5206" s="7" t="s">
        <v>5213</v>
      </c>
      <c r="C5206" s="7" t="s">
        <v>7053</v>
      </c>
      <c r="D5206" s="7" t="s">
        <v>6295</v>
      </c>
      <c r="E5206" s="7" t="s">
        <v>6940</v>
      </c>
      <c r="F5206" s="7" t="s">
        <v>6986</v>
      </c>
      <c r="G5206" s="7" t="s">
        <v>7150</v>
      </c>
      <c r="H5206" s="7" t="s">
        <v>7156</v>
      </c>
      <c r="I5206" s="7"/>
      <c r="J5206" s="10">
        <v>44608</v>
      </c>
      <c r="K5206" s="7" t="s">
        <v>7165</v>
      </c>
      <c r="L5206" s="7"/>
      <c r="M5206" s="7"/>
    </row>
    <row r="5207" spans="1:13" x14ac:dyDescent="0.3">
      <c r="A5207" s="7">
        <v>140030</v>
      </c>
      <c r="B5207" s="7" t="s">
        <v>5214</v>
      </c>
      <c r="C5207" s="7" t="s">
        <v>7053</v>
      </c>
      <c r="D5207" s="7" t="s">
        <v>6295</v>
      </c>
      <c r="E5207" s="7" t="s">
        <v>6940</v>
      </c>
      <c r="F5207" s="7" t="s">
        <v>6986</v>
      </c>
      <c r="G5207" s="7" t="s">
        <v>7150</v>
      </c>
      <c r="H5207" s="7" t="s">
        <v>7156</v>
      </c>
      <c r="I5207" s="7"/>
      <c r="J5207" s="10">
        <v>42670</v>
      </c>
      <c r="K5207" s="7" t="s">
        <v>7165</v>
      </c>
      <c r="L5207" s="7"/>
      <c r="M5207" s="7"/>
    </row>
    <row r="5208" spans="1:13" x14ac:dyDescent="0.3">
      <c r="A5208" s="7">
        <v>150040</v>
      </c>
      <c r="B5208" s="7" t="s">
        <v>5215</v>
      </c>
      <c r="C5208" s="7" t="s">
        <v>7053</v>
      </c>
      <c r="D5208" s="7" t="s">
        <v>6295</v>
      </c>
      <c r="E5208" s="7" t="s">
        <v>6940</v>
      </c>
      <c r="F5208" s="7" t="s">
        <v>6986</v>
      </c>
      <c r="G5208" s="7" t="s">
        <v>7150</v>
      </c>
      <c r="H5208" s="7" t="s">
        <v>7156</v>
      </c>
      <c r="I5208" s="7"/>
      <c r="J5208" s="10">
        <v>44159</v>
      </c>
      <c r="K5208" s="7" t="s">
        <v>7165</v>
      </c>
      <c r="L5208" s="7"/>
      <c r="M5208" s="7"/>
    </row>
    <row r="5209" spans="1:13" x14ac:dyDescent="0.3">
      <c r="A5209" s="7">
        <v>16635</v>
      </c>
      <c r="B5209" s="7" t="s">
        <v>5216</v>
      </c>
      <c r="C5209" s="7" t="s">
        <v>7053</v>
      </c>
      <c r="D5209" s="7" t="s">
        <v>6295</v>
      </c>
      <c r="E5209" s="7" t="s">
        <v>6940</v>
      </c>
      <c r="F5209" s="7" t="s">
        <v>6986</v>
      </c>
      <c r="G5209" s="7" t="s">
        <v>7150</v>
      </c>
      <c r="H5209" s="7" t="s">
        <v>7156</v>
      </c>
      <c r="I5209" s="7"/>
      <c r="J5209" s="10">
        <v>45506</v>
      </c>
      <c r="K5209" s="7" t="s">
        <v>7165</v>
      </c>
      <c r="L5209" s="7"/>
      <c r="M5209" s="7"/>
    </row>
    <row r="5210" spans="1:13" x14ac:dyDescent="0.3">
      <c r="A5210" s="7">
        <v>14245</v>
      </c>
      <c r="B5210" s="7" t="s">
        <v>5217</v>
      </c>
      <c r="C5210" s="7" t="s">
        <v>7053</v>
      </c>
      <c r="D5210" s="7" t="s">
        <v>6295</v>
      </c>
      <c r="E5210" s="7" t="s">
        <v>6940</v>
      </c>
      <c r="F5210" s="7" t="s">
        <v>6986</v>
      </c>
      <c r="G5210" s="7" t="s">
        <v>7150</v>
      </c>
      <c r="H5210" s="7" t="s">
        <v>7156</v>
      </c>
      <c r="I5210" s="7"/>
      <c r="J5210" s="10">
        <v>44704</v>
      </c>
      <c r="K5210" s="7" t="s">
        <v>7165</v>
      </c>
      <c r="L5210" s="7"/>
      <c r="M5210" s="7"/>
    </row>
    <row r="5211" spans="1:13" x14ac:dyDescent="0.3">
      <c r="A5211" s="7">
        <v>220032</v>
      </c>
      <c r="B5211" s="7" t="s">
        <v>5218</v>
      </c>
      <c r="C5211" s="7" t="s">
        <v>7053</v>
      </c>
      <c r="D5211" s="7" t="s">
        <v>6295</v>
      </c>
      <c r="E5211" s="7" t="s">
        <v>6940</v>
      </c>
      <c r="F5211" s="7" t="s">
        <v>6986</v>
      </c>
      <c r="G5211" s="7" t="s">
        <v>7150</v>
      </c>
      <c r="H5211" s="7" t="s">
        <v>7156</v>
      </c>
      <c r="I5211" s="7"/>
      <c r="J5211" s="10">
        <v>44483</v>
      </c>
      <c r="K5211" s="7" t="s">
        <v>7165</v>
      </c>
      <c r="L5211" s="7"/>
      <c r="M5211" s="7"/>
    </row>
    <row r="5212" spans="1:13" x14ac:dyDescent="0.3">
      <c r="A5212" s="7">
        <v>16991</v>
      </c>
      <c r="B5212" s="7" t="s">
        <v>5219</v>
      </c>
      <c r="C5212" s="7" t="s">
        <v>7053</v>
      </c>
      <c r="D5212" s="7" t="s">
        <v>6295</v>
      </c>
      <c r="E5212" s="7" t="s">
        <v>6940</v>
      </c>
      <c r="F5212" s="7" t="s">
        <v>6987</v>
      </c>
      <c r="G5212" s="7" t="s">
        <v>7150</v>
      </c>
      <c r="H5212" s="7" t="s">
        <v>7156</v>
      </c>
      <c r="I5212" s="7"/>
      <c r="J5212" s="10">
        <v>45587</v>
      </c>
      <c r="K5212" s="7" t="s">
        <v>7165</v>
      </c>
      <c r="L5212" s="7"/>
      <c r="M5212" s="7"/>
    </row>
    <row r="5213" spans="1:13" x14ac:dyDescent="0.3">
      <c r="A5213" s="7">
        <v>16835</v>
      </c>
      <c r="B5213" s="7" t="s">
        <v>5220</v>
      </c>
      <c r="C5213" s="7" t="s">
        <v>7053</v>
      </c>
      <c r="D5213" s="7" t="s">
        <v>6295</v>
      </c>
      <c r="E5213" s="7" t="s">
        <v>6940</v>
      </c>
      <c r="F5213" s="7" t="s">
        <v>6987</v>
      </c>
      <c r="G5213" s="7" t="s">
        <v>7150</v>
      </c>
      <c r="H5213" s="7" t="s">
        <v>7156</v>
      </c>
      <c r="I5213" s="7"/>
      <c r="J5213" s="10">
        <v>45568</v>
      </c>
      <c r="K5213" s="7" t="s">
        <v>7165</v>
      </c>
      <c r="L5213" s="7"/>
      <c r="M5213" s="7"/>
    </row>
    <row r="5214" spans="1:13" x14ac:dyDescent="0.3">
      <c r="A5214" s="7">
        <v>400013</v>
      </c>
      <c r="B5214" s="7" t="s">
        <v>5221</v>
      </c>
      <c r="C5214" s="7" t="s">
        <v>7053</v>
      </c>
      <c r="D5214" s="7" t="s">
        <v>6295</v>
      </c>
      <c r="E5214" s="7" t="s">
        <v>6951</v>
      </c>
      <c r="F5214" s="7" t="s">
        <v>6398</v>
      </c>
      <c r="G5214" s="7" t="s">
        <v>7150</v>
      </c>
      <c r="H5214" s="7" t="s">
        <v>7156</v>
      </c>
      <c r="I5214" s="7"/>
      <c r="J5214" s="10">
        <v>41214</v>
      </c>
      <c r="K5214" s="7" t="s">
        <v>7165</v>
      </c>
      <c r="L5214" s="7"/>
      <c r="M5214" s="7"/>
    </row>
    <row r="5215" spans="1:13" x14ac:dyDescent="0.3">
      <c r="A5215" s="7">
        <v>140029</v>
      </c>
      <c r="B5215" s="7" t="s">
        <v>5222</v>
      </c>
      <c r="C5215" s="7" t="s">
        <v>7054</v>
      </c>
      <c r="D5215" s="7" t="s">
        <v>6295</v>
      </c>
      <c r="E5215" s="7" t="s">
        <v>6295</v>
      </c>
      <c r="F5215" s="7" t="s">
        <v>6939</v>
      </c>
      <c r="G5215" s="7" t="s">
        <v>7150</v>
      </c>
      <c r="H5215" s="7" t="s">
        <v>7156</v>
      </c>
      <c r="I5215" s="7"/>
      <c r="J5215" s="10">
        <v>42324</v>
      </c>
      <c r="K5215" s="7" t="s">
        <v>7165</v>
      </c>
      <c r="L5215" s="7"/>
      <c r="M5215" s="7"/>
    </row>
    <row r="5216" spans="1:13" x14ac:dyDescent="0.3">
      <c r="A5216" s="7">
        <v>980024</v>
      </c>
      <c r="B5216" s="7" t="s">
        <v>5223</v>
      </c>
      <c r="C5216" s="7" t="s">
        <v>7054</v>
      </c>
      <c r="D5216" s="7" t="s">
        <v>6295</v>
      </c>
      <c r="E5216" s="7" t="s">
        <v>6940</v>
      </c>
      <c r="F5216" s="7" t="s">
        <v>6941</v>
      </c>
      <c r="G5216" s="7" t="s">
        <v>7151</v>
      </c>
      <c r="H5216" s="7" t="s">
        <v>7156</v>
      </c>
      <c r="I5216" s="7"/>
      <c r="J5216" s="10">
        <v>43696</v>
      </c>
      <c r="K5216" s="7" t="s">
        <v>7165</v>
      </c>
      <c r="L5216" s="7"/>
      <c r="M5216" s="7"/>
    </row>
    <row r="5217" spans="1:13" x14ac:dyDescent="0.3">
      <c r="A5217" s="7">
        <v>17812</v>
      </c>
      <c r="B5217" s="7" t="s">
        <v>5224</v>
      </c>
      <c r="C5217" s="7" t="s">
        <v>7054</v>
      </c>
      <c r="D5217" s="7" t="s">
        <v>6295</v>
      </c>
      <c r="E5217" s="7" t="s">
        <v>6940</v>
      </c>
      <c r="F5217" s="7" t="s">
        <v>6983</v>
      </c>
      <c r="G5217" s="7" t="s">
        <v>7150</v>
      </c>
      <c r="H5217" s="7" t="s">
        <v>7157</v>
      </c>
      <c r="I5217" s="7"/>
      <c r="J5217" s="10">
        <v>45882</v>
      </c>
      <c r="K5217" s="7" t="s">
        <v>7165</v>
      </c>
      <c r="L5217" s="7"/>
      <c r="M5217" s="7"/>
    </row>
    <row r="5218" spans="1:13" x14ac:dyDescent="0.3">
      <c r="A5218" s="7">
        <v>710013</v>
      </c>
      <c r="B5218" s="7" t="s">
        <v>5225</v>
      </c>
      <c r="C5218" s="7" t="s">
        <v>7054</v>
      </c>
      <c r="D5218" s="7" t="s">
        <v>6295</v>
      </c>
      <c r="E5218" s="7" t="s">
        <v>6940</v>
      </c>
      <c r="F5218" s="7" t="s">
        <v>6991</v>
      </c>
      <c r="G5218" s="7" t="s">
        <v>7150</v>
      </c>
      <c r="H5218" s="7" t="s">
        <v>7156</v>
      </c>
      <c r="I5218" s="7"/>
      <c r="J5218" s="10">
        <v>40042</v>
      </c>
      <c r="K5218" s="7" t="s">
        <v>7165</v>
      </c>
      <c r="L5218" s="7"/>
      <c r="M5218" s="7"/>
    </row>
    <row r="5219" spans="1:13" x14ac:dyDescent="0.3">
      <c r="A5219" s="7">
        <v>800011</v>
      </c>
      <c r="B5219" s="7" t="s">
        <v>5226</v>
      </c>
      <c r="C5219" s="7" t="s">
        <v>7054</v>
      </c>
      <c r="D5219" s="7" t="s">
        <v>6295</v>
      </c>
      <c r="E5219" s="7" t="s">
        <v>6940</v>
      </c>
      <c r="F5219" s="7" t="s">
        <v>6991</v>
      </c>
      <c r="G5219" s="7" t="s">
        <v>7150</v>
      </c>
      <c r="H5219" s="7" t="s">
        <v>7156</v>
      </c>
      <c r="I5219" s="7"/>
      <c r="J5219" s="10">
        <v>38918</v>
      </c>
      <c r="K5219" s="7" t="s">
        <v>7165</v>
      </c>
      <c r="L5219" s="7"/>
      <c r="M5219" s="7"/>
    </row>
    <row r="5220" spans="1:13" x14ac:dyDescent="0.3">
      <c r="A5220" s="7">
        <v>17492</v>
      </c>
      <c r="B5220" s="7" t="s">
        <v>5227</v>
      </c>
      <c r="C5220" s="7" t="s">
        <v>7054</v>
      </c>
      <c r="D5220" s="7" t="s">
        <v>6295</v>
      </c>
      <c r="E5220" s="7" t="s">
        <v>6940</v>
      </c>
      <c r="F5220" s="7" t="s">
        <v>6949</v>
      </c>
      <c r="G5220" s="7" t="s">
        <v>7150</v>
      </c>
      <c r="H5220" s="7" t="s">
        <v>7156</v>
      </c>
      <c r="I5220" s="7"/>
      <c r="J5220" s="10">
        <v>45769</v>
      </c>
      <c r="K5220" s="7" t="s">
        <v>7165</v>
      </c>
      <c r="L5220" s="7"/>
      <c r="M5220" s="7"/>
    </row>
    <row r="5221" spans="1:13" x14ac:dyDescent="0.3">
      <c r="A5221" s="7">
        <v>110008</v>
      </c>
      <c r="B5221" s="7" t="s">
        <v>5228</v>
      </c>
      <c r="C5221" s="7" t="s">
        <v>7054</v>
      </c>
      <c r="D5221" s="7" t="s">
        <v>6295</v>
      </c>
      <c r="E5221" s="7" t="s">
        <v>6940</v>
      </c>
      <c r="F5221" s="7" t="s">
        <v>6980</v>
      </c>
      <c r="G5221" s="7" t="s">
        <v>7150</v>
      </c>
      <c r="H5221" s="7" t="s">
        <v>7156</v>
      </c>
      <c r="I5221" s="7"/>
      <c r="J5221" s="10">
        <v>39231</v>
      </c>
      <c r="K5221" s="7" t="s">
        <v>7165</v>
      </c>
      <c r="L5221" s="7"/>
      <c r="M5221" s="7"/>
    </row>
    <row r="5222" spans="1:13" x14ac:dyDescent="0.3">
      <c r="A5222" s="7">
        <v>20015</v>
      </c>
      <c r="B5222" s="7" t="s">
        <v>5229</v>
      </c>
      <c r="C5222" s="7" t="s">
        <v>7054</v>
      </c>
      <c r="D5222" s="7" t="s">
        <v>6295</v>
      </c>
      <c r="E5222" s="7" t="s">
        <v>6940</v>
      </c>
      <c r="F5222" s="7" t="s">
        <v>6980</v>
      </c>
      <c r="G5222" s="7" t="s">
        <v>7150</v>
      </c>
      <c r="H5222" s="7" t="s">
        <v>7156</v>
      </c>
      <c r="I5222" s="7"/>
      <c r="J5222" s="10">
        <v>39036</v>
      </c>
      <c r="K5222" s="7" t="s">
        <v>7165</v>
      </c>
      <c r="L5222" s="7"/>
      <c r="M5222" s="7"/>
    </row>
    <row r="5223" spans="1:13" x14ac:dyDescent="0.3">
      <c r="A5223" s="7">
        <v>14081</v>
      </c>
      <c r="B5223" s="7" t="s">
        <v>5230</v>
      </c>
      <c r="C5223" s="7" t="s">
        <v>7054</v>
      </c>
      <c r="D5223" s="7" t="s">
        <v>6295</v>
      </c>
      <c r="E5223" s="7" t="s">
        <v>6940</v>
      </c>
      <c r="F5223" s="7" t="s">
        <v>6986</v>
      </c>
      <c r="G5223" s="7" t="s">
        <v>7150</v>
      </c>
      <c r="H5223" s="7" t="s">
        <v>7156</v>
      </c>
      <c r="I5223" s="7"/>
      <c r="J5223" s="10">
        <v>44656</v>
      </c>
      <c r="K5223" s="7" t="s">
        <v>7165</v>
      </c>
      <c r="L5223" s="7"/>
      <c r="M5223" s="7"/>
    </row>
    <row r="5224" spans="1:13" x14ac:dyDescent="0.3">
      <c r="A5224" s="7">
        <v>14979</v>
      </c>
      <c r="B5224" s="7" t="s">
        <v>5231</v>
      </c>
      <c r="C5224" s="7" t="s">
        <v>7054</v>
      </c>
      <c r="D5224" s="7" t="s">
        <v>6295</v>
      </c>
      <c r="E5224" s="7" t="s">
        <v>6940</v>
      </c>
      <c r="F5224" s="7" t="s">
        <v>6986</v>
      </c>
      <c r="G5224" s="7" t="s">
        <v>7151</v>
      </c>
      <c r="H5224" s="7" t="s">
        <v>7156</v>
      </c>
      <c r="I5224" s="7"/>
      <c r="J5224" s="10">
        <v>44907</v>
      </c>
      <c r="K5224" s="7" t="s">
        <v>7165</v>
      </c>
      <c r="L5224" s="7"/>
      <c r="M5224" s="7"/>
    </row>
    <row r="5225" spans="1:13" x14ac:dyDescent="0.3">
      <c r="A5225" s="7">
        <v>17836</v>
      </c>
      <c r="B5225" s="7" t="s">
        <v>5232</v>
      </c>
      <c r="C5225" s="7" t="s">
        <v>7054</v>
      </c>
      <c r="D5225" s="7" t="s">
        <v>6295</v>
      </c>
      <c r="E5225" s="7" t="s">
        <v>6940</v>
      </c>
      <c r="F5225" s="7" t="s">
        <v>7000</v>
      </c>
      <c r="G5225" s="7" t="s">
        <v>7150</v>
      </c>
      <c r="H5225" s="7" t="s">
        <v>7157</v>
      </c>
      <c r="I5225" s="7"/>
      <c r="J5225" s="10">
        <v>45889</v>
      </c>
      <c r="K5225" s="7" t="s">
        <v>7165</v>
      </c>
      <c r="L5225" s="7"/>
      <c r="M5225" s="7"/>
    </row>
    <row r="5226" spans="1:13" x14ac:dyDescent="0.3">
      <c r="A5226" s="7">
        <v>17846</v>
      </c>
      <c r="B5226" s="7" t="s">
        <v>5233</v>
      </c>
      <c r="C5226" s="7" t="s">
        <v>7054</v>
      </c>
      <c r="D5226" s="7" t="s">
        <v>6295</v>
      </c>
      <c r="E5226" s="7" t="s">
        <v>6940</v>
      </c>
      <c r="F5226" s="7" t="s">
        <v>6986</v>
      </c>
      <c r="G5226" s="7" t="s">
        <v>7150</v>
      </c>
      <c r="H5226" s="7" t="s">
        <v>7156</v>
      </c>
      <c r="I5226" s="7"/>
      <c r="J5226" s="10">
        <v>45890</v>
      </c>
      <c r="K5226" s="7" t="s">
        <v>7165</v>
      </c>
      <c r="L5226" s="7"/>
      <c r="M5226" s="7"/>
    </row>
    <row r="5227" spans="1:13" x14ac:dyDescent="0.3">
      <c r="A5227" s="7">
        <v>17113</v>
      </c>
      <c r="B5227" s="7" t="s">
        <v>5234</v>
      </c>
      <c r="C5227" s="7" t="s">
        <v>7054</v>
      </c>
      <c r="D5227" s="7" t="s">
        <v>6295</v>
      </c>
      <c r="E5227" s="7" t="s">
        <v>6940</v>
      </c>
      <c r="F5227" s="7" t="s">
        <v>6987</v>
      </c>
      <c r="G5227" s="7" t="s">
        <v>7150</v>
      </c>
      <c r="H5227" s="7" t="s">
        <v>7156</v>
      </c>
      <c r="I5227" s="7"/>
      <c r="J5227" s="10">
        <v>45635</v>
      </c>
      <c r="K5227" s="7" t="s">
        <v>7165</v>
      </c>
      <c r="L5227" s="7"/>
      <c r="M5227" s="7"/>
    </row>
    <row r="5228" spans="1:13" x14ac:dyDescent="0.3">
      <c r="A5228" s="7">
        <v>17784</v>
      </c>
      <c r="B5228" s="7" t="s">
        <v>5235</v>
      </c>
      <c r="C5228" s="7" t="s">
        <v>7054</v>
      </c>
      <c r="D5228" s="7" t="s">
        <v>6295</v>
      </c>
      <c r="E5228" s="7" t="s">
        <v>6940</v>
      </c>
      <c r="F5228" s="7" t="s">
        <v>6987</v>
      </c>
      <c r="G5228" s="7" t="s">
        <v>7150</v>
      </c>
      <c r="H5228" s="7" t="s">
        <v>7156</v>
      </c>
      <c r="I5228" s="7"/>
      <c r="J5228" s="10">
        <v>45877</v>
      </c>
      <c r="K5228" s="7" t="s">
        <v>7165</v>
      </c>
      <c r="L5228" s="7"/>
      <c r="M5228" s="7"/>
    </row>
    <row r="5229" spans="1:13" x14ac:dyDescent="0.3">
      <c r="A5229" s="7">
        <v>140037</v>
      </c>
      <c r="B5229" s="7" t="s">
        <v>5236</v>
      </c>
      <c r="C5229" s="7" t="s">
        <v>7054</v>
      </c>
      <c r="D5229" s="7" t="s">
        <v>6295</v>
      </c>
      <c r="E5229" s="7" t="s">
        <v>6940</v>
      </c>
      <c r="F5229" s="7" t="s">
        <v>6987</v>
      </c>
      <c r="G5229" s="7" t="s">
        <v>7150</v>
      </c>
      <c r="H5229" s="7" t="s">
        <v>7156</v>
      </c>
      <c r="I5229" s="7"/>
      <c r="J5229" s="10">
        <v>43087</v>
      </c>
      <c r="K5229" s="7" t="s">
        <v>7165</v>
      </c>
      <c r="L5229" s="7"/>
      <c r="M5229" s="7"/>
    </row>
    <row r="5230" spans="1:13" x14ac:dyDescent="0.3">
      <c r="A5230" s="7">
        <v>15981</v>
      </c>
      <c r="B5230" s="7" t="s">
        <v>5237</v>
      </c>
      <c r="C5230" s="7" t="s">
        <v>7054</v>
      </c>
      <c r="D5230" s="7" t="s">
        <v>6295</v>
      </c>
      <c r="E5230" s="7" t="s">
        <v>6940</v>
      </c>
      <c r="F5230" s="7" t="s">
        <v>6992</v>
      </c>
      <c r="G5230" s="7" t="s">
        <v>7150</v>
      </c>
      <c r="H5230" s="7" t="s">
        <v>7156</v>
      </c>
      <c r="I5230" s="7"/>
      <c r="J5230" s="10">
        <v>45254</v>
      </c>
      <c r="K5230" s="7" t="s">
        <v>7165</v>
      </c>
      <c r="L5230" s="7"/>
      <c r="M5230" s="7"/>
    </row>
    <row r="5231" spans="1:13" x14ac:dyDescent="0.3">
      <c r="A5231" s="7">
        <v>15070</v>
      </c>
      <c r="B5231" s="7" t="s">
        <v>5238</v>
      </c>
      <c r="C5231" s="7" t="s">
        <v>7054</v>
      </c>
      <c r="D5231" s="7" t="s">
        <v>6295</v>
      </c>
      <c r="E5231" s="7" t="s">
        <v>6951</v>
      </c>
      <c r="F5231" s="7" t="s">
        <v>6398</v>
      </c>
      <c r="G5231" s="7" t="s">
        <v>7150</v>
      </c>
      <c r="H5231" s="7" t="s">
        <v>7156</v>
      </c>
      <c r="I5231" s="7"/>
      <c r="J5231" s="10">
        <v>44937</v>
      </c>
      <c r="K5231" s="7" t="s">
        <v>7165</v>
      </c>
      <c r="L5231" s="7"/>
      <c r="M5231" s="7"/>
    </row>
    <row r="5232" spans="1:13" x14ac:dyDescent="0.3">
      <c r="A5232" s="7">
        <v>570042</v>
      </c>
      <c r="B5232" s="7" t="s">
        <v>5239</v>
      </c>
      <c r="C5232" s="7" t="s">
        <v>6295</v>
      </c>
      <c r="D5232" s="7" t="s">
        <v>7055</v>
      </c>
      <c r="E5232" s="7" t="s">
        <v>6940</v>
      </c>
      <c r="F5232" s="7" t="s">
        <v>6941</v>
      </c>
      <c r="G5232" s="7" t="s">
        <v>7150</v>
      </c>
      <c r="H5232" s="7" t="s">
        <v>7156</v>
      </c>
      <c r="I5232" s="7"/>
      <c r="J5232" s="10">
        <v>43839</v>
      </c>
      <c r="K5232" s="7" t="s">
        <v>7165</v>
      </c>
      <c r="L5232" s="7"/>
      <c r="M5232" s="7"/>
    </row>
    <row r="5233" spans="1:13" x14ac:dyDescent="0.3">
      <c r="A5233" s="7">
        <v>14173</v>
      </c>
      <c r="B5233" s="7" t="s">
        <v>5240</v>
      </c>
      <c r="C5233" s="7" t="s">
        <v>6295</v>
      </c>
      <c r="D5233" s="7" t="s">
        <v>7055</v>
      </c>
      <c r="E5233" s="7" t="s">
        <v>6940</v>
      </c>
      <c r="F5233" s="7" t="s">
        <v>6943</v>
      </c>
      <c r="G5233" s="7" t="s">
        <v>7150</v>
      </c>
      <c r="H5233" s="7" t="s">
        <v>7156</v>
      </c>
      <c r="I5233" s="7"/>
      <c r="J5233" s="10">
        <v>44687</v>
      </c>
      <c r="K5233" s="7" t="s">
        <v>7165</v>
      </c>
      <c r="L5233" s="7"/>
      <c r="M5233" s="7"/>
    </row>
    <row r="5234" spans="1:13" x14ac:dyDescent="0.3">
      <c r="A5234" s="7">
        <v>17290</v>
      </c>
      <c r="B5234" s="7" t="s">
        <v>5241</v>
      </c>
      <c r="C5234" s="7" t="s">
        <v>6295</v>
      </c>
      <c r="D5234" s="7" t="s">
        <v>7055</v>
      </c>
      <c r="E5234" s="7" t="s">
        <v>6940</v>
      </c>
      <c r="F5234" s="7" t="s">
        <v>6949</v>
      </c>
      <c r="G5234" s="7" t="s">
        <v>7150</v>
      </c>
      <c r="H5234" s="7" t="s">
        <v>7156</v>
      </c>
      <c r="I5234" s="7"/>
      <c r="J5234" s="10">
        <v>45693</v>
      </c>
      <c r="K5234" s="7" t="s">
        <v>7165</v>
      </c>
      <c r="L5234" s="7"/>
      <c r="M5234" s="7"/>
    </row>
    <row r="5235" spans="1:13" x14ac:dyDescent="0.3">
      <c r="A5235" s="7">
        <v>11121</v>
      </c>
      <c r="B5235" s="7" t="s">
        <v>5242</v>
      </c>
      <c r="C5235" s="7" t="s">
        <v>6295</v>
      </c>
      <c r="D5235" s="7" t="s">
        <v>7056</v>
      </c>
      <c r="E5235" s="7" t="s">
        <v>6295</v>
      </c>
      <c r="F5235" s="7" t="s">
        <v>6939</v>
      </c>
      <c r="G5235" s="7" t="s">
        <v>7150</v>
      </c>
      <c r="H5235" s="7" t="s">
        <v>7156</v>
      </c>
      <c r="I5235" s="7"/>
      <c r="J5235" s="10">
        <v>42290</v>
      </c>
      <c r="K5235" s="7" t="s">
        <v>7165</v>
      </c>
      <c r="L5235" s="7"/>
      <c r="M5235" s="7"/>
    </row>
    <row r="5236" spans="1:13" x14ac:dyDescent="0.3">
      <c r="A5236" s="7">
        <v>750033</v>
      </c>
      <c r="B5236" s="7" t="s">
        <v>5243</v>
      </c>
      <c r="C5236" s="7" t="s">
        <v>6295</v>
      </c>
      <c r="D5236" s="7" t="s">
        <v>7056</v>
      </c>
      <c r="E5236" s="7" t="s">
        <v>6940</v>
      </c>
      <c r="F5236" s="7" t="s">
        <v>6941</v>
      </c>
      <c r="G5236" s="7" t="s">
        <v>7150</v>
      </c>
      <c r="H5236" s="7" t="s">
        <v>7156</v>
      </c>
      <c r="I5236" s="7"/>
      <c r="J5236" s="10">
        <v>43815</v>
      </c>
      <c r="K5236" s="7" t="s">
        <v>7165</v>
      </c>
      <c r="L5236" s="7"/>
      <c r="M5236" s="7"/>
    </row>
    <row r="5237" spans="1:13" x14ac:dyDescent="0.3">
      <c r="A5237" s="7">
        <v>750010</v>
      </c>
      <c r="B5237" s="7" t="s">
        <v>5244</v>
      </c>
      <c r="C5237" s="7" t="s">
        <v>6295</v>
      </c>
      <c r="D5237" s="7" t="s">
        <v>7056</v>
      </c>
      <c r="E5237" s="7" t="s">
        <v>6940</v>
      </c>
      <c r="F5237" s="7" t="s">
        <v>6958</v>
      </c>
      <c r="G5237" s="7" t="s">
        <v>7150</v>
      </c>
      <c r="H5237" s="7" t="s">
        <v>7156</v>
      </c>
      <c r="I5237" s="7"/>
      <c r="J5237" s="10">
        <v>37683</v>
      </c>
      <c r="K5237" s="7" t="s">
        <v>7165</v>
      </c>
      <c r="L5237" s="7"/>
      <c r="M5237" s="7"/>
    </row>
    <row r="5238" spans="1:13" x14ac:dyDescent="0.3">
      <c r="A5238" s="7">
        <v>750035</v>
      </c>
      <c r="B5238" s="7" t="s">
        <v>5245</v>
      </c>
      <c r="C5238" s="7" t="s">
        <v>6295</v>
      </c>
      <c r="D5238" s="7" t="s">
        <v>7056</v>
      </c>
      <c r="E5238" s="7" t="s">
        <v>6940</v>
      </c>
      <c r="F5238" s="7" t="s">
        <v>6943</v>
      </c>
      <c r="G5238" s="7" t="s">
        <v>7150</v>
      </c>
      <c r="H5238" s="7" t="s">
        <v>7156</v>
      </c>
      <c r="I5238" s="7"/>
      <c r="J5238" s="10">
        <v>43844</v>
      </c>
      <c r="K5238" s="7" t="s">
        <v>7165</v>
      </c>
      <c r="L5238" s="7"/>
      <c r="M5238" s="7"/>
    </row>
    <row r="5239" spans="1:13" x14ac:dyDescent="0.3">
      <c r="A5239" s="7">
        <v>17767</v>
      </c>
      <c r="B5239" s="7" t="s">
        <v>5246</v>
      </c>
      <c r="C5239" s="7" t="s">
        <v>6295</v>
      </c>
      <c r="D5239" s="7" t="s">
        <v>7056</v>
      </c>
      <c r="E5239" s="7" t="s">
        <v>6940</v>
      </c>
      <c r="F5239" s="7" t="s">
        <v>6949</v>
      </c>
      <c r="G5239" s="7" t="s">
        <v>7150</v>
      </c>
      <c r="H5239" s="7" t="s">
        <v>7156</v>
      </c>
      <c r="I5239" s="7"/>
      <c r="J5239" s="10">
        <v>45873</v>
      </c>
      <c r="K5239" s="7" t="s">
        <v>7165</v>
      </c>
      <c r="L5239" s="7"/>
      <c r="M5239" s="7"/>
    </row>
    <row r="5240" spans="1:13" x14ac:dyDescent="0.3">
      <c r="A5240" s="7">
        <v>630015</v>
      </c>
      <c r="B5240" s="7" t="s">
        <v>5247</v>
      </c>
      <c r="C5240" s="7" t="s">
        <v>6295</v>
      </c>
      <c r="D5240" s="7" t="s">
        <v>7057</v>
      </c>
      <c r="E5240" s="7" t="s">
        <v>6295</v>
      </c>
      <c r="F5240" s="7" t="s">
        <v>6939</v>
      </c>
      <c r="G5240" s="7" t="s">
        <v>7150</v>
      </c>
      <c r="H5240" s="7" t="s">
        <v>7156</v>
      </c>
      <c r="I5240" s="7"/>
      <c r="J5240" s="10">
        <v>42115</v>
      </c>
      <c r="K5240" s="7" t="s">
        <v>7165</v>
      </c>
      <c r="L5240" s="7"/>
      <c r="M5240" s="7"/>
    </row>
    <row r="5241" spans="1:13" x14ac:dyDescent="0.3">
      <c r="A5241" s="7">
        <v>17044</v>
      </c>
      <c r="B5241" s="7" t="s">
        <v>5248</v>
      </c>
      <c r="C5241" s="7" t="s">
        <v>6295</v>
      </c>
      <c r="D5241" s="7" t="s">
        <v>7057</v>
      </c>
      <c r="E5241" s="7" t="s">
        <v>6940</v>
      </c>
      <c r="F5241" s="7" t="s">
        <v>6949</v>
      </c>
      <c r="G5241" s="7" t="s">
        <v>7150</v>
      </c>
      <c r="H5241" s="7" t="s">
        <v>7156</v>
      </c>
      <c r="I5241" s="7"/>
      <c r="J5241" s="10">
        <v>45601</v>
      </c>
      <c r="K5241" s="7" t="s">
        <v>7165</v>
      </c>
      <c r="L5241" s="7"/>
      <c r="M5241" s="7"/>
    </row>
    <row r="5242" spans="1:13" x14ac:dyDescent="0.3">
      <c r="A5242" s="7">
        <v>820015</v>
      </c>
      <c r="B5242" s="7" t="s">
        <v>5249</v>
      </c>
      <c r="C5242" s="7" t="s">
        <v>6295</v>
      </c>
      <c r="D5242" s="7" t="s">
        <v>7058</v>
      </c>
      <c r="E5242" s="7" t="s">
        <v>6295</v>
      </c>
      <c r="F5242" s="7" t="s">
        <v>6939</v>
      </c>
      <c r="G5242" s="7" t="s">
        <v>7150</v>
      </c>
      <c r="H5242" s="7" t="s">
        <v>7156</v>
      </c>
      <c r="I5242" s="7"/>
      <c r="J5242" s="10">
        <v>42052</v>
      </c>
      <c r="K5242" s="7" t="s">
        <v>7165</v>
      </c>
      <c r="L5242" s="7"/>
      <c r="M5242" s="7"/>
    </row>
    <row r="5243" spans="1:13" x14ac:dyDescent="0.3">
      <c r="A5243" s="7">
        <v>730038</v>
      </c>
      <c r="B5243" s="7" t="s">
        <v>5250</v>
      </c>
      <c r="C5243" s="7" t="s">
        <v>6295</v>
      </c>
      <c r="D5243" s="7" t="s">
        <v>7058</v>
      </c>
      <c r="E5243" s="7" t="s">
        <v>6940</v>
      </c>
      <c r="F5243" s="7" t="s">
        <v>6941</v>
      </c>
      <c r="G5243" s="7" t="s">
        <v>7150</v>
      </c>
      <c r="H5243" s="7" t="s">
        <v>7156</v>
      </c>
      <c r="I5243" s="7"/>
      <c r="J5243" s="10">
        <v>43399</v>
      </c>
      <c r="K5243" s="7" t="s">
        <v>7165</v>
      </c>
      <c r="L5243" s="7"/>
      <c r="M5243" s="7"/>
    </row>
    <row r="5244" spans="1:13" x14ac:dyDescent="0.3">
      <c r="A5244" s="7">
        <v>207004</v>
      </c>
      <c r="B5244" s="7" t="s">
        <v>5251</v>
      </c>
      <c r="C5244" s="7" t="s">
        <v>6295</v>
      </c>
      <c r="D5244" s="7" t="s">
        <v>7058</v>
      </c>
      <c r="E5244" s="7" t="s">
        <v>6940</v>
      </c>
      <c r="F5244" s="7" t="s">
        <v>6958</v>
      </c>
      <c r="G5244" s="7" t="s">
        <v>7150</v>
      </c>
      <c r="H5244" s="7" t="s">
        <v>7156</v>
      </c>
      <c r="I5244" s="7"/>
      <c r="J5244" s="10">
        <v>44231</v>
      </c>
      <c r="K5244" s="7" t="s">
        <v>7165</v>
      </c>
      <c r="L5244" s="7"/>
      <c r="M5244" s="7"/>
    </row>
    <row r="5245" spans="1:13" x14ac:dyDescent="0.3">
      <c r="A5245" s="7">
        <v>730057</v>
      </c>
      <c r="B5245" s="7" t="s">
        <v>5252</v>
      </c>
      <c r="C5245" s="7" t="s">
        <v>6295</v>
      </c>
      <c r="D5245" s="7" t="s">
        <v>7058</v>
      </c>
      <c r="E5245" s="7" t="s">
        <v>6940</v>
      </c>
      <c r="F5245" s="7" t="s">
        <v>6943</v>
      </c>
      <c r="G5245" s="7" t="s">
        <v>7150</v>
      </c>
      <c r="H5245" s="7" t="s">
        <v>7156</v>
      </c>
      <c r="I5245" s="7"/>
      <c r="J5245" s="10">
        <v>44613</v>
      </c>
      <c r="K5245" s="7" t="s">
        <v>7165</v>
      </c>
      <c r="L5245" s="7"/>
      <c r="M5245" s="7"/>
    </row>
    <row r="5246" spans="1:13" x14ac:dyDescent="0.3">
      <c r="A5246" s="7">
        <v>17348</v>
      </c>
      <c r="B5246" s="7" t="s">
        <v>5253</v>
      </c>
      <c r="C5246" s="7" t="s">
        <v>6295</v>
      </c>
      <c r="D5246" s="7" t="s">
        <v>7058</v>
      </c>
      <c r="E5246" s="7" t="s">
        <v>6940</v>
      </c>
      <c r="F5246" s="7" t="s">
        <v>6949</v>
      </c>
      <c r="G5246" s="7" t="s">
        <v>7150</v>
      </c>
      <c r="H5246" s="7" t="s">
        <v>7156</v>
      </c>
      <c r="I5246" s="7"/>
      <c r="J5246" s="10">
        <v>45715</v>
      </c>
      <c r="K5246" s="7" t="s">
        <v>7165</v>
      </c>
      <c r="L5246" s="7"/>
      <c r="M5246" s="7"/>
    </row>
    <row r="5247" spans="1:13" x14ac:dyDescent="0.3">
      <c r="A5247" s="7">
        <v>300069</v>
      </c>
      <c r="B5247" s="7" t="s">
        <v>5254</v>
      </c>
      <c r="C5247" s="7" t="s">
        <v>6295</v>
      </c>
      <c r="D5247" s="7" t="s">
        <v>7059</v>
      </c>
      <c r="E5247" s="7" t="s">
        <v>6295</v>
      </c>
      <c r="F5247" s="7" t="s">
        <v>6939</v>
      </c>
      <c r="G5247" s="7" t="s">
        <v>7150</v>
      </c>
      <c r="H5247" s="7" t="s">
        <v>7156</v>
      </c>
      <c r="I5247" s="7"/>
      <c r="J5247" s="10">
        <v>42811</v>
      </c>
      <c r="K5247" s="7" t="s">
        <v>7165</v>
      </c>
      <c r="L5247" s="7"/>
      <c r="M5247" s="7"/>
    </row>
    <row r="5248" spans="1:13" x14ac:dyDescent="0.3">
      <c r="A5248" s="7">
        <v>620026</v>
      </c>
      <c r="B5248" s="7" t="s">
        <v>5255</v>
      </c>
      <c r="C5248" s="7" t="s">
        <v>6295</v>
      </c>
      <c r="D5248" s="7" t="s">
        <v>7059</v>
      </c>
      <c r="E5248" s="7" t="s">
        <v>6940</v>
      </c>
      <c r="F5248" s="7" t="s">
        <v>6941</v>
      </c>
      <c r="G5248" s="7" t="s">
        <v>7150</v>
      </c>
      <c r="H5248" s="7" t="s">
        <v>7156</v>
      </c>
      <c r="I5248" s="7"/>
      <c r="J5248" s="10">
        <v>42845</v>
      </c>
      <c r="K5248" s="7" t="s">
        <v>7165</v>
      </c>
      <c r="L5248" s="7"/>
      <c r="M5248" s="7"/>
    </row>
    <row r="5249" spans="1:13" x14ac:dyDescent="0.3">
      <c r="A5249" s="7">
        <v>620030</v>
      </c>
      <c r="B5249" s="7" t="s">
        <v>5256</v>
      </c>
      <c r="C5249" s="7" t="s">
        <v>6295</v>
      </c>
      <c r="D5249" s="7" t="s">
        <v>7059</v>
      </c>
      <c r="E5249" s="7" t="s">
        <v>6940</v>
      </c>
      <c r="F5249" s="7" t="s">
        <v>6941</v>
      </c>
      <c r="G5249" s="7" t="s">
        <v>7150</v>
      </c>
      <c r="H5249" s="7" t="s">
        <v>7156</v>
      </c>
      <c r="I5249" s="7"/>
      <c r="J5249" s="10">
        <v>43810</v>
      </c>
      <c r="K5249" s="7" t="s">
        <v>7165</v>
      </c>
      <c r="L5249" s="7"/>
      <c r="M5249" s="7"/>
    </row>
    <row r="5250" spans="1:13" x14ac:dyDescent="0.3">
      <c r="A5250" s="7">
        <v>300186</v>
      </c>
      <c r="B5250" s="7" t="s">
        <v>5257</v>
      </c>
      <c r="C5250" s="7" t="s">
        <v>6295</v>
      </c>
      <c r="D5250" s="7" t="s">
        <v>7059</v>
      </c>
      <c r="E5250" s="7" t="s">
        <v>6940</v>
      </c>
      <c r="F5250" s="7" t="s">
        <v>6941</v>
      </c>
      <c r="G5250" s="7" t="s">
        <v>7150</v>
      </c>
      <c r="H5250" s="7" t="s">
        <v>7156</v>
      </c>
      <c r="I5250" s="7"/>
      <c r="J5250" s="10">
        <v>43732</v>
      </c>
      <c r="K5250" s="7" t="s">
        <v>7165</v>
      </c>
      <c r="L5250" s="7"/>
      <c r="M5250" s="7"/>
    </row>
    <row r="5251" spans="1:13" x14ac:dyDescent="0.3">
      <c r="A5251" s="7">
        <v>113017</v>
      </c>
      <c r="B5251" s="7" t="s">
        <v>5258</v>
      </c>
      <c r="C5251" s="7" t="s">
        <v>6295</v>
      </c>
      <c r="D5251" s="7" t="s">
        <v>7060</v>
      </c>
      <c r="E5251" s="7" t="s">
        <v>6295</v>
      </c>
      <c r="F5251" s="7" t="s">
        <v>6939</v>
      </c>
      <c r="G5251" s="7" t="s">
        <v>7150</v>
      </c>
      <c r="H5251" s="7" t="s">
        <v>7156</v>
      </c>
      <c r="I5251" s="7"/>
      <c r="J5251" s="10">
        <v>40828</v>
      </c>
      <c r="K5251" s="7" t="s">
        <v>7165</v>
      </c>
      <c r="L5251" s="7"/>
      <c r="M5251" s="7"/>
    </row>
    <row r="5252" spans="1:13" x14ac:dyDescent="0.3">
      <c r="A5252" s="7">
        <v>390026</v>
      </c>
      <c r="B5252" s="7" t="s">
        <v>5259</v>
      </c>
      <c r="C5252" s="7" t="s">
        <v>6295</v>
      </c>
      <c r="D5252" s="7" t="s">
        <v>7060</v>
      </c>
      <c r="E5252" s="7" t="s">
        <v>6940</v>
      </c>
      <c r="F5252" s="7" t="s">
        <v>6941</v>
      </c>
      <c r="G5252" s="7" t="s">
        <v>7150</v>
      </c>
      <c r="H5252" s="7" t="s">
        <v>7156</v>
      </c>
      <c r="I5252" s="7"/>
      <c r="J5252" s="10">
        <v>43810</v>
      </c>
      <c r="K5252" s="7" t="s">
        <v>7165</v>
      </c>
      <c r="L5252" s="7"/>
      <c r="M5252" s="7"/>
    </row>
    <row r="5253" spans="1:13" x14ac:dyDescent="0.3">
      <c r="A5253" s="7">
        <v>390037</v>
      </c>
      <c r="B5253" s="7" t="s">
        <v>5260</v>
      </c>
      <c r="C5253" s="7" t="s">
        <v>6295</v>
      </c>
      <c r="D5253" s="7" t="s">
        <v>7060</v>
      </c>
      <c r="E5253" s="7" t="s">
        <v>6940</v>
      </c>
      <c r="F5253" s="7" t="s">
        <v>6941</v>
      </c>
      <c r="G5253" s="7" t="s">
        <v>7150</v>
      </c>
      <c r="H5253" s="7" t="s">
        <v>7156</v>
      </c>
      <c r="I5253" s="7"/>
      <c r="J5253" s="10">
        <v>43983</v>
      </c>
      <c r="K5253" s="7" t="s">
        <v>7165</v>
      </c>
      <c r="L5253" s="7"/>
      <c r="M5253" s="7"/>
    </row>
    <row r="5254" spans="1:13" x14ac:dyDescent="0.3">
      <c r="A5254" s="7">
        <v>390032</v>
      </c>
      <c r="B5254" s="7" t="s">
        <v>5261</v>
      </c>
      <c r="C5254" s="7" t="s">
        <v>6295</v>
      </c>
      <c r="D5254" s="7" t="s">
        <v>7060</v>
      </c>
      <c r="E5254" s="7" t="s">
        <v>6940</v>
      </c>
      <c r="F5254" s="7" t="s">
        <v>6941</v>
      </c>
      <c r="G5254" s="7" t="s">
        <v>7150</v>
      </c>
      <c r="H5254" s="7" t="s">
        <v>7156</v>
      </c>
      <c r="I5254" s="7"/>
      <c r="J5254" s="10">
        <v>43957</v>
      </c>
      <c r="K5254" s="7" t="s">
        <v>7165</v>
      </c>
      <c r="L5254" s="7"/>
      <c r="M5254" s="7"/>
    </row>
    <row r="5255" spans="1:13" x14ac:dyDescent="0.3">
      <c r="A5255" s="7">
        <v>390035</v>
      </c>
      <c r="B5255" s="7" t="s">
        <v>5262</v>
      </c>
      <c r="C5255" s="7" t="s">
        <v>6295</v>
      </c>
      <c r="D5255" s="7" t="s">
        <v>7060</v>
      </c>
      <c r="E5255" s="7" t="s">
        <v>6940</v>
      </c>
      <c r="F5255" s="7" t="s">
        <v>6941</v>
      </c>
      <c r="G5255" s="7" t="s">
        <v>7150</v>
      </c>
      <c r="H5255" s="7" t="s">
        <v>7156</v>
      </c>
      <c r="I5255" s="7"/>
      <c r="J5255" s="10">
        <v>43963</v>
      </c>
      <c r="K5255" s="7" t="s">
        <v>7165</v>
      </c>
      <c r="L5255" s="7"/>
      <c r="M5255" s="7"/>
    </row>
    <row r="5256" spans="1:13" x14ac:dyDescent="0.3">
      <c r="A5256" s="7">
        <v>390033</v>
      </c>
      <c r="B5256" s="7" t="s">
        <v>5263</v>
      </c>
      <c r="C5256" s="7" t="s">
        <v>6295</v>
      </c>
      <c r="D5256" s="7" t="s">
        <v>7060</v>
      </c>
      <c r="E5256" s="7" t="s">
        <v>6940</v>
      </c>
      <c r="F5256" s="7" t="s">
        <v>6941</v>
      </c>
      <c r="G5256" s="7" t="s">
        <v>7150</v>
      </c>
      <c r="H5256" s="7" t="s">
        <v>7156</v>
      </c>
      <c r="I5256" s="7"/>
      <c r="J5256" s="10">
        <v>43963</v>
      </c>
      <c r="K5256" s="7" t="s">
        <v>7165</v>
      </c>
      <c r="L5256" s="7"/>
      <c r="M5256" s="7"/>
    </row>
    <row r="5257" spans="1:13" x14ac:dyDescent="0.3">
      <c r="A5257" s="7">
        <v>390039</v>
      </c>
      <c r="B5257" s="7" t="s">
        <v>5264</v>
      </c>
      <c r="C5257" s="7" t="s">
        <v>6295</v>
      </c>
      <c r="D5257" s="7" t="s">
        <v>7060</v>
      </c>
      <c r="E5257" s="7" t="s">
        <v>6940</v>
      </c>
      <c r="F5257" s="7" t="s">
        <v>6941</v>
      </c>
      <c r="G5257" s="7" t="s">
        <v>7150</v>
      </c>
      <c r="H5257" s="7" t="s">
        <v>7156</v>
      </c>
      <c r="I5257" s="7"/>
      <c r="J5257" s="10">
        <v>43994</v>
      </c>
      <c r="K5257" s="7" t="s">
        <v>7165</v>
      </c>
      <c r="L5257" s="7"/>
      <c r="M5257" s="7"/>
    </row>
    <row r="5258" spans="1:13" x14ac:dyDescent="0.3">
      <c r="A5258" s="7">
        <v>390030</v>
      </c>
      <c r="B5258" s="7" t="s">
        <v>5265</v>
      </c>
      <c r="C5258" s="7" t="s">
        <v>6295</v>
      </c>
      <c r="D5258" s="7" t="s">
        <v>7060</v>
      </c>
      <c r="E5258" s="7" t="s">
        <v>6940</v>
      </c>
      <c r="F5258" s="7" t="s">
        <v>6941</v>
      </c>
      <c r="G5258" s="7" t="s">
        <v>7150</v>
      </c>
      <c r="H5258" s="7" t="s">
        <v>7156</v>
      </c>
      <c r="I5258" s="7"/>
      <c r="J5258" s="10">
        <v>43957</v>
      </c>
      <c r="K5258" s="7" t="s">
        <v>7165</v>
      </c>
      <c r="L5258" s="7"/>
      <c r="M5258" s="7"/>
    </row>
    <row r="5259" spans="1:13" x14ac:dyDescent="0.3">
      <c r="A5259" s="7">
        <v>123004</v>
      </c>
      <c r="B5259" s="7" t="s">
        <v>5266</v>
      </c>
      <c r="C5259" s="7" t="s">
        <v>6295</v>
      </c>
      <c r="D5259" s="7" t="s">
        <v>7060</v>
      </c>
      <c r="E5259" s="7" t="s">
        <v>6940</v>
      </c>
      <c r="F5259" s="7" t="s">
        <v>6941</v>
      </c>
      <c r="G5259" s="7" t="s">
        <v>7150</v>
      </c>
      <c r="H5259" s="7" t="s">
        <v>7156</v>
      </c>
      <c r="I5259" s="7"/>
      <c r="J5259" s="10">
        <v>43745</v>
      </c>
      <c r="K5259" s="7" t="s">
        <v>7165</v>
      </c>
      <c r="L5259" s="7"/>
      <c r="M5259" s="7"/>
    </row>
    <row r="5260" spans="1:13" x14ac:dyDescent="0.3">
      <c r="A5260" s="7">
        <v>390031</v>
      </c>
      <c r="B5260" s="7" t="s">
        <v>5267</v>
      </c>
      <c r="C5260" s="7" t="s">
        <v>6295</v>
      </c>
      <c r="D5260" s="7" t="s">
        <v>7060</v>
      </c>
      <c r="E5260" s="7" t="s">
        <v>6940</v>
      </c>
      <c r="F5260" s="7" t="s">
        <v>6958</v>
      </c>
      <c r="G5260" s="7" t="s">
        <v>7150</v>
      </c>
      <c r="H5260" s="7" t="s">
        <v>7156</v>
      </c>
      <c r="I5260" s="7"/>
      <c r="J5260" s="10">
        <v>43957</v>
      </c>
      <c r="K5260" s="7" t="s">
        <v>7165</v>
      </c>
      <c r="L5260" s="7"/>
      <c r="M5260" s="7"/>
    </row>
    <row r="5261" spans="1:13" x14ac:dyDescent="0.3">
      <c r="A5261" s="7">
        <v>390038</v>
      </c>
      <c r="B5261" s="7" t="s">
        <v>5268</v>
      </c>
      <c r="C5261" s="7" t="s">
        <v>6295</v>
      </c>
      <c r="D5261" s="7" t="s">
        <v>7060</v>
      </c>
      <c r="E5261" s="7" t="s">
        <v>6940</v>
      </c>
      <c r="F5261" s="7" t="s">
        <v>6958</v>
      </c>
      <c r="G5261" s="7" t="s">
        <v>7150</v>
      </c>
      <c r="H5261" s="7" t="s">
        <v>7156</v>
      </c>
      <c r="I5261" s="7"/>
      <c r="J5261" s="10">
        <v>43994</v>
      </c>
      <c r="K5261" s="7" t="s">
        <v>7165</v>
      </c>
      <c r="L5261" s="7"/>
      <c r="M5261" s="7"/>
    </row>
    <row r="5262" spans="1:13" x14ac:dyDescent="0.3">
      <c r="A5262" s="7">
        <v>390034</v>
      </c>
      <c r="B5262" s="7" t="s">
        <v>5269</v>
      </c>
      <c r="C5262" s="7" t="s">
        <v>6295</v>
      </c>
      <c r="D5262" s="7" t="s">
        <v>7060</v>
      </c>
      <c r="E5262" s="7" t="s">
        <v>6940</v>
      </c>
      <c r="F5262" s="7" t="s">
        <v>6958</v>
      </c>
      <c r="G5262" s="7" t="s">
        <v>7150</v>
      </c>
      <c r="H5262" s="7" t="s">
        <v>7156</v>
      </c>
      <c r="I5262" s="7"/>
      <c r="J5262" s="10">
        <v>43963</v>
      </c>
      <c r="K5262" s="7" t="s">
        <v>7165</v>
      </c>
      <c r="L5262" s="7"/>
      <c r="M5262" s="7"/>
    </row>
    <row r="5263" spans="1:13" x14ac:dyDescent="0.3">
      <c r="A5263" s="7">
        <v>910007</v>
      </c>
      <c r="B5263" s="7" t="s">
        <v>5270</v>
      </c>
      <c r="C5263" s="7" t="s">
        <v>6295</v>
      </c>
      <c r="D5263" s="7" t="s">
        <v>7060</v>
      </c>
      <c r="E5263" s="7" t="s">
        <v>6940</v>
      </c>
      <c r="F5263" s="7" t="s">
        <v>6958</v>
      </c>
      <c r="G5263" s="7" t="s">
        <v>7150</v>
      </c>
      <c r="H5263" s="7" t="s">
        <v>7156</v>
      </c>
      <c r="I5263" s="7"/>
      <c r="J5263" s="10">
        <v>44448</v>
      </c>
      <c r="K5263" s="7" t="s">
        <v>7165</v>
      </c>
      <c r="L5263" s="7"/>
      <c r="M5263" s="7"/>
    </row>
    <row r="5264" spans="1:13" x14ac:dyDescent="0.3">
      <c r="A5264" s="7">
        <v>910008</v>
      </c>
      <c r="B5264" s="7" t="s">
        <v>5271</v>
      </c>
      <c r="C5264" s="7" t="s">
        <v>6295</v>
      </c>
      <c r="D5264" s="7" t="s">
        <v>7060</v>
      </c>
      <c r="E5264" s="7" t="s">
        <v>6940</v>
      </c>
      <c r="F5264" s="7" t="s">
        <v>6958</v>
      </c>
      <c r="G5264" s="7" t="s">
        <v>7150</v>
      </c>
      <c r="H5264" s="7" t="s">
        <v>7156</v>
      </c>
      <c r="I5264" s="7"/>
      <c r="J5264" s="10">
        <v>44621</v>
      </c>
      <c r="K5264" s="7" t="s">
        <v>7165</v>
      </c>
      <c r="L5264" s="7"/>
      <c r="M5264" s="7"/>
    </row>
    <row r="5265" spans="1:13" x14ac:dyDescent="0.3">
      <c r="A5265" s="7">
        <v>910009</v>
      </c>
      <c r="B5265" s="7" t="s">
        <v>5272</v>
      </c>
      <c r="C5265" s="7" t="s">
        <v>6295</v>
      </c>
      <c r="D5265" s="7" t="s">
        <v>7060</v>
      </c>
      <c r="E5265" s="7" t="s">
        <v>6940</v>
      </c>
      <c r="F5265" s="7" t="s">
        <v>6958</v>
      </c>
      <c r="G5265" s="7" t="s">
        <v>7150</v>
      </c>
      <c r="H5265" s="7" t="s">
        <v>7156</v>
      </c>
      <c r="I5265" s="7"/>
      <c r="J5265" s="10">
        <v>44623</v>
      </c>
      <c r="K5265" s="7" t="s">
        <v>7165</v>
      </c>
      <c r="L5265" s="7"/>
      <c r="M5265" s="7"/>
    </row>
    <row r="5266" spans="1:13" x14ac:dyDescent="0.3">
      <c r="A5266" s="7">
        <v>910010</v>
      </c>
      <c r="B5266" s="7" t="s">
        <v>5273</v>
      </c>
      <c r="C5266" s="7" t="s">
        <v>6295</v>
      </c>
      <c r="D5266" s="7" t="s">
        <v>7060</v>
      </c>
      <c r="E5266" s="7" t="s">
        <v>6940</v>
      </c>
      <c r="F5266" s="7" t="s">
        <v>6943</v>
      </c>
      <c r="G5266" s="7" t="s">
        <v>7150</v>
      </c>
      <c r="H5266" s="7" t="s">
        <v>7156</v>
      </c>
      <c r="I5266" s="7"/>
      <c r="J5266" s="10">
        <v>44652</v>
      </c>
      <c r="K5266" s="7" t="s">
        <v>7165</v>
      </c>
      <c r="L5266" s="7"/>
      <c r="M5266" s="7"/>
    </row>
    <row r="5267" spans="1:13" x14ac:dyDescent="0.3">
      <c r="A5267" s="7">
        <v>650007</v>
      </c>
      <c r="B5267" s="7" t="s">
        <v>5274</v>
      </c>
      <c r="C5267" s="7" t="s">
        <v>6295</v>
      </c>
      <c r="D5267" s="7" t="s">
        <v>7061</v>
      </c>
      <c r="E5267" s="7" t="s">
        <v>6295</v>
      </c>
      <c r="F5267" s="7" t="s">
        <v>6939</v>
      </c>
      <c r="G5267" s="7" t="s">
        <v>7150</v>
      </c>
      <c r="H5267" s="7" t="s">
        <v>7156</v>
      </c>
      <c r="I5267" s="7"/>
      <c r="J5267" s="10">
        <v>40087</v>
      </c>
      <c r="K5267" s="7" t="s">
        <v>7165</v>
      </c>
      <c r="L5267" s="7"/>
      <c r="M5267" s="7"/>
    </row>
    <row r="5268" spans="1:13" x14ac:dyDescent="0.3">
      <c r="A5268" s="7">
        <v>650025</v>
      </c>
      <c r="B5268" s="7" t="s">
        <v>5275</v>
      </c>
      <c r="C5268" s="7" t="s">
        <v>6295</v>
      </c>
      <c r="D5268" s="7" t="s">
        <v>7061</v>
      </c>
      <c r="E5268" s="7" t="s">
        <v>6940</v>
      </c>
      <c r="F5268" s="7" t="s">
        <v>6941</v>
      </c>
      <c r="G5268" s="7" t="s">
        <v>7150</v>
      </c>
      <c r="H5268" s="7" t="s">
        <v>7156</v>
      </c>
      <c r="I5268" s="7"/>
      <c r="J5268" s="10">
        <v>42965</v>
      </c>
      <c r="K5268" s="7" t="s">
        <v>7165</v>
      </c>
      <c r="L5268" s="7"/>
      <c r="M5268" s="7"/>
    </row>
    <row r="5269" spans="1:13" x14ac:dyDescent="0.3">
      <c r="A5269" s="7">
        <v>209002</v>
      </c>
      <c r="B5269" s="7" t="s">
        <v>5276</v>
      </c>
      <c r="C5269" s="7" t="s">
        <v>6295</v>
      </c>
      <c r="D5269" s="7" t="s">
        <v>7061</v>
      </c>
      <c r="E5269" s="7" t="s">
        <v>6940</v>
      </c>
      <c r="F5269" s="7" t="s">
        <v>6941</v>
      </c>
      <c r="G5269" s="7" t="s">
        <v>7150</v>
      </c>
      <c r="H5269" s="7" t="s">
        <v>7156</v>
      </c>
      <c r="I5269" s="7"/>
      <c r="J5269" s="10">
        <v>43480</v>
      </c>
      <c r="K5269" s="7" t="s">
        <v>7165</v>
      </c>
      <c r="L5269" s="7"/>
      <c r="M5269" s="7"/>
    </row>
    <row r="5270" spans="1:13" x14ac:dyDescent="0.3">
      <c r="A5270" s="7">
        <v>14705</v>
      </c>
      <c r="B5270" s="7" t="s">
        <v>5277</v>
      </c>
      <c r="C5270" s="7" t="s">
        <v>6295</v>
      </c>
      <c r="D5270" s="7" t="s">
        <v>7061</v>
      </c>
      <c r="E5270" s="7" t="s">
        <v>6940</v>
      </c>
      <c r="F5270" s="7" t="s">
        <v>6943</v>
      </c>
      <c r="G5270" s="7" t="s">
        <v>7150</v>
      </c>
      <c r="H5270" s="7" t="s">
        <v>7156</v>
      </c>
      <c r="I5270" s="7"/>
      <c r="J5270" s="10">
        <v>44831</v>
      </c>
      <c r="K5270" s="7" t="s">
        <v>7165</v>
      </c>
      <c r="L5270" s="7"/>
      <c r="M5270" s="7"/>
    </row>
    <row r="5271" spans="1:13" x14ac:dyDescent="0.3">
      <c r="A5271" s="7">
        <v>15982</v>
      </c>
      <c r="B5271" s="7" t="s">
        <v>5278</v>
      </c>
      <c r="C5271" s="7" t="s">
        <v>6295</v>
      </c>
      <c r="D5271" s="7" t="s">
        <v>7061</v>
      </c>
      <c r="E5271" s="7" t="s">
        <v>6940</v>
      </c>
      <c r="F5271" s="7" t="s">
        <v>6949</v>
      </c>
      <c r="G5271" s="7" t="s">
        <v>7150</v>
      </c>
      <c r="H5271" s="7" t="s">
        <v>7156</v>
      </c>
      <c r="I5271" s="7"/>
      <c r="J5271" s="10">
        <v>45254</v>
      </c>
      <c r="K5271" s="7" t="s">
        <v>7165</v>
      </c>
      <c r="L5271" s="7"/>
      <c r="M5271" s="7"/>
    </row>
    <row r="5272" spans="1:13" x14ac:dyDescent="0.3">
      <c r="A5272" s="7">
        <v>11838</v>
      </c>
      <c r="B5272" s="7" t="s">
        <v>5279</v>
      </c>
      <c r="C5272" s="7" t="s">
        <v>6295</v>
      </c>
      <c r="D5272" s="7" t="s">
        <v>7062</v>
      </c>
      <c r="E5272" s="7" t="s">
        <v>6295</v>
      </c>
      <c r="F5272" s="7" t="s">
        <v>6939</v>
      </c>
      <c r="G5272" s="7" t="s">
        <v>7150</v>
      </c>
      <c r="H5272" s="7" t="s">
        <v>7156</v>
      </c>
      <c r="I5272" s="7"/>
      <c r="J5272" s="10">
        <v>43192</v>
      </c>
      <c r="K5272" s="7" t="s">
        <v>7165</v>
      </c>
      <c r="L5272" s="7"/>
      <c r="M5272" s="7"/>
    </row>
    <row r="5273" spans="1:13" x14ac:dyDescent="0.3">
      <c r="A5273" s="7">
        <v>880029</v>
      </c>
      <c r="B5273" s="7" t="s">
        <v>5280</v>
      </c>
      <c r="C5273" s="7" t="s">
        <v>6295</v>
      </c>
      <c r="D5273" s="7" t="s">
        <v>7062</v>
      </c>
      <c r="E5273" s="7" t="s">
        <v>6940</v>
      </c>
      <c r="F5273" s="7" t="s">
        <v>6941</v>
      </c>
      <c r="G5273" s="7" t="s">
        <v>7150</v>
      </c>
      <c r="H5273" s="7" t="s">
        <v>7156</v>
      </c>
      <c r="I5273" s="7"/>
      <c r="J5273" s="10">
        <v>42464</v>
      </c>
      <c r="K5273" s="7" t="s">
        <v>7165</v>
      </c>
      <c r="L5273" s="7"/>
      <c r="M5273" s="7"/>
    </row>
    <row r="5274" spans="1:13" x14ac:dyDescent="0.3">
      <c r="A5274" s="7">
        <v>202001</v>
      </c>
      <c r="B5274" s="7" t="s">
        <v>5281</v>
      </c>
      <c r="C5274" s="7" t="s">
        <v>6295</v>
      </c>
      <c r="D5274" s="7" t="s">
        <v>7062</v>
      </c>
      <c r="E5274" s="7" t="s">
        <v>6940</v>
      </c>
      <c r="F5274" s="7" t="s">
        <v>6958</v>
      </c>
      <c r="G5274" s="7" t="s">
        <v>7152</v>
      </c>
      <c r="H5274" s="7" t="s">
        <v>7156</v>
      </c>
      <c r="I5274" s="7"/>
      <c r="J5274" s="10">
        <v>43654</v>
      </c>
      <c r="K5274" s="7" t="s">
        <v>7165</v>
      </c>
      <c r="L5274" s="7"/>
      <c r="M5274" s="7"/>
    </row>
    <row r="5275" spans="1:13" x14ac:dyDescent="0.3">
      <c r="A5275" s="7">
        <v>18848</v>
      </c>
      <c r="B5275" s="7" t="s">
        <v>5282</v>
      </c>
      <c r="C5275" s="7" t="s">
        <v>6295</v>
      </c>
      <c r="D5275" s="7" t="s">
        <v>7062</v>
      </c>
      <c r="E5275" s="7" t="s">
        <v>6940</v>
      </c>
      <c r="F5275" s="7" t="s">
        <v>7028</v>
      </c>
      <c r="G5275" s="7" t="s">
        <v>7150</v>
      </c>
      <c r="H5275" s="7" t="s">
        <v>7157</v>
      </c>
      <c r="I5275" s="7"/>
      <c r="J5275" s="10">
        <v>46224</v>
      </c>
      <c r="K5275" s="7" t="s">
        <v>7165</v>
      </c>
      <c r="L5275" s="7"/>
      <c r="M5275" s="7"/>
    </row>
    <row r="5276" spans="1:13" x14ac:dyDescent="0.3">
      <c r="A5276" s="7">
        <v>15530</v>
      </c>
      <c r="B5276" s="7" t="s">
        <v>5283</v>
      </c>
      <c r="C5276" s="7" t="s">
        <v>6295</v>
      </c>
      <c r="D5276" s="7" t="s">
        <v>7062</v>
      </c>
      <c r="E5276" s="7" t="s">
        <v>6940</v>
      </c>
      <c r="F5276" s="7" t="s">
        <v>6943</v>
      </c>
      <c r="G5276" s="7" t="s">
        <v>7150</v>
      </c>
      <c r="H5276" s="7" t="s">
        <v>7156</v>
      </c>
      <c r="I5276" s="7"/>
      <c r="J5276" s="10">
        <v>45112</v>
      </c>
      <c r="K5276" s="7" t="s">
        <v>7165</v>
      </c>
      <c r="L5276" s="7"/>
      <c r="M5276" s="7"/>
    </row>
    <row r="5277" spans="1:13" x14ac:dyDescent="0.3">
      <c r="A5277" s="7">
        <v>15531</v>
      </c>
      <c r="B5277" s="7" t="s">
        <v>5284</v>
      </c>
      <c r="C5277" s="7" t="s">
        <v>6295</v>
      </c>
      <c r="D5277" s="7" t="s">
        <v>7062</v>
      </c>
      <c r="E5277" s="7" t="s">
        <v>6940</v>
      </c>
      <c r="F5277" s="7" t="s">
        <v>6943</v>
      </c>
      <c r="G5277" s="7" t="s">
        <v>7150</v>
      </c>
      <c r="H5277" s="7" t="s">
        <v>7156</v>
      </c>
      <c r="I5277" s="7"/>
      <c r="J5277" s="10">
        <v>45112</v>
      </c>
      <c r="K5277" s="7" t="s">
        <v>7165</v>
      </c>
      <c r="L5277" s="7"/>
      <c r="M5277" s="7"/>
    </row>
    <row r="5278" spans="1:13" x14ac:dyDescent="0.3">
      <c r="A5278" s="7">
        <v>18078</v>
      </c>
      <c r="B5278" s="7" t="s">
        <v>5285</v>
      </c>
      <c r="C5278" s="7" t="s">
        <v>6295</v>
      </c>
      <c r="D5278" s="7" t="s">
        <v>7062</v>
      </c>
      <c r="E5278" s="7" t="s">
        <v>6940</v>
      </c>
      <c r="F5278" s="7" t="s">
        <v>6949</v>
      </c>
      <c r="G5278" s="7" t="s">
        <v>7150</v>
      </c>
      <c r="H5278" s="7" t="s">
        <v>7156</v>
      </c>
      <c r="I5278" s="7"/>
      <c r="J5278" s="10">
        <v>45986</v>
      </c>
      <c r="K5278" s="7" t="s">
        <v>7165</v>
      </c>
      <c r="L5278" s="7"/>
      <c r="M5278" s="7"/>
    </row>
    <row r="5279" spans="1:13" x14ac:dyDescent="0.3">
      <c r="A5279" s="7">
        <v>460007</v>
      </c>
      <c r="B5279" s="7" t="s">
        <v>5286</v>
      </c>
      <c r="C5279" s="7" t="s">
        <v>6295</v>
      </c>
      <c r="D5279" s="7" t="s">
        <v>7063</v>
      </c>
      <c r="E5279" s="7" t="s">
        <v>6295</v>
      </c>
      <c r="F5279" s="7" t="s">
        <v>6939</v>
      </c>
      <c r="G5279" s="7" t="s">
        <v>7150</v>
      </c>
      <c r="H5279" s="7" t="s">
        <v>7156</v>
      </c>
      <c r="I5279" s="7"/>
      <c r="J5279" s="10">
        <v>40311</v>
      </c>
      <c r="K5279" s="7" t="s">
        <v>7165</v>
      </c>
      <c r="L5279" s="7"/>
      <c r="M5279" s="7"/>
    </row>
    <row r="5280" spans="1:13" x14ac:dyDescent="0.3">
      <c r="A5280" s="7">
        <v>15099</v>
      </c>
      <c r="B5280" s="7" t="s">
        <v>5287</v>
      </c>
      <c r="C5280" s="7" t="s">
        <v>6295</v>
      </c>
      <c r="D5280" s="7" t="s">
        <v>7063</v>
      </c>
      <c r="E5280" s="7" t="s">
        <v>6940</v>
      </c>
      <c r="F5280" s="7" t="s">
        <v>6943</v>
      </c>
      <c r="G5280" s="7" t="s">
        <v>7150</v>
      </c>
      <c r="H5280" s="7" t="s">
        <v>7156</v>
      </c>
      <c r="I5280" s="7"/>
      <c r="J5280" s="10">
        <v>44949</v>
      </c>
      <c r="K5280" s="7" t="s">
        <v>7165</v>
      </c>
      <c r="L5280" s="7"/>
      <c r="M5280" s="7"/>
    </row>
    <row r="5281" spans="1:13" x14ac:dyDescent="0.3">
      <c r="A5281" s="7">
        <v>15101</v>
      </c>
      <c r="B5281" s="7" t="s">
        <v>5288</v>
      </c>
      <c r="C5281" s="7" t="s">
        <v>6295</v>
      </c>
      <c r="D5281" s="7" t="s">
        <v>7063</v>
      </c>
      <c r="E5281" s="7" t="s">
        <v>6940</v>
      </c>
      <c r="F5281" s="7" t="s">
        <v>6943</v>
      </c>
      <c r="G5281" s="7" t="s">
        <v>7150</v>
      </c>
      <c r="H5281" s="7" t="s">
        <v>7156</v>
      </c>
      <c r="I5281" s="7"/>
      <c r="J5281" s="10">
        <v>44949</v>
      </c>
      <c r="K5281" s="7" t="s">
        <v>7165</v>
      </c>
      <c r="L5281" s="7"/>
      <c r="M5281" s="7"/>
    </row>
    <row r="5282" spans="1:13" x14ac:dyDescent="0.3">
      <c r="A5282" s="7">
        <v>15102</v>
      </c>
      <c r="B5282" s="7" t="s">
        <v>5289</v>
      </c>
      <c r="C5282" s="7" t="s">
        <v>6295</v>
      </c>
      <c r="D5282" s="7" t="s">
        <v>7063</v>
      </c>
      <c r="E5282" s="7" t="s">
        <v>6940</v>
      </c>
      <c r="F5282" s="7" t="s">
        <v>6943</v>
      </c>
      <c r="G5282" s="7" t="s">
        <v>7150</v>
      </c>
      <c r="H5282" s="7" t="s">
        <v>7156</v>
      </c>
      <c r="I5282" s="7"/>
      <c r="J5282" s="10">
        <v>44949</v>
      </c>
      <c r="K5282" s="7" t="s">
        <v>7165</v>
      </c>
      <c r="L5282" s="7"/>
      <c r="M5282" s="7"/>
    </row>
    <row r="5283" spans="1:13" x14ac:dyDescent="0.3">
      <c r="A5283" s="7">
        <v>15289</v>
      </c>
      <c r="B5283" s="7" t="s">
        <v>5290</v>
      </c>
      <c r="C5283" s="7" t="s">
        <v>6295</v>
      </c>
      <c r="D5283" s="7" t="s">
        <v>7063</v>
      </c>
      <c r="E5283" s="7" t="s">
        <v>6940</v>
      </c>
      <c r="F5283" s="7" t="s">
        <v>6943</v>
      </c>
      <c r="G5283" s="7" t="s">
        <v>7150</v>
      </c>
      <c r="H5283" s="7" t="s">
        <v>7156</v>
      </c>
      <c r="I5283" s="7"/>
      <c r="J5283" s="10">
        <v>45019</v>
      </c>
      <c r="K5283" s="7" t="s">
        <v>7165</v>
      </c>
      <c r="L5283" s="7"/>
      <c r="M5283" s="7"/>
    </row>
    <row r="5284" spans="1:13" x14ac:dyDescent="0.3">
      <c r="A5284" s="7">
        <v>139001</v>
      </c>
      <c r="B5284" s="7" t="s">
        <v>5291</v>
      </c>
      <c r="C5284" s="7" t="s">
        <v>6295</v>
      </c>
      <c r="D5284" s="7" t="s">
        <v>7064</v>
      </c>
      <c r="E5284" s="7" t="s">
        <v>6940</v>
      </c>
      <c r="F5284" s="7" t="s">
        <v>6941</v>
      </c>
      <c r="G5284" s="7" t="s">
        <v>7150</v>
      </c>
      <c r="H5284" s="7" t="s">
        <v>7156</v>
      </c>
      <c r="I5284" s="7"/>
      <c r="J5284" s="10">
        <v>44061</v>
      </c>
      <c r="K5284" s="7" t="s">
        <v>7165</v>
      </c>
      <c r="L5284" s="7"/>
      <c r="M5284" s="7"/>
    </row>
    <row r="5285" spans="1:13" x14ac:dyDescent="0.3">
      <c r="A5285" s="7">
        <v>790003</v>
      </c>
      <c r="B5285" s="7" t="s">
        <v>5292</v>
      </c>
      <c r="C5285" s="7" t="s">
        <v>6295</v>
      </c>
      <c r="D5285" s="7" t="s">
        <v>7064</v>
      </c>
      <c r="E5285" s="7" t="s">
        <v>6940</v>
      </c>
      <c r="F5285" s="7" t="s">
        <v>6943</v>
      </c>
      <c r="G5285" s="7" t="s">
        <v>7150</v>
      </c>
      <c r="H5285" s="7" t="s">
        <v>7156</v>
      </c>
      <c r="I5285" s="7"/>
      <c r="J5285" s="10">
        <v>36727</v>
      </c>
      <c r="K5285" s="7" t="s">
        <v>7165</v>
      </c>
      <c r="L5285" s="7"/>
      <c r="M5285" s="7"/>
    </row>
    <row r="5286" spans="1:13" x14ac:dyDescent="0.3">
      <c r="A5286" s="7">
        <v>790027</v>
      </c>
      <c r="B5286" s="7" t="s">
        <v>5293</v>
      </c>
      <c r="C5286" s="7" t="s">
        <v>6295</v>
      </c>
      <c r="D5286" s="7" t="s">
        <v>7064</v>
      </c>
      <c r="E5286" s="7" t="s">
        <v>6940</v>
      </c>
      <c r="F5286" s="7" t="s">
        <v>6943</v>
      </c>
      <c r="G5286" s="7" t="s">
        <v>7150</v>
      </c>
      <c r="H5286" s="7" t="s">
        <v>7156</v>
      </c>
      <c r="I5286" s="7"/>
      <c r="J5286" s="10">
        <v>43858</v>
      </c>
      <c r="K5286" s="7" t="s">
        <v>7165</v>
      </c>
      <c r="L5286" s="7"/>
      <c r="M5286" s="7"/>
    </row>
    <row r="5287" spans="1:13" x14ac:dyDescent="0.3">
      <c r="A5287" s="7">
        <v>14586</v>
      </c>
      <c r="B5287" s="7" t="s">
        <v>5294</v>
      </c>
      <c r="C5287" s="7" t="s">
        <v>6295</v>
      </c>
      <c r="D5287" s="7" t="s">
        <v>7064</v>
      </c>
      <c r="E5287" s="7" t="s">
        <v>6940</v>
      </c>
      <c r="F5287" s="7" t="s">
        <v>6943</v>
      </c>
      <c r="G5287" s="7" t="s">
        <v>7150</v>
      </c>
      <c r="H5287" s="7" t="s">
        <v>7156</v>
      </c>
      <c r="I5287" s="7"/>
      <c r="J5287" s="10">
        <v>44790</v>
      </c>
      <c r="K5287" s="7" t="s">
        <v>7165</v>
      </c>
      <c r="L5287" s="7"/>
      <c r="M5287" s="7"/>
    </row>
    <row r="5288" spans="1:13" x14ac:dyDescent="0.3">
      <c r="A5288" s="7">
        <v>12030</v>
      </c>
      <c r="B5288" s="7" t="s">
        <v>5295</v>
      </c>
      <c r="C5288" s="7" t="s">
        <v>6295</v>
      </c>
      <c r="D5288" s="7" t="s">
        <v>7065</v>
      </c>
      <c r="E5288" s="7" t="s">
        <v>6295</v>
      </c>
      <c r="F5288" s="7" t="s">
        <v>6939</v>
      </c>
      <c r="G5288" s="7" t="s">
        <v>7150</v>
      </c>
      <c r="H5288" s="7" t="s">
        <v>7156</v>
      </c>
      <c r="I5288" s="7"/>
      <c r="J5288" s="10">
        <v>43392</v>
      </c>
      <c r="K5288" s="7" t="s">
        <v>7165</v>
      </c>
      <c r="L5288" s="7"/>
      <c r="M5288" s="7"/>
    </row>
    <row r="5289" spans="1:13" x14ac:dyDescent="0.3">
      <c r="A5289" s="7">
        <v>209003</v>
      </c>
      <c r="B5289" s="7" t="s">
        <v>5296</v>
      </c>
      <c r="C5289" s="7" t="s">
        <v>6295</v>
      </c>
      <c r="D5289" s="7" t="s">
        <v>7065</v>
      </c>
      <c r="E5289" s="7" t="s">
        <v>6940</v>
      </c>
      <c r="F5289" s="7" t="s">
        <v>6941</v>
      </c>
      <c r="G5289" s="7" t="s">
        <v>7150</v>
      </c>
      <c r="H5289" s="7" t="s">
        <v>7156</v>
      </c>
      <c r="I5289" s="7"/>
      <c r="J5289" s="10">
        <v>43490</v>
      </c>
      <c r="K5289" s="7" t="s">
        <v>7165</v>
      </c>
      <c r="L5289" s="7"/>
      <c r="M5289" s="7"/>
    </row>
    <row r="5290" spans="1:13" x14ac:dyDescent="0.3">
      <c r="A5290" s="7">
        <v>760030</v>
      </c>
      <c r="B5290" s="7" t="s">
        <v>5297</v>
      </c>
      <c r="C5290" s="7" t="s">
        <v>6295</v>
      </c>
      <c r="D5290" s="7" t="s">
        <v>7065</v>
      </c>
      <c r="E5290" s="7" t="s">
        <v>6940</v>
      </c>
      <c r="F5290" s="7" t="s">
        <v>6941</v>
      </c>
      <c r="G5290" s="7" t="s">
        <v>7150</v>
      </c>
      <c r="H5290" s="7" t="s">
        <v>7156</v>
      </c>
      <c r="I5290" s="7"/>
      <c r="J5290" s="10">
        <v>42516</v>
      </c>
      <c r="K5290" s="7" t="s">
        <v>7165</v>
      </c>
      <c r="L5290" s="7"/>
      <c r="M5290" s="7"/>
    </row>
    <row r="5291" spans="1:13" x14ac:dyDescent="0.3">
      <c r="A5291" s="7">
        <v>209001</v>
      </c>
      <c r="B5291" s="7" t="s">
        <v>5298</v>
      </c>
      <c r="C5291" s="7" t="s">
        <v>6295</v>
      </c>
      <c r="D5291" s="7" t="s">
        <v>7065</v>
      </c>
      <c r="E5291" s="7" t="s">
        <v>6940</v>
      </c>
      <c r="F5291" s="7" t="s">
        <v>6941</v>
      </c>
      <c r="G5291" s="7" t="s">
        <v>7150</v>
      </c>
      <c r="H5291" s="7" t="s">
        <v>7156</v>
      </c>
      <c r="I5291" s="7"/>
      <c r="J5291" s="10">
        <v>43472</v>
      </c>
      <c r="K5291" s="7" t="s">
        <v>7165</v>
      </c>
      <c r="L5291" s="7"/>
      <c r="M5291" s="7"/>
    </row>
    <row r="5292" spans="1:13" x14ac:dyDescent="0.3">
      <c r="A5292" s="7">
        <v>17411</v>
      </c>
      <c r="B5292" s="7" t="s">
        <v>5299</v>
      </c>
      <c r="C5292" s="7" t="s">
        <v>6295</v>
      </c>
      <c r="D5292" s="7" t="s">
        <v>7065</v>
      </c>
      <c r="E5292" s="7" t="s">
        <v>6940</v>
      </c>
      <c r="F5292" s="7" t="s">
        <v>6949</v>
      </c>
      <c r="G5292" s="7" t="s">
        <v>7150</v>
      </c>
      <c r="H5292" s="7" t="s">
        <v>7156</v>
      </c>
      <c r="I5292" s="7"/>
      <c r="J5292" s="10">
        <v>45748</v>
      </c>
      <c r="K5292" s="7" t="s">
        <v>7165</v>
      </c>
      <c r="L5292" s="7"/>
      <c r="M5292" s="7"/>
    </row>
    <row r="5293" spans="1:13" x14ac:dyDescent="0.3">
      <c r="A5293" s="7">
        <v>510018</v>
      </c>
      <c r="B5293" s="7" t="s">
        <v>5300</v>
      </c>
      <c r="C5293" s="7" t="s">
        <v>6295</v>
      </c>
      <c r="D5293" s="7" t="s">
        <v>7066</v>
      </c>
      <c r="E5293" s="7" t="s">
        <v>6295</v>
      </c>
      <c r="F5293" s="7" t="s">
        <v>6939</v>
      </c>
      <c r="G5293" s="7" t="s">
        <v>7150</v>
      </c>
      <c r="H5293" s="7" t="s">
        <v>7156</v>
      </c>
      <c r="I5293" s="7"/>
      <c r="J5293" s="10">
        <v>41760</v>
      </c>
      <c r="K5293" s="7" t="s">
        <v>7165</v>
      </c>
      <c r="L5293" s="7"/>
      <c r="M5293" s="7"/>
    </row>
    <row r="5294" spans="1:13" x14ac:dyDescent="0.3">
      <c r="A5294" s="7">
        <v>610028</v>
      </c>
      <c r="B5294" s="7" t="s">
        <v>5301</v>
      </c>
      <c r="C5294" s="7" t="s">
        <v>6295</v>
      </c>
      <c r="D5294" s="7" t="s">
        <v>7066</v>
      </c>
      <c r="E5294" s="7" t="s">
        <v>6940</v>
      </c>
      <c r="F5294" s="7" t="s">
        <v>6941</v>
      </c>
      <c r="G5294" s="7" t="s">
        <v>7150</v>
      </c>
      <c r="H5294" s="7" t="s">
        <v>7156</v>
      </c>
      <c r="I5294" s="7"/>
      <c r="J5294" s="10">
        <v>43661</v>
      </c>
      <c r="K5294" s="7" t="s">
        <v>7165</v>
      </c>
      <c r="L5294" s="7"/>
      <c r="M5294" s="7"/>
    </row>
    <row r="5295" spans="1:13" x14ac:dyDescent="0.3">
      <c r="A5295" s="7">
        <v>113054</v>
      </c>
      <c r="B5295" s="7" t="s">
        <v>5302</v>
      </c>
      <c r="C5295" s="7" t="s">
        <v>6295</v>
      </c>
      <c r="D5295" s="7" t="s">
        <v>7066</v>
      </c>
      <c r="E5295" s="7" t="s">
        <v>6940</v>
      </c>
      <c r="F5295" s="7" t="s">
        <v>6958</v>
      </c>
      <c r="G5295" s="7" t="s">
        <v>7150</v>
      </c>
      <c r="H5295" s="7" t="s">
        <v>7156</v>
      </c>
      <c r="I5295" s="7"/>
      <c r="J5295" s="10">
        <v>44517</v>
      </c>
      <c r="K5295" s="7" t="s">
        <v>7165</v>
      </c>
      <c r="L5295" s="7"/>
      <c r="M5295" s="7"/>
    </row>
    <row r="5296" spans="1:13" x14ac:dyDescent="0.3">
      <c r="A5296" s="7">
        <v>113013</v>
      </c>
      <c r="B5296" s="7" t="s">
        <v>5303</v>
      </c>
      <c r="C5296" s="7" t="s">
        <v>6295</v>
      </c>
      <c r="D5296" s="7" t="s">
        <v>7066</v>
      </c>
      <c r="E5296" s="7" t="s">
        <v>6940</v>
      </c>
      <c r="F5296" s="7" t="s">
        <v>6943</v>
      </c>
      <c r="G5296" s="7" t="s">
        <v>7150</v>
      </c>
      <c r="H5296" s="7" t="s">
        <v>7156</v>
      </c>
      <c r="I5296" s="7"/>
      <c r="J5296" s="10">
        <v>38874</v>
      </c>
      <c r="K5296" s="7" t="s">
        <v>7165</v>
      </c>
      <c r="L5296" s="7"/>
      <c r="M5296" s="7"/>
    </row>
    <row r="5297" spans="1:13" x14ac:dyDescent="0.3">
      <c r="A5297" s="7">
        <v>18032</v>
      </c>
      <c r="B5297" s="7" t="s">
        <v>5304</v>
      </c>
      <c r="C5297" s="7" t="s">
        <v>6295</v>
      </c>
      <c r="D5297" s="7" t="s">
        <v>7066</v>
      </c>
      <c r="E5297" s="7" t="s">
        <v>6940</v>
      </c>
      <c r="F5297" s="7" t="s">
        <v>6949</v>
      </c>
      <c r="G5297" s="7" t="s">
        <v>7150</v>
      </c>
      <c r="H5297" s="7" t="s">
        <v>7156</v>
      </c>
      <c r="I5297" s="7"/>
      <c r="J5297" s="10">
        <v>45967</v>
      </c>
      <c r="K5297" s="7" t="s">
        <v>7165</v>
      </c>
      <c r="L5297" s="7"/>
      <c r="M5297" s="7"/>
    </row>
    <row r="5298" spans="1:13" x14ac:dyDescent="0.3">
      <c r="A5298" s="7">
        <v>18123</v>
      </c>
      <c r="B5298" s="7" t="s">
        <v>5305</v>
      </c>
      <c r="C5298" s="7" t="s">
        <v>6295</v>
      </c>
      <c r="D5298" s="7" t="s">
        <v>7066</v>
      </c>
      <c r="E5298" s="7" t="s">
        <v>6940</v>
      </c>
      <c r="F5298" s="7" t="s">
        <v>6949</v>
      </c>
      <c r="G5298" s="7" t="s">
        <v>7150</v>
      </c>
      <c r="H5298" s="7" t="s">
        <v>7156</v>
      </c>
      <c r="I5298" s="7"/>
      <c r="J5298" s="10">
        <v>46006</v>
      </c>
      <c r="K5298" s="7" t="s">
        <v>7165</v>
      </c>
      <c r="L5298" s="7"/>
      <c r="M5298" s="7"/>
    </row>
    <row r="5299" spans="1:13" x14ac:dyDescent="0.3">
      <c r="A5299" s="7">
        <v>240010</v>
      </c>
      <c r="B5299" s="7" t="s">
        <v>5306</v>
      </c>
      <c r="C5299" s="7" t="s">
        <v>7067</v>
      </c>
      <c r="D5299" s="7" t="s">
        <v>6295</v>
      </c>
      <c r="E5299" s="7" t="s">
        <v>6295</v>
      </c>
      <c r="F5299" s="7" t="s">
        <v>6939</v>
      </c>
      <c r="G5299" s="7" t="s">
        <v>7150</v>
      </c>
      <c r="H5299" s="7" t="s">
        <v>7156</v>
      </c>
      <c r="I5299" s="7"/>
      <c r="J5299" s="10">
        <v>41065</v>
      </c>
      <c r="K5299" s="7" t="s">
        <v>7165</v>
      </c>
      <c r="L5299" s="7"/>
      <c r="M5299" s="7"/>
    </row>
    <row r="5300" spans="1:13" x14ac:dyDescent="0.3">
      <c r="A5300" s="7">
        <v>17174</v>
      </c>
      <c r="B5300" s="7" t="s">
        <v>5307</v>
      </c>
      <c r="C5300" s="7" t="s">
        <v>7067</v>
      </c>
      <c r="D5300" s="7" t="s">
        <v>6295</v>
      </c>
      <c r="E5300" s="7" t="s">
        <v>6940</v>
      </c>
      <c r="F5300" s="7" t="s">
        <v>6989</v>
      </c>
      <c r="G5300" s="7" t="s">
        <v>7152</v>
      </c>
      <c r="H5300" s="7" t="s">
        <v>7156</v>
      </c>
      <c r="I5300" s="7"/>
      <c r="J5300" s="10">
        <v>45667</v>
      </c>
      <c r="K5300" s="7" t="s">
        <v>7165</v>
      </c>
      <c r="L5300" s="7"/>
      <c r="M5300" s="7"/>
    </row>
    <row r="5301" spans="1:13" x14ac:dyDescent="0.3">
      <c r="A5301" s="7">
        <v>19230</v>
      </c>
      <c r="B5301" s="7" t="s">
        <v>5308</v>
      </c>
      <c r="C5301" s="7" t="s">
        <v>7067</v>
      </c>
      <c r="D5301" s="7" t="s">
        <v>6295</v>
      </c>
      <c r="E5301" s="7" t="s">
        <v>6940</v>
      </c>
      <c r="F5301" s="7" t="s">
        <v>6993</v>
      </c>
      <c r="G5301" s="7" t="s">
        <v>7150</v>
      </c>
      <c r="H5301" s="7" t="s">
        <v>7157</v>
      </c>
      <c r="I5301" s="7"/>
      <c r="J5301" s="10">
        <v>46283</v>
      </c>
      <c r="K5301" s="7" t="s">
        <v>7165</v>
      </c>
      <c r="L5301" s="7"/>
      <c r="M5301" s="7"/>
    </row>
    <row r="5302" spans="1:13" x14ac:dyDescent="0.3">
      <c r="A5302" s="7">
        <v>570031</v>
      </c>
      <c r="B5302" s="7" t="s">
        <v>5309</v>
      </c>
      <c r="C5302" s="7" t="s">
        <v>7067</v>
      </c>
      <c r="D5302" s="7" t="s">
        <v>6295</v>
      </c>
      <c r="E5302" s="7" t="s">
        <v>6940</v>
      </c>
      <c r="F5302" s="7" t="s">
        <v>6498</v>
      </c>
      <c r="G5302" s="7" t="s">
        <v>7150</v>
      </c>
      <c r="H5302" s="7" t="s">
        <v>7156</v>
      </c>
      <c r="I5302" s="7"/>
      <c r="J5302" s="10">
        <v>42779</v>
      </c>
      <c r="K5302" s="7" t="s">
        <v>7165</v>
      </c>
      <c r="L5302" s="7"/>
      <c r="M5302" s="7"/>
    </row>
    <row r="5303" spans="1:13" x14ac:dyDescent="0.3">
      <c r="A5303" s="7">
        <v>300062</v>
      </c>
      <c r="B5303" s="7" t="s">
        <v>5310</v>
      </c>
      <c r="C5303" s="7" t="s">
        <v>7067</v>
      </c>
      <c r="D5303" s="7" t="s">
        <v>6295</v>
      </c>
      <c r="E5303" s="7" t="s">
        <v>6940</v>
      </c>
      <c r="F5303" s="7" t="s">
        <v>6980</v>
      </c>
      <c r="G5303" s="7" t="s">
        <v>7150</v>
      </c>
      <c r="H5303" s="7" t="s">
        <v>7156</v>
      </c>
      <c r="I5303" s="7"/>
      <c r="J5303" s="10">
        <v>42790</v>
      </c>
      <c r="K5303" s="7" t="s">
        <v>7165</v>
      </c>
      <c r="L5303" s="7"/>
      <c r="M5303" s="7"/>
    </row>
    <row r="5304" spans="1:13" x14ac:dyDescent="0.3">
      <c r="A5304" s="7">
        <v>122014</v>
      </c>
      <c r="B5304" s="7" t="s">
        <v>5311</v>
      </c>
      <c r="C5304" s="7" t="s">
        <v>7067</v>
      </c>
      <c r="D5304" s="7" t="s">
        <v>6295</v>
      </c>
      <c r="E5304" s="7" t="s">
        <v>6940</v>
      </c>
      <c r="F5304" s="7" t="s">
        <v>6980</v>
      </c>
      <c r="G5304" s="7" t="s">
        <v>7150</v>
      </c>
      <c r="H5304" s="7" t="s">
        <v>7156</v>
      </c>
      <c r="I5304" s="7"/>
      <c r="J5304" s="10">
        <v>43605</v>
      </c>
      <c r="K5304" s="7" t="s">
        <v>7165</v>
      </c>
      <c r="L5304" s="7"/>
      <c r="M5304" s="7"/>
    </row>
    <row r="5305" spans="1:13" x14ac:dyDescent="0.3">
      <c r="A5305" s="7">
        <v>570040</v>
      </c>
      <c r="B5305" s="7" t="s">
        <v>5312</v>
      </c>
      <c r="C5305" s="7" t="s">
        <v>7067</v>
      </c>
      <c r="D5305" s="7" t="s">
        <v>6295</v>
      </c>
      <c r="E5305" s="7" t="s">
        <v>6940</v>
      </c>
      <c r="F5305" s="7" t="s">
        <v>6986</v>
      </c>
      <c r="G5305" s="7" t="s">
        <v>7150</v>
      </c>
      <c r="H5305" s="7" t="s">
        <v>7156</v>
      </c>
      <c r="I5305" s="7"/>
      <c r="J5305" s="10">
        <v>43781</v>
      </c>
      <c r="K5305" s="7" t="s">
        <v>7165</v>
      </c>
      <c r="L5305" s="7"/>
      <c r="M5305" s="7"/>
    </row>
    <row r="5306" spans="1:13" x14ac:dyDescent="0.3">
      <c r="A5306" s="7">
        <v>570033</v>
      </c>
      <c r="B5306" s="7" t="s">
        <v>5313</v>
      </c>
      <c r="C5306" s="7" t="s">
        <v>7067</v>
      </c>
      <c r="D5306" s="7" t="s">
        <v>6295</v>
      </c>
      <c r="E5306" s="7" t="s">
        <v>6940</v>
      </c>
      <c r="F5306" s="7" t="s">
        <v>6986</v>
      </c>
      <c r="G5306" s="7" t="s">
        <v>7150</v>
      </c>
      <c r="H5306" s="7" t="s">
        <v>7156</v>
      </c>
      <c r="I5306" s="7"/>
      <c r="J5306" s="10">
        <v>43035</v>
      </c>
      <c r="K5306" s="7" t="s">
        <v>7165</v>
      </c>
      <c r="L5306" s="7"/>
      <c r="M5306" s="7"/>
    </row>
    <row r="5307" spans="1:13" x14ac:dyDescent="0.3">
      <c r="A5307" s="7">
        <v>570051</v>
      </c>
      <c r="B5307" s="7" t="s">
        <v>5314</v>
      </c>
      <c r="C5307" s="7" t="s">
        <v>7067</v>
      </c>
      <c r="D5307" s="7" t="s">
        <v>6295</v>
      </c>
      <c r="E5307" s="7" t="s">
        <v>6940</v>
      </c>
      <c r="F5307" s="7" t="s">
        <v>6980</v>
      </c>
      <c r="G5307" s="7" t="s">
        <v>7150</v>
      </c>
      <c r="H5307" s="7" t="s">
        <v>7156</v>
      </c>
      <c r="I5307" s="7"/>
      <c r="J5307" s="10">
        <v>44572</v>
      </c>
      <c r="K5307" s="7" t="s">
        <v>7165</v>
      </c>
      <c r="L5307" s="7"/>
      <c r="M5307" s="7"/>
    </row>
    <row r="5308" spans="1:13" x14ac:dyDescent="0.3">
      <c r="A5308" s="7">
        <v>570054</v>
      </c>
      <c r="B5308" s="7" t="s">
        <v>5315</v>
      </c>
      <c r="C5308" s="7" t="s">
        <v>7067</v>
      </c>
      <c r="D5308" s="7" t="s">
        <v>6295</v>
      </c>
      <c r="E5308" s="7" t="s">
        <v>6940</v>
      </c>
      <c r="F5308" s="7" t="s">
        <v>6986</v>
      </c>
      <c r="G5308" s="7" t="s">
        <v>7151</v>
      </c>
      <c r="H5308" s="7" t="s">
        <v>7156</v>
      </c>
      <c r="I5308" s="7"/>
      <c r="J5308" s="10">
        <v>44621</v>
      </c>
      <c r="K5308" s="7" t="s">
        <v>7165</v>
      </c>
      <c r="L5308" s="7"/>
      <c r="M5308" s="7"/>
    </row>
    <row r="5309" spans="1:13" x14ac:dyDescent="0.3">
      <c r="A5309" s="7">
        <v>122019</v>
      </c>
      <c r="B5309" s="7" t="s">
        <v>5316</v>
      </c>
      <c r="C5309" s="7" t="s">
        <v>7067</v>
      </c>
      <c r="D5309" s="7" t="s">
        <v>6295</v>
      </c>
      <c r="E5309" s="7" t="s">
        <v>6940</v>
      </c>
      <c r="F5309" s="7" t="s">
        <v>6980</v>
      </c>
      <c r="G5309" s="7" t="s">
        <v>7150</v>
      </c>
      <c r="H5309" s="7" t="s">
        <v>7156</v>
      </c>
      <c r="I5309" s="7"/>
      <c r="J5309" s="10">
        <v>44466</v>
      </c>
      <c r="K5309" s="7" t="s">
        <v>7165</v>
      </c>
      <c r="L5309" s="7"/>
      <c r="M5309" s="7"/>
    </row>
    <row r="5310" spans="1:13" x14ac:dyDescent="0.3">
      <c r="A5310" s="7">
        <v>15539</v>
      </c>
      <c r="B5310" s="7" t="s">
        <v>5317</v>
      </c>
      <c r="C5310" s="7" t="s">
        <v>7067</v>
      </c>
      <c r="D5310" s="7" t="s">
        <v>6295</v>
      </c>
      <c r="E5310" s="7" t="s">
        <v>6940</v>
      </c>
      <c r="F5310" s="7" t="s">
        <v>6986</v>
      </c>
      <c r="G5310" s="7" t="s">
        <v>7150</v>
      </c>
      <c r="H5310" s="7" t="s">
        <v>7156</v>
      </c>
      <c r="I5310" s="7"/>
      <c r="J5310" s="10">
        <v>45119</v>
      </c>
      <c r="K5310" s="7" t="s">
        <v>7165</v>
      </c>
      <c r="L5310" s="7"/>
      <c r="M5310" s="7"/>
    </row>
    <row r="5311" spans="1:13" x14ac:dyDescent="0.3">
      <c r="A5311" s="7">
        <v>17029</v>
      </c>
      <c r="B5311" s="7" t="s">
        <v>5318</v>
      </c>
      <c r="C5311" s="7" t="s">
        <v>7067</v>
      </c>
      <c r="D5311" s="7" t="s">
        <v>6295</v>
      </c>
      <c r="E5311" s="7" t="s">
        <v>6940</v>
      </c>
      <c r="F5311" s="7" t="s">
        <v>6987</v>
      </c>
      <c r="G5311" s="7" t="s">
        <v>7150</v>
      </c>
      <c r="H5311" s="7" t="s">
        <v>7156</v>
      </c>
      <c r="I5311" s="7"/>
      <c r="J5311" s="10">
        <v>45622</v>
      </c>
      <c r="K5311" s="7" t="s">
        <v>7165</v>
      </c>
      <c r="L5311" s="7"/>
      <c r="M5311" s="7"/>
    </row>
    <row r="5312" spans="1:13" x14ac:dyDescent="0.3">
      <c r="A5312" s="7">
        <v>14686</v>
      </c>
      <c r="B5312" s="7" t="s">
        <v>5319</v>
      </c>
      <c r="C5312" s="7" t="s">
        <v>7067</v>
      </c>
      <c r="D5312" s="7" t="s">
        <v>6295</v>
      </c>
      <c r="E5312" s="7" t="s">
        <v>6940</v>
      </c>
      <c r="F5312" s="7" t="s">
        <v>6986</v>
      </c>
      <c r="G5312" s="7" t="s">
        <v>7150</v>
      </c>
      <c r="H5312" s="7" t="s">
        <v>7156</v>
      </c>
      <c r="I5312" s="7"/>
      <c r="J5312" s="10">
        <v>44824</v>
      </c>
      <c r="K5312" s="7" t="s">
        <v>7165</v>
      </c>
      <c r="L5312" s="7"/>
      <c r="M5312" s="7"/>
    </row>
    <row r="5313" spans="1:13" x14ac:dyDescent="0.3">
      <c r="A5313" s="7">
        <v>15241</v>
      </c>
      <c r="B5313" s="7" t="s">
        <v>5320</v>
      </c>
      <c r="C5313" s="7" t="s">
        <v>7067</v>
      </c>
      <c r="D5313" s="7" t="s">
        <v>6295</v>
      </c>
      <c r="E5313" s="7" t="s">
        <v>6940</v>
      </c>
      <c r="F5313" s="7" t="s">
        <v>6943</v>
      </c>
      <c r="G5313" s="7" t="s">
        <v>7150</v>
      </c>
      <c r="H5313" s="7" t="s">
        <v>7156</v>
      </c>
      <c r="I5313" s="7"/>
      <c r="J5313" s="10">
        <v>44998</v>
      </c>
      <c r="K5313" s="7" t="s">
        <v>7165</v>
      </c>
      <c r="L5313" s="7"/>
      <c r="M5313" s="7"/>
    </row>
    <row r="5314" spans="1:13" x14ac:dyDescent="0.3">
      <c r="A5314" s="7">
        <v>18850</v>
      </c>
      <c r="B5314" s="7" t="s">
        <v>5321</v>
      </c>
      <c r="C5314" s="7" t="s">
        <v>7067</v>
      </c>
      <c r="D5314" s="7" t="s">
        <v>6295</v>
      </c>
      <c r="E5314" s="7" t="s">
        <v>6940</v>
      </c>
      <c r="F5314" s="7" t="s">
        <v>7035</v>
      </c>
      <c r="G5314" s="7" t="s">
        <v>7150</v>
      </c>
      <c r="H5314" s="7" t="s">
        <v>7156</v>
      </c>
      <c r="I5314" s="7"/>
      <c r="J5314" s="10">
        <v>46224</v>
      </c>
      <c r="K5314" s="7" t="s">
        <v>7165</v>
      </c>
      <c r="L5314" s="7"/>
      <c r="M5314" s="7"/>
    </row>
    <row r="5315" spans="1:13" x14ac:dyDescent="0.3">
      <c r="A5315" s="7">
        <v>570046</v>
      </c>
      <c r="B5315" s="7" t="s">
        <v>5322</v>
      </c>
      <c r="C5315" s="7" t="s">
        <v>7067</v>
      </c>
      <c r="D5315" s="7" t="s">
        <v>6295</v>
      </c>
      <c r="E5315" s="7" t="s">
        <v>6951</v>
      </c>
      <c r="F5315" s="7" t="s">
        <v>6398</v>
      </c>
      <c r="G5315" s="7" t="s">
        <v>7150</v>
      </c>
      <c r="H5315" s="7" t="s">
        <v>7156</v>
      </c>
      <c r="I5315" s="7"/>
      <c r="J5315" s="10">
        <v>44204</v>
      </c>
      <c r="K5315" s="7" t="s">
        <v>7165</v>
      </c>
      <c r="L5315" s="7"/>
      <c r="M5315" s="7"/>
    </row>
    <row r="5316" spans="1:13" x14ac:dyDescent="0.3">
      <c r="A5316" s="7">
        <v>15471</v>
      </c>
      <c r="B5316" s="7" t="s">
        <v>5323</v>
      </c>
      <c r="C5316" s="7" t="s">
        <v>7067</v>
      </c>
      <c r="D5316" s="7" t="s">
        <v>6295</v>
      </c>
      <c r="E5316" s="7" t="s">
        <v>6994</v>
      </c>
      <c r="F5316" s="7" t="s">
        <v>6498</v>
      </c>
      <c r="G5316" s="7" t="s">
        <v>7150</v>
      </c>
      <c r="H5316" s="7" t="s">
        <v>7156</v>
      </c>
      <c r="I5316" s="7"/>
      <c r="J5316" s="10">
        <v>45084</v>
      </c>
      <c r="K5316" s="7" t="s">
        <v>7165</v>
      </c>
      <c r="L5316" s="7"/>
      <c r="M5316" s="7"/>
    </row>
    <row r="5317" spans="1:13" x14ac:dyDescent="0.3">
      <c r="A5317" s="7">
        <v>570052</v>
      </c>
      <c r="B5317" s="7" t="s">
        <v>5324</v>
      </c>
      <c r="C5317" s="7" t="s">
        <v>7067</v>
      </c>
      <c r="D5317" s="7" t="s">
        <v>6295</v>
      </c>
      <c r="E5317" s="7" t="s">
        <v>6994</v>
      </c>
      <c r="F5317" s="7" t="s">
        <v>6353</v>
      </c>
      <c r="G5317" s="7" t="s">
        <v>7150</v>
      </c>
      <c r="H5317" s="7" t="s">
        <v>7156</v>
      </c>
      <c r="I5317" s="7"/>
      <c r="J5317" s="10">
        <v>44610</v>
      </c>
      <c r="K5317" s="7" t="s">
        <v>7165</v>
      </c>
      <c r="L5317" s="7"/>
      <c r="M5317" s="7"/>
    </row>
    <row r="5318" spans="1:13" x14ac:dyDescent="0.3">
      <c r="A5318" s="7">
        <v>570048</v>
      </c>
      <c r="B5318" s="7" t="s">
        <v>5325</v>
      </c>
      <c r="C5318" s="7" t="s">
        <v>7067</v>
      </c>
      <c r="D5318" s="7" t="s">
        <v>6295</v>
      </c>
      <c r="E5318" s="7" t="s">
        <v>6994</v>
      </c>
      <c r="F5318" s="7" t="s">
        <v>6353</v>
      </c>
      <c r="G5318" s="7" t="s">
        <v>7150</v>
      </c>
      <c r="H5318" s="7" t="s">
        <v>7156</v>
      </c>
      <c r="I5318" s="7"/>
      <c r="J5318" s="10">
        <v>44523</v>
      </c>
      <c r="K5318" s="7" t="s">
        <v>7165</v>
      </c>
      <c r="L5318" s="7"/>
      <c r="M5318" s="7"/>
    </row>
    <row r="5319" spans="1:13" x14ac:dyDescent="0.3">
      <c r="A5319" s="7">
        <v>17932</v>
      </c>
      <c r="B5319" s="7" t="s">
        <v>5326</v>
      </c>
      <c r="C5319" s="7" t="s">
        <v>7067</v>
      </c>
      <c r="D5319" s="7" t="s">
        <v>6295</v>
      </c>
      <c r="E5319" s="7" t="s">
        <v>6994</v>
      </c>
      <c r="F5319" s="7" t="s">
        <v>6340</v>
      </c>
      <c r="G5319" s="7" t="s">
        <v>7150</v>
      </c>
      <c r="H5319" s="7" t="s">
        <v>7156</v>
      </c>
      <c r="I5319" s="7"/>
      <c r="J5319" s="10">
        <v>45924</v>
      </c>
      <c r="K5319" s="7" t="s">
        <v>7165</v>
      </c>
      <c r="L5319" s="7"/>
      <c r="M5319" s="7"/>
    </row>
    <row r="5320" spans="1:13" x14ac:dyDescent="0.3">
      <c r="A5320" s="7">
        <v>133002</v>
      </c>
      <c r="B5320" s="7" t="s">
        <v>5327</v>
      </c>
      <c r="C5320" s="7" t="s">
        <v>7068</v>
      </c>
      <c r="D5320" s="7" t="s">
        <v>6295</v>
      </c>
      <c r="E5320" s="7" t="s">
        <v>6295</v>
      </c>
      <c r="F5320" s="7" t="s">
        <v>6939</v>
      </c>
      <c r="G5320" s="7" t="s">
        <v>7150</v>
      </c>
      <c r="H5320" s="7" t="s">
        <v>7156</v>
      </c>
      <c r="I5320" s="7"/>
      <c r="J5320" s="10">
        <v>42501</v>
      </c>
      <c r="K5320" s="7" t="s">
        <v>7165</v>
      </c>
      <c r="L5320" s="7"/>
      <c r="M5320" s="7"/>
    </row>
    <row r="5321" spans="1:13" x14ac:dyDescent="0.3">
      <c r="A5321" s="7">
        <v>570030</v>
      </c>
      <c r="B5321" s="7" t="s">
        <v>5328</v>
      </c>
      <c r="C5321" s="7" t="s">
        <v>7068</v>
      </c>
      <c r="D5321" s="7" t="s">
        <v>6295</v>
      </c>
      <c r="E5321" s="7" t="s">
        <v>6940</v>
      </c>
      <c r="F5321" s="7" t="s">
        <v>6991</v>
      </c>
      <c r="G5321" s="7" t="s">
        <v>7150</v>
      </c>
      <c r="H5321" s="7" t="s">
        <v>7156</v>
      </c>
      <c r="I5321" s="7"/>
      <c r="J5321" s="10">
        <v>42592</v>
      </c>
      <c r="K5321" s="7" t="s">
        <v>7165</v>
      </c>
      <c r="L5321" s="7"/>
      <c r="M5321" s="7"/>
    </row>
    <row r="5322" spans="1:13" x14ac:dyDescent="0.3">
      <c r="A5322" s="7">
        <v>117018</v>
      </c>
      <c r="B5322" s="7" t="s">
        <v>5329</v>
      </c>
      <c r="C5322" s="7" t="s">
        <v>7068</v>
      </c>
      <c r="D5322" s="7" t="s">
        <v>6295</v>
      </c>
      <c r="E5322" s="7" t="s">
        <v>6940</v>
      </c>
      <c r="F5322" s="7" t="s">
        <v>6988</v>
      </c>
      <c r="G5322" s="7" t="s">
        <v>7150</v>
      </c>
      <c r="H5322" s="7" t="s">
        <v>7156</v>
      </c>
      <c r="I5322" s="7"/>
      <c r="J5322" s="10">
        <v>36832</v>
      </c>
      <c r="K5322" s="7" t="s">
        <v>7165</v>
      </c>
      <c r="L5322" s="7"/>
      <c r="M5322" s="7"/>
    </row>
    <row r="5323" spans="1:13" x14ac:dyDescent="0.3">
      <c r="A5323" s="7">
        <v>117011</v>
      </c>
      <c r="B5323" s="7" t="s">
        <v>5330</v>
      </c>
      <c r="C5323" s="7" t="s">
        <v>7068</v>
      </c>
      <c r="D5323" s="7" t="s">
        <v>6295</v>
      </c>
      <c r="E5323" s="7" t="s">
        <v>6940</v>
      </c>
      <c r="F5323" s="7" t="s">
        <v>6980</v>
      </c>
      <c r="G5323" s="7" t="s">
        <v>7150</v>
      </c>
      <c r="H5323" s="7" t="s">
        <v>7156</v>
      </c>
      <c r="I5323" s="7"/>
      <c r="J5323" s="10">
        <v>36756</v>
      </c>
      <c r="K5323" s="7" t="s">
        <v>7165</v>
      </c>
      <c r="L5323" s="7"/>
      <c r="M5323" s="7"/>
    </row>
    <row r="5324" spans="1:13" x14ac:dyDescent="0.3">
      <c r="A5324" s="7">
        <v>300071</v>
      </c>
      <c r="B5324" s="7" t="s">
        <v>4031</v>
      </c>
      <c r="C5324" s="7" t="s">
        <v>7068</v>
      </c>
      <c r="D5324" s="7" t="s">
        <v>6295</v>
      </c>
      <c r="E5324" s="7" t="s">
        <v>6940</v>
      </c>
      <c r="F5324" s="7" t="s">
        <v>6980</v>
      </c>
      <c r="G5324" s="7" t="s">
        <v>7150</v>
      </c>
      <c r="H5324" s="7" t="s">
        <v>7156</v>
      </c>
      <c r="I5324" s="7"/>
      <c r="J5324" s="10">
        <v>42831</v>
      </c>
      <c r="K5324" s="7" t="s">
        <v>7165</v>
      </c>
      <c r="L5324" s="7"/>
      <c r="M5324" s="7"/>
    </row>
    <row r="5325" spans="1:13" x14ac:dyDescent="0.3">
      <c r="A5325" s="7">
        <v>117024</v>
      </c>
      <c r="B5325" s="7" t="s">
        <v>5331</v>
      </c>
      <c r="C5325" s="7" t="s">
        <v>7068</v>
      </c>
      <c r="D5325" s="7" t="s">
        <v>6295</v>
      </c>
      <c r="E5325" s="7" t="s">
        <v>6940</v>
      </c>
      <c r="F5325" s="7" t="s">
        <v>6980</v>
      </c>
      <c r="G5325" s="7" t="s">
        <v>7150</v>
      </c>
      <c r="H5325" s="7" t="s">
        <v>7156</v>
      </c>
      <c r="I5325" s="7"/>
      <c r="J5325" s="10">
        <v>43108</v>
      </c>
      <c r="K5325" s="7" t="s">
        <v>7165</v>
      </c>
      <c r="L5325" s="7"/>
      <c r="M5325" s="7"/>
    </row>
    <row r="5326" spans="1:13" x14ac:dyDescent="0.3">
      <c r="A5326" s="7">
        <v>117021</v>
      </c>
      <c r="B5326" s="7" t="s">
        <v>5332</v>
      </c>
      <c r="C5326" s="7" t="s">
        <v>7068</v>
      </c>
      <c r="D5326" s="7" t="s">
        <v>6295</v>
      </c>
      <c r="E5326" s="7" t="s">
        <v>6940</v>
      </c>
      <c r="F5326" s="7" t="s">
        <v>6980</v>
      </c>
      <c r="G5326" s="7" t="s">
        <v>7150</v>
      </c>
      <c r="H5326" s="7" t="s">
        <v>7156</v>
      </c>
      <c r="I5326" s="7"/>
      <c r="J5326" s="10">
        <v>42776</v>
      </c>
      <c r="K5326" s="7" t="s">
        <v>7165</v>
      </c>
      <c r="L5326" s="7"/>
      <c r="M5326" s="7"/>
    </row>
    <row r="5327" spans="1:13" x14ac:dyDescent="0.3">
      <c r="A5327" s="7">
        <v>410059</v>
      </c>
      <c r="B5327" s="7" t="s">
        <v>5333</v>
      </c>
      <c r="C5327" s="7" t="s">
        <v>7068</v>
      </c>
      <c r="D5327" s="7" t="s">
        <v>6295</v>
      </c>
      <c r="E5327" s="7" t="s">
        <v>6940</v>
      </c>
      <c r="F5327" s="7" t="s">
        <v>6980</v>
      </c>
      <c r="G5327" s="7" t="s">
        <v>7150</v>
      </c>
      <c r="H5327" s="7" t="s">
        <v>7156</v>
      </c>
      <c r="I5327" s="7"/>
      <c r="J5327" s="10">
        <v>43675</v>
      </c>
      <c r="K5327" s="7" t="s">
        <v>7165</v>
      </c>
      <c r="L5327" s="7"/>
      <c r="M5327" s="7"/>
    </row>
    <row r="5328" spans="1:13" x14ac:dyDescent="0.3">
      <c r="A5328" s="7">
        <v>117028</v>
      </c>
      <c r="B5328" s="7" t="s">
        <v>5334</v>
      </c>
      <c r="C5328" s="7" t="s">
        <v>7068</v>
      </c>
      <c r="D5328" s="7" t="s">
        <v>6295</v>
      </c>
      <c r="E5328" s="7" t="s">
        <v>6940</v>
      </c>
      <c r="F5328" s="7" t="s">
        <v>6980</v>
      </c>
      <c r="G5328" s="7" t="s">
        <v>7150</v>
      </c>
      <c r="H5328" s="7" t="s">
        <v>7156</v>
      </c>
      <c r="I5328" s="7"/>
      <c r="J5328" s="10">
        <v>44054</v>
      </c>
      <c r="K5328" s="7" t="s">
        <v>7165</v>
      </c>
      <c r="L5328" s="7"/>
      <c r="M5328" s="7"/>
    </row>
    <row r="5329" spans="1:13" x14ac:dyDescent="0.3">
      <c r="A5329" s="7">
        <v>15243</v>
      </c>
      <c r="B5329" s="7" t="s">
        <v>5335</v>
      </c>
      <c r="C5329" s="7" t="s">
        <v>7068</v>
      </c>
      <c r="D5329" s="7" t="s">
        <v>6295</v>
      </c>
      <c r="E5329" s="7" t="s">
        <v>6940</v>
      </c>
      <c r="F5329" s="7" t="s">
        <v>6987</v>
      </c>
      <c r="G5329" s="7" t="s">
        <v>7150</v>
      </c>
      <c r="H5329" s="7" t="s">
        <v>7156</v>
      </c>
      <c r="I5329" s="7"/>
      <c r="J5329" s="10">
        <v>44998</v>
      </c>
      <c r="K5329" s="7" t="s">
        <v>7165</v>
      </c>
      <c r="L5329" s="7"/>
      <c r="M5329" s="7"/>
    </row>
    <row r="5330" spans="1:13" x14ac:dyDescent="0.3">
      <c r="A5330" s="7">
        <v>16079</v>
      </c>
      <c r="B5330" s="7" t="s">
        <v>5336</v>
      </c>
      <c r="C5330" s="7" t="s">
        <v>7068</v>
      </c>
      <c r="D5330" s="7" t="s">
        <v>6295</v>
      </c>
      <c r="E5330" s="7" t="s">
        <v>6940</v>
      </c>
      <c r="F5330" s="7" t="s">
        <v>6987</v>
      </c>
      <c r="G5330" s="7" t="s">
        <v>7150</v>
      </c>
      <c r="H5330" s="7" t="s">
        <v>7156</v>
      </c>
      <c r="I5330" s="7"/>
      <c r="J5330" s="10">
        <v>45279</v>
      </c>
      <c r="K5330" s="7" t="s">
        <v>7165</v>
      </c>
      <c r="L5330" s="7"/>
      <c r="M5330" s="7"/>
    </row>
    <row r="5331" spans="1:13" x14ac:dyDescent="0.3">
      <c r="A5331" s="7">
        <v>15825</v>
      </c>
      <c r="B5331" s="7" t="s">
        <v>5337</v>
      </c>
      <c r="C5331" s="7" t="s">
        <v>7068</v>
      </c>
      <c r="D5331" s="7" t="s">
        <v>6295</v>
      </c>
      <c r="E5331" s="7" t="s">
        <v>6940</v>
      </c>
      <c r="F5331" s="7" t="s">
        <v>6992</v>
      </c>
      <c r="G5331" s="7" t="s">
        <v>7152</v>
      </c>
      <c r="H5331" s="7" t="s">
        <v>7156</v>
      </c>
      <c r="I5331" s="7"/>
      <c r="J5331" s="10">
        <v>45209</v>
      </c>
      <c r="K5331" s="7" t="s">
        <v>7165</v>
      </c>
      <c r="L5331" s="7"/>
      <c r="M5331" s="7"/>
    </row>
    <row r="5332" spans="1:13" x14ac:dyDescent="0.3">
      <c r="A5332" s="7">
        <v>650029</v>
      </c>
      <c r="B5332" s="7" t="s">
        <v>5338</v>
      </c>
      <c r="C5332" s="7" t="s">
        <v>7069</v>
      </c>
      <c r="D5332" s="7" t="s">
        <v>6295</v>
      </c>
      <c r="E5332" s="7" t="s">
        <v>6940</v>
      </c>
      <c r="F5332" s="7" t="s">
        <v>6943</v>
      </c>
      <c r="G5332" s="7" t="s">
        <v>7150</v>
      </c>
      <c r="H5332" s="7" t="s">
        <v>7156</v>
      </c>
      <c r="I5332" s="7"/>
      <c r="J5332" s="10">
        <v>43957</v>
      </c>
      <c r="K5332" s="7" t="s">
        <v>7165</v>
      </c>
      <c r="L5332" s="7"/>
      <c r="M5332" s="7"/>
    </row>
    <row r="5333" spans="1:13" x14ac:dyDescent="0.3">
      <c r="A5333" s="7">
        <v>650030</v>
      </c>
      <c r="B5333" s="7" t="s">
        <v>5339</v>
      </c>
      <c r="C5333" s="7" t="s">
        <v>7069</v>
      </c>
      <c r="D5333" s="7" t="s">
        <v>6295</v>
      </c>
      <c r="E5333" s="7" t="s">
        <v>6940</v>
      </c>
      <c r="F5333" s="7" t="s">
        <v>6979</v>
      </c>
      <c r="G5333" s="7" t="s">
        <v>7150</v>
      </c>
      <c r="H5333" s="7" t="s">
        <v>7156</v>
      </c>
      <c r="I5333" s="7"/>
      <c r="J5333" s="10">
        <v>44460</v>
      </c>
      <c r="K5333" s="7" t="s">
        <v>7165</v>
      </c>
      <c r="L5333" s="7"/>
      <c r="M5333" s="7"/>
    </row>
    <row r="5334" spans="1:13" x14ac:dyDescent="0.3">
      <c r="A5334" s="7">
        <v>17738</v>
      </c>
      <c r="B5334" s="7" t="s">
        <v>5340</v>
      </c>
      <c r="C5334" s="7" t="s">
        <v>7069</v>
      </c>
      <c r="D5334" s="7" t="s">
        <v>6295</v>
      </c>
      <c r="E5334" s="7" t="s">
        <v>6940</v>
      </c>
      <c r="F5334" s="7" t="s">
        <v>6989</v>
      </c>
      <c r="G5334" s="7" t="s">
        <v>7150</v>
      </c>
      <c r="H5334" s="7" t="s">
        <v>7156</v>
      </c>
      <c r="I5334" s="7"/>
      <c r="J5334" s="10">
        <v>45860</v>
      </c>
      <c r="K5334" s="7" t="s">
        <v>7165</v>
      </c>
      <c r="L5334" s="7"/>
      <c r="M5334" s="7"/>
    </row>
    <row r="5335" spans="1:13" x14ac:dyDescent="0.3">
      <c r="A5335" s="7">
        <v>650017</v>
      </c>
      <c r="B5335" s="7" t="s">
        <v>5341</v>
      </c>
      <c r="C5335" s="7" t="s">
        <v>7069</v>
      </c>
      <c r="D5335" s="7" t="s">
        <v>6295</v>
      </c>
      <c r="E5335" s="7" t="s">
        <v>6940</v>
      </c>
      <c r="F5335" s="7" t="s">
        <v>6980</v>
      </c>
      <c r="G5335" s="7" t="s">
        <v>7150</v>
      </c>
      <c r="H5335" s="7" t="s">
        <v>7156</v>
      </c>
      <c r="I5335" s="7"/>
      <c r="J5335" s="10">
        <v>42339</v>
      </c>
      <c r="K5335" s="7" t="s">
        <v>7165</v>
      </c>
      <c r="L5335" s="7"/>
      <c r="M5335" s="7"/>
    </row>
    <row r="5336" spans="1:13" x14ac:dyDescent="0.3">
      <c r="A5336" s="7">
        <v>650020</v>
      </c>
      <c r="B5336" s="7" t="s">
        <v>5342</v>
      </c>
      <c r="C5336" s="7" t="s">
        <v>7069</v>
      </c>
      <c r="D5336" s="7" t="s">
        <v>6295</v>
      </c>
      <c r="E5336" s="7" t="s">
        <v>6940</v>
      </c>
      <c r="F5336" s="7" t="s">
        <v>6980</v>
      </c>
      <c r="G5336" s="7" t="s">
        <v>7150</v>
      </c>
      <c r="H5336" s="7" t="s">
        <v>7156</v>
      </c>
      <c r="I5336" s="7"/>
      <c r="J5336" s="10">
        <v>42531</v>
      </c>
      <c r="K5336" s="7" t="s">
        <v>7165</v>
      </c>
      <c r="L5336" s="7"/>
      <c r="M5336" s="7"/>
    </row>
    <row r="5337" spans="1:13" x14ac:dyDescent="0.3">
      <c r="A5337" s="7">
        <v>650021</v>
      </c>
      <c r="B5337" s="7" t="s">
        <v>5343</v>
      </c>
      <c r="C5337" s="7" t="s">
        <v>7069</v>
      </c>
      <c r="D5337" s="7" t="s">
        <v>6295</v>
      </c>
      <c r="E5337" s="7" t="s">
        <v>6940</v>
      </c>
      <c r="F5337" s="7" t="s">
        <v>6980</v>
      </c>
      <c r="G5337" s="7" t="s">
        <v>7150</v>
      </c>
      <c r="H5337" s="7" t="s">
        <v>7156</v>
      </c>
      <c r="I5337" s="7"/>
      <c r="J5337" s="10">
        <v>42730</v>
      </c>
      <c r="K5337" s="7" t="s">
        <v>7165</v>
      </c>
      <c r="L5337" s="7"/>
      <c r="M5337" s="7"/>
    </row>
    <row r="5338" spans="1:13" x14ac:dyDescent="0.3">
      <c r="A5338" s="7">
        <v>16718</v>
      </c>
      <c r="B5338" s="7" t="s">
        <v>5344</v>
      </c>
      <c r="C5338" s="7" t="s">
        <v>7069</v>
      </c>
      <c r="D5338" s="7" t="s">
        <v>6295</v>
      </c>
      <c r="E5338" s="7" t="s">
        <v>6940</v>
      </c>
      <c r="F5338" s="7" t="s">
        <v>7013</v>
      </c>
      <c r="G5338" s="7" t="s">
        <v>7150</v>
      </c>
      <c r="H5338" s="7" t="s">
        <v>7156</v>
      </c>
      <c r="I5338" s="7"/>
      <c r="J5338" s="10">
        <v>45544</v>
      </c>
      <c r="K5338" s="7" t="s">
        <v>7165</v>
      </c>
      <c r="L5338" s="7"/>
      <c r="M5338" s="7"/>
    </row>
    <row r="5339" spans="1:13" x14ac:dyDescent="0.3">
      <c r="A5339" s="7">
        <v>15973</v>
      </c>
      <c r="B5339" s="7" t="s">
        <v>5345</v>
      </c>
      <c r="C5339" s="7" t="s">
        <v>7069</v>
      </c>
      <c r="D5339" s="7" t="s">
        <v>6295</v>
      </c>
      <c r="E5339" s="7" t="s">
        <v>6951</v>
      </c>
      <c r="F5339" s="7" t="s">
        <v>6398</v>
      </c>
      <c r="G5339" s="7" t="s">
        <v>7150</v>
      </c>
      <c r="H5339" s="7" t="s">
        <v>7156</v>
      </c>
      <c r="I5339" s="7"/>
      <c r="J5339" s="10">
        <v>45250</v>
      </c>
      <c r="K5339" s="7" t="s">
        <v>7165</v>
      </c>
      <c r="L5339" s="7"/>
      <c r="M5339" s="7"/>
    </row>
    <row r="5340" spans="1:13" x14ac:dyDescent="0.3">
      <c r="A5340" s="7">
        <v>290038</v>
      </c>
      <c r="B5340" s="7" t="s">
        <v>5346</v>
      </c>
      <c r="C5340" s="7" t="s">
        <v>7070</v>
      </c>
      <c r="D5340" s="7" t="s">
        <v>6295</v>
      </c>
      <c r="E5340" s="7" t="s">
        <v>6295</v>
      </c>
      <c r="F5340" s="7" t="s">
        <v>6939</v>
      </c>
      <c r="G5340" s="7" t="s">
        <v>7150</v>
      </c>
      <c r="H5340" s="7" t="s">
        <v>7156</v>
      </c>
      <c r="I5340" s="7"/>
      <c r="J5340" s="10">
        <v>42311</v>
      </c>
      <c r="K5340" s="7" t="s">
        <v>7165</v>
      </c>
      <c r="L5340" s="7"/>
      <c r="M5340" s="7"/>
    </row>
    <row r="5341" spans="1:13" x14ac:dyDescent="0.3">
      <c r="A5341" s="7">
        <v>290048</v>
      </c>
      <c r="B5341" s="7" t="s">
        <v>5347</v>
      </c>
      <c r="C5341" s="7" t="s">
        <v>7070</v>
      </c>
      <c r="D5341" s="7" t="s">
        <v>6295</v>
      </c>
      <c r="E5341" s="7" t="s">
        <v>6940</v>
      </c>
      <c r="F5341" s="7" t="s">
        <v>6498</v>
      </c>
      <c r="G5341" s="7" t="s">
        <v>7150</v>
      </c>
      <c r="H5341" s="7" t="s">
        <v>7156</v>
      </c>
      <c r="I5341" s="7"/>
      <c r="J5341" s="10">
        <v>42898</v>
      </c>
      <c r="K5341" s="7" t="s">
        <v>7165</v>
      </c>
      <c r="L5341" s="7"/>
      <c r="M5341" s="7"/>
    </row>
    <row r="5342" spans="1:13" x14ac:dyDescent="0.3">
      <c r="A5342" s="7">
        <v>560002</v>
      </c>
      <c r="B5342" s="7" t="s">
        <v>5348</v>
      </c>
      <c r="C5342" s="7" t="s">
        <v>7070</v>
      </c>
      <c r="D5342" s="7" t="s">
        <v>6295</v>
      </c>
      <c r="E5342" s="7" t="s">
        <v>6940</v>
      </c>
      <c r="F5342" s="7" t="s">
        <v>6991</v>
      </c>
      <c r="G5342" s="7" t="s">
        <v>7150</v>
      </c>
      <c r="H5342" s="7" t="s">
        <v>7156</v>
      </c>
      <c r="I5342" s="7"/>
      <c r="J5342" s="10">
        <v>36843</v>
      </c>
      <c r="K5342" s="7" t="s">
        <v>7165</v>
      </c>
      <c r="L5342" s="7"/>
      <c r="M5342" s="7"/>
    </row>
    <row r="5343" spans="1:13" x14ac:dyDescent="0.3">
      <c r="A5343" s="7">
        <v>300054</v>
      </c>
      <c r="B5343" s="7" t="s">
        <v>5349</v>
      </c>
      <c r="C5343" s="7" t="s">
        <v>7070</v>
      </c>
      <c r="D5343" s="7" t="s">
        <v>6295</v>
      </c>
      <c r="E5343" s="7" t="s">
        <v>6940</v>
      </c>
      <c r="F5343" s="7" t="s">
        <v>6941</v>
      </c>
      <c r="G5343" s="7" t="s">
        <v>7150</v>
      </c>
      <c r="H5343" s="7" t="s">
        <v>7156</v>
      </c>
      <c r="I5343" s="7"/>
      <c r="J5343" s="10">
        <v>42768</v>
      </c>
      <c r="K5343" s="7" t="s">
        <v>7165</v>
      </c>
      <c r="L5343" s="7"/>
      <c r="M5343" s="7"/>
    </row>
    <row r="5344" spans="1:13" x14ac:dyDescent="0.3">
      <c r="A5344" s="7">
        <v>560020</v>
      </c>
      <c r="B5344" s="7" t="s">
        <v>5350</v>
      </c>
      <c r="C5344" s="7" t="s">
        <v>7070</v>
      </c>
      <c r="D5344" s="7" t="s">
        <v>6295</v>
      </c>
      <c r="E5344" s="7" t="s">
        <v>6940</v>
      </c>
      <c r="F5344" s="7" t="s">
        <v>6992</v>
      </c>
      <c r="G5344" s="7" t="s">
        <v>7150</v>
      </c>
      <c r="H5344" s="7" t="s">
        <v>7156</v>
      </c>
      <c r="I5344" s="7"/>
      <c r="J5344" s="10">
        <v>44179</v>
      </c>
      <c r="K5344" s="7" t="s">
        <v>7165</v>
      </c>
      <c r="L5344" s="7"/>
      <c r="M5344" s="7"/>
    </row>
    <row r="5345" spans="1:13" x14ac:dyDescent="0.3">
      <c r="A5345" s="7">
        <v>880028</v>
      </c>
      <c r="B5345" s="7" t="s">
        <v>5351</v>
      </c>
      <c r="C5345" s="7" t="s">
        <v>7070</v>
      </c>
      <c r="D5345" s="7" t="s">
        <v>6295</v>
      </c>
      <c r="E5345" s="7" t="s">
        <v>6940</v>
      </c>
      <c r="F5345" s="7" t="s">
        <v>6980</v>
      </c>
      <c r="G5345" s="7" t="s">
        <v>7150</v>
      </c>
      <c r="H5345" s="7" t="s">
        <v>7156</v>
      </c>
      <c r="I5345" s="7"/>
      <c r="J5345" s="10">
        <v>42339</v>
      </c>
      <c r="K5345" s="7" t="s">
        <v>7165</v>
      </c>
      <c r="L5345" s="7"/>
      <c r="M5345" s="7"/>
    </row>
    <row r="5346" spans="1:13" x14ac:dyDescent="0.3">
      <c r="A5346" s="7">
        <v>560010</v>
      </c>
      <c r="B5346" s="7" t="s">
        <v>5352</v>
      </c>
      <c r="C5346" s="7" t="s">
        <v>7070</v>
      </c>
      <c r="D5346" s="7" t="s">
        <v>6295</v>
      </c>
      <c r="E5346" s="7" t="s">
        <v>6940</v>
      </c>
      <c r="F5346" s="7" t="s">
        <v>6980</v>
      </c>
      <c r="G5346" s="7" t="s">
        <v>7150</v>
      </c>
      <c r="H5346" s="7" t="s">
        <v>7156</v>
      </c>
      <c r="I5346" s="7"/>
      <c r="J5346" s="10">
        <v>40391</v>
      </c>
      <c r="K5346" s="7" t="s">
        <v>7165</v>
      </c>
      <c r="L5346" s="7"/>
      <c r="M5346" s="7"/>
    </row>
    <row r="5347" spans="1:13" x14ac:dyDescent="0.3">
      <c r="A5347" s="7">
        <v>560018</v>
      </c>
      <c r="B5347" s="7" t="s">
        <v>5353</v>
      </c>
      <c r="C5347" s="7" t="s">
        <v>7070</v>
      </c>
      <c r="D5347" s="7" t="s">
        <v>6295</v>
      </c>
      <c r="E5347" s="7" t="s">
        <v>6940</v>
      </c>
      <c r="F5347" s="7" t="s">
        <v>6980</v>
      </c>
      <c r="G5347" s="7" t="s">
        <v>7150</v>
      </c>
      <c r="H5347" s="7" t="s">
        <v>7156</v>
      </c>
      <c r="I5347" s="7"/>
      <c r="J5347" s="10">
        <v>43075</v>
      </c>
      <c r="K5347" s="7" t="s">
        <v>7165</v>
      </c>
      <c r="L5347" s="7"/>
      <c r="M5347" s="7"/>
    </row>
    <row r="5348" spans="1:13" x14ac:dyDescent="0.3">
      <c r="A5348" s="7">
        <v>390019</v>
      </c>
      <c r="B5348" s="7" t="s">
        <v>5354</v>
      </c>
      <c r="C5348" s="7" t="s">
        <v>7070</v>
      </c>
      <c r="D5348" s="7" t="s">
        <v>6295</v>
      </c>
      <c r="E5348" s="7" t="s">
        <v>6940</v>
      </c>
      <c r="F5348" s="7" t="s">
        <v>6986</v>
      </c>
      <c r="G5348" s="7" t="s">
        <v>7151</v>
      </c>
      <c r="H5348" s="7" t="s">
        <v>7156</v>
      </c>
      <c r="I5348" s="7"/>
      <c r="J5348" s="10">
        <v>42688</v>
      </c>
      <c r="K5348" s="7" t="s">
        <v>7165</v>
      </c>
      <c r="L5348" s="7"/>
      <c r="M5348" s="7"/>
    </row>
    <row r="5349" spans="1:13" x14ac:dyDescent="0.3">
      <c r="A5349" s="7">
        <v>17927</v>
      </c>
      <c r="B5349" s="7" t="s">
        <v>5355</v>
      </c>
      <c r="C5349" s="7" t="s">
        <v>7070</v>
      </c>
      <c r="D5349" s="7" t="s">
        <v>6295</v>
      </c>
      <c r="E5349" s="7" t="s">
        <v>6940</v>
      </c>
      <c r="F5349" s="7" t="s">
        <v>7000</v>
      </c>
      <c r="G5349" s="7" t="s">
        <v>7150</v>
      </c>
      <c r="H5349" s="7" t="s">
        <v>7157</v>
      </c>
      <c r="I5349" s="7"/>
      <c r="J5349" s="10">
        <v>45923</v>
      </c>
      <c r="K5349" s="7" t="s">
        <v>7165</v>
      </c>
      <c r="L5349" s="7"/>
      <c r="M5349" s="7"/>
    </row>
    <row r="5350" spans="1:13" x14ac:dyDescent="0.3">
      <c r="A5350" s="7">
        <v>560016</v>
      </c>
      <c r="B5350" s="7" t="s">
        <v>5356</v>
      </c>
      <c r="C5350" s="7" t="s">
        <v>7070</v>
      </c>
      <c r="D5350" s="7" t="s">
        <v>6295</v>
      </c>
      <c r="E5350" s="7" t="s">
        <v>6951</v>
      </c>
      <c r="F5350" s="7" t="s">
        <v>6398</v>
      </c>
      <c r="G5350" s="7" t="s">
        <v>7150</v>
      </c>
      <c r="H5350" s="7" t="s">
        <v>7156</v>
      </c>
      <c r="I5350" s="7"/>
      <c r="J5350" s="10">
        <v>42635</v>
      </c>
      <c r="K5350" s="7" t="s">
        <v>7165</v>
      </c>
      <c r="L5350" s="7"/>
      <c r="M5350" s="7"/>
    </row>
    <row r="5351" spans="1:13" x14ac:dyDescent="0.3">
      <c r="A5351" s="7">
        <v>13004</v>
      </c>
      <c r="B5351" s="7" t="s">
        <v>5357</v>
      </c>
      <c r="C5351" s="7" t="s">
        <v>7071</v>
      </c>
      <c r="D5351" s="7" t="s">
        <v>6295</v>
      </c>
      <c r="E5351" s="7" t="s">
        <v>6295</v>
      </c>
      <c r="F5351" s="7" t="s">
        <v>6939</v>
      </c>
      <c r="G5351" s="7" t="s">
        <v>7150</v>
      </c>
      <c r="H5351" s="7" t="s">
        <v>7156</v>
      </c>
      <c r="I5351" s="7"/>
      <c r="J5351" s="10">
        <v>44187</v>
      </c>
      <c r="K5351" s="7" t="s">
        <v>7165</v>
      </c>
      <c r="L5351" s="7"/>
      <c r="M5351" s="7"/>
    </row>
    <row r="5352" spans="1:13" x14ac:dyDescent="0.3">
      <c r="A5352" s="7">
        <v>300132</v>
      </c>
      <c r="B5352" s="7" t="s">
        <v>5358</v>
      </c>
      <c r="C5352" s="7" t="s">
        <v>7071</v>
      </c>
      <c r="D5352" s="7" t="s">
        <v>6295</v>
      </c>
      <c r="E5352" s="7" t="s">
        <v>6940</v>
      </c>
      <c r="F5352" s="7" t="s">
        <v>6498</v>
      </c>
      <c r="G5352" s="7" t="s">
        <v>7150</v>
      </c>
      <c r="H5352" s="7" t="s">
        <v>7156</v>
      </c>
      <c r="I5352" s="7"/>
      <c r="J5352" s="10">
        <v>43271</v>
      </c>
      <c r="K5352" s="7" t="s">
        <v>7165</v>
      </c>
      <c r="L5352" s="7"/>
      <c r="M5352" s="7"/>
    </row>
    <row r="5353" spans="1:13" x14ac:dyDescent="0.3">
      <c r="A5353" s="7">
        <v>14336</v>
      </c>
      <c r="B5353" s="7" t="s">
        <v>5359</v>
      </c>
      <c r="C5353" s="7" t="s">
        <v>7071</v>
      </c>
      <c r="D5353" s="7" t="s">
        <v>6295</v>
      </c>
      <c r="E5353" s="7" t="s">
        <v>6940</v>
      </c>
      <c r="F5353" s="7" t="s">
        <v>6943</v>
      </c>
      <c r="G5353" s="7" t="s">
        <v>7150</v>
      </c>
      <c r="H5353" s="7" t="s">
        <v>7156</v>
      </c>
      <c r="I5353" s="7"/>
      <c r="J5353" s="10">
        <v>44735</v>
      </c>
      <c r="K5353" s="7" t="s">
        <v>7165</v>
      </c>
      <c r="L5353" s="7"/>
      <c r="M5353" s="7"/>
    </row>
    <row r="5354" spans="1:13" x14ac:dyDescent="0.3">
      <c r="A5354" s="7">
        <v>300091</v>
      </c>
      <c r="B5354" s="7" t="s">
        <v>5360</v>
      </c>
      <c r="C5354" s="7" t="s">
        <v>7071</v>
      </c>
      <c r="D5354" s="7" t="s">
        <v>6295</v>
      </c>
      <c r="E5354" s="7" t="s">
        <v>6940</v>
      </c>
      <c r="F5354" s="7" t="s">
        <v>6991</v>
      </c>
      <c r="G5354" s="7" t="s">
        <v>7150</v>
      </c>
      <c r="H5354" s="7" t="s">
        <v>7156</v>
      </c>
      <c r="I5354" s="7"/>
      <c r="J5354" s="10">
        <v>42909</v>
      </c>
      <c r="K5354" s="7" t="s">
        <v>7165</v>
      </c>
      <c r="L5354" s="7"/>
      <c r="M5354" s="7"/>
    </row>
    <row r="5355" spans="1:13" x14ac:dyDescent="0.3">
      <c r="A5355" s="7">
        <v>580015</v>
      </c>
      <c r="B5355" s="7" t="s">
        <v>5361</v>
      </c>
      <c r="C5355" s="7" t="s">
        <v>7071</v>
      </c>
      <c r="D5355" s="7" t="s">
        <v>6295</v>
      </c>
      <c r="E5355" s="7" t="s">
        <v>6940</v>
      </c>
      <c r="F5355" s="7" t="s">
        <v>6980</v>
      </c>
      <c r="G5355" s="7" t="s">
        <v>7150</v>
      </c>
      <c r="H5355" s="7" t="s">
        <v>7156</v>
      </c>
      <c r="I5355" s="7"/>
      <c r="J5355" s="10">
        <v>42731</v>
      </c>
      <c r="K5355" s="7" t="s">
        <v>7165</v>
      </c>
      <c r="L5355" s="7"/>
      <c r="M5355" s="7"/>
    </row>
    <row r="5356" spans="1:13" x14ac:dyDescent="0.3">
      <c r="A5356" s="7">
        <v>580007</v>
      </c>
      <c r="B5356" s="7" t="s">
        <v>5362</v>
      </c>
      <c r="C5356" s="7" t="s">
        <v>7071</v>
      </c>
      <c r="D5356" s="7" t="s">
        <v>6295</v>
      </c>
      <c r="E5356" s="7" t="s">
        <v>6940</v>
      </c>
      <c r="F5356" s="7" t="s">
        <v>6980</v>
      </c>
      <c r="G5356" s="7" t="s">
        <v>7150</v>
      </c>
      <c r="H5356" s="7" t="s">
        <v>7156</v>
      </c>
      <c r="I5356" s="7"/>
      <c r="J5356" s="10">
        <v>39087</v>
      </c>
      <c r="K5356" s="7" t="s">
        <v>7165</v>
      </c>
      <c r="L5356" s="7"/>
      <c r="M5356" s="7"/>
    </row>
    <row r="5357" spans="1:13" x14ac:dyDescent="0.3">
      <c r="A5357" s="7">
        <v>580018</v>
      </c>
      <c r="B5357" s="7" t="s">
        <v>5363</v>
      </c>
      <c r="C5357" s="7" t="s">
        <v>7071</v>
      </c>
      <c r="D5357" s="7" t="s">
        <v>6295</v>
      </c>
      <c r="E5357" s="7" t="s">
        <v>6940</v>
      </c>
      <c r="F5357" s="7" t="s">
        <v>6980</v>
      </c>
      <c r="G5357" s="7" t="s">
        <v>7150</v>
      </c>
      <c r="H5357" s="7" t="s">
        <v>7156</v>
      </c>
      <c r="I5357" s="7"/>
      <c r="J5357" s="10">
        <v>44047</v>
      </c>
      <c r="K5357" s="7" t="s">
        <v>7165</v>
      </c>
      <c r="L5357" s="7"/>
      <c r="M5357" s="7"/>
    </row>
    <row r="5358" spans="1:13" x14ac:dyDescent="0.3">
      <c r="A5358" s="7">
        <v>18939</v>
      </c>
      <c r="B5358" s="7" t="s">
        <v>5364</v>
      </c>
      <c r="C5358" s="7" t="s">
        <v>7071</v>
      </c>
      <c r="D5358" s="7" t="s">
        <v>6295</v>
      </c>
      <c r="E5358" s="7" t="s">
        <v>6940</v>
      </c>
      <c r="F5358" s="7" t="s">
        <v>6998</v>
      </c>
      <c r="G5358" s="7" t="s">
        <v>7150</v>
      </c>
      <c r="H5358" s="7" t="s">
        <v>7156</v>
      </c>
      <c r="I5358" s="7"/>
      <c r="J5358" s="10">
        <v>46246</v>
      </c>
      <c r="K5358" s="7" t="s">
        <v>7165</v>
      </c>
      <c r="L5358" s="7"/>
      <c r="M5358" s="7"/>
    </row>
    <row r="5359" spans="1:13" x14ac:dyDescent="0.3">
      <c r="A5359" s="7">
        <v>16186</v>
      </c>
      <c r="B5359" s="7" t="s">
        <v>5365</v>
      </c>
      <c r="C5359" s="7" t="s">
        <v>7071</v>
      </c>
      <c r="D5359" s="7" t="s">
        <v>6295</v>
      </c>
      <c r="E5359" s="7" t="s">
        <v>6951</v>
      </c>
      <c r="F5359" s="7" t="s">
        <v>6398</v>
      </c>
      <c r="G5359" s="7" t="s">
        <v>7150</v>
      </c>
      <c r="H5359" s="7" t="s">
        <v>7156</v>
      </c>
      <c r="I5359" s="7"/>
      <c r="J5359" s="10">
        <v>45310</v>
      </c>
      <c r="K5359" s="7" t="s">
        <v>7165</v>
      </c>
      <c r="L5359" s="7"/>
      <c r="M5359" s="7"/>
    </row>
    <row r="5360" spans="1:13" x14ac:dyDescent="0.3">
      <c r="A5360" s="7">
        <v>810019</v>
      </c>
      <c r="B5360" s="7" t="s">
        <v>5366</v>
      </c>
      <c r="C5360" s="7" t="s">
        <v>7072</v>
      </c>
      <c r="D5360" s="7" t="s">
        <v>6295</v>
      </c>
      <c r="E5360" s="7" t="s">
        <v>6295</v>
      </c>
      <c r="F5360" s="7" t="s">
        <v>6939</v>
      </c>
      <c r="G5360" s="7" t="s">
        <v>7150</v>
      </c>
      <c r="H5360" s="7" t="s">
        <v>7156</v>
      </c>
      <c r="I5360" s="7"/>
      <c r="J5360" s="10">
        <v>42751</v>
      </c>
      <c r="K5360" s="7" t="s">
        <v>7165</v>
      </c>
      <c r="L5360" s="7"/>
      <c r="M5360" s="7"/>
    </row>
    <row r="5361" spans="1:13" x14ac:dyDescent="0.3">
      <c r="A5361" s="7">
        <v>830021</v>
      </c>
      <c r="B5361" s="7" t="s">
        <v>5367</v>
      </c>
      <c r="C5361" s="7" t="s">
        <v>7072</v>
      </c>
      <c r="D5361" s="7" t="s">
        <v>6295</v>
      </c>
      <c r="E5361" s="7" t="s">
        <v>6940</v>
      </c>
      <c r="F5361" s="7" t="s">
        <v>6991</v>
      </c>
      <c r="G5361" s="7" t="s">
        <v>7150</v>
      </c>
      <c r="H5361" s="7" t="s">
        <v>7156</v>
      </c>
      <c r="I5361" s="7"/>
      <c r="J5361" s="10">
        <v>42424</v>
      </c>
      <c r="K5361" s="7" t="s">
        <v>7165</v>
      </c>
      <c r="L5361" s="7"/>
      <c r="M5361" s="7"/>
    </row>
    <row r="5362" spans="1:13" x14ac:dyDescent="0.3">
      <c r="A5362" s="7">
        <v>17049</v>
      </c>
      <c r="B5362" s="7" t="s">
        <v>5368</v>
      </c>
      <c r="C5362" s="7" t="s">
        <v>7072</v>
      </c>
      <c r="D5362" s="7" t="s">
        <v>6295</v>
      </c>
      <c r="E5362" s="7" t="s">
        <v>6940</v>
      </c>
      <c r="F5362" s="7" t="s">
        <v>6989</v>
      </c>
      <c r="G5362" s="7" t="s">
        <v>7150</v>
      </c>
      <c r="H5362" s="7" t="s">
        <v>7156</v>
      </c>
      <c r="I5362" s="7"/>
      <c r="J5362" s="10">
        <v>45602</v>
      </c>
      <c r="K5362" s="7" t="s">
        <v>7165</v>
      </c>
      <c r="L5362" s="7"/>
      <c r="M5362" s="7"/>
    </row>
    <row r="5363" spans="1:13" x14ac:dyDescent="0.3">
      <c r="A5363" s="7">
        <v>830017</v>
      </c>
      <c r="B5363" s="7" t="s">
        <v>5369</v>
      </c>
      <c r="C5363" s="7" t="s">
        <v>7072</v>
      </c>
      <c r="D5363" s="7" t="s">
        <v>6295</v>
      </c>
      <c r="E5363" s="7" t="s">
        <v>6940</v>
      </c>
      <c r="F5363" s="7" t="s">
        <v>6980</v>
      </c>
      <c r="G5363" s="7" t="s">
        <v>7150</v>
      </c>
      <c r="H5363" s="7" t="s">
        <v>7156</v>
      </c>
      <c r="I5363" s="7"/>
      <c r="J5363" s="10">
        <v>42318</v>
      </c>
      <c r="K5363" s="7" t="s">
        <v>7165</v>
      </c>
      <c r="L5363" s="7"/>
      <c r="M5363" s="7"/>
    </row>
    <row r="5364" spans="1:13" x14ac:dyDescent="0.3">
      <c r="A5364" s="7">
        <v>420026</v>
      </c>
      <c r="B5364" s="7" t="s">
        <v>5370</v>
      </c>
      <c r="C5364" s="7" t="s">
        <v>7072</v>
      </c>
      <c r="D5364" s="7" t="s">
        <v>6295</v>
      </c>
      <c r="E5364" s="7" t="s">
        <v>6940</v>
      </c>
      <c r="F5364" s="7" t="s">
        <v>6980</v>
      </c>
      <c r="G5364" s="7" t="s">
        <v>7150</v>
      </c>
      <c r="H5364" s="7" t="s">
        <v>7156</v>
      </c>
      <c r="I5364" s="7"/>
      <c r="J5364" s="10">
        <v>42207</v>
      </c>
      <c r="K5364" s="7" t="s">
        <v>7165</v>
      </c>
      <c r="L5364" s="7"/>
      <c r="M5364" s="7"/>
    </row>
    <row r="5365" spans="1:13" x14ac:dyDescent="0.3">
      <c r="A5365" s="7">
        <v>830018</v>
      </c>
      <c r="B5365" s="7" t="s">
        <v>5371</v>
      </c>
      <c r="C5365" s="7" t="s">
        <v>7072</v>
      </c>
      <c r="D5365" s="7" t="s">
        <v>6295</v>
      </c>
      <c r="E5365" s="7" t="s">
        <v>6940</v>
      </c>
      <c r="F5365" s="7" t="s">
        <v>6980</v>
      </c>
      <c r="G5365" s="7" t="s">
        <v>7151</v>
      </c>
      <c r="H5365" s="7" t="s">
        <v>7156</v>
      </c>
      <c r="I5365" s="7"/>
      <c r="J5365" s="10">
        <v>42339</v>
      </c>
      <c r="K5365" s="7" t="s">
        <v>7165</v>
      </c>
      <c r="L5365" s="7"/>
      <c r="M5365" s="7"/>
    </row>
    <row r="5366" spans="1:13" x14ac:dyDescent="0.3">
      <c r="A5366" s="7">
        <v>17990</v>
      </c>
      <c r="B5366" s="7" t="s">
        <v>5372</v>
      </c>
      <c r="C5366" s="7" t="s">
        <v>7072</v>
      </c>
      <c r="D5366" s="7" t="s">
        <v>6295</v>
      </c>
      <c r="E5366" s="7" t="s">
        <v>6940</v>
      </c>
      <c r="F5366" s="7" t="s">
        <v>7016</v>
      </c>
      <c r="G5366" s="7" t="s">
        <v>7150</v>
      </c>
      <c r="H5366" s="7" t="s">
        <v>7157</v>
      </c>
      <c r="I5366" s="7"/>
      <c r="J5366" s="10">
        <v>45951</v>
      </c>
      <c r="K5366" s="7" t="s">
        <v>7165</v>
      </c>
      <c r="L5366" s="7"/>
      <c r="M5366" s="7"/>
    </row>
    <row r="5367" spans="1:13" x14ac:dyDescent="0.3">
      <c r="A5367" s="7">
        <v>830016</v>
      </c>
      <c r="B5367" s="7" t="s">
        <v>5373</v>
      </c>
      <c r="C5367" s="7" t="s">
        <v>7072</v>
      </c>
      <c r="D5367" s="7" t="s">
        <v>6295</v>
      </c>
      <c r="E5367" s="7" t="s">
        <v>6940</v>
      </c>
      <c r="F5367" s="7" t="s">
        <v>6980</v>
      </c>
      <c r="G5367" s="7" t="s">
        <v>7150</v>
      </c>
      <c r="H5367" s="7" t="s">
        <v>7156</v>
      </c>
      <c r="I5367" s="7"/>
      <c r="J5367" s="10">
        <v>41946</v>
      </c>
      <c r="K5367" s="7" t="s">
        <v>7165</v>
      </c>
      <c r="L5367" s="7"/>
      <c r="M5367" s="7"/>
    </row>
    <row r="5368" spans="1:13" x14ac:dyDescent="0.3">
      <c r="A5368" s="7">
        <v>830015</v>
      </c>
      <c r="B5368" s="7" t="s">
        <v>5374</v>
      </c>
      <c r="C5368" s="7" t="s">
        <v>7072</v>
      </c>
      <c r="D5368" s="7" t="s">
        <v>6295</v>
      </c>
      <c r="E5368" s="7" t="s">
        <v>6940</v>
      </c>
      <c r="F5368" s="7" t="s">
        <v>6980</v>
      </c>
      <c r="G5368" s="7" t="s">
        <v>7151</v>
      </c>
      <c r="H5368" s="7" t="s">
        <v>7156</v>
      </c>
      <c r="I5368" s="7"/>
      <c r="J5368" s="10">
        <v>41927</v>
      </c>
      <c r="K5368" s="7" t="s">
        <v>7165</v>
      </c>
      <c r="L5368" s="7"/>
      <c r="M5368" s="7"/>
    </row>
    <row r="5369" spans="1:13" x14ac:dyDescent="0.3">
      <c r="A5369" s="7">
        <v>18074</v>
      </c>
      <c r="B5369" s="7" t="s">
        <v>5375</v>
      </c>
      <c r="C5369" s="7" t="s">
        <v>7072</v>
      </c>
      <c r="D5369" s="7" t="s">
        <v>6295</v>
      </c>
      <c r="E5369" s="7" t="s">
        <v>6940</v>
      </c>
      <c r="F5369" s="7" t="s">
        <v>7000</v>
      </c>
      <c r="G5369" s="7" t="s">
        <v>7150</v>
      </c>
      <c r="H5369" s="7" t="s">
        <v>7157</v>
      </c>
      <c r="I5369" s="7"/>
      <c r="J5369" s="10">
        <v>45985</v>
      </c>
      <c r="K5369" s="7" t="s">
        <v>7165</v>
      </c>
      <c r="L5369" s="7"/>
      <c r="M5369" s="7"/>
    </row>
    <row r="5370" spans="1:13" x14ac:dyDescent="0.3">
      <c r="A5370" s="7">
        <v>830031</v>
      </c>
      <c r="B5370" s="7" t="s">
        <v>5376</v>
      </c>
      <c r="C5370" s="7" t="s">
        <v>7072</v>
      </c>
      <c r="D5370" s="7" t="s">
        <v>6295</v>
      </c>
      <c r="E5370" s="7" t="s">
        <v>6940</v>
      </c>
      <c r="F5370" s="7" t="s">
        <v>6986</v>
      </c>
      <c r="G5370" s="7" t="s">
        <v>7151</v>
      </c>
      <c r="H5370" s="7" t="s">
        <v>7156</v>
      </c>
      <c r="I5370" s="7"/>
      <c r="J5370" s="10">
        <v>43675</v>
      </c>
      <c r="K5370" s="7" t="s">
        <v>7165</v>
      </c>
      <c r="L5370" s="7"/>
      <c r="M5370" s="7"/>
    </row>
    <row r="5371" spans="1:13" x14ac:dyDescent="0.3">
      <c r="A5371" s="7">
        <v>16994</v>
      </c>
      <c r="B5371" s="7" t="s">
        <v>5377</v>
      </c>
      <c r="C5371" s="7" t="s">
        <v>7072</v>
      </c>
      <c r="D5371" s="7" t="s">
        <v>6295</v>
      </c>
      <c r="E5371" s="7" t="s">
        <v>6940</v>
      </c>
      <c r="F5371" s="7" t="s">
        <v>7000</v>
      </c>
      <c r="G5371" s="7" t="s">
        <v>7150</v>
      </c>
      <c r="H5371" s="7" t="s">
        <v>7157</v>
      </c>
      <c r="I5371" s="7"/>
      <c r="J5371" s="10">
        <v>45589</v>
      </c>
      <c r="K5371" s="7" t="s">
        <v>7165</v>
      </c>
      <c r="L5371" s="7"/>
      <c r="M5371" s="7"/>
    </row>
    <row r="5372" spans="1:13" x14ac:dyDescent="0.3">
      <c r="A5372" s="7">
        <v>830025</v>
      </c>
      <c r="B5372" s="7" t="s">
        <v>5378</v>
      </c>
      <c r="C5372" s="7" t="s">
        <v>7072</v>
      </c>
      <c r="D5372" s="7" t="s">
        <v>6295</v>
      </c>
      <c r="E5372" s="7" t="s">
        <v>6940</v>
      </c>
      <c r="F5372" s="7" t="s">
        <v>6980</v>
      </c>
      <c r="G5372" s="7" t="s">
        <v>7150</v>
      </c>
      <c r="H5372" s="7" t="s">
        <v>7156</v>
      </c>
      <c r="I5372" s="7"/>
      <c r="J5372" s="10">
        <v>43104</v>
      </c>
      <c r="K5372" s="7" t="s">
        <v>7165</v>
      </c>
      <c r="L5372" s="7"/>
      <c r="M5372" s="7"/>
    </row>
    <row r="5373" spans="1:13" x14ac:dyDescent="0.3">
      <c r="A5373" s="7">
        <v>17225</v>
      </c>
      <c r="B5373" s="7" t="s">
        <v>5379</v>
      </c>
      <c r="C5373" s="7" t="s">
        <v>7072</v>
      </c>
      <c r="D5373" s="7" t="s">
        <v>6295</v>
      </c>
      <c r="E5373" s="7" t="s">
        <v>6940</v>
      </c>
      <c r="F5373" s="7" t="s">
        <v>6987</v>
      </c>
      <c r="G5373" s="7" t="s">
        <v>7150</v>
      </c>
      <c r="H5373" s="7" t="s">
        <v>7156</v>
      </c>
      <c r="I5373" s="7"/>
      <c r="J5373" s="10">
        <v>45673</v>
      </c>
      <c r="K5373" s="7" t="s">
        <v>7165</v>
      </c>
      <c r="L5373" s="7"/>
      <c r="M5373" s="7"/>
    </row>
    <row r="5374" spans="1:13" x14ac:dyDescent="0.3">
      <c r="A5374" s="7">
        <v>17890</v>
      </c>
      <c r="B5374" s="7" t="s">
        <v>5380</v>
      </c>
      <c r="C5374" s="7" t="s">
        <v>7072</v>
      </c>
      <c r="D5374" s="7" t="s">
        <v>6295</v>
      </c>
      <c r="E5374" s="7" t="s">
        <v>6951</v>
      </c>
      <c r="F5374" s="7" t="s">
        <v>6398</v>
      </c>
      <c r="G5374" s="7" t="s">
        <v>7150</v>
      </c>
      <c r="H5374" s="7" t="s">
        <v>7156</v>
      </c>
      <c r="I5374" s="7"/>
      <c r="J5374" s="10">
        <v>45908</v>
      </c>
      <c r="K5374" s="7" t="s">
        <v>7165</v>
      </c>
      <c r="L5374" s="7"/>
      <c r="M5374" s="7"/>
    </row>
    <row r="5375" spans="1:13" x14ac:dyDescent="0.3">
      <c r="A5375" s="7">
        <v>11853</v>
      </c>
      <c r="B5375" s="7" t="s">
        <v>5381</v>
      </c>
      <c r="C5375" s="7" t="s">
        <v>7073</v>
      </c>
      <c r="D5375" s="7" t="s">
        <v>6295</v>
      </c>
      <c r="E5375" s="7" t="s">
        <v>6295</v>
      </c>
      <c r="F5375" s="7" t="s">
        <v>6939</v>
      </c>
      <c r="G5375" s="7" t="s">
        <v>7150</v>
      </c>
      <c r="H5375" s="7" t="s">
        <v>7156</v>
      </c>
      <c r="I5375" s="7"/>
      <c r="J5375" s="10">
        <v>43200</v>
      </c>
      <c r="K5375" s="7" t="s">
        <v>7165</v>
      </c>
      <c r="L5375" s="7"/>
      <c r="M5375" s="7"/>
    </row>
    <row r="5376" spans="1:13" x14ac:dyDescent="0.3">
      <c r="A5376" s="7">
        <v>670041</v>
      </c>
      <c r="B5376" s="7" t="s">
        <v>5382</v>
      </c>
      <c r="C5376" s="7" t="s">
        <v>7073</v>
      </c>
      <c r="D5376" s="7" t="s">
        <v>6295</v>
      </c>
      <c r="E5376" s="7" t="s">
        <v>6940</v>
      </c>
      <c r="F5376" s="7" t="s">
        <v>6941</v>
      </c>
      <c r="G5376" s="7" t="s">
        <v>7150</v>
      </c>
      <c r="H5376" s="7" t="s">
        <v>7156</v>
      </c>
      <c r="I5376" s="7"/>
      <c r="J5376" s="10">
        <v>43325</v>
      </c>
      <c r="K5376" s="7" t="s">
        <v>7165</v>
      </c>
      <c r="L5376" s="7"/>
      <c r="M5376" s="7"/>
    </row>
    <row r="5377" spans="1:13" x14ac:dyDescent="0.3">
      <c r="A5377" s="7">
        <v>14201</v>
      </c>
      <c r="B5377" s="7" t="s">
        <v>5383</v>
      </c>
      <c r="C5377" s="7" t="s">
        <v>7073</v>
      </c>
      <c r="D5377" s="7" t="s">
        <v>6295</v>
      </c>
      <c r="E5377" s="7" t="s">
        <v>6940</v>
      </c>
      <c r="F5377" s="7" t="s">
        <v>6979</v>
      </c>
      <c r="G5377" s="7" t="s">
        <v>7150</v>
      </c>
      <c r="H5377" s="7" t="s">
        <v>7156</v>
      </c>
      <c r="I5377" s="7"/>
      <c r="J5377" s="10">
        <v>44698</v>
      </c>
      <c r="K5377" s="7" t="s">
        <v>7165</v>
      </c>
      <c r="L5377" s="7"/>
      <c r="M5377" s="7"/>
    </row>
    <row r="5378" spans="1:13" x14ac:dyDescent="0.3">
      <c r="A5378" s="7">
        <v>750028</v>
      </c>
      <c r="B5378" s="7" t="s">
        <v>5384</v>
      </c>
      <c r="C5378" s="7" t="s">
        <v>7073</v>
      </c>
      <c r="D5378" s="7" t="s">
        <v>6295</v>
      </c>
      <c r="E5378" s="7" t="s">
        <v>6940</v>
      </c>
      <c r="F5378" s="7" t="s">
        <v>6992</v>
      </c>
      <c r="G5378" s="7" t="s">
        <v>7150</v>
      </c>
      <c r="H5378" s="7" t="s">
        <v>7156</v>
      </c>
      <c r="I5378" s="7"/>
      <c r="J5378" s="10">
        <v>42636</v>
      </c>
      <c r="K5378" s="7" t="s">
        <v>7165</v>
      </c>
      <c r="L5378" s="7"/>
      <c r="M5378" s="7"/>
    </row>
    <row r="5379" spans="1:13" x14ac:dyDescent="0.3">
      <c r="A5379" s="7">
        <v>750019</v>
      </c>
      <c r="B5379" s="7" t="s">
        <v>5385</v>
      </c>
      <c r="C5379" s="7" t="s">
        <v>7073</v>
      </c>
      <c r="D5379" s="7" t="s">
        <v>6295</v>
      </c>
      <c r="E5379" s="7" t="s">
        <v>6940</v>
      </c>
      <c r="F5379" s="7" t="s">
        <v>6980</v>
      </c>
      <c r="G5379" s="7" t="s">
        <v>7150</v>
      </c>
      <c r="H5379" s="7" t="s">
        <v>7156</v>
      </c>
      <c r="I5379" s="7"/>
      <c r="J5379" s="10">
        <v>41968</v>
      </c>
      <c r="K5379" s="7" t="s">
        <v>7165</v>
      </c>
      <c r="L5379" s="7"/>
      <c r="M5379" s="7"/>
    </row>
    <row r="5380" spans="1:13" x14ac:dyDescent="0.3">
      <c r="A5380" s="7">
        <v>750023</v>
      </c>
      <c r="B5380" s="7" t="s">
        <v>5386</v>
      </c>
      <c r="C5380" s="7" t="s">
        <v>7073</v>
      </c>
      <c r="D5380" s="7" t="s">
        <v>6295</v>
      </c>
      <c r="E5380" s="7" t="s">
        <v>6940</v>
      </c>
      <c r="F5380" s="7" t="s">
        <v>6980</v>
      </c>
      <c r="G5380" s="7" t="s">
        <v>7150</v>
      </c>
      <c r="H5380" s="7" t="s">
        <v>7156</v>
      </c>
      <c r="I5380" s="7"/>
      <c r="J5380" s="10">
        <v>42060</v>
      </c>
      <c r="K5380" s="7" t="s">
        <v>7165</v>
      </c>
      <c r="L5380" s="7"/>
      <c r="M5380" s="7"/>
    </row>
    <row r="5381" spans="1:13" x14ac:dyDescent="0.3">
      <c r="A5381" s="7">
        <v>430015</v>
      </c>
      <c r="B5381" s="7" t="s">
        <v>5387</v>
      </c>
      <c r="C5381" s="7" t="s">
        <v>7073</v>
      </c>
      <c r="D5381" s="7" t="s">
        <v>6295</v>
      </c>
      <c r="E5381" s="7" t="s">
        <v>6940</v>
      </c>
      <c r="F5381" s="7" t="s">
        <v>6986</v>
      </c>
      <c r="G5381" s="7" t="s">
        <v>7150</v>
      </c>
      <c r="H5381" s="7" t="s">
        <v>7156</v>
      </c>
      <c r="I5381" s="7"/>
      <c r="J5381" s="10">
        <v>42163</v>
      </c>
      <c r="K5381" s="7" t="s">
        <v>7165</v>
      </c>
      <c r="L5381" s="7"/>
      <c r="M5381" s="7"/>
    </row>
    <row r="5382" spans="1:13" x14ac:dyDescent="0.3">
      <c r="A5382" s="7">
        <v>750036</v>
      </c>
      <c r="B5382" s="7" t="s">
        <v>5388</v>
      </c>
      <c r="C5382" s="7" t="s">
        <v>7073</v>
      </c>
      <c r="D5382" s="7" t="s">
        <v>6295</v>
      </c>
      <c r="E5382" s="7" t="s">
        <v>6940</v>
      </c>
      <c r="F5382" s="7" t="s">
        <v>6987</v>
      </c>
      <c r="G5382" s="7" t="s">
        <v>7150</v>
      </c>
      <c r="H5382" s="7" t="s">
        <v>7156</v>
      </c>
      <c r="I5382" s="7"/>
      <c r="J5382" s="10">
        <v>44606</v>
      </c>
      <c r="K5382" s="7" t="s">
        <v>7165</v>
      </c>
      <c r="L5382" s="7"/>
      <c r="M5382" s="7"/>
    </row>
    <row r="5383" spans="1:13" x14ac:dyDescent="0.3">
      <c r="A5383" s="7">
        <v>750016</v>
      </c>
      <c r="B5383" s="7" t="s">
        <v>5389</v>
      </c>
      <c r="C5383" s="7" t="s">
        <v>7073</v>
      </c>
      <c r="D5383" s="7" t="s">
        <v>6295</v>
      </c>
      <c r="E5383" s="7" t="s">
        <v>6951</v>
      </c>
      <c r="F5383" s="7" t="s">
        <v>6398</v>
      </c>
      <c r="G5383" s="7" t="s">
        <v>7150</v>
      </c>
      <c r="H5383" s="7" t="s">
        <v>7156</v>
      </c>
      <c r="I5383" s="7"/>
      <c r="J5383" s="10">
        <v>40787</v>
      </c>
      <c r="K5383" s="7" t="s">
        <v>7165</v>
      </c>
      <c r="L5383" s="7"/>
      <c r="M5383" s="7"/>
    </row>
    <row r="5384" spans="1:13" x14ac:dyDescent="0.3">
      <c r="A5384" s="7">
        <v>550027</v>
      </c>
      <c r="B5384" s="7" t="s">
        <v>5390</v>
      </c>
      <c r="C5384" s="7" t="s">
        <v>7074</v>
      </c>
      <c r="D5384" s="7" t="s">
        <v>6295</v>
      </c>
      <c r="E5384" s="7" t="s">
        <v>6295</v>
      </c>
      <c r="F5384" s="7" t="s">
        <v>6939</v>
      </c>
      <c r="G5384" s="7" t="s">
        <v>7150</v>
      </c>
      <c r="H5384" s="7" t="s">
        <v>7156</v>
      </c>
      <c r="I5384" s="7"/>
      <c r="J5384" s="10">
        <v>42249</v>
      </c>
      <c r="K5384" s="7" t="s">
        <v>7165</v>
      </c>
      <c r="L5384" s="7"/>
      <c r="M5384" s="7"/>
    </row>
    <row r="5385" spans="1:13" x14ac:dyDescent="0.3">
      <c r="A5385" s="7">
        <v>670008</v>
      </c>
      <c r="B5385" s="7" t="s">
        <v>5391</v>
      </c>
      <c r="C5385" s="7" t="s">
        <v>7074</v>
      </c>
      <c r="D5385" s="7" t="s">
        <v>6295</v>
      </c>
      <c r="E5385" s="7" t="s">
        <v>6295</v>
      </c>
      <c r="F5385" s="7" t="s">
        <v>6335</v>
      </c>
      <c r="G5385" s="7" t="s">
        <v>7150</v>
      </c>
      <c r="H5385" s="7" t="s">
        <v>7156</v>
      </c>
      <c r="I5385" s="7"/>
      <c r="J5385" s="10">
        <v>40883</v>
      </c>
      <c r="K5385" s="7" t="s">
        <v>7165</v>
      </c>
      <c r="L5385" s="7"/>
      <c r="M5385" s="7"/>
    </row>
    <row r="5386" spans="1:13" x14ac:dyDescent="0.3">
      <c r="A5386" s="7">
        <v>440020</v>
      </c>
      <c r="B5386" s="7" t="s">
        <v>5392</v>
      </c>
      <c r="C5386" s="7" t="s">
        <v>7074</v>
      </c>
      <c r="D5386" s="7" t="s">
        <v>6295</v>
      </c>
      <c r="E5386" s="7" t="s">
        <v>6940</v>
      </c>
      <c r="F5386" s="7" t="s">
        <v>6991</v>
      </c>
      <c r="G5386" s="7" t="s">
        <v>7150</v>
      </c>
      <c r="H5386" s="7" t="s">
        <v>7156</v>
      </c>
      <c r="I5386" s="7"/>
      <c r="J5386" s="10">
        <v>41421</v>
      </c>
      <c r="K5386" s="7" t="s">
        <v>7165</v>
      </c>
      <c r="L5386" s="7"/>
      <c r="M5386" s="7"/>
    </row>
    <row r="5387" spans="1:13" x14ac:dyDescent="0.3">
      <c r="A5387" s="7">
        <v>16956</v>
      </c>
      <c r="B5387" s="7" t="s">
        <v>5393</v>
      </c>
      <c r="C5387" s="7" t="s">
        <v>7074</v>
      </c>
      <c r="D5387" s="7" t="s">
        <v>6295</v>
      </c>
      <c r="E5387" s="7" t="s">
        <v>6940</v>
      </c>
      <c r="F5387" s="7" t="s">
        <v>6988</v>
      </c>
      <c r="G5387" s="7" t="s">
        <v>7150</v>
      </c>
      <c r="H5387" s="7" t="s">
        <v>7156</v>
      </c>
      <c r="I5387" s="7"/>
      <c r="J5387" s="10">
        <v>45576</v>
      </c>
      <c r="K5387" s="7" t="s">
        <v>7165</v>
      </c>
      <c r="L5387" s="7"/>
      <c r="M5387" s="7"/>
    </row>
    <row r="5388" spans="1:13" x14ac:dyDescent="0.3">
      <c r="A5388" s="7">
        <v>12729</v>
      </c>
      <c r="B5388" s="7" t="s">
        <v>5394</v>
      </c>
      <c r="C5388" s="7" t="s">
        <v>7074</v>
      </c>
      <c r="D5388" s="7" t="s">
        <v>6295</v>
      </c>
      <c r="E5388" s="7" t="s">
        <v>6940</v>
      </c>
      <c r="F5388" s="7" t="s">
        <v>6561</v>
      </c>
      <c r="G5388" s="7" t="s">
        <v>7150</v>
      </c>
      <c r="H5388" s="7" t="s">
        <v>7156</v>
      </c>
      <c r="I5388" s="7"/>
      <c r="J5388" s="10">
        <v>43882</v>
      </c>
      <c r="K5388" s="7" t="s">
        <v>7165</v>
      </c>
      <c r="L5388" s="7"/>
      <c r="M5388" s="7"/>
    </row>
    <row r="5389" spans="1:13" x14ac:dyDescent="0.3">
      <c r="A5389" s="7">
        <v>13370</v>
      </c>
      <c r="B5389" s="7" t="s">
        <v>5395</v>
      </c>
      <c r="C5389" s="7" t="s">
        <v>7074</v>
      </c>
      <c r="D5389" s="7" t="s">
        <v>6295</v>
      </c>
      <c r="E5389" s="7" t="s">
        <v>6940</v>
      </c>
      <c r="F5389" s="7" t="s">
        <v>6561</v>
      </c>
      <c r="G5389" s="7" t="s">
        <v>7150</v>
      </c>
      <c r="H5389" s="7" t="s">
        <v>7156</v>
      </c>
      <c r="I5389" s="7"/>
      <c r="J5389" s="10">
        <v>44411</v>
      </c>
      <c r="K5389" s="7" t="s">
        <v>7165</v>
      </c>
      <c r="L5389" s="7"/>
      <c r="M5389" s="7"/>
    </row>
    <row r="5390" spans="1:13" x14ac:dyDescent="0.3">
      <c r="A5390" s="7">
        <v>16795</v>
      </c>
      <c r="B5390" s="7" t="s">
        <v>5396</v>
      </c>
      <c r="C5390" s="7" t="s">
        <v>7074</v>
      </c>
      <c r="D5390" s="7" t="s">
        <v>6295</v>
      </c>
      <c r="E5390" s="7" t="s">
        <v>6940</v>
      </c>
      <c r="F5390" s="7" t="s">
        <v>6989</v>
      </c>
      <c r="G5390" s="7" t="s">
        <v>7150</v>
      </c>
      <c r="H5390" s="7" t="s">
        <v>7156</v>
      </c>
      <c r="I5390" s="7"/>
      <c r="J5390" s="10">
        <v>45551</v>
      </c>
      <c r="K5390" s="7" t="s">
        <v>7165</v>
      </c>
      <c r="L5390" s="7"/>
      <c r="M5390" s="7"/>
    </row>
    <row r="5391" spans="1:13" x14ac:dyDescent="0.3">
      <c r="A5391" s="7">
        <v>440046</v>
      </c>
      <c r="B5391" s="7" t="s">
        <v>5397</v>
      </c>
      <c r="C5391" s="7" t="s">
        <v>7074</v>
      </c>
      <c r="D5391" s="7" t="s">
        <v>6295</v>
      </c>
      <c r="E5391" s="7" t="s">
        <v>6940</v>
      </c>
      <c r="F5391" s="7" t="s">
        <v>6980</v>
      </c>
      <c r="G5391" s="7" t="s">
        <v>7150</v>
      </c>
      <c r="H5391" s="7" t="s">
        <v>7156</v>
      </c>
      <c r="I5391" s="7"/>
      <c r="J5391" s="10">
        <v>43418</v>
      </c>
      <c r="K5391" s="7" t="s">
        <v>7165</v>
      </c>
      <c r="L5391" s="7"/>
      <c r="M5391" s="7"/>
    </row>
    <row r="5392" spans="1:13" x14ac:dyDescent="0.3">
      <c r="A5392" s="7">
        <v>440043</v>
      </c>
      <c r="B5392" s="7" t="s">
        <v>5398</v>
      </c>
      <c r="C5392" s="7" t="s">
        <v>7074</v>
      </c>
      <c r="D5392" s="7" t="s">
        <v>6295</v>
      </c>
      <c r="E5392" s="7" t="s">
        <v>6940</v>
      </c>
      <c r="F5392" s="7" t="s">
        <v>6980</v>
      </c>
      <c r="G5392" s="7" t="s">
        <v>7150</v>
      </c>
      <c r="H5392" s="7" t="s">
        <v>7156</v>
      </c>
      <c r="I5392" s="7"/>
      <c r="J5392" s="10">
        <v>43283</v>
      </c>
      <c r="K5392" s="7" t="s">
        <v>7165</v>
      </c>
      <c r="L5392" s="7"/>
      <c r="M5392" s="7"/>
    </row>
    <row r="5393" spans="1:13" x14ac:dyDescent="0.3">
      <c r="A5393" s="7">
        <v>440047</v>
      </c>
      <c r="B5393" s="7" t="s">
        <v>5399</v>
      </c>
      <c r="C5393" s="7" t="s">
        <v>7074</v>
      </c>
      <c r="D5393" s="7" t="s">
        <v>6295</v>
      </c>
      <c r="E5393" s="7" t="s">
        <v>6940</v>
      </c>
      <c r="F5393" s="7" t="s">
        <v>6980</v>
      </c>
      <c r="G5393" s="7" t="s">
        <v>7150</v>
      </c>
      <c r="H5393" s="7" t="s">
        <v>7156</v>
      </c>
      <c r="I5393" s="7"/>
      <c r="J5393" s="10">
        <v>43591</v>
      </c>
      <c r="K5393" s="7" t="s">
        <v>7165</v>
      </c>
      <c r="L5393" s="7"/>
      <c r="M5393" s="7"/>
    </row>
    <row r="5394" spans="1:13" x14ac:dyDescent="0.3">
      <c r="A5394" s="7">
        <v>440049</v>
      </c>
      <c r="B5394" s="7" t="s">
        <v>5400</v>
      </c>
      <c r="C5394" s="7" t="s">
        <v>7074</v>
      </c>
      <c r="D5394" s="7" t="s">
        <v>6295</v>
      </c>
      <c r="E5394" s="7" t="s">
        <v>6940</v>
      </c>
      <c r="F5394" s="7" t="s">
        <v>6980</v>
      </c>
      <c r="G5394" s="7" t="s">
        <v>7150</v>
      </c>
      <c r="H5394" s="7" t="s">
        <v>7156</v>
      </c>
      <c r="I5394" s="7"/>
      <c r="J5394" s="10">
        <v>43824</v>
      </c>
      <c r="K5394" s="7" t="s">
        <v>7165</v>
      </c>
      <c r="L5394" s="7"/>
      <c r="M5394" s="7"/>
    </row>
    <row r="5395" spans="1:13" x14ac:dyDescent="0.3">
      <c r="A5395" s="7">
        <v>440036</v>
      </c>
      <c r="B5395" s="7" t="s">
        <v>5401</v>
      </c>
      <c r="C5395" s="7" t="s">
        <v>7074</v>
      </c>
      <c r="D5395" s="7" t="s">
        <v>6295</v>
      </c>
      <c r="E5395" s="7" t="s">
        <v>6940</v>
      </c>
      <c r="F5395" s="7" t="s">
        <v>6980</v>
      </c>
      <c r="G5395" s="7" t="s">
        <v>7150</v>
      </c>
      <c r="H5395" s="7" t="s">
        <v>7156</v>
      </c>
      <c r="I5395" s="7"/>
      <c r="J5395" s="10">
        <v>42787</v>
      </c>
      <c r="K5395" s="7" t="s">
        <v>7165</v>
      </c>
      <c r="L5395" s="7"/>
      <c r="M5395" s="7"/>
    </row>
    <row r="5396" spans="1:13" x14ac:dyDescent="0.3">
      <c r="A5396" s="7">
        <v>440054</v>
      </c>
      <c r="B5396" s="7" t="s">
        <v>5402</v>
      </c>
      <c r="C5396" s="7" t="s">
        <v>7074</v>
      </c>
      <c r="D5396" s="7" t="s">
        <v>6295</v>
      </c>
      <c r="E5396" s="7" t="s">
        <v>6940</v>
      </c>
      <c r="F5396" s="7" t="s">
        <v>6980</v>
      </c>
      <c r="G5396" s="7" t="s">
        <v>7150</v>
      </c>
      <c r="H5396" s="7" t="s">
        <v>7156</v>
      </c>
      <c r="I5396" s="7"/>
      <c r="J5396" s="10">
        <v>44595</v>
      </c>
      <c r="K5396" s="7" t="s">
        <v>7165</v>
      </c>
      <c r="L5396" s="7"/>
      <c r="M5396" s="7"/>
    </row>
    <row r="5397" spans="1:13" x14ac:dyDescent="0.3">
      <c r="A5397" s="7">
        <v>440051</v>
      </c>
      <c r="B5397" s="7" t="s">
        <v>5403</v>
      </c>
      <c r="C5397" s="7" t="s">
        <v>7074</v>
      </c>
      <c r="D5397" s="7" t="s">
        <v>6295</v>
      </c>
      <c r="E5397" s="7" t="s">
        <v>6940</v>
      </c>
      <c r="F5397" s="7" t="s">
        <v>6986</v>
      </c>
      <c r="G5397" s="7" t="s">
        <v>7150</v>
      </c>
      <c r="H5397" s="7" t="s">
        <v>7156</v>
      </c>
      <c r="I5397" s="7"/>
      <c r="J5397" s="10">
        <v>44361</v>
      </c>
      <c r="K5397" s="7" t="s">
        <v>7165</v>
      </c>
      <c r="L5397" s="7"/>
      <c r="M5397" s="7"/>
    </row>
    <row r="5398" spans="1:13" x14ac:dyDescent="0.3">
      <c r="A5398" s="7">
        <v>440055</v>
      </c>
      <c r="B5398" s="7" t="s">
        <v>5404</v>
      </c>
      <c r="C5398" s="7" t="s">
        <v>7074</v>
      </c>
      <c r="D5398" s="7" t="s">
        <v>6295</v>
      </c>
      <c r="E5398" s="7" t="s">
        <v>6940</v>
      </c>
      <c r="F5398" s="7" t="s">
        <v>6986</v>
      </c>
      <c r="G5398" s="7" t="s">
        <v>7150</v>
      </c>
      <c r="H5398" s="7" t="s">
        <v>7156</v>
      </c>
      <c r="I5398" s="7"/>
      <c r="J5398" s="10">
        <v>44610</v>
      </c>
      <c r="K5398" s="7" t="s">
        <v>7165</v>
      </c>
      <c r="L5398" s="7"/>
      <c r="M5398" s="7"/>
    </row>
    <row r="5399" spans="1:13" x14ac:dyDescent="0.3">
      <c r="A5399" s="7">
        <v>440052</v>
      </c>
      <c r="B5399" s="7" t="s">
        <v>5405</v>
      </c>
      <c r="C5399" s="7" t="s">
        <v>7074</v>
      </c>
      <c r="D5399" s="7" t="s">
        <v>6295</v>
      </c>
      <c r="E5399" s="7" t="s">
        <v>6940</v>
      </c>
      <c r="F5399" s="7" t="s">
        <v>6986</v>
      </c>
      <c r="G5399" s="7" t="s">
        <v>7150</v>
      </c>
      <c r="H5399" s="7" t="s">
        <v>7156</v>
      </c>
      <c r="I5399" s="7"/>
      <c r="J5399" s="10">
        <v>44546</v>
      </c>
      <c r="K5399" s="7" t="s">
        <v>7165</v>
      </c>
      <c r="L5399" s="7"/>
      <c r="M5399" s="7"/>
    </row>
    <row r="5400" spans="1:13" x14ac:dyDescent="0.3">
      <c r="A5400" s="7">
        <v>16163</v>
      </c>
      <c r="B5400" s="7" t="s">
        <v>5406</v>
      </c>
      <c r="C5400" s="7" t="s">
        <v>7074</v>
      </c>
      <c r="D5400" s="7" t="s">
        <v>6295</v>
      </c>
      <c r="E5400" s="7" t="s">
        <v>6940</v>
      </c>
      <c r="F5400" s="7" t="s">
        <v>6987</v>
      </c>
      <c r="G5400" s="7" t="s">
        <v>7150</v>
      </c>
      <c r="H5400" s="7" t="s">
        <v>7156</v>
      </c>
      <c r="I5400" s="7"/>
      <c r="J5400" s="10">
        <v>45308</v>
      </c>
      <c r="K5400" s="7" t="s">
        <v>7165</v>
      </c>
      <c r="L5400" s="7"/>
      <c r="M5400" s="7"/>
    </row>
    <row r="5401" spans="1:13" x14ac:dyDescent="0.3">
      <c r="A5401" s="7">
        <v>440050</v>
      </c>
      <c r="B5401" s="7" t="s">
        <v>5407</v>
      </c>
      <c r="C5401" s="7" t="s">
        <v>7074</v>
      </c>
      <c r="D5401" s="7" t="s">
        <v>6295</v>
      </c>
      <c r="E5401" s="7" t="s">
        <v>6951</v>
      </c>
      <c r="F5401" s="7" t="s">
        <v>6398</v>
      </c>
      <c r="G5401" s="7" t="s">
        <v>7150</v>
      </c>
      <c r="H5401" s="7" t="s">
        <v>7156</v>
      </c>
      <c r="I5401" s="7"/>
      <c r="J5401" s="10">
        <v>44063</v>
      </c>
      <c r="K5401" s="7" t="s">
        <v>7165</v>
      </c>
      <c r="L5401" s="7"/>
      <c r="M5401" s="7"/>
    </row>
    <row r="5402" spans="1:13" x14ac:dyDescent="0.3">
      <c r="A5402" s="7">
        <v>15198</v>
      </c>
      <c r="B5402" s="7" t="s">
        <v>5408</v>
      </c>
      <c r="C5402" s="7" t="s">
        <v>7074</v>
      </c>
      <c r="D5402" s="7" t="s">
        <v>6295</v>
      </c>
      <c r="E5402" s="7" t="s">
        <v>6994</v>
      </c>
      <c r="F5402" s="7" t="s">
        <v>6498</v>
      </c>
      <c r="G5402" s="7" t="s">
        <v>7150</v>
      </c>
      <c r="H5402" s="7" t="s">
        <v>7156</v>
      </c>
      <c r="I5402" s="7"/>
      <c r="J5402" s="10">
        <v>44986</v>
      </c>
      <c r="K5402" s="7" t="s">
        <v>7165</v>
      </c>
      <c r="L5402" s="7"/>
      <c r="M5402" s="7"/>
    </row>
    <row r="5403" spans="1:13" x14ac:dyDescent="0.3">
      <c r="A5403" s="7">
        <v>118023</v>
      </c>
      <c r="B5403" s="7" t="s">
        <v>5409</v>
      </c>
      <c r="C5403" s="7" t="s">
        <v>7074</v>
      </c>
      <c r="D5403" s="7" t="s">
        <v>6295</v>
      </c>
      <c r="E5403" s="7" t="s">
        <v>6994</v>
      </c>
      <c r="F5403" s="7" t="s">
        <v>6353</v>
      </c>
      <c r="G5403" s="7" t="s">
        <v>7150</v>
      </c>
      <c r="H5403" s="7" t="s">
        <v>7156</v>
      </c>
      <c r="I5403" s="7"/>
      <c r="J5403" s="10">
        <v>42555</v>
      </c>
      <c r="K5403" s="7" t="s">
        <v>7165</v>
      </c>
      <c r="L5403" s="7"/>
      <c r="M5403" s="7"/>
    </row>
    <row r="5404" spans="1:13" x14ac:dyDescent="0.3">
      <c r="A5404" s="7">
        <v>440038</v>
      </c>
      <c r="B5404" s="7" t="s">
        <v>5410</v>
      </c>
      <c r="C5404" s="7" t="s">
        <v>7074</v>
      </c>
      <c r="D5404" s="7" t="s">
        <v>6295</v>
      </c>
      <c r="E5404" s="7" t="s">
        <v>6994</v>
      </c>
      <c r="F5404" s="7" t="s">
        <v>6353</v>
      </c>
      <c r="G5404" s="7" t="s">
        <v>7150</v>
      </c>
      <c r="H5404" s="7" t="s">
        <v>7156</v>
      </c>
      <c r="I5404" s="7"/>
      <c r="J5404" s="10">
        <v>42891</v>
      </c>
      <c r="K5404" s="7" t="s">
        <v>7165</v>
      </c>
      <c r="L5404" s="7"/>
      <c r="M5404" s="7"/>
    </row>
    <row r="5405" spans="1:13" x14ac:dyDescent="0.3">
      <c r="A5405" s="7">
        <v>14289</v>
      </c>
      <c r="B5405" s="7" t="s">
        <v>5411</v>
      </c>
      <c r="C5405" s="7" t="s">
        <v>7074</v>
      </c>
      <c r="D5405" s="7" t="s">
        <v>6295</v>
      </c>
      <c r="E5405" s="7" t="s">
        <v>6994</v>
      </c>
      <c r="F5405" s="7" t="s">
        <v>6353</v>
      </c>
      <c r="G5405" s="7" t="s">
        <v>7150</v>
      </c>
      <c r="H5405" s="7" t="s">
        <v>7156</v>
      </c>
      <c r="I5405" s="7"/>
      <c r="J5405" s="10">
        <v>44715</v>
      </c>
      <c r="K5405" s="7" t="s">
        <v>7165</v>
      </c>
      <c r="L5405" s="7"/>
      <c r="M5405" s="7"/>
    </row>
    <row r="5406" spans="1:13" x14ac:dyDescent="0.3">
      <c r="A5406" s="7">
        <v>17047</v>
      </c>
      <c r="B5406" s="7" t="s">
        <v>5412</v>
      </c>
      <c r="C5406" s="7" t="s">
        <v>7074</v>
      </c>
      <c r="D5406" s="7" t="s">
        <v>6295</v>
      </c>
      <c r="E5406" s="7" t="s">
        <v>6994</v>
      </c>
      <c r="F5406" s="7" t="s">
        <v>6341</v>
      </c>
      <c r="G5406" s="7" t="s">
        <v>7150</v>
      </c>
      <c r="H5406" s="7" t="s">
        <v>7156</v>
      </c>
      <c r="I5406" s="7"/>
      <c r="J5406" s="10">
        <v>45601</v>
      </c>
      <c r="K5406" s="7" t="s">
        <v>7165</v>
      </c>
      <c r="L5406" s="7"/>
      <c r="M5406" s="7"/>
    </row>
    <row r="5407" spans="1:13" x14ac:dyDescent="0.3">
      <c r="A5407" s="7">
        <v>17074</v>
      </c>
      <c r="B5407" s="7" t="s">
        <v>5413</v>
      </c>
      <c r="C5407" s="7" t="s">
        <v>7074</v>
      </c>
      <c r="D5407" s="7" t="s">
        <v>6295</v>
      </c>
      <c r="E5407" s="7" t="s">
        <v>6994</v>
      </c>
      <c r="F5407" s="7" t="s">
        <v>6341</v>
      </c>
      <c r="G5407" s="7" t="s">
        <v>7150</v>
      </c>
      <c r="H5407" s="7" t="s">
        <v>7156</v>
      </c>
      <c r="I5407" s="7"/>
      <c r="J5407" s="10">
        <v>45621</v>
      </c>
      <c r="K5407" s="7" t="s">
        <v>7165</v>
      </c>
      <c r="L5407" s="7"/>
      <c r="M5407" s="7"/>
    </row>
    <row r="5408" spans="1:13" x14ac:dyDescent="0.3">
      <c r="A5408" s="7">
        <v>870004</v>
      </c>
      <c r="B5408" s="7" t="s">
        <v>5414</v>
      </c>
      <c r="C5408" s="7" t="s">
        <v>7075</v>
      </c>
      <c r="D5408" s="7" t="s">
        <v>6295</v>
      </c>
      <c r="E5408" s="7" t="s">
        <v>6295</v>
      </c>
      <c r="F5408" s="7" t="s">
        <v>6939</v>
      </c>
      <c r="G5408" s="7" t="s">
        <v>7150</v>
      </c>
      <c r="H5408" s="7" t="s">
        <v>7156</v>
      </c>
      <c r="I5408" s="7"/>
      <c r="J5408" s="10">
        <v>39394</v>
      </c>
      <c r="K5408" s="7" t="s">
        <v>7165</v>
      </c>
      <c r="L5408" s="7"/>
      <c r="M5408" s="7"/>
    </row>
    <row r="5409" spans="1:13" x14ac:dyDescent="0.3">
      <c r="A5409" s="7">
        <v>880027</v>
      </c>
      <c r="B5409" s="7" t="s">
        <v>5415</v>
      </c>
      <c r="C5409" s="7" t="s">
        <v>7075</v>
      </c>
      <c r="D5409" s="7" t="s">
        <v>6295</v>
      </c>
      <c r="E5409" s="7" t="s">
        <v>6940</v>
      </c>
      <c r="F5409" s="7" t="s">
        <v>6498</v>
      </c>
      <c r="G5409" s="7" t="s">
        <v>7150</v>
      </c>
      <c r="H5409" s="7" t="s">
        <v>7156</v>
      </c>
      <c r="I5409" s="7"/>
      <c r="J5409" s="10">
        <v>42241</v>
      </c>
      <c r="K5409" s="7" t="s">
        <v>7165</v>
      </c>
      <c r="L5409" s="7"/>
      <c r="M5409" s="7"/>
    </row>
    <row r="5410" spans="1:13" x14ac:dyDescent="0.3">
      <c r="A5410" s="7">
        <v>410027</v>
      </c>
      <c r="B5410" s="7" t="s">
        <v>5416</v>
      </c>
      <c r="C5410" s="7" t="s">
        <v>7075</v>
      </c>
      <c r="D5410" s="7" t="s">
        <v>6295</v>
      </c>
      <c r="E5410" s="7" t="s">
        <v>6940</v>
      </c>
      <c r="F5410" s="7" t="s">
        <v>6991</v>
      </c>
      <c r="G5410" s="7" t="s">
        <v>7150</v>
      </c>
      <c r="H5410" s="7" t="s">
        <v>7156</v>
      </c>
      <c r="I5410" s="7"/>
      <c r="J5410" s="10">
        <v>38240</v>
      </c>
      <c r="K5410" s="7" t="s">
        <v>7165</v>
      </c>
      <c r="L5410" s="7"/>
      <c r="M5410" s="7"/>
    </row>
    <row r="5411" spans="1:13" x14ac:dyDescent="0.3">
      <c r="A5411" s="7">
        <v>410048</v>
      </c>
      <c r="B5411" s="7" t="s">
        <v>5417</v>
      </c>
      <c r="C5411" s="7" t="s">
        <v>7075</v>
      </c>
      <c r="D5411" s="7" t="s">
        <v>6295</v>
      </c>
      <c r="E5411" s="7" t="s">
        <v>6940</v>
      </c>
      <c r="F5411" s="7" t="s">
        <v>6991</v>
      </c>
      <c r="G5411" s="7" t="s">
        <v>7150</v>
      </c>
      <c r="H5411" s="7" t="s">
        <v>7156</v>
      </c>
      <c r="I5411" s="7"/>
      <c r="J5411" s="10">
        <v>42759</v>
      </c>
      <c r="K5411" s="7" t="s">
        <v>7165</v>
      </c>
      <c r="L5411" s="7"/>
      <c r="M5411" s="7"/>
    </row>
    <row r="5412" spans="1:13" x14ac:dyDescent="0.3">
      <c r="A5412" s="7">
        <v>15569</v>
      </c>
      <c r="B5412" s="7" t="s">
        <v>5418</v>
      </c>
      <c r="C5412" s="7" t="s">
        <v>7075</v>
      </c>
      <c r="D5412" s="7" t="s">
        <v>6295</v>
      </c>
      <c r="E5412" s="7" t="s">
        <v>6940</v>
      </c>
      <c r="F5412" s="7" t="s">
        <v>6949</v>
      </c>
      <c r="G5412" s="7" t="s">
        <v>7150</v>
      </c>
      <c r="H5412" s="7" t="s">
        <v>7156</v>
      </c>
      <c r="I5412" s="7"/>
      <c r="J5412" s="10">
        <v>45128</v>
      </c>
      <c r="K5412" s="7" t="s">
        <v>7165</v>
      </c>
      <c r="L5412" s="7"/>
      <c r="M5412" s="7"/>
    </row>
    <row r="5413" spans="1:13" x14ac:dyDescent="0.3">
      <c r="A5413" s="7">
        <v>16167</v>
      </c>
      <c r="B5413" s="7" t="s">
        <v>5419</v>
      </c>
      <c r="C5413" s="7" t="s">
        <v>7075</v>
      </c>
      <c r="D5413" s="7" t="s">
        <v>6295</v>
      </c>
      <c r="E5413" s="7" t="s">
        <v>6940</v>
      </c>
      <c r="F5413" s="7" t="s">
        <v>6949</v>
      </c>
      <c r="G5413" s="7" t="s">
        <v>7150</v>
      </c>
      <c r="H5413" s="7" t="s">
        <v>7156</v>
      </c>
      <c r="I5413" s="7"/>
      <c r="J5413" s="10">
        <v>45308</v>
      </c>
      <c r="K5413" s="7" t="s">
        <v>7165</v>
      </c>
      <c r="L5413" s="7"/>
      <c r="M5413" s="7"/>
    </row>
    <row r="5414" spans="1:13" x14ac:dyDescent="0.3">
      <c r="A5414" s="7">
        <v>18008</v>
      </c>
      <c r="B5414" s="7" t="s">
        <v>5420</v>
      </c>
      <c r="C5414" s="7" t="s">
        <v>7075</v>
      </c>
      <c r="D5414" s="7" t="s">
        <v>6295</v>
      </c>
      <c r="E5414" s="7" t="s">
        <v>6940</v>
      </c>
      <c r="F5414" s="7" t="s">
        <v>7004</v>
      </c>
      <c r="G5414" s="7" t="s">
        <v>7150</v>
      </c>
      <c r="H5414" s="7" t="s">
        <v>7156</v>
      </c>
      <c r="I5414" s="7"/>
      <c r="J5414" s="10">
        <v>45958</v>
      </c>
      <c r="K5414" s="7" t="s">
        <v>7165</v>
      </c>
      <c r="L5414" s="7"/>
      <c r="M5414" s="7"/>
    </row>
    <row r="5415" spans="1:13" x14ac:dyDescent="0.3">
      <c r="A5415" s="7">
        <v>18152</v>
      </c>
      <c r="B5415" s="7" t="s">
        <v>5421</v>
      </c>
      <c r="C5415" s="7" t="s">
        <v>7075</v>
      </c>
      <c r="D5415" s="7" t="s">
        <v>6295</v>
      </c>
      <c r="E5415" s="7" t="s">
        <v>6940</v>
      </c>
      <c r="F5415" s="7" t="s">
        <v>6949</v>
      </c>
      <c r="G5415" s="7" t="s">
        <v>7150</v>
      </c>
      <c r="H5415" s="7" t="s">
        <v>7156</v>
      </c>
      <c r="I5415" s="7"/>
      <c r="J5415" s="10">
        <v>46016</v>
      </c>
      <c r="K5415" s="7" t="s">
        <v>7165</v>
      </c>
      <c r="L5415" s="7"/>
      <c r="M5415" s="7"/>
    </row>
    <row r="5416" spans="1:13" x14ac:dyDescent="0.3">
      <c r="A5416" s="7">
        <v>17120</v>
      </c>
      <c r="B5416" s="7" t="s">
        <v>5422</v>
      </c>
      <c r="C5416" s="7" t="s">
        <v>7075</v>
      </c>
      <c r="D5416" s="7" t="s">
        <v>6295</v>
      </c>
      <c r="E5416" s="7" t="s">
        <v>6940</v>
      </c>
      <c r="F5416" s="7" t="s">
        <v>6989</v>
      </c>
      <c r="G5416" s="7" t="s">
        <v>7150</v>
      </c>
      <c r="H5416" s="7" t="s">
        <v>7156</v>
      </c>
      <c r="I5416" s="7"/>
      <c r="J5416" s="10">
        <v>45638</v>
      </c>
      <c r="K5416" s="7" t="s">
        <v>7165</v>
      </c>
      <c r="L5416" s="7"/>
      <c r="M5416" s="7"/>
    </row>
    <row r="5417" spans="1:13" x14ac:dyDescent="0.3">
      <c r="A5417" s="7">
        <v>14572</v>
      </c>
      <c r="B5417" s="7" t="s">
        <v>5423</v>
      </c>
      <c r="C5417" s="7" t="s">
        <v>7075</v>
      </c>
      <c r="D5417" s="7" t="s">
        <v>6295</v>
      </c>
      <c r="E5417" s="7" t="s">
        <v>6940</v>
      </c>
      <c r="F5417" s="7" t="s">
        <v>6992</v>
      </c>
      <c r="G5417" s="7" t="s">
        <v>7150</v>
      </c>
      <c r="H5417" s="7" t="s">
        <v>7156</v>
      </c>
      <c r="I5417" s="7"/>
      <c r="J5417" s="10">
        <v>44788</v>
      </c>
      <c r="K5417" s="7" t="s">
        <v>7165</v>
      </c>
      <c r="L5417" s="7"/>
      <c r="M5417" s="7"/>
    </row>
    <row r="5418" spans="1:13" x14ac:dyDescent="0.3">
      <c r="A5418" s="7">
        <v>300095</v>
      </c>
      <c r="B5418" s="7" t="s">
        <v>5424</v>
      </c>
      <c r="C5418" s="7" t="s">
        <v>7075</v>
      </c>
      <c r="D5418" s="7" t="s">
        <v>6295</v>
      </c>
      <c r="E5418" s="7" t="s">
        <v>6940</v>
      </c>
      <c r="F5418" s="7" t="s">
        <v>6980</v>
      </c>
      <c r="G5418" s="7" t="s">
        <v>7150</v>
      </c>
      <c r="H5418" s="7" t="s">
        <v>7156</v>
      </c>
      <c r="I5418" s="7"/>
      <c r="J5418" s="10">
        <v>42934</v>
      </c>
      <c r="K5418" s="7" t="s">
        <v>7165</v>
      </c>
      <c r="L5418" s="7"/>
      <c r="M5418" s="7"/>
    </row>
    <row r="5419" spans="1:13" x14ac:dyDescent="0.3">
      <c r="A5419" s="7">
        <v>410055</v>
      </c>
      <c r="B5419" s="7" t="s">
        <v>5425</v>
      </c>
      <c r="C5419" s="7" t="s">
        <v>7075</v>
      </c>
      <c r="D5419" s="7" t="s">
        <v>6295</v>
      </c>
      <c r="E5419" s="7" t="s">
        <v>6940</v>
      </c>
      <c r="F5419" s="7" t="s">
        <v>6980</v>
      </c>
      <c r="G5419" s="7" t="s">
        <v>7150</v>
      </c>
      <c r="H5419" s="7" t="s">
        <v>7156</v>
      </c>
      <c r="I5419" s="7"/>
      <c r="J5419" s="10">
        <v>43124</v>
      </c>
      <c r="K5419" s="7" t="s">
        <v>7165</v>
      </c>
      <c r="L5419" s="7"/>
      <c r="M5419" s="7"/>
    </row>
    <row r="5420" spans="1:13" x14ac:dyDescent="0.3">
      <c r="A5420" s="7">
        <v>410035</v>
      </c>
      <c r="B5420" s="7" t="s">
        <v>5426</v>
      </c>
      <c r="C5420" s="7" t="s">
        <v>7075</v>
      </c>
      <c r="D5420" s="7" t="s">
        <v>6295</v>
      </c>
      <c r="E5420" s="7" t="s">
        <v>6940</v>
      </c>
      <c r="F5420" s="7" t="s">
        <v>6980</v>
      </c>
      <c r="G5420" s="7" t="s">
        <v>7150</v>
      </c>
      <c r="H5420" s="7" t="s">
        <v>7156</v>
      </c>
      <c r="I5420" s="7"/>
      <c r="J5420" s="10">
        <v>42082</v>
      </c>
      <c r="K5420" s="7" t="s">
        <v>7165</v>
      </c>
      <c r="L5420" s="7"/>
      <c r="M5420" s="7"/>
    </row>
    <row r="5421" spans="1:13" x14ac:dyDescent="0.3">
      <c r="A5421" s="7">
        <v>480031</v>
      </c>
      <c r="B5421" s="7" t="s">
        <v>5427</v>
      </c>
      <c r="C5421" s="7" t="s">
        <v>7075</v>
      </c>
      <c r="D5421" s="7" t="s">
        <v>6295</v>
      </c>
      <c r="E5421" s="7" t="s">
        <v>6940</v>
      </c>
      <c r="F5421" s="7" t="s">
        <v>6980</v>
      </c>
      <c r="G5421" s="7" t="s">
        <v>7150</v>
      </c>
      <c r="H5421" s="7" t="s">
        <v>7156</v>
      </c>
      <c r="I5421" s="7"/>
      <c r="J5421" s="10">
        <v>43455</v>
      </c>
      <c r="K5421" s="7" t="s">
        <v>7165</v>
      </c>
      <c r="L5421" s="7"/>
      <c r="M5421" s="7"/>
    </row>
    <row r="5422" spans="1:13" x14ac:dyDescent="0.3">
      <c r="A5422" s="7">
        <v>410037</v>
      </c>
      <c r="B5422" s="7" t="s">
        <v>5428</v>
      </c>
      <c r="C5422" s="7" t="s">
        <v>7075</v>
      </c>
      <c r="D5422" s="7" t="s">
        <v>6295</v>
      </c>
      <c r="E5422" s="7" t="s">
        <v>6940</v>
      </c>
      <c r="F5422" s="7" t="s">
        <v>6980</v>
      </c>
      <c r="G5422" s="7" t="s">
        <v>7150</v>
      </c>
      <c r="H5422" s="7" t="s">
        <v>7156</v>
      </c>
      <c r="I5422" s="7"/>
      <c r="J5422" s="10">
        <v>42095</v>
      </c>
      <c r="K5422" s="7" t="s">
        <v>7165</v>
      </c>
      <c r="L5422" s="7"/>
      <c r="M5422" s="7"/>
    </row>
    <row r="5423" spans="1:13" x14ac:dyDescent="0.3">
      <c r="A5423" s="7">
        <v>880044</v>
      </c>
      <c r="B5423" s="7" t="s">
        <v>5429</v>
      </c>
      <c r="C5423" s="7" t="s">
        <v>7075</v>
      </c>
      <c r="D5423" s="7" t="s">
        <v>6295</v>
      </c>
      <c r="E5423" s="7" t="s">
        <v>6940</v>
      </c>
      <c r="F5423" s="7" t="s">
        <v>6980</v>
      </c>
      <c r="G5423" s="7" t="s">
        <v>7150</v>
      </c>
      <c r="H5423" s="7" t="s">
        <v>7156</v>
      </c>
      <c r="I5423" s="7"/>
      <c r="J5423" s="10">
        <v>43565</v>
      </c>
      <c r="K5423" s="7" t="s">
        <v>7165</v>
      </c>
      <c r="L5423" s="7"/>
      <c r="M5423" s="7"/>
    </row>
    <row r="5424" spans="1:13" x14ac:dyDescent="0.3">
      <c r="A5424" s="7">
        <v>410034</v>
      </c>
      <c r="B5424" s="7" t="s">
        <v>5430</v>
      </c>
      <c r="C5424" s="7" t="s">
        <v>7075</v>
      </c>
      <c r="D5424" s="7" t="s">
        <v>6295</v>
      </c>
      <c r="E5424" s="7" t="s">
        <v>6940</v>
      </c>
      <c r="F5424" s="7" t="s">
        <v>6980</v>
      </c>
      <c r="G5424" s="7" t="s">
        <v>7150</v>
      </c>
      <c r="H5424" s="7" t="s">
        <v>7156</v>
      </c>
      <c r="I5424" s="7"/>
      <c r="J5424" s="10">
        <v>42081</v>
      </c>
      <c r="K5424" s="7" t="s">
        <v>7165</v>
      </c>
      <c r="L5424" s="7"/>
      <c r="M5424" s="7"/>
    </row>
    <row r="5425" spans="1:13" x14ac:dyDescent="0.3">
      <c r="A5425" s="7">
        <v>410060</v>
      </c>
      <c r="B5425" s="7" t="s">
        <v>5431</v>
      </c>
      <c r="C5425" s="7" t="s">
        <v>7075</v>
      </c>
      <c r="D5425" s="7" t="s">
        <v>6295</v>
      </c>
      <c r="E5425" s="7" t="s">
        <v>6940</v>
      </c>
      <c r="F5425" s="7" t="s">
        <v>6986</v>
      </c>
      <c r="G5425" s="7" t="s">
        <v>7151</v>
      </c>
      <c r="H5425" s="7" t="s">
        <v>7156</v>
      </c>
      <c r="I5425" s="7"/>
      <c r="J5425" s="10">
        <v>43824</v>
      </c>
      <c r="K5425" s="7" t="s">
        <v>7165</v>
      </c>
      <c r="L5425" s="7"/>
      <c r="M5425" s="7"/>
    </row>
    <row r="5426" spans="1:13" x14ac:dyDescent="0.3">
      <c r="A5426" s="7">
        <v>18235</v>
      </c>
      <c r="B5426" s="7" t="s">
        <v>5432</v>
      </c>
      <c r="C5426" s="7" t="s">
        <v>7075</v>
      </c>
      <c r="D5426" s="7" t="s">
        <v>6295</v>
      </c>
      <c r="E5426" s="7" t="s">
        <v>6940</v>
      </c>
      <c r="F5426" s="7" t="s">
        <v>7000</v>
      </c>
      <c r="G5426" s="7" t="s">
        <v>7150</v>
      </c>
      <c r="H5426" s="7" t="s">
        <v>7157</v>
      </c>
      <c r="I5426" s="7"/>
      <c r="J5426" s="10">
        <v>46066</v>
      </c>
      <c r="K5426" s="7" t="s">
        <v>7165</v>
      </c>
      <c r="L5426" s="7"/>
      <c r="M5426" s="7"/>
    </row>
    <row r="5427" spans="1:13" x14ac:dyDescent="0.3">
      <c r="A5427" s="7">
        <v>15413</v>
      </c>
      <c r="B5427" s="7" t="s">
        <v>5433</v>
      </c>
      <c r="C5427" s="7" t="s">
        <v>7075</v>
      </c>
      <c r="D5427" s="7" t="s">
        <v>6295</v>
      </c>
      <c r="E5427" s="7" t="s">
        <v>6940</v>
      </c>
      <c r="F5427" s="7" t="s">
        <v>6987</v>
      </c>
      <c r="G5427" s="7" t="s">
        <v>7150</v>
      </c>
      <c r="H5427" s="7" t="s">
        <v>7156</v>
      </c>
      <c r="I5427" s="7"/>
      <c r="J5427" s="10">
        <v>45064</v>
      </c>
      <c r="K5427" s="7" t="s">
        <v>7165</v>
      </c>
      <c r="L5427" s="7"/>
      <c r="M5427" s="7"/>
    </row>
    <row r="5428" spans="1:13" x14ac:dyDescent="0.3">
      <c r="A5428" s="7">
        <v>15244</v>
      </c>
      <c r="B5428" s="7" t="s">
        <v>5434</v>
      </c>
      <c r="C5428" s="7" t="s">
        <v>7075</v>
      </c>
      <c r="D5428" s="7" t="s">
        <v>6295</v>
      </c>
      <c r="E5428" s="7" t="s">
        <v>6940</v>
      </c>
      <c r="F5428" s="7" t="s">
        <v>6986</v>
      </c>
      <c r="G5428" s="7" t="s">
        <v>7150</v>
      </c>
      <c r="H5428" s="7" t="s">
        <v>7156</v>
      </c>
      <c r="I5428" s="7"/>
      <c r="J5428" s="10">
        <v>44999</v>
      </c>
      <c r="K5428" s="7" t="s">
        <v>7165</v>
      </c>
      <c r="L5428" s="7"/>
      <c r="M5428" s="7"/>
    </row>
    <row r="5429" spans="1:13" x14ac:dyDescent="0.3">
      <c r="A5429" s="7">
        <v>15501</v>
      </c>
      <c r="B5429" s="7" t="s">
        <v>5435</v>
      </c>
      <c r="C5429" s="7" t="s">
        <v>7075</v>
      </c>
      <c r="D5429" s="7" t="s">
        <v>6295</v>
      </c>
      <c r="E5429" s="7" t="s">
        <v>6940</v>
      </c>
      <c r="F5429" s="7" t="s">
        <v>6987</v>
      </c>
      <c r="G5429" s="7" t="s">
        <v>7150</v>
      </c>
      <c r="H5429" s="7" t="s">
        <v>7156</v>
      </c>
      <c r="I5429" s="7"/>
      <c r="J5429" s="10">
        <v>45099</v>
      </c>
      <c r="K5429" s="7" t="s">
        <v>7165</v>
      </c>
      <c r="L5429" s="7"/>
      <c r="M5429" s="7"/>
    </row>
    <row r="5430" spans="1:13" x14ac:dyDescent="0.3">
      <c r="A5430" s="7">
        <v>16695</v>
      </c>
      <c r="B5430" s="7" t="s">
        <v>5436</v>
      </c>
      <c r="C5430" s="7" t="s">
        <v>7075</v>
      </c>
      <c r="D5430" s="7" t="s">
        <v>6295</v>
      </c>
      <c r="E5430" s="7" t="s">
        <v>6940</v>
      </c>
      <c r="F5430" s="7" t="s">
        <v>6987</v>
      </c>
      <c r="G5430" s="7" t="s">
        <v>7150</v>
      </c>
      <c r="H5430" s="7" t="s">
        <v>7156</v>
      </c>
      <c r="I5430" s="7"/>
      <c r="J5430" s="10">
        <v>45527</v>
      </c>
      <c r="K5430" s="7" t="s">
        <v>7165</v>
      </c>
      <c r="L5430" s="7"/>
      <c r="M5430" s="7"/>
    </row>
    <row r="5431" spans="1:13" x14ac:dyDescent="0.3">
      <c r="A5431" s="7">
        <v>17236</v>
      </c>
      <c r="B5431" s="7" t="s">
        <v>5437</v>
      </c>
      <c r="C5431" s="7" t="s">
        <v>7075</v>
      </c>
      <c r="D5431" s="7" t="s">
        <v>6295</v>
      </c>
      <c r="E5431" s="7" t="s">
        <v>6940</v>
      </c>
      <c r="F5431" s="7" t="s">
        <v>6987</v>
      </c>
      <c r="G5431" s="7" t="s">
        <v>7150</v>
      </c>
      <c r="H5431" s="7" t="s">
        <v>7156</v>
      </c>
      <c r="I5431" s="7"/>
      <c r="J5431" s="10">
        <v>45679</v>
      </c>
      <c r="K5431" s="7" t="s">
        <v>7165</v>
      </c>
      <c r="L5431" s="7"/>
      <c r="M5431" s="7"/>
    </row>
    <row r="5432" spans="1:13" x14ac:dyDescent="0.3">
      <c r="A5432" s="7">
        <v>16675</v>
      </c>
      <c r="B5432" s="7" t="s">
        <v>5438</v>
      </c>
      <c r="C5432" s="7" t="s">
        <v>7075</v>
      </c>
      <c r="D5432" s="7" t="s">
        <v>6295</v>
      </c>
      <c r="E5432" s="7" t="s">
        <v>6940</v>
      </c>
      <c r="F5432" s="7" t="s">
        <v>6987</v>
      </c>
      <c r="G5432" s="7" t="s">
        <v>7150</v>
      </c>
      <c r="H5432" s="7" t="s">
        <v>7156</v>
      </c>
      <c r="I5432" s="7"/>
      <c r="J5432" s="10">
        <v>45517</v>
      </c>
      <c r="K5432" s="7" t="s">
        <v>7165</v>
      </c>
      <c r="L5432" s="7"/>
      <c r="M5432" s="7"/>
    </row>
    <row r="5433" spans="1:13" x14ac:dyDescent="0.3">
      <c r="A5433" s="7">
        <v>410068</v>
      </c>
      <c r="B5433" s="7" t="s">
        <v>5439</v>
      </c>
      <c r="C5433" s="7" t="s">
        <v>7075</v>
      </c>
      <c r="D5433" s="7" t="s">
        <v>6295</v>
      </c>
      <c r="E5433" s="7" t="s">
        <v>6951</v>
      </c>
      <c r="F5433" s="7" t="s">
        <v>6398</v>
      </c>
      <c r="G5433" s="7" t="s">
        <v>7150</v>
      </c>
      <c r="H5433" s="7" t="s">
        <v>7156</v>
      </c>
      <c r="I5433" s="7"/>
      <c r="J5433" s="10">
        <v>44574</v>
      </c>
      <c r="K5433" s="7" t="s">
        <v>7165</v>
      </c>
      <c r="L5433" s="7"/>
      <c r="M5433" s="7"/>
    </row>
    <row r="5434" spans="1:13" x14ac:dyDescent="0.3">
      <c r="A5434" s="7">
        <v>15043</v>
      </c>
      <c r="B5434" s="7" t="s">
        <v>5440</v>
      </c>
      <c r="C5434" s="7" t="s">
        <v>7075</v>
      </c>
      <c r="D5434" s="7" t="s">
        <v>6295</v>
      </c>
      <c r="E5434" s="7" t="s">
        <v>6951</v>
      </c>
      <c r="F5434" s="7" t="s">
        <v>6398</v>
      </c>
      <c r="G5434" s="7" t="s">
        <v>7150</v>
      </c>
      <c r="H5434" s="7" t="s">
        <v>7156</v>
      </c>
      <c r="I5434" s="7"/>
      <c r="J5434" s="10">
        <v>44931</v>
      </c>
      <c r="K5434" s="7" t="s">
        <v>7165</v>
      </c>
      <c r="L5434" s="7"/>
      <c r="M5434" s="7"/>
    </row>
    <row r="5435" spans="1:13" x14ac:dyDescent="0.3">
      <c r="A5435" s="7">
        <v>570047</v>
      </c>
      <c r="B5435" s="7" t="s">
        <v>5441</v>
      </c>
      <c r="C5435" s="7" t="s">
        <v>7075</v>
      </c>
      <c r="D5435" s="7" t="s">
        <v>6295</v>
      </c>
      <c r="E5435" s="7" t="s">
        <v>6994</v>
      </c>
      <c r="F5435" s="7" t="s">
        <v>6498</v>
      </c>
      <c r="G5435" s="7" t="s">
        <v>7150</v>
      </c>
      <c r="H5435" s="7" t="s">
        <v>7156</v>
      </c>
      <c r="I5435" s="7"/>
      <c r="J5435" s="10">
        <v>44467</v>
      </c>
      <c r="K5435" s="7" t="s">
        <v>7165</v>
      </c>
      <c r="L5435" s="7"/>
      <c r="M5435" s="7"/>
    </row>
    <row r="5436" spans="1:13" x14ac:dyDescent="0.3">
      <c r="A5436" s="7">
        <v>14120</v>
      </c>
      <c r="B5436" s="7" t="s">
        <v>5442</v>
      </c>
      <c r="C5436" s="7" t="s">
        <v>7075</v>
      </c>
      <c r="D5436" s="7" t="s">
        <v>6295</v>
      </c>
      <c r="E5436" s="7" t="s">
        <v>6994</v>
      </c>
      <c r="F5436" s="7" t="s">
        <v>6353</v>
      </c>
      <c r="G5436" s="7" t="s">
        <v>7150</v>
      </c>
      <c r="H5436" s="7" t="s">
        <v>7156</v>
      </c>
      <c r="I5436" s="7"/>
      <c r="J5436" s="10">
        <v>44665</v>
      </c>
      <c r="K5436" s="7" t="s">
        <v>7165</v>
      </c>
      <c r="L5436" s="7"/>
      <c r="M5436" s="7"/>
    </row>
    <row r="5437" spans="1:13" x14ac:dyDescent="0.3">
      <c r="A5437" s="7">
        <v>410064</v>
      </c>
      <c r="B5437" s="7" t="s">
        <v>5443</v>
      </c>
      <c r="C5437" s="7" t="s">
        <v>7075</v>
      </c>
      <c r="D5437" s="7" t="s">
        <v>6295</v>
      </c>
      <c r="E5437" s="7" t="s">
        <v>6994</v>
      </c>
      <c r="F5437" s="7" t="s">
        <v>6353</v>
      </c>
      <c r="G5437" s="7" t="s">
        <v>7150</v>
      </c>
      <c r="H5437" s="7" t="s">
        <v>7156</v>
      </c>
      <c r="I5437" s="7"/>
      <c r="J5437" s="10">
        <v>44440</v>
      </c>
      <c r="K5437" s="7" t="s">
        <v>7165</v>
      </c>
      <c r="L5437" s="7"/>
      <c r="M5437" s="7"/>
    </row>
    <row r="5438" spans="1:13" x14ac:dyDescent="0.3">
      <c r="A5438" s="7">
        <v>410065</v>
      </c>
      <c r="B5438" s="7" t="s">
        <v>5444</v>
      </c>
      <c r="C5438" s="7" t="s">
        <v>7075</v>
      </c>
      <c r="D5438" s="7" t="s">
        <v>6295</v>
      </c>
      <c r="E5438" s="7" t="s">
        <v>6994</v>
      </c>
      <c r="F5438" s="7" t="s">
        <v>6353</v>
      </c>
      <c r="G5438" s="7" t="s">
        <v>7150</v>
      </c>
      <c r="H5438" s="7" t="s">
        <v>7156</v>
      </c>
      <c r="I5438" s="7"/>
      <c r="J5438" s="10">
        <v>44516</v>
      </c>
      <c r="K5438" s="7" t="s">
        <v>7165</v>
      </c>
      <c r="L5438" s="7"/>
      <c r="M5438" s="7"/>
    </row>
    <row r="5439" spans="1:13" x14ac:dyDescent="0.3">
      <c r="A5439" s="7">
        <v>410063</v>
      </c>
      <c r="B5439" s="7" t="s">
        <v>5445</v>
      </c>
      <c r="C5439" s="7" t="s">
        <v>7075</v>
      </c>
      <c r="D5439" s="7" t="s">
        <v>6295</v>
      </c>
      <c r="E5439" s="7" t="s">
        <v>6994</v>
      </c>
      <c r="F5439" s="7" t="s">
        <v>6340</v>
      </c>
      <c r="G5439" s="7" t="s">
        <v>7150</v>
      </c>
      <c r="H5439" s="7" t="s">
        <v>7156</v>
      </c>
      <c r="I5439" s="7"/>
      <c r="J5439" s="10">
        <v>44440</v>
      </c>
      <c r="K5439" s="7" t="s">
        <v>7165</v>
      </c>
      <c r="L5439" s="7"/>
      <c r="M5439" s="7"/>
    </row>
    <row r="5440" spans="1:13" x14ac:dyDescent="0.3">
      <c r="A5440" s="7">
        <v>18329</v>
      </c>
      <c r="B5440" s="7" t="s">
        <v>5446</v>
      </c>
      <c r="C5440" s="7" t="s">
        <v>7075</v>
      </c>
      <c r="D5440" s="7" t="s">
        <v>6295</v>
      </c>
      <c r="E5440" s="7" t="s">
        <v>6994</v>
      </c>
      <c r="F5440" s="7" t="s">
        <v>6348</v>
      </c>
      <c r="G5440" s="7" t="s">
        <v>7150</v>
      </c>
      <c r="H5440" s="7" t="s">
        <v>7156</v>
      </c>
      <c r="I5440" s="7"/>
      <c r="J5440" s="10">
        <v>46092</v>
      </c>
      <c r="K5440" s="7" t="s">
        <v>7165</v>
      </c>
      <c r="L5440" s="7"/>
      <c r="M5440" s="7"/>
    </row>
    <row r="5441" spans="1:13" x14ac:dyDescent="0.3">
      <c r="A5441" s="7">
        <v>840016</v>
      </c>
      <c r="B5441" s="7" t="s">
        <v>5447</v>
      </c>
      <c r="C5441" s="7" t="s">
        <v>7076</v>
      </c>
      <c r="D5441" s="7" t="s">
        <v>6295</v>
      </c>
      <c r="E5441" s="7" t="s">
        <v>6295</v>
      </c>
      <c r="F5441" s="7" t="s">
        <v>6939</v>
      </c>
      <c r="G5441" s="7" t="s">
        <v>7150</v>
      </c>
      <c r="H5441" s="7" t="s">
        <v>7156</v>
      </c>
      <c r="I5441" s="7"/>
      <c r="J5441" s="10">
        <v>42269</v>
      </c>
      <c r="K5441" s="7" t="s">
        <v>7165</v>
      </c>
      <c r="L5441" s="7"/>
      <c r="M5441" s="7"/>
    </row>
    <row r="5442" spans="1:13" x14ac:dyDescent="0.3">
      <c r="A5442" s="7">
        <v>12036</v>
      </c>
      <c r="B5442" s="7" t="s">
        <v>5448</v>
      </c>
      <c r="C5442" s="7" t="s">
        <v>7076</v>
      </c>
      <c r="D5442" s="7" t="s">
        <v>6295</v>
      </c>
      <c r="E5442" s="7" t="s">
        <v>6295</v>
      </c>
      <c r="F5442" s="7" t="s">
        <v>6335</v>
      </c>
      <c r="G5442" s="7" t="s">
        <v>7150</v>
      </c>
      <c r="H5442" s="7" t="s">
        <v>7156</v>
      </c>
      <c r="I5442" s="7"/>
      <c r="J5442" s="10">
        <v>43397</v>
      </c>
      <c r="K5442" s="7" t="s">
        <v>7165</v>
      </c>
      <c r="L5442" s="7"/>
      <c r="M5442" s="7"/>
    </row>
    <row r="5443" spans="1:13" x14ac:dyDescent="0.3">
      <c r="A5443" s="7">
        <v>550043</v>
      </c>
      <c r="B5443" s="7" t="s">
        <v>5449</v>
      </c>
      <c r="C5443" s="7" t="s">
        <v>7076</v>
      </c>
      <c r="D5443" s="7" t="s">
        <v>6295</v>
      </c>
      <c r="E5443" s="7" t="s">
        <v>6940</v>
      </c>
      <c r="F5443" s="7" t="s">
        <v>6991</v>
      </c>
      <c r="G5443" s="7" t="s">
        <v>7150</v>
      </c>
      <c r="H5443" s="7" t="s">
        <v>7156</v>
      </c>
      <c r="I5443" s="7"/>
      <c r="J5443" s="10">
        <v>44594</v>
      </c>
      <c r="K5443" s="7" t="s">
        <v>7165</v>
      </c>
      <c r="L5443" s="7"/>
      <c r="M5443" s="7"/>
    </row>
    <row r="5444" spans="1:13" x14ac:dyDescent="0.3">
      <c r="A5444" s="7">
        <v>550010</v>
      </c>
      <c r="B5444" s="7" t="s">
        <v>5450</v>
      </c>
      <c r="C5444" s="7" t="s">
        <v>7076</v>
      </c>
      <c r="D5444" s="7" t="s">
        <v>6295</v>
      </c>
      <c r="E5444" s="7" t="s">
        <v>6940</v>
      </c>
      <c r="F5444" s="7" t="s">
        <v>6561</v>
      </c>
      <c r="G5444" s="7" t="s">
        <v>7150</v>
      </c>
      <c r="H5444" s="7" t="s">
        <v>7156</v>
      </c>
      <c r="I5444" s="7"/>
      <c r="J5444" s="10">
        <v>37996</v>
      </c>
      <c r="K5444" s="7" t="s">
        <v>7165</v>
      </c>
      <c r="L5444" s="7"/>
      <c r="M5444" s="7"/>
    </row>
    <row r="5445" spans="1:13" x14ac:dyDescent="0.3">
      <c r="A5445" s="7">
        <v>11689</v>
      </c>
      <c r="B5445" s="7" t="s">
        <v>5451</v>
      </c>
      <c r="C5445" s="7" t="s">
        <v>7076</v>
      </c>
      <c r="D5445" s="7" t="s">
        <v>6295</v>
      </c>
      <c r="E5445" s="7" t="s">
        <v>6940</v>
      </c>
      <c r="F5445" s="7" t="s">
        <v>6561</v>
      </c>
      <c r="G5445" s="7" t="s">
        <v>7150</v>
      </c>
      <c r="H5445" s="7" t="s">
        <v>7156</v>
      </c>
      <c r="I5445" s="7"/>
      <c r="J5445" s="10">
        <v>43021</v>
      </c>
      <c r="K5445" s="7" t="s">
        <v>7165</v>
      </c>
      <c r="L5445" s="7"/>
      <c r="M5445" s="7"/>
    </row>
    <row r="5446" spans="1:13" x14ac:dyDescent="0.3">
      <c r="A5446" s="7">
        <v>18137</v>
      </c>
      <c r="B5446" s="7" t="s">
        <v>5452</v>
      </c>
      <c r="C5446" s="7" t="s">
        <v>7076</v>
      </c>
      <c r="D5446" s="7" t="s">
        <v>6295</v>
      </c>
      <c r="E5446" s="7" t="s">
        <v>6940</v>
      </c>
      <c r="F5446" s="7" t="s">
        <v>6949</v>
      </c>
      <c r="G5446" s="7" t="s">
        <v>7150</v>
      </c>
      <c r="H5446" s="7" t="s">
        <v>7156</v>
      </c>
      <c r="I5446" s="7"/>
      <c r="J5446" s="10">
        <v>46009</v>
      </c>
      <c r="K5446" s="7" t="s">
        <v>7165</v>
      </c>
      <c r="L5446" s="7"/>
      <c r="M5446" s="7"/>
    </row>
    <row r="5447" spans="1:13" x14ac:dyDescent="0.3">
      <c r="A5447" s="7">
        <v>18313</v>
      </c>
      <c r="B5447" s="7" t="s">
        <v>5453</v>
      </c>
      <c r="C5447" s="7" t="s">
        <v>7076</v>
      </c>
      <c r="D5447" s="7" t="s">
        <v>6295</v>
      </c>
      <c r="E5447" s="7" t="s">
        <v>6940</v>
      </c>
      <c r="F5447" s="7" t="s">
        <v>7004</v>
      </c>
      <c r="G5447" s="7" t="s">
        <v>7150</v>
      </c>
      <c r="H5447" s="7" t="s">
        <v>7156</v>
      </c>
      <c r="I5447" s="7"/>
      <c r="J5447" s="10">
        <v>46084</v>
      </c>
      <c r="K5447" s="7" t="s">
        <v>7165</v>
      </c>
      <c r="L5447" s="7"/>
      <c r="M5447" s="7"/>
    </row>
    <row r="5448" spans="1:13" x14ac:dyDescent="0.3">
      <c r="A5448" s="7">
        <v>17606</v>
      </c>
      <c r="B5448" s="7" t="s">
        <v>5454</v>
      </c>
      <c r="C5448" s="7" t="s">
        <v>7076</v>
      </c>
      <c r="D5448" s="7" t="s">
        <v>6295</v>
      </c>
      <c r="E5448" s="7" t="s">
        <v>6940</v>
      </c>
      <c r="F5448" s="7" t="s">
        <v>6989</v>
      </c>
      <c r="G5448" s="7" t="s">
        <v>7150</v>
      </c>
      <c r="H5448" s="7" t="s">
        <v>7156</v>
      </c>
      <c r="I5448" s="7"/>
      <c r="J5448" s="10">
        <v>45813</v>
      </c>
      <c r="K5448" s="7" t="s">
        <v>7165</v>
      </c>
      <c r="L5448" s="7"/>
      <c r="M5448" s="7"/>
    </row>
    <row r="5449" spans="1:13" x14ac:dyDescent="0.3">
      <c r="A5449" s="7">
        <v>550039</v>
      </c>
      <c r="B5449" s="7" t="s">
        <v>5455</v>
      </c>
      <c r="C5449" s="7" t="s">
        <v>7076</v>
      </c>
      <c r="D5449" s="7" t="s">
        <v>6295</v>
      </c>
      <c r="E5449" s="7" t="s">
        <v>6940</v>
      </c>
      <c r="F5449" s="7" t="s">
        <v>6980</v>
      </c>
      <c r="G5449" s="7" t="s">
        <v>7150</v>
      </c>
      <c r="H5449" s="7" t="s">
        <v>7156</v>
      </c>
      <c r="I5449" s="7"/>
      <c r="J5449" s="10">
        <v>43628</v>
      </c>
      <c r="K5449" s="7" t="s">
        <v>7165</v>
      </c>
      <c r="L5449" s="7"/>
      <c r="M5449" s="7"/>
    </row>
    <row r="5450" spans="1:13" x14ac:dyDescent="0.3">
      <c r="A5450" s="7">
        <v>550033</v>
      </c>
      <c r="B5450" s="7" t="s">
        <v>5456</v>
      </c>
      <c r="C5450" s="7" t="s">
        <v>7076</v>
      </c>
      <c r="D5450" s="7" t="s">
        <v>6295</v>
      </c>
      <c r="E5450" s="7" t="s">
        <v>6940</v>
      </c>
      <c r="F5450" s="7" t="s">
        <v>6980</v>
      </c>
      <c r="G5450" s="7" t="s">
        <v>7150</v>
      </c>
      <c r="H5450" s="7" t="s">
        <v>7156</v>
      </c>
      <c r="I5450" s="7"/>
      <c r="J5450" s="10">
        <v>42578</v>
      </c>
      <c r="K5450" s="7" t="s">
        <v>7165</v>
      </c>
      <c r="L5450" s="7"/>
      <c r="M5450" s="7"/>
    </row>
    <row r="5451" spans="1:13" x14ac:dyDescent="0.3">
      <c r="A5451" s="7">
        <v>550037</v>
      </c>
      <c r="B5451" s="7" t="s">
        <v>5457</v>
      </c>
      <c r="C5451" s="7" t="s">
        <v>7076</v>
      </c>
      <c r="D5451" s="7" t="s">
        <v>6295</v>
      </c>
      <c r="E5451" s="7" t="s">
        <v>6940</v>
      </c>
      <c r="F5451" s="7" t="s">
        <v>6980</v>
      </c>
      <c r="G5451" s="7" t="s">
        <v>7150</v>
      </c>
      <c r="H5451" s="7" t="s">
        <v>7156</v>
      </c>
      <c r="I5451" s="7"/>
      <c r="J5451" s="10">
        <v>43273</v>
      </c>
      <c r="K5451" s="7" t="s">
        <v>7165</v>
      </c>
      <c r="L5451" s="7"/>
      <c r="M5451" s="7"/>
    </row>
    <row r="5452" spans="1:13" x14ac:dyDescent="0.3">
      <c r="A5452" s="7">
        <v>550040</v>
      </c>
      <c r="B5452" s="7" t="s">
        <v>5458</v>
      </c>
      <c r="C5452" s="7" t="s">
        <v>7076</v>
      </c>
      <c r="D5452" s="7" t="s">
        <v>6295</v>
      </c>
      <c r="E5452" s="7" t="s">
        <v>6940</v>
      </c>
      <c r="F5452" s="7" t="s">
        <v>6980</v>
      </c>
      <c r="G5452" s="7" t="s">
        <v>7150</v>
      </c>
      <c r="H5452" s="7" t="s">
        <v>7156</v>
      </c>
      <c r="I5452" s="7"/>
      <c r="J5452" s="10">
        <v>43668</v>
      </c>
      <c r="K5452" s="7" t="s">
        <v>7165</v>
      </c>
      <c r="L5452" s="7"/>
      <c r="M5452" s="7"/>
    </row>
    <row r="5453" spans="1:13" x14ac:dyDescent="0.3">
      <c r="A5453" s="7">
        <v>15276</v>
      </c>
      <c r="B5453" s="7" t="s">
        <v>5459</v>
      </c>
      <c r="C5453" s="7" t="s">
        <v>7076</v>
      </c>
      <c r="D5453" s="7" t="s">
        <v>6295</v>
      </c>
      <c r="E5453" s="7" t="s">
        <v>6940</v>
      </c>
      <c r="F5453" s="7" t="s">
        <v>6986</v>
      </c>
      <c r="G5453" s="7" t="s">
        <v>7150</v>
      </c>
      <c r="H5453" s="7" t="s">
        <v>7156</v>
      </c>
      <c r="I5453" s="7"/>
      <c r="J5453" s="10">
        <v>45019</v>
      </c>
      <c r="K5453" s="7" t="s">
        <v>7165</v>
      </c>
      <c r="L5453" s="7"/>
      <c r="M5453" s="7"/>
    </row>
    <row r="5454" spans="1:13" x14ac:dyDescent="0.3">
      <c r="A5454" s="7">
        <v>18416</v>
      </c>
      <c r="B5454" s="7" t="s">
        <v>5460</v>
      </c>
      <c r="C5454" s="7" t="s">
        <v>7076</v>
      </c>
      <c r="D5454" s="7" t="s">
        <v>6295</v>
      </c>
      <c r="E5454" s="7" t="s">
        <v>6940</v>
      </c>
      <c r="F5454" s="7" t="s">
        <v>7013</v>
      </c>
      <c r="G5454" s="7" t="s">
        <v>7150</v>
      </c>
      <c r="H5454" s="7" t="s">
        <v>7156</v>
      </c>
      <c r="I5454" s="7"/>
      <c r="J5454" s="10">
        <v>46126</v>
      </c>
      <c r="K5454" s="7" t="s">
        <v>7165</v>
      </c>
      <c r="L5454" s="7"/>
      <c r="M5454" s="7"/>
    </row>
    <row r="5455" spans="1:13" x14ac:dyDescent="0.3">
      <c r="A5455" s="7">
        <v>15083</v>
      </c>
      <c r="B5455" s="7" t="s">
        <v>5461</v>
      </c>
      <c r="C5455" s="7" t="s">
        <v>7076</v>
      </c>
      <c r="D5455" s="7" t="s">
        <v>6295</v>
      </c>
      <c r="E5455" s="7" t="s">
        <v>6940</v>
      </c>
      <c r="F5455" s="7" t="s">
        <v>6986</v>
      </c>
      <c r="G5455" s="7" t="s">
        <v>7150</v>
      </c>
      <c r="H5455" s="7" t="s">
        <v>7156</v>
      </c>
      <c r="I5455" s="7"/>
      <c r="J5455" s="10">
        <v>44943</v>
      </c>
      <c r="K5455" s="7" t="s">
        <v>7165</v>
      </c>
      <c r="L5455" s="7"/>
      <c r="M5455" s="7"/>
    </row>
    <row r="5456" spans="1:13" x14ac:dyDescent="0.3">
      <c r="A5456" s="7">
        <v>16140</v>
      </c>
      <c r="B5456" s="7" t="s">
        <v>5462</v>
      </c>
      <c r="C5456" s="7" t="s">
        <v>7076</v>
      </c>
      <c r="D5456" s="7" t="s">
        <v>6295</v>
      </c>
      <c r="E5456" s="7" t="s">
        <v>6940</v>
      </c>
      <c r="F5456" s="7" t="s">
        <v>6986</v>
      </c>
      <c r="G5456" s="7" t="s">
        <v>7150</v>
      </c>
      <c r="H5456" s="7" t="s">
        <v>7156</v>
      </c>
      <c r="I5456" s="7"/>
      <c r="J5456" s="10">
        <v>45302</v>
      </c>
      <c r="K5456" s="7" t="s">
        <v>7165</v>
      </c>
      <c r="L5456" s="7"/>
      <c r="M5456" s="7"/>
    </row>
    <row r="5457" spans="1:13" x14ac:dyDescent="0.3">
      <c r="A5457" s="7">
        <v>18625</v>
      </c>
      <c r="B5457" s="7" t="s">
        <v>5463</v>
      </c>
      <c r="C5457" s="7" t="s">
        <v>7076</v>
      </c>
      <c r="D5457" s="7" t="s">
        <v>6295</v>
      </c>
      <c r="E5457" s="7" t="s">
        <v>6940</v>
      </c>
      <c r="F5457" s="7" t="s">
        <v>7077</v>
      </c>
      <c r="G5457" s="7" t="s">
        <v>7150</v>
      </c>
      <c r="H5457" s="7" t="s">
        <v>7156</v>
      </c>
      <c r="I5457" s="7"/>
      <c r="J5457" s="10">
        <v>46176</v>
      </c>
      <c r="K5457" s="7" t="s">
        <v>7165</v>
      </c>
      <c r="L5457" s="7"/>
      <c r="M5457" s="7"/>
    </row>
    <row r="5458" spans="1:13" x14ac:dyDescent="0.3">
      <c r="A5458" s="7">
        <v>17496</v>
      </c>
      <c r="B5458" s="7" t="s">
        <v>5464</v>
      </c>
      <c r="C5458" s="7" t="s">
        <v>7076</v>
      </c>
      <c r="D5458" s="7" t="s">
        <v>6295</v>
      </c>
      <c r="E5458" s="7" t="s">
        <v>6951</v>
      </c>
      <c r="F5458" s="7" t="s">
        <v>6398</v>
      </c>
      <c r="G5458" s="7" t="s">
        <v>7150</v>
      </c>
      <c r="H5458" s="7" t="s">
        <v>7156</v>
      </c>
      <c r="I5458" s="7"/>
      <c r="J5458" s="10">
        <v>45770</v>
      </c>
      <c r="K5458" s="7" t="s">
        <v>7165</v>
      </c>
      <c r="L5458" s="7"/>
      <c r="M5458" s="7"/>
    </row>
    <row r="5459" spans="1:13" x14ac:dyDescent="0.3">
      <c r="A5459" s="7">
        <v>730031</v>
      </c>
      <c r="B5459" s="7" t="s">
        <v>5465</v>
      </c>
      <c r="C5459" s="7" t="s">
        <v>7078</v>
      </c>
      <c r="D5459" s="7" t="s">
        <v>6295</v>
      </c>
      <c r="E5459" s="7" t="s">
        <v>6295</v>
      </c>
      <c r="F5459" s="7" t="s">
        <v>6939</v>
      </c>
      <c r="G5459" s="7" t="s">
        <v>7150</v>
      </c>
      <c r="H5459" s="7" t="s">
        <v>7156</v>
      </c>
      <c r="I5459" s="7"/>
      <c r="J5459" s="10">
        <v>42265</v>
      </c>
      <c r="K5459" s="7" t="s">
        <v>7165</v>
      </c>
      <c r="L5459" s="7"/>
      <c r="M5459" s="7"/>
    </row>
    <row r="5460" spans="1:13" x14ac:dyDescent="0.3">
      <c r="A5460" s="7">
        <v>730049</v>
      </c>
      <c r="B5460" s="7" t="s">
        <v>5466</v>
      </c>
      <c r="C5460" s="7" t="s">
        <v>7078</v>
      </c>
      <c r="D5460" s="7" t="s">
        <v>6295</v>
      </c>
      <c r="E5460" s="7" t="s">
        <v>6940</v>
      </c>
      <c r="F5460" s="7" t="s">
        <v>6980</v>
      </c>
      <c r="G5460" s="7" t="s">
        <v>7150</v>
      </c>
      <c r="H5460" s="7" t="s">
        <v>7156</v>
      </c>
      <c r="I5460" s="7"/>
      <c r="J5460" s="10">
        <v>44363</v>
      </c>
      <c r="K5460" s="7" t="s">
        <v>7165</v>
      </c>
      <c r="L5460" s="7"/>
      <c r="M5460" s="7"/>
    </row>
    <row r="5461" spans="1:13" x14ac:dyDescent="0.3">
      <c r="A5461" s="7">
        <v>16807</v>
      </c>
      <c r="B5461" s="7" t="s">
        <v>5467</v>
      </c>
      <c r="C5461" s="7" t="s">
        <v>7078</v>
      </c>
      <c r="D5461" s="7" t="s">
        <v>6295</v>
      </c>
      <c r="E5461" s="7" t="s">
        <v>6940</v>
      </c>
      <c r="F5461" s="7" t="s">
        <v>6988</v>
      </c>
      <c r="G5461" s="7" t="s">
        <v>7150</v>
      </c>
      <c r="H5461" s="7" t="s">
        <v>7156</v>
      </c>
      <c r="I5461" s="7"/>
      <c r="J5461" s="10">
        <v>45554</v>
      </c>
      <c r="K5461" s="7" t="s">
        <v>7165</v>
      </c>
      <c r="L5461" s="7"/>
      <c r="M5461" s="7"/>
    </row>
    <row r="5462" spans="1:13" x14ac:dyDescent="0.3">
      <c r="A5462" s="7">
        <v>15214</v>
      </c>
      <c r="B5462" s="7" t="s">
        <v>5468</v>
      </c>
      <c r="C5462" s="7" t="s">
        <v>7078</v>
      </c>
      <c r="D5462" s="7" t="s">
        <v>6295</v>
      </c>
      <c r="E5462" s="7" t="s">
        <v>6940</v>
      </c>
      <c r="F5462" s="7" t="s">
        <v>6943</v>
      </c>
      <c r="G5462" s="7" t="s">
        <v>7150</v>
      </c>
      <c r="H5462" s="7" t="s">
        <v>7156</v>
      </c>
      <c r="I5462" s="7"/>
      <c r="J5462" s="10">
        <v>44988</v>
      </c>
      <c r="K5462" s="7" t="s">
        <v>7165</v>
      </c>
      <c r="L5462" s="7"/>
      <c r="M5462" s="7"/>
    </row>
    <row r="5463" spans="1:13" x14ac:dyDescent="0.3">
      <c r="A5463" s="7">
        <v>119015</v>
      </c>
      <c r="B5463" s="7" t="s">
        <v>5469</v>
      </c>
      <c r="C5463" s="7" t="s">
        <v>7078</v>
      </c>
      <c r="D5463" s="7" t="s">
        <v>6295</v>
      </c>
      <c r="E5463" s="7" t="s">
        <v>6951</v>
      </c>
      <c r="F5463" s="7" t="s">
        <v>6398</v>
      </c>
      <c r="G5463" s="7" t="s">
        <v>7150</v>
      </c>
      <c r="H5463" s="7" t="s">
        <v>7156</v>
      </c>
      <c r="I5463" s="7"/>
      <c r="J5463" s="10">
        <v>42321</v>
      </c>
      <c r="K5463" s="7" t="s">
        <v>7165</v>
      </c>
      <c r="L5463" s="7"/>
      <c r="M5463" s="7"/>
    </row>
    <row r="5464" spans="1:13" x14ac:dyDescent="0.3">
      <c r="A5464" s="7">
        <v>300040</v>
      </c>
      <c r="B5464" s="7" t="s">
        <v>5470</v>
      </c>
      <c r="C5464" s="7" t="s">
        <v>7079</v>
      </c>
      <c r="D5464" s="7" t="s">
        <v>6295</v>
      </c>
      <c r="E5464" s="7" t="s">
        <v>6295</v>
      </c>
      <c r="F5464" s="7" t="s">
        <v>6939</v>
      </c>
      <c r="G5464" s="7" t="s">
        <v>7150</v>
      </c>
      <c r="H5464" s="7" t="s">
        <v>7156</v>
      </c>
      <c r="I5464" s="7"/>
      <c r="J5464" s="10">
        <v>42716</v>
      </c>
      <c r="K5464" s="7" t="s">
        <v>7165</v>
      </c>
      <c r="L5464" s="7"/>
      <c r="M5464" s="7"/>
    </row>
    <row r="5465" spans="1:13" x14ac:dyDescent="0.3">
      <c r="A5465" s="7">
        <v>820006</v>
      </c>
      <c r="B5465" s="7" t="s">
        <v>5471</v>
      </c>
      <c r="C5465" s="7" t="s">
        <v>7079</v>
      </c>
      <c r="D5465" s="7" t="s">
        <v>6295</v>
      </c>
      <c r="E5465" s="7" t="s">
        <v>6940</v>
      </c>
      <c r="F5465" s="7" t="s">
        <v>6991</v>
      </c>
      <c r="G5465" s="7" t="s">
        <v>7150</v>
      </c>
      <c r="H5465" s="7" t="s">
        <v>7156</v>
      </c>
      <c r="I5465" s="7"/>
      <c r="J5465" s="10">
        <v>40969</v>
      </c>
      <c r="K5465" s="7" t="s">
        <v>7165</v>
      </c>
      <c r="L5465" s="7"/>
      <c r="M5465" s="7"/>
    </row>
    <row r="5466" spans="1:13" x14ac:dyDescent="0.3">
      <c r="A5466" s="7">
        <v>18256</v>
      </c>
      <c r="B5466" s="7" t="s">
        <v>5472</v>
      </c>
      <c r="C5466" s="7" t="s">
        <v>7079</v>
      </c>
      <c r="D5466" s="7" t="s">
        <v>6295</v>
      </c>
      <c r="E5466" s="7" t="s">
        <v>6940</v>
      </c>
      <c r="F5466" s="7" t="s">
        <v>6949</v>
      </c>
      <c r="G5466" s="7" t="s">
        <v>7150</v>
      </c>
      <c r="H5466" s="7" t="s">
        <v>7156</v>
      </c>
      <c r="I5466" s="7"/>
      <c r="J5466" s="10">
        <v>46073</v>
      </c>
      <c r="K5466" s="7" t="s">
        <v>7165</v>
      </c>
      <c r="L5466" s="7"/>
      <c r="M5466" s="7"/>
    </row>
    <row r="5467" spans="1:13" x14ac:dyDescent="0.3">
      <c r="A5467" s="7">
        <v>670011</v>
      </c>
      <c r="B5467" s="7" t="s">
        <v>5473</v>
      </c>
      <c r="C5467" s="7" t="s">
        <v>7079</v>
      </c>
      <c r="D5467" s="7" t="s">
        <v>6295</v>
      </c>
      <c r="E5467" s="7" t="s">
        <v>6940</v>
      </c>
      <c r="F5467" s="7" t="s">
        <v>6980</v>
      </c>
      <c r="G5467" s="7" t="s">
        <v>7150</v>
      </c>
      <c r="H5467" s="7" t="s">
        <v>7156</v>
      </c>
      <c r="I5467" s="7"/>
      <c r="J5467" s="10">
        <v>39584</v>
      </c>
      <c r="K5467" s="7" t="s">
        <v>7165</v>
      </c>
      <c r="L5467" s="7"/>
      <c r="M5467" s="7"/>
    </row>
    <row r="5468" spans="1:13" x14ac:dyDescent="0.3">
      <c r="A5468" s="7">
        <v>820024</v>
      </c>
      <c r="B5468" s="7" t="s">
        <v>5474</v>
      </c>
      <c r="C5468" s="7" t="s">
        <v>7079</v>
      </c>
      <c r="D5468" s="7" t="s">
        <v>6295</v>
      </c>
      <c r="E5468" s="7" t="s">
        <v>6940</v>
      </c>
      <c r="F5468" s="7" t="s">
        <v>6980</v>
      </c>
      <c r="G5468" s="7" t="s">
        <v>7150</v>
      </c>
      <c r="H5468" s="7" t="s">
        <v>7156</v>
      </c>
      <c r="I5468" s="7"/>
      <c r="J5468" s="10">
        <v>42845</v>
      </c>
      <c r="K5468" s="7" t="s">
        <v>7165</v>
      </c>
      <c r="L5468" s="7"/>
      <c r="M5468" s="7"/>
    </row>
    <row r="5469" spans="1:13" x14ac:dyDescent="0.3">
      <c r="A5469" s="7">
        <v>550036</v>
      </c>
      <c r="B5469" s="7" t="s">
        <v>5475</v>
      </c>
      <c r="C5469" s="7" t="s">
        <v>7079</v>
      </c>
      <c r="D5469" s="7" t="s">
        <v>6295</v>
      </c>
      <c r="E5469" s="7" t="s">
        <v>6940</v>
      </c>
      <c r="F5469" s="7" t="s">
        <v>6498</v>
      </c>
      <c r="G5469" s="7" t="s">
        <v>7150</v>
      </c>
      <c r="H5469" s="7" t="s">
        <v>7156</v>
      </c>
      <c r="I5469" s="7"/>
      <c r="J5469" s="10">
        <v>43262</v>
      </c>
      <c r="K5469" s="7" t="s">
        <v>7165</v>
      </c>
      <c r="L5469" s="7"/>
      <c r="M5469" s="7"/>
    </row>
    <row r="5470" spans="1:13" x14ac:dyDescent="0.3">
      <c r="A5470" s="7">
        <v>660040</v>
      </c>
      <c r="B5470" s="7" t="s">
        <v>5476</v>
      </c>
      <c r="C5470" s="7" t="s">
        <v>7079</v>
      </c>
      <c r="D5470" s="7" t="s">
        <v>6295</v>
      </c>
      <c r="E5470" s="7" t="s">
        <v>6940</v>
      </c>
      <c r="F5470" s="7" t="s">
        <v>6980</v>
      </c>
      <c r="G5470" s="7" t="s">
        <v>7150</v>
      </c>
      <c r="H5470" s="7" t="s">
        <v>7156</v>
      </c>
      <c r="I5470" s="7"/>
      <c r="J5470" s="10">
        <v>43760</v>
      </c>
      <c r="K5470" s="7" t="s">
        <v>7165</v>
      </c>
      <c r="L5470" s="7"/>
      <c r="M5470" s="7"/>
    </row>
    <row r="5471" spans="1:13" x14ac:dyDescent="0.3">
      <c r="A5471" s="7">
        <v>670051</v>
      </c>
      <c r="B5471" s="7" t="s">
        <v>5477</v>
      </c>
      <c r="C5471" s="7" t="s">
        <v>7079</v>
      </c>
      <c r="D5471" s="7" t="s">
        <v>6295</v>
      </c>
      <c r="E5471" s="7" t="s">
        <v>6940</v>
      </c>
      <c r="F5471" s="7" t="s">
        <v>6986</v>
      </c>
      <c r="G5471" s="7" t="s">
        <v>7150</v>
      </c>
      <c r="H5471" s="7" t="s">
        <v>7156</v>
      </c>
      <c r="I5471" s="7"/>
      <c r="J5471" s="10">
        <v>44578</v>
      </c>
      <c r="K5471" s="7" t="s">
        <v>7165</v>
      </c>
      <c r="L5471" s="7"/>
      <c r="M5471" s="7"/>
    </row>
    <row r="5472" spans="1:13" x14ac:dyDescent="0.3">
      <c r="A5472" s="7">
        <v>14755</v>
      </c>
      <c r="B5472" s="7" t="s">
        <v>5478</v>
      </c>
      <c r="C5472" s="7" t="s">
        <v>7079</v>
      </c>
      <c r="D5472" s="7" t="s">
        <v>6295</v>
      </c>
      <c r="E5472" s="7" t="s">
        <v>6940</v>
      </c>
      <c r="F5472" s="7" t="s">
        <v>6986</v>
      </c>
      <c r="G5472" s="7" t="s">
        <v>7150</v>
      </c>
      <c r="H5472" s="7" t="s">
        <v>7156</v>
      </c>
      <c r="I5472" s="7"/>
      <c r="J5472" s="10">
        <v>44852</v>
      </c>
      <c r="K5472" s="7" t="s">
        <v>7165</v>
      </c>
      <c r="L5472" s="7"/>
      <c r="M5472" s="7"/>
    </row>
    <row r="5473" spans="1:13" x14ac:dyDescent="0.3">
      <c r="A5473" s="7">
        <v>16603</v>
      </c>
      <c r="B5473" s="7" t="s">
        <v>5479</v>
      </c>
      <c r="C5473" s="7" t="s">
        <v>7079</v>
      </c>
      <c r="D5473" s="7" t="s">
        <v>6295</v>
      </c>
      <c r="E5473" s="7" t="s">
        <v>6940</v>
      </c>
      <c r="F5473" s="7" t="s">
        <v>6987</v>
      </c>
      <c r="G5473" s="7" t="s">
        <v>7150</v>
      </c>
      <c r="H5473" s="7" t="s">
        <v>7156</v>
      </c>
      <c r="I5473" s="7"/>
      <c r="J5473" s="10">
        <v>45492</v>
      </c>
      <c r="K5473" s="7" t="s">
        <v>7165</v>
      </c>
      <c r="L5473" s="7"/>
      <c r="M5473" s="7"/>
    </row>
    <row r="5474" spans="1:13" x14ac:dyDescent="0.3">
      <c r="A5474" s="7">
        <v>14256</v>
      </c>
      <c r="B5474" s="7" t="s">
        <v>5480</v>
      </c>
      <c r="C5474" s="7" t="s">
        <v>7079</v>
      </c>
      <c r="D5474" s="7" t="s">
        <v>6295</v>
      </c>
      <c r="E5474" s="7" t="s">
        <v>6940</v>
      </c>
      <c r="F5474" s="7" t="s">
        <v>6986</v>
      </c>
      <c r="G5474" s="7" t="s">
        <v>7150</v>
      </c>
      <c r="H5474" s="7" t="s">
        <v>7156</v>
      </c>
      <c r="I5474" s="7"/>
      <c r="J5474" s="10">
        <v>44713</v>
      </c>
      <c r="K5474" s="7" t="s">
        <v>7165</v>
      </c>
      <c r="L5474" s="7"/>
      <c r="M5474" s="7"/>
    </row>
    <row r="5475" spans="1:13" x14ac:dyDescent="0.3">
      <c r="A5475" s="7">
        <v>14759</v>
      </c>
      <c r="B5475" s="7" t="s">
        <v>5481</v>
      </c>
      <c r="C5475" s="7" t="s">
        <v>7079</v>
      </c>
      <c r="D5475" s="7" t="s">
        <v>6295</v>
      </c>
      <c r="E5475" s="7" t="s">
        <v>6940</v>
      </c>
      <c r="F5475" s="7" t="s">
        <v>6987</v>
      </c>
      <c r="G5475" s="7" t="s">
        <v>7150</v>
      </c>
      <c r="H5475" s="7" t="s">
        <v>7156</v>
      </c>
      <c r="I5475" s="7"/>
      <c r="J5475" s="10">
        <v>44852</v>
      </c>
      <c r="K5475" s="7" t="s">
        <v>7165</v>
      </c>
      <c r="L5475" s="7"/>
      <c r="M5475" s="7"/>
    </row>
    <row r="5476" spans="1:13" x14ac:dyDescent="0.3">
      <c r="A5476" s="7">
        <v>16769</v>
      </c>
      <c r="B5476" s="7" t="s">
        <v>5482</v>
      </c>
      <c r="C5476" s="7" t="s">
        <v>7079</v>
      </c>
      <c r="D5476" s="7" t="s">
        <v>6295</v>
      </c>
      <c r="E5476" s="7" t="s">
        <v>6940</v>
      </c>
      <c r="F5476" s="7" t="s">
        <v>6987</v>
      </c>
      <c r="G5476" s="7" t="s">
        <v>7150</v>
      </c>
      <c r="H5476" s="7" t="s">
        <v>7156</v>
      </c>
      <c r="I5476" s="7"/>
      <c r="J5476" s="10">
        <v>45541</v>
      </c>
      <c r="K5476" s="7" t="s">
        <v>7165</v>
      </c>
      <c r="L5476" s="7"/>
      <c r="M5476" s="7"/>
    </row>
    <row r="5477" spans="1:13" x14ac:dyDescent="0.3">
      <c r="A5477" s="7">
        <v>18395</v>
      </c>
      <c r="B5477" s="7" t="s">
        <v>5483</v>
      </c>
      <c r="C5477" s="7" t="s">
        <v>7079</v>
      </c>
      <c r="D5477" s="7" t="s">
        <v>6295</v>
      </c>
      <c r="E5477" s="7" t="s">
        <v>6940</v>
      </c>
      <c r="F5477" s="7" t="s">
        <v>6998</v>
      </c>
      <c r="G5477" s="7" t="s">
        <v>7150</v>
      </c>
      <c r="H5477" s="7" t="s">
        <v>7156</v>
      </c>
      <c r="I5477" s="7"/>
      <c r="J5477" s="10">
        <v>46120</v>
      </c>
      <c r="K5477" s="7" t="s">
        <v>7165</v>
      </c>
      <c r="L5477" s="7"/>
      <c r="M5477" s="7"/>
    </row>
    <row r="5478" spans="1:13" x14ac:dyDescent="0.3">
      <c r="A5478" s="7">
        <v>17075</v>
      </c>
      <c r="B5478" s="7" t="s">
        <v>5484</v>
      </c>
      <c r="C5478" s="7" t="s">
        <v>7079</v>
      </c>
      <c r="D5478" s="7" t="s">
        <v>6295</v>
      </c>
      <c r="E5478" s="7" t="s">
        <v>6951</v>
      </c>
      <c r="F5478" s="7" t="s">
        <v>6398</v>
      </c>
      <c r="G5478" s="7" t="s">
        <v>7150</v>
      </c>
      <c r="H5478" s="7" t="s">
        <v>7156</v>
      </c>
      <c r="I5478" s="7"/>
      <c r="J5478" s="10">
        <v>45621</v>
      </c>
      <c r="K5478" s="7" t="s">
        <v>7165</v>
      </c>
      <c r="L5478" s="7"/>
      <c r="M5478" s="7"/>
    </row>
    <row r="5479" spans="1:13" x14ac:dyDescent="0.3">
      <c r="A5479" s="7">
        <v>660045</v>
      </c>
      <c r="B5479" s="7" t="s">
        <v>5485</v>
      </c>
      <c r="C5479" s="7" t="s">
        <v>7079</v>
      </c>
      <c r="D5479" s="7" t="s">
        <v>6295</v>
      </c>
      <c r="E5479" s="7" t="s">
        <v>6994</v>
      </c>
      <c r="F5479" s="7" t="s">
        <v>6498</v>
      </c>
      <c r="G5479" s="7" t="s">
        <v>7150</v>
      </c>
      <c r="H5479" s="7" t="s">
        <v>7156</v>
      </c>
      <c r="I5479" s="7"/>
      <c r="J5479" s="10">
        <v>44448</v>
      </c>
      <c r="K5479" s="7" t="s">
        <v>7165</v>
      </c>
      <c r="L5479" s="7"/>
      <c r="M5479" s="7"/>
    </row>
    <row r="5480" spans="1:13" x14ac:dyDescent="0.3">
      <c r="A5480" s="7">
        <v>670049</v>
      </c>
      <c r="B5480" s="7" t="s">
        <v>5486</v>
      </c>
      <c r="C5480" s="7" t="s">
        <v>7079</v>
      </c>
      <c r="D5480" s="7" t="s">
        <v>6295</v>
      </c>
      <c r="E5480" s="7" t="s">
        <v>6994</v>
      </c>
      <c r="F5480" s="7" t="s">
        <v>6340</v>
      </c>
      <c r="G5480" s="7" t="s">
        <v>7150</v>
      </c>
      <c r="H5480" s="7" t="s">
        <v>7156</v>
      </c>
      <c r="I5480" s="7"/>
      <c r="J5480" s="10">
        <v>44516</v>
      </c>
      <c r="K5480" s="7" t="s">
        <v>7165</v>
      </c>
      <c r="L5480" s="7"/>
      <c r="M5480" s="7"/>
    </row>
    <row r="5481" spans="1:13" x14ac:dyDescent="0.3">
      <c r="A5481" s="7">
        <v>670050</v>
      </c>
      <c r="B5481" s="7" t="s">
        <v>5487</v>
      </c>
      <c r="C5481" s="7" t="s">
        <v>7079</v>
      </c>
      <c r="D5481" s="7" t="s">
        <v>6295</v>
      </c>
      <c r="E5481" s="7" t="s">
        <v>6994</v>
      </c>
      <c r="F5481" s="7" t="s">
        <v>6340</v>
      </c>
      <c r="G5481" s="7" t="s">
        <v>7150</v>
      </c>
      <c r="H5481" s="7" t="s">
        <v>7156</v>
      </c>
      <c r="I5481" s="7"/>
      <c r="J5481" s="10">
        <v>44516</v>
      </c>
      <c r="K5481" s="7" t="s">
        <v>7165</v>
      </c>
      <c r="L5481" s="7"/>
      <c r="M5481" s="7"/>
    </row>
    <row r="5482" spans="1:13" x14ac:dyDescent="0.3">
      <c r="A5482" s="7">
        <v>18332</v>
      </c>
      <c r="B5482" s="7" t="s">
        <v>5488</v>
      </c>
      <c r="C5482" s="7" t="s">
        <v>7079</v>
      </c>
      <c r="D5482" s="7" t="s">
        <v>6295</v>
      </c>
      <c r="E5482" s="7" t="s">
        <v>6994</v>
      </c>
      <c r="F5482" s="7" t="s">
        <v>6348</v>
      </c>
      <c r="G5482" s="7" t="s">
        <v>7150</v>
      </c>
      <c r="H5482" s="7" t="s">
        <v>7156</v>
      </c>
      <c r="I5482" s="7"/>
      <c r="J5482" s="10">
        <v>46094</v>
      </c>
      <c r="K5482" s="7" t="s">
        <v>7165</v>
      </c>
      <c r="L5482" s="7"/>
      <c r="M5482" s="7"/>
    </row>
    <row r="5483" spans="1:13" x14ac:dyDescent="0.3">
      <c r="A5483" s="7">
        <v>660017</v>
      </c>
      <c r="B5483" s="7" t="s">
        <v>5489</v>
      </c>
      <c r="C5483" s="7" t="s">
        <v>7080</v>
      </c>
      <c r="D5483" s="7" t="s">
        <v>6295</v>
      </c>
      <c r="E5483" s="7" t="s">
        <v>6295</v>
      </c>
      <c r="F5483" s="7" t="s">
        <v>6939</v>
      </c>
      <c r="G5483" s="7" t="s">
        <v>7150</v>
      </c>
      <c r="H5483" s="7" t="s">
        <v>7156</v>
      </c>
      <c r="I5483" s="7"/>
      <c r="J5483" s="10">
        <v>41871</v>
      </c>
      <c r="K5483" s="7" t="s">
        <v>7165</v>
      </c>
      <c r="L5483" s="7"/>
      <c r="M5483" s="7"/>
    </row>
    <row r="5484" spans="1:13" x14ac:dyDescent="0.3">
      <c r="A5484" s="7">
        <v>980017</v>
      </c>
      <c r="B5484" s="7" t="s">
        <v>5490</v>
      </c>
      <c r="C5484" s="7" t="s">
        <v>7080</v>
      </c>
      <c r="D5484" s="7" t="s">
        <v>6295</v>
      </c>
      <c r="E5484" s="7" t="s">
        <v>6940</v>
      </c>
      <c r="F5484" s="7" t="s">
        <v>6941</v>
      </c>
      <c r="G5484" s="7" t="s">
        <v>7150</v>
      </c>
      <c r="H5484" s="7" t="s">
        <v>7156</v>
      </c>
      <c r="I5484" s="7"/>
      <c r="J5484" s="10">
        <v>42858</v>
      </c>
      <c r="K5484" s="7" t="s">
        <v>7165</v>
      </c>
      <c r="L5484" s="7"/>
      <c r="M5484" s="7"/>
    </row>
    <row r="5485" spans="1:13" x14ac:dyDescent="0.3">
      <c r="A5485" s="7">
        <v>810018</v>
      </c>
      <c r="B5485" s="7" t="s">
        <v>5491</v>
      </c>
      <c r="C5485" s="7" t="s">
        <v>7080</v>
      </c>
      <c r="D5485" s="7" t="s">
        <v>6295</v>
      </c>
      <c r="E5485" s="7" t="s">
        <v>6940</v>
      </c>
      <c r="F5485" s="7" t="s">
        <v>6941</v>
      </c>
      <c r="G5485" s="7" t="s">
        <v>7150</v>
      </c>
      <c r="H5485" s="7" t="s">
        <v>7156</v>
      </c>
      <c r="I5485" s="7"/>
      <c r="J5485" s="10">
        <v>42725</v>
      </c>
      <c r="K5485" s="7" t="s">
        <v>7165</v>
      </c>
      <c r="L5485" s="7"/>
      <c r="M5485" s="7"/>
    </row>
    <row r="5486" spans="1:13" x14ac:dyDescent="0.3">
      <c r="A5486" s="7">
        <v>201006</v>
      </c>
      <c r="B5486" s="7" t="s">
        <v>5492</v>
      </c>
      <c r="C5486" s="7" t="s">
        <v>7080</v>
      </c>
      <c r="D5486" s="7" t="s">
        <v>6295</v>
      </c>
      <c r="E5486" s="7" t="s">
        <v>6940</v>
      </c>
      <c r="F5486" s="7" t="s">
        <v>6943</v>
      </c>
      <c r="G5486" s="7" t="s">
        <v>7150</v>
      </c>
      <c r="H5486" s="7" t="s">
        <v>7156</v>
      </c>
      <c r="I5486" s="7"/>
      <c r="J5486" s="10">
        <v>44501</v>
      </c>
      <c r="K5486" s="7" t="s">
        <v>7165</v>
      </c>
      <c r="L5486" s="7"/>
      <c r="M5486" s="7"/>
    </row>
    <row r="5487" spans="1:13" x14ac:dyDescent="0.3">
      <c r="A5487" s="7">
        <v>16113</v>
      </c>
      <c r="B5487" s="7" t="s">
        <v>5493</v>
      </c>
      <c r="C5487" s="7" t="s">
        <v>7080</v>
      </c>
      <c r="D5487" s="7" t="s">
        <v>6295</v>
      </c>
      <c r="E5487" s="7" t="s">
        <v>6940</v>
      </c>
      <c r="F5487" s="7" t="s">
        <v>6949</v>
      </c>
      <c r="G5487" s="7" t="s">
        <v>7150</v>
      </c>
      <c r="H5487" s="7" t="s">
        <v>7156</v>
      </c>
      <c r="I5487" s="7"/>
      <c r="J5487" s="10">
        <v>45287</v>
      </c>
      <c r="K5487" s="7" t="s">
        <v>7165</v>
      </c>
      <c r="L5487" s="7"/>
      <c r="M5487" s="7"/>
    </row>
    <row r="5488" spans="1:13" x14ac:dyDescent="0.3">
      <c r="A5488" s="7">
        <v>18631</v>
      </c>
      <c r="B5488" s="7" t="s">
        <v>5494</v>
      </c>
      <c r="C5488" s="7" t="s">
        <v>7080</v>
      </c>
      <c r="D5488" s="7" t="s">
        <v>6295</v>
      </c>
      <c r="E5488" s="7" t="s">
        <v>6940</v>
      </c>
      <c r="F5488" s="7" t="s">
        <v>7004</v>
      </c>
      <c r="G5488" s="7" t="s">
        <v>7150</v>
      </c>
      <c r="H5488" s="7" t="s">
        <v>7156</v>
      </c>
      <c r="I5488" s="7"/>
      <c r="J5488" s="10">
        <v>46176</v>
      </c>
      <c r="K5488" s="7" t="s">
        <v>7165</v>
      </c>
      <c r="L5488" s="7"/>
      <c r="M5488" s="7"/>
    </row>
    <row r="5489" spans="1:13" x14ac:dyDescent="0.3">
      <c r="A5489" s="7">
        <v>660034</v>
      </c>
      <c r="B5489" s="7" t="s">
        <v>5495</v>
      </c>
      <c r="C5489" s="7" t="s">
        <v>7080</v>
      </c>
      <c r="D5489" s="7" t="s">
        <v>6295</v>
      </c>
      <c r="E5489" s="7" t="s">
        <v>6940</v>
      </c>
      <c r="F5489" s="7" t="s">
        <v>6980</v>
      </c>
      <c r="G5489" s="7" t="s">
        <v>7150</v>
      </c>
      <c r="H5489" s="7" t="s">
        <v>7156</v>
      </c>
      <c r="I5489" s="7"/>
      <c r="J5489" s="10">
        <v>43011</v>
      </c>
      <c r="K5489" s="7" t="s">
        <v>7165</v>
      </c>
      <c r="L5489" s="7"/>
      <c r="M5489" s="7"/>
    </row>
    <row r="5490" spans="1:13" x14ac:dyDescent="0.3">
      <c r="A5490" s="7">
        <v>750031</v>
      </c>
      <c r="B5490" s="7" t="s">
        <v>5496</v>
      </c>
      <c r="C5490" s="7" t="s">
        <v>7080</v>
      </c>
      <c r="D5490" s="7" t="s">
        <v>6295</v>
      </c>
      <c r="E5490" s="7" t="s">
        <v>6940</v>
      </c>
      <c r="F5490" s="7" t="s">
        <v>6980</v>
      </c>
      <c r="G5490" s="7" t="s">
        <v>7150</v>
      </c>
      <c r="H5490" s="7" t="s">
        <v>7156</v>
      </c>
      <c r="I5490" s="7"/>
      <c r="J5490" s="10">
        <v>43325</v>
      </c>
      <c r="K5490" s="7" t="s">
        <v>7165</v>
      </c>
      <c r="L5490" s="7"/>
      <c r="M5490" s="7"/>
    </row>
    <row r="5491" spans="1:13" x14ac:dyDescent="0.3">
      <c r="A5491" s="7">
        <v>660047</v>
      </c>
      <c r="B5491" s="7" t="s">
        <v>5497</v>
      </c>
      <c r="C5491" s="7" t="s">
        <v>7080</v>
      </c>
      <c r="D5491" s="7" t="s">
        <v>6295</v>
      </c>
      <c r="E5491" s="7" t="s">
        <v>6940</v>
      </c>
      <c r="F5491" s="7" t="s">
        <v>6986</v>
      </c>
      <c r="G5491" s="7" t="s">
        <v>7150</v>
      </c>
      <c r="H5491" s="7" t="s">
        <v>7156</v>
      </c>
      <c r="I5491" s="7"/>
      <c r="J5491" s="10">
        <v>44502</v>
      </c>
      <c r="K5491" s="7" t="s">
        <v>7165</v>
      </c>
      <c r="L5491" s="7"/>
      <c r="M5491" s="7"/>
    </row>
    <row r="5492" spans="1:13" x14ac:dyDescent="0.3">
      <c r="A5492" s="7">
        <v>19256</v>
      </c>
      <c r="B5492" s="7" t="s">
        <v>5498</v>
      </c>
      <c r="C5492" s="7" t="s">
        <v>7080</v>
      </c>
      <c r="D5492" s="7" t="s">
        <v>6295</v>
      </c>
      <c r="E5492" s="7" t="s">
        <v>6940</v>
      </c>
      <c r="F5492" s="7" t="s">
        <v>6998</v>
      </c>
      <c r="G5492" s="7" t="s">
        <v>7150</v>
      </c>
      <c r="H5492" s="7" t="s">
        <v>7156</v>
      </c>
      <c r="I5492" s="7"/>
      <c r="J5492" s="10">
        <v>46287</v>
      </c>
      <c r="K5492" s="7" t="s">
        <v>7165</v>
      </c>
      <c r="L5492" s="7"/>
      <c r="M5492" s="7"/>
    </row>
    <row r="5493" spans="1:13" x14ac:dyDescent="0.3">
      <c r="A5493" s="7">
        <v>660032</v>
      </c>
      <c r="B5493" s="7" t="s">
        <v>5499</v>
      </c>
      <c r="C5493" s="7" t="s">
        <v>7080</v>
      </c>
      <c r="D5493" s="7" t="s">
        <v>6295</v>
      </c>
      <c r="E5493" s="7" t="s">
        <v>6951</v>
      </c>
      <c r="F5493" s="7" t="s">
        <v>6398</v>
      </c>
      <c r="G5493" s="7" t="s">
        <v>7150</v>
      </c>
      <c r="H5493" s="7" t="s">
        <v>7156</v>
      </c>
      <c r="I5493" s="7"/>
      <c r="J5493" s="10">
        <v>42866</v>
      </c>
      <c r="K5493" s="7" t="s">
        <v>7165</v>
      </c>
      <c r="L5493" s="7"/>
      <c r="M5493" s="7"/>
    </row>
    <row r="5494" spans="1:13" x14ac:dyDescent="0.3">
      <c r="A5494" s="7">
        <v>115016</v>
      </c>
      <c r="B5494" s="7" t="s">
        <v>5500</v>
      </c>
      <c r="C5494" s="7" t="s">
        <v>7081</v>
      </c>
      <c r="D5494" s="7" t="s">
        <v>6295</v>
      </c>
      <c r="E5494" s="7" t="s">
        <v>6940</v>
      </c>
      <c r="F5494" s="7" t="s">
        <v>6980</v>
      </c>
      <c r="G5494" s="7" t="s">
        <v>7150</v>
      </c>
      <c r="H5494" s="7" t="s">
        <v>7156</v>
      </c>
      <c r="I5494" s="7"/>
      <c r="J5494" s="10">
        <v>42810</v>
      </c>
      <c r="K5494" s="7" t="s">
        <v>7165</v>
      </c>
      <c r="L5494" s="7"/>
      <c r="M5494" s="7"/>
    </row>
    <row r="5495" spans="1:13" x14ac:dyDescent="0.3">
      <c r="A5495" s="7">
        <v>115006</v>
      </c>
      <c r="B5495" s="7" t="s">
        <v>5501</v>
      </c>
      <c r="C5495" s="7" t="s">
        <v>7081</v>
      </c>
      <c r="D5495" s="7" t="s">
        <v>6295</v>
      </c>
      <c r="E5495" s="7" t="s">
        <v>6940</v>
      </c>
      <c r="F5495" s="7" t="s">
        <v>6980</v>
      </c>
      <c r="G5495" s="7" t="s">
        <v>7150</v>
      </c>
      <c r="H5495" s="7" t="s">
        <v>7156</v>
      </c>
      <c r="I5495" s="7"/>
      <c r="J5495" s="10">
        <v>41170</v>
      </c>
      <c r="K5495" s="7" t="s">
        <v>7165</v>
      </c>
      <c r="L5495" s="7"/>
      <c r="M5495" s="7"/>
    </row>
    <row r="5496" spans="1:13" x14ac:dyDescent="0.3">
      <c r="A5496" s="7">
        <v>115014</v>
      </c>
      <c r="B5496" s="7" t="s">
        <v>5502</v>
      </c>
      <c r="C5496" s="7" t="s">
        <v>7081</v>
      </c>
      <c r="D5496" s="7" t="s">
        <v>6295</v>
      </c>
      <c r="E5496" s="7" t="s">
        <v>6940</v>
      </c>
      <c r="F5496" s="7" t="s">
        <v>6986</v>
      </c>
      <c r="G5496" s="7" t="s">
        <v>7150</v>
      </c>
      <c r="H5496" s="7" t="s">
        <v>7156</v>
      </c>
      <c r="I5496" s="7"/>
      <c r="J5496" s="10">
        <v>42342</v>
      </c>
      <c r="K5496" s="7" t="s">
        <v>7165</v>
      </c>
      <c r="L5496" s="7"/>
      <c r="M5496" s="7"/>
    </row>
    <row r="5497" spans="1:13" x14ac:dyDescent="0.3">
      <c r="A5497" s="7">
        <v>18079</v>
      </c>
      <c r="B5497" s="7" t="s">
        <v>5503</v>
      </c>
      <c r="C5497" s="7" t="s">
        <v>7081</v>
      </c>
      <c r="D5497" s="7" t="s">
        <v>6295</v>
      </c>
      <c r="E5497" s="7" t="s">
        <v>6940</v>
      </c>
      <c r="F5497" s="7" t="s">
        <v>6988</v>
      </c>
      <c r="G5497" s="7" t="s">
        <v>7150</v>
      </c>
      <c r="H5497" s="7" t="s">
        <v>7156</v>
      </c>
      <c r="I5497" s="7"/>
      <c r="J5497" s="10">
        <v>45986</v>
      </c>
      <c r="K5497" s="7" t="s">
        <v>7165</v>
      </c>
      <c r="L5497" s="7"/>
      <c r="M5497" s="7"/>
    </row>
    <row r="5498" spans="1:13" x14ac:dyDescent="0.3">
      <c r="A5498" s="7">
        <v>115010</v>
      </c>
      <c r="B5498" s="7" t="s">
        <v>5504</v>
      </c>
      <c r="C5498" s="7" t="s">
        <v>7081</v>
      </c>
      <c r="D5498" s="7" t="s">
        <v>6295</v>
      </c>
      <c r="E5498" s="7" t="s">
        <v>6951</v>
      </c>
      <c r="F5498" s="7" t="s">
        <v>6398</v>
      </c>
      <c r="G5498" s="7" t="s">
        <v>7150</v>
      </c>
      <c r="H5498" s="7" t="s">
        <v>7156</v>
      </c>
      <c r="I5498" s="7"/>
      <c r="J5498" s="10">
        <v>41352</v>
      </c>
      <c r="K5498" s="7" t="s">
        <v>7165</v>
      </c>
      <c r="L5498" s="7"/>
      <c r="M5498" s="7"/>
    </row>
    <row r="5499" spans="1:13" x14ac:dyDescent="0.3">
      <c r="A5499" s="7">
        <v>590006</v>
      </c>
      <c r="B5499" s="7" t="s">
        <v>5505</v>
      </c>
      <c r="C5499" s="7" t="s">
        <v>7082</v>
      </c>
      <c r="D5499" s="7" t="s">
        <v>6295</v>
      </c>
      <c r="E5499" s="7" t="s">
        <v>6295</v>
      </c>
      <c r="F5499" s="7" t="s">
        <v>6939</v>
      </c>
      <c r="G5499" s="7" t="s">
        <v>7150</v>
      </c>
      <c r="H5499" s="7" t="s">
        <v>7156</v>
      </c>
      <c r="I5499" s="7"/>
      <c r="J5499" s="10">
        <v>41071</v>
      </c>
      <c r="K5499" s="7" t="s">
        <v>7165</v>
      </c>
      <c r="L5499" s="7"/>
      <c r="M5499" s="7"/>
    </row>
    <row r="5500" spans="1:13" x14ac:dyDescent="0.3">
      <c r="A5500" s="7">
        <v>720016</v>
      </c>
      <c r="B5500" s="7" t="s">
        <v>5506</v>
      </c>
      <c r="C5500" s="7" t="s">
        <v>7082</v>
      </c>
      <c r="D5500" s="7" t="s">
        <v>6295</v>
      </c>
      <c r="E5500" s="7" t="s">
        <v>6940</v>
      </c>
      <c r="F5500" s="7" t="s">
        <v>6980</v>
      </c>
      <c r="G5500" s="7" t="s">
        <v>7150</v>
      </c>
      <c r="H5500" s="7" t="s">
        <v>7156</v>
      </c>
      <c r="I5500" s="7"/>
      <c r="J5500" s="10">
        <v>39444</v>
      </c>
      <c r="K5500" s="7" t="s">
        <v>7165</v>
      </c>
      <c r="L5500" s="7"/>
      <c r="M5500" s="7"/>
    </row>
    <row r="5501" spans="1:13" x14ac:dyDescent="0.3">
      <c r="A5501" s="7">
        <v>15255</v>
      </c>
      <c r="B5501" s="7" t="s">
        <v>5507</v>
      </c>
      <c r="C5501" s="7" t="s">
        <v>7082</v>
      </c>
      <c r="D5501" s="7" t="s">
        <v>6295</v>
      </c>
      <c r="E5501" s="7" t="s">
        <v>6940</v>
      </c>
      <c r="F5501" s="7" t="s">
        <v>6986</v>
      </c>
      <c r="G5501" s="7" t="s">
        <v>7150</v>
      </c>
      <c r="H5501" s="7" t="s">
        <v>7156</v>
      </c>
      <c r="I5501" s="7"/>
      <c r="J5501" s="10">
        <v>45001</v>
      </c>
      <c r="K5501" s="7" t="s">
        <v>7165</v>
      </c>
      <c r="L5501" s="7"/>
      <c r="M5501" s="7"/>
    </row>
    <row r="5502" spans="1:13" x14ac:dyDescent="0.3">
      <c r="A5502" s="7">
        <v>18668</v>
      </c>
      <c r="B5502" s="7" t="s">
        <v>5508</v>
      </c>
      <c r="C5502" s="7" t="s">
        <v>7082</v>
      </c>
      <c r="D5502" s="7" t="s">
        <v>6295</v>
      </c>
      <c r="E5502" s="7" t="s">
        <v>6940</v>
      </c>
      <c r="F5502" s="7" t="s">
        <v>7013</v>
      </c>
      <c r="G5502" s="7" t="s">
        <v>7150</v>
      </c>
      <c r="H5502" s="7" t="s">
        <v>7156</v>
      </c>
      <c r="I5502" s="7"/>
      <c r="J5502" s="10">
        <v>46190</v>
      </c>
      <c r="K5502" s="7" t="s">
        <v>7165</v>
      </c>
      <c r="L5502" s="7"/>
      <c r="M5502" s="7"/>
    </row>
    <row r="5503" spans="1:13" x14ac:dyDescent="0.3">
      <c r="A5503" s="7">
        <v>17223</v>
      </c>
      <c r="B5503" s="7" t="s">
        <v>5509</v>
      </c>
      <c r="C5503" s="7" t="s">
        <v>7082</v>
      </c>
      <c r="D5503" s="7" t="s">
        <v>6295</v>
      </c>
      <c r="E5503" s="7" t="s">
        <v>6940</v>
      </c>
      <c r="F5503" s="7" t="s">
        <v>6988</v>
      </c>
      <c r="G5503" s="7" t="s">
        <v>7150</v>
      </c>
      <c r="H5503" s="7" t="s">
        <v>7156</v>
      </c>
      <c r="I5503" s="7"/>
      <c r="J5503" s="10">
        <v>45672</v>
      </c>
      <c r="K5503" s="7" t="s">
        <v>7165</v>
      </c>
      <c r="L5503" s="7"/>
      <c r="M5503" s="7"/>
    </row>
    <row r="5504" spans="1:13" x14ac:dyDescent="0.3">
      <c r="A5504" s="7">
        <v>17568</v>
      </c>
      <c r="B5504" s="7" t="s">
        <v>5510</v>
      </c>
      <c r="C5504" s="7" t="s">
        <v>7082</v>
      </c>
      <c r="D5504" s="7" t="s">
        <v>6295</v>
      </c>
      <c r="E5504" s="7" t="s">
        <v>6940</v>
      </c>
      <c r="F5504" s="7" t="s">
        <v>6949</v>
      </c>
      <c r="G5504" s="7" t="s">
        <v>7150</v>
      </c>
      <c r="H5504" s="7" t="s">
        <v>7156</v>
      </c>
      <c r="I5504" s="7"/>
      <c r="J5504" s="10">
        <v>45793</v>
      </c>
      <c r="K5504" s="7" t="s">
        <v>7165</v>
      </c>
      <c r="L5504" s="7"/>
      <c r="M5504" s="7"/>
    </row>
    <row r="5505" spans="1:13" x14ac:dyDescent="0.3">
      <c r="A5505" s="7">
        <v>15533</v>
      </c>
      <c r="B5505" s="7" t="s">
        <v>5511</v>
      </c>
      <c r="C5505" s="7" t="s">
        <v>7082</v>
      </c>
      <c r="D5505" s="7" t="s">
        <v>6295</v>
      </c>
      <c r="E5505" s="7" t="s">
        <v>6951</v>
      </c>
      <c r="F5505" s="7" t="s">
        <v>6952</v>
      </c>
      <c r="G5505" s="7" t="s">
        <v>7150</v>
      </c>
      <c r="H5505" s="7" t="s">
        <v>7156</v>
      </c>
      <c r="I5505" s="7"/>
      <c r="J5505" s="10">
        <v>45112</v>
      </c>
      <c r="K5505" s="7" t="s">
        <v>7165</v>
      </c>
      <c r="L5505" s="7"/>
      <c r="M5505" s="7"/>
    </row>
    <row r="5506" spans="1:13" x14ac:dyDescent="0.3">
      <c r="A5506" s="7">
        <v>440032</v>
      </c>
      <c r="B5506" s="7" t="s">
        <v>5512</v>
      </c>
      <c r="C5506" s="7" t="s">
        <v>7083</v>
      </c>
      <c r="D5506" s="7" t="s">
        <v>6295</v>
      </c>
      <c r="E5506" s="7" t="s">
        <v>6295</v>
      </c>
      <c r="F5506" s="7" t="s">
        <v>6939</v>
      </c>
      <c r="G5506" s="7" t="s">
        <v>7150</v>
      </c>
      <c r="H5506" s="7" t="s">
        <v>7156</v>
      </c>
      <c r="I5506" s="7"/>
      <c r="J5506" s="10">
        <v>42339</v>
      </c>
      <c r="K5506" s="7" t="s">
        <v>7165</v>
      </c>
      <c r="L5506" s="7"/>
      <c r="M5506" s="7"/>
    </row>
    <row r="5507" spans="1:13" x14ac:dyDescent="0.3">
      <c r="A5507" s="7">
        <v>14071</v>
      </c>
      <c r="B5507" s="7" t="s">
        <v>5513</v>
      </c>
      <c r="C5507" s="7" t="s">
        <v>7083</v>
      </c>
      <c r="D5507" s="7" t="s">
        <v>6295</v>
      </c>
      <c r="E5507" s="7" t="s">
        <v>6940</v>
      </c>
      <c r="F5507" s="7" t="s">
        <v>6943</v>
      </c>
      <c r="G5507" s="7" t="s">
        <v>7150</v>
      </c>
      <c r="H5507" s="7" t="s">
        <v>7156</v>
      </c>
      <c r="I5507" s="7"/>
      <c r="J5507" s="10">
        <v>44652</v>
      </c>
      <c r="K5507" s="7" t="s">
        <v>7165</v>
      </c>
      <c r="L5507" s="7"/>
      <c r="M5507" s="7"/>
    </row>
    <row r="5508" spans="1:13" x14ac:dyDescent="0.3">
      <c r="A5508" s="7">
        <v>15478</v>
      </c>
      <c r="B5508" s="7" t="s">
        <v>5514</v>
      </c>
      <c r="C5508" s="7" t="s">
        <v>7083</v>
      </c>
      <c r="D5508" s="7" t="s">
        <v>6295</v>
      </c>
      <c r="E5508" s="7" t="s">
        <v>6940</v>
      </c>
      <c r="F5508" s="7" t="s">
        <v>6988</v>
      </c>
      <c r="G5508" s="7" t="s">
        <v>7150</v>
      </c>
      <c r="H5508" s="7" t="s">
        <v>7156</v>
      </c>
      <c r="I5508" s="7"/>
      <c r="J5508" s="10">
        <v>45086</v>
      </c>
      <c r="K5508" s="7" t="s">
        <v>7165</v>
      </c>
      <c r="L5508" s="7"/>
      <c r="M5508" s="7"/>
    </row>
    <row r="5509" spans="1:13" x14ac:dyDescent="0.3">
      <c r="A5509" s="7">
        <v>14837</v>
      </c>
      <c r="B5509" s="7" t="s">
        <v>5515</v>
      </c>
      <c r="C5509" s="7" t="s">
        <v>7083</v>
      </c>
      <c r="D5509" s="7" t="s">
        <v>6295</v>
      </c>
      <c r="E5509" s="7" t="s">
        <v>6940</v>
      </c>
      <c r="F5509" s="7" t="s">
        <v>6949</v>
      </c>
      <c r="G5509" s="7" t="s">
        <v>7150</v>
      </c>
      <c r="H5509" s="7" t="s">
        <v>7156</v>
      </c>
      <c r="I5509" s="7"/>
      <c r="J5509" s="10">
        <v>44875</v>
      </c>
      <c r="K5509" s="7" t="s">
        <v>7165</v>
      </c>
      <c r="L5509" s="7"/>
      <c r="M5509" s="7"/>
    </row>
    <row r="5510" spans="1:13" x14ac:dyDescent="0.3">
      <c r="A5510" s="7">
        <v>17247</v>
      </c>
      <c r="B5510" s="7" t="s">
        <v>5516</v>
      </c>
      <c r="C5510" s="7" t="s">
        <v>7083</v>
      </c>
      <c r="D5510" s="7" t="s">
        <v>6295</v>
      </c>
      <c r="E5510" s="7" t="s">
        <v>6940</v>
      </c>
      <c r="F5510" s="7" t="s">
        <v>6989</v>
      </c>
      <c r="G5510" s="7" t="s">
        <v>7150</v>
      </c>
      <c r="H5510" s="7" t="s">
        <v>7156</v>
      </c>
      <c r="I5510" s="7"/>
      <c r="J5510" s="10">
        <v>45681</v>
      </c>
      <c r="K5510" s="7" t="s">
        <v>7165</v>
      </c>
      <c r="L5510" s="7"/>
      <c r="M5510" s="7"/>
    </row>
    <row r="5511" spans="1:13" x14ac:dyDescent="0.3">
      <c r="A5511" s="7">
        <v>118027</v>
      </c>
      <c r="B5511" s="7" t="s">
        <v>5517</v>
      </c>
      <c r="C5511" s="7" t="s">
        <v>7083</v>
      </c>
      <c r="D5511" s="7" t="s">
        <v>6295</v>
      </c>
      <c r="E5511" s="7" t="s">
        <v>6940</v>
      </c>
      <c r="F5511" s="7" t="s">
        <v>6980</v>
      </c>
      <c r="G5511" s="7" t="s">
        <v>7150</v>
      </c>
      <c r="H5511" s="7" t="s">
        <v>7156</v>
      </c>
      <c r="I5511" s="7"/>
      <c r="J5511" s="10">
        <v>43199</v>
      </c>
      <c r="K5511" s="7" t="s">
        <v>7165</v>
      </c>
      <c r="L5511" s="7"/>
      <c r="M5511" s="7"/>
    </row>
    <row r="5512" spans="1:13" x14ac:dyDescent="0.3">
      <c r="A5512" s="7">
        <v>118029</v>
      </c>
      <c r="B5512" s="7" t="s">
        <v>5518</v>
      </c>
      <c r="C5512" s="7" t="s">
        <v>7083</v>
      </c>
      <c r="D5512" s="7" t="s">
        <v>6295</v>
      </c>
      <c r="E5512" s="7" t="s">
        <v>6940</v>
      </c>
      <c r="F5512" s="7" t="s">
        <v>6980</v>
      </c>
      <c r="G5512" s="7" t="s">
        <v>7150</v>
      </c>
      <c r="H5512" s="7" t="s">
        <v>7156</v>
      </c>
      <c r="I5512" s="7"/>
      <c r="J5512" s="10">
        <v>43257</v>
      </c>
      <c r="K5512" s="7" t="s">
        <v>7165</v>
      </c>
      <c r="L5512" s="7"/>
      <c r="M5512" s="7"/>
    </row>
    <row r="5513" spans="1:13" x14ac:dyDescent="0.3">
      <c r="A5513" s="7">
        <v>118013</v>
      </c>
      <c r="B5513" s="7" t="s">
        <v>5519</v>
      </c>
      <c r="C5513" s="7" t="s">
        <v>7083</v>
      </c>
      <c r="D5513" s="7" t="s">
        <v>6295</v>
      </c>
      <c r="E5513" s="7" t="s">
        <v>6940</v>
      </c>
      <c r="F5513" s="7" t="s">
        <v>6980</v>
      </c>
      <c r="G5513" s="7" t="s">
        <v>7150</v>
      </c>
      <c r="H5513" s="7" t="s">
        <v>7156</v>
      </c>
      <c r="I5513" s="7"/>
      <c r="J5513" s="10">
        <v>39874</v>
      </c>
      <c r="K5513" s="7" t="s">
        <v>7165</v>
      </c>
      <c r="L5513" s="7"/>
      <c r="M5513" s="7"/>
    </row>
    <row r="5514" spans="1:13" x14ac:dyDescent="0.3">
      <c r="A5514" s="7">
        <v>118033</v>
      </c>
      <c r="B5514" s="7" t="s">
        <v>5520</v>
      </c>
      <c r="C5514" s="7" t="s">
        <v>7083</v>
      </c>
      <c r="D5514" s="7" t="s">
        <v>6295</v>
      </c>
      <c r="E5514" s="7" t="s">
        <v>6940</v>
      </c>
      <c r="F5514" s="7" t="s">
        <v>6986</v>
      </c>
      <c r="G5514" s="7" t="s">
        <v>7150</v>
      </c>
      <c r="H5514" s="7" t="s">
        <v>7156</v>
      </c>
      <c r="I5514" s="7"/>
      <c r="J5514" s="10">
        <v>44552</v>
      </c>
      <c r="K5514" s="7" t="s">
        <v>7165</v>
      </c>
      <c r="L5514" s="7"/>
      <c r="M5514" s="7"/>
    </row>
    <row r="5515" spans="1:13" x14ac:dyDescent="0.3">
      <c r="A5515" s="7">
        <v>118011</v>
      </c>
      <c r="B5515" s="7" t="s">
        <v>5521</v>
      </c>
      <c r="C5515" s="7" t="s">
        <v>7083</v>
      </c>
      <c r="D5515" s="7" t="s">
        <v>6295</v>
      </c>
      <c r="E5515" s="7" t="s">
        <v>6951</v>
      </c>
      <c r="F5515" s="7" t="s">
        <v>6398</v>
      </c>
      <c r="G5515" s="7" t="s">
        <v>7150</v>
      </c>
      <c r="H5515" s="7" t="s">
        <v>7156</v>
      </c>
      <c r="I5515" s="7"/>
      <c r="J5515" s="10">
        <v>36708</v>
      </c>
      <c r="K5515" s="7" t="s">
        <v>7165</v>
      </c>
      <c r="L5515" s="7"/>
      <c r="M5515" s="7"/>
    </row>
    <row r="5516" spans="1:13" x14ac:dyDescent="0.3">
      <c r="A5516" s="7">
        <v>630016</v>
      </c>
      <c r="B5516" s="7" t="s">
        <v>5522</v>
      </c>
      <c r="C5516" s="7" t="s">
        <v>7084</v>
      </c>
      <c r="D5516" s="7" t="s">
        <v>6295</v>
      </c>
      <c r="E5516" s="7" t="s">
        <v>6295</v>
      </c>
      <c r="F5516" s="7" t="s">
        <v>6939</v>
      </c>
      <c r="G5516" s="7" t="s">
        <v>7150</v>
      </c>
      <c r="H5516" s="7" t="s">
        <v>7156</v>
      </c>
      <c r="I5516" s="7"/>
      <c r="J5516" s="10">
        <v>42430</v>
      </c>
      <c r="K5516" s="7" t="s">
        <v>7165</v>
      </c>
      <c r="L5516" s="7"/>
      <c r="M5516" s="7"/>
    </row>
    <row r="5517" spans="1:13" x14ac:dyDescent="0.3">
      <c r="A5517" s="7">
        <v>14523</v>
      </c>
      <c r="B5517" s="7" t="s">
        <v>5523</v>
      </c>
      <c r="C5517" s="7" t="s">
        <v>7084</v>
      </c>
      <c r="D5517" s="7" t="s">
        <v>6295</v>
      </c>
      <c r="E5517" s="7" t="s">
        <v>6940</v>
      </c>
      <c r="F5517" s="7" t="s">
        <v>6979</v>
      </c>
      <c r="G5517" s="7" t="s">
        <v>7150</v>
      </c>
      <c r="H5517" s="7" t="s">
        <v>7156</v>
      </c>
      <c r="I5517" s="7"/>
      <c r="J5517" s="10">
        <v>44777</v>
      </c>
      <c r="K5517" s="7" t="s">
        <v>7165</v>
      </c>
      <c r="L5517" s="7"/>
      <c r="M5517" s="7"/>
    </row>
    <row r="5518" spans="1:13" x14ac:dyDescent="0.3">
      <c r="A5518" s="7">
        <v>890014</v>
      </c>
      <c r="B5518" s="7" t="s">
        <v>5524</v>
      </c>
      <c r="C5518" s="7" t="s">
        <v>7084</v>
      </c>
      <c r="D5518" s="7" t="s">
        <v>6295</v>
      </c>
      <c r="E5518" s="7" t="s">
        <v>6940</v>
      </c>
      <c r="F5518" s="7" t="s">
        <v>6980</v>
      </c>
      <c r="G5518" s="7" t="s">
        <v>7150</v>
      </c>
      <c r="H5518" s="7" t="s">
        <v>7156</v>
      </c>
      <c r="I5518" s="7"/>
      <c r="J5518" s="10">
        <v>42019</v>
      </c>
      <c r="K5518" s="7" t="s">
        <v>7165</v>
      </c>
      <c r="L5518" s="7"/>
      <c r="M5518" s="7"/>
    </row>
    <row r="5519" spans="1:13" x14ac:dyDescent="0.3">
      <c r="A5519" s="7">
        <v>890017</v>
      </c>
      <c r="B5519" s="7" t="s">
        <v>5525</v>
      </c>
      <c r="C5519" s="7" t="s">
        <v>7084</v>
      </c>
      <c r="D5519" s="7" t="s">
        <v>6295</v>
      </c>
      <c r="E5519" s="7" t="s">
        <v>6940</v>
      </c>
      <c r="F5519" s="7" t="s">
        <v>6980</v>
      </c>
      <c r="G5519" s="7" t="s">
        <v>7150</v>
      </c>
      <c r="H5519" s="7" t="s">
        <v>7156</v>
      </c>
      <c r="I5519" s="7"/>
      <c r="J5519" s="10">
        <v>42800</v>
      </c>
      <c r="K5519" s="7" t="s">
        <v>7165</v>
      </c>
      <c r="L5519" s="7"/>
      <c r="M5519" s="7"/>
    </row>
    <row r="5520" spans="1:13" x14ac:dyDescent="0.3">
      <c r="A5520" s="7">
        <v>890013</v>
      </c>
      <c r="B5520" s="7" t="s">
        <v>5526</v>
      </c>
      <c r="C5520" s="7" t="s">
        <v>7084</v>
      </c>
      <c r="D5520" s="7" t="s">
        <v>6295</v>
      </c>
      <c r="E5520" s="7" t="s">
        <v>6940</v>
      </c>
      <c r="F5520" s="7" t="s">
        <v>6980</v>
      </c>
      <c r="G5520" s="7" t="s">
        <v>7150</v>
      </c>
      <c r="H5520" s="7" t="s">
        <v>7156</v>
      </c>
      <c r="I5520" s="7"/>
      <c r="J5520" s="10">
        <v>41646</v>
      </c>
      <c r="K5520" s="7" t="s">
        <v>7165</v>
      </c>
      <c r="L5520" s="7"/>
      <c r="M5520" s="7"/>
    </row>
    <row r="5521" spans="1:13" x14ac:dyDescent="0.3">
      <c r="A5521" s="7">
        <v>890020</v>
      </c>
      <c r="B5521" s="7" t="s">
        <v>5527</v>
      </c>
      <c r="C5521" s="7" t="s">
        <v>7084</v>
      </c>
      <c r="D5521" s="7" t="s">
        <v>6295</v>
      </c>
      <c r="E5521" s="7" t="s">
        <v>6940</v>
      </c>
      <c r="F5521" s="7" t="s">
        <v>6992</v>
      </c>
      <c r="G5521" s="7" t="s">
        <v>7151</v>
      </c>
      <c r="H5521" s="7" t="s">
        <v>7156</v>
      </c>
      <c r="I5521" s="7"/>
      <c r="J5521" s="10">
        <v>43294</v>
      </c>
      <c r="K5521" s="7" t="s">
        <v>7165</v>
      </c>
      <c r="L5521" s="7"/>
      <c r="M5521" s="7"/>
    </row>
    <row r="5522" spans="1:13" x14ac:dyDescent="0.3">
      <c r="A5522" s="7">
        <v>17827</v>
      </c>
      <c r="B5522" s="7" t="s">
        <v>5528</v>
      </c>
      <c r="C5522" s="7" t="s">
        <v>7084</v>
      </c>
      <c r="D5522" s="7" t="s">
        <v>6295</v>
      </c>
      <c r="E5522" s="7" t="s">
        <v>6940</v>
      </c>
      <c r="F5522" s="7" t="s">
        <v>7021</v>
      </c>
      <c r="G5522" s="7" t="s">
        <v>7150</v>
      </c>
      <c r="H5522" s="7" t="s">
        <v>7157</v>
      </c>
      <c r="I5522" s="7"/>
      <c r="J5522" s="10">
        <v>45884</v>
      </c>
      <c r="K5522" s="7" t="s">
        <v>7165</v>
      </c>
      <c r="L5522" s="7"/>
      <c r="M5522" s="7"/>
    </row>
    <row r="5523" spans="1:13" x14ac:dyDescent="0.3">
      <c r="A5523" s="7">
        <v>890015</v>
      </c>
      <c r="B5523" s="7" t="s">
        <v>5529</v>
      </c>
      <c r="C5523" s="7" t="s">
        <v>7084</v>
      </c>
      <c r="D5523" s="7" t="s">
        <v>6295</v>
      </c>
      <c r="E5523" s="7" t="s">
        <v>6951</v>
      </c>
      <c r="F5523" s="7" t="s">
        <v>6398</v>
      </c>
      <c r="G5523" s="7" t="s">
        <v>7150</v>
      </c>
      <c r="H5523" s="7" t="s">
        <v>7156</v>
      </c>
      <c r="I5523" s="7"/>
      <c r="J5523" s="10">
        <v>42627</v>
      </c>
      <c r="K5523" s="7" t="s">
        <v>7165</v>
      </c>
      <c r="L5523" s="7"/>
      <c r="M5523" s="7"/>
    </row>
    <row r="5524" spans="1:13" x14ac:dyDescent="0.3">
      <c r="A5524" s="7">
        <v>540001</v>
      </c>
      <c r="B5524" s="7" t="s">
        <v>5530</v>
      </c>
      <c r="C5524" s="7" t="s">
        <v>7085</v>
      </c>
      <c r="D5524" s="7" t="s">
        <v>6295</v>
      </c>
      <c r="E5524" s="7" t="s">
        <v>6295</v>
      </c>
      <c r="F5524" s="7" t="s">
        <v>6939</v>
      </c>
      <c r="G5524" s="7" t="s">
        <v>7150</v>
      </c>
      <c r="H5524" s="7" t="s">
        <v>7156</v>
      </c>
      <c r="I5524" s="7"/>
      <c r="J5524" s="10">
        <v>40429</v>
      </c>
      <c r="K5524" s="7" t="s">
        <v>7165</v>
      </c>
      <c r="L5524" s="7"/>
      <c r="M5524" s="7"/>
    </row>
    <row r="5525" spans="1:13" x14ac:dyDescent="0.3">
      <c r="A5525" s="7">
        <v>310034</v>
      </c>
      <c r="B5525" s="7" t="s">
        <v>5531</v>
      </c>
      <c r="C5525" s="7" t="s">
        <v>7085</v>
      </c>
      <c r="D5525" s="7" t="s">
        <v>6295</v>
      </c>
      <c r="E5525" s="7" t="s">
        <v>6940</v>
      </c>
      <c r="F5525" s="7" t="s">
        <v>6498</v>
      </c>
      <c r="G5525" s="7" t="s">
        <v>7150</v>
      </c>
      <c r="H5525" s="7" t="s">
        <v>7156</v>
      </c>
      <c r="I5525" s="7"/>
      <c r="J5525" s="10">
        <v>42984</v>
      </c>
      <c r="K5525" s="7" t="s">
        <v>7165</v>
      </c>
      <c r="L5525" s="7"/>
      <c r="M5525" s="7"/>
    </row>
    <row r="5526" spans="1:13" x14ac:dyDescent="0.3">
      <c r="A5526" s="7">
        <v>290059</v>
      </c>
      <c r="B5526" s="7" t="s">
        <v>5532</v>
      </c>
      <c r="C5526" s="7" t="s">
        <v>7085</v>
      </c>
      <c r="D5526" s="7" t="s">
        <v>6295</v>
      </c>
      <c r="E5526" s="7" t="s">
        <v>6940</v>
      </c>
      <c r="F5526" s="7" t="s">
        <v>6996</v>
      </c>
      <c r="G5526" s="7" t="s">
        <v>7150</v>
      </c>
      <c r="H5526" s="7" t="s">
        <v>7156</v>
      </c>
      <c r="I5526" s="7"/>
      <c r="J5526" s="10">
        <v>44097</v>
      </c>
      <c r="K5526" s="7" t="s">
        <v>7165</v>
      </c>
      <c r="L5526" s="7"/>
      <c r="M5526" s="7"/>
    </row>
    <row r="5527" spans="1:13" x14ac:dyDescent="0.3">
      <c r="A5527" s="7">
        <v>290035</v>
      </c>
      <c r="B5527" s="7" t="s">
        <v>5533</v>
      </c>
      <c r="C5527" s="7" t="s">
        <v>7085</v>
      </c>
      <c r="D5527" s="7" t="s">
        <v>6295</v>
      </c>
      <c r="E5527" s="7" t="s">
        <v>6940</v>
      </c>
      <c r="F5527" s="7" t="s">
        <v>6991</v>
      </c>
      <c r="G5527" s="7" t="s">
        <v>7150</v>
      </c>
      <c r="H5527" s="7" t="s">
        <v>7156</v>
      </c>
      <c r="I5527" s="7"/>
      <c r="J5527" s="10">
        <v>42142</v>
      </c>
      <c r="K5527" s="7" t="s">
        <v>7165</v>
      </c>
      <c r="L5527" s="7"/>
      <c r="M5527" s="7"/>
    </row>
    <row r="5528" spans="1:13" x14ac:dyDescent="0.3">
      <c r="A5528" s="7">
        <v>300046</v>
      </c>
      <c r="B5528" s="7" t="s">
        <v>5534</v>
      </c>
      <c r="C5528" s="7" t="s">
        <v>7085</v>
      </c>
      <c r="D5528" s="7" t="s">
        <v>6295</v>
      </c>
      <c r="E5528" s="7" t="s">
        <v>6940</v>
      </c>
      <c r="F5528" s="7" t="s">
        <v>6991</v>
      </c>
      <c r="G5528" s="7" t="s">
        <v>7150</v>
      </c>
      <c r="H5528" s="7" t="s">
        <v>7156</v>
      </c>
      <c r="I5528" s="7"/>
      <c r="J5528" s="10">
        <v>42720</v>
      </c>
      <c r="K5528" s="7" t="s">
        <v>7165</v>
      </c>
      <c r="L5528" s="7"/>
      <c r="M5528" s="7"/>
    </row>
    <row r="5529" spans="1:13" x14ac:dyDescent="0.3">
      <c r="A5529" s="7">
        <v>15193</v>
      </c>
      <c r="B5529" s="7" t="s">
        <v>5535</v>
      </c>
      <c r="C5529" s="7" t="s">
        <v>7085</v>
      </c>
      <c r="D5529" s="7" t="s">
        <v>6295</v>
      </c>
      <c r="E5529" s="7" t="s">
        <v>6940</v>
      </c>
      <c r="F5529" s="7" t="s">
        <v>6979</v>
      </c>
      <c r="G5529" s="7" t="s">
        <v>7150</v>
      </c>
      <c r="H5529" s="7" t="s">
        <v>7156</v>
      </c>
      <c r="I5529" s="7"/>
      <c r="J5529" s="10">
        <v>44980</v>
      </c>
      <c r="K5529" s="7" t="s">
        <v>7165</v>
      </c>
      <c r="L5529" s="7"/>
      <c r="M5529" s="7"/>
    </row>
    <row r="5530" spans="1:13" x14ac:dyDescent="0.3">
      <c r="A5530" s="7">
        <v>290064</v>
      </c>
      <c r="B5530" s="7" t="s">
        <v>5536</v>
      </c>
      <c r="C5530" s="7" t="s">
        <v>7085</v>
      </c>
      <c r="D5530" s="7" t="s">
        <v>6295</v>
      </c>
      <c r="E5530" s="7" t="s">
        <v>6940</v>
      </c>
      <c r="F5530" s="7" t="s">
        <v>6958</v>
      </c>
      <c r="G5530" s="7" t="s">
        <v>7150</v>
      </c>
      <c r="H5530" s="7" t="s">
        <v>7156</v>
      </c>
      <c r="I5530" s="7"/>
      <c r="J5530" s="10">
        <v>44602</v>
      </c>
      <c r="K5530" s="7" t="s">
        <v>7165</v>
      </c>
      <c r="L5530" s="7"/>
      <c r="M5530" s="7"/>
    </row>
    <row r="5531" spans="1:13" x14ac:dyDescent="0.3">
      <c r="A5531" s="7">
        <v>16673</v>
      </c>
      <c r="B5531" s="7" t="s">
        <v>5537</v>
      </c>
      <c r="C5531" s="7" t="s">
        <v>7085</v>
      </c>
      <c r="D5531" s="7" t="s">
        <v>6295</v>
      </c>
      <c r="E5531" s="7" t="s">
        <v>6940</v>
      </c>
      <c r="F5531" s="7" t="s">
        <v>6989</v>
      </c>
      <c r="G5531" s="7" t="s">
        <v>7150</v>
      </c>
      <c r="H5531" s="7" t="s">
        <v>7156</v>
      </c>
      <c r="I5531" s="7"/>
      <c r="J5531" s="10">
        <v>45517</v>
      </c>
      <c r="K5531" s="7" t="s">
        <v>7165</v>
      </c>
      <c r="L5531" s="7"/>
      <c r="M5531" s="7"/>
    </row>
    <row r="5532" spans="1:13" x14ac:dyDescent="0.3">
      <c r="A5532" s="7">
        <v>114016</v>
      </c>
      <c r="B5532" s="7" t="s">
        <v>5538</v>
      </c>
      <c r="C5532" s="7" t="s">
        <v>7085</v>
      </c>
      <c r="D5532" s="7" t="s">
        <v>6295</v>
      </c>
      <c r="E5532" s="7" t="s">
        <v>6940</v>
      </c>
      <c r="F5532" s="7" t="s">
        <v>6980</v>
      </c>
      <c r="G5532" s="7" t="s">
        <v>7150</v>
      </c>
      <c r="H5532" s="7" t="s">
        <v>7156</v>
      </c>
      <c r="I5532" s="7"/>
      <c r="J5532" s="10">
        <v>42417</v>
      </c>
      <c r="K5532" s="7" t="s">
        <v>7165</v>
      </c>
      <c r="L5532" s="7"/>
      <c r="M5532" s="7"/>
    </row>
    <row r="5533" spans="1:13" x14ac:dyDescent="0.3">
      <c r="A5533" s="7">
        <v>310033</v>
      </c>
      <c r="B5533" s="7" t="s">
        <v>5539</v>
      </c>
      <c r="C5533" s="7" t="s">
        <v>7085</v>
      </c>
      <c r="D5533" s="7" t="s">
        <v>6295</v>
      </c>
      <c r="E5533" s="7" t="s">
        <v>6940</v>
      </c>
      <c r="F5533" s="7" t="s">
        <v>6980</v>
      </c>
      <c r="G5533" s="7" t="s">
        <v>7150</v>
      </c>
      <c r="H5533" s="7" t="s">
        <v>7156</v>
      </c>
      <c r="I5533" s="7"/>
      <c r="J5533" s="10">
        <v>42881</v>
      </c>
      <c r="K5533" s="7" t="s">
        <v>7165</v>
      </c>
      <c r="L5533" s="7"/>
      <c r="M5533" s="7"/>
    </row>
    <row r="5534" spans="1:13" x14ac:dyDescent="0.3">
      <c r="A5534" s="7">
        <v>510022</v>
      </c>
      <c r="B5534" s="7" t="s">
        <v>5540</v>
      </c>
      <c r="C5534" s="7" t="s">
        <v>7085</v>
      </c>
      <c r="D5534" s="7" t="s">
        <v>6295</v>
      </c>
      <c r="E5534" s="7" t="s">
        <v>6940</v>
      </c>
      <c r="F5534" s="7" t="s">
        <v>6980</v>
      </c>
      <c r="G5534" s="7" t="s">
        <v>7150</v>
      </c>
      <c r="H5534" s="7" t="s">
        <v>7156</v>
      </c>
      <c r="I5534" s="7"/>
      <c r="J5534" s="10">
        <v>42177</v>
      </c>
      <c r="K5534" s="7" t="s">
        <v>7165</v>
      </c>
      <c r="L5534" s="7"/>
      <c r="M5534" s="7"/>
    </row>
    <row r="5535" spans="1:13" x14ac:dyDescent="0.3">
      <c r="A5535" s="7">
        <v>540009</v>
      </c>
      <c r="B5535" s="7" t="s">
        <v>5541</v>
      </c>
      <c r="C5535" s="7" t="s">
        <v>7085</v>
      </c>
      <c r="D5535" s="7" t="s">
        <v>6295</v>
      </c>
      <c r="E5535" s="7" t="s">
        <v>6940</v>
      </c>
      <c r="F5535" s="7" t="s">
        <v>6980</v>
      </c>
      <c r="G5535" s="7" t="s">
        <v>7150</v>
      </c>
      <c r="H5535" s="7" t="s">
        <v>7156</v>
      </c>
      <c r="I5535" s="7"/>
      <c r="J5535" s="10">
        <v>41221</v>
      </c>
      <c r="K5535" s="7" t="s">
        <v>7165</v>
      </c>
      <c r="L5535" s="7"/>
      <c r="M5535" s="7"/>
    </row>
    <row r="5536" spans="1:13" x14ac:dyDescent="0.3">
      <c r="A5536" s="7">
        <v>290005</v>
      </c>
      <c r="B5536" s="7" t="s">
        <v>5542</v>
      </c>
      <c r="C5536" s="7" t="s">
        <v>7085</v>
      </c>
      <c r="D5536" s="7" t="s">
        <v>6295</v>
      </c>
      <c r="E5536" s="7" t="s">
        <v>6940</v>
      </c>
      <c r="F5536" s="7" t="s">
        <v>6980</v>
      </c>
      <c r="G5536" s="7" t="s">
        <v>7150</v>
      </c>
      <c r="H5536" s="7" t="s">
        <v>7156</v>
      </c>
      <c r="I5536" s="7"/>
      <c r="J5536" s="10">
        <v>39920</v>
      </c>
      <c r="K5536" s="7" t="s">
        <v>7165</v>
      </c>
      <c r="L5536" s="7"/>
      <c r="M5536" s="7"/>
    </row>
    <row r="5537" spans="1:13" x14ac:dyDescent="0.3">
      <c r="A5537" s="7">
        <v>300048</v>
      </c>
      <c r="B5537" s="7" t="s">
        <v>5543</v>
      </c>
      <c r="C5537" s="7" t="s">
        <v>7085</v>
      </c>
      <c r="D5537" s="7" t="s">
        <v>6295</v>
      </c>
      <c r="E5537" s="7" t="s">
        <v>6940</v>
      </c>
      <c r="F5537" s="7" t="s">
        <v>6986</v>
      </c>
      <c r="G5537" s="7" t="s">
        <v>7151</v>
      </c>
      <c r="H5537" s="7" t="s">
        <v>7156</v>
      </c>
      <c r="I5537" s="7"/>
      <c r="J5537" s="10">
        <v>42726</v>
      </c>
      <c r="K5537" s="7" t="s">
        <v>7165</v>
      </c>
      <c r="L5537" s="7"/>
      <c r="M5537" s="7"/>
    </row>
    <row r="5538" spans="1:13" x14ac:dyDescent="0.3">
      <c r="A5538" s="7">
        <v>16425</v>
      </c>
      <c r="B5538" s="7" t="s">
        <v>5544</v>
      </c>
      <c r="C5538" s="7" t="s">
        <v>7085</v>
      </c>
      <c r="D5538" s="7" t="s">
        <v>6295</v>
      </c>
      <c r="E5538" s="7" t="s">
        <v>6940</v>
      </c>
      <c r="F5538" s="7" t="s">
        <v>7000</v>
      </c>
      <c r="G5538" s="7" t="s">
        <v>7150</v>
      </c>
      <c r="H5538" s="7" t="s">
        <v>7157</v>
      </c>
      <c r="I5538" s="7"/>
      <c r="J5538" s="10">
        <v>45386</v>
      </c>
      <c r="K5538" s="7" t="s">
        <v>7165</v>
      </c>
      <c r="L5538" s="7"/>
      <c r="M5538" s="7"/>
    </row>
    <row r="5539" spans="1:13" x14ac:dyDescent="0.3">
      <c r="A5539" s="7">
        <v>300116</v>
      </c>
      <c r="B5539" s="7" t="s">
        <v>5545</v>
      </c>
      <c r="C5539" s="7" t="s">
        <v>7085</v>
      </c>
      <c r="D5539" s="7" t="s">
        <v>6295</v>
      </c>
      <c r="E5539" s="7" t="s">
        <v>6940</v>
      </c>
      <c r="F5539" s="7" t="s">
        <v>6980</v>
      </c>
      <c r="G5539" s="7" t="s">
        <v>7150</v>
      </c>
      <c r="H5539" s="7" t="s">
        <v>7156</v>
      </c>
      <c r="I5539" s="7"/>
      <c r="J5539" s="10">
        <v>43104</v>
      </c>
      <c r="K5539" s="7" t="s">
        <v>7165</v>
      </c>
      <c r="L5539" s="7"/>
      <c r="M5539" s="7"/>
    </row>
    <row r="5540" spans="1:13" x14ac:dyDescent="0.3">
      <c r="A5540" s="7">
        <v>114019</v>
      </c>
      <c r="B5540" s="7" t="s">
        <v>5546</v>
      </c>
      <c r="C5540" s="7" t="s">
        <v>7085</v>
      </c>
      <c r="D5540" s="7" t="s">
        <v>6295</v>
      </c>
      <c r="E5540" s="7" t="s">
        <v>6940</v>
      </c>
      <c r="F5540" s="7" t="s">
        <v>6980</v>
      </c>
      <c r="G5540" s="7" t="s">
        <v>7150</v>
      </c>
      <c r="H5540" s="7" t="s">
        <v>7156</v>
      </c>
      <c r="I5540" s="7"/>
      <c r="J5540" s="10">
        <v>42678</v>
      </c>
      <c r="K5540" s="7" t="s">
        <v>7165</v>
      </c>
      <c r="L5540" s="7"/>
      <c r="M5540" s="7"/>
    </row>
    <row r="5541" spans="1:13" x14ac:dyDescent="0.3">
      <c r="A5541" s="7">
        <v>14298</v>
      </c>
      <c r="B5541" s="7" t="s">
        <v>5547</v>
      </c>
      <c r="C5541" s="7" t="s">
        <v>7085</v>
      </c>
      <c r="D5541" s="7" t="s">
        <v>6295</v>
      </c>
      <c r="E5541" s="7" t="s">
        <v>6940</v>
      </c>
      <c r="F5541" s="7" t="s">
        <v>6986</v>
      </c>
      <c r="G5541" s="7" t="s">
        <v>7150</v>
      </c>
      <c r="H5541" s="7" t="s">
        <v>7156</v>
      </c>
      <c r="I5541" s="7"/>
      <c r="J5541" s="10">
        <v>44721</v>
      </c>
      <c r="K5541" s="7" t="s">
        <v>7165</v>
      </c>
      <c r="L5541" s="7"/>
      <c r="M5541" s="7"/>
    </row>
    <row r="5542" spans="1:13" x14ac:dyDescent="0.3">
      <c r="A5542" s="7">
        <v>310030</v>
      </c>
      <c r="B5542" s="7" t="s">
        <v>5548</v>
      </c>
      <c r="C5542" s="7" t="s">
        <v>7085</v>
      </c>
      <c r="D5542" s="7" t="s">
        <v>6295</v>
      </c>
      <c r="E5542" s="7" t="s">
        <v>6940</v>
      </c>
      <c r="F5542" s="7" t="s">
        <v>6980</v>
      </c>
      <c r="G5542" s="7" t="s">
        <v>7150</v>
      </c>
      <c r="H5542" s="7" t="s">
        <v>7156</v>
      </c>
      <c r="I5542" s="7"/>
      <c r="J5542" s="10">
        <v>42590</v>
      </c>
      <c r="K5542" s="7" t="s">
        <v>7165</v>
      </c>
      <c r="L5542" s="7"/>
      <c r="M5542" s="7"/>
    </row>
    <row r="5543" spans="1:13" x14ac:dyDescent="0.3">
      <c r="A5543" s="7">
        <v>15274</v>
      </c>
      <c r="B5543" s="7" t="s">
        <v>5549</v>
      </c>
      <c r="C5543" s="7" t="s">
        <v>7085</v>
      </c>
      <c r="D5543" s="7" t="s">
        <v>6295</v>
      </c>
      <c r="E5543" s="7" t="s">
        <v>6940</v>
      </c>
      <c r="F5543" s="7" t="s">
        <v>6987</v>
      </c>
      <c r="G5543" s="7" t="s">
        <v>7150</v>
      </c>
      <c r="H5543" s="7" t="s">
        <v>7156</v>
      </c>
      <c r="I5543" s="7"/>
      <c r="J5543" s="10">
        <v>45019</v>
      </c>
      <c r="K5543" s="7" t="s">
        <v>7165</v>
      </c>
      <c r="L5543" s="7"/>
      <c r="M5543" s="7"/>
    </row>
    <row r="5544" spans="1:13" x14ac:dyDescent="0.3">
      <c r="A5544" s="7">
        <v>16214</v>
      </c>
      <c r="B5544" s="7" t="s">
        <v>5550</v>
      </c>
      <c r="C5544" s="7" t="s">
        <v>7085</v>
      </c>
      <c r="D5544" s="7" t="s">
        <v>6295</v>
      </c>
      <c r="E5544" s="7" t="s">
        <v>6940</v>
      </c>
      <c r="F5544" s="7" t="s">
        <v>6987</v>
      </c>
      <c r="G5544" s="7" t="s">
        <v>7150</v>
      </c>
      <c r="H5544" s="7" t="s">
        <v>7156</v>
      </c>
      <c r="I5544" s="7"/>
      <c r="J5544" s="10">
        <v>45323</v>
      </c>
      <c r="K5544" s="7" t="s">
        <v>7165</v>
      </c>
      <c r="L5544" s="7"/>
      <c r="M5544" s="7"/>
    </row>
    <row r="5545" spans="1:13" x14ac:dyDescent="0.3">
      <c r="A5545" s="7">
        <v>114025</v>
      </c>
      <c r="B5545" s="7" t="s">
        <v>5551</v>
      </c>
      <c r="C5545" s="7" t="s">
        <v>7085</v>
      </c>
      <c r="D5545" s="7" t="s">
        <v>6295</v>
      </c>
      <c r="E5545" s="7" t="s">
        <v>6940</v>
      </c>
      <c r="F5545" s="7" t="s">
        <v>6986</v>
      </c>
      <c r="G5545" s="7" t="s">
        <v>7150</v>
      </c>
      <c r="H5545" s="7" t="s">
        <v>7156</v>
      </c>
      <c r="I5545" s="7"/>
      <c r="J5545" s="10">
        <v>43825</v>
      </c>
      <c r="K5545" s="7" t="s">
        <v>7165</v>
      </c>
      <c r="L5545" s="7"/>
      <c r="M5545" s="7"/>
    </row>
    <row r="5546" spans="1:13" x14ac:dyDescent="0.3">
      <c r="A5546" s="7">
        <v>290044</v>
      </c>
      <c r="B5546" s="7" t="s">
        <v>5552</v>
      </c>
      <c r="C5546" s="7" t="s">
        <v>7085</v>
      </c>
      <c r="D5546" s="7" t="s">
        <v>6295</v>
      </c>
      <c r="E5546" s="7" t="s">
        <v>6951</v>
      </c>
      <c r="F5546" s="7" t="s">
        <v>6398</v>
      </c>
      <c r="G5546" s="7" t="s">
        <v>7150</v>
      </c>
      <c r="H5546" s="7" t="s">
        <v>7156</v>
      </c>
      <c r="I5546" s="7"/>
      <c r="J5546" s="10">
        <v>42709</v>
      </c>
      <c r="K5546" s="7" t="s">
        <v>7165</v>
      </c>
      <c r="L5546" s="7"/>
      <c r="M5546" s="7"/>
    </row>
    <row r="5547" spans="1:13" x14ac:dyDescent="0.3">
      <c r="A5547" s="7">
        <v>510020</v>
      </c>
      <c r="B5547" s="7" t="s">
        <v>5553</v>
      </c>
      <c r="C5547" s="7" t="s">
        <v>7086</v>
      </c>
      <c r="D5547" s="7" t="s">
        <v>6295</v>
      </c>
      <c r="E5547" s="7" t="s">
        <v>6295</v>
      </c>
      <c r="F5547" s="7" t="s">
        <v>6939</v>
      </c>
      <c r="G5547" s="7" t="s">
        <v>7150</v>
      </c>
      <c r="H5547" s="7" t="s">
        <v>7156</v>
      </c>
      <c r="I5547" s="7"/>
      <c r="J5547" s="10">
        <v>42027</v>
      </c>
      <c r="K5547" s="7" t="s">
        <v>7165</v>
      </c>
      <c r="L5547" s="7"/>
      <c r="M5547" s="7"/>
    </row>
    <row r="5548" spans="1:13" x14ac:dyDescent="0.3">
      <c r="A5548" s="7">
        <v>290030</v>
      </c>
      <c r="B5548" s="7" t="s">
        <v>5554</v>
      </c>
      <c r="C5548" s="7" t="s">
        <v>7086</v>
      </c>
      <c r="D5548" s="7" t="s">
        <v>6295</v>
      </c>
      <c r="E5548" s="7" t="s">
        <v>6940</v>
      </c>
      <c r="F5548" s="7" t="s">
        <v>6991</v>
      </c>
      <c r="G5548" s="7" t="s">
        <v>7150</v>
      </c>
      <c r="H5548" s="7" t="s">
        <v>7156</v>
      </c>
      <c r="I5548" s="7"/>
      <c r="J5548" s="10">
        <v>40183</v>
      </c>
      <c r="K5548" s="7" t="s">
        <v>7165</v>
      </c>
      <c r="L5548" s="7"/>
      <c r="M5548" s="7"/>
    </row>
    <row r="5549" spans="1:13" x14ac:dyDescent="0.3">
      <c r="A5549" s="7">
        <v>310041</v>
      </c>
      <c r="B5549" s="7" t="s">
        <v>5555</v>
      </c>
      <c r="C5549" s="7" t="s">
        <v>7086</v>
      </c>
      <c r="D5549" s="7" t="s">
        <v>6295</v>
      </c>
      <c r="E5549" s="7" t="s">
        <v>6940</v>
      </c>
      <c r="F5549" s="7" t="s">
        <v>6980</v>
      </c>
      <c r="G5549" s="7" t="s">
        <v>7150</v>
      </c>
      <c r="H5549" s="7" t="s">
        <v>7156</v>
      </c>
      <c r="I5549" s="7"/>
      <c r="J5549" s="10">
        <v>43418</v>
      </c>
      <c r="K5549" s="7" t="s">
        <v>7165</v>
      </c>
      <c r="L5549" s="7"/>
      <c r="M5549" s="7"/>
    </row>
    <row r="5550" spans="1:13" x14ac:dyDescent="0.3">
      <c r="A5550" s="7">
        <v>510027</v>
      </c>
      <c r="B5550" s="7" t="s">
        <v>5556</v>
      </c>
      <c r="C5550" s="7" t="s">
        <v>7086</v>
      </c>
      <c r="D5550" s="7" t="s">
        <v>6295</v>
      </c>
      <c r="E5550" s="7" t="s">
        <v>6940</v>
      </c>
      <c r="F5550" s="7" t="s">
        <v>6980</v>
      </c>
      <c r="G5550" s="7" t="s">
        <v>7150</v>
      </c>
      <c r="H5550" s="7" t="s">
        <v>7156</v>
      </c>
      <c r="I5550" s="7"/>
      <c r="J5550" s="10">
        <v>42486</v>
      </c>
      <c r="K5550" s="7" t="s">
        <v>7165</v>
      </c>
      <c r="L5550" s="7"/>
      <c r="M5550" s="7"/>
    </row>
    <row r="5551" spans="1:13" x14ac:dyDescent="0.3">
      <c r="A5551" s="7">
        <v>310005</v>
      </c>
      <c r="B5551" s="7" t="s">
        <v>5557</v>
      </c>
      <c r="C5551" s="7" t="s">
        <v>7086</v>
      </c>
      <c r="D5551" s="7" t="s">
        <v>6295</v>
      </c>
      <c r="E5551" s="7" t="s">
        <v>6940</v>
      </c>
      <c r="F5551" s="7" t="s">
        <v>6980</v>
      </c>
      <c r="G5551" s="7" t="s">
        <v>7150</v>
      </c>
      <c r="H5551" s="7" t="s">
        <v>7156</v>
      </c>
      <c r="I5551" s="7"/>
      <c r="J5551" s="10">
        <v>36731</v>
      </c>
      <c r="K5551" s="7" t="s">
        <v>7165</v>
      </c>
      <c r="L5551" s="7"/>
      <c r="M5551" s="7"/>
    </row>
    <row r="5552" spans="1:13" x14ac:dyDescent="0.3">
      <c r="A5552" s="7">
        <v>290057</v>
      </c>
      <c r="B5552" s="7" t="s">
        <v>5558</v>
      </c>
      <c r="C5552" s="7" t="s">
        <v>7086</v>
      </c>
      <c r="D5552" s="7" t="s">
        <v>6295</v>
      </c>
      <c r="E5552" s="7" t="s">
        <v>6940</v>
      </c>
      <c r="F5552" s="7" t="s">
        <v>6980</v>
      </c>
      <c r="G5552" s="7" t="s">
        <v>7150</v>
      </c>
      <c r="H5552" s="7" t="s">
        <v>7156</v>
      </c>
      <c r="I5552" s="7"/>
      <c r="J5552" s="10">
        <v>43998</v>
      </c>
      <c r="K5552" s="7" t="s">
        <v>7165</v>
      </c>
      <c r="L5552" s="7"/>
      <c r="M5552" s="7"/>
    </row>
    <row r="5553" spans="1:13" x14ac:dyDescent="0.3">
      <c r="A5553" s="7">
        <v>290036</v>
      </c>
      <c r="B5553" s="7" t="s">
        <v>5559</v>
      </c>
      <c r="C5553" s="7" t="s">
        <v>7086</v>
      </c>
      <c r="D5553" s="7" t="s">
        <v>6295</v>
      </c>
      <c r="E5553" s="7" t="s">
        <v>6940</v>
      </c>
      <c r="F5553" s="7" t="s">
        <v>6980</v>
      </c>
      <c r="G5553" s="7" t="s">
        <v>7151</v>
      </c>
      <c r="H5553" s="7" t="s">
        <v>7156</v>
      </c>
      <c r="I5553" s="7"/>
      <c r="J5553" s="10">
        <v>42186</v>
      </c>
      <c r="K5553" s="7" t="s">
        <v>7165</v>
      </c>
      <c r="L5553" s="7"/>
      <c r="M5553" s="7"/>
    </row>
    <row r="5554" spans="1:13" x14ac:dyDescent="0.3">
      <c r="A5554" s="7">
        <v>16713</v>
      </c>
      <c r="B5554" s="7" t="s">
        <v>5560</v>
      </c>
      <c r="C5554" s="7" t="s">
        <v>7086</v>
      </c>
      <c r="D5554" s="7" t="s">
        <v>6295</v>
      </c>
      <c r="E5554" s="7" t="s">
        <v>6940</v>
      </c>
      <c r="F5554" s="7" t="s">
        <v>7000</v>
      </c>
      <c r="G5554" s="7" t="s">
        <v>7150</v>
      </c>
      <c r="H5554" s="7" t="s">
        <v>7157</v>
      </c>
      <c r="I5554" s="7"/>
      <c r="J5554" s="10">
        <v>45544</v>
      </c>
      <c r="K5554" s="7" t="s">
        <v>7165</v>
      </c>
      <c r="L5554" s="7"/>
      <c r="M5554" s="7"/>
    </row>
    <row r="5555" spans="1:13" x14ac:dyDescent="0.3">
      <c r="A5555" s="7">
        <v>300049</v>
      </c>
      <c r="B5555" s="7" t="s">
        <v>5561</v>
      </c>
      <c r="C5555" s="7" t="s">
        <v>7086</v>
      </c>
      <c r="D5555" s="7" t="s">
        <v>6295</v>
      </c>
      <c r="E5555" s="7" t="s">
        <v>6940</v>
      </c>
      <c r="F5555" s="7" t="s">
        <v>6498</v>
      </c>
      <c r="G5555" s="7" t="s">
        <v>7150</v>
      </c>
      <c r="H5555" s="7" t="s">
        <v>7156</v>
      </c>
      <c r="I5555" s="7"/>
      <c r="J5555" s="10">
        <v>42726</v>
      </c>
      <c r="K5555" s="7" t="s">
        <v>7165</v>
      </c>
      <c r="L5555" s="7"/>
      <c r="M5555" s="7"/>
    </row>
    <row r="5556" spans="1:13" x14ac:dyDescent="0.3">
      <c r="A5556" s="7">
        <v>290060</v>
      </c>
      <c r="B5556" s="7" t="s">
        <v>5562</v>
      </c>
      <c r="C5556" s="7" t="s">
        <v>7086</v>
      </c>
      <c r="D5556" s="7" t="s">
        <v>6295</v>
      </c>
      <c r="E5556" s="7" t="s">
        <v>6940</v>
      </c>
      <c r="F5556" s="7" t="s">
        <v>6980</v>
      </c>
      <c r="G5556" s="7" t="s">
        <v>7150</v>
      </c>
      <c r="H5556" s="7" t="s">
        <v>7156</v>
      </c>
      <c r="I5556" s="7"/>
      <c r="J5556" s="10">
        <v>44371</v>
      </c>
      <c r="K5556" s="7" t="s">
        <v>7165</v>
      </c>
      <c r="L5556" s="7"/>
      <c r="M5556" s="7"/>
    </row>
    <row r="5557" spans="1:13" x14ac:dyDescent="0.3">
      <c r="A5557" s="7">
        <v>14150</v>
      </c>
      <c r="B5557" s="7" t="s">
        <v>5563</v>
      </c>
      <c r="C5557" s="7" t="s">
        <v>7086</v>
      </c>
      <c r="D5557" s="7" t="s">
        <v>6295</v>
      </c>
      <c r="E5557" s="7" t="s">
        <v>6940</v>
      </c>
      <c r="F5557" s="7" t="s">
        <v>6986</v>
      </c>
      <c r="G5557" s="7" t="s">
        <v>7150</v>
      </c>
      <c r="H5557" s="7" t="s">
        <v>7156</v>
      </c>
      <c r="I5557" s="7"/>
      <c r="J5557" s="10">
        <v>44677</v>
      </c>
      <c r="K5557" s="7" t="s">
        <v>7165</v>
      </c>
      <c r="L5557" s="7"/>
      <c r="M5557" s="7"/>
    </row>
    <row r="5558" spans="1:13" x14ac:dyDescent="0.3">
      <c r="A5558" s="7">
        <v>290063</v>
      </c>
      <c r="B5558" s="7" t="s">
        <v>5564</v>
      </c>
      <c r="C5558" s="7" t="s">
        <v>7086</v>
      </c>
      <c r="D5558" s="7" t="s">
        <v>6295</v>
      </c>
      <c r="E5558" s="7" t="s">
        <v>6940</v>
      </c>
      <c r="F5558" s="7" t="s">
        <v>6987</v>
      </c>
      <c r="G5558" s="7" t="s">
        <v>7150</v>
      </c>
      <c r="H5558" s="7" t="s">
        <v>7156</v>
      </c>
      <c r="I5558" s="7"/>
      <c r="J5558" s="10">
        <v>44568</v>
      </c>
      <c r="K5558" s="7" t="s">
        <v>7165</v>
      </c>
      <c r="L5558" s="7"/>
      <c r="M5558" s="7"/>
    </row>
    <row r="5559" spans="1:13" x14ac:dyDescent="0.3">
      <c r="A5559" s="7">
        <v>19193</v>
      </c>
      <c r="B5559" s="7" t="s">
        <v>5565</v>
      </c>
      <c r="C5559" s="7" t="s">
        <v>7086</v>
      </c>
      <c r="D5559" s="7" t="s">
        <v>6295</v>
      </c>
      <c r="E5559" s="7" t="s">
        <v>6940</v>
      </c>
      <c r="F5559" s="7" t="s">
        <v>6989</v>
      </c>
      <c r="G5559" s="7" t="s">
        <v>7150</v>
      </c>
      <c r="H5559" s="7" t="s">
        <v>7156</v>
      </c>
      <c r="I5559" s="7"/>
      <c r="J5559" s="10">
        <v>46280</v>
      </c>
      <c r="K5559" s="7" t="s">
        <v>7165</v>
      </c>
      <c r="L5559" s="7"/>
      <c r="M5559" s="7"/>
    </row>
    <row r="5560" spans="1:13" x14ac:dyDescent="0.3">
      <c r="A5560" s="7">
        <v>300128</v>
      </c>
      <c r="B5560" s="7" t="s">
        <v>5566</v>
      </c>
      <c r="C5560" s="7" t="s">
        <v>7086</v>
      </c>
      <c r="D5560" s="7" t="s">
        <v>6295</v>
      </c>
      <c r="E5560" s="7" t="s">
        <v>6951</v>
      </c>
      <c r="F5560" s="7" t="s">
        <v>6398</v>
      </c>
      <c r="G5560" s="7" t="s">
        <v>7150</v>
      </c>
      <c r="H5560" s="7" t="s">
        <v>7156</v>
      </c>
      <c r="I5560" s="7"/>
      <c r="J5560" s="10">
        <v>43192</v>
      </c>
      <c r="K5560" s="7" t="s">
        <v>7165</v>
      </c>
      <c r="L5560" s="7"/>
      <c r="M5560" s="7"/>
    </row>
    <row r="5561" spans="1:13" x14ac:dyDescent="0.3">
      <c r="A5561" s="7">
        <v>135002</v>
      </c>
      <c r="B5561" s="7" t="s">
        <v>5567</v>
      </c>
      <c r="C5561" s="7" t="s">
        <v>7086</v>
      </c>
      <c r="D5561" s="7" t="s">
        <v>6295</v>
      </c>
      <c r="E5561" s="7" t="s">
        <v>6994</v>
      </c>
      <c r="F5561" s="7" t="s">
        <v>6498</v>
      </c>
      <c r="G5561" s="7" t="s">
        <v>7150</v>
      </c>
      <c r="H5561" s="7" t="s">
        <v>7156</v>
      </c>
      <c r="I5561" s="7"/>
      <c r="J5561" s="10">
        <v>44333</v>
      </c>
      <c r="K5561" s="7" t="s">
        <v>7165</v>
      </c>
      <c r="L5561" s="7"/>
      <c r="M5561" s="7"/>
    </row>
    <row r="5562" spans="1:13" x14ac:dyDescent="0.3">
      <c r="A5562" s="7">
        <v>135003</v>
      </c>
      <c r="B5562" s="7" t="s">
        <v>5568</v>
      </c>
      <c r="C5562" s="7" t="s">
        <v>7086</v>
      </c>
      <c r="D5562" s="7" t="s">
        <v>6295</v>
      </c>
      <c r="E5562" s="7" t="s">
        <v>6994</v>
      </c>
      <c r="F5562" s="7" t="s">
        <v>6353</v>
      </c>
      <c r="G5562" s="7" t="s">
        <v>7150</v>
      </c>
      <c r="H5562" s="7" t="s">
        <v>7156</v>
      </c>
      <c r="I5562" s="7"/>
      <c r="J5562" s="10">
        <v>44383</v>
      </c>
      <c r="K5562" s="7" t="s">
        <v>7165</v>
      </c>
      <c r="L5562" s="7"/>
      <c r="M5562" s="7"/>
    </row>
    <row r="5563" spans="1:13" x14ac:dyDescent="0.3">
      <c r="A5563" s="7">
        <v>135009</v>
      </c>
      <c r="B5563" s="7" t="s">
        <v>5569</v>
      </c>
      <c r="C5563" s="7" t="s">
        <v>7086</v>
      </c>
      <c r="D5563" s="7" t="s">
        <v>6295</v>
      </c>
      <c r="E5563" s="7" t="s">
        <v>6994</v>
      </c>
      <c r="F5563" s="7" t="s">
        <v>6353</v>
      </c>
      <c r="G5563" s="7" t="s">
        <v>7150</v>
      </c>
      <c r="H5563" s="7" t="s">
        <v>7156</v>
      </c>
      <c r="I5563" s="7"/>
      <c r="J5563" s="10">
        <v>44568</v>
      </c>
      <c r="K5563" s="7" t="s">
        <v>7165</v>
      </c>
      <c r="L5563" s="7"/>
      <c r="M5563" s="7"/>
    </row>
    <row r="5564" spans="1:13" x14ac:dyDescent="0.3">
      <c r="A5564" s="7">
        <v>15163</v>
      </c>
      <c r="B5564" s="7" t="s">
        <v>5570</v>
      </c>
      <c r="C5564" s="7" t="s">
        <v>7086</v>
      </c>
      <c r="D5564" s="7" t="s">
        <v>6295</v>
      </c>
      <c r="E5564" s="7" t="s">
        <v>6994</v>
      </c>
      <c r="F5564" s="7" t="s">
        <v>6340</v>
      </c>
      <c r="G5564" s="7" t="s">
        <v>7150</v>
      </c>
      <c r="H5564" s="7" t="s">
        <v>7156</v>
      </c>
      <c r="I5564" s="7"/>
      <c r="J5564" s="10">
        <v>44970</v>
      </c>
      <c r="K5564" s="7" t="s">
        <v>7165</v>
      </c>
      <c r="L5564" s="7"/>
      <c r="M5564" s="7"/>
    </row>
    <row r="5565" spans="1:13" x14ac:dyDescent="0.3">
      <c r="A5565" s="7">
        <v>14531</v>
      </c>
      <c r="B5565" s="7" t="s">
        <v>5571</v>
      </c>
      <c r="C5565" s="7" t="s">
        <v>7086</v>
      </c>
      <c r="D5565" s="7" t="s">
        <v>6295</v>
      </c>
      <c r="E5565" s="7" t="s">
        <v>6994</v>
      </c>
      <c r="F5565" s="7" t="s">
        <v>6340</v>
      </c>
      <c r="G5565" s="7" t="s">
        <v>7150</v>
      </c>
      <c r="H5565" s="7" t="s">
        <v>7156</v>
      </c>
      <c r="I5565" s="7"/>
      <c r="J5565" s="10">
        <v>44778</v>
      </c>
      <c r="K5565" s="7" t="s">
        <v>7165</v>
      </c>
      <c r="L5565" s="7"/>
      <c r="M5565" s="7"/>
    </row>
    <row r="5566" spans="1:13" x14ac:dyDescent="0.3">
      <c r="A5566" s="7">
        <v>18396</v>
      </c>
      <c r="B5566" s="7" t="s">
        <v>5572</v>
      </c>
      <c r="C5566" s="7" t="s">
        <v>7086</v>
      </c>
      <c r="D5566" s="7" t="s">
        <v>6295</v>
      </c>
      <c r="E5566" s="7" t="s">
        <v>6994</v>
      </c>
      <c r="F5566" s="7" t="s">
        <v>6348</v>
      </c>
      <c r="G5566" s="7" t="s">
        <v>7150</v>
      </c>
      <c r="H5566" s="7" t="s">
        <v>7156</v>
      </c>
      <c r="I5566" s="7"/>
      <c r="J5566" s="10">
        <v>46120</v>
      </c>
      <c r="K5566" s="7" t="s">
        <v>7165</v>
      </c>
      <c r="L5566" s="7"/>
      <c r="M5566" s="7"/>
    </row>
    <row r="5567" spans="1:13" x14ac:dyDescent="0.3">
      <c r="A5567" s="7">
        <v>290023</v>
      </c>
      <c r="B5567" s="7" t="s">
        <v>5573</v>
      </c>
      <c r="C5567" s="7" t="s">
        <v>7087</v>
      </c>
      <c r="D5567" s="7" t="s">
        <v>6295</v>
      </c>
      <c r="E5567" s="7" t="s">
        <v>6295</v>
      </c>
      <c r="F5567" s="7" t="s">
        <v>6939</v>
      </c>
      <c r="G5567" s="7" t="s">
        <v>7150</v>
      </c>
      <c r="H5567" s="7" t="s">
        <v>7156</v>
      </c>
      <c r="I5567" s="7"/>
      <c r="J5567" s="10">
        <v>38642</v>
      </c>
      <c r="K5567" s="7" t="s">
        <v>7165</v>
      </c>
      <c r="L5567" s="7"/>
      <c r="M5567" s="7"/>
    </row>
    <row r="5568" spans="1:13" x14ac:dyDescent="0.3">
      <c r="A5568" s="7">
        <v>540015</v>
      </c>
      <c r="B5568" s="7" t="s">
        <v>5574</v>
      </c>
      <c r="C5568" s="7" t="s">
        <v>7087</v>
      </c>
      <c r="D5568" s="7" t="s">
        <v>6295</v>
      </c>
      <c r="E5568" s="7" t="s">
        <v>6940</v>
      </c>
      <c r="F5568" s="7" t="s">
        <v>6991</v>
      </c>
      <c r="G5568" s="7" t="s">
        <v>7150</v>
      </c>
      <c r="H5568" s="7" t="s">
        <v>7156</v>
      </c>
      <c r="I5568" s="7"/>
      <c r="J5568" s="10">
        <v>41235</v>
      </c>
      <c r="K5568" s="7" t="s">
        <v>7165</v>
      </c>
      <c r="L5568" s="7"/>
      <c r="M5568" s="7"/>
    </row>
    <row r="5569" spans="1:13" x14ac:dyDescent="0.3">
      <c r="A5569" s="7">
        <v>17110</v>
      </c>
      <c r="B5569" s="7" t="s">
        <v>5575</v>
      </c>
      <c r="C5569" s="7" t="s">
        <v>7087</v>
      </c>
      <c r="D5569" s="7" t="s">
        <v>6295</v>
      </c>
      <c r="E5569" s="7" t="s">
        <v>6940</v>
      </c>
      <c r="F5569" s="7" t="s">
        <v>6989</v>
      </c>
      <c r="G5569" s="7" t="s">
        <v>7150</v>
      </c>
      <c r="H5569" s="7" t="s">
        <v>7156</v>
      </c>
      <c r="I5569" s="7"/>
      <c r="J5569" s="10">
        <v>45632</v>
      </c>
      <c r="K5569" s="7" t="s">
        <v>7165</v>
      </c>
      <c r="L5569" s="7"/>
      <c r="M5569" s="7"/>
    </row>
    <row r="5570" spans="1:13" x14ac:dyDescent="0.3">
      <c r="A5570" s="7">
        <v>17985</v>
      </c>
      <c r="B5570" s="7" t="s">
        <v>5576</v>
      </c>
      <c r="C5570" s="7" t="s">
        <v>7087</v>
      </c>
      <c r="D5570" s="7" t="s">
        <v>6295</v>
      </c>
      <c r="E5570" s="7" t="s">
        <v>6940</v>
      </c>
      <c r="F5570" s="7" t="s">
        <v>6989</v>
      </c>
      <c r="G5570" s="7" t="s">
        <v>7150</v>
      </c>
      <c r="H5570" s="7" t="s">
        <v>7156</v>
      </c>
      <c r="I5570" s="7"/>
      <c r="J5570" s="10">
        <v>45946</v>
      </c>
      <c r="K5570" s="7" t="s">
        <v>7165</v>
      </c>
      <c r="L5570" s="7"/>
      <c r="M5570" s="7"/>
    </row>
    <row r="5571" spans="1:13" x14ac:dyDescent="0.3">
      <c r="A5571" s="7">
        <v>540036</v>
      </c>
      <c r="B5571" s="7" t="s">
        <v>5577</v>
      </c>
      <c r="C5571" s="7" t="s">
        <v>7087</v>
      </c>
      <c r="D5571" s="7" t="s">
        <v>6295</v>
      </c>
      <c r="E5571" s="7" t="s">
        <v>6940</v>
      </c>
      <c r="F5571" s="7" t="s">
        <v>6980</v>
      </c>
      <c r="G5571" s="7" t="s">
        <v>7150</v>
      </c>
      <c r="H5571" s="7" t="s">
        <v>7156</v>
      </c>
      <c r="I5571" s="7"/>
      <c r="J5571" s="10">
        <v>43811</v>
      </c>
      <c r="K5571" s="7" t="s">
        <v>7165</v>
      </c>
      <c r="L5571" s="7"/>
      <c r="M5571" s="7"/>
    </row>
    <row r="5572" spans="1:13" x14ac:dyDescent="0.3">
      <c r="A5572" s="7">
        <v>890018</v>
      </c>
      <c r="B5572" s="7" t="s">
        <v>5578</v>
      </c>
      <c r="C5572" s="7" t="s">
        <v>7087</v>
      </c>
      <c r="D5572" s="7" t="s">
        <v>6295</v>
      </c>
      <c r="E5572" s="7" t="s">
        <v>6940</v>
      </c>
      <c r="F5572" s="7" t="s">
        <v>6980</v>
      </c>
      <c r="G5572" s="7" t="s">
        <v>7150</v>
      </c>
      <c r="H5572" s="7" t="s">
        <v>7156</v>
      </c>
      <c r="I5572" s="7"/>
      <c r="J5572" s="10">
        <v>42809</v>
      </c>
      <c r="K5572" s="7" t="s">
        <v>7165</v>
      </c>
      <c r="L5572" s="7"/>
      <c r="M5572" s="7"/>
    </row>
    <row r="5573" spans="1:13" x14ac:dyDescent="0.3">
      <c r="A5573" s="7">
        <v>540040</v>
      </c>
      <c r="B5573" s="7" t="s">
        <v>5579</v>
      </c>
      <c r="C5573" s="7" t="s">
        <v>7087</v>
      </c>
      <c r="D5573" s="7" t="s">
        <v>6295</v>
      </c>
      <c r="E5573" s="7" t="s">
        <v>6940</v>
      </c>
      <c r="F5573" s="7" t="s">
        <v>6986</v>
      </c>
      <c r="G5573" s="7" t="s">
        <v>7150</v>
      </c>
      <c r="H5573" s="7" t="s">
        <v>7156</v>
      </c>
      <c r="I5573" s="7"/>
      <c r="J5573" s="10">
        <v>44411</v>
      </c>
      <c r="K5573" s="7" t="s">
        <v>7165</v>
      </c>
      <c r="L5573" s="7"/>
      <c r="M5573" s="7"/>
    </row>
    <row r="5574" spans="1:13" x14ac:dyDescent="0.3">
      <c r="A5574" s="7">
        <v>540032</v>
      </c>
      <c r="B5574" s="7" t="s">
        <v>5580</v>
      </c>
      <c r="C5574" s="7" t="s">
        <v>7087</v>
      </c>
      <c r="D5574" s="7" t="s">
        <v>6295</v>
      </c>
      <c r="E5574" s="7" t="s">
        <v>6940</v>
      </c>
      <c r="F5574" s="7" t="s">
        <v>6986</v>
      </c>
      <c r="G5574" s="7" t="s">
        <v>7150</v>
      </c>
      <c r="H5574" s="7" t="s">
        <v>7156</v>
      </c>
      <c r="I5574" s="7"/>
      <c r="J5574" s="10">
        <v>43430</v>
      </c>
      <c r="K5574" s="7" t="s">
        <v>7165</v>
      </c>
      <c r="L5574" s="7"/>
      <c r="M5574" s="7"/>
    </row>
    <row r="5575" spans="1:13" x14ac:dyDescent="0.3">
      <c r="A5575" s="7">
        <v>15437</v>
      </c>
      <c r="B5575" s="7" t="s">
        <v>5581</v>
      </c>
      <c r="C5575" s="7" t="s">
        <v>7087</v>
      </c>
      <c r="D5575" s="7" t="s">
        <v>6295</v>
      </c>
      <c r="E5575" s="7" t="s">
        <v>6940</v>
      </c>
      <c r="F5575" s="7" t="s">
        <v>6986</v>
      </c>
      <c r="G5575" s="7" t="s">
        <v>7150</v>
      </c>
      <c r="H5575" s="7" t="s">
        <v>7156</v>
      </c>
      <c r="I5575" s="7"/>
      <c r="J5575" s="10">
        <v>45070</v>
      </c>
      <c r="K5575" s="7" t="s">
        <v>7165</v>
      </c>
      <c r="L5575" s="7"/>
      <c r="M5575" s="7"/>
    </row>
    <row r="5576" spans="1:13" x14ac:dyDescent="0.3">
      <c r="A5576" s="7">
        <v>16575</v>
      </c>
      <c r="B5576" s="7" t="s">
        <v>5582</v>
      </c>
      <c r="C5576" s="7" t="s">
        <v>7087</v>
      </c>
      <c r="D5576" s="7" t="s">
        <v>6295</v>
      </c>
      <c r="E5576" s="7" t="s">
        <v>6940</v>
      </c>
      <c r="F5576" s="7" t="s">
        <v>7013</v>
      </c>
      <c r="G5576" s="7" t="s">
        <v>7150</v>
      </c>
      <c r="H5576" s="7" t="s">
        <v>7156</v>
      </c>
      <c r="I5576" s="7"/>
      <c r="J5576" s="10">
        <v>45475</v>
      </c>
      <c r="K5576" s="7" t="s">
        <v>7165</v>
      </c>
      <c r="L5576" s="7"/>
      <c r="M5576" s="7"/>
    </row>
    <row r="5577" spans="1:13" x14ac:dyDescent="0.3">
      <c r="A5577" s="7">
        <v>14982</v>
      </c>
      <c r="B5577" s="7" t="s">
        <v>5583</v>
      </c>
      <c r="C5577" s="7" t="s">
        <v>7087</v>
      </c>
      <c r="D5577" s="7" t="s">
        <v>6295</v>
      </c>
      <c r="E5577" s="7" t="s">
        <v>6940</v>
      </c>
      <c r="F5577" s="7" t="s">
        <v>6986</v>
      </c>
      <c r="G5577" s="7" t="s">
        <v>7150</v>
      </c>
      <c r="H5577" s="7" t="s">
        <v>7156</v>
      </c>
      <c r="I5577" s="7"/>
      <c r="J5577" s="10">
        <v>44907</v>
      </c>
      <c r="K5577" s="7" t="s">
        <v>7165</v>
      </c>
      <c r="L5577" s="7"/>
      <c r="M5577" s="7"/>
    </row>
    <row r="5578" spans="1:13" x14ac:dyDescent="0.3">
      <c r="A5578" s="7">
        <v>540028</v>
      </c>
      <c r="B5578" s="7" t="s">
        <v>5584</v>
      </c>
      <c r="C5578" s="7" t="s">
        <v>7087</v>
      </c>
      <c r="D5578" s="7" t="s">
        <v>6295</v>
      </c>
      <c r="E5578" s="7" t="s">
        <v>6940</v>
      </c>
      <c r="F5578" s="7" t="s">
        <v>6986</v>
      </c>
      <c r="G5578" s="7" t="s">
        <v>7150</v>
      </c>
      <c r="H5578" s="7" t="s">
        <v>7156</v>
      </c>
      <c r="I5578" s="7"/>
      <c r="J5578" s="10">
        <v>43116</v>
      </c>
      <c r="K5578" s="7" t="s">
        <v>7165</v>
      </c>
      <c r="L5578" s="7"/>
      <c r="M5578" s="7"/>
    </row>
    <row r="5579" spans="1:13" x14ac:dyDescent="0.3">
      <c r="A5579" s="7">
        <v>17298</v>
      </c>
      <c r="B5579" s="7" t="s">
        <v>5585</v>
      </c>
      <c r="C5579" s="7" t="s">
        <v>7087</v>
      </c>
      <c r="D5579" s="7" t="s">
        <v>6295</v>
      </c>
      <c r="E5579" s="7" t="s">
        <v>6940</v>
      </c>
      <c r="F5579" s="7" t="s">
        <v>6949</v>
      </c>
      <c r="G5579" s="7" t="s">
        <v>7150</v>
      </c>
      <c r="H5579" s="7" t="s">
        <v>7156</v>
      </c>
      <c r="I5579" s="7"/>
      <c r="J5579" s="10">
        <v>45698</v>
      </c>
      <c r="K5579" s="7" t="s">
        <v>7165</v>
      </c>
      <c r="L5579" s="7"/>
      <c r="M5579" s="7"/>
    </row>
    <row r="5580" spans="1:13" x14ac:dyDescent="0.3">
      <c r="A5580" s="7">
        <v>15938</v>
      </c>
      <c r="B5580" s="7" t="s">
        <v>5586</v>
      </c>
      <c r="C5580" s="7" t="s">
        <v>7087</v>
      </c>
      <c r="D5580" s="7" t="s">
        <v>6295</v>
      </c>
      <c r="E5580" s="7" t="s">
        <v>6951</v>
      </c>
      <c r="F5580" s="7" t="s">
        <v>6398</v>
      </c>
      <c r="G5580" s="7" t="s">
        <v>7150</v>
      </c>
      <c r="H5580" s="7" t="s">
        <v>7156</v>
      </c>
      <c r="I5580" s="7"/>
      <c r="J5580" s="10">
        <v>45246</v>
      </c>
      <c r="K5580" s="7" t="s">
        <v>7165</v>
      </c>
      <c r="L5580" s="7"/>
      <c r="M5580" s="7"/>
    </row>
    <row r="5581" spans="1:13" x14ac:dyDescent="0.3">
      <c r="A5581" s="7">
        <v>15630</v>
      </c>
      <c r="B5581" s="7" t="s">
        <v>5587</v>
      </c>
      <c r="C5581" s="7" t="s">
        <v>7087</v>
      </c>
      <c r="D5581" s="7" t="s">
        <v>6295</v>
      </c>
      <c r="E5581" s="7" t="s">
        <v>6994</v>
      </c>
      <c r="F5581" s="7" t="s">
        <v>6498</v>
      </c>
      <c r="G5581" s="7" t="s">
        <v>7150</v>
      </c>
      <c r="H5581" s="7" t="s">
        <v>7156</v>
      </c>
      <c r="I5581" s="7"/>
      <c r="J5581" s="10">
        <v>45146</v>
      </c>
      <c r="K5581" s="7" t="s">
        <v>7165</v>
      </c>
      <c r="L5581" s="7"/>
      <c r="M5581" s="7"/>
    </row>
    <row r="5582" spans="1:13" x14ac:dyDescent="0.3">
      <c r="A5582" s="7">
        <v>540033</v>
      </c>
      <c r="B5582" s="7" t="s">
        <v>5588</v>
      </c>
      <c r="C5582" s="7" t="s">
        <v>7087</v>
      </c>
      <c r="D5582" s="7" t="s">
        <v>6295</v>
      </c>
      <c r="E5582" s="7" t="s">
        <v>6994</v>
      </c>
      <c r="F5582" s="7" t="s">
        <v>6353</v>
      </c>
      <c r="G5582" s="7" t="s">
        <v>7150</v>
      </c>
      <c r="H5582" s="7" t="s">
        <v>7156</v>
      </c>
      <c r="I5582" s="7"/>
      <c r="J5582" s="10">
        <v>43577</v>
      </c>
      <c r="K5582" s="7" t="s">
        <v>7165</v>
      </c>
      <c r="L5582" s="7"/>
      <c r="M5582" s="7"/>
    </row>
    <row r="5583" spans="1:13" x14ac:dyDescent="0.3">
      <c r="A5583" s="7">
        <v>540041</v>
      </c>
      <c r="B5583" s="7" t="s">
        <v>5589</v>
      </c>
      <c r="C5583" s="7" t="s">
        <v>7087</v>
      </c>
      <c r="D5583" s="7" t="s">
        <v>6295</v>
      </c>
      <c r="E5583" s="7" t="s">
        <v>6994</v>
      </c>
      <c r="F5583" s="7" t="s">
        <v>6353</v>
      </c>
      <c r="G5583" s="7" t="s">
        <v>7150</v>
      </c>
      <c r="H5583" s="7" t="s">
        <v>7156</v>
      </c>
      <c r="I5583" s="7"/>
      <c r="J5583" s="10">
        <v>44433</v>
      </c>
      <c r="K5583" s="7" t="s">
        <v>7165</v>
      </c>
      <c r="L5583" s="7"/>
      <c r="M5583" s="7"/>
    </row>
    <row r="5584" spans="1:13" x14ac:dyDescent="0.3">
      <c r="A5584" s="7">
        <v>540044</v>
      </c>
      <c r="B5584" s="7" t="s">
        <v>5590</v>
      </c>
      <c r="C5584" s="7" t="s">
        <v>7087</v>
      </c>
      <c r="D5584" s="7" t="s">
        <v>6295</v>
      </c>
      <c r="E5584" s="7" t="s">
        <v>6994</v>
      </c>
      <c r="F5584" s="7" t="s">
        <v>6340</v>
      </c>
      <c r="G5584" s="7" t="s">
        <v>7150</v>
      </c>
      <c r="H5584" s="7" t="s">
        <v>7156</v>
      </c>
      <c r="I5584" s="7"/>
      <c r="J5584" s="10">
        <v>44554</v>
      </c>
      <c r="K5584" s="7" t="s">
        <v>7165</v>
      </c>
      <c r="L5584" s="7"/>
      <c r="M5584" s="7"/>
    </row>
    <row r="5585" spans="1:13" x14ac:dyDescent="0.3">
      <c r="A5585" s="7">
        <v>15890</v>
      </c>
      <c r="B5585" s="7" t="s">
        <v>5591</v>
      </c>
      <c r="C5585" s="7" t="s">
        <v>7087</v>
      </c>
      <c r="D5585" s="7" t="s">
        <v>6295</v>
      </c>
      <c r="E5585" s="7" t="s">
        <v>6994</v>
      </c>
      <c r="F5585" s="7" t="s">
        <v>6340</v>
      </c>
      <c r="G5585" s="7" t="s">
        <v>7150</v>
      </c>
      <c r="H5585" s="7" t="s">
        <v>7156</v>
      </c>
      <c r="I5585" s="7"/>
      <c r="J5585" s="10">
        <v>45232</v>
      </c>
      <c r="K5585" s="7" t="s">
        <v>7165</v>
      </c>
      <c r="L5585" s="7"/>
      <c r="M5585" s="7"/>
    </row>
    <row r="5586" spans="1:13" x14ac:dyDescent="0.3">
      <c r="A5586" s="7">
        <v>140047</v>
      </c>
      <c r="B5586" s="7" t="s">
        <v>5592</v>
      </c>
      <c r="C5586" s="7" t="s">
        <v>7088</v>
      </c>
      <c r="D5586" s="7" t="s">
        <v>6295</v>
      </c>
      <c r="E5586" s="7" t="s">
        <v>6295</v>
      </c>
      <c r="F5586" s="7" t="s">
        <v>6939</v>
      </c>
      <c r="G5586" s="7" t="s">
        <v>7150</v>
      </c>
      <c r="H5586" s="7" t="s">
        <v>7156</v>
      </c>
      <c r="I5586" s="7"/>
      <c r="J5586" s="10">
        <v>44321</v>
      </c>
      <c r="K5586" s="7" t="s">
        <v>7165</v>
      </c>
      <c r="L5586" s="7"/>
      <c r="M5586" s="7"/>
    </row>
    <row r="5587" spans="1:13" x14ac:dyDescent="0.3">
      <c r="A5587" s="7">
        <v>15209</v>
      </c>
      <c r="B5587" s="7" t="s">
        <v>5593</v>
      </c>
      <c r="C5587" s="7" t="s">
        <v>7088</v>
      </c>
      <c r="D5587" s="7" t="s">
        <v>6295</v>
      </c>
      <c r="E5587" s="7" t="s">
        <v>6940</v>
      </c>
      <c r="F5587" s="7" t="s">
        <v>6943</v>
      </c>
      <c r="G5587" s="7" t="s">
        <v>7150</v>
      </c>
      <c r="H5587" s="7" t="s">
        <v>7156</v>
      </c>
      <c r="I5587" s="7"/>
      <c r="J5587" s="10">
        <v>44987</v>
      </c>
      <c r="K5587" s="7" t="s">
        <v>7165</v>
      </c>
      <c r="L5587" s="7"/>
      <c r="M5587" s="7"/>
    </row>
    <row r="5588" spans="1:13" x14ac:dyDescent="0.3">
      <c r="A5588" s="7">
        <v>17321</v>
      </c>
      <c r="B5588" s="7" t="s">
        <v>5594</v>
      </c>
      <c r="C5588" s="7" t="s">
        <v>7088</v>
      </c>
      <c r="D5588" s="7" t="s">
        <v>6295</v>
      </c>
      <c r="E5588" s="7" t="s">
        <v>6940</v>
      </c>
      <c r="F5588" s="7" t="s">
        <v>6988</v>
      </c>
      <c r="G5588" s="7" t="s">
        <v>7150</v>
      </c>
      <c r="H5588" s="7" t="s">
        <v>7156</v>
      </c>
      <c r="I5588" s="7"/>
      <c r="J5588" s="10">
        <v>45708</v>
      </c>
      <c r="K5588" s="7" t="s">
        <v>7165</v>
      </c>
      <c r="L5588" s="7"/>
      <c r="M5588" s="7"/>
    </row>
    <row r="5589" spans="1:13" x14ac:dyDescent="0.3">
      <c r="A5589" s="7">
        <v>870002</v>
      </c>
      <c r="B5589" s="7" t="s">
        <v>5595</v>
      </c>
      <c r="C5589" s="7" t="s">
        <v>7088</v>
      </c>
      <c r="D5589" s="7" t="s">
        <v>6295</v>
      </c>
      <c r="E5589" s="7" t="s">
        <v>6940</v>
      </c>
      <c r="F5589" s="7" t="s">
        <v>6980</v>
      </c>
      <c r="G5589" s="7" t="s">
        <v>7150</v>
      </c>
      <c r="H5589" s="7" t="s">
        <v>7156</v>
      </c>
      <c r="I5589" s="7"/>
      <c r="J5589" s="10">
        <v>40044</v>
      </c>
      <c r="K5589" s="7" t="s">
        <v>7165</v>
      </c>
      <c r="L5589" s="7"/>
      <c r="M5589" s="7"/>
    </row>
    <row r="5590" spans="1:13" x14ac:dyDescent="0.3">
      <c r="A5590" s="7">
        <v>880034</v>
      </c>
      <c r="B5590" s="7" t="s">
        <v>5596</v>
      </c>
      <c r="C5590" s="7" t="s">
        <v>7088</v>
      </c>
      <c r="D5590" s="7" t="s">
        <v>6295</v>
      </c>
      <c r="E5590" s="7" t="s">
        <v>6940</v>
      </c>
      <c r="F5590" s="7" t="s">
        <v>6980</v>
      </c>
      <c r="G5590" s="7" t="s">
        <v>7150</v>
      </c>
      <c r="H5590" s="7" t="s">
        <v>7156</v>
      </c>
      <c r="I5590" s="7"/>
      <c r="J5590" s="10">
        <v>42828</v>
      </c>
      <c r="K5590" s="7" t="s">
        <v>7165</v>
      </c>
      <c r="L5590" s="7"/>
      <c r="M5590" s="7"/>
    </row>
    <row r="5591" spans="1:13" x14ac:dyDescent="0.3">
      <c r="A5591" s="7">
        <v>290056</v>
      </c>
      <c r="B5591" s="7" t="s">
        <v>5597</v>
      </c>
      <c r="C5591" s="7" t="s">
        <v>7088</v>
      </c>
      <c r="D5591" s="7" t="s">
        <v>6295</v>
      </c>
      <c r="E5591" s="7" t="s">
        <v>6940</v>
      </c>
      <c r="F5591" s="7" t="s">
        <v>6986</v>
      </c>
      <c r="G5591" s="7" t="s">
        <v>7151</v>
      </c>
      <c r="H5591" s="7" t="s">
        <v>7156</v>
      </c>
      <c r="I5591" s="7"/>
      <c r="J5591" s="10">
        <v>43776</v>
      </c>
      <c r="K5591" s="7" t="s">
        <v>7165</v>
      </c>
      <c r="L5591" s="7"/>
      <c r="M5591" s="7"/>
    </row>
    <row r="5592" spans="1:13" x14ac:dyDescent="0.3">
      <c r="A5592" s="7">
        <v>15720</v>
      </c>
      <c r="B5592" s="7" t="s">
        <v>5598</v>
      </c>
      <c r="C5592" s="7" t="s">
        <v>7088</v>
      </c>
      <c r="D5592" s="7" t="s">
        <v>6295</v>
      </c>
      <c r="E5592" s="7" t="s">
        <v>6940</v>
      </c>
      <c r="F5592" s="7" t="s">
        <v>7000</v>
      </c>
      <c r="G5592" s="7" t="s">
        <v>7150</v>
      </c>
      <c r="H5592" s="7" t="s">
        <v>7157</v>
      </c>
      <c r="I5592" s="7"/>
      <c r="J5592" s="10">
        <v>45176</v>
      </c>
      <c r="K5592" s="7" t="s">
        <v>7165</v>
      </c>
      <c r="L5592" s="7"/>
      <c r="M5592" s="7"/>
    </row>
    <row r="5593" spans="1:13" x14ac:dyDescent="0.3">
      <c r="A5593" s="7">
        <v>870003</v>
      </c>
      <c r="B5593" s="7" t="s">
        <v>5599</v>
      </c>
      <c r="C5593" s="7" t="s">
        <v>7088</v>
      </c>
      <c r="D5593" s="7" t="s">
        <v>6295</v>
      </c>
      <c r="E5593" s="7" t="s">
        <v>6940</v>
      </c>
      <c r="F5593" s="7" t="s">
        <v>6986</v>
      </c>
      <c r="G5593" s="7" t="s">
        <v>7150</v>
      </c>
      <c r="H5593" s="7" t="s">
        <v>7156</v>
      </c>
      <c r="I5593" s="7"/>
      <c r="J5593" s="10">
        <v>40269</v>
      </c>
      <c r="K5593" s="7" t="s">
        <v>7165</v>
      </c>
      <c r="L5593" s="7"/>
      <c r="M5593" s="7"/>
    </row>
    <row r="5594" spans="1:13" x14ac:dyDescent="0.3">
      <c r="A5594" s="7">
        <v>870030</v>
      </c>
      <c r="B5594" s="7" t="s">
        <v>5600</v>
      </c>
      <c r="C5594" s="7" t="s">
        <v>7088</v>
      </c>
      <c r="D5594" s="7" t="s">
        <v>6295</v>
      </c>
      <c r="E5594" s="7" t="s">
        <v>6940</v>
      </c>
      <c r="F5594" s="7" t="s">
        <v>6986</v>
      </c>
      <c r="G5594" s="7" t="s">
        <v>7151</v>
      </c>
      <c r="H5594" s="7" t="s">
        <v>7156</v>
      </c>
      <c r="I5594" s="7"/>
      <c r="J5594" s="10">
        <v>44025</v>
      </c>
      <c r="K5594" s="7" t="s">
        <v>7165</v>
      </c>
      <c r="L5594" s="7"/>
      <c r="M5594" s="7"/>
    </row>
    <row r="5595" spans="1:13" x14ac:dyDescent="0.3">
      <c r="A5595" s="7">
        <v>15826</v>
      </c>
      <c r="B5595" s="7" t="s">
        <v>5601</v>
      </c>
      <c r="C5595" s="7" t="s">
        <v>7088</v>
      </c>
      <c r="D5595" s="7" t="s">
        <v>6295</v>
      </c>
      <c r="E5595" s="7" t="s">
        <v>6940</v>
      </c>
      <c r="F5595" s="7" t="s">
        <v>7000</v>
      </c>
      <c r="G5595" s="7" t="s">
        <v>7150</v>
      </c>
      <c r="H5595" s="7" t="s">
        <v>7157</v>
      </c>
      <c r="I5595" s="7"/>
      <c r="J5595" s="10">
        <v>45208</v>
      </c>
      <c r="K5595" s="7" t="s">
        <v>7165</v>
      </c>
      <c r="L5595" s="7"/>
      <c r="M5595" s="7"/>
    </row>
    <row r="5596" spans="1:13" x14ac:dyDescent="0.3">
      <c r="A5596" s="7">
        <v>360037</v>
      </c>
      <c r="B5596" s="7" t="s">
        <v>5602</v>
      </c>
      <c r="C5596" s="7" t="s">
        <v>7088</v>
      </c>
      <c r="D5596" s="7" t="s">
        <v>6295</v>
      </c>
      <c r="E5596" s="7" t="s">
        <v>6940</v>
      </c>
      <c r="F5596" s="7" t="s">
        <v>6980</v>
      </c>
      <c r="G5596" s="7" t="s">
        <v>7150</v>
      </c>
      <c r="H5596" s="7" t="s">
        <v>7156</v>
      </c>
      <c r="I5596" s="7"/>
      <c r="J5596" s="10">
        <v>44209</v>
      </c>
      <c r="K5596" s="7" t="s">
        <v>7165</v>
      </c>
      <c r="L5596" s="7"/>
      <c r="M5596" s="7"/>
    </row>
    <row r="5597" spans="1:13" x14ac:dyDescent="0.3">
      <c r="A5597" s="7">
        <v>840021</v>
      </c>
      <c r="B5597" s="7" t="s">
        <v>5603</v>
      </c>
      <c r="C5597" s="7" t="s">
        <v>7088</v>
      </c>
      <c r="D5597" s="7" t="s">
        <v>6295</v>
      </c>
      <c r="E5597" s="7" t="s">
        <v>6940</v>
      </c>
      <c r="F5597" s="7" t="s">
        <v>6986</v>
      </c>
      <c r="G5597" s="7" t="s">
        <v>7150</v>
      </c>
      <c r="H5597" s="7" t="s">
        <v>7156</v>
      </c>
      <c r="I5597" s="7"/>
      <c r="J5597" s="10">
        <v>44568</v>
      </c>
      <c r="K5597" s="7" t="s">
        <v>7165</v>
      </c>
      <c r="L5597" s="7"/>
      <c r="M5597" s="7"/>
    </row>
    <row r="5598" spans="1:13" x14ac:dyDescent="0.3">
      <c r="A5598" s="7">
        <v>15263</v>
      </c>
      <c r="B5598" s="7" t="s">
        <v>5604</v>
      </c>
      <c r="C5598" s="7" t="s">
        <v>7088</v>
      </c>
      <c r="D5598" s="7" t="s">
        <v>6295</v>
      </c>
      <c r="E5598" s="7" t="s">
        <v>6940</v>
      </c>
      <c r="F5598" s="7" t="s">
        <v>6989</v>
      </c>
      <c r="G5598" s="7" t="s">
        <v>7150</v>
      </c>
      <c r="H5598" s="7" t="s">
        <v>7156</v>
      </c>
      <c r="I5598" s="7"/>
      <c r="J5598" s="10">
        <v>45000</v>
      </c>
      <c r="K5598" s="7" t="s">
        <v>7165</v>
      </c>
      <c r="L5598" s="7"/>
      <c r="M5598" s="7"/>
    </row>
    <row r="5599" spans="1:13" x14ac:dyDescent="0.3">
      <c r="A5599" s="7">
        <v>18774</v>
      </c>
      <c r="B5599" s="7" t="s">
        <v>5605</v>
      </c>
      <c r="C5599" s="7" t="s">
        <v>7088</v>
      </c>
      <c r="D5599" s="7" t="s">
        <v>6295</v>
      </c>
      <c r="E5599" s="7" t="s">
        <v>6940</v>
      </c>
      <c r="F5599" s="7" t="s">
        <v>6998</v>
      </c>
      <c r="G5599" s="7" t="s">
        <v>7150</v>
      </c>
      <c r="H5599" s="7" t="s">
        <v>7156</v>
      </c>
      <c r="I5599" s="7"/>
      <c r="J5599" s="10">
        <v>46210</v>
      </c>
      <c r="K5599" s="7" t="s">
        <v>7165</v>
      </c>
      <c r="L5599" s="7"/>
      <c r="M5599" s="7"/>
    </row>
    <row r="5600" spans="1:13" x14ac:dyDescent="0.3">
      <c r="A5600" s="7">
        <v>870016</v>
      </c>
      <c r="B5600" s="7" t="s">
        <v>5606</v>
      </c>
      <c r="C5600" s="7" t="s">
        <v>7088</v>
      </c>
      <c r="D5600" s="7" t="s">
        <v>6295</v>
      </c>
      <c r="E5600" s="7" t="s">
        <v>6951</v>
      </c>
      <c r="F5600" s="7" t="s">
        <v>6398</v>
      </c>
      <c r="G5600" s="7" t="s">
        <v>7150</v>
      </c>
      <c r="H5600" s="7" t="s">
        <v>7156</v>
      </c>
      <c r="I5600" s="7"/>
      <c r="J5600" s="10">
        <v>41149</v>
      </c>
      <c r="K5600" s="7" t="s">
        <v>7165</v>
      </c>
      <c r="L5600" s="7"/>
      <c r="M5600" s="7"/>
    </row>
    <row r="5601" spans="1:13" x14ac:dyDescent="0.3">
      <c r="A5601" s="7">
        <v>14157</v>
      </c>
      <c r="B5601" s="7" t="s">
        <v>5607</v>
      </c>
      <c r="C5601" s="7" t="s">
        <v>7088</v>
      </c>
      <c r="D5601" s="7" t="s">
        <v>6295</v>
      </c>
      <c r="E5601" s="7" t="s">
        <v>6994</v>
      </c>
      <c r="F5601" s="7" t="s">
        <v>6498</v>
      </c>
      <c r="G5601" s="7" t="s">
        <v>7150</v>
      </c>
      <c r="H5601" s="7" t="s">
        <v>7156</v>
      </c>
      <c r="I5601" s="7"/>
      <c r="J5601" s="10">
        <v>44677</v>
      </c>
      <c r="K5601" s="7" t="s">
        <v>7165</v>
      </c>
      <c r="L5601" s="7"/>
      <c r="M5601" s="7"/>
    </row>
    <row r="5602" spans="1:13" x14ac:dyDescent="0.3">
      <c r="A5602" s="7">
        <v>15430</v>
      </c>
      <c r="B5602" s="7" t="s">
        <v>5608</v>
      </c>
      <c r="C5602" s="7" t="s">
        <v>7088</v>
      </c>
      <c r="D5602" s="7" t="s">
        <v>6295</v>
      </c>
      <c r="E5602" s="7" t="s">
        <v>6994</v>
      </c>
      <c r="F5602" s="7" t="s">
        <v>6340</v>
      </c>
      <c r="G5602" s="7" t="s">
        <v>7150</v>
      </c>
      <c r="H5602" s="7" t="s">
        <v>7156</v>
      </c>
      <c r="I5602" s="7"/>
      <c r="J5602" s="10">
        <v>45069</v>
      </c>
      <c r="K5602" s="7" t="s">
        <v>7165</v>
      </c>
      <c r="L5602" s="7"/>
      <c r="M5602" s="7"/>
    </row>
    <row r="5603" spans="1:13" x14ac:dyDescent="0.3">
      <c r="A5603" s="7">
        <v>15840</v>
      </c>
      <c r="B5603" s="7" t="s">
        <v>5609</v>
      </c>
      <c r="C5603" s="7" t="s">
        <v>7088</v>
      </c>
      <c r="D5603" s="7" t="s">
        <v>6295</v>
      </c>
      <c r="E5603" s="7" t="s">
        <v>6994</v>
      </c>
      <c r="F5603" s="7" t="s">
        <v>6340</v>
      </c>
      <c r="G5603" s="7" t="s">
        <v>7150</v>
      </c>
      <c r="H5603" s="7" t="s">
        <v>7156</v>
      </c>
      <c r="I5603" s="7"/>
      <c r="J5603" s="10">
        <v>45212</v>
      </c>
      <c r="K5603" s="7" t="s">
        <v>7165</v>
      </c>
      <c r="L5603" s="7"/>
      <c r="M5603" s="7"/>
    </row>
    <row r="5604" spans="1:13" x14ac:dyDescent="0.3">
      <c r="A5604" s="7">
        <v>16810</v>
      </c>
      <c r="B5604" s="7" t="s">
        <v>5610</v>
      </c>
      <c r="C5604" s="7" t="s">
        <v>7088</v>
      </c>
      <c r="D5604" s="7" t="s">
        <v>6295</v>
      </c>
      <c r="E5604" s="7" t="s">
        <v>6994</v>
      </c>
      <c r="F5604" s="7" t="s">
        <v>6341</v>
      </c>
      <c r="G5604" s="7" t="s">
        <v>7150</v>
      </c>
      <c r="H5604" s="7" t="s">
        <v>7156</v>
      </c>
      <c r="I5604" s="7"/>
      <c r="J5604" s="10">
        <v>45555</v>
      </c>
      <c r="K5604" s="7" t="s">
        <v>7165</v>
      </c>
      <c r="L5604" s="7"/>
      <c r="M5604" s="7"/>
    </row>
    <row r="5605" spans="1:13" x14ac:dyDescent="0.3">
      <c r="A5605" s="7">
        <v>17353</v>
      </c>
      <c r="B5605" s="7" t="s">
        <v>5611</v>
      </c>
      <c r="C5605" s="7" t="s">
        <v>7088</v>
      </c>
      <c r="D5605" s="7" t="s">
        <v>6295</v>
      </c>
      <c r="E5605" s="7" t="s">
        <v>6994</v>
      </c>
      <c r="F5605" s="7" t="s">
        <v>6341</v>
      </c>
      <c r="G5605" s="7" t="s">
        <v>7150</v>
      </c>
      <c r="H5605" s="7" t="s">
        <v>7156</v>
      </c>
      <c r="I5605" s="7"/>
      <c r="J5605" s="10">
        <v>45715</v>
      </c>
      <c r="K5605" s="7" t="s">
        <v>7165</v>
      </c>
      <c r="L5605" s="7"/>
      <c r="M5605" s="7"/>
    </row>
    <row r="5606" spans="1:13" x14ac:dyDescent="0.3">
      <c r="A5606" s="7">
        <v>300056</v>
      </c>
      <c r="B5606" s="7" t="s">
        <v>5612</v>
      </c>
      <c r="C5606" s="7" t="s">
        <v>7089</v>
      </c>
      <c r="D5606" s="7" t="s">
        <v>6295</v>
      </c>
      <c r="E5606" s="7" t="s">
        <v>6295</v>
      </c>
      <c r="F5606" s="7" t="s">
        <v>6939</v>
      </c>
      <c r="G5606" s="7" t="s">
        <v>7150</v>
      </c>
      <c r="H5606" s="7" t="s">
        <v>7156</v>
      </c>
      <c r="I5606" s="7"/>
      <c r="J5606" s="10">
        <v>42779</v>
      </c>
      <c r="K5606" s="7" t="s">
        <v>7165</v>
      </c>
      <c r="L5606" s="7"/>
      <c r="M5606" s="7"/>
    </row>
    <row r="5607" spans="1:13" x14ac:dyDescent="0.3">
      <c r="A5607" s="7">
        <v>300050</v>
      </c>
      <c r="B5607" s="7" t="s">
        <v>5613</v>
      </c>
      <c r="C5607" s="7" t="s">
        <v>7089</v>
      </c>
      <c r="D5607" s="7" t="s">
        <v>6295</v>
      </c>
      <c r="E5607" s="7" t="s">
        <v>6940</v>
      </c>
      <c r="F5607" s="7" t="s">
        <v>6991</v>
      </c>
      <c r="G5607" s="7" t="s">
        <v>7150</v>
      </c>
      <c r="H5607" s="7" t="s">
        <v>7156</v>
      </c>
      <c r="I5607" s="7"/>
      <c r="J5607" s="10">
        <v>42752</v>
      </c>
      <c r="K5607" s="7" t="s">
        <v>7165</v>
      </c>
      <c r="L5607" s="7"/>
      <c r="M5607" s="7"/>
    </row>
    <row r="5608" spans="1:13" x14ac:dyDescent="0.3">
      <c r="A5608" s="7">
        <v>114011</v>
      </c>
      <c r="B5608" s="7" t="s">
        <v>5614</v>
      </c>
      <c r="C5608" s="7" t="s">
        <v>7089</v>
      </c>
      <c r="D5608" s="7" t="s">
        <v>6295</v>
      </c>
      <c r="E5608" s="7" t="s">
        <v>6940</v>
      </c>
      <c r="F5608" s="7" t="s">
        <v>6980</v>
      </c>
      <c r="G5608" s="7" t="s">
        <v>7150</v>
      </c>
      <c r="H5608" s="7" t="s">
        <v>7156</v>
      </c>
      <c r="I5608" s="7"/>
      <c r="J5608" s="10">
        <v>41613</v>
      </c>
      <c r="K5608" s="7" t="s">
        <v>7165</v>
      </c>
      <c r="L5608" s="7"/>
      <c r="M5608" s="7"/>
    </row>
    <row r="5609" spans="1:13" x14ac:dyDescent="0.3">
      <c r="A5609" s="7">
        <v>115008</v>
      </c>
      <c r="B5609" s="7" t="s">
        <v>5615</v>
      </c>
      <c r="C5609" s="7" t="s">
        <v>7089</v>
      </c>
      <c r="D5609" s="7" t="s">
        <v>6295</v>
      </c>
      <c r="E5609" s="7" t="s">
        <v>6940</v>
      </c>
      <c r="F5609" s="7" t="s">
        <v>6941</v>
      </c>
      <c r="G5609" s="7" t="s">
        <v>7150</v>
      </c>
      <c r="H5609" s="7" t="s">
        <v>7156</v>
      </c>
      <c r="I5609" s="7"/>
      <c r="J5609" s="10">
        <v>41381</v>
      </c>
      <c r="K5609" s="7" t="s">
        <v>7165</v>
      </c>
      <c r="L5609" s="7"/>
      <c r="M5609" s="7"/>
    </row>
    <row r="5610" spans="1:13" x14ac:dyDescent="0.3">
      <c r="A5610" s="7">
        <v>17269</v>
      </c>
      <c r="B5610" s="7" t="s">
        <v>5616</v>
      </c>
      <c r="C5610" s="7" t="s">
        <v>7089</v>
      </c>
      <c r="D5610" s="7" t="s">
        <v>6295</v>
      </c>
      <c r="E5610" s="7" t="s">
        <v>6940</v>
      </c>
      <c r="F5610" s="7" t="s">
        <v>6989</v>
      </c>
      <c r="G5610" s="7" t="s">
        <v>7150</v>
      </c>
      <c r="H5610" s="7" t="s">
        <v>7156</v>
      </c>
      <c r="I5610" s="7"/>
      <c r="J5610" s="10">
        <v>45694</v>
      </c>
      <c r="K5610" s="7" t="s">
        <v>7165</v>
      </c>
      <c r="L5610" s="7"/>
      <c r="M5610" s="7"/>
    </row>
    <row r="5611" spans="1:13" x14ac:dyDescent="0.3">
      <c r="A5611" s="7">
        <v>114014</v>
      </c>
      <c r="B5611" s="7" t="s">
        <v>5617</v>
      </c>
      <c r="C5611" s="7" t="s">
        <v>7089</v>
      </c>
      <c r="D5611" s="7" t="s">
        <v>6295</v>
      </c>
      <c r="E5611" s="7" t="s">
        <v>6940</v>
      </c>
      <c r="F5611" s="7" t="s">
        <v>6980</v>
      </c>
      <c r="G5611" s="7" t="s">
        <v>7150</v>
      </c>
      <c r="H5611" s="7" t="s">
        <v>7156</v>
      </c>
      <c r="I5611" s="7"/>
      <c r="J5611" s="10">
        <v>41899</v>
      </c>
      <c r="K5611" s="7" t="s">
        <v>7165</v>
      </c>
      <c r="L5611" s="7"/>
      <c r="M5611" s="7"/>
    </row>
    <row r="5612" spans="1:13" x14ac:dyDescent="0.3">
      <c r="A5612" s="7">
        <v>114020</v>
      </c>
      <c r="B5612" s="7" t="s">
        <v>5618</v>
      </c>
      <c r="C5612" s="7" t="s">
        <v>7089</v>
      </c>
      <c r="D5612" s="7" t="s">
        <v>6295</v>
      </c>
      <c r="E5612" s="7" t="s">
        <v>6940</v>
      </c>
      <c r="F5612" s="7" t="s">
        <v>6980</v>
      </c>
      <c r="G5612" s="7" t="s">
        <v>7150</v>
      </c>
      <c r="H5612" s="7" t="s">
        <v>7156</v>
      </c>
      <c r="I5612" s="7"/>
      <c r="J5612" s="10">
        <v>42866</v>
      </c>
      <c r="K5612" s="7" t="s">
        <v>7165</v>
      </c>
      <c r="L5612" s="7"/>
      <c r="M5612" s="7"/>
    </row>
    <row r="5613" spans="1:13" x14ac:dyDescent="0.3">
      <c r="A5613" s="7">
        <v>114026</v>
      </c>
      <c r="B5613" s="7" t="s">
        <v>5619</v>
      </c>
      <c r="C5613" s="7" t="s">
        <v>7089</v>
      </c>
      <c r="D5613" s="7" t="s">
        <v>6295</v>
      </c>
      <c r="E5613" s="7" t="s">
        <v>6940</v>
      </c>
      <c r="F5613" s="7" t="s">
        <v>6986</v>
      </c>
      <c r="G5613" s="7" t="s">
        <v>7150</v>
      </c>
      <c r="H5613" s="7" t="s">
        <v>7156</v>
      </c>
      <c r="I5613" s="7"/>
      <c r="J5613" s="10">
        <v>44573</v>
      </c>
      <c r="K5613" s="7" t="s">
        <v>7165</v>
      </c>
      <c r="L5613" s="7"/>
      <c r="M5613" s="7"/>
    </row>
    <row r="5614" spans="1:13" x14ac:dyDescent="0.3">
      <c r="A5614" s="7">
        <v>114010</v>
      </c>
      <c r="B5614" s="7" t="s">
        <v>5620</v>
      </c>
      <c r="C5614" s="7" t="s">
        <v>7089</v>
      </c>
      <c r="D5614" s="7" t="s">
        <v>6295</v>
      </c>
      <c r="E5614" s="7" t="s">
        <v>6951</v>
      </c>
      <c r="F5614" s="7" t="s">
        <v>6398</v>
      </c>
      <c r="G5614" s="7" t="s">
        <v>7150</v>
      </c>
      <c r="H5614" s="7" t="s">
        <v>7156</v>
      </c>
      <c r="I5614" s="7"/>
      <c r="J5614" s="10">
        <v>40087</v>
      </c>
      <c r="K5614" s="7" t="s">
        <v>7165</v>
      </c>
      <c r="L5614" s="7"/>
      <c r="M5614" s="7"/>
    </row>
    <row r="5615" spans="1:13" x14ac:dyDescent="0.3">
      <c r="A5615" s="7">
        <v>450027</v>
      </c>
      <c r="B5615" s="7" t="s">
        <v>5621</v>
      </c>
      <c r="C5615" s="7" t="s">
        <v>7090</v>
      </c>
      <c r="D5615" s="7" t="s">
        <v>6295</v>
      </c>
      <c r="E5615" s="7" t="s">
        <v>6295</v>
      </c>
      <c r="F5615" s="7" t="s">
        <v>6939</v>
      </c>
      <c r="G5615" s="7" t="s">
        <v>7150</v>
      </c>
      <c r="H5615" s="7" t="s">
        <v>7156</v>
      </c>
      <c r="I5615" s="7"/>
      <c r="J5615" s="10">
        <v>42352</v>
      </c>
      <c r="K5615" s="7" t="s">
        <v>7165</v>
      </c>
      <c r="L5615" s="7"/>
      <c r="M5615" s="7"/>
    </row>
    <row r="5616" spans="1:13" x14ac:dyDescent="0.3">
      <c r="A5616" s="7">
        <v>450047</v>
      </c>
      <c r="B5616" s="7" t="s">
        <v>5622</v>
      </c>
      <c r="C5616" s="7" t="s">
        <v>7090</v>
      </c>
      <c r="D5616" s="7" t="s">
        <v>6295</v>
      </c>
      <c r="E5616" s="7" t="s">
        <v>6940</v>
      </c>
      <c r="F5616" s="7" t="s">
        <v>6980</v>
      </c>
      <c r="G5616" s="7" t="s">
        <v>7150</v>
      </c>
      <c r="H5616" s="7" t="s">
        <v>7156</v>
      </c>
      <c r="I5616" s="7"/>
      <c r="J5616" s="10">
        <v>43430</v>
      </c>
      <c r="K5616" s="7" t="s">
        <v>7165</v>
      </c>
      <c r="L5616" s="7"/>
      <c r="M5616" s="7"/>
    </row>
    <row r="5617" spans="1:13" x14ac:dyDescent="0.3">
      <c r="A5617" s="7">
        <v>450029</v>
      </c>
      <c r="B5617" s="7" t="s">
        <v>5623</v>
      </c>
      <c r="C5617" s="7" t="s">
        <v>7090</v>
      </c>
      <c r="D5617" s="7" t="s">
        <v>6295</v>
      </c>
      <c r="E5617" s="7" t="s">
        <v>6940</v>
      </c>
      <c r="F5617" s="7" t="s">
        <v>6980</v>
      </c>
      <c r="G5617" s="7" t="s">
        <v>7150</v>
      </c>
      <c r="H5617" s="7" t="s">
        <v>7156</v>
      </c>
      <c r="I5617" s="7"/>
      <c r="J5617" s="10">
        <v>42408</v>
      </c>
      <c r="K5617" s="7" t="s">
        <v>7165</v>
      </c>
      <c r="L5617" s="7"/>
      <c r="M5617" s="7"/>
    </row>
    <row r="5618" spans="1:13" x14ac:dyDescent="0.3">
      <c r="A5618" s="7">
        <v>680022</v>
      </c>
      <c r="B5618" s="7" t="s">
        <v>5624</v>
      </c>
      <c r="C5618" s="7" t="s">
        <v>7090</v>
      </c>
      <c r="D5618" s="7" t="s">
        <v>6295</v>
      </c>
      <c r="E5618" s="7" t="s">
        <v>6940</v>
      </c>
      <c r="F5618" s="7" t="s">
        <v>6980</v>
      </c>
      <c r="G5618" s="7" t="s">
        <v>7150</v>
      </c>
      <c r="H5618" s="7" t="s">
        <v>7156</v>
      </c>
      <c r="I5618" s="7"/>
      <c r="J5618" s="10">
        <v>43242</v>
      </c>
      <c r="K5618" s="7" t="s">
        <v>7165</v>
      </c>
      <c r="L5618" s="7"/>
      <c r="M5618" s="7"/>
    </row>
    <row r="5619" spans="1:13" x14ac:dyDescent="0.3">
      <c r="A5619" s="7">
        <v>680028</v>
      </c>
      <c r="B5619" s="7" t="s">
        <v>5625</v>
      </c>
      <c r="C5619" s="7" t="s">
        <v>7090</v>
      </c>
      <c r="D5619" s="7" t="s">
        <v>6295</v>
      </c>
      <c r="E5619" s="7" t="s">
        <v>6940</v>
      </c>
      <c r="F5619" s="7" t="s">
        <v>6986</v>
      </c>
      <c r="G5619" s="7" t="s">
        <v>7150</v>
      </c>
      <c r="H5619" s="7" t="s">
        <v>7156</v>
      </c>
      <c r="I5619" s="7"/>
      <c r="J5619" s="10">
        <v>44637</v>
      </c>
      <c r="K5619" s="7" t="s">
        <v>7165</v>
      </c>
      <c r="L5619" s="7"/>
      <c r="M5619" s="7"/>
    </row>
    <row r="5620" spans="1:13" x14ac:dyDescent="0.3">
      <c r="A5620" s="7">
        <v>14239</v>
      </c>
      <c r="B5620" s="7" t="s">
        <v>5626</v>
      </c>
      <c r="C5620" s="7" t="s">
        <v>7090</v>
      </c>
      <c r="D5620" s="7" t="s">
        <v>6295</v>
      </c>
      <c r="E5620" s="7" t="s">
        <v>6940</v>
      </c>
      <c r="F5620" s="7" t="s">
        <v>6986</v>
      </c>
      <c r="G5620" s="7" t="s">
        <v>7150</v>
      </c>
      <c r="H5620" s="7" t="s">
        <v>7156</v>
      </c>
      <c r="I5620" s="7"/>
      <c r="J5620" s="10">
        <v>44704</v>
      </c>
      <c r="K5620" s="7" t="s">
        <v>7165</v>
      </c>
      <c r="L5620" s="7"/>
      <c r="M5620" s="7"/>
    </row>
    <row r="5621" spans="1:13" x14ac:dyDescent="0.3">
      <c r="A5621" s="7">
        <v>16337</v>
      </c>
      <c r="B5621" s="7" t="s">
        <v>5627</v>
      </c>
      <c r="C5621" s="7" t="s">
        <v>7090</v>
      </c>
      <c r="D5621" s="7" t="s">
        <v>6295</v>
      </c>
      <c r="E5621" s="7" t="s">
        <v>6940</v>
      </c>
      <c r="F5621" s="7" t="s">
        <v>6989</v>
      </c>
      <c r="G5621" s="7" t="s">
        <v>7150</v>
      </c>
      <c r="H5621" s="7" t="s">
        <v>7156</v>
      </c>
      <c r="I5621" s="7"/>
      <c r="J5621" s="10">
        <v>45357</v>
      </c>
      <c r="K5621" s="7" t="s">
        <v>7165</v>
      </c>
      <c r="L5621" s="7"/>
      <c r="M5621" s="7"/>
    </row>
    <row r="5622" spans="1:13" x14ac:dyDescent="0.3">
      <c r="A5622" s="7">
        <v>18598</v>
      </c>
      <c r="B5622" s="7" t="s">
        <v>5628</v>
      </c>
      <c r="C5622" s="7" t="s">
        <v>7090</v>
      </c>
      <c r="D5622" s="7" t="s">
        <v>6295</v>
      </c>
      <c r="E5622" s="7" t="s">
        <v>6940</v>
      </c>
      <c r="F5622" s="7" t="s">
        <v>7035</v>
      </c>
      <c r="G5622" s="7" t="s">
        <v>7150</v>
      </c>
      <c r="H5622" s="7" t="s">
        <v>7156</v>
      </c>
      <c r="I5622" s="7"/>
      <c r="J5622" s="10">
        <v>46163</v>
      </c>
      <c r="K5622" s="7" t="s">
        <v>7165</v>
      </c>
      <c r="L5622" s="7"/>
      <c r="M5622" s="7"/>
    </row>
    <row r="5623" spans="1:13" x14ac:dyDescent="0.3">
      <c r="A5623" s="7">
        <v>680011</v>
      </c>
      <c r="B5623" s="7" t="s">
        <v>5629</v>
      </c>
      <c r="C5623" s="7" t="s">
        <v>7090</v>
      </c>
      <c r="D5623" s="7" t="s">
        <v>6295</v>
      </c>
      <c r="E5623" s="7" t="s">
        <v>6951</v>
      </c>
      <c r="F5623" s="7" t="s">
        <v>6398</v>
      </c>
      <c r="G5623" s="7" t="s">
        <v>7150</v>
      </c>
      <c r="H5623" s="7" t="s">
        <v>7156</v>
      </c>
      <c r="I5623" s="7"/>
      <c r="J5623" s="10">
        <v>41031</v>
      </c>
      <c r="K5623" s="7" t="s">
        <v>7165</v>
      </c>
      <c r="L5623" s="7"/>
      <c r="M5623" s="7"/>
    </row>
    <row r="5624" spans="1:13" x14ac:dyDescent="0.3">
      <c r="A5624" s="7">
        <v>720010</v>
      </c>
      <c r="B5624" s="7" t="s">
        <v>5630</v>
      </c>
      <c r="C5624" s="7" t="s">
        <v>7091</v>
      </c>
      <c r="D5624" s="7" t="s">
        <v>6295</v>
      </c>
      <c r="E5624" s="7" t="s">
        <v>6295</v>
      </c>
      <c r="F5624" s="7" t="s">
        <v>6335</v>
      </c>
      <c r="G5624" s="7" t="s">
        <v>7150</v>
      </c>
      <c r="H5624" s="7" t="s">
        <v>7156</v>
      </c>
      <c r="I5624" s="7"/>
      <c r="J5624" s="10">
        <v>39737</v>
      </c>
      <c r="K5624" s="7" t="s">
        <v>7165</v>
      </c>
      <c r="L5624" s="7"/>
      <c r="M5624" s="7"/>
    </row>
    <row r="5625" spans="1:13" x14ac:dyDescent="0.3">
      <c r="A5625" s="7">
        <v>710033</v>
      </c>
      <c r="B5625" s="7" t="s">
        <v>5631</v>
      </c>
      <c r="C5625" s="7" t="s">
        <v>7091</v>
      </c>
      <c r="D5625" s="7" t="s">
        <v>6295</v>
      </c>
      <c r="E5625" s="7" t="s">
        <v>6295</v>
      </c>
      <c r="F5625" s="7" t="s">
        <v>6939</v>
      </c>
      <c r="G5625" s="7" t="s">
        <v>7150</v>
      </c>
      <c r="H5625" s="7" t="s">
        <v>7156</v>
      </c>
      <c r="I5625" s="7"/>
      <c r="J5625" s="10">
        <v>43200</v>
      </c>
      <c r="K5625" s="7" t="s">
        <v>7165</v>
      </c>
      <c r="L5625" s="7"/>
      <c r="M5625" s="7"/>
    </row>
    <row r="5626" spans="1:13" x14ac:dyDescent="0.3">
      <c r="A5626" s="7">
        <v>720011</v>
      </c>
      <c r="B5626" s="7" t="s">
        <v>5632</v>
      </c>
      <c r="C5626" s="7" t="s">
        <v>7091</v>
      </c>
      <c r="D5626" s="7" t="s">
        <v>6295</v>
      </c>
      <c r="E5626" s="7" t="s">
        <v>6940</v>
      </c>
      <c r="F5626" s="7" t="s">
        <v>6991</v>
      </c>
      <c r="G5626" s="7" t="s">
        <v>7150</v>
      </c>
      <c r="H5626" s="7" t="s">
        <v>7156</v>
      </c>
      <c r="I5626" s="7"/>
      <c r="J5626" s="10">
        <v>38456</v>
      </c>
      <c r="K5626" s="7" t="s">
        <v>7165</v>
      </c>
      <c r="L5626" s="7"/>
      <c r="M5626" s="7"/>
    </row>
    <row r="5627" spans="1:13" x14ac:dyDescent="0.3">
      <c r="A5627" s="7">
        <v>17151</v>
      </c>
      <c r="B5627" s="7" t="s">
        <v>5633</v>
      </c>
      <c r="C5627" s="7" t="s">
        <v>7091</v>
      </c>
      <c r="D5627" s="7" t="s">
        <v>6295</v>
      </c>
      <c r="E5627" s="7" t="s">
        <v>6940</v>
      </c>
      <c r="F5627" s="7" t="s">
        <v>6988</v>
      </c>
      <c r="G5627" s="7" t="s">
        <v>7150</v>
      </c>
      <c r="H5627" s="7" t="s">
        <v>7156</v>
      </c>
      <c r="I5627" s="7"/>
      <c r="J5627" s="10">
        <v>45663</v>
      </c>
      <c r="K5627" s="7" t="s">
        <v>7165</v>
      </c>
      <c r="L5627" s="7"/>
      <c r="M5627" s="7"/>
    </row>
    <row r="5628" spans="1:13" x14ac:dyDescent="0.3">
      <c r="A5628" s="7">
        <v>710006</v>
      </c>
      <c r="B5628" s="7" t="s">
        <v>5634</v>
      </c>
      <c r="C5628" s="7" t="s">
        <v>7091</v>
      </c>
      <c r="D5628" s="7" t="s">
        <v>6295</v>
      </c>
      <c r="E5628" s="7" t="s">
        <v>6940</v>
      </c>
      <c r="F5628" s="7" t="s">
        <v>6561</v>
      </c>
      <c r="G5628" s="7" t="s">
        <v>7150</v>
      </c>
      <c r="H5628" s="7" t="s">
        <v>7156</v>
      </c>
      <c r="I5628" s="7"/>
      <c r="J5628" s="10">
        <v>39296</v>
      </c>
      <c r="K5628" s="7" t="s">
        <v>7165</v>
      </c>
      <c r="L5628" s="7"/>
      <c r="M5628" s="7"/>
    </row>
    <row r="5629" spans="1:13" x14ac:dyDescent="0.3">
      <c r="A5629" s="7">
        <v>12602</v>
      </c>
      <c r="B5629" s="7" t="s">
        <v>5635</v>
      </c>
      <c r="C5629" s="7" t="s">
        <v>7091</v>
      </c>
      <c r="D5629" s="7" t="s">
        <v>6295</v>
      </c>
      <c r="E5629" s="7" t="s">
        <v>6940</v>
      </c>
      <c r="F5629" s="7" t="s">
        <v>6561</v>
      </c>
      <c r="G5629" s="7" t="s">
        <v>7150</v>
      </c>
      <c r="H5629" s="7" t="s">
        <v>7156</v>
      </c>
      <c r="I5629" s="7"/>
      <c r="J5629" s="10">
        <v>43838</v>
      </c>
      <c r="K5629" s="7" t="s">
        <v>7165</v>
      </c>
      <c r="L5629" s="7"/>
      <c r="M5629" s="7"/>
    </row>
    <row r="5630" spans="1:13" x14ac:dyDescent="0.3">
      <c r="A5630" s="7">
        <v>630013</v>
      </c>
      <c r="B5630" s="7" t="s">
        <v>5636</v>
      </c>
      <c r="C5630" s="7" t="s">
        <v>7091</v>
      </c>
      <c r="D5630" s="7" t="s">
        <v>6295</v>
      </c>
      <c r="E5630" s="7" t="s">
        <v>6940</v>
      </c>
      <c r="F5630" s="7" t="s">
        <v>6941</v>
      </c>
      <c r="G5630" s="7" t="s">
        <v>7150</v>
      </c>
      <c r="H5630" s="7" t="s">
        <v>7156</v>
      </c>
      <c r="I5630" s="7"/>
      <c r="J5630" s="10">
        <v>42027</v>
      </c>
      <c r="K5630" s="7" t="s">
        <v>7165</v>
      </c>
      <c r="L5630" s="7"/>
      <c r="M5630" s="7"/>
    </row>
    <row r="5631" spans="1:13" x14ac:dyDescent="0.3">
      <c r="A5631" s="7">
        <v>15652</v>
      </c>
      <c r="B5631" s="7" t="s">
        <v>5637</v>
      </c>
      <c r="C5631" s="7" t="s">
        <v>7091</v>
      </c>
      <c r="D5631" s="7" t="s">
        <v>6295</v>
      </c>
      <c r="E5631" s="7" t="s">
        <v>6940</v>
      </c>
      <c r="F5631" s="7" t="s">
        <v>6949</v>
      </c>
      <c r="G5631" s="7" t="s">
        <v>7150</v>
      </c>
      <c r="H5631" s="7" t="s">
        <v>7156</v>
      </c>
      <c r="I5631" s="7"/>
      <c r="J5631" s="10">
        <v>45154</v>
      </c>
      <c r="K5631" s="7" t="s">
        <v>7165</v>
      </c>
      <c r="L5631" s="7"/>
      <c r="M5631" s="7"/>
    </row>
    <row r="5632" spans="1:13" x14ac:dyDescent="0.3">
      <c r="A5632" s="7">
        <v>14958</v>
      </c>
      <c r="B5632" s="7" t="s">
        <v>5638</v>
      </c>
      <c r="C5632" s="7" t="s">
        <v>7091</v>
      </c>
      <c r="D5632" s="7" t="s">
        <v>6295</v>
      </c>
      <c r="E5632" s="7" t="s">
        <v>6940</v>
      </c>
      <c r="F5632" s="7" t="s">
        <v>6992</v>
      </c>
      <c r="G5632" s="7" t="s">
        <v>7150</v>
      </c>
      <c r="H5632" s="7" t="s">
        <v>7156</v>
      </c>
      <c r="I5632" s="7"/>
      <c r="J5632" s="10">
        <v>44900</v>
      </c>
      <c r="K5632" s="7" t="s">
        <v>7165</v>
      </c>
      <c r="L5632" s="7"/>
      <c r="M5632" s="7"/>
    </row>
    <row r="5633" spans="1:13" x14ac:dyDescent="0.3">
      <c r="A5633" s="7">
        <v>17624</v>
      </c>
      <c r="B5633" s="7" t="s">
        <v>5639</v>
      </c>
      <c r="C5633" s="7" t="s">
        <v>7091</v>
      </c>
      <c r="D5633" s="7" t="s">
        <v>6295</v>
      </c>
      <c r="E5633" s="7" t="s">
        <v>6940</v>
      </c>
      <c r="F5633" s="7" t="s">
        <v>6989</v>
      </c>
      <c r="G5633" s="7" t="s">
        <v>7150</v>
      </c>
      <c r="H5633" s="7" t="s">
        <v>7156</v>
      </c>
      <c r="I5633" s="7"/>
      <c r="J5633" s="10">
        <v>45819</v>
      </c>
      <c r="K5633" s="7" t="s">
        <v>7165</v>
      </c>
      <c r="L5633" s="7"/>
      <c r="M5633" s="7"/>
    </row>
    <row r="5634" spans="1:13" x14ac:dyDescent="0.3">
      <c r="A5634" s="7">
        <v>720039</v>
      </c>
      <c r="B5634" s="7" t="s">
        <v>5640</v>
      </c>
      <c r="C5634" s="7" t="s">
        <v>7091</v>
      </c>
      <c r="D5634" s="7" t="s">
        <v>6295</v>
      </c>
      <c r="E5634" s="7" t="s">
        <v>6940</v>
      </c>
      <c r="F5634" s="7" t="s">
        <v>6980</v>
      </c>
      <c r="G5634" s="7" t="s">
        <v>7150</v>
      </c>
      <c r="H5634" s="7" t="s">
        <v>7156</v>
      </c>
      <c r="I5634" s="7"/>
      <c r="J5634" s="10">
        <v>43238</v>
      </c>
      <c r="K5634" s="7" t="s">
        <v>7165</v>
      </c>
      <c r="L5634" s="7"/>
      <c r="M5634" s="7"/>
    </row>
    <row r="5635" spans="1:13" x14ac:dyDescent="0.3">
      <c r="A5635" s="7">
        <v>720028</v>
      </c>
      <c r="B5635" s="7" t="s">
        <v>5641</v>
      </c>
      <c r="C5635" s="7" t="s">
        <v>7091</v>
      </c>
      <c r="D5635" s="7" t="s">
        <v>6295</v>
      </c>
      <c r="E5635" s="7" t="s">
        <v>6940</v>
      </c>
      <c r="F5635" s="7" t="s">
        <v>6980</v>
      </c>
      <c r="G5635" s="7" t="s">
        <v>7150</v>
      </c>
      <c r="H5635" s="7" t="s">
        <v>7156</v>
      </c>
      <c r="I5635" s="7"/>
      <c r="J5635" s="10">
        <v>42500</v>
      </c>
      <c r="K5635" s="7" t="s">
        <v>7165</v>
      </c>
      <c r="L5635" s="7"/>
      <c r="M5635" s="7"/>
    </row>
    <row r="5636" spans="1:13" x14ac:dyDescent="0.3">
      <c r="A5636" s="7">
        <v>720034</v>
      </c>
      <c r="B5636" s="7" t="s">
        <v>5642</v>
      </c>
      <c r="C5636" s="7" t="s">
        <v>7091</v>
      </c>
      <c r="D5636" s="7" t="s">
        <v>6295</v>
      </c>
      <c r="E5636" s="7" t="s">
        <v>6940</v>
      </c>
      <c r="F5636" s="7" t="s">
        <v>6980</v>
      </c>
      <c r="G5636" s="7" t="s">
        <v>7150</v>
      </c>
      <c r="H5636" s="7" t="s">
        <v>7156</v>
      </c>
      <c r="I5636" s="7"/>
      <c r="J5636" s="10">
        <v>42685</v>
      </c>
      <c r="K5636" s="7" t="s">
        <v>7165</v>
      </c>
      <c r="L5636" s="7"/>
      <c r="M5636" s="7"/>
    </row>
    <row r="5637" spans="1:13" x14ac:dyDescent="0.3">
      <c r="A5637" s="7">
        <v>720045</v>
      </c>
      <c r="B5637" s="7" t="s">
        <v>5643</v>
      </c>
      <c r="C5637" s="7" t="s">
        <v>7091</v>
      </c>
      <c r="D5637" s="7" t="s">
        <v>6295</v>
      </c>
      <c r="E5637" s="7" t="s">
        <v>6940</v>
      </c>
      <c r="F5637" s="7" t="s">
        <v>6980</v>
      </c>
      <c r="G5637" s="7" t="s">
        <v>7150</v>
      </c>
      <c r="H5637" s="7" t="s">
        <v>7156</v>
      </c>
      <c r="I5637" s="7"/>
      <c r="J5637" s="10">
        <v>43630</v>
      </c>
      <c r="K5637" s="7" t="s">
        <v>7165</v>
      </c>
      <c r="L5637" s="7"/>
      <c r="M5637" s="7"/>
    </row>
    <row r="5638" spans="1:13" x14ac:dyDescent="0.3">
      <c r="A5638" s="7">
        <v>720043</v>
      </c>
      <c r="B5638" s="7" t="s">
        <v>5644</v>
      </c>
      <c r="C5638" s="7" t="s">
        <v>7091</v>
      </c>
      <c r="D5638" s="7" t="s">
        <v>6295</v>
      </c>
      <c r="E5638" s="7" t="s">
        <v>6940</v>
      </c>
      <c r="F5638" s="7" t="s">
        <v>6980</v>
      </c>
      <c r="G5638" s="7" t="s">
        <v>7150</v>
      </c>
      <c r="H5638" s="7" t="s">
        <v>7156</v>
      </c>
      <c r="I5638" s="7"/>
      <c r="J5638" s="10">
        <v>43326</v>
      </c>
      <c r="K5638" s="7" t="s">
        <v>7165</v>
      </c>
      <c r="L5638" s="7"/>
      <c r="M5638" s="7"/>
    </row>
    <row r="5639" spans="1:13" x14ac:dyDescent="0.3">
      <c r="A5639" s="7">
        <v>720044</v>
      </c>
      <c r="B5639" s="7" t="s">
        <v>5645</v>
      </c>
      <c r="C5639" s="7" t="s">
        <v>7091</v>
      </c>
      <c r="D5639" s="7" t="s">
        <v>6295</v>
      </c>
      <c r="E5639" s="7" t="s">
        <v>6940</v>
      </c>
      <c r="F5639" s="7" t="s">
        <v>6980</v>
      </c>
      <c r="G5639" s="7" t="s">
        <v>7150</v>
      </c>
      <c r="H5639" s="7" t="s">
        <v>7156</v>
      </c>
      <c r="I5639" s="7"/>
      <c r="J5639" s="10">
        <v>43430</v>
      </c>
      <c r="K5639" s="7" t="s">
        <v>7165</v>
      </c>
      <c r="L5639" s="7"/>
      <c r="M5639" s="7"/>
    </row>
    <row r="5640" spans="1:13" x14ac:dyDescent="0.3">
      <c r="A5640" s="7">
        <v>720049</v>
      </c>
      <c r="B5640" s="7" t="s">
        <v>5646</v>
      </c>
      <c r="C5640" s="7" t="s">
        <v>7091</v>
      </c>
      <c r="D5640" s="7" t="s">
        <v>6295</v>
      </c>
      <c r="E5640" s="7" t="s">
        <v>6940</v>
      </c>
      <c r="F5640" s="7" t="s">
        <v>6986</v>
      </c>
      <c r="G5640" s="7" t="s">
        <v>7151</v>
      </c>
      <c r="H5640" s="7" t="s">
        <v>7156</v>
      </c>
      <c r="I5640" s="7"/>
      <c r="J5640" s="10">
        <v>43868</v>
      </c>
      <c r="K5640" s="7" t="s">
        <v>7165</v>
      </c>
      <c r="L5640" s="7"/>
      <c r="M5640" s="7"/>
    </row>
    <row r="5641" spans="1:13" x14ac:dyDescent="0.3">
      <c r="A5641" s="7">
        <v>14104</v>
      </c>
      <c r="B5641" s="7" t="s">
        <v>5647</v>
      </c>
      <c r="C5641" s="7" t="s">
        <v>7091</v>
      </c>
      <c r="D5641" s="7" t="s">
        <v>6295</v>
      </c>
      <c r="E5641" s="7" t="s">
        <v>6940</v>
      </c>
      <c r="F5641" s="7" t="s">
        <v>6986</v>
      </c>
      <c r="G5641" s="7" t="s">
        <v>7150</v>
      </c>
      <c r="H5641" s="7" t="s">
        <v>7156</v>
      </c>
      <c r="I5641" s="7"/>
      <c r="J5641" s="10">
        <v>44659</v>
      </c>
      <c r="K5641" s="7" t="s">
        <v>7165</v>
      </c>
      <c r="L5641" s="7"/>
      <c r="M5641" s="7"/>
    </row>
    <row r="5642" spans="1:13" x14ac:dyDescent="0.3">
      <c r="A5642" s="7">
        <v>720004</v>
      </c>
      <c r="B5642" s="7" t="s">
        <v>5648</v>
      </c>
      <c r="C5642" s="7" t="s">
        <v>7091</v>
      </c>
      <c r="D5642" s="7" t="s">
        <v>6295</v>
      </c>
      <c r="E5642" s="7" t="s">
        <v>6951</v>
      </c>
      <c r="F5642" s="7" t="s">
        <v>6398</v>
      </c>
      <c r="G5642" s="7" t="s">
        <v>7150</v>
      </c>
      <c r="H5642" s="7" t="s">
        <v>7156</v>
      </c>
      <c r="I5642" s="7"/>
      <c r="J5642" s="10">
        <v>38477</v>
      </c>
      <c r="K5642" s="7" t="s">
        <v>7165</v>
      </c>
      <c r="L5642" s="7"/>
      <c r="M5642" s="7"/>
    </row>
    <row r="5643" spans="1:13" x14ac:dyDescent="0.3">
      <c r="A5643" s="7">
        <v>16124</v>
      </c>
      <c r="B5643" s="7" t="s">
        <v>5649</v>
      </c>
      <c r="C5643" s="7" t="s">
        <v>7091</v>
      </c>
      <c r="D5643" s="7" t="s">
        <v>6295</v>
      </c>
      <c r="E5643" s="7" t="s">
        <v>6951</v>
      </c>
      <c r="F5643" s="7" t="s">
        <v>6398</v>
      </c>
      <c r="G5643" s="7" t="s">
        <v>7150</v>
      </c>
      <c r="H5643" s="7" t="s">
        <v>7156</v>
      </c>
      <c r="I5643" s="7"/>
      <c r="J5643" s="10">
        <v>45288</v>
      </c>
      <c r="K5643" s="7" t="s">
        <v>7165</v>
      </c>
      <c r="L5643" s="7"/>
      <c r="M5643" s="7"/>
    </row>
    <row r="5644" spans="1:13" x14ac:dyDescent="0.3">
      <c r="A5644" s="7">
        <v>720050</v>
      </c>
      <c r="B5644" s="7" t="s">
        <v>5650</v>
      </c>
      <c r="C5644" s="7" t="s">
        <v>7091</v>
      </c>
      <c r="D5644" s="7" t="s">
        <v>6295</v>
      </c>
      <c r="E5644" s="7" t="s">
        <v>6994</v>
      </c>
      <c r="F5644" s="7" t="s">
        <v>6498</v>
      </c>
      <c r="G5644" s="7" t="s">
        <v>7150</v>
      </c>
      <c r="H5644" s="7" t="s">
        <v>7156</v>
      </c>
      <c r="I5644" s="7"/>
      <c r="J5644" s="10">
        <v>44480</v>
      </c>
      <c r="K5644" s="7" t="s">
        <v>7165</v>
      </c>
      <c r="L5644" s="7"/>
      <c r="M5644" s="7"/>
    </row>
    <row r="5645" spans="1:13" x14ac:dyDescent="0.3">
      <c r="A5645" s="7">
        <v>720053</v>
      </c>
      <c r="B5645" s="7" t="s">
        <v>5651</v>
      </c>
      <c r="C5645" s="7" t="s">
        <v>7091</v>
      </c>
      <c r="D5645" s="7" t="s">
        <v>6295</v>
      </c>
      <c r="E5645" s="7" t="s">
        <v>6994</v>
      </c>
      <c r="F5645" s="7" t="s">
        <v>6353</v>
      </c>
      <c r="G5645" s="7" t="s">
        <v>7150</v>
      </c>
      <c r="H5645" s="7" t="s">
        <v>7156</v>
      </c>
      <c r="I5645" s="7"/>
      <c r="J5645" s="10">
        <v>44599</v>
      </c>
      <c r="K5645" s="7" t="s">
        <v>7165</v>
      </c>
      <c r="L5645" s="7"/>
      <c r="M5645" s="7"/>
    </row>
    <row r="5646" spans="1:13" x14ac:dyDescent="0.3">
      <c r="A5646" s="7">
        <v>720051</v>
      </c>
      <c r="B5646" s="7" t="s">
        <v>5652</v>
      </c>
      <c r="C5646" s="7" t="s">
        <v>7091</v>
      </c>
      <c r="D5646" s="7" t="s">
        <v>6295</v>
      </c>
      <c r="E5646" s="7" t="s">
        <v>6994</v>
      </c>
      <c r="F5646" s="7" t="s">
        <v>6353</v>
      </c>
      <c r="G5646" s="7" t="s">
        <v>7150</v>
      </c>
      <c r="H5646" s="7" t="s">
        <v>7156</v>
      </c>
      <c r="I5646" s="7"/>
      <c r="J5646" s="10">
        <v>44531</v>
      </c>
      <c r="K5646" s="7" t="s">
        <v>7165</v>
      </c>
      <c r="L5646" s="7"/>
      <c r="M5646" s="7"/>
    </row>
    <row r="5647" spans="1:13" x14ac:dyDescent="0.3">
      <c r="A5647" s="7">
        <v>720052</v>
      </c>
      <c r="B5647" s="7" t="s">
        <v>5653</v>
      </c>
      <c r="C5647" s="7" t="s">
        <v>7091</v>
      </c>
      <c r="D5647" s="7" t="s">
        <v>6295</v>
      </c>
      <c r="E5647" s="7" t="s">
        <v>6994</v>
      </c>
      <c r="F5647" s="7" t="s">
        <v>6353</v>
      </c>
      <c r="G5647" s="7" t="s">
        <v>7150</v>
      </c>
      <c r="H5647" s="7" t="s">
        <v>7156</v>
      </c>
      <c r="I5647" s="7"/>
      <c r="J5647" s="10">
        <v>44599</v>
      </c>
      <c r="K5647" s="7" t="s">
        <v>7165</v>
      </c>
      <c r="L5647" s="7"/>
      <c r="M5647" s="7"/>
    </row>
    <row r="5648" spans="1:13" x14ac:dyDescent="0.3">
      <c r="A5648" s="7">
        <v>520018</v>
      </c>
      <c r="B5648" s="7" t="s">
        <v>5654</v>
      </c>
      <c r="C5648" s="7" t="s">
        <v>6295</v>
      </c>
      <c r="D5648" s="7" t="s">
        <v>7092</v>
      </c>
      <c r="E5648" s="7" t="s">
        <v>6295</v>
      </c>
      <c r="F5648" s="7" t="s">
        <v>6939</v>
      </c>
      <c r="G5648" s="7" t="s">
        <v>7150</v>
      </c>
      <c r="H5648" s="7" t="s">
        <v>7156</v>
      </c>
      <c r="I5648" s="7"/>
      <c r="J5648" s="10">
        <v>42114</v>
      </c>
      <c r="K5648" s="7" t="s">
        <v>7165</v>
      </c>
      <c r="L5648" s="7"/>
      <c r="M5648" s="7"/>
    </row>
    <row r="5649" spans="1:13" x14ac:dyDescent="0.3">
      <c r="A5649" s="7">
        <v>15633</v>
      </c>
      <c r="B5649" s="7" t="s">
        <v>5655</v>
      </c>
      <c r="C5649" s="7" t="s">
        <v>6295</v>
      </c>
      <c r="D5649" s="7" t="s">
        <v>7092</v>
      </c>
      <c r="E5649" s="7" t="s">
        <v>6940</v>
      </c>
      <c r="F5649" s="7" t="s">
        <v>6943</v>
      </c>
      <c r="G5649" s="7" t="s">
        <v>7150</v>
      </c>
      <c r="H5649" s="7" t="s">
        <v>7156</v>
      </c>
      <c r="I5649" s="7"/>
      <c r="J5649" s="10">
        <v>45147</v>
      </c>
      <c r="K5649" s="7" t="s">
        <v>7165</v>
      </c>
      <c r="L5649" s="7"/>
      <c r="M5649" s="7"/>
    </row>
    <row r="5650" spans="1:13" x14ac:dyDescent="0.3">
      <c r="A5650" s="7">
        <v>190035</v>
      </c>
      <c r="B5650" s="7" t="s">
        <v>5656</v>
      </c>
      <c r="C5650" s="7" t="s">
        <v>7093</v>
      </c>
      <c r="D5650" s="7" t="s">
        <v>6295</v>
      </c>
      <c r="E5650" s="7" t="s">
        <v>6295</v>
      </c>
      <c r="F5650" s="7" t="s">
        <v>6939</v>
      </c>
      <c r="G5650" s="7" t="s">
        <v>7150</v>
      </c>
      <c r="H5650" s="7" t="s">
        <v>7156</v>
      </c>
      <c r="I5650" s="7"/>
      <c r="J5650" s="10">
        <v>42194</v>
      </c>
      <c r="K5650" s="7" t="s">
        <v>7165</v>
      </c>
      <c r="L5650" s="7"/>
      <c r="M5650" s="7"/>
    </row>
    <row r="5651" spans="1:13" x14ac:dyDescent="0.3">
      <c r="A5651" s="7">
        <v>490019</v>
      </c>
      <c r="B5651" s="7" t="s">
        <v>5657</v>
      </c>
      <c r="C5651" s="7" t="s">
        <v>7093</v>
      </c>
      <c r="D5651" s="7" t="s">
        <v>6295</v>
      </c>
      <c r="E5651" s="7" t="s">
        <v>6940</v>
      </c>
      <c r="F5651" s="7" t="s">
        <v>6980</v>
      </c>
      <c r="G5651" s="7" t="s">
        <v>7150</v>
      </c>
      <c r="H5651" s="7" t="s">
        <v>7156</v>
      </c>
      <c r="I5651" s="7"/>
      <c r="J5651" s="10">
        <v>43060</v>
      </c>
      <c r="K5651" s="7" t="s">
        <v>7165</v>
      </c>
      <c r="L5651" s="7"/>
      <c r="M5651" s="7"/>
    </row>
    <row r="5652" spans="1:13" x14ac:dyDescent="0.3">
      <c r="A5652" s="7">
        <v>440048</v>
      </c>
      <c r="B5652" s="7" t="s">
        <v>5658</v>
      </c>
      <c r="C5652" s="7" t="s">
        <v>7093</v>
      </c>
      <c r="D5652" s="7" t="s">
        <v>6295</v>
      </c>
      <c r="E5652" s="7" t="s">
        <v>6940</v>
      </c>
      <c r="F5652" s="7" t="s">
        <v>6980</v>
      </c>
      <c r="G5652" s="7" t="s">
        <v>7150</v>
      </c>
      <c r="H5652" s="7" t="s">
        <v>7156</v>
      </c>
      <c r="I5652" s="7"/>
      <c r="J5652" s="10">
        <v>43823</v>
      </c>
      <c r="K5652" s="7" t="s">
        <v>7165</v>
      </c>
      <c r="L5652" s="7"/>
      <c r="M5652" s="7"/>
    </row>
    <row r="5653" spans="1:13" x14ac:dyDescent="0.3">
      <c r="A5653" s="7">
        <v>16582</v>
      </c>
      <c r="B5653" s="7" t="s">
        <v>5659</v>
      </c>
      <c r="C5653" s="7" t="s">
        <v>7093</v>
      </c>
      <c r="D5653" s="7" t="s">
        <v>6295</v>
      </c>
      <c r="E5653" s="7" t="s">
        <v>6940</v>
      </c>
      <c r="F5653" s="7" t="s">
        <v>6988</v>
      </c>
      <c r="G5653" s="7" t="s">
        <v>7152</v>
      </c>
      <c r="H5653" s="7" t="s">
        <v>7156</v>
      </c>
      <c r="I5653" s="7"/>
      <c r="J5653" s="10">
        <v>45475</v>
      </c>
      <c r="K5653" s="7" t="s">
        <v>7165</v>
      </c>
      <c r="L5653" s="7"/>
      <c r="M5653" s="7"/>
    </row>
    <row r="5654" spans="1:13" x14ac:dyDescent="0.3">
      <c r="A5654" s="7">
        <v>18798</v>
      </c>
      <c r="B5654" s="7" t="s">
        <v>5660</v>
      </c>
      <c r="C5654" s="7" t="s">
        <v>7093</v>
      </c>
      <c r="D5654" s="7" t="s">
        <v>6295</v>
      </c>
      <c r="E5654" s="7" t="s">
        <v>6940</v>
      </c>
      <c r="F5654" s="7" t="s">
        <v>7094</v>
      </c>
      <c r="G5654" s="7" t="s">
        <v>7150</v>
      </c>
      <c r="H5654" s="7" t="s">
        <v>7157</v>
      </c>
      <c r="I5654" s="7"/>
      <c r="J5654" s="10">
        <v>46217</v>
      </c>
      <c r="K5654" s="7" t="s">
        <v>7165</v>
      </c>
      <c r="L5654" s="7"/>
      <c r="M5654" s="7"/>
    </row>
    <row r="5655" spans="1:13" x14ac:dyDescent="0.3">
      <c r="A5655" s="7">
        <v>17543</v>
      </c>
      <c r="B5655" s="7" t="s">
        <v>5661</v>
      </c>
      <c r="C5655" s="7" t="s">
        <v>7093</v>
      </c>
      <c r="D5655" s="7" t="s">
        <v>6295</v>
      </c>
      <c r="E5655" s="7" t="s">
        <v>6951</v>
      </c>
      <c r="F5655" s="7" t="s">
        <v>6398</v>
      </c>
      <c r="G5655" s="7" t="s">
        <v>7150</v>
      </c>
      <c r="H5655" s="7" t="s">
        <v>7156</v>
      </c>
      <c r="I5655" s="7"/>
      <c r="J5655" s="10">
        <v>45785</v>
      </c>
      <c r="K5655" s="7" t="s">
        <v>7165</v>
      </c>
      <c r="L5655" s="7"/>
      <c r="M5655" s="7"/>
    </row>
    <row r="5656" spans="1:13" x14ac:dyDescent="0.3">
      <c r="A5656" s="7">
        <v>900027</v>
      </c>
      <c r="B5656" s="7" t="s">
        <v>5662</v>
      </c>
      <c r="C5656" s="7" t="s">
        <v>7095</v>
      </c>
      <c r="D5656" s="7" t="s">
        <v>6295</v>
      </c>
      <c r="E5656" s="7" t="s">
        <v>6295</v>
      </c>
      <c r="F5656" s="7" t="s">
        <v>6939</v>
      </c>
      <c r="G5656" s="7" t="s">
        <v>7150</v>
      </c>
      <c r="H5656" s="7" t="s">
        <v>7156</v>
      </c>
      <c r="I5656" s="7"/>
      <c r="J5656" s="10">
        <v>41592</v>
      </c>
      <c r="K5656" s="7" t="s">
        <v>7165</v>
      </c>
      <c r="L5656" s="7"/>
      <c r="M5656" s="7"/>
    </row>
    <row r="5657" spans="1:13" x14ac:dyDescent="0.3">
      <c r="A5657" s="7">
        <v>730045</v>
      </c>
      <c r="B5657" s="7" t="s">
        <v>5663</v>
      </c>
      <c r="C5657" s="7" t="s">
        <v>7095</v>
      </c>
      <c r="D5657" s="7" t="s">
        <v>6295</v>
      </c>
      <c r="E5657" s="7" t="s">
        <v>6940</v>
      </c>
      <c r="F5657" s="7" t="s">
        <v>6991</v>
      </c>
      <c r="G5657" s="7" t="s">
        <v>7150</v>
      </c>
      <c r="H5657" s="7" t="s">
        <v>7156</v>
      </c>
      <c r="I5657" s="7"/>
      <c r="J5657" s="10">
        <v>44026</v>
      </c>
      <c r="K5657" s="7" t="s">
        <v>7165</v>
      </c>
      <c r="L5657" s="7"/>
      <c r="M5657" s="7"/>
    </row>
    <row r="5658" spans="1:13" x14ac:dyDescent="0.3">
      <c r="A5658" s="7">
        <v>730054</v>
      </c>
      <c r="B5658" s="7" t="s">
        <v>5664</v>
      </c>
      <c r="C5658" s="7" t="s">
        <v>7095</v>
      </c>
      <c r="D5658" s="7" t="s">
        <v>6295</v>
      </c>
      <c r="E5658" s="7" t="s">
        <v>6940</v>
      </c>
      <c r="F5658" s="7" t="s">
        <v>6991</v>
      </c>
      <c r="G5658" s="7" t="s">
        <v>7150</v>
      </c>
      <c r="H5658" s="7" t="s">
        <v>7156</v>
      </c>
      <c r="I5658" s="7"/>
      <c r="J5658" s="10">
        <v>44572</v>
      </c>
      <c r="K5658" s="7" t="s">
        <v>7165</v>
      </c>
      <c r="L5658" s="7"/>
      <c r="M5658" s="7"/>
    </row>
    <row r="5659" spans="1:13" x14ac:dyDescent="0.3">
      <c r="A5659" s="7">
        <v>730039</v>
      </c>
      <c r="B5659" s="7" t="s">
        <v>5665</v>
      </c>
      <c r="C5659" s="7" t="s">
        <v>7095</v>
      </c>
      <c r="D5659" s="7" t="s">
        <v>6295</v>
      </c>
      <c r="E5659" s="7" t="s">
        <v>6940</v>
      </c>
      <c r="F5659" s="7" t="s">
        <v>6992</v>
      </c>
      <c r="G5659" s="7" t="s">
        <v>7150</v>
      </c>
      <c r="H5659" s="7" t="s">
        <v>7156</v>
      </c>
      <c r="I5659" s="7"/>
      <c r="J5659" s="10">
        <v>43453</v>
      </c>
      <c r="K5659" s="7" t="s">
        <v>7165</v>
      </c>
      <c r="L5659" s="7"/>
      <c r="M5659" s="7"/>
    </row>
    <row r="5660" spans="1:13" x14ac:dyDescent="0.3">
      <c r="A5660" s="7">
        <v>300081</v>
      </c>
      <c r="B5660" s="7" t="s">
        <v>5666</v>
      </c>
      <c r="C5660" s="7" t="s">
        <v>7095</v>
      </c>
      <c r="D5660" s="7" t="s">
        <v>6295</v>
      </c>
      <c r="E5660" s="7" t="s">
        <v>6940</v>
      </c>
      <c r="F5660" s="7" t="s">
        <v>6980</v>
      </c>
      <c r="G5660" s="7" t="s">
        <v>7150</v>
      </c>
      <c r="H5660" s="7" t="s">
        <v>7156</v>
      </c>
      <c r="I5660" s="7"/>
      <c r="J5660" s="10">
        <v>42891</v>
      </c>
      <c r="K5660" s="7" t="s">
        <v>7165</v>
      </c>
      <c r="L5660" s="7"/>
      <c r="M5660" s="7"/>
    </row>
    <row r="5661" spans="1:13" x14ac:dyDescent="0.3">
      <c r="A5661" s="7">
        <v>730037</v>
      </c>
      <c r="B5661" s="7" t="s">
        <v>5667</v>
      </c>
      <c r="C5661" s="7" t="s">
        <v>7095</v>
      </c>
      <c r="D5661" s="7" t="s">
        <v>6295</v>
      </c>
      <c r="E5661" s="7" t="s">
        <v>6940</v>
      </c>
      <c r="F5661" s="7" t="s">
        <v>6980</v>
      </c>
      <c r="G5661" s="7" t="s">
        <v>7150</v>
      </c>
      <c r="H5661" s="7" t="s">
        <v>7156</v>
      </c>
      <c r="I5661" s="7"/>
      <c r="J5661" s="10">
        <v>43333</v>
      </c>
      <c r="K5661" s="7" t="s">
        <v>7165</v>
      </c>
      <c r="L5661" s="7"/>
      <c r="M5661" s="7"/>
    </row>
    <row r="5662" spans="1:13" x14ac:dyDescent="0.3">
      <c r="A5662" s="7">
        <v>207002</v>
      </c>
      <c r="B5662" s="7" t="s">
        <v>5668</v>
      </c>
      <c r="C5662" s="7" t="s">
        <v>7095</v>
      </c>
      <c r="D5662" s="7" t="s">
        <v>6295</v>
      </c>
      <c r="E5662" s="7" t="s">
        <v>6940</v>
      </c>
      <c r="F5662" s="7" t="s">
        <v>6980</v>
      </c>
      <c r="G5662" s="7" t="s">
        <v>7150</v>
      </c>
      <c r="H5662" s="7" t="s">
        <v>7156</v>
      </c>
      <c r="I5662" s="7"/>
      <c r="J5662" s="10">
        <v>43452</v>
      </c>
      <c r="K5662" s="7" t="s">
        <v>7165</v>
      </c>
      <c r="L5662" s="7"/>
      <c r="M5662" s="7"/>
    </row>
    <row r="5663" spans="1:13" x14ac:dyDescent="0.3">
      <c r="A5663" s="7">
        <v>640021</v>
      </c>
      <c r="B5663" s="7" t="s">
        <v>5669</v>
      </c>
      <c r="C5663" s="7" t="s">
        <v>7095</v>
      </c>
      <c r="D5663" s="7" t="s">
        <v>6295</v>
      </c>
      <c r="E5663" s="7" t="s">
        <v>6940</v>
      </c>
      <c r="F5663" s="7" t="s">
        <v>6980</v>
      </c>
      <c r="G5663" s="7" t="s">
        <v>7150</v>
      </c>
      <c r="H5663" s="7" t="s">
        <v>7156</v>
      </c>
      <c r="I5663" s="7"/>
      <c r="J5663" s="10">
        <v>42552</v>
      </c>
      <c r="K5663" s="7" t="s">
        <v>7165</v>
      </c>
      <c r="L5663" s="7"/>
      <c r="M5663" s="7"/>
    </row>
    <row r="5664" spans="1:13" x14ac:dyDescent="0.3">
      <c r="A5664" s="7">
        <v>730041</v>
      </c>
      <c r="B5664" s="7" t="s">
        <v>5670</v>
      </c>
      <c r="C5664" s="7" t="s">
        <v>7095</v>
      </c>
      <c r="D5664" s="7" t="s">
        <v>6295</v>
      </c>
      <c r="E5664" s="7" t="s">
        <v>6940</v>
      </c>
      <c r="F5664" s="7" t="s">
        <v>6980</v>
      </c>
      <c r="G5664" s="7" t="s">
        <v>7150</v>
      </c>
      <c r="H5664" s="7" t="s">
        <v>7156</v>
      </c>
      <c r="I5664" s="7"/>
      <c r="J5664" s="10">
        <v>43874</v>
      </c>
      <c r="K5664" s="7" t="s">
        <v>7165</v>
      </c>
      <c r="L5664" s="7"/>
      <c r="M5664" s="7"/>
    </row>
    <row r="5665" spans="1:13" x14ac:dyDescent="0.3">
      <c r="A5665" s="7">
        <v>730044</v>
      </c>
      <c r="B5665" s="7" t="s">
        <v>5671</v>
      </c>
      <c r="C5665" s="7" t="s">
        <v>7095</v>
      </c>
      <c r="D5665" s="7" t="s">
        <v>6295</v>
      </c>
      <c r="E5665" s="7" t="s">
        <v>6940</v>
      </c>
      <c r="F5665" s="7" t="s">
        <v>6980</v>
      </c>
      <c r="G5665" s="7" t="s">
        <v>7150</v>
      </c>
      <c r="H5665" s="7" t="s">
        <v>7156</v>
      </c>
      <c r="I5665" s="7"/>
      <c r="J5665" s="10">
        <v>44005</v>
      </c>
      <c r="K5665" s="7" t="s">
        <v>7165</v>
      </c>
      <c r="L5665" s="7"/>
      <c r="M5665" s="7"/>
    </row>
    <row r="5666" spans="1:13" x14ac:dyDescent="0.3">
      <c r="A5666" s="7">
        <v>730036</v>
      </c>
      <c r="B5666" s="7" t="s">
        <v>5672</v>
      </c>
      <c r="C5666" s="7" t="s">
        <v>7095</v>
      </c>
      <c r="D5666" s="7" t="s">
        <v>6295</v>
      </c>
      <c r="E5666" s="7" t="s">
        <v>6940</v>
      </c>
      <c r="F5666" s="7" t="s">
        <v>6980</v>
      </c>
      <c r="G5666" s="7" t="s">
        <v>7150</v>
      </c>
      <c r="H5666" s="7" t="s">
        <v>7156</v>
      </c>
      <c r="I5666" s="7"/>
      <c r="J5666" s="10">
        <v>43224</v>
      </c>
      <c r="K5666" s="7" t="s">
        <v>7165</v>
      </c>
      <c r="L5666" s="7"/>
      <c r="M5666" s="7"/>
    </row>
    <row r="5667" spans="1:13" x14ac:dyDescent="0.3">
      <c r="A5667" s="7">
        <v>730055</v>
      </c>
      <c r="B5667" s="7" t="s">
        <v>5673</v>
      </c>
      <c r="C5667" s="7" t="s">
        <v>7095</v>
      </c>
      <c r="D5667" s="7" t="s">
        <v>6295</v>
      </c>
      <c r="E5667" s="7" t="s">
        <v>6940</v>
      </c>
      <c r="F5667" s="7" t="s">
        <v>6986</v>
      </c>
      <c r="G5667" s="7" t="s">
        <v>7150</v>
      </c>
      <c r="H5667" s="7" t="s">
        <v>7156</v>
      </c>
      <c r="I5667" s="7"/>
      <c r="J5667" s="10">
        <v>44572</v>
      </c>
      <c r="K5667" s="7" t="s">
        <v>7165</v>
      </c>
      <c r="L5667" s="7"/>
      <c r="M5667" s="7"/>
    </row>
    <row r="5668" spans="1:13" x14ac:dyDescent="0.3">
      <c r="A5668" s="7">
        <v>18994</v>
      </c>
      <c r="B5668" s="7" t="s">
        <v>5674</v>
      </c>
      <c r="C5668" s="7" t="s">
        <v>7095</v>
      </c>
      <c r="D5668" s="7" t="s">
        <v>6295</v>
      </c>
      <c r="E5668" s="7" t="s">
        <v>6940</v>
      </c>
      <c r="F5668" s="7" t="s">
        <v>7013</v>
      </c>
      <c r="G5668" s="7" t="s">
        <v>7150</v>
      </c>
      <c r="H5668" s="7" t="s">
        <v>7156</v>
      </c>
      <c r="I5668" s="7"/>
      <c r="J5668" s="10">
        <v>46255</v>
      </c>
      <c r="K5668" s="7" t="s">
        <v>7165</v>
      </c>
      <c r="L5668" s="7"/>
      <c r="M5668" s="7"/>
    </row>
    <row r="5669" spans="1:13" x14ac:dyDescent="0.3">
      <c r="A5669" s="7">
        <v>16213</v>
      </c>
      <c r="B5669" s="7" t="s">
        <v>5675</v>
      </c>
      <c r="C5669" s="7" t="s">
        <v>7095</v>
      </c>
      <c r="D5669" s="7" t="s">
        <v>6295</v>
      </c>
      <c r="E5669" s="7" t="s">
        <v>6940</v>
      </c>
      <c r="F5669" s="7" t="s">
        <v>6987</v>
      </c>
      <c r="G5669" s="7" t="s">
        <v>7150</v>
      </c>
      <c r="H5669" s="7" t="s">
        <v>7156</v>
      </c>
      <c r="I5669" s="7"/>
      <c r="J5669" s="10">
        <v>45323</v>
      </c>
      <c r="K5669" s="7" t="s">
        <v>7165</v>
      </c>
      <c r="L5669" s="7"/>
      <c r="M5669" s="7"/>
    </row>
    <row r="5670" spans="1:13" x14ac:dyDescent="0.3">
      <c r="A5670" s="7">
        <v>730033</v>
      </c>
      <c r="B5670" s="7" t="s">
        <v>5676</v>
      </c>
      <c r="C5670" s="7" t="s">
        <v>7095</v>
      </c>
      <c r="D5670" s="7" t="s">
        <v>6295</v>
      </c>
      <c r="E5670" s="7" t="s">
        <v>6951</v>
      </c>
      <c r="F5670" s="7" t="s">
        <v>6398</v>
      </c>
      <c r="G5670" s="7" t="s">
        <v>7150</v>
      </c>
      <c r="H5670" s="7" t="s">
        <v>7156</v>
      </c>
      <c r="I5670" s="7"/>
      <c r="J5670" s="10">
        <v>42599</v>
      </c>
      <c r="K5670" s="7" t="s">
        <v>7165</v>
      </c>
      <c r="L5670" s="7"/>
      <c r="M5670" s="7"/>
    </row>
    <row r="5671" spans="1:13" x14ac:dyDescent="0.3">
      <c r="A5671" s="7">
        <v>730050</v>
      </c>
      <c r="B5671" s="7" t="s">
        <v>5677</v>
      </c>
      <c r="C5671" s="7" t="s">
        <v>7095</v>
      </c>
      <c r="D5671" s="7" t="s">
        <v>6295</v>
      </c>
      <c r="E5671" s="7" t="s">
        <v>6994</v>
      </c>
      <c r="F5671" s="7" t="s">
        <v>6498</v>
      </c>
      <c r="G5671" s="7" t="s">
        <v>7150</v>
      </c>
      <c r="H5671" s="7" t="s">
        <v>7156</v>
      </c>
      <c r="I5671" s="7"/>
      <c r="J5671" s="10">
        <v>44412</v>
      </c>
      <c r="K5671" s="7" t="s">
        <v>7165</v>
      </c>
      <c r="L5671" s="7"/>
      <c r="M5671" s="7"/>
    </row>
    <row r="5672" spans="1:13" x14ac:dyDescent="0.3">
      <c r="A5672" s="7">
        <v>300086</v>
      </c>
      <c r="B5672" s="7" t="s">
        <v>5678</v>
      </c>
      <c r="C5672" s="7" t="s">
        <v>7095</v>
      </c>
      <c r="D5672" s="7" t="s">
        <v>6295</v>
      </c>
      <c r="E5672" s="7" t="s">
        <v>6994</v>
      </c>
      <c r="F5672" s="7" t="s">
        <v>6353</v>
      </c>
      <c r="G5672" s="7" t="s">
        <v>7150</v>
      </c>
      <c r="H5672" s="7" t="s">
        <v>7156</v>
      </c>
      <c r="I5672" s="7"/>
      <c r="J5672" s="10">
        <v>42900</v>
      </c>
      <c r="K5672" s="7" t="s">
        <v>7165</v>
      </c>
      <c r="L5672" s="7"/>
      <c r="M5672" s="7"/>
    </row>
    <row r="5673" spans="1:13" x14ac:dyDescent="0.3">
      <c r="A5673" s="7">
        <v>730053</v>
      </c>
      <c r="B5673" s="7" t="s">
        <v>5679</v>
      </c>
      <c r="C5673" s="7" t="s">
        <v>7095</v>
      </c>
      <c r="D5673" s="7" t="s">
        <v>6295</v>
      </c>
      <c r="E5673" s="7" t="s">
        <v>6994</v>
      </c>
      <c r="F5673" s="7" t="s">
        <v>6340</v>
      </c>
      <c r="G5673" s="7" t="s">
        <v>7150</v>
      </c>
      <c r="H5673" s="7" t="s">
        <v>7156</v>
      </c>
      <c r="I5673" s="7"/>
      <c r="J5673" s="10">
        <v>44474</v>
      </c>
      <c r="K5673" s="7" t="s">
        <v>7165</v>
      </c>
      <c r="L5673" s="7"/>
      <c r="M5673" s="7"/>
    </row>
    <row r="5674" spans="1:13" x14ac:dyDescent="0.3">
      <c r="A5674" s="7">
        <v>16714</v>
      </c>
      <c r="B5674" s="7" t="s">
        <v>5680</v>
      </c>
      <c r="C5674" s="7" t="s">
        <v>7095</v>
      </c>
      <c r="D5674" s="7" t="s">
        <v>6295</v>
      </c>
      <c r="E5674" s="7" t="s">
        <v>6994</v>
      </c>
      <c r="F5674" s="7" t="s">
        <v>6340</v>
      </c>
      <c r="G5674" s="7" t="s">
        <v>7150</v>
      </c>
      <c r="H5674" s="7" t="s">
        <v>7156</v>
      </c>
      <c r="I5674" s="7"/>
      <c r="J5674" s="10">
        <v>45545</v>
      </c>
      <c r="K5674" s="7" t="s">
        <v>7165</v>
      </c>
      <c r="L5674" s="7"/>
      <c r="M5674" s="7"/>
    </row>
    <row r="5675" spans="1:13" x14ac:dyDescent="0.3">
      <c r="A5675" s="7">
        <v>14944</v>
      </c>
      <c r="B5675" s="7" t="s">
        <v>5681</v>
      </c>
      <c r="C5675" s="7" t="s">
        <v>7095</v>
      </c>
      <c r="D5675" s="7" t="s">
        <v>6295</v>
      </c>
      <c r="E5675" s="7" t="s">
        <v>6994</v>
      </c>
      <c r="F5675" s="7" t="s">
        <v>6340</v>
      </c>
      <c r="G5675" s="7" t="s">
        <v>7150</v>
      </c>
      <c r="H5675" s="7" t="s">
        <v>7156</v>
      </c>
      <c r="I5675" s="7"/>
      <c r="J5675" s="10">
        <v>44896</v>
      </c>
      <c r="K5675" s="7" t="s">
        <v>7165</v>
      </c>
      <c r="L5675" s="7"/>
      <c r="M5675" s="7"/>
    </row>
    <row r="5676" spans="1:13" x14ac:dyDescent="0.3">
      <c r="A5676" s="7">
        <v>760023</v>
      </c>
      <c r="B5676" s="7" t="s">
        <v>5682</v>
      </c>
      <c r="C5676" s="7" t="s">
        <v>7096</v>
      </c>
      <c r="D5676" s="7" t="s">
        <v>6295</v>
      </c>
      <c r="E5676" s="7" t="s">
        <v>6295</v>
      </c>
      <c r="F5676" s="7" t="s">
        <v>6939</v>
      </c>
      <c r="G5676" s="7" t="s">
        <v>7150</v>
      </c>
      <c r="H5676" s="7" t="s">
        <v>7156</v>
      </c>
      <c r="I5676" s="7"/>
      <c r="J5676" s="10">
        <v>41927</v>
      </c>
      <c r="K5676" s="7" t="s">
        <v>7165</v>
      </c>
      <c r="L5676" s="7"/>
      <c r="M5676" s="7"/>
    </row>
    <row r="5677" spans="1:13" x14ac:dyDescent="0.3">
      <c r="A5677" s="7">
        <v>790010</v>
      </c>
      <c r="B5677" s="7" t="s">
        <v>5683</v>
      </c>
      <c r="C5677" s="7" t="s">
        <v>7096</v>
      </c>
      <c r="D5677" s="7" t="s">
        <v>6295</v>
      </c>
      <c r="E5677" s="7" t="s">
        <v>6295</v>
      </c>
      <c r="F5677" s="7" t="s">
        <v>6335</v>
      </c>
      <c r="G5677" s="7" t="s">
        <v>7150</v>
      </c>
      <c r="H5677" s="7" t="s">
        <v>7156</v>
      </c>
      <c r="I5677" s="7"/>
      <c r="J5677" s="10">
        <v>36726</v>
      </c>
      <c r="K5677" s="7" t="s">
        <v>7165</v>
      </c>
      <c r="L5677" s="7"/>
      <c r="M5677" s="7"/>
    </row>
    <row r="5678" spans="1:13" x14ac:dyDescent="0.3">
      <c r="A5678" s="7">
        <v>860003</v>
      </c>
      <c r="B5678" s="7" t="s">
        <v>5684</v>
      </c>
      <c r="C5678" s="7" t="s">
        <v>7096</v>
      </c>
      <c r="D5678" s="7" t="s">
        <v>6295</v>
      </c>
      <c r="E5678" s="7" t="s">
        <v>6940</v>
      </c>
      <c r="F5678" s="7" t="s">
        <v>6991</v>
      </c>
      <c r="G5678" s="7" t="s">
        <v>7150</v>
      </c>
      <c r="H5678" s="7" t="s">
        <v>7156</v>
      </c>
      <c r="I5678" s="7"/>
      <c r="J5678" s="10">
        <v>36871</v>
      </c>
      <c r="K5678" s="7" t="s">
        <v>7165</v>
      </c>
      <c r="L5678" s="7"/>
      <c r="M5678" s="7"/>
    </row>
    <row r="5679" spans="1:13" x14ac:dyDescent="0.3">
      <c r="A5679" s="7">
        <v>870018</v>
      </c>
      <c r="B5679" s="7" t="s">
        <v>5685</v>
      </c>
      <c r="C5679" s="7" t="s">
        <v>7096</v>
      </c>
      <c r="D5679" s="7" t="s">
        <v>6295</v>
      </c>
      <c r="E5679" s="7" t="s">
        <v>6940</v>
      </c>
      <c r="F5679" s="7" t="s">
        <v>6561</v>
      </c>
      <c r="G5679" s="7" t="s">
        <v>7150</v>
      </c>
      <c r="H5679" s="7" t="s">
        <v>7156</v>
      </c>
      <c r="I5679" s="7"/>
      <c r="J5679" s="10">
        <v>38729</v>
      </c>
      <c r="K5679" s="7" t="s">
        <v>7165</v>
      </c>
      <c r="L5679" s="7"/>
      <c r="M5679" s="7"/>
    </row>
    <row r="5680" spans="1:13" x14ac:dyDescent="0.3">
      <c r="A5680" s="7">
        <v>860013</v>
      </c>
      <c r="B5680" s="7" t="s">
        <v>5686</v>
      </c>
      <c r="C5680" s="7" t="s">
        <v>7096</v>
      </c>
      <c r="D5680" s="7" t="s">
        <v>6295</v>
      </c>
      <c r="E5680" s="7" t="s">
        <v>6940</v>
      </c>
      <c r="F5680" s="7" t="s">
        <v>6561</v>
      </c>
      <c r="G5680" s="7" t="s">
        <v>7150</v>
      </c>
      <c r="H5680" s="7" t="s">
        <v>7156</v>
      </c>
      <c r="I5680" s="7"/>
      <c r="J5680" s="10">
        <v>41404</v>
      </c>
      <c r="K5680" s="7" t="s">
        <v>7165</v>
      </c>
      <c r="L5680" s="7"/>
      <c r="M5680" s="7"/>
    </row>
    <row r="5681" spans="1:13" x14ac:dyDescent="0.3">
      <c r="A5681" s="7">
        <v>18415</v>
      </c>
      <c r="B5681" s="7" t="s">
        <v>5687</v>
      </c>
      <c r="C5681" s="7" t="s">
        <v>7096</v>
      </c>
      <c r="D5681" s="7" t="s">
        <v>6295</v>
      </c>
      <c r="E5681" s="7" t="s">
        <v>6940</v>
      </c>
      <c r="F5681" s="7" t="s">
        <v>6998</v>
      </c>
      <c r="G5681" s="7" t="s">
        <v>7150</v>
      </c>
      <c r="H5681" s="7" t="s">
        <v>7156</v>
      </c>
      <c r="I5681" s="7"/>
      <c r="J5681" s="10">
        <v>46126</v>
      </c>
      <c r="K5681" s="7" t="s">
        <v>7165</v>
      </c>
      <c r="L5681" s="7"/>
      <c r="M5681" s="7"/>
    </row>
    <row r="5682" spans="1:13" x14ac:dyDescent="0.3">
      <c r="A5682" s="7">
        <v>860009</v>
      </c>
      <c r="B5682" s="7" t="s">
        <v>5688</v>
      </c>
      <c r="C5682" s="7" t="s">
        <v>7096</v>
      </c>
      <c r="D5682" s="7" t="s">
        <v>6295</v>
      </c>
      <c r="E5682" s="7" t="s">
        <v>6940</v>
      </c>
      <c r="F5682" s="7" t="s">
        <v>6980</v>
      </c>
      <c r="G5682" s="7" t="s">
        <v>7150</v>
      </c>
      <c r="H5682" s="7" t="s">
        <v>7156</v>
      </c>
      <c r="I5682" s="7"/>
      <c r="J5682" s="10">
        <v>38895</v>
      </c>
      <c r="K5682" s="7" t="s">
        <v>7165</v>
      </c>
      <c r="L5682" s="7"/>
      <c r="M5682" s="7"/>
    </row>
    <row r="5683" spans="1:13" x14ac:dyDescent="0.3">
      <c r="A5683" s="7">
        <v>860021</v>
      </c>
      <c r="B5683" s="7" t="s">
        <v>5689</v>
      </c>
      <c r="C5683" s="7" t="s">
        <v>7096</v>
      </c>
      <c r="D5683" s="7" t="s">
        <v>6295</v>
      </c>
      <c r="E5683" s="7" t="s">
        <v>6940</v>
      </c>
      <c r="F5683" s="7" t="s">
        <v>6980</v>
      </c>
      <c r="G5683" s="7" t="s">
        <v>7150</v>
      </c>
      <c r="H5683" s="7" t="s">
        <v>7156</v>
      </c>
      <c r="I5683" s="7"/>
      <c r="J5683" s="10">
        <v>42695</v>
      </c>
      <c r="K5683" s="7" t="s">
        <v>7165</v>
      </c>
      <c r="L5683" s="7"/>
      <c r="M5683" s="7"/>
    </row>
    <row r="5684" spans="1:13" x14ac:dyDescent="0.3">
      <c r="A5684" s="7">
        <v>860014</v>
      </c>
      <c r="B5684" s="7" t="s">
        <v>5690</v>
      </c>
      <c r="C5684" s="7" t="s">
        <v>7096</v>
      </c>
      <c r="D5684" s="7" t="s">
        <v>6295</v>
      </c>
      <c r="E5684" s="7" t="s">
        <v>6940</v>
      </c>
      <c r="F5684" s="7" t="s">
        <v>6980</v>
      </c>
      <c r="G5684" s="7" t="s">
        <v>7150</v>
      </c>
      <c r="H5684" s="7" t="s">
        <v>7156</v>
      </c>
      <c r="I5684" s="7"/>
      <c r="J5684" s="10">
        <v>41367</v>
      </c>
      <c r="K5684" s="7" t="s">
        <v>7165</v>
      </c>
      <c r="L5684" s="7"/>
      <c r="M5684" s="7"/>
    </row>
    <row r="5685" spans="1:13" x14ac:dyDescent="0.3">
      <c r="A5685" s="7">
        <v>860024</v>
      </c>
      <c r="B5685" s="7" t="s">
        <v>5691</v>
      </c>
      <c r="C5685" s="7" t="s">
        <v>7096</v>
      </c>
      <c r="D5685" s="7" t="s">
        <v>6295</v>
      </c>
      <c r="E5685" s="7" t="s">
        <v>6940</v>
      </c>
      <c r="F5685" s="7" t="s">
        <v>6980</v>
      </c>
      <c r="G5685" s="7" t="s">
        <v>7150</v>
      </c>
      <c r="H5685" s="7" t="s">
        <v>7156</v>
      </c>
      <c r="I5685" s="7"/>
      <c r="J5685" s="10">
        <v>43824</v>
      </c>
      <c r="K5685" s="7" t="s">
        <v>7165</v>
      </c>
      <c r="L5685" s="7"/>
      <c r="M5685" s="7"/>
    </row>
    <row r="5686" spans="1:13" x14ac:dyDescent="0.3">
      <c r="A5686" s="7">
        <v>16010</v>
      </c>
      <c r="B5686" s="7" t="s">
        <v>5692</v>
      </c>
      <c r="C5686" s="7" t="s">
        <v>7096</v>
      </c>
      <c r="D5686" s="7" t="s">
        <v>6295</v>
      </c>
      <c r="E5686" s="7" t="s">
        <v>6940</v>
      </c>
      <c r="F5686" s="7" t="s">
        <v>6986</v>
      </c>
      <c r="G5686" s="7" t="s">
        <v>7150</v>
      </c>
      <c r="H5686" s="7" t="s">
        <v>7156</v>
      </c>
      <c r="I5686" s="7"/>
      <c r="J5686" s="10">
        <v>45265</v>
      </c>
      <c r="K5686" s="7" t="s">
        <v>7165</v>
      </c>
      <c r="L5686" s="7"/>
      <c r="M5686" s="7"/>
    </row>
    <row r="5687" spans="1:13" x14ac:dyDescent="0.3">
      <c r="A5687" s="7">
        <v>15142</v>
      </c>
      <c r="B5687" s="7" t="s">
        <v>5693</v>
      </c>
      <c r="C5687" s="7" t="s">
        <v>7096</v>
      </c>
      <c r="D5687" s="7" t="s">
        <v>6295</v>
      </c>
      <c r="E5687" s="7" t="s">
        <v>6940</v>
      </c>
      <c r="F5687" s="7" t="s">
        <v>6949</v>
      </c>
      <c r="G5687" s="7" t="s">
        <v>7150</v>
      </c>
      <c r="H5687" s="7" t="s">
        <v>7156</v>
      </c>
      <c r="I5687" s="7"/>
      <c r="J5687" s="10">
        <v>44963</v>
      </c>
      <c r="K5687" s="7" t="s">
        <v>7165</v>
      </c>
      <c r="L5687" s="7"/>
      <c r="M5687" s="7"/>
    </row>
    <row r="5688" spans="1:13" x14ac:dyDescent="0.3">
      <c r="A5688" s="7">
        <v>860016</v>
      </c>
      <c r="B5688" s="7" t="s">
        <v>5694</v>
      </c>
      <c r="C5688" s="7" t="s">
        <v>7096</v>
      </c>
      <c r="D5688" s="7" t="s">
        <v>6295</v>
      </c>
      <c r="E5688" s="7" t="s">
        <v>6951</v>
      </c>
      <c r="F5688" s="7" t="s">
        <v>6398</v>
      </c>
      <c r="G5688" s="7" t="s">
        <v>7150</v>
      </c>
      <c r="H5688" s="7" t="s">
        <v>7156</v>
      </c>
      <c r="I5688" s="7"/>
      <c r="J5688" s="10">
        <v>41968</v>
      </c>
      <c r="K5688" s="7" t="s">
        <v>7165</v>
      </c>
      <c r="L5688" s="7"/>
      <c r="M5688" s="7"/>
    </row>
    <row r="5689" spans="1:13" x14ac:dyDescent="0.3">
      <c r="A5689" s="7">
        <v>118021</v>
      </c>
      <c r="B5689" s="7" t="s">
        <v>5695</v>
      </c>
      <c r="C5689" s="7" t="s">
        <v>7097</v>
      </c>
      <c r="D5689" s="7" t="s">
        <v>6295</v>
      </c>
      <c r="E5689" s="7" t="s">
        <v>6295</v>
      </c>
      <c r="F5689" s="7" t="s">
        <v>6939</v>
      </c>
      <c r="G5689" s="7" t="s">
        <v>7150</v>
      </c>
      <c r="H5689" s="7" t="s">
        <v>7156</v>
      </c>
      <c r="I5689" s="7"/>
      <c r="J5689" s="10">
        <v>42326</v>
      </c>
      <c r="K5689" s="7" t="s">
        <v>7165</v>
      </c>
      <c r="L5689" s="7"/>
      <c r="M5689" s="7"/>
    </row>
    <row r="5690" spans="1:13" x14ac:dyDescent="0.3">
      <c r="A5690" s="7">
        <v>300022</v>
      </c>
      <c r="B5690" s="7" t="s">
        <v>5696</v>
      </c>
      <c r="C5690" s="7" t="s">
        <v>7097</v>
      </c>
      <c r="D5690" s="7" t="s">
        <v>6295</v>
      </c>
      <c r="E5690" s="7" t="s">
        <v>6295</v>
      </c>
      <c r="F5690" s="7" t="s">
        <v>6335</v>
      </c>
      <c r="G5690" s="7" t="s">
        <v>7150</v>
      </c>
      <c r="H5690" s="7" t="s">
        <v>7156</v>
      </c>
      <c r="I5690" s="7"/>
      <c r="J5690" s="10">
        <v>38880</v>
      </c>
      <c r="K5690" s="7" t="s">
        <v>7165</v>
      </c>
      <c r="L5690" s="7"/>
      <c r="M5690" s="7"/>
    </row>
    <row r="5691" spans="1:13" x14ac:dyDescent="0.3">
      <c r="A5691" s="7">
        <v>290016</v>
      </c>
      <c r="B5691" s="7" t="s">
        <v>5697</v>
      </c>
      <c r="C5691" s="7" t="s">
        <v>7097</v>
      </c>
      <c r="D5691" s="7" t="s">
        <v>6295</v>
      </c>
      <c r="E5691" s="7" t="s">
        <v>6940</v>
      </c>
      <c r="F5691" s="7" t="s">
        <v>6561</v>
      </c>
      <c r="G5691" s="7" t="s">
        <v>7150</v>
      </c>
      <c r="H5691" s="7" t="s">
        <v>7156</v>
      </c>
      <c r="I5691" s="7"/>
      <c r="J5691" s="10">
        <v>41246</v>
      </c>
      <c r="K5691" s="7" t="s">
        <v>7165</v>
      </c>
      <c r="L5691" s="7"/>
      <c r="M5691" s="7"/>
    </row>
    <row r="5692" spans="1:13" x14ac:dyDescent="0.3">
      <c r="A5692" s="7">
        <v>310019</v>
      </c>
      <c r="B5692" s="7" t="s">
        <v>5698</v>
      </c>
      <c r="C5692" s="7" t="s">
        <v>7097</v>
      </c>
      <c r="D5692" s="7" t="s">
        <v>6295</v>
      </c>
      <c r="E5692" s="7" t="s">
        <v>6940</v>
      </c>
      <c r="F5692" s="7" t="s">
        <v>6561</v>
      </c>
      <c r="G5692" s="7" t="s">
        <v>7150</v>
      </c>
      <c r="H5692" s="7" t="s">
        <v>7156</v>
      </c>
      <c r="I5692" s="7"/>
      <c r="J5692" s="10">
        <v>41262</v>
      </c>
      <c r="K5692" s="7" t="s">
        <v>7165</v>
      </c>
      <c r="L5692" s="7"/>
      <c r="M5692" s="7"/>
    </row>
    <row r="5693" spans="1:13" x14ac:dyDescent="0.3">
      <c r="A5693" s="7">
        <v>310038</v>
      </c>
      <c r="B5693" s="7" t="s">
        <v>5699</v>
      </c>
      <c r="C5693" s="7" t="s">
        <v>7097</v>
      </c>
      <c r="D5693" s="7" t="s">
        <v>6295</v>
      </c>
      <c r="E5693" s="7" t="s">
        <v>6940</v>
      </c>
      <c r="F5693" s="7" t="s">
        <v>6991</v>
      </c>
      <c r="G5693" s="7" t="s">
        <v>7150</v>
      </c>
      <c r="H5693" s="7" t="s">
        <v>7156</v>
      </c>
      <c r="I5693" s="7"/>
      <c r="J5693" s="10">
        <v>43090</v>
      </c>
      <c r="K5693" s="7" t="s">
        <v>7165</v>
      </c>
      <c r="L5693" s="7"/>
      <c r="M5693" s="7"/>
    </row>
    <row r="5694" spans="1:13" x14ac:dyDescent="0.3">
      <c r="A5694" s="7">
        <v>310040</v>
      </c>
      <c r="B5694" s="7" t="s">
        <v>5700</v>
      </c>
      <c r="C5694" s="7" t="s">
        <v>7097</v>
      </c>
      <c r="D5694" s="7" t="s">
        <v>6295</v>
      </c>
      <c r="E5694" s="7" t="s">
        <v>6940</v>
      </c>
      <c r="F5694" s="7" t="s">
        <v>6991</v>
      </c>
      <c r="G5694" s="7" t="s">
        <v>7150</v>
      </c>
      <c r="H5694" s="7" t="s">
        <v>7156</v>
      </c>
      <c r="I5694" s="7"/>
      <c r="J5694" s="10">
        <v>43318</v>
      </c>
      <c r="K5694" s="7" t="s">
        <v>7165</v>
      </c>
      <c r="L5694" s="7"/>
      <c r="M5694" s="7"/>
    </row>
    <row r="5695" spans="1:13" x14ac:dyDescent="0.3">
      <c r="A5695" s="7">
        <v>17757</v>
      </c>
      <c r="B5695" s="7" t="s">
        <v>5701</v>
      </c>
      <c r="C5695" s="7" t="s">
        <v>7097</v>
      </c>
      <c r="D5695" s="7" t="s">
        <v>6295</v>
      </c>
      <c r="E5695" s="7" t="s">
        <v>6940</v>
      </c>
      <c r="F5695" s="7" t="s">
        <v>6989</v>
      </c>
      <c r="G5695" s="7" t="s">
        <v>7150</v>
      </c>
      <c r="H5695" s="7" t="s">
        <v>7156</v>
      </c>
      <c r="I5695" s="7"/>
      <c r="J5695" s="10">
        <v>45863</v>
      </c>
      <c r="K5695" s="7" t="s">
        <v>7165</v>
      </c>
      <c r="L5695" s="7"/>
      <c r="M5695" s="7"/>
    </row>
    <row r="5696" spans="1:13" x14ac:dyDescent="0.3">
      <c r="A5696" s="7">
        <v>310022</v>
      </c>
      <c r="B5696" s="7" t="s">
        <v>5702</v>
      </c>
      <c r="C5696" s="7" t="s">
        <v>7097</v>
      </c>
      <c r="D5696" s="7" t="s">
        <v>6295</v>
      </c>
      <c r="E5696" s="7" t="s">
        <v>6940</v>
      </c>
      <c r="F5696" s="7" t="s">
        <v>6980</v>
      </c>
      <c r="G5696" s="7" t="s">
        <v>7150</v>
      </c>
      <c r="H5696" s="7" t="s">
        <v>7156</v>
      </c>
      <c r="I5696" s="7"/>
      <c r="J5696" s="10">
        <v>40597</v>
      </c>
      <c r="K5696" s="7" t="s">
        <v>7165</v>
      </c>
      <c r="L5696" s="7"/>
      <c r="M5696" s="7"/>
    </row>
    <row r="5697" spans="1:13" x14ac:dyDescent="0.3">
      <c r="A5697" s="7">
        <v>510030</v>
      </c>
      <c r="B5697" s="7" t="s">
        <v>5703</v>
      </c>
      <c r="C5697" s="7" t="s">
        <v>7097</v>
      </c>
      <c r="D5697" s="7" t="s">
        <v>6295</v>
      </c>
      <c r="E5697" s="7" t="s">
        <v>6940</v>
      </c>
      <c r="F5697" s="7" t="s">
        <v>6980</v>
      </c>
      <c r="G5697" s="7" t="s">
        <v>7150</v>
      </c>
      <c r="H5697" s="7" t="s">
        <v>7156</v>
      </c>
      <c r="I5697" s="7"/>
      <c r="J5697" s="10">
        <v>42831</v>
      </c>
      <c r="K5697" s="7" t="s">
        <v>7165</v>
      </c>
      <c r="L5697" s="7"/>
      <c r="M5697" s="7"/>
    </row>
    <row r="5698" spans="1:13" x14ac:dyDescent="0.3">
      <c r="A5698" s="7">
        <v>300043</v>
      </c>
      <c r="B5698" s="7" t="s">
        <v>5704</v>
      </c>
      <c r="C5698" s="7" t="s">
        <v>7097</v>
      </c>
      <c r="D5698" s="7" t="s">
        <v>6295</v>
      </c>
      <c r="E5698" s="7" t="s">
        <v>6940</v>
      </c>
      <c r="F5698" s="7" t="s">
        <v>6980</v>
      </c>
      <c r="G5698" s="7" t="s">
        <v>7150</v>
      </c>
      <c r="H5698" s="7" t="s">
        <v>7156</v>
      </c>
      <c r="I5698" s="7"/>
      <c r="J5698" s="10">
        <v>42720</v>
      </c>
      <c r="K5698" s="7" t="s">
        <v>7165</v>
      </c>
      <c r="L5698" s="7"/>
      <c r="M5698" s="7"/>
    </row>
    <row r="5699" spans="1:13" x14ac:dyDescent="0.3">
      <c r="A5699" s="7">
        <v>290041</v>
      </c>
      <c r="B5699" s="7" t="s">
        <v>5705</v>
      </c>
      <c r="C5699" s="7" t="s">
        <v>7097</v>
      </c>
      <c r="D5699" s="7" t="s">
        <v>6295</v>
      </c>
      <c r="E5699" s="7" t="s">
        <v>6940</v>
      </c>
      <c r="F5699" s="7" t="s">
        <v>6980</v>
      </c>
      <c r="G5699" s="7" t="s">
        <v>7150</v>
      </c>
      <c r="H5699" s="7" t="s">
        <v>7156</v>
      </c>
      <c r="I5699" s="7"/>
      <c r="J5699" s="10">
        <v>42380</v>
      </c>
      <c r="K5699" s="7" t="s">
        <v>7165</v>
      </c>
      <c r="L5699" s="7"/>
      <c r="M5699" s="7"/>
    </row>
    <row r="5700" spans="1:13" x14ac:dyDescent="0.3">
      <c r="A5700" s="7">
        <v>310036</v>
      </c>
      <c r="B5700" s="7" t="s">
        <v>5706</v>
      </c>
      <c r="C5700" s="7" t="s">
        <v>7097</v>
      </c>
      <c r="D5700" s="7" t="s">
        <v>6295</v>
      </c>
      <c r="E5700" s="7" t="s">
        <v>6940</v>
      </c>
      <c r="F5700" s="7" t="s">
        <v>6498</v>
      </c>
      <c r="G5700" s="7" t="s">
        <v>7150</v>
      </c>
      <c r="H5700" s="7" t="s">
        <v>7156</v>
      </c>
      <c r="I5700" s="7"/>
      <c r="J5700" s="10">
        <v>43054</v>
      </c>
      <c r="K5700" s="7" t="s">
        <v>7165</v>
      </c>
      <c r="L5700" s="7"/>
      <c r="M5700" s="7"/>
    </row>
    <row r="5701" spans="1:13" x14ac:dyDescent="0.3">
      <c r="A5701" s="7">
        <v>540022</v>
      </c>
      <c r="B5701" s="7" t="s">
        <v>5707</v>
      </c>
      <c r="C5701" s="7" t="s">
        <v>7097</v>
      </c>
      <c r="D5701" s="7" t="s">
        <v>6295</v>
      </c>
      <c r="E5701" s="7" t="s">
        <v>6940</v>
      </c>
      <c r="F5701" s="7" t="s">
        <v>6980</v>
      </c>
      <c r="G5701" s="7" t="s">
        <v>7150</v>
      </c>
      <c r="H5701" s="7" t="s">
        <v>7156</v>
      </c>
      <c r="I5701" s="7"/>
      <c r="J5701" s="10">
        <v>42019</v>
      </c>
      <c r="K5701" s="7" t="s">
        <v>7165</v>
      </c>
      <c r="L5701" s="7"/>
      <c r="M5701" s="7"/>
    </row>
    <row r="5702" spans="1:13" x14ac:dyDescent="0.3">
      <c r="A5702" s="7">
        <v>115019</v>
      </c>
      <c r="B5702" s="7" t="s">
        <v>5708</v>
      </c>
      <c r="C5702" s="7" t="s">
        <v>7097</v>
      </c>
      <c r="D5702" s="7" t="s">
        <v>6295</v>
      </c>
      <c r="E5702" s="7" t="s">
        <v>6940</v>
      </c>
      <c r="F5702" s="7" t="s">
        <v>6980</v>
      </c>
      <c r="G5702" s="7" t="s">
        <v>7150</v>
      </c>
      <c r="H5702" s="7" t="s">
        <v>7156</v>
      </c>
      <c r="I5702" s="7"/>
      <c r="J5702" s="10">
        <v>44159</v>
      </c>
      <c r="K5702" s="7" t="s">
        <v>7165</v>
      </c>
      <c r="L5702" s="7"/>
      <c r="M5702" s="7"/>
    </row>
    <row r="5703" spans="1:13" x14ac:dyDescent="0.3">
      <c r="A5703" s="7">
        <v>290040</v>
      </c>
      <c r="B5703" s="7" t="s">
        <v>5709</v>
      </c>
      <c r="C5703" s="7" t="s">
        <v>7097</v>
      </c>
      <c r="D5703" s="7" t="s">
        <v>6295</v>
      </c>
      <c r="E5703" s="7" t="s">
        <v>6940</v>
      </c>
      <c r="F5703" s="7" t="s">
        <v>6986</v>
      </c>
      <c r="G5703" s="7" t="s">
        <v>7150</v>
      </c>
      <c r="H5703" s="7" t="s">
        <v>7156</v>
      </c>
      <c r="I5703" s="7"/>
      <c r="J5703" s="10">
        <v>42374</v>
      </c>
      <c r="K5703" s="7" t="s">
        <v>7165</v>
      </c>
      <c r="L5703" s="7"/>
      <c r="M5703" s="7"/>
    </row>
    <row r="5704" spans="1:13" x14ac:dyDescent="0.3">
      <c r="A5704" s="7">
        <v>14556</v>
      </c>
      <c r="B5704" s="7" t="s">
        <v>5710</v>
      </c>
      <c r="C5704" s="7" t="s">
        <v>7097</v>
      </c>
      <c r="D5704" s="7" t="s">
        <v>6295</v>
      </c>
      <c r="E5704" s="7" t="s">
        <v>6940</v>
      </c>
      <c r="F5704" s="7" t="s">
        <v>6986</v>
      </c>
      <c r="G5704" s="7" t="s">
        <v>7152</v>
      </c>
      <c r="H5704" s="7" t="s">
        <v>7156</v>
      </c>
      <c r="I5704" s="7"/>
      <c r="J5704" s="10">
        <v>44783</v>
      </c>
      <c r="K5704" s="7" t="s">
        <v>7165</v>
      </c>
      <c r="L5704" s="7"/>
      <c r="M5704" s="7"/>
    </row>
    <row r="5705" spans="1:13" x14ac:dyDescent="0.3">
      <c r="A5705" s="7">
        <v>17983</v>
      </c>
      <c r="B5705" s="7" t="s">
        <v>5711</v>
      </c>
      <c r="C5705" s="7" t="s">
        <v>7097</v>
      </c>
      <c r="D5705" s="7" t="s">
        <v>6295</v>
      </c>
      <c r="E5705" s="7" t="s">
        <v>6940</v>
      </c>
      <c r="F5705" s="7" t="s">
        <v>7000</v>
      </c>
      <c r="G5705" s="7" t="s">
        <v>7150</v>
      </c>
      <c r="H5705" s="7" t="s">
        <v>7157</v>
      </c>
      <c r="I5705" s="7"/>
      <c r="J5705" s="10">
        <v>45947</v>
      </c>
      <c r="K5705" s="7" t="s">
        <v>7165</v>
      </c>
      <c r="L5705" s="7"/>
      <c r="M5705" s="7"/>
    </row>
    <row r="5706" spans="1:13" x14ac:dyDescent="0.3">
      <c r="A5706" s="7">
        <v>14764</v>
      </c>
      <c r="B5706" s="7" t="s">
        <v>5712</v>
      </c>
      <c r="C5706" s="7" t="s">
        <v>7097</v>
      </c>
      <c r="D5706" s="7" t="s">
        <v>6295</v>
      </c>
      <c r="E5706" s="7" t="s">
        <v>6940</v>
      </c>
      <c r="F5706" s="7" t="s">
        <v>6987</v>
      </c>
      <c r="G5706" s="7" t="s">
        <v>7150</v>
      </c>
      <c r="H5706" s="7" t="s">
        <v>7156</v>
      </c>
      <c r="I5706" s="7"/>
      <c r="J5706" s="10">
        <v>44852</v>
      </c>
      <c r="K5706" s="7" t="s">
        <v>7165</v>
      </c>
      <c r="L5706" s="7"/>
      <c r="M5706" s="7"/>
    </row>
    <row r="5707" spans="1:13" x14ac:dyDescent="0.3">
      <c r="A5707" s="7">
        <v>15278</v>
      </c>
      <c r="B5707" s="7" t="s">
        <v>5713</v>
      </c>
      <c r="C5707" s="7" t="s">
        <v>7097</v>
      </c>
      <c r="D5707" s="7" t="s">
        <v>6295</v>
      </c>
      <c r="E5707" s="7" t="s">
        <v>6940</v>
      </c>
      <c r="F5707" s="7" t="s">
        <v>6986</v>
      </c>
      <c r="G5707" s="7" t="s">
        <v>7150</v>
      </c>
      <c r="H5707" s="7" t="s">
        <v>7156</v>
      </c>
      <c r="I5707" s="7"/>
      <c r="J5707" s="10">
        <v>45019</v>
      </c>
      <c r="K5707" s="7" t="s">
        <v>7165</v>
      </c>
      <c r="L5707" s="7"/>
      <c r="M5707" s="7"/>
    </row>
    <row r="5708" spans="1:13" x14ac:dyDescent="0.3">
      <c r="A5708" s="7">
        <v>310031</v>
      </c>
      <c r="B5708" s="7" t="s">
        <v>5714</v>
      </c>
      <c r="C5708" s="7" t="s">
        <v>7097</v>
      </c>
      <c r="D5708" s="7" t="s">
        <v>6295</v>
      </c>
      <c r="E5708" s="7" t="s">
        <v>6951</v>
      </c>
      <c r="F5708" s="7" t="s">
        <v>6398</v>
      </c>
      <c r="G5708" s="7" t="s">
        <v>7150</v>
      </c>
      <c r="H5708" s="7" t="s">
        <v>7156</v>
      </c>
      <c r="I5708" s="7"/>
      <c r="J5708" s="10">
        <v>42627</v>
      </c>
      <c r="K5708" s="7" t="s">
        <v>7165</v>
      </c>
      <c r="L5708" s="7"/>
      <c r="M5708" s="7"/>
    </row>
    <row r="5709" spans="1:13" x14ac:dyDescent="0.3">
      <c r="A5709" s="7">
        <v>290045</v>
      </c>
      <c r="B5709" s="7" t="s">
        <v>5715</v>
      </c>
      <c r="C5709" s="7" t="s">
        <v>7097</v>
      </c>
      <c r="D5709" s="7" t="s">
        <v>6295</v>
      </c>
      <c r="E5709" s="7" t="s">
        <v>6951</v>
      </c>
      <c r="F5709" s="7" t="s">
        <v>6398</v>
      </c>
      <c r="G5709" s="7" t="s">
        <v>7150</v>
      </c>
      <c r="H5709" s="7" t="s">
        <v>7156</v>
      </c>
      <c r="I5709" s="7"/>
      <c r="J5709" s="10">
        <v>42713</v>
      </c>
      <c r="K5709" s="7" t="s">
        <v>7165</v>
      </c>
      <c r="L5709" s="7"/>
      <c r="M5709" s="7"/>
    </row>
    <row r="5710" spans="1:13" x14ac:dyDescent="0.3">
      <c r="A5710" s="7">
        <v>11263</v>
      </c>
      <c r="B5710" s="7" t="s">
        <v>5716</v>
      </c>
      <c r="C5710" s="7" t="s">
        <v>7098</v>
      </c>
      <c r="D5710" s="7" t="s">
        <v>6295</v>
      </c>
      <c r="E5710" s="7" t="s">
        <v>6295</v>
      </c>
      <c r="F5710" s="7" t="s">
        <v>6939</v>
      </c>
      <c r="G5710" s="7" t="s">
        <v>7150</v>
      </c>
      <c r="H5710" s="7" t="s">
        <v>7156</v>
      </c>
      <c r="I5710" s="7"/>
      <c r="J5710" s="10">
        <v>42471</v>
      </c>
      <c r="K5710" s="7" t="s">
        <v>7165</v>
      </c>
      <c r="L5710" s="7"/>
      <c r="M5710" s="7"/>
    </row>
    <row r="5711" spans="1:13" x14ac:dyDescent="0.3">
      <c r="A5711" s="7">
        <v>117020</v>
      </c>
      <c r="B5711" s="7" t="s">
        <v>5717</v>
      </c>
      <c r="C5711" s="7" t="s">
        <v>7098</v>
      </c>
      <c r="D5711" s="7" t="s">
        <v>6295</v>
      </c>
      <c r="E5711" s="7" t="s">
        <v>6940</v>
      </c>
      <c r="F5711" s="7" t="s">
        <v>6941</v>
      </c>
      <c r="G5711" s="7" t="s">
        <v>7150</v>
      </c>
      <c r="H5711" s="7" t="s">
        <v>7156</v>
      </c>
      <c r="I5711" s="7"/>
      <c r="J5711" s="10">
        <v>42725</v>
      </c>
      <c r="K5711" s="7" t="s">
        <v>7165</v>
      </c>
      <c r="L5711" s="7"/>
      <c r="M5711" s="7"/>
    </row>
    <row r="5712" spans="1:13" x14ac:dyDescent="0.3">
      <c r="A5712" s="7">
        <v>620022</v>
      </c>
      <c r="B5712" s="7" t="s">
        <v>5718</v>
      </c>
      <c r="C5712" s="7" t="s">
        <v>7098</v>
      </c>
      <c r="D5712" s="7" t="s">
        <v>6295</v>
      </c>
      <c r="E5712" s="7" t="s">
        <v>6940</v>
      </c>
      <c r="F5712" s="7" t="s">
        <v>6980</v>
      </c>
      <c r="G5712" s="7" t="s">
        <v>7150</v>
      </c>
      <c r="H5712" s="7" t="s">
        <v>7156</v>
      </c>
      <c r="I5712" s="7"/>
      <c r="J5712" s="10">
        <v>42492</v>
      </c>
      <c r="K5712" s="7" t="s">
        <v>7165</v>
      </c>
      <c r="L5712" s="7"/>
      <c r="M5712" s="7"/>
    </row>
    <row r="5713" spans="1:13" x14ac:dyDescent="0.3">
      <c r="A5713" s="7">
        <v>620017</v>
      </c>
      <c r="B5713" s="7" t="s">
        <v>5719</v>
      </c>
      <c r="C5713" s="7" t="s">
        <v>7098</v>
      </c>
      <c r="D5713" s="7" t="s">
        <v>6295</v>
      </c>
      <c r="E5713" s="7" t="s">
        <v>6940</v>
      </c>
      <c r="F5713" s="7" t="s">
        <v>6980</v>
      </c>
      <c r="G5713" s="7" t="s">
        <v>7150</v>
      </c>
      <c r="H5713" s="7" t="s">
        <v>7156</v>
      </c>
      <c r="I5713" s="7"/>
      <c r="J5713" s="10">
        <v>42258</v>
      </c>
      <c r="K5713" s="7" t="s">
        <v>7165</v>
      </c>
      <c r="L5713" s="7"/>
      <c r="M5713" s="7"/>
    </row>
    <row r="5714" spans="1:13" x14ac:dyDescent="0.3">
      <c r="A5714" s="7">
        <v>620028</v>
      </c>
      <c r="B5714" s="7" t="s">
        <v>5720</v>
      </c>
      <c r="C5714" s="7" t="s">
        <v>7098</v>
      </c>
      <c r="D5714" s="7" t="s">
        <v>6295</v>
      </c>
      <c r="E5714" s="7" t="s">
        <v>6940</v>
      </c>
      <c r="F5714" s="7" t="s">
        <v>6980</v>
      </c>
      <c r="G5714" s="7" t="s">
        <v>7150</v>
      </c>
      <c r="H5714" s="7" t="s">
        <v>7156</v>
      </c>
      <c r="I5714" s="7"/>
      <c r="J5714" s="10">
        <v>43329</v>
      </c>
      <c r="K5714" s="7" t="s">
        <v>7165</v>
      </c>
      <c r="L5714" s="7"/>
      <c r="M5714" s="7"/>
    </row>
    <row r="5715" spans="1:13" x14ac:dyDescent="0.3">
      <c r="A5715" s="7">
        <v>18254</v>
      </c>
      <c r="B5715" s="7" t="s">
        <v>5721</v>
      </c>
      <c r="C5715" s="7" t="s">
        <v>7098</v>
      </c>
      <c r="D5715" s="7" t="s">
        <v>6295</v>
      </c>
      <c r="E5715" s="7" t="s">
        <v>6940</v>
      </c>
      <c r="F5715" s="7" t="s">
        <v>6989</v>
      </c>
      <c r="G5715" s="7" t="s">
        <v>7150</v>
      </c>
      <c r="H5715" s="7" t="s">
        <v>7156</v>
      </c>
      <c r="I5715" s="7"/>
      <c r="J5715" s="10">
        <v>46073</v>
      </c>
      <c r="K5715" s="7" t="s">
        <v>7165</v>
      </c>
      <c r="L5715" s="7"/>
      <c r="M5715" s="7"/>
    </row>
    <row r="5716" spans="1:13" x14ac:dyDescent="0.3">
      <c r="A5716" s="7">
        <v>620033</v>
      </c>
      <c r="B5716" s="7" t="s">
        <v>5722</v>
      </c>
      <c r="C5716" s="7" t="s">
        <v>7098</v>
      </c>
      <c r="D5716" s="7" t="s">
        <v>6295</v>
      </c>
      <c r="E5716" s="7" t="s">
        <v>6940</v>
      </c>
      <c r="F5716" s="7" t="s">
        <v>6980</v>
      </c>
      <c r="G5716" s="7" t="s">
        <v>7150</v>
      </c>
      <c r="H5716" s="7" t="s">
        <v>7156</v>
      </c>
      <c r="I5716" s="7"/>
      <c r="J5716" s="10">
        <v>43893</v>
      </c>
      <c r="K5716" s="7" t="s">
        <v>7165</v>
      </c>
      <c r="L5716" s="7"/>
      <c r="M5716" s="7"/>
    </row>
    <row r="5717" spans="1:13" x14ac:dyDescent="0.3">
      <c r="A5717" s="7">
        <v>620020</v>
      </c>
      <c r="B5717" s="7" t="s">
        <v>5723</v>
      </c>
      <c r="C5717" s="7" t="s">
        <v>7098</v>
      </c>
      <c r="D5717" s="7" t="s">
        <v>6295</v>
      </c>
      <c r="E5717" s="7" t="s">
        <v>6940</v>
      </c>
      <c r="F5717" s="7" t="s">
        <v>6980</v>
      </c>
      <c r="G5717" s="7" t="s">
        <v>7150</v>
      </c>
      <c r="H5717" s="7" t="s">
        <v>7156</v>
      </c>
      <c r="I5717" s="7"/>
      <c r="J5717" s="10">
        <v>42417</v>
      </c>
      <c r="K5717" s="7" t="s">
        <v>7165</v>
      </c>
      <c r="L5717" s="7"/>
      <c r="M5717" s="7"/>
    </row>
    <row r="5718" spans="1:13" x14ac:dyDescent="0.3">
      <c r="A5718" s="7">
        <v>580011</v>
      </c>
      <c r="B5718" s="7" t="s">
        <v>5724</v>
      </c>
      <c r="C5718" s="7" t="s">
        <v>7098</v>
      </c>
      <c r="D5718" s="7" t="s">
        <v>6295</v>
      </c>
      <c r="E5718" s="7" t="s">
        <v>6940</v>
      </c>
      <c r="F5718" s="7" t="s">
        <v>6980</v>
      </c>
      <c r="G5718" s="7" t="s">
        <v>7150</v>
      </c>
      <c r="H5718" s="7" t="s">
        <v>7156</v>
      </c>
      <c r="I5718" s="7"/>
      <c r="J5718" s="10">
        <v>39595</v>
      </c>
      <c r="K5718" s="7" t="s">
        <v>7165</v>
      </c>
      <c r="L5718" s="7"/>
      <c r="M5718" s="7"/>
    </row>
    <row r="5719" spans="1:13" x14ac:dyDescent="0.3">
      <c r="A5719" s="7">
        <v>18331</v>
      </c>
      <c r="B5719" s="7" t="s">
        <v>5725</v>
      </c>
      <c r="C5719" s="7" t="s">
        <v>6295</v>
      </c>
      <c r="D5719" s="7" t="s">
        <v>7059</v>
      </c>
      <c r="E5719" s="7" t="s">
        <v>6940</v>
      </c>
      <c r="F5719" s="7" t="s">
        <v>7004</v>
      </c>
      <c r="G5719" s="7" t="s">
        <v>7150</v>
      </c>
      <c r="H5719" s="7" t="s">
        <v>7156</v>
      </c>
      <c r="I5719" s="7"/>
      <c r="J5719" s="10">
        <v>46092</v>
      </c>
      <c r="K5719" s="7" t="s">
        <v>7165</v>
      </c>
      <c r="L5719" s="7"/>
      <c r="M5719" s="7"/>
    </row>
    <row r="5720" spans="1:13" x14ac:dyDescent="0.3">
      <c r="A5720" s="7">
        <v>620014</v>
      </c>
      <c r="B5720" s="7" t="s">
        <v>5726</v>
      </c>
      <c r="C5720" s="7" t="s">
        <v>7098</v>
      </c>
      <c r="D5720" s="7" t="s">
        <v>6295</v>
      </c>
      <c r="E5720" s="7" t="s">
        <v>6951</v>
      </c>
      <c r="F5720" s="7" t="s">
        <v>6398</v>
      </c>
      <c r="G5720" s="7" t="s">
        <v>7150</v>
      </c>
      <c r="H5720" s="7" t="s">
        <v>7156</v>
      </c>
      <c r="I5720" s="7"/>
      <c r="J5720" s="10">
        <v>41688</v>
      </c>
      <c r="K5720" s="7" t="s">
        <v>7165</v>
      </c>
      <c r="L5720" s="7"/>
      <c r="M5720" s="7"/>
    </row>
    <row r="5721" spans="1:13" x14ac:dyDescent="0.3">
      <c r="A5721" s="7">
        <v>430008</v>
      </c>
      <c r="B5721" s="7" t="s">
        <v>5727</v>
      </c>
      <c r="C5721" s="7" t="s">
        <v>7099</v>
      </c>
      <c r="D5721" s="7" t="s">
        <v>6295</v>
      </c>
      <c r="E5721" s="7" t="s">
        <v>6295</v>
      </c>
      <c r="F5721" s="7" t="s">
        <v>6939</v>
      </c>
      <c r="G5721" s="7" t="s">
        <v>7150</v>
      </c>
      <c r="H5721" s="7" t="s">
        <v>7156</v>
      </c>
      <c r="I5721" s="7"/>
      <c r="J5721" s="10">
        <v>41061</v>
      </c>
      <c r="K5721" s="7" t="s">
        <v>7165</v>
      </c>
      <c r="L5721" s="7"/>
      <c r="M5721" s="7"/>
    </row>
    <row r="5722" spans="1:13" x14ac:dyDescent="0.3">
      <c r="A5722" s="7">
        <v>770022</v>
      </c>
      <c r="B5722" s="7" t="s">
        <v>5728</v>
      </c>
      <c r="C5722" s="7" t="s">
        <v>7099</v>
      </c>
      <c r="D5722" s="7" t="s">
        <v>6295</v>
      </c>
      <c r="E5722" s="7" t="s">
        <v>6940</v>
      </c>
      <c r="F5722" s="7" t="s">
        <v>6991</v>
      </c>
      <c r="G5722" s="7" t="s">
        <v>7150</v>
      </c>
      <c r="H5722" s="7" t="s">
        <v>7156</v>
      </c>
      <c r="I5722" s="7"/>
      <c r="J5722" s="10">
        <v>43035</v>
      </c>
      <c r="K5722" s="7" t="s">
        <v>7165</v>
      </c>
      <c r="L5722" s="7"/>
      <c r="M5722" s="7"/>
    </row>
    <row r="5723" spans="1:13" x14ac:dyDescent="0.3">
      <c r="A5723" s="7">
        <v>770027</v>
      </c>
      <c r="B5723" s="7" t="s">
        <v>5729</v>
      </c>
      <c r="C5723" s="7" t="s">
        <v>7099</v>
      </c>
      <c r="D5723" s="7" t="s">
        <v>6295</v>
      </c>
      <c r="E5723" s="7" t="s">
        <v>6940</v>
      </c>
      <c r="F5723" s="7" t="s">
        <v>6992</v>
      </c>
      <c r="G5723" s="7" t="s">
        <v>7150</v>
      </c>
      <c r="H5723" s="7" t="s">
        <v>7156</v>
      </c>
      <c r="I5723" s="7"/>
      <c r="J5723" s="10">
        <v>44554</v>
      </c>
      <c r="K5723" s="7" t="s">
        <v>7165</v>
      </c>
      <c r="L5723" s="7"/>
      <c r="M5723" s="7"/>
    </row>
    <row r="5724" spans="1:13" x14ac:dyDescent="0.3">
      <c r="A5724" s="7">
        <v>770013</v>
      </c>
      <c r="B5724" s="7" t="s">
        <v>5730</v>
      </c>
      <c r="C5724" s="7" t="s">
        <v>7099</v>
      </c>
      <c r="D5724" s="7" t="s">
        <v>6295</v>
      </c>
      <c r="E5724" s="7" t="s">
        <v>6940</v>
      </c>
      <c r="F5724" s="7" t="s">
        <v>6980</v>
      </c>
      <c r="G5724" s="7" t="s">
        <v>7150</v>
      </c>
      <c r="H5724" s="7" t="s">
        <v>7156</v>
      </c>
      <c r="I5724" s="7"/>
      <c r="J5724" s="10">
        <v>41634</v>
      </c>
      <c r="K5724" s="7" t="s">
        <v>7165</v>
      </c>
      <c r="L5724" s="7"/>
      <c r="M5724" s="7"/>
    </row>
    <row r="5725" spans="1:13" x14ac:dyDescent="0.3">
      <c r="A5725" s="7">
        <v>770020</v>
      </c>
      <c r="B5725" s="7" t="s">
        <v>5731</v>
      </c>
      <c r="C5725" s="7" t="s">
        <v>7099</v>
      </c>
      <c r="D5725" s="7" t="s">
        <v>6295</v>
      </c>
      <c r="E5725" s="7" t="s">
        <v>6940</v>
      </c>
      <c r="F5725" s="7" t="s">
        <v>6980</v>
      </c>
      <c r="G5725" s="7" t="s">
        <v>7150</v>
      </c>
      <c r="H5725" s="7" t="s">
        <v>7156</v>
      </c>
      <c r="I5725" s="7"/>
      <c r="J5725" s="10">
        <v>42649</v>
      </c>
      <c r="K5725" s="7" t="s">
        <v>7165</v>
      </c>
      <c r="L5725" s="7"/>
      <c r="M5725" s="7"/>
    </row>
    <row r="5726" spans="1:13" x14ac:dyDescent="0.3">
      <c r="A5726" s="7">
        <v>430021</v>
      </c>
      <c r="B5726" s="7" t="s">
        <v>5732</v>
      </c>
      <c r="C5726" s="7" t="s">
        <v>7099</v>
      </c>
      <c r="D5726" s="7" t="s">
        <v>6295</v>
      </c>
      <c r="E5726" s="7" t="s">
        <v>6940</v>
      </c>
      <c r="F5726" s="7" t="s">
        <v>6980</v>
      </c>
      <c r="G5726" s="7" t="s">
        <v>7150</v>
      </c>
      <c r="H5726" s="7" t="s">
        <v>7156</v>
      </c>
      <c r="I5726" s="7"/>
      <c r="J5726" s="10">
        <v>43570</v>
      </c>
      <c r="K5726" s="7" t="s">
        <v>7165</v>
      </c>
      <c r="L5726" s="7"/>
      <c r="M5726" s="7"/>
    </row>
    <row r="5727" spans="1:13" x14ac:dyDescent="0.3">
      <c r="A5727" s="7">
        <v>770023</v>
      </c>
      <c r="B5727" s="7" t="s">
        <v>5733</v>
      </c>
      <c r="C5727" s="7" t="s">
        <v>7099</v>
      </c>
      <c r="D5727" s="7" t="s">
        <v>6295</v>
      </c>
      <c r="E5727" s="7" t="s">
        <v>6940</v>
      </c>
      <c r="F5727" s="7" t="s">
        <v>6980</v>
      </c>
      <c r="G5727" s="7" t="s">
        <v>7150</v>
      </c>
      <c r="H5727" s="7" t="s">
        <v>7156</v>
      </c>
      <c r="I5727" s="7"/>
      <c r="J5727" s="10">
        <v>43199</v>
      </c>
      <c r="K5727" s="7" t="s">
        <v>7165</v>
      </c>
      <c r="L5727" s="7"/>
      <c r="M5727" s="7"/>
    </row>
    <row r="5728" spans="1:13" x14ac:dyDescent="0.3">
      <c r="A5728" s="7">
        <v>16700</v>
      </c>
      <c r="B5728" s="7" t="s">
        <v>5734</v>
      </c>
      <c r="C5728" s="7" t="s">
        <v>7099</v>
      </c>
      <c r="D5728" s="7" t="s">
        <v>6295</v>
      </c>
      <c r="E5728" s="7" t="s">
        <v>6951</v>
      </c>
      <c r="F5728" s="7" t="s">
        <v>6398</v>
      </c>
      <c r="G5728" s="7" t="s">
        <v>7150</v>
      </c>
      <c r="H5728" s="7" t="s">
        <v>7156</v>
      </c>
      <c r="I5728" s="7"/>
      <c r="J5728" s="10">
        <v>45525</v>
      </c>
      <c r="K5728" s="7" t="s">
        <v>7165</v>
      </c>
      <c r="L5728" s="7"/>
      <c r="M5728" s="7"/>
    </row>
    <row r="5729" spans="1:13" x14ac:dyDescent="0.3">
      <c r="A5729" s="7">
        <v>300129</v>
      </c>
      <c r="B5729" s="7" t="s">
        <v>5735</v>
      </c>
      <c r="C5729" s="7" t="s">
        <v>7100</v>
      </c>
      <c r="D5729" s="7" t="s">
        <v>6295</v>
      </c>
      <c r="E5729" s="7" t="s">
        <v>6295</v>
      </c>
      <c r="F5729" s="7" t="s">
        <v>6939</v>
      </c>
      <c r="G5729" s="7" t="s">
        <v>7150</v>
      </c>
      <c r="H5729" s="7" t="s">
        <v>7156</v>
      </c>
      <c r="I5729" s="7"/>
      <c r="J5729" s="10">
        <v>43227</v>
      </c>
      <c r="K5729" s="7" t="s">
        <v>7165</v>
      </c>
      <c r="L5729" s="7"/>
      <c r="M5729" s="7"/>
    </row>
    <row r="5730" spans="1:13" x14ac:dyDescent="0.3">
      <c r="A5730" s="7">
        <v>390018</v>
      </c>
      <c r="B5730" s="7" t="s">
        <v>5736</v>
      </c>
      <c r="C5730" s="7" t="s">
        <v>7100</v>
      </c>
      <c r="D5730" s="7" t="s">
        <v>6295</v>
      </c>
      <c r="E5730" s="7" t="s">
        <v>6940</v>
      </c>
      <c r="F5730" s="7" t="s">
        <v>6991</v>
      </c>
      <c r="G5730" s="7" t="s">
        <v>7150</v>
      </c>
      <c r="H5730" s="7" t="s">
        <v>7156</v>
      </c>
      <c r="I5730" s="7"/>
      <c r="J5730" s="10">
        <v>42633</v>
      </c>
      <c r="K5730" s="7" t="s">
        <v>7165</v>
      </c>
      <c r="L5730" s="7"/>
      <c r="M5730" s="7"/>
    </row>
    <row r="5731" spans="1:13" x14ac:dyDescent="0.3">
      <c r="A5731" s="7">
        <v>16007</v>
      </c>
      <c r="B5731" s="7" t="s">
        <v>5737</v>
      </c>
      <c r="C5731" s="7" t="s">
        <v>7100</v>
      </c>
      <c r="D5731" s="7" t="s">
        <v>6295</v>
      </c>
      <c r="E5731" s="7" t="s">
        <v>6940</v>
      </c>
      <c r="F5731" s="7" t="s">
        <v>6979</v>
      </c>
      <c r="G5731" s="7" t="s">
        <v>7150</v>
      </c>
      <c r="H5731" s="7" t="s">
        <v>7156</v>
      </c>
      <c r="I5731" s="7"/>
      <c r="J5731" s="10">
        <v>45265</v>
      </c>
      <c r="K5731" s="7" t="s">
        <v>7165</v>
      </c>
      <c r="L5731" s="7"/>
      <c r="M5731" s="7"/>
    </row>
    <row r="5732" spans="1:13" x14ac:dyDescent="0.3">
      <c r="A5732" s="7">
        <v>390022</v>
      </c>
      <c r="B5732" s="7" t="s">
        <v>5738</v>
      </c>
      <c r="C5732" s="7" t="s">
        <v>7100</v>
      </c>
      <c r="D5732" s="7" t="s">
        <v>6295</v>
      </c>
      <c r="E5732" s="7" t="s">
        <v>6940</v>
      </c>
      <c r="F5732" s="7" t="s">
        <v>6992</v>
      </c>
      <c r="G5732" s="7" t="s">
        <v>7150</v>
      </c>
      <c r="H5732" s="7" t="s">
        <v>7156</v>
      </c>
      <c r="I5732" s="7"/>
      <c r="J5732" s="10">
        <v>42752</v>
      </c>
      <c r="K5732" s="7" t="s">
        <v>7165</v>
      </c>
      <c r="L5732" s="7"/>
      <c r="M5732" s="7"/>
    </row>
    <row r="5733" spans="1:13" x14ac:dyDescent="0.3">
      <c r="A5733" s="7">
        <v>390025</v>
      </c>
      <c r="B5733" s="7" t="s">
        <v>5739</v>
      </c>
      <c r="C5733" s="7" t="s">
        <v>7100</v>
      </c>
      <c r="D5733" s="7" t="s">
        <v>6295</v>
      </c>
      <c r="E5733" s="7" t="s">
        <v>6940</v>
      </c>
      <c r="F5733" s="7" t="s">
        <v>6980</v>
      </c>
      <c r="G5733" s="7" t="s">
        <v>7150</v>
      </c>
      <c r="H5733" s="7" t="s">
        <v>7156</v>
      </c>
      <c r="I5733" s="7"/>
      <c r="J5733" s="10">
        <v>43252</v>
      </c>
      <c r="K5733" s="7" t="s">
        <v>7165</v>
      </c>
      <c r="L5733" s="7"/>
      <c r="M5733" s="7"/>
    </row>
    <row r="5734" spans="1:13" x14ac:dyDescent="0.3">
      <c r="A5734" s="7">
        <v>113036</v>
      </c>
      <c r="B5734" s="7" t="s">
        <v>5740</v>
      </c>
      <c r="C5734" s="7" t="s">
        <v>7100</v>
      </c>
      <c r="D5734" s="7" t="s">
        <v>6295</v>
      </c>
      <c r="E5734" s="7" t="s">
        <v>6940</v>
      </c>
      <c r="F5734" s="7" t="s">
        <v>6980</v>
      </c>
      <c r="G5734" s="7" t="s">
        <v>7150</v>
      </c>
      <c r="H5734" s="7" t="s">
        <v>7156</v>
      </c>
      <c r="I5734" s="7"/>
      <c r="J5734" s="10">
        <v>42752</v>
      </c>
      <c r="K5734" s="7" t="s">
        <v>7165</v>
      </c>
      <c r="L5734" s="7"/>
      <c r="M5734" s="7"/>
    </row>
    <row r="5735" spans="1:13" x14ac:dyDescent="0.3">
      <c r="A5735" s="7">
        <v>300042</v>
      </c>
      <c r="B5735" s="7" t="s">
        <v>5741</v>
      </c>
      <c r="C5735" s="7" t="s">
        <v>7100</v>
      </c>
      <c r="D5735" s="7" t="s">
        <v>6295</v>
      </c>
      <c r="E5735" s="7" t="s">
        <v>6940</v>
      </c>
      <c r="F5735" s="7" t="s">
        <v>6980</v>
      </c>
      <c r="G5735" s="7" t="s">
        <v>7150</v>
      </c>
      <c r="H5735" s="7" t="s">
        <v>7156</v>
      </c>
      <c r="I5735" s="7"/>
      <c r="J5735" s="10">
        <v>42723</v>
      </c>
      <c r="K5735" s="7" t="s">
        <v>7165</v>
      </c>
      <c r="L5735" s="7"/>
      <c r="M5735" s="7"/>
    </row>
    <row r="5736" spans="1:13" x14ac:dyDescent="0.3">
      <c r="A5736" s="7">
        <v>390017</v>
      </c>
      <c r="B5736" s="7" t="s">
        <v>5742</v>
      </c>
      <c r="C5736" s="7" t="s">
        <v>7100</v>
      </c>
      <c r="D5736" s="7" t="s">
        <v>6295</v>
      </c>
      <c r="E5736" s="7" t="s">
        <v>6940</v>
      </c>
      <c r="F5736" s="7" t="s">
        <v>6980</v>
      </c>
      <c r="G5736" s="7" t="s">
        <v>7150</v>
      </c>
      <c r="H5736" s="7" t="s">
        <v>7156</v>
      </c>
      <c r="I5736" s="7"/>
      <c r="J5736" s="10">
        <v>41863</v>
      </c>
      <c r="K5736" s="7" t="s">
        <v>7165</v>
      </c>
      <c r="L5736" s="7"/>
      <c r="M5736" s="7"/>
    </row>
    <row r="5737" spans="1:13" x14ac:dyDescent="0.3">
      <c r="A5737" s="7">
        <v>390041</v>
      </c>
      <c r="B5737" s="7" t="s">
        <v>5743</v>
      </c>
      <c r="C5737" s="7" t="s">
        <v>7100</v>
      </c>
      <c r="D5737" s="7" t="s">
        <v>6295</v>
      </c>
      <c r="E5737" s="7" t="s">
        <v>6940</v>
      </c>
      <c r="F5737" s="7" t="s">
        <v>6986</v>
      </c>
      <c r="G5737" s="7" t="s">
        <v>7150</v>
      </c>
      <c r="H5737" s="7" t="s">
        <v>7156</v>
      </c>
      <c r="I5737" s="7"/>
      <c r="J5737" s="10">
        <v>44638</v>
      </c>
      <c r="K5737" s="7" t="s">
        <v>7165</v>
      </c>
      <c r="L5737" s="7"/>
      <c r="M5737" s="7"/>
    </row>
    <row r="5738" spans="1:13" x14ac:dyDescent="0.3">
      <c r="A5738" s="7">
        <v>390040</v>
      </c>
      <c r="B5738" s="7" t="s">
        <v>5744</v>
      </c>
      <c r="C5738" s="7" t="s">
        <v>7100</v>
      </c>
      <c r="D5738" s="7" t="s">
        <v>6295</v>
      </c>
      <c r="E5738" s="7" t="s">
        <v>6940</v>
      </c>
      <c r="F5738" s="7" t="s">
        <v>7101</v>
      </c>
      <c r="G5738" s="7" t="s">
        <v>7151</v>
      </c>
      <c r="H5738" s="7" t="s">
        <v>7156</v>
      </c>
      <c r="I5738" s="7"/>
      <c r="J5738" s="10">
        <v>44566</v>
      </c>
      <c r="K5738" s="7" t="s">
        <v>7165</v>
      </c>
      <c r="L5738" s="7"/>
      <c r="M5738" s="7"/>
    </row>
    <row r="5739" spans="1:13" x14ac:dyDescent="0.3">
      <c r="A5739" s="7">
        <v>17984</v>
      </c>
      <c r="B5739" s="7" t="s">
        <v>5745</v>
      </c>
      <c r="C5739" s="7" t="s">
        <v>7100</v>
      </c>
      <c r="D5739" s="7" t="s">
        <v>6295</v>
      </c>
      <c r="E5739" s="7" t="s">
        <v>6940</v>
      </c>
      <c r="F5739" s="7" t="s">
        <v>6949</v>
      </c>
      <c r="G5739" s="7" t="s">
        <v>7150</v>
      </c>
      <c r="H5739" s="7" t="s">
        <v>7156</v>
      </c>
      <c r="I5739" s="7"/>
      <c r="J5739" s="10">
        <v>45946</v>
      </c>
      <c r="K5739" s="7" t="s">
        <v>7165</v>
      </c>
      <c r="L5739" s="7"/>
      <c r="M5739" s="7"/>
    </row>
    <row r="5740" spans="1:13" x14ac:dyDescent="0.3">
      <c r="A5740" s="7">
        <v>390028</v>
      </c>
      <c r="B5740" s="7" t="s">
        <v>5746</v>
      </c>
      <c r="C5740" s="7" t="s">
        <v>7100</v>
      </c>
      <c r="D5740" s="7" t="s">
        <v>6295</v>
      </c>
      <c r="E5740" s="7" t="s">
        <v>6951</v>
      </c>
      <c r="F5740" s="7" t="s">
        <v>6398</v>
      </c>
      <c r="G5740" s="7" t="s">
        <v>7150</v>
      </c>
      <c r="H5740" s="7" t="s">
        <v>7156</v>
      </c>
      <c r="I5740" s="7"/>
      <c r="J5740" s="10">
        <v>43837</v>
      </c>
      <c r="K5740" s="7" t="s">
        <v>7165</v>
      </c>
      <c r="L5740" s="7"/>
      <c r="M5740" s="7"/>
    </row>
    <row r="5741" spans="1:13" x14ac:dyDescent="0.3">
      <c r="A5741" s="7">
        <v>820007</v>
      </c>
      <c r="B5741" s="7" t="s">
        <v>5747</v>
      </c>
      <c r="C5741" s="7" t="s">
        <v>7102</v>
      </c>
      <c r="D5741" s="7" t="s">
        <v>6295</v>
      </c>
      <c r="E5741" s="7" t="s">
        <v>6295</v>
      </c>
      <c r="F5741" s="7" t="s">
        <v>6939</v>
      </c>
      <c r="G5741" s="7" t="s">
        <v>7150</v>
      </c>
      <c r="H5741" s="7" t="s">
        <v>7156</v>
      </c>
      <c r="I5741" s="7"/>
      <c r="J5741" s="10">
        <v>40486</v>
      </c>
      <c r="K5741" s="7" t="s">
        <v>7165</v>
      </c>
      <c r="L5741" s="7"/>
      <c r="M5741" s="7"/>
    </row>
    <row r="5742" spans="1:13" x14ac:dyDescent="0.3">
      <c r="A5742" s="7">
        <v>530030</v>
      </c>
      <c r="B5742" s="7" t="s">
        <v>5748</v>
      </c>
      <c r="C5742" s="7" t="s">
        <v>7102</v>
      </c>
      <c r="D5742" s="7" t="s">
        <v>6295</v>
      </c>
      <c r="E5742" s="7" t="s">
        <v>6940</v>
      </c>
      <c r="F5742" s="7" t="s">
        <v>6991</v>
      </c>
      <c r="G5742" s="7" t="s">
        <v>7150</v>
      </c>
      <c r="H5742" s="7" t="s">
        <v>7156</v>
      </c>
      <c r="I5742" s="7"/>
      <c r="J5742" s="10">
        <v>44426</v>
      </c>
      <c r="K5742" s="7" t="s">
        <v>7165</v>
      </c>
      <c r="L5742" s="7"/>
      <c r="M5742" s="7"/>
    </row>
    <row r="5743" spans="1:13" x14ac:dyDescent="0.3">
      <c r="A5743" s="7">
        <v>14624</v>
      </c>
      <c r="B5743" s="7" t="s">
        <v>5749</v>
      </c>
      <c r="C5743" s="7" t="s">
        <v>7102</v>
      </c>
      <c r="D5743" s="7" t="s">
        <v>6295</v>
      </c>
      <c r="E5743" s="7" t="s">
        <v>6940</v>
      </c>
      <c r="F5743" s="7" t="s">
        <v>6979</v>
      </c>
      <c r="G5743" s="7" t="s">
        <v>7150</v>
      </c>
      <c r="H5743" s="7" t="s">
        <v>7156</v>
      </c>
      <c r="I5743" s="7"/>
      <c r="J5743" s="10">
        <v>44810</v>
      </c>
      <c r="K5743" s="7" t="s">
        <v>7165</v>
      </c>
      <c r="L5743" s="7"/>
      <c r="M5743" s="7"/>
    </row>
    <row r="5744" spans="1:13" x14ac:dyDescent="0.3">
      <c r="A5744" s="7">
        <v>17699</v>
      </c>
      <c r="B5744" s="7" t="s">
        <v>5750</v>
      </c>
      <c r="C5744" s="7" t="s">
        <v>7102</v>
      </c>
      <c r="D5744" s="7" t="s">
        <v>6295</v>
      </c>
      <c r="E5744" s="7" t="s">
        <v>6940</v>
      </c>
      <c r="F5744" s="7" t="s">
        <v>6989</v>
      </c>
      <c r="G5744" s="7" t="s">
        <v>7150</v>
      </c>
      <c r="H5744" s="7" t="s">
        <v>7156</v>
      </c>
      <c r="I5744" s="7"/>
      <c r="J5744" s="10">
        <v>45845</v>
      </c>
      <c r="K5744" s="7" t="s">
        <v>7165</v>
      </c>
      <c r="L5744" s="7"/>
      <c r="M5744" s="7"/>
    </row>
    <row r="5745" spans="1:13" x14ac:dyDescent="0.3">
      <c r="A5745" s="7">
        <v>530005</v>
      </c>
      <c r="B5745" s="7" t="s">
        <v>5751</v>
      </c>
      <c r="C5745" s="7" t="s">
        <v>7102</v>
      </c>
      <c r="D5745" s="7" t="s">
        <v>6295</v>
      </c>
      <c r="E5745" s="7" t="s">
        <v>6940</v>
      </c>
      <c r="F5745" s="7" t="s">
        <v>6980</v>
      </c>
      <c r="G5745" s="7" t="s">
        <v>7150</v>
      </c>
      <c r="H5745" s="7" t="s">
        <v>7156</v>
      </c>
      <c r="I5745" s="7"/>
      <c r="J5745" s="10">
        <v>40597</v>
      </c>
      <c r="K5745" s="7" t="s">
        <v>7165</v>
      </c>
      <c r="L5745" s="7"/>
      <c r="M5745" s="7"/>
    </row>
    <row r="5746" spans="1:13" x14ac:dyDescent="0.3">
      <c r="A5746" s="7">
        <v>530014</v>
      </c>
      <c r="B5746" s="7" t="s">
        <v>5752</v>
      </c>
      <c r="C5746" s="7" t="s">
        <v>7102</v>
      </c>
      <c r="D5746" s="7" t="s">
        <v>6295</v>
      </c>
      <c r="E5746" s="7" t="s">
        <v>6940</v>
      </c>
      <c r="F5746" s="7" t="s">
        <v>6980</v>
      </c>
      <c r="G5746" s="7" t="s">
        <v>7150</v>
      </c>
      <c r="H5746" s="7" t="s">
        <v>7156</v>
      </c>
      <c r="I5746" s="7"/>
      <c r="J5746" s="10">
        <v>41893</v>
      </c>
      <c r="K5746" s="7" t="s">
        <v>7165</v>
      </c>
      <c r="L5746" s="7"/>
      <c r="M5746" s="7"/>
    </row>
    <row r="5747" spans="1:13" x14ac:dyDescent="0.3">
      <c r="A5747" s="7">
        <v>530009</v>
      </c>
      <c r="B5747" s="7" t="s">
        <v>5753</v>
      </c>
      <c r="C5747" s="7" t="s">
        <v>7102</v>
      </c>
      <c r="D5747" s="7" t="s">
        <v>6295</v>
      </c>
      <c r="E5747" s="7" t="s">
        <v>6940</v>
      </c>
      <c r="F5747" s="7" t="s">
        <v>6980</v>
      </c>
      <c r="G5747" s="7" t="s">
        <v>7150</v>
      </c>
      <c r="H5747" s="7" t="s">
        <v>7156</v>
      </c>
      <c r="I5747" s="7"/>
      <c r="J5747" s="10">
        <v>40597</v>
      </c>
      <c r="K5747" s="7" t="s">
        <v>7165</v>
      </c>
      <c r="L5747" s="7"/>
      <c r="M5747" s="7"/>
    </row>
    <row r="5748" spans="1:13" x14ac:dyDescent="0.3">
      <c r="A5748" s="7">
        <v>15292</v>
      </c>
      <c r="B5748" s="7" t="s">
        <v>5754</v>
      </c>
      <c r="C5748" s="7" t="s">
        <v>7102</v>
      </c>
      <c r="D5748" s="7" t="s">
        <v>6295</v>
      </c>
      <c r="E5748" s="7" t="s">
        <v>6940</v>
      </c>
      <c r="F5748" s="7" t="s">
        <v>6986</v>
      </c>
      <c r="G5748" s="7" t="s">
        <v>7150</v>
      </c>
      <c r="H5748" s="7" t="s">
        <v>7156</v>
      </c>
      <c r="I5748" s="7"/>
      <c r="J5748" s="10">
        <v>45019</v>
      </c>
      <c r="K5748" s="7" t="s">
        <v>7165</v>
      </c>
      <c r="L5748" s="7"/>
      <c r="M5748" s="7"/>
    </row>
    <row r="5749" spans="1:13" x14ac:dyDescent="0.3">
      <c r="A5749" s="7">
        <v>18251</v>
      </c>
      <c r="B5749" s="7" t="s">
        <v>5755</v>
      </c>
      <c r="C5749" s="7" t="s">
        <v>7102</v>
      </c>
      <c r="D5749" s="7" t="s">
        <v>6295</v>
      </c>
      <c r="E5749" s="7" t="s">
        <v>6940</v>
      </c>
      <c r="F5749" s="7" t="s">
        <v>6949</v>
      </c>
      <c r="G5749" s="7" t="s">
        <v>7150</v>
      </c>
      <c r="H5749" s="7" t="s">
        <v>7156</v>
      </c>
      <c r="I5749" s="7"/>
      <c r="J5749" s="10">
        <v>46072</v>
      </c>
      <c r="K5749" s="7" t="s">
        <v>7165</v>
      </c>
      <c r="L5749" s="7"/>
      <c r="M5749" s="7"/>
    </row>
    <row r="5750" spans="1:13" x14ac:dyDescent="0.3">
      <c r="A5750" s="7">
        <v>17266</v>
      </c>
      <c r="B5750" s="7" t="s">
        <v>5756</v>
      </c>
      <c r="C5750" s="7" t="s">
        <v>7102</v>
      </c>
      <c r="D5750" s="7" t="s">
        <v>6295</v>
      </c>
      <c r="E5750" s="7" t="s">
        <v>6940</v>
      </c>
      <c r="F5750" s="7" t="s">
        <v>6987</v>
      </c>
      <c r="G5750" s="7" t="s">
        <v>7150</v>
      </c>
      <c r="H5750" s="7" t="s">
        <v>7156</v>
      </c>
      <c r="I5750" s="7"/>
      <c r="J5750" s="10">
        <v>45693</v>
      </c>
      <c r="K5750" s="7" t="s">
        <v>7165</v>
      </c>
      <c r="L5750" s="7"/>
      <c r="M5750" s="7"/>
    </row>
    <row r="5751" spans="1:13" x14ac:dyDescent="0.3">
      <c r="A5751" s="7">
        <v>530015</v>
      </c>
      <c r="B5751" s="7" t="s">
        <v>5757</v>
      </c>
      <c r="C5751" s="7" t="s">
        <v>7102</v>
      </c>
      <c r="D5751" s="7" t="s">
        <v>6295</v>
      </c>
      <c r="E5751" s="7" t="s">
        <v>6951</v>
      </c>
      <c r="F5751" s="7" t="s">
        <v>6398</v>
      </c>
      <c r="G5751" s="7" t="s">
        <v>7150</v>
      </c>
      <c r="H5751" s="7" t="s">
        <v>7156</v>
      </c>
      <c r="I5751" s="7"/>
      <c r="J5751" s="10">
        <v>42632</v>
      </c>
      <c r="K5751" s="7" t="s">
        <v>7165</v>
      </c>
      <c r="L5751" s="7"/>
      <c r="M5751" s="7"/>
    </row>
    <row r="5752" spans="1:13" x14ac:dyDescent="0.3">
      <c r="A5752" s="7">
        <v>14746</v>
      </c>
      <c r="B5752" s="7" t="s">
        <v>5758</v>
      </c>
      <c r="C5752" s="7" t="s">
        <v>7102</v>
      </c>
      <c r="D5752" s="7" t="s">
        <v>6295</v>
      </c>
      <c r="E5752" s="7" t="s">
        <v>6994</v>
      </c>
      <c r="F5752" s="7" t="s">
        <v>6498</v>
      </c>
      <c r="G5752" s="7" t="s">
        <v>7150</v>
      </c>
      <c r="H5752" s="7" t="s">
        <v>7156</v>
      </c>
      <c r="I5752" s="7"/>
      <c r="J5752" s="10">
        <v>44845</v>
      </c>
      <c r="K5752" s="7" t="s">
        <v>7165</v>
      </c>
      <c r="L5752" s="7"/>
      <c r="M5752" s="7"/>
    </row>
    <row r="5753" spans="1:13" x14ac:dyDescent="0.3">
      <c r="A5753" s="7">
        <v>530018</v>
      </c>
      <c r="B5753" s="7" t="s">
        <v>5759</v>
      </c>
      <c r="C5753" s="7" t="s">
        <v>7102</v>
      </c>
      <c r="D5753" s="7" t="s">
        <v>6295</v>
      </c>
      <c r="E5753" s="7" t="s">
        <v>6994</v>
      </c>
      <c r="F5753" s="7" t="s">
        <v>6353</v>
      </c>
      <c r="G5753" s="7" t="s">
        <v>7150</v>
      </c>
      <c r="H5753" s="7" t="s">
        <v>7156</v>
      </c>
      <c r="I5753" s="7"/>
      <c r="J5753" s="10">
        <v>42744</v>
      </c>
      <c r="K5753" s="7" t="s">
        <v>7165</v>
      </c>
      <c r="L5753" s="7"/>
      <c r="M5753" s="7"/>
    </row>
    <row r="5754" spans="1:13" x14ac:dyDescent="0.3">
      <c r="A5754" s="7">
        <v>16639</v>
      </c>
      <c r="B5754" s="7" t="s">
        <v>5760</v>
      </c>
      <c r="C5754" s="7" t="s">
        <v>7102</v>
      </c>
      <c r="D5754" s="7" t="s">
        <v>6295</v>
      </c>
      <c r="E5754" s="7" t="s">
        <v>6994</v>
      </c>
      <c r="F5754" s="7" t="s">
        <v>6341</v>
      </c>
      <c r="G5754" s="7" t="s">
        <v>7150</v>
      </c>
      <c r="H5754" s="7" t="s">
        <v>7156</v>
      </c>
      <c r="I5754" s="7"/>
      <c r="J5754" s="10">
        <v>45509</v>
      </c>
      <c r="K5754" s="7" t="s">
        <v>7165</v>
      </c>
      <c r="L5754" s="7"/>
      <c r="M5754" s="7"/>
    </row>
    <row r="5755" spans="1:13" x14ac:dyDescent="0.3">
      <c r="A5755" s="7">
        <v>16653</v>
      </c>
      <c r="B5755" s="7" t="s">
        <v>5761</v>
      </c>
      <c r="C5755" s="7" t="s">
        <v>7102</v>
      </c>
      <c r="D5755" s="7" t="s">
        <v>6295</v>
      </c>
      <c r="E5755" s="7" t="s">
        <v>6994</v>
      </c>
      <c r="F5755" s="7" t="s">
        <v>6341</v>
      </c>
      <c r="G5755" s="7" t="s">
        <v>7150</v>
      </c>
      <c r="H5755" s="7" t="s">
        <v>7156</v>
      </c>
      <c r="I5755" s="7"/>
      <c r="J5755" s="10">
        <v>45523</v>
      </c>
      <c r="K5755" s="7" t="s">
        <v>7165</v>
      </c>
      <c r="L5755" s="7"/>
      <c r="M5755" s="7"/>
    </row>
    <row r="5756" spans="1:13" x14ac:dyDescent="0.3">
      <c r="A5756" s="7">
        <v>610019</v>
      </c>
      <c r="B5756" s="7" t="s">
        <v>5762</v>
      </c>
      <c r="C5756" s="7" t="s">
        <v>7103</v>
      </c>
      <c r="D5756" s="7" t="s">
        <v>6295</v>
      </c>
      <c r="E5756" s="7" t="s">
        <v>6295</v>
      </c>
      <c r="F5756" s="7" t="s">
        <v>6939</v>
      </c>
      <c r="G5756" s="7" t="s">
        <v>7150</v>
      </c>
      <c r="H5756" s="7" t="s">
        <v>7156</v>
      </c>
      <c r="I5756" s="7"/>
      <c r="J5756" s="10">
        <v>42020</v>
      </c>
      <c r="K5756" s="7" t="s">
        <v>7165</v>
      </c>
      <c r="L5756" s="7"/>
      <c r="M5756" s="7"/>
    </row>
    <row r="5757" spans="1:13" x14ac:dyDescent="0.3">
      <c r="A5757" s="7">
        <v>310004</v>
      </c>
      <c r="B5757" s="7" t="s">
        <v>5763</v>
      </c>
      <c r="C5757" s="7" t="s">
        <v>7103</v>
      </c>
      <c r="D5757" s="7" t="s">
        <v>6295</v>
      </c>
      <c r="E5757" s="7" t="s">
        <v>6940</v>
      </c>
      <c r="F5757" s="7" t="s">
        <v>6941</v>
      </c>
      <c r="G5757" s="7" t="s">
        <v>7150</v>
      </c>
      <c r="H5757" s="7" t="s">
        <v>7156</v>
      </c>
      <c r="I5757" s="7"/>
      <c r="J5757" s="10">
        <v>37410</v>
      </c>
      <c r="K5757" s="7" t="s">
        <v>7165</v>
      </c>
      <c r="L5757" s="7"/>
      <c r="M5757" s="7"/>
    </row>
    <row r="5758" spans="1:13" x14ac:dyDescent="0.3">
      <c r="A5758" s="7">
        <v>310043</v>
      </c>
      <c r="B5758" s="7" t="s">
        <v>5764</v>
      </c>
      <c r="C5758" s="7" t="s">
        <v>7103</v>
      </c>
      <c r="D5758" s="7" t="s">
        <v>6295</v>
      </c>
      <c r="E5758" s="7" t="s">
        <v>6940</v>
      </c>
      <c r="F5758" s="7" t="s">
        <v>6941</v>
      </c>
      <c r="G5758" s="7" t="s">
        <v>7150</v>
      </c>
      <c r="H5758" s="7" t="s">
        <v>7156</v>
      </c>
      <c r="I5758" s="7"/>
      <c r="J5758" s="10">
        <v>43864</v>
      </c>
      <c r="K5758" s="7" t="s">
        <v>7165</v>
      </c>
      <c r="L5758" s="7"/>
      <c r="M5758" s="7"/>
    </row>
    <row r="5759" spans="1:13" x14ac:dyDescent="0.3">
      <c r="A5759" s="7">
        <v>290065</v>
      </c>
      <c r="B5759" s="7" t="s">
        <v>5765</v>
      </c>
      <c r="C5759" s="7" t="s">
        <v>7103</v>
      </c>
      <c r="D5759" s="7" t="s">
        <v>6295</v>
      </c>
      <c r="E5759" s="7" t="s">
        <v>6940</v>
      </c>
      <c r="F5759" s="7" t="s">
        <v>6943</v>
      </c>
      <c r="G5759" s="7" t="s">
        <v>7150</v>
      </c>
      <c r="H5759" s="7" t="s">
        <v>7156</v>
      </c>
      <c r="I5759" s="7"/>
      <c r="J5759" s="10">
        <v>44622</v>
      </c>
      <c r="K5759" s="7" t="s">
        <v>7165</v>
      </c>
      <c r="L5759" s="7"/>
      <c r="M5759" s="7"/>
    </row>
    <row r="5760" spans="1:13" x14ac:dyDescent="0.3">
      <c r="A5760" s="7">
        <v>290067</v>
      </c>
      <c r="B5760" s="7" t="s">
        <v>5766</v>
      </c>
      <c r="C5760" s="7" t="s">
        <v>7103</v>
      </c>
      <c r="D5760" s="7" t="s">
        <v>6295</v>
      </c>
      <c r="E5760" s="7" t="s">
        <v>6940</v>
      </c>
      <c r="F5760" s="7" t="s">
        <v>6943</v>
      </c>
      <c r="G5760" s="7" t="s">
        <v>7150</v>
      </c>
      <c r="H5760" s="7" t="s">
        <v>7156</v>
      </c>
      <c r="I5760" s="7"/>
      <c r="J5760" s="10">
        <v>44625</v>
      </c>
      <c r="K5760" s="7" t="s">
        <v>7165</v>
      </c>
      <c r="L5760" s="7"/>
      <c r="M5760" s="7"/>
    </row>
    <row r="5761" spans="1:13" x14ac:dyDescent="0.3">
      <c r="A5761" s="7">
        <v>135001</v>
      </c>
      <c r="B5761" s="7" t="s">
        <v>5767</v>
      </c>
      <c r="C5761" s="7" t="s">
        <v>7103</v>
      </c>
      <c r="D5761" s="7" t="s">
        <v>6295</v>
      </c>
      <c r="E5761" s="7" t="s">
        <v>6940</v>
      </c>
      <c r="F5761" s="7" t="s">
        <v>6943</v>
      </c>
      <c r="G5761" s="7" t="s">
        <v>7150</v>
      </c>
      <c r="H5761" s="7" t="s">
        <v>7156</v>
      </c>
      <c r="I5761" s="7"/>
      <c r="J5761" s="10">
        <v>43871</v>
      </c>
      <c r="K5761" s="7" t="s">
        <v>7165</v>
      </c>
      <c r="L5761" s="7"/>
      <c r="M5761" s="7"/>
    </row>
    <row r="5762" spans="1:13" x14ac:dyDescent="0.3">
      <c r="A5762" s="7">
        <v>310045</v>
      </c>
      <c r="B5762" s="7" t="s">
        <v>5768</v>
      </c>
      <c r="C5762" s="7" t="s">
        <v>7103</v>
      </c>
      <c r="D5762" s="7" t="s">
        <v>6295</v>
      </c>
      <c r="E5762" s="7" t="s">
        <v>6940</v>
      </c>
      <c r="F5762" s="7" t="s">
        <v>6943</v>
      </c>
      <c r="G5762" s="7" t="s">
        <v>7150</v>
      </c>
      <c r="H5762" s="7" t="s">
        <v>7156</v>
      </c>
      <c r="I5762" s="7"/>
      <c r="J5762" s="10">
        <v>44624</v>
      </c>
      <c r="K5762" s="7" t="s">
        <v>7165</v>
      </c>
      <c r="L5762" s="7"/>
      <c r="M5762" s="7"/>
    </row>
    <row r="5763" spans="1:13" x14ac:dyDescent="0.3">
      <c r="A5763" s="7">
        <v>290052</v>
      </c>
      <c r="B5763" s="7" t="s">
        <v>5769</v>
      </c>
      <c r="C5763" s="7" t="s">
        <v>7103</v>
      </c>
      <c r="D5763" s="7" t="s">
        <v>6295</v>
      </c>
      <c r="E5763" s="7" t="s">
        <v>6940</v>
      </c>
      <c r="F5763" s="7" t="s">
        <v>6980</v>
      </c>
      <c r="G5763" s="7" t="s">
        <v>7150</v>
      </c>
      <c r="H5763" s="7" t="s">
        <v>7156</v>
      </c>
      <c r="I5763" s="7"/>
      <c r="J5763" s="10">
        <v>43406</v>
      </c>
      <c r="K5763" s="7" t="s">
        <v>7165</v>
      </c>
      <c r="L5763" s="7"/>
      <c r="M5763" s="7"/>
    </row>
    <row r="5764" spans="1:13" x14ac:dyDescent="0.3">
      <c r="A5764" s="7">
        <v>660023</v>
      </c>
      <c r="B5764" s="7" t="s">
        <v>5770</v>
      </c>
      <c r="C5764" s="7" t="s">
        <v>7104</v>
      </c>
      <c r="D5764" s="7" t="s">
        <v>6295</v>
      </c>
      <c r="E5764" s="7" t="s">
        <v>6295</v>
      </c>
      <c r="F5764" s="7" t="s">
        <v>6939</v>
      </c>
      <c r="G5764" s="7" t="s">
        <v>7150</v>
      </c>
      <c r="H5764" s="7" t="s">
        <v>7156</v>
      </c>
      <c r="I5764" s="7"/>
      <c r="J5764" s="10">
        <v>42012</v>
      </c>
      <c r="K5764" s="7" t="s">
        <v>7165</v>
      </c>
      <c r="L5764" s="7"/>
      <c r="M5764" s="7"/>
    </row>
    <row r="5765" spans="1:13" x14ac:dyDescent="0.3">
      <c r="A5765" s="7">
        <v>16666</v>
      </c>
      <c r="B5765" s="7" t="s">
        <v>5771</v>
      </c>
      <c r="C5765" s="7" t="s">
        <v>7104</v>
      </c>
      <c r="D5765" s="7" t="s">
        <v>6295</v>
      </c>
      <c r="E5765" s="7" t="s">
        <v>6940</v>
      </c>
      <c r="F5765" s="7" t="s">
        <v>6988</v>
      </c>
      <c r="G5765" s="7" t="s">
        <v>7150</v>
      </c>
      <c r="H5765" s="7" t="s">
        <v>7156</v>
      </c>
      <c r="I5765" s="7"/>
      <c r="J5765" s="10">
        <v>45516</v>
      </c>
      <c r="K5765" s="7" t="s">
        <v>7165</v>
      </c>
      <c r="L5765" s="7"/>
      <c r="M5765" s="7"/>
    </row>
    <row r="5766" spans="1:13" x14ac:dyDescent="0.3">
      <c r="A5766" s="7">
        <v>780014</v>
      </c>
      <c r="B5766" s="7" t="s">
        <v>5772</v>
      </c>
      <c r="C5766" s="7" t="s">
        <v>7104</v>
      </c>
      <c r="D5766" s="7" t="s">
        <v>6295</v>
      </c>
      <c r="E5766" s="7" t="s">
        <v>6940</v>
      </c>
      <c r="F5766" s="7" t="s">
        <v>6980</v>
      </c>
      <c r="G5766" s="7" t="s">
        <v>7150</v>
      </c>
      <c r="H5766" s="7" t="s">
        <v>7156</v>
      </c>
      <c r="I5766" s="7"/>
      <c r="J5766" s="10">
        <v>42471</v>
      </c>
      <c r="K5766" s="7" t="s">
        <v>7165</v>
      </c>
      <c r="L5766" s="7"/>
      <c r="M5766" s="7"/>
    </row>
    <row r="5767" spans="1:13" x14ac:dyDescent="0.3">
      <c r="A5767" s="7">
        <v>17129</v>
      </c>
      <c r="B5767" s="7" t="s">
        <v>5773</v>
      </c>
      <c r="C5767" s="7" t="s">
        <v>7104</v>
      </c>
      <c r="D5767" s="7" t="s">
        <v>6295</v>
      </c>
      <c r="E5767" s="7" t="s">
        <v>6940</v>
      </c>
      <c r="F5767" s="7" t="s">
        <v>6989</v>
      </c>
      <c r="G5767" s="7" t="s">
        <v>7150</v>
      </c>
      <c r="H5767" s="7" t="s">
        <v>7156</v>
      </c>
      <c r="I5767" s="7"/>
      <c r="J5767" s="10">
        <v>45643</v>
      </c>
      <c r="K5767" s="7" t="s">
        <v>7165</v>
      </c>
      <c r="L5767" s="7"/>
      <c r="M5767" s="7"/>
    </row>
    <row r="5768" spans="1:13" x14ac:dyDescent="0.3">
      <c r="A5768" s="7">
        <v>15304</v>
      </c>
      <c r="B5768" s="7" t="s">
        <v>5774</v>
      </c>
      <c r="C5768" s="7" t="s">
        <v>7104</v>
      </c>
      <c r="D5768" s="7" t="s">
        <v>6295</v>
      </c>
      <c r="E5768" s="7" t="s">
        <v>6940</v>
      </c>
      <c r="F5768" s="7" t="s">
        <v>6986</v>
      </c>
      <c r="G5768" s="7" t="s">
        <v>7150</v>
      </c>
      <c r="H5768" s="7" t="s">
        <v>7156</v>
      </c>
      <c r="I5768" s="7"/>
      <c r="J5768" s="10">
        <v>45021</v>
      </c>
      <c r="K5768" s="7" t="s">
        <v>7165</v>
      </c>
      <c r="L5768" s="7"/>
      <c r="M5768" s="7"/>
    </row>
    <row r="5769" spans="1:13" x14ac:dyDescent="0.3">
      <c r="A5769" s="7">
        <v>780020</v>
      </c>
      <c r="B5769" s="7" t="s">
        <v>5775</v>
      </c>
      <c r="C5769" s="7" t="s">
        <v>7104</v>
      </c>
      <c r="D5769" s="7" t="s">
        <v>6295</v>
      </c>
      <c r="E5769" s="7" t="s">
        <v>6951</v>
      </c>
      <c r="F5769" s="7" t="s">
        <v>6398</v>
      </c>
      <c r="G5769" s="7" t="s">
        <v>7150</v>
      </c>
      <c r="H5769" s="7" t="s">
        <v>7156</v>
      </c>
      <c r="I5769" s="7"/>
      <c r="J5769" s="10">
        <v>44466</v>
      </c>
      <c r="K5769" s="7" t="s">
        <v>7165</v>
      </c>
      <c r="L5769" s="7"/>
      <c r="M5769" s="7"/>
    </row>
    <row r="5770" spans="1:13" x14ac:dyDescent="0.3">
      <c r="A5770" s="7">
        <v>280020</v>
      </c>
      <c r="B5770" s="7" t="s">
        <v>5776</v>
      </c>
      <c r="C5770" s="7" t="s">
        <v>7105</v>
      </c>
      <c r="D5770" s="7" t="s">
        <v>6295</v>
      </c>
      <c r="E5770" s="7" t="s">
        <v>6295</v>
      </c>
      <c r="F5770" s="7" t="s">
        <v>6939</v>
      </c>
      <c r="G5770" s="7" t="s">
        <v>7150</v>
      </c>
      <c r="H5770" s="7" t="s">
        <v>7156</v>
      </c>
      <c r="I5770" s="7"/>
      <c r="J5770" s="10">
        <v>41960</v>
      </c>
      <c r="K5770" s="7" t="s">
        <v>7165</v>
      </c>
      <c r="L5770" s="7"/>
      <c r="M5770" s="7"/>
    </row>
    <row r="5771" spans="1:13" x14ac:dyDescent="0.3">
      <c r="A5771" s="7">
        <v>17235</v>
      </c>
      <c r="B5771" s="7" t="s">
        <v>5777</v>
      </c>
      <c r="C5771" s="7" t="s">
        <v>7105</v>
      </c>
      <c r="D5771" s="7" t="s">
        <v>6295</v>
      </c>
      <c r="E5771" s="7" t="s">
        <v>6940</v>
      </c>
      <c r="F5771" s="7" t="s">
        <v>6988</v>
      </c>
      <c r="G5771" s="7" t="s">
        <v>7150</v>
      </c>
      <c r="H5771" s="7" t="s">
        <v>7156</v>
      </c>
      <c r="I5771" s="7"/>
      <c r="J5771" s="10">
        <v>45679</v>
      </c>
      <c r="K5771" s="7" t="s">
        <v>7165</v>
      </c>
      <c r="L5771" s="7"/>
      <c r="M5771" s="7"/>
    </row>
    <row r="5772" spans="1:13" x14ac:dyDescent="0.3">
      <c r="A5772" s="7">
        <v>16418</v>
      </c>
      <c r="B5772" s="7" t="s">
        <v>5778</v>
      </c>
      <c r="C5772" s="7" t="s">
        <v>7105</v>
      </c>
      <c r="D5772" s="7" t="s">
        <v>6295</v>
      </c>
      <c r="E5772" s="7" t="s">
        <v>6940</v>
      </c>
      <c r="F5772" s="7" t="s">
        <v>6989</v>
      </c>
      <c r="G5772" s="7" t="s">
        <v>7150</v>
      </c>
      <c r="H5772" s="7" t="s">
        <v>7156</v>
      </c>
      <c r="I5772" s="7"/>
      <c r="J5772" s="10">
        <v>45385</v>
      </c>
      <c r="K5772" s="7" t="s">
        <v>7165</v>
      </c>
      <c r="L5772" s="7"/>
      <c r="M5772" s="7"/>
    </row>
    <row r="5773" spans="1:13" x14ac:dyDescent="0.3">
      <c r="A5773" s="7">
        <v>710028</v>
      </c>
      <c r="B5773" s="7" t="s">
        <v>5779</v>
      </c>
      <c r="C5773" s="7" t="s">
        <v>7105</v>
      </c>
      <c r="D5773" s="7" t="s">
        <v>6295</v>
      </c>
      <c r="E5773" s="7" t="s">
        <v>6940</v>
      </c>
      <c r="F5773" s="7" t="s">
        <v>6980</v>
      </c>
      <c r="G5773" s="7" t="s">
        <v>7150</v>
      </c>
      <c r="H5773" s="7" t="s">
        <v>7156</v>
      </c>
      <c r="I5773" s="7"/>
      <c r="J5773" s="10">
        <v>42515</v>
      </c>
      <c r="K5773" s="7" t="s">
        <v>7165</v>
      </c>
      <c r="L5773" s="7"/>
      <c r="M5773" s="7"/>
    </row>
    <row r="5774" spans="1:13" x14ac:dyDescent="0.3">
      <c r="A5774" s="7">
        <v>200006</v>
      </c>
      <c r="B5774" s="7" t="s">
        <v>5780</v>
      </c>
      <c r="C5774" s="7" t="s">
        <v>7105</v>
      </c>
      <c r="D5774" s="7" t="s">
        <v>6295</v>
      </c>
      <c r="E5774" s="7" t="s">
        <v>6940</v>
      </c>
      <c r="F5774" s="7" t="s">
        <v>6980</v>
      </c>
      <c r="G5774" s="7" t="s">
        <v>7150</v>
      </c>
      <c r="H5774" s="7" t="s">
        <v>7156</v>
      </c>
      <c r="I5774" s="7"/>
      <c r="J5774" s="10">
        <v>43490</v>
      </c>
      <c r="K5774" s="7" t="s">
        <v>7165</v>
      </c>
      <c r="L5774" s="7"/>
      <c r="M5774" s="7"/>
    </row>
    <row r="5775" spans="1:13" x14ac:dyDescent="0.3">
      <c r="A5775" s="7">
        <v>520017</v>
      </c>
      <c r="B5775" s="7" t="s">
        <v>5781</v>
      </c>
      <c r="C5775" s="7" t="s">
        <v>7105</v>
      </c>
      <c r="D5775" s="7" t="s">
        <v>6295</v>
      </c>
      <c r="E5775" s="7" t="s">
        <v>6940</v>
      </c>
      <c r="F5775" s="7" t="s">
        <v>6980</v>
      </c>
      <c r="G5775" s="7" t="s">
        <v>7150</v>
      </c>
      <c r="H5775" s="7" t="s">
        <v>7156</v>
      </c>
      <c r="I5775" s="7"/>
      <c r="J5775" s="10">
        <v>42011</v>
      </c>
      <c r="K5775" s="7" t="s">
        <v>7165</v>
      </c>
      <c r="L5775" s="7"/>
      <c r="M5775" s="7"/>
    </row>
    <row r="5776" spans="1:13" x14ac:dyDescent="0.3">
      <c r="A5776" s="7">
        <v>710035</v>
      </c>
      <c r="B5776" s="7" t="s">
        <v>5782</v>
      </c>
      <c r="C5776" s="7" t="s">
        <v>7105</v>
      </c>
      <c r="D5776" s="7" t="s">
        <v>6295</v>
      </c>
      <c r="E5776" s="7" t="s">
        <v>6940</v>
      </c>
      <c r="F5776" s="7" t="s">
        <v>6980</v>
      </c>
      <c r="G5776" s="7" t="s">
        <v>7150</v>
      </c>
      <c r="H5776" s="7" t="s">
        <v>7156</v>
      </c>
      <c r="I5776" s="7"/>
      <c r="J5776" s="10">
        <v>43318</v>
      </c>
      <c r="K5776" s="7" t="s">
        <v>7165</v>
      </c>
      <c r="L5776" s="7"/>
      <c r="M5776" s="7"/>
    </row>
    <row r="5777" spans="1:13" x14ac:dyDescent="0.3">
      <c r="A5777" s="7">
        <v>710027</v>
      </c>
      <c r="B5777" s="7" t="s">
        <v>5783</v>
      </c>
      <c r="C5777" s="7" t="s">
        <v>7105</v>
      </c>
      <c r="D5777" s="7" t="s">
        <v>6295</v>
      </c>
      <c r="E5777" s="7" t="s">
        <v>6940</v>
      </c>
      <c r="F5777" s="7" t="s">
        <v>6980</v>
      </c>
      <c r="G5777" s="7" t="s">
        <v>7150</v>
      </c>
      <c r="H5777" s="7" t="s">
        <v>7156</v>
      </c>
      <c r="I5777" s="7"/>
      <c r="J5777" s="10">
        <v>42515</v>
      </c>
      <c r="K5777" s="7" t="s">
        <v>7165</v>
      </c>
      <c r="L5777" s="7"/>
      <c r="M5777" s="7"/>
    </row>
    <row r="5778" spans="1:13" x14ac:dyDescent="0.3">
      <c r="A5778" s="7">
        <v>710042</v>
      </c>
      <c r="B5778" s="7" t="s">
        <v>5784</v>
      </c>
      <c r="C5778" s="7" t="s">
        <v>7105</v>
      </c>
      <c r="D5778" s="7" t="s">
        <v>6295</v>
      </c>
      <c r="E5778" s="7" t="s">
        <v>6940</v>
      </c>
      <c r="F5778" s="7" t="s">
        <v>6986</v>
      </c>
      <c r="G5778" s="7" t="s">
        <v>7150</v>
      </c>
      <c r="H5778" s="7" t="s">
        <v>7156</v>
      </c>
      <c r="I5778" s="7"/>
      <c r="J5778" s="10">
        <v>44568</v>
      </c>
      <c r="K5778" s="7" t="s">
        <v>7165</v>
      </c>
      <c r="L5778" s="7"/>
      <c r="M5778" s="7"/>
    </row>
    <row r="5779" spans="1:13" x14ac:dyDescent="0.3">
      <c r="A5779" s="7">
        <v>17912</v>
      </c>
      <c r="B5779" s="7" t="s">
        <v>5785</v>
      </c>
      <c r="C5779" s="7" t="s">
        <v>7105</v>
      </c>
      <c r="D5779" s="7" t="s">
        <v>6295</v>
      </c>
      <c r="E5779" s="7" t="s">
        <v>6940</v>
      </c>
      <c r="F5779" s="7" t="s">
        <v>6987</v>
      </c>
      <c r="G5779" s="7" t="s">
        <v>7150</v>
      </c>
      <c r="H5779" s="7" t="s">
        <v>7156</v>
      </c>
      <c r="I5779" s="7"/>
      <c r="J5779" s="10">
        <v>45915</v>
      </c>
      <c r="K5779" s="7" t="s">
        <v>7165</v>
      </c>
      <c r="L5779" s="7"/>
      <c r="M5779" s="7"/>
    </row>
    <row r="5780" spans="1:13" x14ac:dyDescent="0.3">
      <c r="A5780" s="7">
        <v>15076</v>
      </c>
      <c r="B5780" s="7" t="s">
        <v>5786</v>
      </c>
      <c r="C5780" s="7" t="s">
        <v>7105</v>
      </c>
      <c r="D5780" s="7" t="s">
        <v>6295</v>
      </c>
      <c r="E5780" s="7" t="s">
        <v>6940</v>
      </c>
      <c r="F5780" s="7" t="s">
        <v>6949</v>
      </c>
      <c r="G5780" s="7" t="s">
        <v>7150</v>
      </c>
      <c r="H5780" s="7" t="s">
        <v>7156</v>
      </c>
      <c r="I5780" s="7"/>
      <c r="J5780" s="10">
        <v>44942</v>
      </c>
      <c r="K5780" s="7" t="s">
        <v>7165</v>
      </c>
      <c r="L5780" s="7"/>
      <c r="M5780" s="7"/>
    </row>
    <row r="5781" spans="1:13" x14ac:dyDescent="0.3">
      <c r="A5781" s="7">
        <v>710040</v>
      </c>
      <c r="B5781" s="7" t="s">
        <v>5787</v>
      </c>
      <c r="C5781" s="7" t="s">
        <v>7105</v>
      </c>
      <c r="D5781" s="7" t="s">
        <v>6295</v>
      </c>
      <c r="E5781" s="7" t="s">
        <v>6951</v>
      </c>
      <c r="F5781" s="7" t="s">
        <v>6398</v>
      </c>
      <c r="G5781" s="7" t="s">
        <v>7150</v>
      </c>
      <c r="H5781" s="7" t="s">
        <v>7156</v>
      </c>
      <c r="I5781" s="7"/>
      <c r="J5781" s="10">
        <v>44532</v>
      </c>
      <c r="K5781" s="7" t="s">
        <v>7165</v>
      </c>
      <c r="L5781" s="7"/>
      <c r="M5781" s="7"/>
    </row>
    <row r="5782" spans="1:13" x14ac:dyDescent="0.3">
      <c r="A5782" s="7">
        <v>17219</v>
      </c>
      <c r="B5782" s="7" t="s">
        <v>5788</v>
      </c>
      <c r="C5782" s="7" t="s">
        <v>7105</v>
      </c>
      <c r="D5782" s="7" t="s">
        <v>6295</v>
      </c>
      <c r="E5782" s="7" t="s">
        <v>6951</v>
      </c>
      <c r="F5782" s="7" t="s">
        <v>6398</v>
      </c>
      <c r="G5782" s="7" t="s">
        <v>7150</v>
      </c>
      <c r="H5782" s="7" t="s">
        <v>7156</v>
      </c>
      <c r="I5782" s="7"/>
      <c r="J5782" s="10">
        <v>45663</v>
      </c>
      <c r="K5782" s="7" t="s">
        <v>7165</v>
      </c>
      <c r="L5782" s="7"/>
      <c r="M5782" s="7"/>
    </row>
    <row r="5783" spans="1:13" x14ac:dyDescent="0.3">
      <c r="A5783" s="7">
        <v>710039</v>
      </c>
      <c r="B5783" s="7" t="s">
        <v>5789</v>
      </c>
      <c r="C5783" s="7" t="s">
        <v>7105</v>
      </c>
      <c r="D5783" s="7" t="s">
        <v>6295</v>
      </c>
      <c r="E5783" s="7" t="s">
        <v>6994</v>
      </c>
      <c r="F5783" s="7" t="s">
        <v>6498</v>
      </c>
      <c r="G5783" s="7" t="s">
        <v>7150</v>
      </c>
      <c r="H5783" s="7" t="s">
        <v>7156</v>
      </c>
      <c r="I5783" s="7"/>
      <c r="J5783" s="10">
        <v>44474</v>
      </c>
      <c r="K5783" s="7" t="s">
        <v>7165</v>
      </c>
      <c r="L5783" s="7"/>
      <c r="M5783" s="7"/>
    </row>
    <row r="5784" spans="1:13" x14ac:dyDescent="0.3">
      <c r="A5784" s="7">
        <v>710041</v>
      </c>
      <c r="B5784" s="7" t="s">
        <v>5790</v>
      </c>
      <c r="C5784" s="7" t="s">
        <v>7105</v>
      </c>
      <c r="D5784" s="7" t="s">
        <v>6295</v>
      </c>
      <c r="E5784" s="7" t="s">
        <v>6994</v>
      </c>
      <c r="F5784" s="7" t="s">
        <v>6353</v>
      </c>
      <c r="G5784" s="7" t="s">
        <v>7150</v>
      </c>
      <c r="H5784" s="7" t="s">
        <v>7156</v>
      </c>
      <c r="I5784" s="7"/>
      <c r="J5784" s="10">
        <v>44532</v>
      </c>
      <c r="K5784" s="7" t="s">
        <v>7165</v>
      </c>
      <c r="L5784" s="7"/>
      <c r="M5784" s="7"/>
    </row>
    <row r="5785" spans="1:13" x14ac:dyDescent="0.3">
      <c r="A5785" s="7">
        <v>14148</v>
      </c>
      <c r="B5785" s="7" t="s">
        <v>5791</v>
      </c>
      <c r="C5785" s="7" t="s">
        <v>7105</v>
      </c>
      <c r="D5785" s="7" t="s">
        <v>6295</v>
      </c>
      <c r="E5785" s="7" t="s">
        <v>6994</v>
      </c>
      <c r="F5785" s="7" t="s">
        <v>6340</v>
      </c>
      <c r="G5785" s="7" t="s">
        <v>7150</v>
      </c>
      <c r="H5785" s="7" t="s">
        <v>7156</v>
      </c>
      <c r="I5785" s="7"/>
      <c r="J5785" s="10">
        <v>44676</v>
      </c>
      <c r="K5785" s="7" t="s">
        <v>7165</v>
      </c>
      <c r="L5785" s="7"/>
      <c r="M5785" s="7"/>
    </row>
    <row r="5786" spans="1:13" x14ac:dyDescent="0.3">
      <c r="A5786" s="7">
        <v>14343</v>
      </c>
      <c r="B5786" s="7" t="s">
        <v>5792</v>
      </c>
      <c r="C5786" s="7" t="s">
        <v>7105</v>
      </c>
      <c r="D5786" s="7" t="s">
        <v>6295</v>
      </c>
      <c r="E5786" s="7" t="s">
        <v>6994</v>
      </c>
      <c r="F5786" s="7" t="s">
        <v>6340</v>
      </c>
      <c r="G5786" s="7" t="s">
        <v>7150</v>
      </c>
      <c r="H5786" s="7" t="s">
        <v>7156</v>
      </c>
      <c r="I5786" s="7"/>
      <c r="J5786" s="10">
        <v>44736</v>
      </c>
      <c r="K5786" s="7" t="s">
        <v>7165</v>
      </c>
      <c r="L5786" s="7"/>
      <c r="M5786" s="7"/>
    </row>
    <row r="5787" spans="1:13" x14ac:dyDescent="0.3">
      <c r="A5787" s="7">
        <v>17363</v>
      </c>
      <c r="B5787" s="7" t="s">
        <v>5793</v>
      </c>
      <c r="C5787" s="7" t="s">
        <v>7105</v>
      </c>
      <c r="D5787" s="7" t="s">
        <v>6295</v>
      </c>
      <c r="E5787" s="7" t="s">
        <v>6994</v>
      </c>
      <c r="F5787" s="7" t="s">
        <v>6341</v>
      </c>
      <c r="G5787" s="7" t="s">
        <v>7150</v>
      </c>
      <c r="H5787" s="7" t="s">
        <v>7156</v>
      </c>
      <c r="I5787" s="7"/>
      <c r="J5787" s="10">
        <v>45720</v>
      </c>
      <c r="K5787" s="7" t="s">
        <v>7165</v>
      </c>
      <c r="L5787" s="7"/>
      <c r="M5787" s="7"/>
    </row>
    <row r="5788" spans="1:13" x14ac:dyDescent="0.3">
      <c r="A5788" s="7">
        <v>720009</v>
      </c>
      <c r="B5788" s="7" t="s">
        <v>5794</v>
      </c>
      <c r="C5788" s="7" t="s">
        <v>7106</v>
      </c>
      <c r="D5788" s="7" t="s">
        <v>6295</v>
      </c>
      <c r="E5788" s="7" t="s">
        <v>6295</v>
      </c>
      <c r="F5788" s="7" t="s">
        <v>6939</v>
      </c>
      <c r="G5788" s="7" t="s">
        <v>7150</v>
      </c>
      <c r="H5788" s="7" t="s">
        <v>7156</v>
      </c>
      <c r="I5788" s="7"/>
      <c r="J5788" s="10">
        <v>38860</v>
      </c>
      <c r="K5788" s="7" t="s">
        <v>7165</v>
      </c>
      <c r="L5788" s="7"/>
      <c r="M5788" s="7"/>
    </row>
    <row r="5789" spans="1:13" x14ac:dyDescent="0.3">
      <c r="A5789" s="7">
        <v>520012</v>
      </c>
      <c r="B5789" s="7" t="s">
        <v>5795</v>
      </c>
      <c r="C5789" s="7" t="s">
        <v>7106</v>
      </c>
      <c r="D5789" s="7" t="s">
        <v>6295</v>
      </c>
      <c r="E5789" s="7" t="s">
        <v>6940</v>
      </c>
      <c r="F5789" s="7" t="s">
        <v>6991</v>
      </c>
      <c r="G5789" s="7" t="s">
        <v>7150</v>
      </c>
      <c r="H5789" s="7" t="s">
        <v>7156</v>
      </c>
      <c r="I5789" s="7"/>
      <c r="J5789" s="10">
        <v>41395</v>
      </c>
      <c r="K5789" s="7" t="s">
        <v>7165</v>
      </c>
      <c r="L5789" s="7"/>
      <c r="M5789" s="7"/>
    </row>
    <row r="5790" spans="1:13" x14ac:dyDescent="0.3">
      <c r="A5790" s="7">
        <v>15690</v>
      </c>
      <c r="B5790" s="7" t="s">
        <v>5796</v>
      </c>
      <c r="C5790" s="7" t="s">
        <v>7106</v>
      </c>
      <c r="D5790" s="7" t="s">
        <v>6295</v>
      </c>
      <c r="E5790" s="7" t="s">
        <v>6940</v>
      </c>
      <c r="F5790" s="7" t="s">
        <v>6943</v>
      </c>
      <c r="G5790" s="7" t="s">
        <v>7150</v>
      </c>
      <c r="H5790" s="7" t="s">
        <v>7156</v>
      </c>
      <c r="I5790" s="7"/>
      <c r="J5790" s="10">
        <v>45166</v>
      </c>
      <c r="K5790" s="7" t="s">
        <v>7165</v>
      </c>
      <c r="L5790" s="7"/>
      <c r="M5790" s="7"/>
    </row>
    <row r="5791" spans="1:13" x14ac:dyDescent="0.3">
      <c r="A5791" s="7">
        <v>520020</v>
      </c>
      <c r="B5791" s="7" t="s">
        <v>5797</v>
      </c>
      <c r="C5791" s="7" t="s">
        <v>7106</v>
      </c>
      <c r="D5791" s="7" t="s">
        <v>6295</v>
      </c>
      <c r="E5791" s="7" t="s">
        <v>6940</v>
      </c>
      <c r="F5791" s="7" t="s">
        <v>6992</v>
      </c>
      <c r="G5791" s="7" t="s">
        <v>7150</v>
      </c>
      <c r="H5791" s="7" t="s">
        <v>7156</v>
      </c>
      <c r="I5791" s="7"/>
      <c r="J5791" s="10">
        <v>42515</v>
      </c>
      <c r="K5791" s="7" t="s">
        <v>7165</v>
      </c>
      <c r="L5791" s="7"/>
      <c r="M5791" s="7"/>
    </row>
    <row r="5792" spans="1:13" x14ac:dyDescent="0.3">
      <c r="A5792" s="7">
        <v>520022</v>
      </c>
      <c r="B5792" s="7" t="s">
        <v>5798</v>
      </c>
      <c r="C5792" s="7" t="s">
        <v>7106</v>
      </c>
      <c r="D5792" s="7" t="s">
        <v>6295</v>
      </c>
      <c r="E5792" s="7" t="s">
        <v>6940</v>
      </c>
      <c r="F5792" s="7" t="s">
        <v>6980</v>
      </c>
      <c r="G5792" s="7" t="s">
        <v>7150</v>
      </c>
      <c r="H5792" s="7" t="s">
        <v>7156</v>
      </c>
      <c r="I5792" s="7"/>
      <c r="J5792" s="10">
        <v>42538</v>
      </c>
      <c r="K5792" s="7" t="s">
        <v>7165</v>
      </c>
      <c r="L5792" s="7"/>
      <c r="M5792" s="7"/>
    </row>
    <row r="5793" spans="1:13" x14ac:dyDescent="0.3">
      <c r="A5793" s="7">
        <v>520025</v>
      </c>
      <c r="B5793" s="7" t="s">
        <v>5799</v>
      </c>
      <c r="C5793" s="7" t="s">
        <v>7106</v>
      </c>
      <c r="D5793" s="7" t="s">
        <v>6295</v>
      </c>
      <c r="E5793" s="7" t="s">
        <v>6940</v>
      </c>
      <c r="F5793" s="7" t="s">
        <v>6980</v>
      </c>
      <c r="G5793" s="7" t="s">
        <v>7150</v>
      </c>
      <c r="H5793" s="7" t="s">
        <v>7156</v>
      </c>
      <c r="I5793" s="7"/>
      <c r="J5793" s="10">
        <v>42559</v>
      </c>
      <c r="K5793" s="7" t="s">
        <v>7165</v>
      </c>
      <c r="L5793" s="7"/>
      <c r="M5793" s="7"/>
    </row>
    <row r="5794" spans="1:13" x14ac:dyDescent="0.3">
      <c r="A5794" s="7">
        <v>520024</v>
      </c>
      <c r="B5794" s="7" t="s">
        <v>5800</v>
      </c>
      <c r="C5794" s="7" t="s">
        <v>7106</v>
      </c>
      <c r="D5794" s="7" t="s">
        <v>6295</v>
      </c>
      <c r="E5794" s="7" t="s">
        <v>6940</v>
      </c>
      <c r="F5794" s="7" t="s">
        <v>6980</v>
      </c>
      <c r="G5794" s="7" t="s">
        <v>7151</v>
      </c>
      <c r="H5794" s="7" t="s">
        <v>7156</v>
      </c>
      <c r="I5794" s="7"/>
      <c r="J5794" s="10">
        <v>42551</v>
      </c>
      <c r="K5794" s="7" t="s">
        <v>7165</v>
      </c>
      <c r="L5794" s="7"/>
      <c r="M5794" s="7"/>
    </row>
    <row r="5795" spans="1:13" x14ac:dyDescent="0.3">
      <c r="A5795" s="7">
        <v>200005</v>
      </c>
      <c r="B5795" s="7" t="s">
        <v>5801</v>
      </c>
      <c r="C5795" s="7" t="s">
        <v>7106</v>
      </c>
      <c r="D5795" s="7" t="s">
        <v>6295</v>
      </c>
      <c r="E5795" s="7" t="s">
        <v>6940</v>
      </c>
      <c r="F5795" s="7" t="s">
        <v>6980</v>
      </c>
      <c r="G5795" s="7" t="s">
        <v>7150</v>
      </c>
      <c r="H5795" s="7" t="s">
        <v>7156</v>
      </c>
      <c r="I5795" s="7"/>
      <c r="J5795" s="10">
        <v>43419</v>
      </c>
      <c r="K5795" s="7" t="s">
        <v>7165</v>
      </c>
      <c r="L5795" s="7"/>
      <c r="M5795" s="7"/>
    </row>
    <row r="5796" spans="1:13" x14ac:dyDescent="0.3">
      <c r="A5796" s="7">
        <v>520011</v>
      </c>
      <c r="B5796" s="7" t="s">
        <v>5802</v>
      </c>
      <c r="C5796" s="7" t="s">
        <v>7106</v>
      </c>
      <c r="D5796" s="7" t="s">
        <v>6295</v>
      </c>
      <c r="E5796" s="7" t="s">
        <v>6940</v>
      </c>
      <c r="F5796" s="7" t="s">
        <v>6980</v>
      </c>
      <c r="G5796" s="7" t="s">
        <v>7150</v>
      </c>
      <c r="H5796" s="7" t="s">
        <v>7156</v>
      </c>
      <c r="I5796" s="7"/>
      <c r="J5796" s="10">
        <v>40885</v>
      </c>
      <c r="K5796" s="7" t="s">
        <v>7165</v>
      </c>
      <c r="L5796" s="7"/>
      <c r="M5796" s="7"/>
    </row>
    <row r="5797" spans="1:13" x14ac:dyDescent="0.3">
      <c r="A5797" s="7">
        <v>14089</v>
      </c>
      <c r="B5797" s="7" t="s">
        <v>5803</v>
      </c>
      <c r="C5797" s="7" t="s">
        <v>7106</v>
      </c>
      <c r="D5797" s="7" t="s">
        <v>6295</v>
      </c>
      <c r="E5797" s="7" t="s">
        <v>6940</v>
      </c>
      <c r="F5797" s="7" t="s">
        <v>6986</v>
      </c>
      <c r="G5797" s="7" t="s">
        <v>7150</v>
      </c>
      <c r="H5797" s="7" t="s">
        <v>7156</v>
      </c>
      <c r="I5797" s="7"/>
      <c r="J5797" s="10">
        <v>44657</v>
      </c>
      <c r="K5797" s="7" t="s">
        <v>7165</v>
      </c>
      <c r="L5797" s="7"/>
      <c r="M5797" s="7"/>
    </row>
    <row r="5798" spans="1:13" x14ac:dyDescent="0.3">
      <c r="A5798" s="7">
        <v>14807</v>
      </c>
      <c r="B5798" s="7" t="s">
        <v>5804</v>
      </c>
      <c r="C5798" s="7" t="s">
        <v>7106</v>
      </c>
      <c r="D5798" s="7" t="s">
        <v>6295</v>
      </c>
      <c r="E5798" s="7" t="s">
        <v>6951</v>
      </c>
      <c r="F5798" s="7" t="s">
        <v>6398</v>
      </c>
      <c r="G5798" s="7" t="s">
        <v>7150</v>
      </c>
      <c r="H5798" s="7" t="s">
        <v>7156</v>
      </c>
      <c r="I5798" s="7"/>
      <c r="J5798" s="10">
        <v>44866</v>
      </c>
      <c r="K5798" s="7" t="s">
        <v>7165</v>
      </c>
      <c r="L5798" s="7"/>
      <c r="M5798" s="7"/>
    </row>
    <row r="5799" spans="1:13" x14ac:dyDescent="0.3">
      <c r="A5799" s="7">
        <v>240009</v>
      </c>
      <c r="B5799" s="7" t="s">
        <v>5805</v>
      </c>
      <c r="C5799" s="7" t="s">
        <v>7107</v>
      </c>
      <c r="D5799" s="7" t="s">
        <v>6295</v>
      </c>
      <c r="E5799" s="7" t="s">
        <v>6295</v>
      </c>
      <c r="F5799" s="7" t="s">
        <v>6939</v>
      </c>
      <c r="G5799" s="7" t="s">
        <v>7150</v>
      </c>
      <c r="H5799" s="7" t="s">
        <v>7156</v>
      </c>
      <c r="I5799" s="7"/>
      <c r="J5799" s="10">
        <v>40330</v>
      </c>
      <c r="K5799" s="7" t="s">
        <v>7165</v>
      </c>
      <c r="L5799" s="7"/>
      <c r="M5799" s="7"/>
    </row>
    <row r="5800" spans="1:13" x14ac:dyDescent="0.3">
      <c r="A5800" s="7">
        <v>122016</v>
      </c>
      <c r="B5800" s="7" t="s">
        <v>5806</v>
      </c>
      <c r="C5800" s="7" t="s">
        <v>7107</v>
      </c>
      <c r="D5800" s="7" t="s">
        <v>6295</v>
      </c>
      <c r="E5800" s="7" t="s">
        <v>6940</v>
      </c>
      <c r="F5800" s="7" t="s">
        <v>6986</v>
      </c>
      <c r="G5800" s="7" t="s">
        <v>7150</v>
      </c>
      <c r="H5800" s="7" t="s">
        <v>7156</v>
      </c>
      <c r="I5800" s="7"/>
      <c r="J5800" s="10">
        <v>43868</v>
      </c>
      <c r="K5800" s="7" t="s">
        <v>7165</v>
      </c>
      <c r="L5800" s="7"/>
      <c r="M5800" s="7"/>
    </row>
    <row r="5801" spans="1:13" x14ac:dyDescent="0.3">
      <c r="A5801" s="7">
        <v>14558</v>
      </c>
      <c r="B5801" s="7" t="s">
        <v>5807</v>
      </c>
      <c r="C5801" s="7" t="s">
        <v>7107</v>
      </c>
      <c r="D5801" s="7" t="s">
        <v>6295</v>
      </c>
      <c r="E5801" s="7" t="s">
        <v>6940</v>
      </c>
      <c r="F5801" s="7" t="s">
        <v>6979</v>
      </c>
      <c r="G5801" s="7" t="s">
        <v>7150</v>
      </c>
      <c r="H5801" s="7" t="s">
        <v>7156</v>
      </c>
      <c r="I5801" s="7"/>
      <c r="J5801" s="10">
        <v>44783</v>
      </c>
      <c r="K5801" s="7" t="s">
        <v>7165</v>
      </c>
      <c r="L5801" s="7"/>
      <c r="M5801" s="7"/>
    </row>
    <row r="5802" spans="1:13" x14ac:dyDescent="0.3">
      <c r="A5802" s="7">
        <v>17909</v>
      </c>
      <c r="B5802" s="7" t="s">
        <v>5808</v>
      </c>
      <c r="C5802" s="7" t="s">
        <v>7107</v>
      </c>
      <c r="D5802" s="7" t="s">
        <v>6295</v>
      </c>
      <c r="E5802" s="7" t="s">
        <v>6940</v>
      </c>
      <c r="F5802" s="7" t="s">
        <v>6949</v>
      </c>
      <c r="G5802" s="7" t="s">
        <v>7150</v>
      </c>
      <c r="H5802" s="7" t="s">
        <v>7156</v>
      </c>
      <c r="I5802" s="7"/>
      <c r="J5802" s="10">
        <v>45911</v>
      </c>
      <c r="K5802" s="7" t="s">
        <v>7165</v>
      </c>
      <c r="L5802" s="7"/>
      <c r="M5802" s="7"/>
    </row>
    <row r="5803" spans="1:13" x14ac:dyDescent="0.3">
      <c r="A5803" s="7">
        <v>112015</v>
      </c>
      <c r="B5803" s="7" t="s">
        <v>5809</v>
      </c>
      <c r="C5803" s="7" t="s">
        <v>7107</v>
      </c>
      <c r="D5803" s="7" t="s">
        <v>6295</v>
      </c>
      <c r="E5803" s="7" t="s">
        <v>6951</v>
      </c>
      <c r="F5803" s="7" t="s">
        <v>6398</v>
      </c>
      <c r="G5803" s="7" t="s">
        <v>7150</v>
      </c>
      <c r="H5803" s="7" t="s">
        <v>7156</v>
      </c>
      <c r="I5803" s="7"/>
      <c r="J5803" s="10">
        <v>43678</v>
      </c>
      <c r="K5803" s="7" t="s">
        <v>7165</v>
      </c>
      <c r="L5803" s="7"/>
      <c r="M5803" s="7"/>
    </row>
    <row r="5804" spans="1:13" x14ac:dyDescent="0.3">
      <c r="A5804" s="7">
        <v>810002</v>
      </c>
      <c r="B5804" s="7" t="s">
        <v>5810</v>
      </c>
      <c r="C5804" s="7" t="s">
        <v>7108</v>
      </c>
      <c r="D5804" s="7" t="s">
        <v>6295</v>
      </c>
      <c r="E5804" s="7" t="s">
        <v>6295</v>
      </c>
      <c r="F5804" s="7" t="s">
        <v>6939</v>
      </c>
      <c r="G5804" s="7" t="s">
        <v>7150</v>
      </c>
      <c r="H5804" s="7" t="s">
        <v>7156</v>
      </c>
      <c r="I5804" s="7"/>
      <c r="J5804" s="10">
        <v>37537</v>
      </c>
      <c r="K5804" s="7" t="s">
        <v>7165</v>
      </c>
      <c r="L5804" s="7"/>
      <c r="M5804" s="7"/>
    </row>
    <row r="5805" spans="1:13" x14ac:dyDescent="0.3">
      <c r="A5805" s="7">
        <v>810016</v>
      </c>
      <c r="B5805" s="7" t="s">
        <v>5811</v>
      </c>
      <c r="C5805" s="7" t="s">
        <v>7108</v>
      </c>
      <c r="D5805" s="7" t="s">
        <v>6295</v>
      </c>
      <c r="E5805" s="7" t="s">
        <v>6940</v>
      </c>
      <c r="F5805" s="7" t="s">
        <v>6941</v>
      </c>
      <c r="G5805" s="7" t="s">
        <v>7150</v>
      </c>
      <c r="H5805" s="7" t="s">
        <v>7156</v>
      </c>
      <c r="I5805" s="7"/>
      <c r="J5805" s="10">
        <v>42635</v>
      </c>
      <c r="K5805" s="7" t="s">
        <v>7165</v>
      </c>
      <c r="L5805" s="7"/>
      <c r="M5805" s="7"/>
    </row>
    <row r="5806" spans="1:13" x14ac:dyDescent="0.3">
      <c r="A5806" s="7">
        <v>810009</v>
      </c>
      <c r="B5806" s="7" t="s">
        <v>5812</v>
      </c>
      <c r="C5806" s="7" t="s">
        <v>7108</v>
      </c>
      <c r="D5806" s="7" t="s">
        <v>6295</v>
      </c>
      <c r="E5806" s="7" t="s">
        <v>6940</v>
      </c>
      <c r="F5806" s="7" t="s">
        <v>6991</v>
      </c>
      <c r="G5806" s="7" t="s">
        <v>7150</v>
      </c>
      <c r="H5806" s="7" t="s">
        <v>7156</v>
      </c>
      <c r="I5806" s="7"/>
      <c r="J5806" s="10">
        <v>40492</v>
      </c>
      <c r="K5806" s="7" t="s">
        <v>7165</v>
      </c>
      <c r="L5806" s="7"/>
      <c r="M5806" s="7"/>
    </row>
    <row r="5807" spans="1:13" x14ac:dyDescent="0.3">
      <c r="A5807" s="7">
        <v>810015</v>
      </c>
      <c r="B5807" s="7" t="s">
        <v>5813</v>
      </c>
      <c r="C5807" s="7" t="s">
        <v>7108</v>
      </c>
      <c r="D5807" s="7" t="s">
        <v>6295</v>
      </c>
      <c r="E5807" s="7" t="s">
        <v>6940</v>
      </c>
      <c r="F5807" s="7" t="s">
        <v>6992</v>
      </c>
      <c r="G5807" s="7" t="s">
        <v>7150</v>
      </c>
      <c r="H5807" s="7" t="s">
        <v>7156</v>
      </c>
      <c r="I5807" s="7"/>
      <c r="J5807" s="10">
        <v>42594</v>
      </c>
      <c r="K5807" s="7" t="s">
        <v>7165</v>
      </c>
      <c r="L5807" s="7"/>
      <c r="M5807" s="7"/>
    </row>
    <row r="5808" spans="1:13" x14ac:dyDescent="0.3">
      <c r="A5808" s="7">
        <v>810004</v>
      </c>
      <c r="B5808" s="7" t="s">
        <v>5814</v>
      </c>
      <c r="C5808" s="7" t="s">
        <v>7108</v>
      </c>
      <c r="D5808" s="7" t="s">
        <v>6295</v>
      </c>
      <c r="E5808" s="7" t="s">
        <v>6940</v>
      </c>
      <c r="F5808" s="7" t="s">
        <v>6980</v>
      </c>
      <c r="G5808" s="7" t="s">
        <v>7150</v>
      </c>
      <c r="H5808" s="7" t="s">
        <v>7156</v>
      </c>
      <c r="I5808" s="7"/>
      <c r="J5808" s="10">
        <v>41079</v>
      </c>
      <c r="K5808" s="7" t="s">
        <v>7165</v>
      </c>
      <c r="L5808" s="7"/>
      <c r="M5808" s="7"/>
    </row>
    <row r="5809" spans="1:13" x14ac:dyDescent="0.3">
      <c r="A5809" s="7">
        <v>810020</v>
      </c>
      <c r="B5809" s="7" t="s">
        <v>5815</v>
      </c>
      <c r="C5809" s="7" t="s">
        <v>7108</v>
      </c>
      <c r="D5809" s="7" t="s">
        <v>6295</v>
      </c>
      <c r="E5809" s="7" t="s">
        <v>6940</v>
      </c>
      <c r="F5809" s="7" t="s">
        <v>6980</v>
      </c>
      <c r="G5809" s="7" t="s">
        <v>7150</v>
      </c>
      <c r="H5809" s="7" t="s">
        <v>7156</v>
      </c>
      <c r="I5809" s="7"/>
      <c r="J5809" s="10">
        <v>43894</v>
      </c>
      <c r="K5809" s="7" t="s">
        <v>7165</v>
      </c>
      <c r="L5809" s="7"/>
      <c r="M5809" s="7"/>
    </row>
    <row r="5810" spans="1:13" x14ac:dyDescent="0.3">
      <c r="A5810" s="7">
        <v>810017</v>
      </c>
      <c r="B5810" s="7" t="s">
        <v>5816</v>
      </c>
      <c r="C5810" s="7" t="s">
        <v>7108</v>
      </c>
      <c r="D5810" s="7" t="s">
        <v>6295</v>
      </c>
      <c r="E5810" s="7" t="s">
        <v>6940</v>
      </c>
      <c r="F5810" s="7" t="s">
        <v>6980</v>
      </c>
      <c r="G5810" s="7" t="s">
        <v>7150</v>
      </c>
      <c r="H5810" s="7" t="s">
        <v>7156</v>
      </c>
      <c r="I5810" s="7"/>
      <c r="J5810" s="10">
        <v>42676</v>
      </c>
      <c r="K5810" s="7" t="s">
        <v>7165</v>
      </c>
      <c r="L5810" s="7"/>
      <c r="M5810" s="7"/>
    </row>
    <row r="5811" spans="1:13" x14ac:dyDescent="0.3">
      <c r="A5811" s="7">
        <v>14351</v>
      </c>
      <c r="B5811" s="7" t="s">
        <v>5817</v>
      </c>
      <c r="C5811" s="7" t="s">
        <v>7108</v>
      </c>
      <c r="D5811" s="7" t="s">
        <v>6295</v>
      </c>
      <c r="E5811" s="7" t="s">
        <v>6951</v>
      </c>
      <c r="F5811" s="7" t="s">
        <v>6398</v>
      </c>
      <c r="G5811" s="7" t="s">
        <v>7150</v>
      </c>
      <c r="H5811" s="7" t="s">
        <v>7156</v>
      </c>
      <c r="I5811" s="7"/>
      <c r="J5811" s="10">
        <v>44736</v>
      </c>
      <c r="K5811" s="7" t="s">
        <v>7165</v>
      </c>
      <c r="L5811" s="7"/>
      <c r="M5811" s="7"/>
    </row>
    <row r="5812" spans="1:13" x14ac:dyDescent="0.3">
      <c r="A5812" s="7">
        <v>420019</v>
      </c>
      <c r="B5812" s="7" t="s">
        <v>5818</v>
      </c>
      <c r="C5812" s="7" t="s">
        <v>7109</v>
      </c>
      <c r="D5812" s="7" t="s">
        <v>6295</v>
      </c>
      <c r="E5812" s="7" t="s">
        <v>6295</v>
      </c>
      <c r="F5812" s="7" t="s">
        <v>6335</v>
      </c>
      <c r="G5812" s="7" t="s">
        <v>7150</v>
      </c>
      <c r="H5812" s="7" t="s">
        <v>7156</v>
      </c>
      <c r="I5812" s="7"/>
      <c r="J5812" s="10">
        <v>36710</v>
      </c>
      <c r="K5812" s="7" t="s">
        <v>7165</v>
      </c>
      <c r="L5812" s="7"/>
      <c r="M5812" s="7"/>
    </row>
    <row r="5813" spans="1:13" x14ac:dyDescent="0.3">
      <c r="A5813" s="7">
        <v>12430</v>
      </c>
      <c r="B5813" s="7" t="s">
        <v>5819</v>
      </c>
      <c r="C5813" s="7" t="s">
        <v>7109</v>
      </c>
      <c r="D5813" s="7" t="s">
        <v>6295</v>
      </c>
      <c r="E5813" s="7" t="s">
        <v>6295</v>
      </c>
      <c r="F5813" s="7" t="s">
        <v>6939</v>
      </c>
      <c r="G5813" s="7" t="s">
        <v>7150</v>
      </c>
      <c r="H5813" s="7" t="s">
        <v>7156</v>
      </c>
      <c r="I5813" s="7"/>
      <c r="J5813" s="10">
        <v>43748</v>
      </c>
      <c r="K5813" s="7" t="s">
        <v>7165</v>
      </c>
      <c r="L5813" s="7"/>
      <c r="M5813" s="7"/>
    </row>
    <row r="5814" spans="1:13" x14ac:dyDescent="0.3">
      <c r="A5814" s="7">
        <v>420032</v>
      </c>
      <c r="B5814" s="7" t="s">
        <v>5820</v>
      </c>
      <c r="C5814" s="7" t="s">
        <v>7109</v>
      </c>
      <c r="D5814" s="7" t="s">
        <v>6295</v>
      </c>
      <c r="E5814" s="7" t="s">
        <v>6940</v>
      </c>
      <c r="F5814" s="7" t="s">
        <v>6991</v>
      </c>
      <c r="G5814" s="7" t="s">
        <v>7150</v>
      </c>
      <c r="H5814" s="7" t="s">
        <v>7156</v>
      </c>
      <c r="I5814" s="7"/>
      <c r="J5814" s="10">
        <v>42604</v>
      </c>
      <c r="K5814" s="7" t="s">
        <v>7165</v>
      </c>
      <c r="L5814" s="7"/>
      <c r="M5814" s="7"/>
    </row>
    <row r="5815" spans="1:13" x14ac:dyDescent="0.3">
      <c r="A5815" s="7">
        <v>420021</v>
      </c>
      <c r="B5815" s="7" t="s">
        <v>5821</v>
      </c>
      <c r="C5815" s="7" t="s">
        <v>7109</v>
      </c>
      <c r="D5815" s="7" t="s">
        <v>6295</v>
      </c>
      <c r="E5815" s="7" t="s">
        <v>6940</v>
      </c>
      <c r="F5815" s="7" t="s">
        <v>6991</v>
      </c>
      <c r="G5815" s="7" t="s">
        <v>7150</v>
      </c>
      <c r="H5815" s="7" t="s">
        <v>7156</v>
      </c>
      <c r="I5815" s="7"/>
      <c r="J5815" s="10">
        <v>36719</v>
      </c>
      <c r="K5815" s="7" t="s">
        <v>7165</v>
      </c>
      <c r="L5815" s="7"/>
      <c r="M5815" s="7"/>
    </row>
    <row r="5816" spans="1:13" x14ac:dyDescent="0.3">
      <c r="A5816" s="7">
        <v>15828</v>
      </c>
      <c r="B5816" s="7" t="s">
        <v>5822</v>
      </c>
      <c r="C5816" s="7" t="s">
        <v>7109</v>
      </c>
      <c r="D5816" s="7" t="s">
        <v>6295</v>
      </c>
      <c r="E5816" s="7" t="s">
        <v>6940</v>
      </c>
      <c r="F5816" s="7" t="s">
        <v>6943</v>
      </c>
      <c r="G5816" s="7" t="s">
        <v>7150</v>
      </c>
      <c r="H5816" s="7" t="s">
        <v>7156</v>
      </c>
      <c r="I5816" s="7"/>
      <c r="J5816" s="10">
        <v>45209</v>
      </c>
      <c r="K5816" s="7" t="s">
        <v>7165</v>
      </c>
      <c r="L5816" s="7"/>
      <c r="M5816" s="7"/>
    </row>
    <row r="5817" spans="1:13" x14ac:dyDescent="0.3">
      <c r="A5817" s="7">
        <v>18075</v>
      </c>
      <c r="B5817" s="7" t="s">
        <v>5823</v>
      </c>
      <c r="C5817" s="7" t="s">
        <v>7109</v>
      </c>
      <c r="D5817" s="7" t="s">
        <v>6295</v>
      </c>
      <c r="E5817" s="7" t="s">
        <v>6940</v>
      </c>
      <c r="F5817" s="7" t="s">
        <v>6949</v>
      </c>
      <c r="G5817" s="7" t="s">
        <v>7150</v>
      </c>
      <c r="H5817" s="7" t="s">
        <v>7156</v>
      </c>
      <c r="I5817" s="7"/>
      <c r="J5817" s="10">
        <v>45985</v>
      </c>
      <c r="K5817" s="7" t="s">
        <v>7165</v>
      </c>
      <c r="L5817" s="7"/>
      <c r="M5817" s="7"/>
    </row>
    <row r="5818" spans="1:13" x14ac:dyDescent="0.3">
      <c r="A5818" s="7">
        <v>11862</v>
      </c>
      <c r="B5818" s="7" t="s">
        <v>5824</v>
      </c>
      <c r="C5818" s="7" t="s">
        <v>7109</v>
      </c>
      <c r="D5818" s="7" t="s">
        <v>6295</v>
      </c>
      <c r="E5818" s="7" t="s">
        <v>6940</v>
      </c>
      <c r="F5818" s="7" t="s">
        <v>6561</v>
      </c>
      <c r="G5818" s="7" t="s">
        <v>7150</v>
      </c>
      <c r="H5818" s="7" t="s">
        <v>7156</v>
      </c>
      <c r="I5818" s="7"/>
      <c r="J5818" s="10">
        <v>43210</v>
      </c>
      <c r="K5818" s="7" t="s">
        <v>7165</v>
      </c>
      <c r="L5818" s="7"/>
      <c r="M5818" s="7"/>
    </row>
    <row r="5819" spans="1:13" x14ac:dyDescent="0.3">
      <c r="A5819" s="7">
        <v>10679</v>
      </c>
      <c r="B5819" s="7" t="s">
        <v>5825</v>
      </c>
      <c r="C5819" s="7" t="s">
        <v>7109</v>
      </c>
      <c r="D5819" s="7" t="s">
        <v>6295</v>
      </c>
      <c r="E5819" s="7" t="s">
        <v>6940</v>
      </c>
      <c r="F5819" s="7" t="s">
        <v>6561</v>
      </c>
      <c r="G5819" s="7" t="s">
        <v>7150</v>
      </c>
      <c r="H5819" s="7" t="s">
        <v>7156</v>
      </c>
      <c r="I5819" s="7"/>
      <c r="J5819" s="10">
        <v>41640</v>
      </c>
      <c r="K5819" s="7" t="s">
        <v>7165</v>
      </c>
      <c r="L5819" s="7"/>
      <c r="M5819" s="7"/>
    </row>
    <row r="5820" spans="1:13" x14ac:dyDescent="0.3">
      <c r="A5820" s="7">
        <v>830019</v>
      </c>
      <c r="B5820" s="7" t="s">
        <v>5826</v>
      </c>
      <c r="C5820" s="7" t="s">
        <v>7109</v>
      </c>
      <c r="D5820" s="7" t="s">
        <v>6295</v>
      </c>
      <c r="E5820" s="7" t="s">
        <v>6940</v>
      </c>
      <c r="F5820" s="7" t="s">
        <v>6498</v>
      </c>
      <c r="G5820" s="7" t="s">
        <v>7150</v>
      </c>
      <c r="H5820" s="7" t="s">
        <v>7156</v>
      </c>
      <c r="I5820" s="7"/>
      <c r="J5820" s="10">
        <v>42346</v>
      </c>
      <c r="K5820" s="7" t="s">
        <v>7165</v>
      </c>
      <c r="L5820" s="7"/>
      <c r="M5820" s="7"/>
    </row>
    <row r="5821" spans="1:13" x14ac:dyDescent="0.3">
      <c r="A5821" s="7">
        <v>420040</v>
      </c>
      <c r="B5821" s="7" t="s">
        <v>5827</v>
      </c>
      <c r="C5821" s="7" t="s">
        <v>7109</v>
      </c>
      <c r="D5821" s="7" t="s">
        <v>6295</v>
      </c>
      <c r="E5821" s="7" t="s">
        <v>6940</v>
      </c>
      <c r="F5821" s="7" t="s">
        <v>6980</v>
      </c>
      <c r="G5821" s="7" t="s">
        <v>7150</v>
      </c>
      <c r="H5821" s="7" t="s">
        <v>7156</v>
      </c>
      <c r="I5821" s="7"/>
      <c r="J5821" s="10">
        <v>43080</v>
      </c>
      <c r="K5821" s="7" t="s">
        <v>7165</v>
      </c>
      <c r="L5821" s="7"/>
      <c r="M5821" s="7"/>
    </row>
    <row r="5822" spans="1:13" x14ac:dyDescent="0.3">
      <c r="A5822" s="7">
        <v>810013</v>
      </c>
      <c r="B5822" s="7" t="s">
        <v>5828</v>
      </c>
      <c r="C5822" s="7" t="s">
        <v>7109</v>
      </c>
      <c r="D5822" s="7" t="s">
        <v>6295</v>
      </c>
      <c r="E5822" s="7" t="s">
        <v>6940</v>
      </c>
      <c r="F5822" s="7" t="s">
        <v>6980</v>
      </c>
      <c r="G5822" s="7" t="s">
        <v>7150</v>
      </c>
      <c r="H5822" s="7" t="s">
        <v>7156</v>
      </c>
      <c r="I5822" s="7"/>
      <c r="J5822" s="10">
        <v>42219</v>
      </c>
      <c r="K5822" s="7" t="s">
        <v>7165</v>
      </c>
      <c r="L5822" s="7"/>
      <c r="M5822" s="7"/>
    </row>
    <row r="5823" spans="1:13" x14ac:dyDescent="0.3">
      <c r="A5823" s="7">
        <v>420042</v>
      </c>
      <c r="B5823" s="7" t="s">
        <v>5829</v>
      </c>
      <c r="C5823" s="7" t="s">
        <v>7109</v>
      </c>
      <c r="D5823" s="7" t="s">
        <v>6295</v>
      </c>
      <c r="E5823" s="7" t="s">
        <v>6940</v>
      </c>
      <c r="F5823" s="7" t="s">
        <v>6980</v>
      </c>
      <c r="G5823" s="7" t="s">
        <v>7150</v>
      </c>
      <c r="H5823" s="7" t="s">
        <v>7156</v>
      </c>
      <c r="I5823" s="7"/>
      <c r="J5823" s="10">
        <v>43173</v>
      </c>
      <c r="K5823" s="7" t="s">
        <v>7165</v>
      </c>
      <c r="L5823" s="7"/>
      <c r="M5823" s="7"/>
    </row>
    <row r="5824" spans="1:13" x14ac:dyDescent="0.3">
      <c r="A5824" s="7">
        <v>420022</v>
      </c>
      <c r="B5824" s="7" t="s">
        <v>5830</v>
      </c>
      <c r="C5824" s="7" t="s">
        <v>7109</v>
      </c>
      <c r="D5824" s="7" t="s">
        <v>6295</v>
      </c>
      <c r="E5824" s="7" t="s">
        <v>6940</v>
      </c>
      <c r="F5824" s="7" t="s">
        <v>6980</v>
      </c>
      <c r="G5824" s="7" t="s">
        <v>7150</v>
      </c>
      <c r="H5824" s="7" t="s">
        <v>7156</v>
      </c>
      <c r="I5824" s="7"/>
      <c r="J5824" s="10">
        <v>41913</v>
      </c>
      <c r="K5824" s="7" t="s">
        <v>7165</v>
      </c>
      <c r="L5824" s="7"/>
      <c r="M5824" s="7"/>
    </row>
    <row r="5825" spans="1:13" x14ac:dyDescent="0.3">
      <c r="A5825" s="7">
        <v>14765</v>
      </c>
      <c r="B5825" s="7" t="s">
        <v>5831</v>
      </c>
      <c r="C5825" s="7" t="s">
        <v>7109</v>
      </c>
      <c r="D5825" s="7" t="s">
        <v>6295</v>
      </c>
      <c r="E5825" s="7" t="s">
        <v>6940</v>
      </c>
      <c r="F5825" s="7" t="s">
        <v>6986</v>
      </c>
      <c r="G5825" s="7" t="s">
        <v>7152</v>
      </c>
      <c r="H5825" s="7" t="s">
        <v>7156</v>
      </c>
      <c r="I5825" s="7"/>
      <c r="J5825" s="10">
        <v>44852</v>
      </c>
      <c r="K5825" s="7" t="s">
        <v>7165</v>
      </c>
      <c r="L5825" s="7"/>
      <c r="M5825" s="7"/>
    </row>
    <row r="5826" spans="1:13" x14ac:dyDescent="0.3">
      <c r="A5826" s="7">
        <v>18081</v>
      </c>
      <c r="B5826" s="7" t="s">
        <v>5832</v>
      </c>
      <c r="C5826" s="7" t="s">
        <v>7109</v>
      </c>
      <c r="D5826" s="7" t="s">
        <v>6295</v>
      </c>
      <c r="E5826" s="7" t="s">
        <v>6940</v>
      </c>
      <c r="F5826" s="7" t="s">
        <v>7000</v>
      </c>
      <c r="G5826" s="7" t="s">
        <v>7150</v>
      </c>
      <c r="H5826" s="7" t="s">
        <v>7157</v>
      </c>
      <c r="I5826" s="7"/>
      <c r="J5826" s="10">
        <v>45987</v>
      </c>
      <c r="K5826" s="7" t="s">
        <v>7165</v>
      </c>
      <c r="L5826" s="7"/>
      <c r="M5826" s="7"/>
    </row>
    <row r="5827" spans="1:13" x14ac:dyDescent="0.3">
      <c r="A5827" s="7">
        <v>830033</v>
      </c>
      <c r="B5827" s="7" t="s">
        <v>5833</v>
      </c>
      <c r="C5827" s="7" t="s">
        <v>7109</v>
      </c>
      <c r="D5827" s="7" t="s">
        <v>6295</v>
      </c>
      <c r="E5827" s="7" t="s">
        <v>6940</v>
      </c>
      <c r="F5827" s="7" t="s">
        <v>6986</v>
      </c>
      <c r="G5827" s="7" t="s">
        <v>7150</v>
      </c>
      <c r="H5827" s="7" t="s">
        <v>7156</v>
      </c>
      <c r="I5827" s="7"/>
      <c r="J5827" s="10">
        <v>44383</v>
      </c>
      <c r="K5827" s="7" t="s">
        <v>7165</v>
      </c>
      <c r="L5827" s="7"/>
      <c r="M5827" s="7"/>
    </row>
    <row r="5828" spans="1:13" x14ac:dyDescent="0.3">
      <c r="A5828" s="7">
        <v>201004</v>
      </c>
      <c r="B5828" s="7" t="s">
        <v>5834</v>
      </c>
      <c r="C5828" s="7" t="s">
        <v>7109</v>
      </c>
      <c r="D5828" s="7" t="s">
        <v>6295</v>
      </c>
      <c r="E5828" s="7" t="s">
        <v>6940</v>
      </c>
      <c r="F5828" s="7" t="s">
        <v>6987</v>
      </c>
      <c r="G5828" s="7" t="s">
        <v>7150</v>
      </c>
      <c r="H5828" s="7" t="s">
        <v>7156</v>
      </c>
      <c r="I5828" s="7"/>
      <c r="J5828" s="10">
        <v>43745</v>
      </c>
      <c r="K5828" s="7" t="s">
        <v>7165</v>
      </c>
      <c r="L5828" s="7"/>
      <c r="M5828" s="7"/>
    </row>
    <row r="5829" spans="1:13" x14ac:dyDescent="0.3">
      <c r="A5829" s="7">
        <v>16645</v>
      </c>
      <c r="B5829" s="7" t="s">
        <v>5835</v>
      </c>
      <c r="C5829" s="7" t="s">
        <v>7109</v>
      </c>
      <c r="D5829" s="7" t="s">
        <v>6295</v>
      </c>
      <c r="E5829" s="7" t="s">
        <v>6940</v>
      </c>
      <c r="F5829" s="7" t="s">
        <v>7101</v>
      </c>
      <c r="G5829" s="7" t="s">
        <v>7150</v>
      </c>
      <c r="H5829" s="7" t="s">
        <v>7156</v>
      </c>
      <c r="I5829" s="7"/>
      <c r="J5829" s="10">
        <v>45509</v>
      </c>
      <c r="K5829" s="7" t="s">
        <v>7165</v>
      </c>
      <c r="L5829" s="7"/>
      <c r="M5829" s="7"/>
    </row>
    <row r="5830" spans="1:13" x14ac:dyDescent="0.3">
      <c r="A5830" s="7">
        <v>14192</v>
      </c>
      <c r="B5830" s="7" t="s">
        <v>5836</v>
      </c>
      <c r="C5830" s="7" t="s">
        <v>7109</v>
      </c>
      <c r="D5830" s="7" t="s">
        <v>6295</v>
      </c>
      <c r="E5830" s="7" t="s">
        <v>6940</v>
      </c>
      <c r="F5830" s="7" t="s">
        <v>6986</v>
      </c>
      <c r="G5830" s="7" t="s">
        <v>7150</v>
      </c>
      <c r="H5830" s="7" t="s">
        <v>7156</v>
      </c>
      <c r="I5830" s="7"/>
      <c r="J5830" s="10">
        <v>44697</v>
      </c>
      <c r="K5830" s="7" t="s">
        <v>7165</v>
      </c>
      <c r="L5830" s="7"/>
      <c r="M5830" s="7"/>
    </row>
    <row r="5831" spans="1:13" x14ac:dyDescent="0.3">
      <c r="A5831" s="7">
        <v>15542</v>
      </c>
      <c r="B5831" s="7" t="s">
        <v>5837</v>
      </c>
      <c r="C5831" s="7" t="s">
        <v>7109</v>
      </c>
      <c r="D5831" s="7" t="s">
        <v>6295</v>
      </c>
      <c r="E5831" s="7" t="s">
        <v>6940</v>
      </c>
      <c r="F5831" s="7" t="s">
        <v>6987</v>
      </c>
      <c r="G5831" s="7" t="s">
        <v>7150</v>
      </c>
      <c r="H5831" s="7" t="s">
        <v>7156</v>
      </c>
      <c r="I5831" s="7"/>
      <c r="J5831" s="10">
        <v>45120</v>
      </c>
      <c r="K5831" s="7" t="s">
        <v>7165</v>
      </c>
      <c r="L5831" s="7"/>
      <c r="M5831" s="7"/>
    </row>
    <row r="5832" spans="1:13" x14ac:dyDescent="0.3">
      <c r="A5832" s="7">
        <v>16094</v>
      </c>
      <c r="B5832" s="7" t="s">
        <v>5838</v>
      </c>
      <c r="C5832" s="7" t="s">
        <v>7109</v>
      </c>
      <c r="D5832" s="7" t="s">
        <v>6295</v>
      </c>
      <c r="E5832" s="7" t="s">
        <v>6940</v>
      </c>
      <c r="F5832" s="7" t="s">
        <v>6987</v>
      </c>
      <c r="G5832" s="7" t="s">
        <v>7150</v>
      </c>
      <c r="H5832" s="7" t="s">
        <v>7156</v>
      </c>
      <c r="I5832" s="7"/>
      <c r="J5832" s="10">
        <v>45282</v>
      </c>
      <c r="K5832" s="7" t="s">
        <v>7165</v>
      </c>
      <c r="L5832" s="7"/>
      <c r="M5832" s="7"/>
    </row>
    <row r="5833" spans="1:13" x14ac:dyDescent="0.3">
      <c r="A5833" s="7">
        <v>420045</v>
      </c>
      <c r="B5833" s="7" t="s">
        <v>5839</v>
      </c>
      <c r="C5833" s="7" t="s">
        <v>7109</v>
      </c>
      <c r="D5833" s="7" t="s">
        <v>6295</v>
      </c>
      <c r="E5833" s="7" t="s">
        <v>6940</v>
      </c>
      <c r="F5833" s="7" t="s">
        <v>6989</v>
      </c>
      <c r="G5833" s="7" t="s">
        <v>7151</v>
      </c>
      <c r="H5833" s="7" t="s">
        <v>7156</v>
      </c>
      <c r="I5833" s="7"/>
      <c r="J5833" s="10">
        <v>43515</v>
      </c>
      <c r="K5833" s="7" t="s">
        <v>7165</v>
      </c>
      <c r="L5833" s="7"/>
      <c r="M5833" s="7"/>
    </row>
    <row r="5834" spans="1:13" x14ac:dyDescent="0.3">
      <c r="A5834" s="7">
        <v>17270</v>
      </c>
      <c r="B5834" s="7" t="s">
        <v>5840</v>
      </c>
      <c r="C5834" s="7" t="s">
        <v>7109</v>
      </c>
      <c r="D5834" s="7" t="s">
        <v>6295</v>
      </c>
      <c r="E5834" s="7" t="s">
        <v>6940</v>
      </c>
      <c r="F5834" s="7" t="s">
        <v>7021</v>
      </c>
      <c r="G5834" s="7" t="s">
        <v>7150</v>
      </c>
      <c r="H5834" s="7" t="s">
        <v>7157</v>
      </c>
      <c r="I5834" s="7"/>
      <c r="J5834" s="10">
        <v>45694</v>
      </c>
      <c r="K5834" s="7" t="s">
        <v>7165</v>
      </c>
      <c r="L5834" s="7"/>
      <c r="M5834" s="7"/>
    </row>
    <row r="5835" spans="1:13" x14ac:dyDescent="0.3">
      <c r="A5835" s="7">
        <v>18485</v>
      </c>
      <c r="B5835" s="7" t="s">
        <v>5841</v>
      </c>
      <c r="C5835" s="7" t="s">
        <v>7109</v>
      </c>
      <c r="D5835" s="7" t="s">
        <v>6295</v>
      </c>
      <c r="E5835" s="7" t="s">
        <v>6940</v>
      </c>
      <c r="F5835" s="7" t="s">
        <v>6998</v>
      </c>
      <c r="G5835" s="7" t="s">
        <v>7150</v>
      </c>
      <c r="H5835" s="7" t="s">
        <v>7156</v>
      </c>
      <c r="I5835" s="7"/>
      <c r="J5835" s="10">
        <v>46140</v>
      </c>
      <c r="K5835" s="7" t="s">
        <v>7165</v>
      </c>
      <c r="L5835" s="7"/>
      <c r="M5835" s="7"/>
    </row>
    <row r="5836" spans="1:13" x14ac:dyDescent="0.3">
      <c r="A5836" s="7">
        <v>420049</v>
      </c>
      <c r="B5836" s="7" t="s">
        <v>5842</v>
      </c>
      <c r="C5836" s="7" t="s">
        <v>7109</v>
      </c>
      <c r="D5836" s="7" t="s">
        <v>6295</v>
      </c>
      <c r="E5836" s="7" t="s">
        <v>6951</v>
      </c>
      <c r="F5836" s="7" t="s">
        <v>6398</v>
      </c>
      <c r="G5836" s="7" t="s">
        <v>7150</v>
      </c>
      <c r="H5836" s="7" t="s">
        <v>7156</v>
      </c>
      <c r="I5836" s="7"/>
      <c r="J5836" s="10">
        <v>43864</v>
      </c>
      <c r="K5836" s="7" t="s">
        <v>7165</v>
      </c>
      <c r="L5836" s="7"/>
      <c r="M5836" s="7"/>
    </row>
    <row r="5837" spans="1:13" x14ac:dyDescent="0.3">
      <c r="A5837" s="7">
        <v>420058</v>
      </c>
      <c r="B5837" s="7" t="s">
        <v>5843</v>
      </c>
      <c r="C5837" s="7" t="s">
        <v>7109</v>
      </c>
      <c r="D5837" s="7" t="s">
        <v>6295</v>
      </c>
      <c r="E5837" s="7" t="s">
        <v>6951</v>
      </c>
      <c r="F5837" s="7" t="s">
        <v>6398</v>
      </c>
      <c r="G5837" s="7" t="s">
        <v>7150</v>
      </c>
      <c r="H5837" s="7" t="s">
        <v>7156</v>
      </c>
      <c r="I5837" s="7"/>
      <c r="J5837" s="10">
        <v>44636</v>
      </c>
      <c r="K5837" s="7" t="s">
        <v>7165</v>
      </c>
      <c r="L5837" s="7"/>
      <c r="M5837" s="7"/>
    </row>
    <row r="5838" spans="1:13" x14ac:dyDescent="0.3">
      <c r="A5838" s="7">
        <v>420051</v>
      </c>
      <c r="B5838" s="7" t="s">
        <v>5844</v>
      </c>
      <c r="C5838" s="7" t="s">
        <v>7109</v>
      </c>
      <c r="D5838" s="7" t="s">
        <v>6295</v>
      </c>
      <c r="E5838" s="7" t="s">
        <v>6994</v>
      </c>
      <c r="F5838" s="7" t="s">
        <v>6498</v>
      </c>
      <c r="G5838" s="7" t="s">
        <v>7150</v>
      </c>
      <c r="H5838" s="7" t="s">
        <v>7156</v>
      </c>
      <c r="I5838" s="7"/>
      <c r="J5838" s="10">
        <v>44446</v>
      </c>
      <c r="K5838" s="7" t="s">
        <v>7165</v>
      </c>
      <c r="L5838" s="7"/>
      <c r="M5838" s="7"/>
    </row>
    <row r="5839" spans="1:13" x14ac:dyDescent="0.3">
      <c r="A5839" s="7">
        <v>420055</v>
      </c>
      <c r="B5839" s="7" t="s">
        <v>5845</v>
      </c>
      <c r="C5839" s="7" t="s">
        <v>7109</v>
      </c>
      <c r="D5839" s="7" t="s">
        <v>6295</v>
      </c>
      <c r="E5839" s="7" t="s">
        <v>6994</v>
      </c>
      <c r="F5839" s="7" t="s">
        <v>6353</v>
      </c>
      <c r="G5839" s="7" t="s">
        <v>7150</v>
      </c>
      <c r="H5839" s="7" t="s">
        <v>7156</v>
      </c>
      <c r="I5839" s="7"/>
      <c r="J5839" s="10">
        <v>44516</v>
      </c>
      <c r="K5839" s="7" t="s">
        <v>7165</v>
      </c>
      <c r="L5839" s="7"/>
      <c r="M5839" s="7"/>
    </row>
    <row r="5840" spans="1:13" x14ac:dyDescent="0.3">
      <c r="A5840" s="7">
        <v>420046</v>
      </c>
      <c r="B5840" s="7" t="s">
        <v>5846</v>
      </c>
      <c r="C5840" s="7" t="s">
        <v>7109</v>
      </c>
      <c r="D5840" s="7" t="s">
        <v>6295</v>
      </c>
      <c r="E5840" s="7" t="s">
        <v>6994</v>
      </c>
      <c r="F5840" s="7" t="s">
        <v>6341</v>
      </c>
      <c r="G5840" s="7" t="s">
        <v>7150</v>
      </c>
      <c r="H5840" s="7" t="s">
        <v>7156</v>
      </c>
      <c r="I5840" s="7"/>
      <c r="J5840" s="10">
        <v>43732</v>
      </c>
      <c r="K5840" s="7" t="s">
        <v>7165</v>
      </c>
      <c r="L5840" s="7"/>
      <c r="M5840" s="7"/>
    </row>
    <row r="5841" spans="1:13" x14ac:dyDescent="0.3">
      <c r="A5841" s="7">
        <v>18020</v>
      </c>
      <c r="B5841" s="7" t="s">
        <v>5847</v>
      </c>
      <c r="C5841" s="7" t="s">
        <v>7109</v>
      </c>
      <c r="D5841" s="7" t="s">
        <v>6295</v>
      </c>
      <c r="E5841" s="7" t="s">
        <v>6994</v>
      </c>
      <c r="F5841" s="7" t="s">
        <v>6341</v>
      </c>
      <c r="G5841" s="7" t="s">
        <v>7150</v>
      </c>
      <c r="H5841" s="7" t="s">
        <v>7156</v>
      </c>
      <c r="I5841" s="7"/>
      <c r="J5841" s="10">
        <v>45965</v>
      </c>
      <c r="K5841" s="7" t="s">
        <v>7165</v>
      </c>
      <c r="L5841" s="7"/>
      <c r="M5841" s="7"/>
    </row>
    <row r="5842" spans="1:13" x14ac:dyDescent="0.3">
      <c r="A5842" s="7">
        <v>18614</v>
      </c>
      <c r="B5842" s="7" t="s">
        <v>5848</v>
      </c>
      <c r="C5842" s="7" t="s">
        <v>7109</v>
      </c>
      <c r="D5842" s="7" t="s">
        <v>6295</v>
      </c>
      <c r="E5842" s="7" t="s">
        <v>6994</v>
      </c>
      <c r="F5842" s="7" t="s">
        <v>6348</v>
      </c>
      <c r="G5842" s="7" t="s">
        <v>7150</v>
      </c>
      <c r="H5842" s="7" t="s">
        <v>7156</v>
      </c>
      <c r="I5842" s="7"/>
      <c r="J5842" s="10">
        <v>46174</v>
      </c>
      <c r="K5842" s="7" t="s">
        <v>7165</v>
      </c>
      <c r="L5842" s="7"/>
      <c r="M5842" s="7"/>
    </row>
    <row r="5843" spans="1:13" x14ac:dyDescent="0.3">
      <c r="A5843" s="7">
        <v>660036</v>
      </c>
      <c r="B5843" s="7" t="s">
        <v>5849</v>
      </c>
      <c r="C5843" s="7" t="s">
        <v>6295</v>
      </c>
      <c r="D5843" s="7" t="s">
        <v>7110</v>
      </c>
      <c r="E5843" s="7" t="s">
        <v>6295</v>
      </c>
      <c r="F5843" s="7" t="s">
        <v>6939</v>
      </c>
      <c r="G5843" s="7" t="s">
        <v>7150</v>
      </c>
      <c r="H5843" s="7" t="s">
        <v>7156</v>
      </c>
      <c r="I5843" s="7"/>
      <c r="J5843" s="10">
        <v>43076</v>
      </c>
      <c r="K5843" s="7" t="s">
        <v>7165</v>
      </c>
      <c r="L5843" s="7"/>
      <c r="M5843" s="7"/>
    </row>
    <row r="5844" spans="1:13" x14ac:dyDescent="0.3">
      <c r="A5844" s="7">
        <v>15790</v>
      </c>
      <c r="B5844" s="7" t="s">
        <v>5850</v>
      </c>
      <c r="C5844" s="7" t="s">
        <v>6295</v>
      </c>
      <c r="D5844" s="7" t="s">
        <v>7110</v>
      </c>
      <c r="E5844" s="7" t="s">
        <v>6940</v>
      </c>
      <c r="F5844" s="7" t="s">
        <v>6949</v>
      </c>
      <c r="G5844" s="7" t="s">
        <v>7150</v>
      </c>
      <c r="H5844" s="7" t="s">
        <v>7156</v>
      </c>
      <c r="I5844" s="7"/>
      <c r="J5844" s="10">
        <v>45195</v>
      </c>
      <c r="K5844" s="7" t="s">
        <v>7165</v>
      </c>
      <c r="L5844" s="7"/>
      <c r="M5844" s="7"/>
    </row>
    <row r="5845" spans="1:13" x14ac:dyDescent="0.3">
      <c r="A5845" s="7">
        <v>18962</v>
      </c>
      <c r="B5845" s="7" t="s">
        <v>5851</v>
      </c>
      <c r="C5845" s="7" t="s">
        <v>6295</v>
      </c>
      <c r="D5845" s="7" t="s">
        <v>7110</v>
      </c>
      <c r="E5845" s="7" t="s">
        <v>6940</v>
      </c>
      <c r="F5845" s="7" t="s">
        <v>6949</v>
      </c>
      <c r="G5845" s="7" t="s">
        <v>7150</v>
      </c>
      <c r="H5845" s="7" t="s">
        <v>7156</v>
      </c>
      <c r="I5845" s="7"/>
      <c r="J5845" s="10">
        <v>46251</v>
      </c>
      <c r="K5845" s="7" t="s">
        <v>7165</v>
      </c>
      <c r="L5845" s="7"/>
      <c r="M5845" s="7"/>
    </row>
    <row r="5846" spans="1:13" x14ac:dyDescent="0.3">
      <c r="A5846" s="7">
        <v>15632</v>
      </c>
      <c r="B5846" s="7" t="s">
        <v>5852</v>
      </c>
      <c r="C5846" s="7" t="s">
        <v>6295</v>
      </c>
      <c r="D5846" s="7" t="s">
        <v>7110</v>
      </c>
      <c r="E5846" s="7" t="s">
        <v>6940</v>
      </c>
      <c r="F5846" s="7" t="s">
        <v>6943</v>
      </c>
      <c r="G5846" s="7" t="s">
        <v>7150</v>
      </c>
      <c r="H5846" s="7" t="s">
        <v>7156</v>
      </c>
      <c r="I5846" s="7"/>
      <c r="J5846" s="10">
        <v>45147</v>
      </c>
      <c r="K5846" s="7" t="s">
        <v>7165</v>
      </c>
      <c r="L5846" s="7"/>
      <c r="M5846" s="7"/>
    </row>
    <row r="5847" spans="1:13" x14ac:dyDescent="0.3">
      <c r="A5847" s="7">
        <v>14101</v>
      </c>
      <c r="B5847" s="7" t="s">
        <v>5853</v>
      </c>
      <c r="C5847" s="7" t="s">
        <v>6295</v>
      </c>
      <c r="D5847" s="7" t="s">
        <v>7110</v>
      </c>
      <c r="E5847" s="7" t="s">
        <v>6940</v>
      </c>
      <c r="F5847" s="7" t="s">
        <v>6943</v>
      </c>
      <c r="G5847" s="7" t="s">
        <v>7150</v>
      </c>
      <c r="H5847" s="7" t="s">
        <v>7156</v>
      </c>
      <c r="I5847" s="7"/>
      <c r="J5847" s="10">
        <v>44658</v>
      </c>
      <c r="K5847" s="7" t="s">
        <v>7165</v>
      </c>
      <c r="L5847" s="7"/>
      <c r="M5847" s="7"/>
    </row>
    <row r="5848" spans="1:13" x14ac:dyDescent="0.3">
      <c r="A5848" s="7">
        <v>15957</v>
      </c>
      <c r="B5848" s="7" t="s">
        <v>5854</v>
      </c>
      <c r="C5848" s="7" t="s">
        <v>6295</v>
      </c>
      <c r="D5848" s="7" t="s">
        <v>7110</v>
      </c>
      <c r="E5848" s="7" t="s">
        <v>6940</v>
      </c>
      <c r="F5848" s="7" t="s">
        <v>6943</v>
      </c>
      <c r="G5848" s="7" t="s">
        <v>7150</v>
      </c>
      <c r="H5848" s="7" t="s">
        <v>7156</v>
      </c>
      <c r="I5848" s="7"/>
      <c r="J5848" s="10">
        <v>45250</v>
      </c>
      <c r="K5848" s="7" t="s">
        <v>7165</v>
      </c>
      <c r="L5848" s="7"/>
      <c r="M5848" s="7"/>
    </row>
    <row r="5849" spans="1:13" x14ac:dyDescent="0.3">
      <c r="A5849" s="7">
        <v>170027</v>
      </c>
      <c r="B5849" s="7" t="s">
        <v>5855</v>
      </c>
      <c r="C5849" s="7" t="s">
        <v>7111</v>
      </c>
      <c r="D5849" s="7" t="s">
        <v>6295</v>
      </c>
      <c r="E5849" s="7" t="s">
        <v>6295</v>
      </c>
      <c r="F5849" s="7" t="s">
        <v>6939</v>
      </c>
      <c r="G5849" s="7" t="s">
        <v>7150</v>
      </c>
      <c r="H5849" s="7" t="s">
        <v>7156</v>
      </c>
      <c r="I5849" s="7"/>
      <c r="J5849" s="10">
        <v>41899</v>
      </c>
      <c r="K5849" s="7" t="s">
        <v>7165</v>
      </c>
      <c r="L5849" s="7"/>
      <c r="M5849" s="7"/>
    </row>
    <row r="5850" spans="1:13" x14ac:dyDescent="0.3">
      <c r="A5850" s="7">
        <v>660002</v>
      </c>
      <c r="B5850" s="7" t="s">
        <v>5856</v>
      </c>
      <c r="C5850" s="7" t="s">
        <v>7111</v>
      </c>
      <c r="D5850" s="7" t="s">
        <v>6295</v>
      </c>
      <c r="E5850" s="7" t="s">
        <v>6940</v>
      </c>
      <c r="F5850" s="7" t="s">
        <v>6991</v>
      </c>
      <c r="G5850" s="7" t="s">
        <v>7150</v>
      </c>
      <c r="H5850" s="7" t="s">
        <v>7156</v>
      </c>
      <c r="I5850" s="7"/>
      <c r="J5850" s="10">
        <v>36710</v>
      </c>
      <c r="K5850" s="7" t="s">
        <v>7165</v>
      </c>
      <c r="L5850" s="7"/>
      <c r="M5850" s="7"/>
    </row>
    <row r="5851" spans="1:13" x14ac:dyDescent="0.3">
      <c r="A5851" s="7">
        <v>660009</v>
      </c>
      <c r="B5851" s="7" t="s">
        <v>5857</v>
      </c>
      <c r="C5851" s="7" t="s">
        <v>7111</v>
      </c>
      <c r="D5851" s="7" t="s">
        <v>6295</v>
      </c>
      <c r="E5851" s="7" t="s">
        <v>6940</v>
      </c>
      <c r="F5851" s="7" t="s">
        <v>6991</v>
      </c>
      <c r="G5851" s="7" t="s">
        <v>7150</v>
      </c>
      <c r="H5851" s="7" t="s">
        <v>7156</v>
      </c>
      <c r="I5851" s="7"/>
      <c r="J5851" s="10">
        <v>40163</v>
      </c>
      <c r="K5851" s="7" t="s">
        <v>7165</v>
      </c>
      <c r="L5851" s="7"/>
      <c r="M5851" s="7"/>
    </row>
    <row r="5852" spans="1:13" x14ac:dyDescent="0.3">
      <c r="A5852" s="7">
        <v>17949</v>
      </c>
      <c r="B5852" s="7" t="s">
        <v>5858</v>
      </c>
      <c r="C5852" s="7" t="s">
        <v>7111</v>
      </c>
      <c r="D5852" s="7" t="s">
        <v>6295</v>
      </c>
      <c r="E5852" s="7" t="s">
        <v>6940</v>
      </c>
      <c r="F5852" s="7" t="s">
        <v>6989</v>
      </c>
      <c r="G5852" s="7" t="s">
        <v>7150</v>
      </c>
      <c r="H5852" s="7" t="s">
        <v>7156</v>
      </c>
      <c r="I5852" s="7"/>
      <c r="J5852" s="10">
        <v>45933</v>
      </c>
      <c r="K5852" s="7" t="s">
        <v>7165</v>
      </c>
      <c r="L5852" s="7"/>
      <c r="M5852" s="7"/>
    </row>
    <row r="5853" spans="1:13" x14ac:dyDescent="0.3">
      <c r="A5853" s="7">
        <v>980019</v>
      </c>
      <c r="B5853" s="7" t="s">
        <v>5859</v>
      </c>
      <c r="C5853" s="7" t="s">
        <v>7111</v>
      </c>
      <c r="D5853" s="7" t="s">
        <v>6295</v>
      </c>
      <c r="E5853" s="7" t="s">
        <v>6940</v>
      </c>
      <c r="F5853" s="7" t="s">
        <v>6980</v>
      </c>
      <c r="G5853" s="7" t="s">
        <v>7150</v>
      </c>
      <c r="H5853" s="7" t="s">
        <v>7156</v>
      </c>
      <c r="I5853" s="7"/>
      <c r="J5853" s="10">
        <v>42858</v>
      </c>
      <c r="K5853" s="7" t="s">
        <v>7165</v>
      </c>
      <c r="L5853" s="7"/>
      <c r="M5853" s="7"/>
    </row>
    <row r="5854" spans="1:13" x14ac:dyDescent="0.3">
      <c r="A5854" s="7">
        <v>660039</v>
      </c>
      <c r="B5854" s="7" t="s">
        <v>5860</v>
      </c>
      <c r="C5854" s="7" t="s">
        <v>7111</v>
      </c>
      <c r="D5854" s="7" t="s">
        <v>6295</v>
      </c>
      <c r="E5854" s="7" t="s">
        <v>6940</v>
      </c>
      <c r="F5854" s="7" t="s">
        <v>6980</v>
      </c>
      <c r="G5854" s="7" t="s">
        <v>7150</v>
      </c>
      <c r="H5854" s="7" t="s">
        <v>7156</v>
      </c>
      <c r="I5854" s="7"/>
      <c r="J5854" s="10">
        <v>43675</v>
      </c>
      <c r="K5854" s="7" t="s">
        <v>7165</v>
      </c>
      <c r="L5854" s="7"/>
      <c r="M5854" s="7"/>
    </row>
    <row r="5855" spans="1:13" x14ac:dyDescent="0.3">
      <c r="A5855" s="7">
        <v>420047</v>
      </c>
      <c r="B5855" s="7" t="s">
        <v>5861</v>
      </c>
      <c r="C5855" s="7" t="s">
        <v>7111</v>
      </c>
      <c r="D5855" s="7" t="s">
        <v>6295</v>
      </c>
      <c r="E5855" s="7" t="s">
        <v>6940</v>
      </c>
      <c r="F5855" s="7" t="s">
        <v>6980</v>
      </c>
      <c r="G5855" s="7" t="s">
        <v>7151</v>
      </c>
      <c r="H5855" s="7" t="s">
        <v>7156</v>
      </c>
      <c r="I5855" s="7"/>
      <c r="J5855" s="10">
        <v>43756</v>
      </c>
      <c r="K5855" s="7" t="s">
        <v>7165</v>
      </c>
      <c r="L5855" s="7"/>
      <c r="M5855" s="7"/>
    </row>
    <row r="5856" spans="1:13" x14ac:dyDescent="0.3">
      <c r="A5856" s="7">
        <v>18100</v>
      </c>
      <c r="B5856" s="7" t="s">
        <v>5862</v>
      </c>
      <c r="C5856" s="7" t="s">
        <v>7111</v>
      </c>
      <c r="D5856" s="7" t="s">
        <v>6295</v>
      </c>
      <c r="E5856" s="7" t="s">
        <v>6940</v>
      </c>
      <c r="F5856" s="7" t="s">
        <v>7000</v>
      </c>
      <c r="G5856" s="7" t="s">
        <v>7150</v>
      </c>
      <c r="H5856" s="7" t="s">
        <v>7157</v>
      </c>
      <c r="I5856" s="7"/>
      <c r="J5856" s="10">
        <v>45994</v>
      </c>
      <c r="K5856" s="7" t="s">
        <v>7165</v>
      </c>
      <c r="L5856" s="7"/>
      <c r="M5856" s="7"/>
    </row>
    <row r="5857" spans="1:13" x14ac:dyDescent="0.3">
      <c r="A5857" s="7">
        <v>660020</v>
      </c>
      <c r="B5857" s="7" t="s">
        <v>5863</v>
      </c>
      <c r="C5857" s="7" t="s">
        <v>7111</v>
      </c>
      <c r="D5857" s="7" t="s">
        <v>6295</v>
      </c>
      <c r="E5857" s="7" t="s">
        <v>6940</v>
      </c>
      <c r="F5857" s="7" t="s">
        <v>6980</v>
      </c>
      <c r="G5857" s="7" t="s">
        <v>7150</v>
      </c>
      <c r="H5857" s="7" t="s">
        <v>7156</v>
      </c>
      <c r="I5857" s="7"/>
      <c r="J5857" s="10">
        <v>41933</v>
      </c>
      <c r="K5857" s="7" t="s">
        <v>7165</v>
      </c>
      <c r="L5857" s="7"/>
      <c r="M5857" s="7"/>
    </row>
    <row r="5858" spans="1:13" x14ac:dyDescent="0.3">
      <c r="A5858" s="7">
        <v>660033</v>
      </c>
      <c r="B5858" s="7" t="s">
        <v>5864</v>
      </c>
      <c r="C5858" s="7" t="s">
        <v>7111</v>
      </c>
      <c r="D5858" s="7" t="s">
        <v>6295</v>
      </c>
      <c r="E5858" s="7" t="s">
        <v>6940</v>
      </c>
      <c r="F5858" s="7" t="s">
        <v>6498</v>
      </c>
      <c r="G5858" s="7" t="s">
        <v>7150</v>
      </c>
      <c r="H5858" s="7" t="s">
        <v>7156</v>
      </c>
      <c r="I5858" s="7"/>
      <c r="J5858" s="10">
        <v>42936</v>
      </c>
      <c r="K5858" s="7" t="s">
        <v>7165</v>
      </c>
      <c r="L5858" s="7"/>
      <c r="M5858" s="7"/>
    </row>
    <row r="5859" spans="1:13" x14ac:dyDescent="0.3">
      <c r="A5859" s="7">
        <v>980016</v>
      </c>
      <c r="B5859" s="7" t="s">
        <v>5865</v>
      </c>
      <c r="C5859" s="7" t="s">
        <v>7111</v>
      </c>
      <c r="D5859" s="7" t="s">
        <v>6295</v>
      </c>
      <c r="E5859" s="7" t="s">
        <v>6940</v>
      </c>
      <c r="F5859" s="7" t="s">
        <v>6980</v>
      </c>
      <c r="G5859" s="7" t="s">
        <v>7150</v>
      </c>
      <c r="H5859" s="7" t="s">
        <v>7156</v>
      </c>
      <c r="I5859" s="7"/>
      <c r="J5859" s="10">
        <v>42858</v>
      </c>
      <c r="K5859" s="7" t="s">
        <v>7165</v>
      </c>
      <c r="L5859" s="7"/>
      <c r="M5859" s="7"/>
    </row>
    <row r="5860" spans="1:13" x14ac:dyDescent="0.3">
      <c r="A5860" s="7">
        <v>660025</v>
      </c>
      <c r="B5860" s="7" t="s">
        <v>5866</v>
      </c>
      <c r="C5860" s="7" t="s">
        <v>7111</v>
      </c>
      <c r="D5860" s="7" t="s">
        <v>6295</v>
      </c>
      <c r="E5860" s="7" t="s">
        <v>6940</v>
      </c>
      <c r="F5860" s="7" t="s">
        <v>6980</v>
      </c>
      <c r="G5860" s="7" t="s">
        <v>7150</v>
      </c>
      <c r="H5860" s="7" t="s">
        <v>7156</v>
      </c>
      <c r="I5860" s="7"/>
      <c r="J5860" s="10">
        <v>42193</v>
      </c>
      <c r="K5860" s="7" t="s">
        <v>7165</v>
      </c>
      <c r="L5860" s="7"/>
      <c r="M5860" s="7"/>
    </row>
    <row r="5861" spans="1:13" x14ac:dyDescent="0.3">
      <c r="A5861" s="7">
        <v>15068</v>
      </c>
      <c r="B5861" s="7" t="s">
        <v>5867</v>
      </c>
      <c r="C5861" s="7" t="s">
        <v>7111</v>
      </c>
      <c r="D5861" s="7" t="s">
        <v>6295</v>
      </c>
      <c r="E5861" s="7" t="s">
        <v>6940</v>
      </c>
      <c r="F5861" s="7" t="s">
        <v>6986</v>
      </c>
      <c r="G5861" s="7" t="s">
        <v>7150</v>
      </c>
      <c r="H5861" s="7" t="s">
        <v>7156</v>
      </c>
      <c r="I5861" s="7"/>
      <c r="J5861" s="10">
        <v>44937</v>
      </c>
      <c r="K5861" s="7" t="s">
        <v>7165</v>
      </c>
      <c r="L5861" s="7"/>
      <c r="M5861" s="7"/>
    </row>
    <row r="5862" spans="1:13" x14ac:dyDescent="0.3">
      <c r="A5862" s="7">
        <v>14153</v>
      </c>
      <c r="B5862" s="7" t="s">
        <v>5868</v>
      </c>
      <c r="C5862" s="7" t="s">
        <v>7111</v>
      </c>
      <c r="D5862" s="7" t="s">
        <v>6295</v>
      </c>
      <c r="E5862" s="7" t="s">
        <v>6940</v>
      </c>
      <c r="F5862" s="7" t="s">
        <v>6986</v>
      </c>
      <c r="G5862" s="7" t="s">
        <v>7150</v>
      </c>
      <c r="H5862" s="7" t="s">
        <v>7156</v>
      </c>
      <c r="I5862" s="7"/>
      <c r="J5862" s="10">
        <v>44676</v>
      </c>
      <c r="K5862" s="7" t="s">
        <v>7165</v>
      </c>
      <c r="L5862" s="7"/>
      <c r="M5862" s="7"/>
    </row>
    <row r="5863" spans="1:13" x14ac:dyDescent="0.3">
      <c r="A5863" s="7">
        <v>17330</v>
      </c>
      <c r="B5863" s="7" t="s">
        <v>5869</v>
      </c>
      <c r="C5863" s="7" t="s">
        <v>7111</v>
      </c>
      <c r="D5863" s="7" t="s">
        <v>6295</v>
      </c>
      <c r="E5863" s="7" t="s">
        <v>6940</v>
      </c>
      <c r="F5863" s="7" t="s">
        <v>6987</v>
      </c>
      <c r="G5863" s="7" t="s">
        <v>7150</v>
      </c>
      <c r="H5863" s="7" t="s">
        <v>7156</v>
      </c>
      <c r="I5863" s="7"/>
      <c r="J5863" s="10">
        <v>45709</v>
      </c>
      <c r="K5863" s="7" t="s">
        <v>7165</v>
      </c>
      <c r="L5863" s="7"/>
      <c r="M5863" s="7"/>
    </row>
    <row r="5864" spans="1:13" x14ac:dyDescent="0.3">
      <c r="A5864" s="7">
        <v>16963</v>
      </c>
      <c r="B5864" s="7" t="s">
        <v>5870</v>
      </c>
      <c r="C5864" s="7" t="s">
        <v>7111</v>
      </c>
      <c r="D5864" s="7" t="s">
        <v>6295</v>
      </c>
      <c r="E5864" s="7" t="s">
        <v>6940</v>
      </c>
      <c r="F5864" s="7" t="s">
        <v>6987</v>
      </c>
      <c r="G5864" s="7" t="s">
        <v>7150</v>
      </c>
      <c r="H5864" s="7" t="s">
        <v>7156</v>
      </c>
      <c r="I5864" s="7"/>
      <c r="J5864" s="10">
        <v>45579</v>
      </c>
      <c r="K5864" s="7" t="s">
        <v>7165</v>
      </c>
      <c r="L5864" s="7"/>
      <c r="M5864" s="7"/>
    </row>
    <row r="5865" spans="1:13" x14ac:dyDescent="0.3">
      <c r="A5865" s="7">
        <v>18624</v>
      </c>
      <c r="B5865" s="7" t="s">
        <v>5871</v>
      </c>
      <c r="C5865" s="7" t="s">
        <v>7111</v>
      </c>
      <c r="D5865" s="7" t="s">
        <v>6295</v>
      </c>
      <c r="E5865" s="7" t="s">
        <v>6940</v>
      </c>
      <c r="F5865" s="7" t="s">
        <v>7013</v>
      </c>
      <c r="G5865" s="7" t="s">
        <v>7150</v>
      </c>
      <c r="H5865" s="7" t="s">
        <v>7156</v>
      </c>
      <c r="I5865" s="7"/>
      <c r="J5865" s="10">
        <v>46176</v>
      </c>
      <c r="K5865" s="7" t="s">
        <v>7165</v>
      </c>
      <c r="L5865" s="7"/>
      <c r="M5865" s="7"/>
    </row>
    <row r="5866" spans="1:13" x14ac:dyDescent="0.3">
      <c r="A5866" s="7">
        <v>17950</v>
      </c>
      <c r="B5866" s="7" t="s">
        <v>5872</v>
      </c>
      <c r="C5866" s="7" t="s">
        <v>7111</v>
      </c>
      <c r="D5866" s="7" t="s">
        <v>6295</v>
      </c>
      <c r="E5866" s="7" t="s">
        <v>6940</v>
      </c>
      <c r="F5866" s="7" t="s">
        <v>6949</v>
      </c>
      <c r="G5866" s="7" t="s">
        <v>7150</v>
      </c>
      <c r="H5866" s="7" t="s">
        <v>7156</v>
      </c>
      <c r="I5866" s="7"/>
      <c r="J5866" s="10">
        <v>45936</v>
      </c>
      <c r="K5866" s="7" t="s">
        <v>7165</v>
      </c>
      <c r="L5866" s="7"/>
      <c r="M5866" s="7"/>
    </row>
    <row r="5867" spans="1:13" x14ac:dyDescent="0.3">
      <c r="A5867" s="7">
        <v>660015</v>
      </c>
      <c r="B5867" s="7" t="s">
        <v>5873</v>
      </c>
      <c r="C5867" s="7" t="s">
        <v>7111</v>
      </c>
      <c r="D5867" s="7" t="s">
        <v>6295</v>
      </c>
      <c r="E5867" s="7" t="s">
        <v>6951</v>
      </c>
      <c r="F5867" s="7" t="s">
        <v>6398</v>
      </c>
      <c r="G5867" s="7" t="s">
        <v>7150</v>
      </c>
      <c r="H5867" s="7" t="s">
        <v>7156</v>
      </c>
      <c r="I5867" s="7"/>
      <c r="J5867" s="10">
        <v>40392</v>
      </c>
      <c r="K5867" s="7" t="s">
        <v>7165</v>
      </c>
      <c r="L5867" s="7"/>
      <c r="M5867" s="7"/>
    </row>
    <row r="5868" spans="1:13" x14ac:dyDescent="0.3">
      <c r="A5868" s="7">
        <v>660027</v>
      </c>
      <c r="B5868" s="7" t="s">
        <v>5874</v>
      </c>
      <c r="C5868" s="7" t="s">
        <v>7111</v>
      </c>
      <c r="D5868" s="7" t="s">
        <v>6295</v>
      </c>
      <c r="E5868" s="7" t="s">
        <v>6994</v>
      </c>
      <c r="F5868" s="7" t="s">
        <v>6498</v>
      </c>
      <c r="G5868" s="7" t="s">
        <v>7150</v>
      </c>
      <c r="H5868" s="7" t="s">
        <v>7156</v>
      </c>
      <c r="I5868" s="7"/>
      <c r="J5868" s="10">
        <v>42276</v>
      </c>
      <c r="K5868" s="7" t="s">
        <v>7165</v>
      </c>
      <c r="L5868" s="7"/>
      <c r="M5868" s="7"/>
    </row>
    <row r="5869" spans="1:13" x14ac:dyDescent="0.3">
      <c r="A5869" s="7">
        <v>660050</v>
      </c>
      <c r="B5869" s="7" t="s">
        <v>5875</v>
      </c>
      <c r="C5869" s="7" t="s">
        <v>7111</v>
      </c>
      <c r="D5869" s="7" t="s">
        <v>6295</v>
      </c>
      <c r="E5869" s="7" t="s">
        <v>6994</v>
      </c>
      <c r="F5869" s="7" t="s">
        <v>6340</v>
      </c>
      <c r="G5869" s="7" t="s">
        <v>7150</v>
      </c>
      <c r="H5869" s="7" t="s">
        <v>7156</v>
      </c>
      <c r="I5869" s="7"/>
      <c r="J5869" s="10">
        <v>44606</v>
      </c>
      <c r="K5869" s="7" t="s">
        <v>7165</v>
      </c>
      <c r="L5869" s="7"/>
      <c r="M5869" s="7"/>
    </row>
    <row r="5870" spans="1:13" x14ac:dyDescent="0.3">
      <c r="A5870" s="7">
        <v>14660</v>
      </c>
      <c r="B5870" s="7" t="s">
        <v>5876</v>
      </c>
      <c r="C5870" s="7" t="s">
        <v>7111</v>
      </c>
      <c r="D5870" s="7" t="s">
        <v>6295</v>
      </c>
      <c r="E5870" s="7" t="s">
        <v>6994</v>
      </c>
      <c r="F5870" s="7" t="s">
        <v>6340</v>
      </c>
      <c r="G5870" s="7" t="s">
        <v>7150</v>
      </c>
      <c r="H5870" s="7" t="s">
        <v>7156</v>
      </c>
      <c r="I5870" s="7"/>
      <c r="J5870" s="10">
        <v>44816</v>
      </c>
      <c r="K5870" s="7" t="s">
        <v>7165</v>
      </c>
      <c r="L5870" s="7"/>
      <c r="M5870" s="7"/>
    </row>
    <row r="5871" spans="1:13" x14ac:dyDescent="0.3">
      <c r="A5871" s="7">
        <v>16953</v>
      </c>
      <c r="B5871" s="7" t="s">
        <v>5877</v>
      </c>
      <c r="C5871" s="7" t="s">
        <v>7111</v>
      </c>
      <c r="D5871" s="7" t="s">
        <v>6295</v>
      </c>
      <c r="E5871" s="7" t="s">
        <v>6994</v>
      </c>
      <c r="F5871" s="7" t="s">
        <v>6341</v>
      </c>
      <c r="G5871" s="7" t="s">
        <v>7150</v>
      </c>
      <c r="H5871" s="7" t="s">
        <v>7156</v>
      </c>
      <c r="I5871" s="7"/>
      <c r="J5871" s="10">
        <v>45575</v>
      </c>
      <c r="K5871" s="7" t="s">
        <v>7165</v>
      </c>
      <c r="L5871" s="7"/>
      <c r="M5871" s="7"/>
    </row>
    <row r="5872" spans="1:13" x14ac:dyDescent="0.3">
      <c r="A5872" s="7">
        <v>17455</v>
      </c>
      <c r="B5872" s="7" t="s">
        <v>5878</v>
      </c>
      <c r="C5872" s="7" t="s">
        <v>7111</v>
      </c>
      <c r="D5872" s="7" t="s">
        <v>6295</v>
      </c>
      <c r="E5872" s="7" t="s">
        <v>6994</v>
      </c>
      <c r="F5872" s="7" t="s">
        <v>6341</v>
      </c>
      <c r="G5872" s="7" t="s">
        <v>7150</v>
      </c>
      <c r="H5872" s="7" t="s">
        <v>7156</v>
      </c>
      <c r="I5872" s="7"/>
      <c r="J5872" s="10">
        <v>45761</v>
      </c>
      <c r="K5872" s="7" t="s">
        <v>7165</v>
      </c>
      <c r="L5872" s="7"/>
      <c r="M5872" s="7"/>
    </row>
    <row r="5873" spans="1:13" x14ac:dyDescent="0.3">
      <c r="A5873" s="7">
        <v>740017</v>
      </c>
      <c r="B5873" s="7" t="s">
        <v>5879</v>
      </c>
      <c r="C5873" s="7" t="s">
        <v>7112</v>
      </c>
      <c r="D5873" s="7" t="s">
        <v>6295</v>
      </c>
      <c r="E5873" s="7" t="s">
        <v>6295</v>
      </c>
      <c r="F5873" s="7" t="s">
        <v>6939</v>
      </c>
      <c r="G5873" s="7" t="s">
        <v>7150</v>
      </c>
      <c r="H5873" s="7" t="s">
        <v>7156</v>
      </c>
      <c r="I5873" s="7"/>
      <c r="J5873" s="10">
        <v>42038</v>
      </c>
      <c r="K5873" s="7" t="s">
        <v>7165</v>
      </c>
      <c r="L5873" s="7"/>
      <c r="M5873" s="7"/>
    </row>
    <row r="5874" spans="1:13" x14ac:dyDescent="0.3">
      <c r="A5874" s="7">
        <v>320023</v>
      </c>
      <c r="B5874" s="7" t="s">
        <v>5880</v>
      </c>
      <c r="C5874" s="7" t="s">
        <v>7112</v>
      </c>
      <c r="D5874" s="7" t="s">
        <v>6295</v>
      </c>
      <c r="E5874" s="7" t="s">
        <v>6940</v>
      </c>
      <c r="F5874" s="7" t="s">
        <v>6991</v>
      </c>
      <c r="G5874" s="7" t="s">
        <v>7150</v>
      </c>
      <c r="H5874" s="7" t="s">
        <v>7156</v>
      </c>
      <c r="I5874" s="7"/>
      <c r="J5874" s="10">
        <v>42811</v>
      </c>
      <c r="K5874" s="7" t="s">
        <v>7165</v>
      </c>
      <c r="L5874" s="7"/>
      <c r="M5874" s="7"/>
    </row>
    <row r="5875" spans="1:13" x14ac:dyDescent="0.3">
      <c r="A5875" s="7">
        <v>16402</v>
      </c>
      <c r="B5875" s="7" t="s">
        <v>5881</v>
      </c>
      <c r="C5875" s="7" t="s">
        <v>7112</v>
      </c>
      <c r="D5875" s="7" t="s">
        <v>6295</v>
      </c>
      <c r="E5875" s="7" t="s">
        <v>6940</v>
      </c>
      <c r="F5875" s="7" t="s">
        <v>6989</v>
      </c>
      <c r="G5875" s="7" t="s">
        <v>7150</v>
      </c>
      <c r="H5875" s="7" t="s">
        <v>7156</v>
      </c>
      <c r="I5875" s="7"/>
      <c r="J5875" s="10">
        <v>45370</v>
      </c>
      <c r="K5875" s="7" t="s">
        <v>7165</v>
      </c>
      <c r="L5875" s="7"/>
      <c r="M5875" s="7"/>
    </row>
    <row r="5876" spans="1:13" x14ac:dyDescent="0.3">
      <c r="A5876" s="7">
        <v>320019</v>
      </c>
      <c r="B5876" s="7" t="s">
        <v>5882</v>
      </c>
      <c r="C5876" s="7" t="s">
        <v>7112</v>
      </c>
      <c r="D5876" s="7" t="s">
        <v>6295</v>
      </c>
      <c r="E5876" s="7" t="s">
        <v>6940</v>
      </c>
      <c r="F5876" s="7" t="s">
        <v>6980</v>
      </c>
      <c r="G5876" s="7" t="s">
        <v>7150</v>
      </c>
      <c r="H5876" s="7" t="s">
        <v>7156</v>
      </c>
      <c r="I5876" s="7"/>
      <c r="J5876" s="10">
        <v>39419</v>
      </c>
      <c r="K5876" s="7" t="s">
        <v>7165</v>
      </c>
      <c r="L5876" s="7"/>
      <c r="M5876" s="7"/>
    </row>
    <row r="5877" spans="1:13" x14ac:dyDescent="0.3">
      <c r="A5877" s="7">
        <v>320013</v>
      </c>
      <c r="B5877" s="7" t="s">
        <v>5883</v>
      </c>
      <c r="C5877" s="7" t="s">
        <v>7112</v>
      </c>
      <c r="D5877" s="7" t="s">
        <v>6295</v>
      </c>
      <c r="E5877" s="7" t="s">
        <v>6940</v>
      </c>
      <c r="F5877" s="7" t="s">
        <v>6980</v>
      </c>
      <c r="G5877" s="7" t="s">
        <v>7150</v>
      </c>
      <c r="H5877" s="7" t="s">
        <v>7156</v>
      </c>
      <c r="I5877" s="7"/>
      <c r="J5877" s="10">
        <v>40954</v>
      </c>
      <c r="K5877" s="7" t="s">
        <v>7165</v>
      </c>
      <c r="L5877" s="7"/>
      <c r="M5877" s="7"/>
    </row>
    <row r="5878" spans="1:13" x14ac:dyDescent="0.3">
      <c r="A5878" s="7">
        <v>610024</v>
      </c>
      <c r="B5878" s="7" t="s">
        <v>5884</v>
      </c>
      <c r="C5878" s="7" t="s">
        <v>7112</v>
      </c>
      <c r="D5878" s="7" t="s">
        <v>6295</v>
      </c>
      <c r="E5878" s="7" t="s">
        <v>6940</v>
      </c>
      <c r="F5878" s="7" t="s">
        <v>6980</v>
      </c>
      <c r="G5878" s="7" t="s">
        <v>7150</v>
      </c>
      <c r="H5878" s="7" t="s">
        <v>7156</v>
      </c>
      <c r="I5878" s="7"/>
      <c r="J5878" s="10">
        <v>42695</v>
      </c>
      <c r="K5878" s="7" t="s">
        <v>7165</v>
      </c>
      <c r="L5878" s="7"/>
      <c r="M5878" s="7"/>
    </row>
    <row r="5879" spans="1:13" x14ac:dyDescent="0.3">
      <c r="A5879" s="7">
        <v>300126</v>
      </c>
      <c r="B5879" s="7" t="s">
        <v>5885</v>
      </c>
      <c r="C5879" s="7" t="s">
        <v>7112</v>
      </c>
      <c r="D5879" s="7" t="s">
        <v>6295</v>
      </c>
      <c r="E5879" s="7" t="s">
        <v>6940</v>
      </c>
      <c r="F5879" s="7" t="s">
        <v>6980</v>
      </c>
      <c r="G5879" s="7" t="s">
        <v>7150</v>
      </c>
      <c r="H5879" s="7" t="s">
        <v>7156</v>
      </c>
      <c r="I5879" s="7"/>
      <c r="J5879" s="10">
        <v>43165</v>
      </c>
      <c r="K5879" s="7" t="s">
        <v>7165</v>
      </c>
      <c r="L5879" s="7"/>
      <c r="M5879" s="7"/>
    </row>
    <row r="5880" spans="1:13" x14ac:dyDescent="0.3">
      <c r="A5880" s="7">
        <v>320029</v>
      </c>
      <c r="B5880" s="7" t="s">
        <v>5886</v>
      </c>
      <c r="C5880" s="7" t="s">
        <v>7112</v>
      </c>
      <c r="D5880" s="7" t="s">
        <v>6295</v>
      </c>
      <c r="E5880" s="7" t="s">
        <v>6940</v>
      </c>
      <c r="F5880" s="7" t="s">
        <v>6980</v>
      </c>
      <c r="G5880" s="7" t="s">
        <v>7150</v>
      </c>
      <c r="H5880" s="7" t="s">
        <v>7156</v>
      </c>
      <c r="I5880" s="7"/>
      <c r="J5880" s="10">
        <v>43612</v>
      </c>
      <c r="K5880" s="7" t="s">
        <v>7165</v>
      </c>
      <c r="L5880" s="7"/>
      <c r="M5880" s="7"/>
    </row>
    <row r="5881" spans="1:13" x14ac:dyDescent="0.3">
      <c r="A5881" s="7">
        <v>290043</v>
      </c>
      <c r="B5881" s="7" t="s">
        <v>5887</v>
      </c>
      <c r="C5881" s="7" t="s">
        <v>7112</v>
      </c>
      <c r="D5881" s="7" t="s">
        <v>6295</v>
      </c>
      <c r="E5881" s="7" t="s">
        <v>6940</v>
      </c>
      <c r="F5881" s="7" t="s">
        <v>6498</v>
      </c>
      <c r="G5881" s="7" t="s">
        <v>7150</v>
      </c>
      <c r="H5881" s="7" t="s">
        <v>7156</v>
      </c>
      <c r="I5881" s="7"/>
      <c r="J5881" s="10">
        <v>42545</v>
      </c>
      <c r="K5881" s="7" t="s">
        <v>7165</v>
      </c>
      <c r="L5881" s="7"/>
      <c r="M5881" s="7"/>
    </row>
    <row r="5882" spans="1:13" x14ac:dyDescent="0.3">
      <c r="A5882" s="7">
        <v>320027</v>
      </c>
      <c r="B5882" s="7" t="s">
        <v>5888</v>
      </c>
      <c r="C5882" s="7" t="s">
        <v>7112</v>
      </c>
      <c r="D5882" s="7" t="s">
        <v>6295</v>
      </c>
      <c r="E5882" s="7" t="s">
        <v>6940</v>
      </c>
      <c r="F5882" s="7" t="s">
        <v>6980</v>
      </c>
      <c r="G5882" s="7" t="s">
        <v>7150</v>
      </c>
      <c r="H5882" s="7" t="s">
        <v>7156</v>
      </c>
      <c r="I5882" s="7"/>
      <c r="J5882" s="10">
        <v>43346</v>
      </c>
      <c r="K5882" s="7" t="s">
        <v>7165</v>
      </c>
      <c r="L5882" s="7"/>
      <c r="M5882" s="7"/>
    </row>
    <row r="5883" spans="1:13" x14ac:dyDescent="0.3">
      <c r="A5883" s="7">
        <v>320022</v>
      </c>
      <c r="B5883" s="7" t="s">
        <v>5889</v>
      </c>
      <c r="C5883" s="7" t="s">
        <v>7112</v>
      </c>
      <c r="D5883" s="7" t="s">
        <v>6295</v>
      </c>
      <c r="E5883" s="7" t="s">
        <v>6940</v>
      </c>
      <c r="F5883" s="7" t="s">
        <v>6980</v>
      </c>
      <c r="G5883" s="7" t="s">
        <v>7150</v>
      </c>
      <c r="H5883" s="7" t="s">
        <v>7156</v>
      </c>
      <c r="I5883" s="7"/>
      <c r="J5883" s="10">
        <v>42780</v>
      </c>
      <c r="K5883" s="7" t="s">
        <v>7165</v>
      </c>
      <c r="L5883" s="7"/>
      <c r="M5883" s="7"/>
    </row>
    <row r="5884" spans="1:13" x14ac:dyDescent="0.3">
      <c r="A5884" s="7">
        <v>320031</v>
      </c>
      <c r="B5884" s="7" t="s">
        <v>5890</v>
      </c>
      <c r="C5884" s="7" t="s">
        <v>7112</v>
      </c>
      <c r="D5884" s="7" t="s">
        <v>6295</v>
      </c>
      <c r="E5884" s="7" t="s">
        <v>6940</v>
      </c>
      <c r="F5884" s="7" t="s">
        <v>6987</v>
      </c>
      <c r="G5884" s="7" t="s">
        <v>7150</v>
      </c>
      <c r="H5884" s="7" t="s">
        <v>7156</v>
      </c>
      <c r="I5884" s="7"/>
      <c r="J5884" s="10">
        <v>44466</v>
      </c>
      <c r="K5884" s="7" t="s">
        <v>7165</v>
      </c>
      <c r="L5884" s="7"/>
      <c r="M5884" s="7"/>
    </row>
    <row r="5885" spans="1:13" x14ac:dyDescent="0.3">
      <c r="A5885" s="7">
        <v>17913</v>
      </c>
      <c r="B5885" s="7" t="s">
        <v>5891</v>
      </c>
      <c r="C5885" s="7" t="s">
        <v>7112</v>
      </c>
      <c r="D5885" s="7" t="s">
        <v>6295</v>
      </c>
      <c r="E5885" s="7" t="s">
        <v>6940</v>
      </c>
      <c r="F5885" s="7" t="s">
        <v>6987</v>
      </c>
      <c r="G5885" s="7" t="s">
        <v>7150</v>
      </c>
      <c r="H5885" s="7" t="s">
        <v>7156</v>
      </c>
      <c r="I5885" s="7"/>
      <c r="J5885" s="10">
        <v>45915</v>
      </c>
      <c r="K5885" s="7" t="s">
        <v>7165</v>
      </c>
      <c r="L5885" s="7"/>
      <c r="M5885" s="7"/>
    </row>
    <row r="5886" spans="1:13" x14ac:dyDescent="0.3">
      <c r="A5886" s="7">
        <v>19124</v>
      </c>
      <c r="B5886" s="7" t="s">
        <v>5892</v>
      </c>
      <c r="C5886" s="7" t="s">
        <v>7112</v>
      </c>
      <c r="D5886" s="7" t="s">
        <v>6295</v>
      </c>
      <c r="E5886" s="7" t="s">
        <v>6940</v>
      </c>
      <c r="F5886" s="7" t="s">
        <v>7004</v>
      </c>
      <c r="G5886" s="7" t="s">
        <v>7150</v>
      </c>
      <c r="H5886" s="7" t="s">
        <v>7156</v>
      </c>
      <c r="I5886" s="7"/>
      <c r="J5886" s="10">
        <v>46273</v>
      </c>
      <c r="K5886" s="7" t="s">
        <v>7165</v>
      </c>
      <c r="L5886" s="7"/>
      <c r="M5886" s="7"/>
    </row>
    <row r="5887" spans="1:13" x14ac:dyDescent="0.3">
      <c r="A5887" s="7">
        <v>17106</v>
      </c>
      <c r="B5887" s="7" t="s">
        <v>5893</v>
      </c>
      <c r="C5887" s="7" t="s">
        <v>7112</v>
      </c>
      <c r="D5887" s="7" t="s">
        <v>6295</v>
      </c>
      <c r="E5887" s="7" t="s">
        <v>6940</v>
      </c>
      <c r="F5887" s="7" t="s">
        <v>7047</v>
      </c>
      <c r="G5887" s="7" t="s">
        <v>7150</v>
      </c>
      <c r="H5887" s="7" t="s">
        <v>7156</v>
      </c>
      <c r="I5887" s="7"/>
      <c r="J5887" s="10">
        <v>45631</v>
      </c>
      <c r="K5887" s="7" t="s">
        <v>7165</v>
      </c>
      <c r="L5887" s="7"/>
      <c r="M5887" s="7"/>
    </row>
    <row r="5888" spans="1:13" x14ac:dyDescent="0.3">
      <c r="A5888" s="7">
        <v>290062</v>
      </c>
      <c r="B5888" s="7" t="s">
        <v>5894</v>
      </c>
      <c r="C5888" s="7" t="s">
        <v>7112</v>
      </c>
      <c r="D5888" s="7" t="s">
        <v>6295</v>
      </c>
      <c r="E5888" s="7" t="s">
        <v>6994</v>
      </c>
      <c r="F5888" s="7" t="s">
        <v>6353</v>
      </c>
      <c r="G5888" s="7" t="s">
        <v>7150</v>
      </c>
      <c r="H5888" s="7" t="s">
        <v>7156</v>
      </c>
      <c r="I5888" s="7"/>
      <c r="J5888" s="10">
        <v>44490</v>
      </c>
      <c r="K5888" s="7" t="s">
        <v>7165</v>
      </c>
      <c r="L5888" s="7"/>
      <c r="M5888" s="7"/>
    </row>
    <row r="5889" spans="1:13" x14ac:dyDescent="0.3">
      <c r="A5889" s="7">
        <v>16035</v>
      </c>
      <c r="B5889" s="7" t="s">
        <v>5895</v>
      </c>
      <c r="C5889" s="7" t="s">
        <v>7112</v>
      </c>
      <c r="D5889" s="7" t="s">
        <v>6295</v>
      </c>
      <c r="E5889" s="7" t="s">
        <v>6994</v>
      </c>
      <c r="F5889" s="7" t="s">
        <v>6341</v>
      </c>
      <c r="G5889" s="7" t="s">
        <v>7150</v>
      </c>
      <c r="H5889" s="7" t="s">
        <v>7156</v>
      </c>
      <c r="I5889" s="7"/>
      <c r="J5889" s="10">
        <v>45268</v>
      </c>
      <c r="K5889" s="7" t="s">
        <v>7165</v>
      </c>
      <c r="L5889" s="7"/>
      <c r="M5889" s="7"/>
    </row>
    <row r="5890" spans="1:13" x14ac:dyDescent="0.3">
      <c r="A5890" s="7">
        <v>18180</v>
      </c>
      <c r="B5890" s="7" t="s">
        <v>5896</v>
      </c>
      <c r="C5890" s="7" t="s">
        <v>7112</v>
      </c>
      <c r="D5890" s="7" t="s">
        <v>6295</v>
      </c>
      <c r="E5890" s="7" t="s">
        <v>6994</v>
      </c>
      <c r="F5890" s="7" t="s">
        <v>6348</v>
      </c>
      <c r="G5890" s="7" t="s">
        <v>7150</v>
      </c>
      <c r="H5890" s="7" t="s">
        <v>7156</v>
      </c>
      <c r="I5890" s="7"/>
      <c r="J5890" s="10">
        <v>46034</v>
      </c>
      <c r="K5890" s="7" t="s">
        <v>7165</v>
      </c>
      <c r="L5890" s="7"/>
      <c r="M5890" s="7"/>
    </row>
    <row r="5891" spans="1:13" x14ac:dyDescent="0.3">
      <c r="A5891" s="7">
        <v>18620</v>
      </c>
      <c r="B5891" s="7" t="s">
        <v>5897</v>
      </c>
      <c r="C5891" s="7" t="s">
        <v>7112</v>
      </c>
      <c r="D5891" s="7" t="s">
        <v>6295</v>
      </c>
      <c r="E5891" s="7" t="s">
        <v>6994</v>
      </c>
      <c r="F5891" s="7" t="s">
        <v>6348</v>
      </c>
      <c r="G5891" s="7" t="s">
        <v>7150</v>
      </c>
      <c r="H5891" s="7" t="s">
        <v>7156</v>
      </c>
      <c r="I5891" s="7"/>
      <c r="J5891" s="10">
        <v>46174</v>
      </c>
      <c r="K5891" s="7" t="s">
        <v>7165</v>
      </c>
      <c r="L5891" s="7"/>
      <c r="M5891" s="7"/>
    </row>
    <row r="5892" spans="1:13" x14ac:dyDescent="0.3">
      <c r="A5892" s="7">
        <v>16057</v>
      </c>
      <c r="B5892" s="7" t="s">
        <v>5898</v>
      </c>
      <c r="C5892" s="7" t="s">
        <v>7112</v>
      </c>
      <c r="D5892" s="7" t="s">
        <v>6295</v>
      </c>
      <c r="E5892" s="7" t="s">
        <v>6951</v>
      </c>
      <c r="F5892" s="7" t="s">
        <v>6398</v>
      </c>
      <c r="G5892" s="7" t="s">
        <v>7150</v>
      </c>
      <c r="H5892" s="7" t="s">
        <v>7156</v>
      </c>
      <c r="I5892" s="7"/>
      <c r="J5892" s="10">
        <v>45278</v>
      </c>
      <c r="K5892" s="7" t="s">
        <v>7165</v>
      </c>
      <c r="L5892" s="7"/>
      <c r="M5892" s="7"/>
    </row>
    <row r="5893" spans="1:13" x14ac:dyDescent="0.3">
      <c r="A5893" s="7">
        <v>15077</v>
      </c>
      <c r="B5893" s="7" t="s">
        <v>5899</v>
      </c>
      <c r="C5893" s="7" t="s">
        <v>7113</v>
      </c>
      <c r="D5893" s="7" t="s">
        <v>6295</v>
      </c>
      <c r="E5893" s="7" t="s">
        <v>6940</v>
      </c>
      <c r="F5893" s="7" t="s">
        <v>6943</v>
      </c>
      <c r="G5893" s="7" t="s">
        <v>7150</v>
      </c>
      <c r="H5893" s="7" t="s">
        <v>7156</v>
      </c>
      <c r="I5893" s="7"/>
      <c r="J5893" s="10">
        <v>44942</v>
      </c>
      <c r="K5893" s="7" t="s">
        <v>7165</v>
      </c>
      <c r="L5893" s="7"/>
      <c r="M5893" s="7"/>
    </row>
    <row r="5894" spans="1:13" x14ac:dyDescent="0.3">
      <c r="A5894" s="7">
        <v>610030</v>
      </c>
      <c r="B5894" s="7" t="s">
        <v>5900</v>
      </c>
      <c r="C5894" s="7" t="s">
        <v>7113</v>
      </c>
      <c r="D5894" s="7" t="s">
        <v>6295</v>
      </c>
      <c r="E5894" s="7" t="s">
        <v>6940</v>
      </c>
      <c r="F5894" s="7" t="s">
        <v>6991</v>
      </c>
      <c r="G5894" s="7" t="s">
        <v>7150</v>
      </c>
      <c r="H5894" s="7" t="s">
        <v>7156</v>
      </c>
      <c r="I5894" s="7"/>
      <c r="J5894" s="10">
        <v>44026</v>
      </c>
      <c r="K5894" s="7" t="s">
        <v>7165</v>
      </c>
      <c r="L5894" s="7"/>
      <c r="M5894" s="7"/>
    </row>
    <row r="5895" spans="1:13" x14ac:dyDescent="0.3">
      <c r="A5895" s="7">
        <v>610032</v>
      </c>
      <c r="B5895" s="7" t="s">
        <v>5901</v>
      </c>
      <c r="C5895" s="7" t="s">
        <v>7113</v>
      </c>
      <c r="D5895" s="7" t="s">
        <v>6295</v>
      </c>
      <c r="E5895" s="7" t="s">
        <v>6940</v>
      </c>
      <c r="F5895" s="7" t="s">
        <v>6992</v>
      </c>
      <c r="G5895" s="7" t="s">
        <v>7150</v>
      </c>
      <c r="H5895" s="7" t="s">
        <v>7156</v>
      </c>
      <c r="I5895" s="7"/>
      <c r="J5895" s="10">
        <v>44594</v>
      </c>
      <c r="K5895" s="7" t="s">
        <v>7165</v>
      </c>
      <c r="L5895" s="7"/>
      <c r="M5895" s="7"/>
    </row>
    <row r="5896" spans="1:13" x14ac:dyDescent="0.3">
      <c r="A5896" s="7">
        <v>610023</v>
      </c>
      <c r="B5896" s="7" t="s">
        <v>5902</v>
      </c>
      <c r="C5896" s="7" t="s">
        <v>7113</v>
      </c>
      <c r="D5896" s="7" t="s">
        <v>6295</v>
      </c>
      <c r="E5896" s="7" t="s">
        <v>6940</v>
      </c>
      <c r="F5896" s="7" t="s">
        <v>6980</v>
      </c>
      <c r="G5896" s="7" t="s">
        <v>7150</v>
      </c>
      <c r="H5896" s="7" t="s">
        <v>7156</v>
      </c>
      <c r="I5896" s="7"/>
      <c r="J5896" s="10">
        <v>42318</v>
      </c>
      <c r="K5896" s="7" t="s">
        <v>7165</v>
      </c>
      <c r="L5896" s="7"/>
      <c r="M5896" s="7"/>
    </row>
    <row r="5897" spans="1:13" x14ac:dyDescent="0.3">
      <c r="A5897" s="7">
        <v>540017</v>
      </c>
      <c r="B5897" s="7" t="s">
        <v>5903</v>
      </c>
      <c r="C5897" s="7" t="s">
        <v>7113</v>
      </c>
      <c r="D5897" s="7" t="s">
        <v>6295</v>
      </c>
      <c r="E5897" s="7" t="s">
        <v>6940</v>
      </c>
      <c r="F5897" s="7" t="s">
        <v>6980</v>
      </c>
      <c r="G5897" s="7" t="s">
        <v>7150</v>
      </c>
      <c r="H5897" s="7" t="s">
        <v>7156</v>
      </c>
      <c r="I5897" s="7"/>
      <c r="J5897" s="10">
        <v>41548</v>
      </c>
      <c r="K5897" s="7" t="s">
        <v>7165</v>
      </c>
      <c r="L5897" s="7"/>
      <c r="M5897" s="7"/>
    </row>
    <row r="5898" spans="1:13" x14ac:dyDescent="0.3">
      <c r="A5898" s="7">
        <v>610012</v>
      </c>
      <c r="B5898" s="7" t="s">
        <v>5904</v>
      </c>
      <c r="C5898" s="7" t="s">
        <v>7113</v>
      </c>
      <c r="D5898" s="7" t="s">
        <v>6295</v>
      </c>
      <c r="E5898" s="7" t="s">
        <v>6951</v>
      </c>
      <c r="F5898" s="7" t="s">
        <v>6398</v>
      </c>
      <c r="G5898" s="7" t="s">
        <v>7150</v>
      </c>
      <c r="H5898" s="7" t="s">
        <v>7156</v>
      </c>
      <c r="I5898" s="7"/>
      <c r="J5898" s="10">
        <v>41760</v>
      </c>
      <c r="K5898" s="7" t="s">
        <v>7165</v>
      </c>
      <c r="L5898" s="7"/>
      <c r="M5898" s="7"/>
    </row>
    <row r="5899" spans="1:13" x14ac:dyDescent="0.3">
      <c r="A5899" s="7">
        <v>690020</v>
      </c>
      <c r="B5899" s="7" t="s">
        <v>5905</v>
      </c>
      <c r="C5899" s="7" t="s">
        <v>7114</v>
      </c>
      <c r="D5899" s="7" t="s">
        <v>6295</v>
      </c>
      <c r="E5899" s="7" t="s">
        <v>6940</v>
      </c>
      <c r="F5899" s="7" t="s">
        <v>6980</v>
      </c>
      <c r="G5899" s="7" t="s">
        <v>7150</v>
      </c>
      <c r="H5899" s="7" t="s">
        <v>7156</v>
      </c>
      <c r="I5899" s="7"/>
      <c r="J5899" s="10">
        <v>42842</v>
      </c>
      <c r="K5899" s="7" t="s">
        <v>7165</v>
      </c>
      <c r="L5899" s="7"/>
      <c r="M5899" s="7"/>
    </row>
    <row r="5900" spans="1:13" x14ac:dyDescent="0.3">
      <c r="A5900" s="7">
        <v>690023</v>
      </c>
      <c r="B5900" s="7" t="s">
        <v>5906</v>
      </c>
      <c r="C5900" s="7" t="s">
        <v>7114</v>
      </c>
      <c r="D5900" s="7" t="s">
        <v>6295</v>
      </c>
      <c r="E5900" s="7" t="s">
        <v>6940</v>
      </c>
      <c r="F5900" s="7" t="s">
        <v>6980</v>
      </c>
      <c r="G5900" s="7" t="s">
        <v>7150</v>
      </c>
      <c r="H5900" s="7" t="s">
        <v>7156</v>
      </c>
      <c r="I5900" s="7"/>
      <c r="J5900" s="10">
        <v>43395</v>
      </c>
      <c r="K5900" s="7" t="s">
        <v>7165</v>
      </c>
      <c r="L5900" s="7"/>
      <c r="M5900" s="7"/>
    </row>
    <row r="5901" spans="1:13" x14ac:dyDescent="0.3">
      <c r="A5901" s="7">
        <v>460030</v>
      </c>
      <c r="B5901" s="7" t="s">
        <v>5907</v>
      </c>
      <c r="C5901" s="7" t="s">
        <v>7114</v>
      </c>
      <c r="D5901" s="7" t="s">
        <v>6295</v>
      </c>
      <c r="E5901" s="7" t="s">
        <v>6940</v>
      </c>
      <c r="F5901" s="7" t="s">
        <v>6980</v>
      </c>
      <c r="G5901" s="7" t="s">
        <v>7150</v>
      </c>
      <c r="H5901" s="7" t="s">
        <v>7156</v>
      </c>
      <c r="I5901" s="7"/>
      <c r="J5901" s="10">
        <v>43327</v>
      </c>
      <c r="K5901" s="7" t="s">
        <v>7165</v>
      </c>
      <c r="L5901" s="7"/>
      <c r="M5901" s="7"/>
    </row>
    <row r="5902" spans="1:13" x14ac:dyDescent="0.3">
      <c r="A5902" s="7">
        <v>690021</v>
      </c>
      <c r="B5902" s="7" t="s">
        <v>5908</v>
      </c>
      <c r="C5902" s="7" t="s">
        <v>7114</v>
      </c>
      <c r="D5902" s="7" t="s">
        <v>6295</v>
      </c>
      <c r="E5902" s="7" t="s">
        <v>6940</v>
      </c>
      <c r="F5902" s="7" t="s">
        <v>6980</v>
      </c>
      <c r="G5902" s="7" t="s">
        <v>7150</v>
      </c>
      <c r="H5902" s="7" t="s">
        <v>7156</v>
      </c>
      <c r="I5902" s="7"/>
      <c r="J5902" s="10">
        <v>43224</v>
      </c>
      <c r="K5902" s="7" t="s">
        <v>7165</v>
      </c>
      <c r="L5902" s="7"/>
      <c r="M5902" s="7"/>
    </row>
    <row r="5903" spans="1:13" x14ac:dyDescent="0.3">
      <c r="A5903" s="7">
        <v>17322</v>
      </c>
      <c r="B5903" s="7" t="s">
        <v>5909</v>
      </c>
      <c r="C5903" s="7" t="s">
        <v>7114</v>
      </c>
      <c r="D5903" s="7" t="s">
        <v>6295</v>
      </c>
      <c r="E5903" s="7" t="s">
        <v>6940</v>
      </c>
      <c r="F5903" s="7" t="s">
        <v>6987</v>
      </c>
      <c r="G5903" s="7" t="s">
        <v>7150</v>
      </c>
      <c r="H5903" s="7" t="s">
        <v>7156</v>
      </c>
      <c r="I5903" s="7"/>
      <c r="J5903" s="10">
        <v>45708</v>
      </c>
      <c r="K5903" s="7" t="s">
        <v>7165</v>
      </c>
      <c r="L5903" s="7"/>
      <c r="M5903" s="7"/>
    </row>
    <row r="5904" spans="1:13" x14ac:dyDescent="0.3">
      <c r="A5904" s="7">
        <v>18213</v>
      </c>
      <c r="B5904" s="7" t="s">
        <v>5910</v>
      </c>
      <c r="C5904" s="7" t="s">
        <v>7114</v>
      </c>
      <c r="D5904" s="7" t="s">
        <v>6295</v>
      </c>
      <c r="E5904" s="7" t="s">
        <v>6940</v>
      </c>
      <c r="F5904" s="7" t="s">
        <v>6989</v>
      </c>
      <c r="G5904" s="7" t="s">
        <v>7150</v>
      </c>
      <c r="H5904" s="7" t="s">
        <v>7156</v>
      </c>
      <c r="I5904" s="7"/>
      <c r="J5904" s="10">
        <v>46057</v>
      </c>
      <c r="K5904" s="7" t="s">
        <v>7165</v>
      </c>
      <c r="L5904" s="7"/>
      <c r="M5904" s="7"/>
    </row>
    <row r="5905" spans="1:13" x14ac:dyDescent="0.3">
      <c r="A5905" s="7">
        <v>18900</v>
      </c>
      <c r="B5905" s="7" t="s">
        <v>5911</v>
      </c>
      <c r="C5905" s="7" t="s">
        <v>7114</v>
      </c>
      <c r="D5905" s="7" t="s">
        <v>6295</v>
      </c>
      <c r="E5905" s="7" t="s">
        <v>6940</v>
      </c>
      <c r="F5905" s="7" t="s">
        <v>7035</v>
      </c>
      <c r="G5905" s="7" t="s">
        <v>7150</v>
      </c>
      <c r="H5905" s="7" t="s">
        <v>7156</v>
      </c>
      <c r="I5905" s="7"/>
      <c r="J5905" s="10">
        <v>46238</v>
      </c>
      <c r="K5905" s="7" t="s">
        <v>7165</v>
      </c>
      <c r="L5905" s="7"/>
      <c r="M5905" s="7"/>
    </row>
    <row r="5906" spans="1:13" x14ac:dyDescent="0.3">
      <c r="A5906" s="7">
        <v>690018</v>
      </c>
      <c r="B5906" s="7" t="s">
        <v>5912</v>
      </c>
      <c r="C5906" s="7" t="s">
        <v>7114</v>
      </c>
      <c r="D5906" s="7" t="s">
        <v>6295</v>
      </c>
      <c r="E5906" s="7" t="s">
        <v>6951</v>
      </c>
      <c r="F5906" s="7" t="s">
        <v>6398</v>
      </c>
      <c r="G5906" s="7" t="s">
        <v>7150</v>
      </c>
      <c r="H5906" s="7" t="s">
        <v>7156</v>
      </c>
      <c r="I5906" s="7"/>
      <c r="J5906" s="10">
        <v>42705</v>
      </c>
      <c r="K5906" s="7" t="s">
        <v>7165</v>
      </c>
      <c r="L5906" s="7"/>
      <c r="M5906" s="7"/>
    </row>
    <row r="5907" spans="1:13" x14ac:dyDescent="0.3">
      <c r="A5907" s="7">
        <v>530025</v>
      </c>
      <c r="B5907" s="7" t="s">
        <v>5913</v>
      </c>
      <c r="C5907" s="7" t="s">
        <v>7115</v>
      </c>
      <c r="D5907" s="7" t="s">
        <v>6295</v>
      </c>
      <c r="E5907" s="7" t="s">
        <v>6295</v>
      </c>
      <c r="F5907" s="7" t="s">
        <v>6939</v>
      </c>
      <c r="G5907" s="7" t="s">
        <v>7150</v>
      </c>
      <c r="H5907" s="7" t="s">
        <v>7156</v>
      </c>
      <c r="I5907" s="7"/>
      <c r="J5907" s="10">
        <v>44358</v>
      </c>
      <c r="K5907" s="7" t="s">
        <v>7165</v>
      </c>
      <c r="L5907" s="7"/>
      <c r="M5907" s="7"/>
    </row>
    <row r="5908" spans="1:13" x14ac:dyDescent="0.3">
      <c r="A5908" s="7">
        <v>740033</v>
      </c>
      <c r="B5908" s="7" t="s">
        <v>5914</v>
      </c>
      <c r="C5908" s="7" t="s">
        <v>7115</v>
      </c>
      <c r="D5908" s="7" t="s">
        <v>6295</v>
      </c>
      <c r="E5908" s="7" t="s">
        <v>6940</v>
      </c>
      <c r="F5908" s="7" t="s">
        <v>6991</v>
      </c>
      <c r="G5908" s="7" t="s">
        <v>7150</v>
      </c>
      <c r="H5908" s="7" t="s">
        <v>7156</v>
      </c>
      <c r="I5908" s="7"/>
      <c r="J5908" s="10">
        <v>43623</v>
      </c>
      <c r="K5908" s="7" t="s">
        <v>7165</v>
      </c>
      <c r="L5908" s="7"/>
      <c r="M5908" s="7"/>
    </row>
    <row r="5909" spans="1:13" x14ac:dyDescent="0.3">
      <c r="A5909" s="7">
        <v>530021</v>
      </c>
      <c r="B5909" s="7" t="s">
        <v>5915</v>
      </c>
      <c r="C5909" s="7" t="s">
        <v>7115</v>
      </c>
      <c r="D5909" s="7" t="s">
        <v>6295</v>
      </c>
      <c r="E5909" s="7" t="s">
        <v>6940</v>
      </c>
      <c r="F5909" s="7" t="s">
        <v>6980</v>
      </c>
      <c r="G5909" s="7" t="s">
        <v>7150</v>
      </c>
      <c r="H5909" s="7" t="s">
        <v>7156</v>
      </c>
      <c r="I5909" s="7"/>
      <c r="J5909" s="10">
        <v>43661</v>
      </c>
      <c r="K5909" s="7" t="s">
        <v>7165</v>
      </c>
      <c r="L5909" s="7"/>
      <c r="M5909" s="7"/>
    </row>
    <row r="5910" spans="1:13" x14ac:dyDescent="0.3">
      <c r="A5910" s="7">
        <v>740027</v>
      </c>
      <c r="B5910" s="7" t="s">
        <v>5916</v>
      </c>
      <c r="C5910" s="7" t="s">
        <v>7115</v>
      </c>
      <c r="D5910" s="7" t="s">
        <v>6295</v>
      </c>
      <c r="E5910" s="7" t="s">
        <v>6940</v>
      </c>
      <c r="F5910" s="7" t="s">
        <v>6980</v>
      </c>
      <c r="G5910" s="7" t="s">
        <v>7150</v>
      </c>
      <c r="H5910" s="7" t="s">
        <v>7156</v>
      </c>
      <c r="I5910" s="7"/>
      <c r="J5910" s="10">
        <v>42516</v>
      </c>
      <c r="K5910" s="7" t="s">
        <v>7165</v>
      </c>
      <c r="L5910" s="7"/>
      <c r="M5910" s="7"/>
    </row>
    <row r="5911" spans="1:13" x14ac:dyDescent="0.3">
      <c r="A5911" s="7">
        <v>260011</v>
      </c>
      <c r="B5911" s="7" t="s">
        <v>5917</v>
      </c>
      <c r="C5911" s="7" t="s">
        <v>7115</v>
      </c>
      <c r="D5911" s="7" t="s">
        <v>6295</v>
      </c>
      <c r="E5911" s="7" t="s">
        <v>6940</v>
      </c>
      <c r="F5911" s="7" t="s">
        <v>6980</v>
      </c>
      <c r="G5911" s="7" t="s">
        <v>7150</v>
      </c>
      <c r="H5911" s="7" t="s">
        <v>7156</v>
      </c>
      <c r="I5911" s="7"/>
      <c r="J5911" s="10">
        <v>42060</v>
      </c>
      <c r="K5911" s="7" t="s">
        <v>7165</v>
      </c>
      <c r="L5911" s="7"/>
      <c r="M5911" s="7"/>
    </row>
    <row r="5912" spans="1:13" x14ac:dyDescent="0.3">
      <c r="A5912" s="7">
        <v>740028</v>
      </c>
      <c r="B5912" s="7" t="s">
        <v>5918</v>
      </c>
      <c r="C5912" s="7" t="s">
        <v>7115</v>
      </c>
      <c r="D5912" s="7" t="s">
        <v>6295</v>
      </c>
      <c r="E5912" s="7" t="s">
        <v>6940</v>
      </c>
      <c r="F5912" s="7" t="s">
        <v>6986</v>
      </c>
      <c r="G5912" s="7" t="s">
        <v>7151</v>
      </c>
      <c r="H5912" s="7" t="s">
        <v>7156</v>
      </c>
      <c r="I5912" s="7"/>
      <c r="J5912" s="10">
        <v>42614</v>
      </c>
      <c r="K5912" s="7" t="s">
        <v>7165</v>
      </c>
      <c r="L5912" s="7"/>
      <c r="M5912" s="7"/>
    </row>
    <row r="5913" spans="1:13" x14ac:dyDescent="0.3">
      <c r="A5913" s="7">
        <v>14918</v>
      </c>
      <c r="B5913" s="7" t="s">
        <v>5919</v>
      </c>
      <c r="C5913" s="7" t="s">
        <v>7115</v>
      </c>
      <c r="D5913" s="7" t="s">
        <v>6295</v>
      </c>
      <c r="E5913" s="7" t="s">
        <v>6940</v>
      </c>
      <c r="F5913" s="7" t="s">
        <v>7000</v>
      </c>
      <c r="G5913" s="7" t="s">
        <v>7150</v>
      </c>
      <c r="H5913" s="7" t="s">
        <v>7157</v>
      </c>
      <c r="I5913" s="7"/>
      <c r="J5913" s="10">
        <v>44890</v>
      </c>
      <c r="K5913" s="7" t="s">
        <v>7165</v>
      </c>
      <c r="L5913" s="7"/>
      <c r="M5913" s="7"/>
    </row>
    <row r="5914" spans="1:13" x14ac:dyDescent="0.3">
      <c r="A5914" s="7">
        <v>18759</v>
      </c>
      <c r="B5914" s="7" t="s">
        <v>5920</v>
      </c>
      <c r="C5914" s="7" t="s">
        <v>7115</v>
      </c>
      <c r="D5914" s="7" t="s">
        <v>6295</v>
      </c>
      <c r="E5914" s="7" t="s">
        <v>6940</v>
      </c>
      <c r="F5914" s="7" t="s">
        <v>6998</v>
      </c>
      <c r="G5914" s="7" t="s">
        <v>7150</v>
      </c>
      <c r="H5914" s="7" t="s">
        <v>7156</v>
      </c>
      <c r="I5914" s="7"/>
      <c r="J5914" s="10">
        <v>46206</v>
      </c>
      <c r="K5914" s="7" t="s">
        <v>7165</v>
      </c>
      <c r="L5914" s="7"/>
      <c r="M5914" s="7"/>
    </row>
    <row r="5915" spans="1:13" x14ac:dyDescent="0.3">
      <c r="A5915" s="7">
        <v>740006</v>
      </c>
      <c r="B5915" s="7" t="s">
        <v>5921</v>
      </c>
      <c r="C5915" s="7" t="s">
        <v>7115</v>
      </c>
      <c r="D5915" s="7" t="s">
        <v>6295</v>
      </c>
      <c r="E5915" s="7" t="s">
        <v>6951</v>
      </c>
      <c r="F5915" s="7" t="s">
        <v>6398</v>
      </c>
      <c r="G5915" s="7" t="s">
        <v>7150</v>
      </c>
      <c r="H5915" s="7" t="s">
        <v>7156</v>
      </c>
      <c r="I5915" s="7"/>
      <c r="J5915" s="10">
        <v>40087</v>
      </c>
      <c r="K5915" s="7" t="s">
        <v>7165</v>
      </c>
      <c r="L5915" s="7"/>
      <c r="M5915" s="7"/>
    </row>
    <row r="5916" spans="1:13" x14ac:dyDescent="0.3">
      <c r="A5916" s="7">
        <v>510016</v>
      </c>
      <c r="B5916" s="7" t="s">
        <v>5922</v>
      </c>
      <c r="C5916" s="7" t="s">
        <v>7116</v>
      </c>
      <c r="D5916" s="7" t="s">
        <v>6295</v>
      </c>
      <c r="E5916" s="7" t="s">
        <v>6295</v>
      </c>
      <c r="F5916" s="7" t="s">
        <v>6939</v>
      </c>
      <c r="G5916" s="7" t="s">
        <v>7150</v>
      </c>
      <c r="H5916" s="7" t="s">
        <v>7156</v>
      </c>
      <c r="I5916" s="7"/>
      <c r="J5916" s="10">
        <v>41619</v>
      </c>
      <c r="K5916" s="7" t="s">
        <v>7165</v>
      </c>
      <c r="L5916" s="7"/>
      <c r="M5916" s="7"/>
    </row>
    <row r="5917" spans="1:13" x14ac:dyDescent="0.3">
      <c r="A5917" s="7">
        <v>640020</v>
      </c>
      <c r="B5917" s="7" t="s">
        <v>5923</v>
      </c>
      <c r="C5917" s="7" t="s">
        <v>7116</v>
      </c>
      <c r="D5917" s="7" t="s">
        <v>6295</v>
      </c>
      <c r="E5917" s="7" t="s">
        <v>6940</v>
      </c>
      <c r="F5917" s="7" t="s">
        <v>6943</v>
      </c>
      <c r="G5917" s="7" t="s">
        <v>7150</v>
      </c>
      <c r="H5917" s="7" t="s">
        <v>7156</v>
      </c>
      <c r="I5917" s="7"/>
      <c r="J5917" s="10">
        <v>42537</v>
      </c>
      <c r="K5917" s="7" t="s">
        <v>7165</v>
      </c>
      <c r="L5917" s="7"/>
      <c r="M5917" s="7"/>
    </row>
    <row r="5918" spans="1:13" x14ac:dyDescent="0.3">
      <c r="A5918" s="7">
        <v>680010</v>
      </c>
      <c r="B5918" s="7" t="s">
        <v>5924</v>
      </c>
      <c r="C5918" s="7" t="s">
        <v>7116</v>
      </c>
      <c r="D5918" s="7" t="s">
        <v>6295</v>
      </c>
      <c r="E5918" s="7" t="s">
        <v>6940</v>
      </c>
      <c r="F5918" s="7" t="s">
        <v>6943</v>
      </c>
      <c r="G5918" s="7" t="s">
        <v>7150</v>
      </c>
      <c r="H5918" s="7" t="s">
        <v>7156</v>
      </c>
      <c r="I5918" s="7"/>
      <c r="J5918" s="10">
        <v>41106</v>
      </c>
      <c r="K5918" s="7" t="s">
        <v>7165</v>
      </c>
      <c r="L5918" s="7"/>
      <c r="M5918" s="7"/>
    </row>
    <row r="5919" spans="1:13" x14ac:dyDescent="0.3">
      <c r="A5919" s="7">
        <v>640004</v>
      </c>
      <c r="B5919" s="7" t="s">
        <v>5925</v>
      </c>
      <c r="C5919" s="7" t="s">
        <v>7116</v>
      </c>
      <c r="D5919" s="7" t="s">
        <v>6295</v>
      </c>
      <c r="E5919" s="7" t="s">
        <v>6940</v>
      </c>
      <c r="F5919" s="7" t="s">
        <v>6991</v>
      </c>
      <c r="G5919" s="7" t="s">
        <v>7150</v>
      </c>
      <c r="H5919" s="7" t="s">
        <v>7156</v>
      </c>
      <c r="I5919" s="7"/>
      <c r="J5919" s="10">
        <v>39190</v>
      </c>
      <c r="K5919" s="7" t="s">
        <v>7165</v>
      </c>
      <c r="L5919" s="7"/>
      <c r="M5919" s="7"/>
    </row>
    <row r="5920" spans="1:13" x14ac:dyDescent="0.3">
      <c r="A5920" s="7">
        <v>730030</v>
      </c>
      <c r="B5920" s="7" t="s">
        <v>5926</v>
      </c>
      <c r="C5920" s="7" t="s">
        <v>7116</v>
      </c>
      <c r="D5920" s="7" t="s">
        <v>6295</v>
      </c>
      <c r="E5920" s="7" t="s">
        <v>6940</v>
      </c>
      <c r="F5920" s="7" t="s">
        <v>6980</v>
      </c>
      <c r="G5920" s="7" t="s">
        <v>7150</v>
      </c>
      <c r="H5920" s="7" t="s">
        <v>7156</v>
      </c>
      <c r="I5920" s="7"/>
      <c r="J5920" s="10">
        <v>42191</v>
      </c>
      <c r="K5920" s="7" t="s">
        <v>7165</v>
      </c>
      <c r="L5920" s="7"/>
      <c r="M5920" s="7"/>
    </row>
    <row r="5921" spans="1:13" x14ac:dyDescent="0.3">
      <c r="A5921" s="7">
        <v>640006</v>
      </c>
      <c r="B5921" s="7" t="s">
        <v>5927</v>
      </c>
      <c r="C5921" s="7" t="s">
        <v>7116</v>
      </c>
      <c r="D5921" s="7" t="s">
        <v>6295</v>
      </c>
      <c r="E5921" s="7" t="s">
        <v>6940</v>
      </c>
      <c r="F5921" s="7" t="s">
        <v>6980</v>
      </c>
      <c r="G5921" s="7" t="s">
        <v>7150</v>
      </c>
      <c r="H5921" s="7" t="s">
        <v>7156</v>
      </c>
      <c r="I5921" s="7"/>
      <c r="J5921" s="10">
        <v>40781</v>
      </c>
      <c r="K5921" s="7" t="s">
        <v>7165</v>
      </c>
      <c r="L5921" s="7"/>
      <c r="M5921" s="7"/>
    </row>
    <row r="5922" spans="1:13" x14ac:dyDescent="0.3">
      <c r="A5922" s="7">
        <v>207003</v>
      </c>
      <c r="B5922" s="7" t="s">
        <v>5928</v>
      </c>
      <c r="C5922" s="7" t="s">
        <v>7116</v>
      </c>
      <c r="D5922" s="7" t="s">
        <v>6295</v>
      </c>
      <c r="E5922" s="7" t="s">
        <v>6940</v>
      </c>
      <c r="F5922" s="7" t="s">
        <v>6980</v>
      </c>
      <c r="G5922" s="7" t="s">
        <v>7150</v>
      </c>
      <c r="H5922" s="7" t="s">
        <v>7156</v>
      </c>
      <c r="I5922" s="7"/>
      <c r="J5922" s="10">
        <v>43479</v>
      </c>
      <c r="K5922" s="7" t="s">
        <v>7165</v>
      </c>
      <c r="L5922" s="7"/>
      <c r="M5922" s="7"/>
    </row>
    <row r="5923" spans="1:13" x14ac:dyDescent="0.3">
      <c r="A5923" s="7">
        <v>14914</v>
      </c>
      <c r="B5923" s="7" t="s">
        <v>5929</v>
      </c>
      <c r="C5923" s="7" t="s">
        <v>7116</v>
      </c>
      <c r="D5923" s="7" t="s">
        <v>6295</v>
      </c>
      <c r="E5923" s="7" t="s">
        <v>6940</v>
      </c>
      <c r="F5923" s="7" t="s">
        <v>6986</v>
      </c>
      <c r="G5923" s="7" t="s">
        <v>7150</v>
      </c>
      <c r="H5923" s="7" t="s">
        <v>7156</v>
      </c>
      <c r="I5923" s="7"/>
      <c r="J5923" s="10">
        <v>44890</v>
      </c>
      <c r="K5923" s="7" t="s">
        <v>7165</v>
      </c>
      <c r="L5923" s="7"/>
      <c r="M5923" s="7"/>
    </row>
    <row r="5924" spans="1:13" x14ac:dyDescent="0.3">
      <c r="A5924" s="7">
        <v>18341</v>
      </c>
      <c r="B5924" s="7" t="s">
        <v>5930</v>
      </c>
      <c r="C5924" s="7" t="s">
        <v>7116</v>
      </c>
      <c r="D5924" s="7" t="s">
        <v>6295</v>
      </c>
      <c r="E5924" s="7" t="s">
        <v>6940</v>
      </c>
      <c r="F5924" s="7" t="s">
        <v>6998</v>
      </c>
      <c r="G5924" s="7" t="s">
        <v>7150</v>
      </c>
      <c r="H5924" s="7" t="s">
        <v>7156</v>
      </c>
      <c r="I5924" s="7"/>
      <c r="J5924" s="10">
        <v>46097</v>
      </c>
      <c r="K5924" s="7" t="s">
        <v>7165</v>
      </c>
      <c r="L5924" s="7"/>
      <c r="M5924" s="7"/>
    </row>
    <row r="5925" spans="1:13" x14ac:dyDescent="0.3">
      <c r="A5925" s="7">
        <v>640009</v>
      </c>
      <c r="B5925" s="7" t="s">
        <v>5931</v>
      </c>
      <c r="C5925" s="7" t="s">
        <v>7116</v>
      </c>
      <c r="D5925" s="7" t="s">
        <v>6295</v>
      </c>
      <c r="E5925" s="7" t="s">
        <v>6951</v>
      </c>
      <c r="F5925" s="7" t="s">
        <v>6398</v>
      </c>
      <c r="G5925" s="7" t="s">
        <v>7150</v>
      </c>
      <c r="H5925" s="7" t="s">
        <v>7156</v>
      </c>
      <c r="I5925" s="7"/>
      <c r="J5925" s="10">
        <v>38733</v>
      </c>
      <c r="K5925" s="7" t="s">
        <v>7165</v>
      </c>
      <c r="L5925" s="7"/>
      <c r="M5925" s="7"/>
    </row>
    <row r="5926" spans="1:13" x14ac:dyDescent="0.3">
      <c r="A5926" s="7">
        <v>670030</v>
      </c>
      <c r="B5926" s="7" t="s">
        <v>5932</v>
      </c>
      <c r="C5926" s="7" t="s">
        <v>7117</v>
      </c>
      <c r="D5926" s="7" t="s">
        <v>6295</v>
      </c>
      <c r="E5926" s="7" t="s">
        <v>6295</v>
      </c>
      <c r="F5926" s="7" t="s">
        <v>6939</v>
      </c>
      <c r="G5926" s="7" t="s">
        <v>7150</v>
      </c>
      <c r="H5926" s="7" t="s">
        <v>7156</v>
      </c>
      <c r="I5926" s="7"/>
      <c r="J5926" s="10">
        <v>42278</v>
      </c>
      <c r="K5926" s="7" t="s">
        <v>7165</v>
      </c>
      <c r="L5926" s="7"/>
      <c r="M5926" s="7"/>
    </row>
    <row r="5927" spans="1:13" x14ac:dyDescent="0.3">
      <c r="A5927" s="7">
        <v>470003</v>
      </c>
      <c r="B5927" s="7" t="s">
        <v>5933</v>
      </c>
      <c r="C5927" s="7" t="s">
        <v>7117</v>
      </c>
      <c r="D5927" s="7" t="s">
        <v>6295</v>
      </c>
      <c r="E5927" s="7" t="s">
        <v>6940</v>
      </c>
      <c r="F5927" s="7" t="s">
        <v>6991</v>
      </c>
      <c r="G5927" s="7" t="s">
        <v>7150</v>
      </c>
      <c r="H5927" s="7" t="s">
        <v>7156</v>
      </c>
      <c r="I5927" s="7"/>
      <c r="J5927" s="10">
        <v>38400</v>
      </c>
      <c r="K5927" s="7" t="s">
        <v>7165</v>
      </c>
      <c r="L5927" s="7"/>
      <c r="M5927" s="7"/>
    </row>
    <row r="5928" spans="1:13" x14ac:dyDescent="0.3">
      <c r="A5928" s="7">
        <v>15025</v>
      </c>
      <c r="B5928" s="7" t="s">
        <v>5934</v>
      </c>
      <c r="C5928" s="7" t="s">
        <v>7117</v>
      </c>
      <c r="D5928" s="7" t="s">
        <v>6295</v>
      </c>
      <c r="E5928" s="7" t="s">
        <v>6940</v>
      </c>
      <c r="F5928" s="7" t="s">
        <v>6949</v>
      </c>
      <c r="G5928" s="7" t="s">
        <v>7150</v>
      </c>
      <c r="H5928" s="7" t="s">
        <v>7156</v>
      </c>
      <c r="I5928" s="7"/>
      <c r="J5928" s="10">
        <v>44921</v>
      </c>
      <c r="K5928" s="7" t="s">
        <v>7165</v>
      </c>
      <c r="L5928" s="7"/>
      <c r="M5928" s="7"/>
    </row>
    <row r="5929" spans="1:13" x14ac:dyDescent="0.3">
      <c r="A5929" s="7">
        <v>470040</v>
      </c>
      <c r="B5929" s="7" t="s">
        <v>5935</v>
      </c>
      <c r="C5929" s="7" t="s">
        <v>7117</v>
      </c>
      <c r="D5929" s="7" t="s">
        <v>6295</v>
      </c>
      <c r="E5929" s="7" t="s">
        <v>6940</v>
      </c>
      <c r="F5929" s="7" t="s">
        <v>6980</v>
      </c>
      <c r="G5929" s="7" t="s">
        <v>7150</v>
      </c>
      <c r="H5929" s="7" t="s">
        <v>7156</v>
      </c>
      <c r="I5929" s="7"/>
      <c r="J5929" s="10">
        <v>43774</v>
      </c>
      <c r="K5929" s="7" t="s">
        <v>7165</v>
      </c>
      <c r="L5929" s="7"/>
      <c r="M5929" s="7"/>
    </row>
    <row r="5930" spans="1:13" x14ac:dyDescent="0.3">
      <c r="A5930" s="7">
        <v>470035</v>
      </c>
      <c r="B5930" s="7" t="s">
        <v>5936</v>
      </c>
      <c r="C5930" s="7" t="s">
        <v>7117</v>
      </c>
      <c r="D5930" s="7" t="s">
        <v>6295</v>
      </c>
      <c r="E5930" s="7" t="s">
        <v>6940</v>
      </c>
      <c r="F5930" s="7" t="s">
        <v>6980</v>
      </c>
      <c r="G5930" s="7" t="s">
        <v>7150</v>
      </c>
      <c r="H5930" s="7" t="s">
        <v>7156</v>
      </c>
      <c r="I5930" s="7"/>
      <c r="J5930" s="10">
        <v>42821</v>
      </c>
      <c r="K5930" s="7" t="s">
        <v>7165</v>
      </c>
      <c r="L5930" s="7"/>
      <c r="M5930" s="7"/>
    </row>
    <row r="5931" spans="1:13" x14ac:dyDescent="0.3">
      <c r="A5931" s="7">
        <v>470041</v>
      </c>
      <c r="B5931" s="7" t="s">
        <v>5937</v>
      </c>
      <c r="C5931" s="7" t="s">
        <v>7117</v>
      </c>
      <c r="D5931" s="7" t="s">
        <v>6295</v>
      </c>
      <c r="E5931" s="7" t="s">
        <v>6940</v>
      </c>
      <c r="F5931" s="7" t="s">
        <v>6980</v>
      </c>
      <c r="G5931" s="7" t="s">
        <v>7150</v>
      </c>
      <c r="H5931" s="7" t="s">
        <v>7156</v>
      </c>
      <c r="I5931" s="7"/>
      <c r="J5931" s="10">
        <v>43766</v>
      </c>
      <c r="K5931" s="7" t="s">
        <v>7165</v>
      </c>
      <c r="L5931" s="7"/>
      <c r="M5931" s="7"/>
    </row>
    <row r="5932" spans="1:13" x14ac:dyDescent="0.3">
      <c r="A5932" s="7">
        <v>470043</v>
      </c>
      <c r="B5932" s="7" t="s">
        <v>5938</v>
      </c>
      <c r="C5932" s="7" t="s">
        <v>7117</v>
      </c>
      <c r="D5932" s="7" t="s">
        <v>6295</v>
      </c>
      <c r="E5932" s="7" t="s">
        <v>6940</v>
      </c>
      <c r="F5932" s="7" t="s">
        <v>6980</v>
      </c>
      <c r="G5932" s="7" t="s">
        <v>7150</v>
      </c>
      <c r="H5932" s="7" t="s">
        <v>7156</v>
      </c>
      <c r="I5932" s="7"/>
      <c r="J5932" s="10">
        <v>44020</v>
      </c>
      <c r="K5932" s="7" t="s">
        <v>7165</v>
      </c>
      <c r="L5932" s="7"/>
      <c r="M5932" s="7"/>
    </row>
    <row r="5933" spans="1:13" x14ac:dyDescent="0.3">
      <c r="A5933" s="7">
        <v>730047</v>
      </c>
      <c r="B5933" s="7" t="s">
        <v>5939</v>
      </c>
      <c r="C5933" s="7" t="s">
        <v>7117</v>
      </c>
      <c r="D5933" s="7" t="s">
        <v>6295</v>
      </c>
      <c r="E5933" s="7" t="s">
        <v>6940</v>
      </c>
      <c r="F5933" s="7" t="s">
        <v>6980</v>
      </c>
      <c r="G5933" s="7" t="s">
        <v>7150</v>
      </c>
      <c r="H5933" s="7" t="s">
        <v>7156</v>
      </c>
      <c r="I5933" s="7"/>
      <c r="J5933" s="10">
        <v>44298</v>
      </c>
      <c r="K5933" s="7" t="s">
        <v>7165</v>
      </c>
      <c r="L5933" s="7"/>
      <c r="M5933" s="7"/>
    </row>
    <row r="5934" spans="1:13" x14ac:dyDescent="0.3">
      <c r="A5934" s="7">
        <v>470037</v>
      </c>
      <c r="B5934" s="7" t="s">
        <v>5940</v>
      </c>
      <c r="C5934" s="7" t="s">
        <v>7117</v>
      </c>
      <c r="D5934" s="7" t="s">
        <v>6295</v>
      </c>
      <c r="E5934" s="7" t="s">
        <v>6940</v>
      </c>
      <c r="F5934" s="7" t="s">
        <v>6980</v>
      </c>
      <c r="G5934" s="7" t="s">
        <v>7150</v>
      </c>
      <c r="H5934" s="7" t="s">
        <v>7156</v>
      </c>
      <c r="I5934" s="7"/>
      <c r="J5934" s="10">
        <v>43388</v>
      </c>
      <c r="K5934" s="7" t="s">
        <v>7165</v>
      </c>
      <c r="L5934" s="7"/>
      <c r="M5934" s="7"/>
    </row>
    <row r="5935" spans="1:13" x14ac:dyDescent="0.3">
      <c r="A5935" s="7">
        <v>470045</v>
      </c>
      <c r="B5935" s="7" t="s">
        <v>5941</v>
      </c>
      <c r="C5935" s="7" t="s">
        <v>7117</v>
      </c>
      <c r="D5935" s="7" t="s">
        <v>6295</v>
      </c>
      <c r="E5935" s="7" t="s">
        <v>6940</v>
      </c>
      <c r="F5935" s="7" t="s">
        <v>6980</v>
      </c>
      <c r="G5935" s="7" t="s">
        <v>7150</v>
      </c>
      <c r="H5935" s="7" t="s">
        <v>7156</v>
      </c>
      <c r="I5935" s="7"/>
      <c r="J5935" s="10">
        <v>44595</v>
      </c>
      <c r="K5935" s="7" t="s">
        <v>7165</v>
      </c>
      <c r="L5935" s="7"/>
      <c r="M5935" s="7"/>
    </row>
    <row r="5936" spans="1:13" x14ac:dyDescent="0.3">
      <c r="A5936" s="7">
        <v>14516</v>
      </c>
      <c r="B5936" s="7" t="s">
        <v>5942</v>
      </c>
      <c r="C5936" s="7" t="s">
        <v>7117</v>
      </c>
      <c r="D5936" s="7" t="s">
        <v>6295</v>
      </c>
      <c r="E5936" s="7" t="s">
        <v>6940</v>
      </c>
      <c r="F5936" s="7" t="s">
        <v>6986</v>
      </c>
      <c r="G5936" s="7" t="s">
        <v>7150</v>
      </c>
      <c r="H5936" s="7" t="s">
        <v>7156</v>
      </c>
      <c r="I5936" s="7"/>
      <c r="J5936" s="10">
        <v>44775</v>
      </c>
      <c r="K5936" s="7" t="s">
        <v>7165</v>
      </c>
      <c r="L5936" s="7"/>
      <c r="M5936" s="7"/>
    </row>
    <row r="5937" spans="1:13" x14ac:dyDescent="0.3">
      <c r="A5937" s="7">
        <v>17121</v>
      </c>
      <c r="B5937" s="7" t="s">
        <v>5943</v>
      </c>
      <c r="C5937" s="7" t="s">
        <v>7117</v>
      </c>
      <c r="D5937" s="7" t="s">
        <v>6295</v>
      </c>
      <c r="E5937" s="7" t="s">
        <v>6940</v>
      </c>
      <c r="F5937" s="7" t="s">
        <v>6987</v>
      </c>
      <c r="G5937" s="7" t="s">
        <v>7150</v>
      </c>
      <c r="H5937" s="7" t="s">
        <v>7156</v>
      </c>
      <c r="I5937" s="7"/>
      <c r="J5937" s="10">
        <v>45638</v>
      </c>
      <c r="K5937" s="7" t="s">
        <v>7165</v>
      </c>
      <c r="L5937" s="7"/>
      <c r="M5937" s="7"/>
    </row>
    <row r="5938" spans="1:13" x14ac:dyDescent="0.3">
      <c r="A5938" s="7">
        <v>17914</v>
      </c>
      <c r="B5938" s="7" t="s">
        <v>5944</v>
      </c>
      <c r="C5938" s="7" t="s">
        <v>7117</v>
      </c>
      <c r="D5938" s="7" t="s">
        <v>6295</v>
      </c>
      <c r="E5938" s="7" t="s">
        <v>6951</v>
      </c>
      <c r="F5938" s="7" t="s">
        <v>6398</v>
      </c>
      <c r="G5938" s="7" t="s">
        <v>7150</v>
      </c>
      <c r="H5938" s="7" t="s">
        <v>7156</v>
      </c>
      <c r="I5938" s="7"/>
      <c r="J5938" s="10">
        <v>45915</v>
      </c>
      <c r="K5938" s="7" t="s">
        <v>7165</v>
      </c>
      <c r="L5938" s="7"/>
      <c r="M5938" s="7"/>
    </row>
    <row r="5939" spans="1:13" x14ac:dyDescent="0.3">
      <c r="A5939" s="7">
        <v>12840</v>
      </c>
      <c r="B5939" s="7" t="s">
        <v>5945</v>
      </c>
      <c r="C5939" s="7" t="s">
        <v>7118</v>
      </c>
      <c r="D5939" s="7" t="s">
        <v>6295</v>
      </c>
      <c r="E5939" s="7" t="s">
        <v>6295</v>
      </c>
      <c r="F5939" s="7" t="s">
        <v>6939</v>
      </c>
      <c r="G5939" s="7" t="s">
        <v>7150</v>
      </c>
      <c r="H5939" s="7" t="s">
        <v>7156</v>
      </c>
      <c r="I5939" s="7"/>
      <c r="J5939" s="10">
        <v>44015</v>
      </c>
      <c r="K5939" s="7" t="s">
        <v>7165</v>
      </c>
      <c r="L5939" s="7"/>
      <c r="M5939" s="7"/>
    </row>
    <row r="5940" spans="1:13" x14ac:dyDescent="0.3">
      <c r="A5940" s="7">
        <v>690010</v>
      </c>
      <c r="B5940" s="7" t="s">
        <v>5946</v>
      </c>
      <c r="C5940" s="7" t="s">
        <v>7118</v>
      </c>
      <c r="D5940" s="7" t="s">
        <v>6295</v>
      </c>
      <c r="E5940" s="7" t="s">
        <v>6940</v>
      </c>
      <c r="F5940" s="7" t="s">
        <v>6991</v>
      </c>
      <c r="G5940" s="7" t="s">
        <v>7150</v>
      </c>
      <c r="H5940" s="7" t="s">
        <v>7156</v>
      </c>
      <c r="I5940" s="7"/>
      <c r="J5940" s="10">
        <v>39539</v>
      </c>
      <c r="K5940" s="7" t="s">
        <v>7165</v>
      </c>
      <c r="L5940" s="7"/>
      <c r="M5940" s="7"/>
    </row>
    <row r="5941" spans="1:13" x14ac:dyDescent="0.3">
      <c r="A5941" s="7">
        <v>460036</v>
      </c>
      <c r="B5941" s="7" t="s">
        <v>5947</v>
      </c>
      <c r="C5941" s="7" t="s">
        <v>7118</v>
      </c>
      <c r="D5941" s="7" t="s">
        <v>6295</v>
      </c>
      <c r="E5941" s="7" t="s">
        <v>6940</v>
      </c>
      <c r="F5941" s="7" t="s">
        <v>6991</v>
      </c>
      <c r="G5941" s="7" t="s">
        <v>7150</v>
      </c>
      <c r="H5941" s="7" t="s">
        <v>7156</v>
      </c>
      <c r="I5941" s="7"/>
      <c r="J5941" s="10">
        <v>43893</v>
      </c>
      <c r="K5941" s="7" t="s">
        <v>7165</v>
      </c>
      <c r="L5941" s="7"/>
      <c r="M5941" s="7"/>
    </row>
    <row r="5942" spans="1:13" x14ac:dyDescent="0.3">
      <c r="A5942" s="7">
        <v>460015</v>
      </c>
      <c r="B5942" s="7" t="s">
        <v>5948</v>
      </c>
      <c r="C5942" s="7" t="s">
        <v>7118</v>
      </c>
      <c r="D5942" s="7" t="s">
        <v>6295</v>
      </c>
      <c r="E5942" s="7" t="s">
        <v>6940</v>
      </c>
      <c r="F5942" s="7" t="s">
        <v>7004</v>
      </c>
      <c r="G5942" s="7" t="s">
        <v>7150</v>
      </c>
      <c r="H5942" s="7" t="s">
        <v>7156</v>
      </c>
      <c r="I5942" s="7"/>
      <c r="J5942" s="10">
        <v>37362</v>
      </c>
      <c r="K5942" s="7" t="s">
        <v>7165</v>
      </c>
      <c r="L5942" s="7"/>
      <c r="M5942" s="7"/>
    </row>
    <row r="5943" spans="1:13" x14ac:dyDescent="0.3">
      <c r="A5943" s="7">
        <v>17947</v>
      </c>
      <c r="B5943" s="7" t="s">
        <v>5949</v>
      </c>
      <c r="C5943" s="7" t="s">
        <v>7118</v>
      </c>
      <c r="D5943" s="7" t="s">
        <v>6295</v>
      </c>
      <c r="E5943" s="7" t="s">
        <v>6940</v>
      </c>
      <c r="F5943" s="7" t="s">
        <v>6989</v>
      </c>
      <c r="G5943" s="7" t="s">
        <v>7150</v>
      </c>
      <c r="H5943" s="7" t="s">
        <v>7156</v>
      </c>
      <c r="I5943" s="7"/>
      <c r="J5943" s="10">
        <v>45933</v>
      </c>
      <c r="K5943" s="7" t="s">
        <v>7165</v>
      </c>
      <c r="L5943" s="7"/>
      <c r="M5943" s="7"/>
    </row>
    <row r="5944" spans="1:13" x14ac:dyDescent="0.3">
      <c r="A5944" s="7">
        <v>300066</v>
      </c>
      <c r="B5944" s="7" t="s">
        <v>5950</v>
      </c>
      <c r="C5944" s="7" t="s">
        <v>7118</v>
      </c>
      <c r="D5944" s="7" t="s">
        <v>6295</v>
      </c>
      <c r="E5944" s="7" t="s">
        <v>6940</v>
      </c>
      <c r="F5944" s="7" t="s">
        <v>6980</v>
      </c>
      <c r="G5944" s="7" t="s">
        <v>7150</v>
      </c>
      <c r="H5944" s="7" t="s">
        <v>7156</v>
      </c>
      <c r="I5944" s="7"/>
      <c r="J5944" s="10">
        <v>42809</v>
      </c>
      <c r="K5944" s="7" t="s">
        <v>7165</v>
      </c>
      <c r="L5944" s="7"/>
      <c r="M5944" s="7"/>
    </row>
    <row r="5945" spans="1:13" x14ac:dyDescent="0.3">
      <c r="A5945" s="7">
        <v>690015</v>
      </c>
      <c r="B5945" s="7" t="s">
        <v>5951</v>
      </c>
      <c r="C5945" s="7" t="s">
        <v>7118</v>
      </c>
      <c r="D5945" s="7" t="s">
        <v>6295</v>
      </c>
      <c r="E5945" s="7" t="s">
        <v>6940</v>
      </c>
      <c r="F5945" s="7" t="s">
        <v>6498</v>
      </c>
      <c r="G5945" s="7" t="s">
        <v>7150</v>
      </c>
      <c r="H5945" s="7" t="s">
        <v>7156</v>
      </c>
      <c r="I5945" s="7"/>
      <c r="J5945" s="10">
        <v>41995</v>
      </c>
      <c r="K5945" s="7" t="s">
        <v>7165</v>
      </c>
      <c r="L5945" s="7"/>
      <c r="M5945" s="7"/>
    </row>
    <row r="5946" spans="1:13" x14ac:dyDescent="0.3">
      <c r="A5946" s="7">
        <v>460020</v>
      </c>
      <c r="B5946" s="7" t="s">
        <v>5952</v>
      </c>
      <c r="C5946" s="7" t="s">
        <v>7118</v>
      </c>
      <c r="D5946" s="7" t="s">
        <v>6295</v>
      </c>
      <c r="E5946" s="7" t="s">
        <v>6940</v>
      </c>
      <c r="F5946" s="7" t="s">
        <v>6980</v>
      </c>
      <c r="G5946" s="7" t="s">
        <v>7150</v>
      </c>
      <c r="H5946" s="7" t="s">
        <v>7156</v>
      </c>
      <c r="I5946" s="7"/>
      <c r="J5946" s="10">
        <v>41927</v>
      </c>
      <c r="K5946" s="7" t="s">
        <v>7165</v>
      </c>
      <c r="L5946" s="7"/>
      <c r="M5946" s="7"/>
    </row>
    <row r="5947" spans="1:13" x14ac:dyDescent="0.3">
      <c r="A5947" s="7">
        <v>460032</v>
      </c>
      <c r="B5947" s="7" t="s">
        <v>5953</v>
      </c>
      <c r="C5947" s="7" t="s">
        <v>7118</v>
      </c>
      <c r="D5947" s="7" t="s">
        <v>6295</v>
      </c>
      <c r="E5947" s="7" t="s">
        <v>6940</v>
      </c>
      <c r="F5947" s="7" t="s">
        <v>6980</v>
      </c>
      <c r="G5947" s="7" t="s">
        <v>7150</v>
      </c>
      <c r="H5947" s="7" t="s">
        <v>7156</v>
      </c>
      <c r="I5947" s="7"/>
      <c r="J5947" s="10">
        <v>43563</v>
      </c>
      <c r="K5947" s="7" t="s">
        <v>7165</v>
      </c>
      <c r="L5947" s="7"/>
      <c r="M5947" s="7"/>
    </row>
    <row r="5948" spans="1:13" x14ac:dyDescent="0.3">
      <c r="A5948" s="7">
        <v>460037</v>
      </c>
      <c r="B5948" s="7" t="s">
        <v>5954</v>
      </c>
      <c r="C5948" s="7" t="s">
        <v>7118</v>
      </c>
      <c r="D5948" s="7" t="s">
        <v>6295</v>
      </c>
      <c r="E5948" s="7" t="s">
        <v>6940</v>
      </c>
      <c r="F5948" s="7" t="s">
        <v>6980</v>
      </c>
      <c r="G5948" s="7" t="s">
        <v>7150</v>
      </c>
      <c r="H5948" s="7" t="s">
        <v>7156</v>
      </c>
      <c r="I5948" s="7"/>
      <c r="J5948" s="10">
        <v>44274</v>
      </c>
      <c r="K5948" s="7" t="s">
        <v>7165</v>
      </c>
      <c r="L5948" s="7"/>
      <c r="M5948" s="7"/>
    </row>
    <row r="5949" spans="1:13" x14ac:dyDescent="0.3">
      <c r="A5949" s="7">
        <v>14171</v>
      </c>
      <c r="B5949" s="7" t="s">
        <v>5955</v>
      </c>
      <c r="C5949" s="7" t="s">
        <v>7118</v>
      </c>
      <c r="D5949" s="7" t="s">
        <v>6295</v>
      </c>
      <c r="E5949" s="7" t="s">
        <v>6940</v>
      </c>
      <c r="F5949" s="7" t="s">
        <v>6986</v>
      </c>
      <c r="G5949" s="7" t="s">
        <v>7151</v>
      </c>
      <c r="H5949" s="7" t="s">
        <v>7156</v>
      </c>
      <c r="I5949" s="7"/>
      <c r="J5949" s="10">
        <v>44686</v>
      </c>
      <c r="K5949" s="7" t="s">
        <v>7165</v>
      </c>
      <c r="L5949" s="7"/>
      <c r="M5949" s="7"/>
    </row>
    <row r="5950" spans="1:13" x14ac:dyDescent="0.3">
      <c r="A5950" s="7">
        <v>460034</v>
      </c>
      <c r="B5950" s="7" t="s">
        <v>5956</v>
      </c>
      <c r="C5950" s="7" t="s">
        <v>7118</v>
      </c>
      <c r="D5950" s="7" t="s">
        <v>6295</v>
      </c>
      <c r="E5950" s="7" t="s">
        <v>6940</v>
      </c>
      <c r="F5950" s="7" t="s">
        <v>6987</v>
      </c>
      <c r="G5950" s="7" t="s">
        <v>7150</v>
      </c>
      <c r="H5950" s="7" t="s">
        <v>7156</v>
      </c>
      <c r="I5950" s="7"/>
      <c r="J5950" s="10">
        <v>43745</v>
      </c>
      <c r="K5950" s="7" t="s">
        <v>7165</v>
      </c>
      <c r="L5950" s="7"/>
      <c r="M5950" s="7"/>
    </row>
    <row r="5951" spans="1:13" x14ac:dyDescent="0.3">
      <c r="A5951" s="7">
        <v>17318</v>
      </c>
      <c r="B5951" s="7" t="s">
        <v>5957</v>
      </c>
      <c r="C5951" s="7" t="s">
        <v>7118</v>
      </c>
      <c r="D5951" s="7" t="s">
        <v>6295</v>
      </c>
      <c r="E5951" s="7" t="s">
        <v>6940</v>
      </c>
      <c r="F5951" s="7" t="s">
        <v>6987</v>
      </c>
      <c r="G5951" s="7" t="s">
        <v>7150</v>
      </c>
      <c r="H5951" s="7" t="s">
        <v>7156</v>
      </c>
      <c r="I5951" s="7"/>
      <c r="J5951" s="10">
        <v>45706</v>
      </c>
      <c r="K5951" s="7" t="s">
        <v>7165</v>
      </c>
      <c r="L5951" s="7"/>
      <c r="M5951" s="7"/>
    </row>
    <row r="5952" spans="1:13" x14ac:dyDescent="0.3">
      <c r="A5952" s="7">
        <v>460031</v>
      </c>
      <c r="B5952" s="7" t="s">
        <v>5958</v>
      </c>
      <c r="C5952" s="7" t="s">
        <v>7118</v>
      </c>
      <c r="D5952" s="7" t="s">
        <v>6295</v>
      </c>
      <c r="E5952" s="7" t="s">
        <v>6940</v>
      </c>
      <c r="F5952" s="7" t="s">
        <v>6987</v>
      </c>
      <c r="G5952" s="7" t="s">
        <v>7150</v>
      </c>
      <c r="H5952" s="7" t="s">
        <v>7156</v>
      </c>
      <c r="I5952" s="7"/>
      <c r="J5952" s="10">
        <v>43563</v>
      </c>
      <c r="K5952" s="7" t="s">
        <v>7165</v>
      </c>
      <c r="L5952" s="7"/>
      <c r="M5952" s="7"/>
    </row>
    <row r="5953" spans="1:13" x14ac:dyDescent="0.3">
      <c r="A5953" s="7">
        <v>460024</v>
      </c>
      <c r="B5953" s="7" t="s">
        <v>5959</v>
      </c>
      <c r="C5953" s="7" t="s">
        <v>7118</v>
      </c>
      <c r="D5953" s="7" t="s">
        <v>6295</v>
      </c>
      <c r="E5953" s="7" t="s">
        <v>6951</v>
      </c>
      <c r="F5953" s="7" t="s">
        <v>6398</v>
      </c>
      <c r="G5953" s="7" t="s">
        <v>7150</v>
      </c>
      <c r="H5953" s="7" t="s">
        <v>7156</v>
      </c>
      <c r="I5953" s="7"/>
      <c r="J5953" s="10">
        <v>42067</v>
      </c>
      <c r="K5953" s="7" t="s">
        <v>7165</v>
      </c>
      <c r="L5953" s="7"/>
      <c r="M5953" s="7"/>
    </row>
    <row r="5954" spans="1:13" x14ac:dyDescent="0.3">
      <c r="A5954" s="7">
        <v>14904</v>
      </c>
      <c r="B5954" s="7" t="s">
        <v>5960</v>
      </c>
      <c r="C5954" s="7" t="s">
        <v>7118</v>
      </c>
      <c r="D5954" s="7" t="s">
        <v>6295</v>
      </c>
      <c r="E5954" s="7" t="s">
        <v>6994</v>
      </c>
      <c r="F5954" s="7" t="s">
        <v>6498</v>
      </c>
      <c r="G5954" s="7" t="s">
        <v>7150</v>
      </c>
      <c r="H5954" s="7" t="s">
        <v>7156</v>
      </c>
      <c r="I5954" s="7"/>
      <c r="J5954" s="10">
        <v>44887</v>
      </c>
      <c r="K5954" s="7" t="s">
        <v>7165</v>
      </c>
      <c r="L5954" s="7"/>
      <c r="M5954" s="7"/>
    </row>
    <row r="5955" spans="1:13" x14ac:dyDescent="0.3">
      <c r="A5955" s="7">
        <v>460039</v>
      </c>
      <c r="B5955" s="7" t="s">
        <v>5961</v>
      </c>
      <c r="C5955" s="7" t="s">
        <v>7118</v>
      </c>
      <c r="D5955" s="7" t="s">
        <v>6295</v>
      </c>
      <c r="E5955" s="7" t="s">
        <v>6994</v>
      </c>
      <c r="F5955" s="7" t="s">
        <v>6340</v>
      </c>
      <c r="G5955" s="7" t="s">
        <v>7150</v>
      </c>
      <c r="H5955" s="7" t="s">
        <v>7156</v>
      </c>
      <c r="I5955" s="7"/>
      <c r="J5955" s="10">
        <v>44452</v>
      </c>
      <c r="K5955" s="7" t="s">
        <v>7165</v>
      </c>
      <c r="L5955" s="7"/>
      <c r="M5955" s="7"/>
    </row>
    <row r="5956" spans="1:13" x14ac:dyDescent="0.3">
      <c r="A5956" s="7">
        <v>17705</v>
      </c>
      <c r="B5956" s="7" t="s">
        <v>5962</v>
      </c>
      <c r="C5956" s="7" t="s">
        <v>7118</v>
      </c>
      <c r="D5956" s="7" t="s">
        <v>6295</v>
      </c>
      <c r="E5956" s="7" t="s">
        <v>6994</v>
      </c>
      <c r="F5956" s="7" t="s">
        <v>6341</v>
      </c>
      <c r="G5956" s="7" t="s">
        <v>7150</v>
      </c>
      <c r="H5956" s="7" t="s">
        <v>7156</v>
      </c>
      <c r="I5956" s="7"/>
      <c r="J5956" s="10">
        <v>45848</v>
      </c>
      <c r="K5956" s="7" t="s">
        <v>7165</v>
      </c>
      <c r="L5956" s="7"/>
      <c r="M5956" s="7"/>
    </row>
    <row r="5957" spans="1:13" x14ac:dyDescent="0.3">
      <c r="A5957" s="7">
        <v>18954</v>
      </c>
      <c r="B5957" s="7" t="s">
        <v>5963</v>
      </c>
      <c r="C5957" s="7" t="s">
        <v>7118</v>
      </c>
      <c r="D5957" s="7" t="s">
        <v>6295</v>
      </c>
      <c r="E5957" s="7" t="s">
        <v>6994</v>
      </c>
      <c r="F5957" s="7" t="s">
        <v>6340</v>
      </c>
      <c r="G5957" s="7" t="s">
        <v>7150</v>
      </c>
      <c r="H5957" s="7" t="s">
        <v>7156</v>
      </c>
      <c r="I5957" s="7"/>
      <c r="J5957" s="10">
        <v>46247</v>
      </c>
      <c r="K5957" s="7" t="s">
        <v>7165</v>
      </c>
      <c r="L5957" s="7"/>
      <c r="M5957" s="7"/>
    </row>
    <row r="5958" spans="1:13" x14ac:dyDescent="0.3">
      <c r="A5958" s="7">
        <v>18089</v>
      </c>
      <c r="B5958" s="7" t="s">
        <v>5964</v>
      </c>
      <c r="C5958" s="7" t="s">
        <v>7118</v>
      </c>
      <c r="D5958" s="7" t="s">
        <v>6295</v>
      </c>
      <c r="E5958" s="7" t="s">
        <v>6994</v>
      </c>
      <c r="F5958" s="7" t="s">
        <v>6348</v>
      </c>
      <c r="G5958" s="7" t="s">
        <v>7150</v>
      </c>
      <c r="H5958" s="7" t="s">
        <v>7156</v>
      </c>
      <c r="I5958" s="7"/>
      <c r="J5958" s="10">
        <v>45992</v>
      </c>
      <c r="K5958" s="7" t="s">
        <v>7165</v>
      </c>
      <c r="L5958" s="7"/>
      <c r="M5958" s="7"/>
    </row>
    <row r="5959" spans="1:13" x14ac:dyDescent="0.3">
      <c r="A5959" s="7">
        <v>560001</v>
      </c>
      <c r="B5959" s="7" t="s">
        <v>5965</v>
      </c>
      <c r="C5959" s="7" t="s">
        <v>7119</v>
      </c>
      <c r="D5959" s="7" t="s">
        <v>6295</v>
      </c>
      <c r="E5959" s="7" t="s">
        <v>6295</v>
      </c>
      <c r="F5959" s="7" t="s">
        <v>6939</v>
      </c>
      <c r="G5959" s="7" t="s">
        <v>7150</v>
      </c>
      <c r="H5959" s="7" t="s">
        <v>7156</v>
      </c>
      <c r="I5959" s="7"/>
      <c r="J5959" s="10">
        <v>36711</v>
      </c>
      <c r="K5959" s="7" t="s">
        <v>7165</v>
      </c>
      <c r="L5959" s="7"/>
      <c r="M5959" s="7"/>
    </row>
    <row r="5960" spans="1:13" x14ac:dyDescent="0.3">
      <c r="A5960" s="7">
        <v>116003</v>
      </c>
      <c r="B5960" s="7" t="s">
        <v>5966</v>
      </c>
      <c r="C5960" s="7" t="s">
        <v>7119</v>
      </c>
      <c r="D5960" s="7" t="s">
        <v>6295</v>
      </c>
      <c r="E5960" s="7" t="s">
        <v>6940</v>
      </c>
      <c r="F5960" s="7" t="s">
        <v>6991</v>
      </c>
      <c r="G5960" s="7" t="s">
        <v>7150</v>
      </c>
      <c r="H5960" s="7" t="s">
        <v>7156</v>
      </c>
      <c r="I5960" s="7"/>
      <c r="J5960" s="10">
        <v>36726</v>
      </c>
      <c r="K5960" s="7" t="s">
        <v>7165</v>
      </c>
      <c r="L5960" s="7"/>
      <c r="M5960" s="7"/>
    </row>
    <row r="5961" spans="1:13" x14ac:dyDescent="0.3">
      <c r="A5961" s="7">
        <v>116022</v>
      </c>
      <c r="B5961" s="7" t="s">
        <v>5967</v>
      </c>
      <c r="C5961" s="7" t="s">
        <v>7119</v>
      </c>
      <c r="D5961" s="7" t="s">
        <v>6295</v>
      </c>
      <c r="E5961" s="7" t="s">
        <v>6940</v>
      </c>
      <c r="F5961" s="7" t="s">
        <v>6989</v>
      </c>
      <c r="G5961" s="7" t="s">
        <v>7151</v>
      </c>
      <c r="H5961" s="7" t="s">
        <v>7156</v>
      </c>
      <c r="I5961" s="7"/>
      <c r="J5961" s="10">
        <v>44631</v>
      </c>
      <c r="K5961" s="7" t="s">
        <v>7165</v>
      </c>
      <c r="L5961" s="7"/>
      <c r="M5961" s="7"/>
    </row>
    <row r="5962" spans="1:13" x14ac:dyDescent="0.3">
      <c r="A5962" s="7">
        <v>17267</v>
      </c>
      <c r="B5962" s="7" t="s">
        <v>5968</v>
      </c>
      <c r="C5962" s="7" t="s">
        <v>7119</v>
      </c>
      <c r="D5962" s="7" t="s">
        <v>6295</v>
      </c>
      <c r="E5962" s="7" t="s">
        <v>6940</v>
      </c>
      <c r="F5962" s="7" t="s">
        <v>7021</v>
      </c>
      <c r="G5962" s="7" t="s">
        <v>7150</v>
      </c>
      <c r="H5962" s="7" t="s">
        <v>7157</v>
      </c>
      <c r="I5962" s="7"/>
      <c r="J5962" s="10">
        <v>45691</v>
      </c>
      <c r="K5962" s="7" t="s">
        <v>7165</v>
      </c>
      <c r="L5962" s="7"/>
      <c r="M5962" s="7"/>
    </row>
    <row r="5963" spans="1:13" x14ac:dyDescent="0.3">
      <c r="A5963" s="7">
        <v>116008</v>
      </c>
      <c r="B5963" s="7" t="s">
        <v>5969</v>
      </c>
      <c r="C5963" s="7" t="s">
        <v>7119</v>
      </c>
      <c r="D5963" s="7" t="s">
        <v>6295</v>
      </c>
      <c r="E5963" s="7" t="s">
        <v>6940</v>
      </c>
      <c r="F5963" s="7" t="s">
        <v>6980</v>
      </c>
      <c r="G5963" s="7" t="s">
        <v>7150</v>
      </c>
      <c r="H5963" s="7" t="s">
        <v>7156</v>
      </c>
      <c r="I5963" s="7"/>
      <c r="J5963" s="10">
        <v>40186</v>
      </c>
      <c r="K5963" s="7" t="s">
        <v>7165</v>
      </c>
      <c r="L5963" s="7"/>
      <c r="M5963" s="7"/>
    </row>
    <row r="5964" spans="1:13" x14ac:dyDescent="0.3">
      <c r="A5964" s="7">
        <v>116012</v>
      </c>
      <c r="B5964" s="7" t="s">
        <v>5970</v>
      </c>
      <c r="C5964" s="7" t="s">
        <v>7119</v>
      </c>
      <c r="D5964" s="7" t="s">
        <v>6295</v>
      </c>
      <c r="E5964" s="7" t="s">
        <v>6940</v>
      </c>
      <c r="F5964" s="7" t="s">
        <v>6980</v>
      </c>
      <c r="G5964" s="7" t="s">
        <v>7151</v>
      </c>
      <c r="H5964" s="7" t="s">
        <v>7156</v>
      </c>
      <c r="I5964" s="7"/>
      <c r="J5964" s="10">
        <v>41911</v>
      </c>
      <c r="K5964" s="7" t="s">
        <v>7165</v>
      </c>
      <c r="L5964" s="7"/>
      <c r="M5964" s="7"/>
    </row>
    <row r="5965" spans="1:13" x14ac:dyDescent="0.3">
      <c r="A5965" s="7">
        <v>17989</v>
      </c>
      <c r="B5965" s="7" t="s">
        <v>5971</v>
      </c>
      <c r="C5965" s="7" t="s">
        <v>7119</v>
      </c>
      <c r="D5965" s="7" t="s">
        <v>6295</v>
      </c>
      <c r="E5965" s="7" t="s">
        <v>6940</v>
      </c>
      <c r="F5965" s="7" t="s">
        <v>7000</v>
      </c>
      <c r="G5965" s="7" t="s">
        <v>7150</v>
      </c>
      <c r="H5965" s="7" t="s">
        <v>7157</v>
      </c>
      <c r="I5965" s="7"/>
      <c r="J5965" s="10">
        <v>45951</v>
      </c>
      <c r="K5965" s="7" t="s">
        <v>7165</v>
      </c>
      <c r="L5965" s="7"/>
      <c r="M5965" s="7"/>
    </row>
    <row r="5966" spans="1:13" x14ac:dyDescent="0.3">
      <c r="A5966" s="7">
        <v>116017</v>
      </c>
      <c r="B5966" s="7" t="s">
        <v>5972</v>
      </c>
      <c r="C5966" s="7" t="s">
        <v>7119</v>
      </c>
      <c r="D5966" s="7" t="s">
        <v>6295</v>
      </c>
      <c r="E5966" s="7" t="s">
        <v>6940</v>
      </c>
      <c r="F5966" s="7" t="s">
        <v>6987</v>
      </c>
      <c r="G5966" s="7" t="s">
        <v>7151</v>
      </c>
      <c r="H5966" s="7" t="s">
        <v>7156</v>
      </c>
      <c r="I5966" s="7"/>
      <c r="J5966" s="10">
        <v>42758</v>
      </c>
      <c r="K5966" s="7" t="s">
        <v>7165</v>
      </c>
      <c r="L5966" s="7"/>
      <c r="M5966" s="7"/>
    </row>
    <row r="5967" spans="1:13" x14ac:dyDescent="0.3">
      <c r="A5967" s="7">
        <v>18154</v>
      </c>
      <c r="B5967" s="7" t="s">
        <v>5973</v>
      </c>
      <c r="C5967" s="7" t="s">
        <v>7119</v>
      </c>
      <c r="D5967" s="7" t="s">
        <v>6295</v>
      </c>
      <c r="E5967" s="7" t="s">
        <v>6940</v>
      </c>
      <c r="F5967" s="7" t="s">
        <v>7000</v>
      </c>
      <c r="G5967" s="7" t="s">
        <v>7150</v>
      </c>
      <c r="H5967" s="7" t="s">
        <v>7157</v>
      </c>
      <c r="I5967" s="7"/>
      <c r="J5967" s="10">
        <v>46016</v>
      </c>
      <c r="K5967" s="7" t="s">
        <v>7165</v>
      </c>
      <c r="L5967" s="7"/>
      <c r="M5967" s="7"/>
    </row>
    <row r="5968" spans="1:13" x14ac:dyDescent="0.3">
      <c r="A5968" s="7">
        <v>16145</v>
      </c>
      <c r="B5968" s="7" t="s">
        <v>5974</v>
      </c>
      <c r="C5968" s="7" t="s">
        <v>7119</v>
      </c>
      <c r="D5968" s="7" t="s">
        <v>6295</v>
      </c>
      <c r="E5968" s="7" t="s">
        <v>6940</v>
      </c>
      <c r="F5968" s="7" t="s">
        <v>6986</v>
      </c>
      <c r="G5968" s="7" t="s">
        <v>7150</v>
      </c>
      <c r="H5968" s="7" t="s">
        <v>7156</v>
      </c>
      <c r="I5968" s="7"/>
      <c r="J5968" s="10">
        <v>45303</v>
      </c>
      <c r="K5968" s="7" t="s">
        <v>7165</v>
      </c>
      <c r="L5968" s="7"/>
      <c r="M5968" s="7"/>
    </row>
    <row r="5969" spans="1:13" x14ac:dyDescent="0.3">
      <c r="A5969" s="7">
        <v>116016</v>
      </c>
      <c r="B5969" s="7" t="s">
        <v>5975</v>
      </c>
      <c r="C5969" s="7" t="s">
        <v>7119</v>
      </c>
      <c r="D5969" s="7" t="s">
        <v>6295</v>
      </c>
      <c r="E5969" s="7" t="s">
        <v>6951</v>
      </c>
      <c r="F5969" s="7" t="s">
        <v>6398</v>
      </c>
      <c r="G5969" s="7" t="s">
        <v>7150</v>
      </c>
      <c r="H5969" s="7" t="s">
        <v>7156</v>
      </c>
      <c r="I5969" s="7"/>
      <c r="J5969" s="10">
        <v>42136</v>
      </c>
      <c r="K5969" s="7" t="s">
        <v>7165</v>
      </c>
      <c r="L5969" s="7"/>
      <c r="M5969" s="7"/>
    </row>
    <row r="5970" spans="1:13" x14ac:dyDescent="0.3">
      <c r="A5970" s="7">
        <v>13200</v>
      </c>
      <c r="B5970" s="7" t="s">
        <v>5976</v>
      </c>
      <c r="C5970" s="7" t="s">
        <v>7120</v>
      </c>
      <c r="D5970" s="7" t="s">
        <v>6295</v>
      </c>
      <c r="E5970" s="7" t="s">
        <v>6295</v>
      </c>
      <c r="F5970" s="7" t="s">
        <v>6939</v>
      </c>
      <c r="G5970" s="7" t="s">
        <v>7150</v>
      </c>
      <c r="H5970" s="7" t="s">
        <v>7156</v>
      </c>
      <c r="I5970" s="7"/>
      <c r="J5970" s="10">
        <v>44319</v>
      </c>
      <c r="K5970" s="7" t="s">
        <v>7165</v>
      </c>
      <c r="L5970" s="7"/>
      <c r="M5970" s="7"/>
    </row>
    <row r="5971" spans="1:13" x14ac:dyDescent="0.3">
      <c r="A5971" s="7">
        <v>590015</v>
      </c>
      <c r="B5971" s="7" t="s">
        <v>5977</v>
      </c>
      <c r="C5971" s="7" t="s">
        <v>7120</v>
      </c>
      <c r="D5971" s="7" t="s">
        <v>6295</v>
      </c>
      <c r="E5971" s="7" t="s">
        <v>6940</v>
      </c>
      <c r="F5971" s="7" t="s">
        <v>6991</v>
      </c>
      <c r="G5971" s="7" t="s">
        <v>7150</v>
      </c>
      <c r="H5971" s="7" t="s">
        <v>7156</v>
      </c>
      <c r="I5971" s="7"/>
      <c r="J5971" s="10">
        <v>42515</v>
      </c>
      <c r="K5971" s="7" t="s">
        <v>7165</v>
      </c>
      <c r="L5971" s="7"/>
      <c r="M5971" s="7"/>
    </row>
    <row r="5972" spans="1:13" x14ac:dyDescent="0.3">
      <c r="A5972" s="7">
        <v>18063</v>
      </c>
      <c r="B5972" s="7" t="s">
        <v>5978</v>
      </c>
      <c r="C5972" s="7" t="s">
        <v>7120</v>
      </c>
      <c r="D5972" s="7" t="s">
        <v>6295</v>
      </c>
      <c r="E5972" s="7" t="s">
        <v>6940</v>
      </c>
      <c r="F5972" s="7" t="s">
        <v>6949</v>
      </c>
      <c r="G5972" s="7" t="s">
        <v>7150</v>
      </c>
      <c r="H5972" s="7" t="s">
        <v>7156</v>
      </c>
      <c r="I5972" s="7"/>
      <c r="J5972" s="10">
        <v>45981</v>
      </c>
      <c r="K5972" s="7" t="s">
        <v>7165</v>
      </c>
      <c r="L5972" s="7"/>
      <c r="M5972" s="7"/>
    </row>
    <row r="5973" spans="1:13" x14ac:dyDescent="0.3">
      <c r="A5973" s="7">
        <v>590017</v>
      </c>
      <c r="B5973" s="7" t="s">
        <v>5979</v>
      </c>
      <c r="C5973" s="7" t="s">
        <v>7120</v>
      </c>
      <c r="D5973" s="7" t="s">
        <v>6295</v>
      </c>
      <c r="E5973" s="7" t="s">
        <v>6940</v>
      </c>
      <c r="F5973" s="7" t="s">
        <v>6980</v>
      </c>
      <c r="G5973" s="7" t="s">
        <v>7150</v>
      </c>
      <c r="H5973" s="7" t="s">
        <v>7156</v>
      </c>
      <c r="I5973" s="7"/>
      <c r="J5973" s="10">
        <v>42513</v>
      </c>
      <c r="K5973" s="7" t="s">
        <v>7165</v>
      </c>
      <c r="L5973" s="7"/>
      <c r="M5973" s="7"/>
    </row>
    <row r="5974" spans="1:13" x14ac:dyDescent="0.3">
      <c r="A5974" s="7">
        <v>18252</v>
      </c>
      <c r="B5974" s="7" t="s">
        <v>5980</v>
      </c>
      <c r="C5974" s="7" t="s">
        <v>7120</v>
      </c>
      <c r="D5974" s="7" t="s">
        <v>6295</v>
      </c>
      <c r="E5974" s="7" t="s">
        <v>6940</v>
      </c>
      <c r="F5974" s="7" t="s">
        <v>6989</v>
      </c>
      <c r="G5974" s="7" t="s">
        <v>7150</v>
      </c>
      <c r="H5974" s="7" t="s">
        <v>7156</v>
      </c>
      <c r="I5974" s="7"/>
      <c r="J5974" s="10">
        <v>46072</v>
      </c>
      <c r="K5974" s="7" t="s">
        <v>7165</v>
      </c>
      <c r="L5974" s="7"/>
      <c r="M5974" s="7"/>
    </row>
    <row r="5975" spans="1:13" x14ac:dyDescent="0.3">
      <c r="A5975" s="7">
        <v>590023</v>
      </c>
      <c r="B5975" s="7" t="s">
        <v>5981</v>
      </c>
      <c r="C5975" s="7" t="s">
        <v>7120</v>
      </c>
      <c r="D5975" s="7" t="s">
        <v>6295</v>
      </c>
      <c r="E5975" s="7" t="s">
        <v>6940</v>
      </c>
      <c r="F5975" s="7" t="s">
        <v>6986</v>
      </c>
      <c r="G5975" s="7" t="s">
        <v>7150</v>
      </c>
      <c r="H5975" s="7" t="s">
        <v>7156</v>
      </c>
      <c r="I5975" s="7"/>
      <c r="J5975" s="10">
        <v>44503</v>
      </c>
      <c r="K5975" s="7" t="s">
        <v>7165</v>
      </c>
      <c r="L5975" s="7"/>
      <c r="M5975" s="7"/>
    </row>
    <row r="5976" spans="1:13" x14ac:dyDescent="0.3">
      <c r="A5976" s="7">
        <v>18619</v>
      </c>
      <c r="B5976" s="7" t="s">
        <v>5982</v>
      </c>
      <c r="C5976" s="7" t="s">
        <v>7120</v>
      </c>
      <c r="D5976" s="7" t="s">
        <v>6295</v>
      </c>
      <c r="E5976" s="7" t="s">
        <v>6940</v>
      </c>
      <c r="F5976" s="7" t="s">
        <v>7013</v>
      </c>
      <c r="G5976" s="7" t="s">
        <v>7150</v>
      </c>
      <c r="H5976" s="7" t="s">
        <v>7156</v>
      </c>
      <c r="I5976" s="7"/>
      <c r="J5976" s="10">
        <v>46174</v>
      </c>
      <c r="K5976" s="7" t="s">
        <v>7165</v>
      </c>
      <c r="L5976" s="7"/>
      <c r="M5976" s="7"/>
    </row>
    <row r="5977" spans="1:13" x14ac:dyDescent="0.3">
      <c r="A5977" s="7">
        <v>590024</v>
      </c>
      <c r="B5977" s="7" t="s">
        <v>5983</v>
      </c>
      <c r="C5977" s="7" t="s">
        <v>7120</v>
      </c>
      <c r="D5977" s="7" t="s">
        <v>6295</v>
      </c>
      <c r="E5977" s="7" t="s">
        <v>6951</v>
      </c>
      <c r="F5977" s="7" t="s">
        <v>6398</v>
      </c>
      <c r="G5977" s="7" t="s">
        <v>7150</v>
      </c>
      <c r="H5977" s="7" t="s">
        <v>7156</v>
      </c>
      <c r="I5977" s="7"/>
      <c r="J5977" s="10">
        <v>44622</v>
      </c>
      <c r="K5977" s="7" t="s">
        <v>7165</v>
      </c>
      <c r="L5977" s="7"/>
      <c r="M5977" s="7"/>
    </row>
    <row r="5978" spans="1:13" x14ac:dyDescent="0.3">
      <c r="A5978" s="7">
        <v>700039</v>
      </c>
      <c r="B5978" s="7" t="s">
        <v>5984</v>
      </c>
      <c r="C5978" s="7" t="s">
        <v>7121</v>
      </c>
      <c r="D5978" s="7" t="s">
        <v>6295</v>
      </c>
      <c r="E5978" s="7" t="s">
        <v>6295</v>
      </c>
      <c r="F5978" s="7" t="s">
        <v>6939</v>
      </c>
      <c r="G5978" s="7" t="s">
        <v>7150</v>
      </c>
      <c r="H5978" s="7" t="s">
        <v>7156</v>
      </c>
      <c r="I5978" s="7"/>
      <c r="J5978" s="10">
        <v>42139</v>
      </c>
      <c r="K5978" s="7" t="s">
        <v>7165</v>
      </c>
      <c r="L5978" s="7"/>
      <c r="M5978" s="7"/>
    </row>
    <row r="5979" spans="1:13" x14ac:dyDescent="0.3">
      <c r="A5979" s="7">
        <v>630009</v>
      </c>
      <c r="B5979" s="7" t="s">
        <v>5985</v>
      </c>
      <c r="C5979" s="7" t="s">
        <v>7121</v>
      </c>
      <c r="D5979" s="7" t="s">
        <v>6295</v>
      </c>
      <c r="E5979" s="7" t="s">
        <v>6940</v>
      </c>
      <c r="F5979" s="7" t="s">
        <v>6980</v>
      </c>
      <c r="G5979" s="7" t="s">
        <v>7150</v>
      </c>
      <c r="H5979" s="7" t="s">
        <v>7156</v>
      </c>
      <c r="I5979" s="7"/>
      <c r="J5979" s="10">
        <v>41172</v>
      </c>
      <c r="K5979" s="7" t="s">
        <v>7165</v>
      </c>
      <c r="L5979" s="7"/>
      <c r="M5979" s="7"/>
    </row>
    <row r="5980" spans="1:13" x14ac:dyDescent="0.3">
      <c r="A5980" s="7">
        <v>15202</v>
      </c>
      <c r="B5980" s="7" t="s">
        <v>5986</v>
      </c>
      <c r="C5980" s="7" t="s">
        <v>7121</v>
      </c>
      <c r="D5980" s="7" t="s">
        <v>6295</v>
      </c>
      <c r="E5980" s="7" t="s">
        <v>6940</v>
      </c>
      <c r="F5980" s="7" t="s">
        <v>6986</v>
      </c>
      <c r="G5980" s="7" t="s">
        <v>7150</v>
      </c>
      <c r="H5980" s="7" t="s">
        <v>7156</v>
      </c>
      <c r="I5980" s="7"/>
      <c r="J5980" s="10">
        <v>44987</v>
      </c>
      <c r="K5980" s="7" t="s">
        <v>7165</v>
      </c>
      <c r="L5980" s="7"/>
      <c r="M5980" s="7"/>
    </row>
    <row r="5981" spans="1:13" x14ac:dyDescent="0.3">
      <c r="A5981" s="7">
        <v>630023</v>
      </c>
      <c r="B5981" s="7" t="s">
        <v>5987</v>
      </c>
      <c r="C5981" s="7" t="s">
        <v>7121</v>
      </c>
      <c r="D5981" s="7" t="s">
        <v>6295</v>
      </c>
      <c r="E5981" s="7" t="s">
        <v>6940</v>
      </c>
      <c r="F5981" s="7" t="s">
        <v>6986</v>
      </c>
      <c r="G5981" s="7" t="s">
        <v>7150</v>
      </c>
      <c r="H5981" s="7" t="s">
        <v>7156</v>
      </c>
      <c r="I5981" s="7"/>
      <c r="J5981" s="10">
        <v>44069</v>
      </c>
      <c r="K5981" s="7" t="s">
        <v>7165</v>
      </c>
      <c r="L5981" s="7"/>
      <c r="M5981" s="7"/>
    </row>
    <row r="5982" spans="1:13" x14ac:dyDescent="0.3">
      <c r="A5982" s="7">
        <v>630026</v>
      </c>
      <c r="B5982" s="7" t="s">
        <v>5988</v>
      </c>
      <c r="C5982" s="7" t="s">
        <v>7121</v>
      </c>
      <c r="D5982" s="7" t="s">
        <v>6295</v>
      </c>
      <c r="E5982" s="7" t="s">
        <v>6940</v>
      </c>
      <c r="F5982" s="7" t="s">
        <v>6986</v>
      </c>
      <c r="G5982" s="7" t="s">
        <v>7150</v>
      </c>
      <c r="H5982" s="7" t="s">
        <v>7156</v>
      </c>
      <c r="I5982" s="7"/>
      <c r="J5982" s="10">
        <v>44613</v>
      </c>
      <c r="K5982" s="7" t="s">
        <v>7165</v>
      </c>
      <c r="L5982" s="7"/>
      <c r="M5982" s="7"/>
    </row>
    <row r="5983" spans="1:13" x14ac:dyDescent="0.3">
      <c r="A5983" s="7">
        <v>17164</v>
      </c>
      <c r="B5983" s="7" t="s">
        <v>5989</v>
      </c>
      <c r="C5983" s="7" t="s">
        <v>7121</v>
      </c>
      <c r="D5983" s="7" t="s">
        <v>6295</v>
      </c>
      <c r="E5983" s="7" t="s">
        <v>6940</v>
      </c>
      <c r="F5983" s="7" t="s">
        <v>6989</v>
      </c>
      <c r="G5983" s="7" t="s">
        <v>7150</v>
      </c>
      <c r="H5983" s="7" t="s">
        <v>7156</v>
      </c>
      <c r="I5983" s="7"/>
      <c r="J5983" s="10">
        <v>45652</v>
      </c>
      <c r="K5983" s="7" t="s">
        <v>7165</v>
      </c>
      <c r="L5983" s="7"/>
      <c r="M5983" s="7"/>
    </row>
    <row r="5984" spans="1:13" x14ac:dyDescent="0.3">
      <c r="A5984" s="7">
        <v>17516</v>
      </c>
      <c r="B5984" s="7" t="s">
        <v>5990</v>
      </c>
      <c r="C5984" s="7" t="s">
        <v>7121</v>
      </c>
      <c r="D5984" s="7" t="s">
        <v>6295</v>
      </c>
      <c r="E5984" s="7" t="s">
        <v>6940</v>
      </c>
      <c r="F5984" s="7" t="s">
        <v>6988</v>
      </c>
      <c r="G5984" s="7" t="s">
        <v>7150</v>
      </c>
      <c r="H5984" s="7" t="s">
        <v>7156</v>
      </c>
      <c r="I5984" s="7"/>
      <c r="J5984" s="10">
        <v>45782</v>
      </c>
      <c r="K5984" s="7" t="s">
        <v>7165</v>
      </c>
      <c r="L5984" s="7"/>
      <c r="M5984" s="7"/>
    </row>
    <row r="5985" spans="1:13" x14ac:dyDescent="0.3">
      <c r="A5985" s="7">
        <v>630006</v>
      </c>
      <c r="B5985" s="7" t="s">
        <v>5991</v>
      </c>
      <c r="C5985" s="7" t="s">
        <v>7121</v>
      </c>
      <c r="D5985" s="7" t="s">
        <v>6295</v>
      </c>
      <c r="E5985" s="7" t="s">
        <v>6951</v>
      </c>
      <c r="F5985" s="7" t="s">
        <v>6398</v>
      </c>
      <c r="G5985" s="7" t="s">
        <v>7150</v>
      </c>
      <c r="H5985" s="7" t="s">
        <v>7156</v>
      </c>
      <c r="I5985" s="7"/>
      <c r="J5985" s="10">
        <v>39692</v>
      </c>
      <c r="K5985" s="7" t="s">
        <v>7165</v>
      </c>
      <c r="L5985" s="7"/>
      <c r="M5985" s="7"/>
    </row>
    <row r="5986" spans="1:13" x14ac:dyDescent="0.3">
      <c r="A5986" s="7">
        <v>790004</v>
      </c>
      <c r="B5986" s="7" t="s">
        <v>5992</v>
      </c>
      <c r="C5986" s="7" t="s">
        <v>7122</v>
      </c>
      <c r="D5986" s="7" t="s">
        <v>6295</v>
      </c>
      <c r="E5986" s="7" t="s">
        <v>6940</v>
      </c>
      <c r="F5986" s="7" t="s">
        <v>6991</v>
      </c>
      <c r="G5986" s="7" t="s">
        <v>7150</v>
      </c>
      <c r="H5986" s="7" t="s">
        <v>7156</v>
      </c>
      <c r="I5986" s="7"/>
      <c r="J5986" s="10">
        <v>38992</v>
      </c>
      <c r="K5986" s="7" t="s">
        <v>7165</v>
      </c>
      <c r="L5986" s="7"/>
      <c r="M5986" s="7"/>
    </row>
    <row r="5987" spans="1:13" x14ac:dyDescent="0.3">
      <c r="A5987" s="7">
        <v>15058</v>
      </c>
      <c r="B5987" s="7" t="s">
        <v>5993</v>
      </c>
      <c r="C5987" s="7" t="s">
        <v>7122</v>
      </c>
      <c r="D5987" s="7" t="s">
        <v>6295</v>
      </c>
      <c r="E5987" s="7" t="s">
        <v>6940</v>
      </c>
      <c r="F5987" s="7" t="s">
        <v>6992</v>
      </c>
      <c r="G5987" s="7" t="s">
        <v>7150</v>
      </c>
      <c r="H5987" s="7" t="s">
        <v>7156</v>
      </c>
      <c r="I5987" s="7"/>
      <c r="J5987" s="10">
        <v>44935</v>
      </c>
      <c r="K5987" s="7" t="s">
        <v>7165</v>
      </c>
      <c r="L5987" s="7"/>
      <c r="M5987" s="7"/>
    </row>
    <row r="5988" spans="1:13" x14ac:dyDescent="0.3">
      <c r="A5988" s="7">
        <v>300045</v>
      </c>
      <c r="B5988" s="7" t="s">
        <v>5994</v>
      </c>
      <c r="C5988" s="7" t="s">
        <v>7122</v>
      </c>
      <c r="D5988" s="7" t="s">
        <v>6295</v>
      </c>
      <c r="E5988" s="7" t="s">
        <v>6940</v>
      </c>
      <c r="F5988" s="7" t="s">
        <v>6980</v>
      </c>
      <c r="G5988" s="7" t="s">
        <v>7150</v>
      </c>
      <c r="H5988" s="7" t="s">
        <v>7156</v>
      </c>
      <c r="I5988" s="7"/>
      <c r="J5988" s="10">
        <v>42720</v>
      </c>
      <c r="K5988" s="7" t="s">
        <v>7165</v>
      </c>
      <c r="L5988" s="7"/>
      <c r="M5988" s="7"/>
    </row>
    <row r="5989" spans="1:13" x14ac:dyDescent="0.3">
      <c r="A5989" s="7">
        <v>580014</v>
      </c>
      <c r="B5989" s="7" t="s">
        <v>5995</v>
      </c>
      <c r="C5989" s="7" t="s">
        <v>7122</v>
      </c>
      <c r="D5989" s="7" t="s">
        <v>6295</v>
      </c>
      <c r="E5989" s="7" t="s">
        <v>6940</v>
      </c>
      <c r="F5989" s="7" t="s">
        <v>6980</v>
      </c>
      <c r="G5989" s="7" t="s">
        <v>7150</v>
      </c>
      <c r="H5989" s="7" t="s">
        <v>7156</v>
      </c>
      <c r="I5989" s="7"/>
      <c r="J5989" s="10">
        <v>42158</v>
      </c>
      <c r="K5989" s="7" t="s">
        <v>7165</v>
      </c>
      <c r="L5989" s="7"/>
      <c r="M5989" s="7"/>
    </row>
    <row r="5990" spans="1:13" x14ac:dyDescent="0.3">
      <c r="A5990" s="7">
        <v>780016</v>
      </c>
      <c r="B5990" s="7" t="s">
        <v>5996</v>
      </c>
      <c r="C5990" s="7" t="s">
        <v>7122</v>
      </c>
      <c r="D5990" s="7" t="s">
        <v>6295</v>
      </c>
      <c r="E5990" s="7" t="s">
        <v>6940</v>
      </c>
      <c r="F5990" s="7" t="s">
        <v>6980</v>
      </c>
      <c r="G5990" s="7" t="s">
        <v>7150</v>
      </c>
      <c r="H5990" s="7" t="s">
        <v>7156</v>
      </c>
      <c r="I5990" s="7"/>
      <c r="J5990" s="10">
        <v>42713</v>
      </c>
      <c r="K5990" s="7" t="s">
        <v>7165</v>
      </c>
      <c r="L5990" s="7"/>
      <c r="M5990" s="7"/>
    </row>
    <row r="5991" spans="1:13" x14ac:dyDescent="0.3">
      <c r="A5991" s="7">
        <v>780017</v>
      </c>
      <c r="B5991" s="7" t="s">
        <v>5997</v>
      </c>
      <c r="C5991" s="7" t="s">
        <v>7122</v>
      </c>
      <c r="D5991" s="7" t="s">
        <v>6295</v>
      </c>
      <c r="E5991" s="7" t="s">
        <v>6940</v>
      </c>
      <c r="F5991" s="7" t="s">
        <v>6980</v>
      </c>
      <c r="G5991" s="7" t="s">
        <v>7150</v>
      </c>
      <c r="H5991" s="7" t="s">
        <v>7156</v>
      </c>
      <c r="I5991" s="7"/>
      <c r="J5991" s="10">
        <v>42955</v>
      </c>
      <c r="K5991" s="7" t="s">
        <v>7165</v>
      </c>
      <c r="L5991" s="7"/>
      <c r="M5991" s="7"/>
    </row>
    <row r="5992" spans="1:13" x14ac:dyDescent="0.3">
      <c r="A5992" s="7">
        <v>790024</v>
      </c>
      <c r="B5992" s="7" t="s">
        <v>5998</v>
      </c>
      <c r="C5992" s="7" t="s">
        <v>7122</v>
      </c>
      <c r="D5992" s="7" t="s">
        <v>6295</v>
      </c>
      <c r="E5992" s="7" t="s">
        <v>6940</v>
      </c>
      <c r="F5992" s="7" t="s">
        <v>6980</v>
      </c>
      <c r="G5992" s="7" t="s">
        <v>7150</v>
      </c>
      <c r="H5992" s="7" t="s">
        <v>7156</v>
      </c>
      <c r="I5992" s="7"/>
      <c r="J5992" s="10">
        <v>43675</v>
      </c>
      <c r="K5992" s="7" t="s">
        <v>7165</v>
      </c>
      <c r="L5992" s="7"/>
      <c r="M5992" s="7"/>
    </row>
    <row r="5993" spans="1:13" x14ac:dyDescent="0.3">
      <c r="A5993" s="7">
        <v>790025</v>
      </c>
      <c r="B5993" s="7" t="s">
        <v>5999</v>
      </c>
      <c r="C5993" s="7" t="s">
        <v>7122</v>
      </c>
      <c r="D5993" s="7" t="s">
        <v>6295</v>
      </c>
      <c r="E5993" s="7" t="s">
        <v>6940</v>
      </c>
      <c r="F5993" s="7" t="s">
        <v>6949</v>
      </c>
      <c r="G5993" s="7" t="s">
        <v>7150</v>
      </c>
      <c r="H5993" s="7" t="s">
        <v>7156</v>
      </c>
      <c r="I5993" s="7"/>
      <c r="J5993" s="10">
        <v>43824</v>
      </c>
      <c r="K5993" s="7" t="s">
        <v>7165</v>
      </c>
      <c r="L5993" s="7"/>
      <c r="M5993" s="7"/>
    </row>
    <row r="5994" spans="1:13" x14ac:dyDescent="0.3">
      <c r="A5994" s="7">
        <v>790009</v>
      </c>
      <c r="B5994" s="7" t="s">
        <v>6000</v>
      </c>
      <c r="C5994" s="7" t="s">
        <v>7122</v>
      </c>
      <c r="D5994" s="7" t="s">
        <v>6295</v>
      </c>
      <c r="E5994" s="7" t="s">
        <v>6951</v>
      </c>
      <c r="F5994" s="7" t="s">
        <v>6398</v>
      </c>
      <c r="G5994" s="7" t="s">
        <v>7150</v>
      </c>
      <c r="H5994" s="7" t="s">
        <v>7156</v>
      </c>
      <c r="I5994" s="7"/>
      <c r="J5994" s="10">
        <v>41067</v>
      </c>
      <c r="K5994" s="7" t="s">
        <v>7165</v>
      </c>
      <c r="L5994" s="7"/>
      <c r="M5994" s="7"/>
    </row>
    <row r="5995" spans="1:13" x14ac:dyDescent="0.3">
      <c r="A5995" s="7">
        <v>650003</v>
      </c>
      <c r="B5995" s="7" t="s">
        <v>6001</v>
      </c>
      <c r="C5995" s="7" t="s">
        <v>7123</v>
      </c>
      <c r="D5995" s="7" t="s">
        <v>6295</v>
      </c>
      <c r="E5995" s="7" t="s">
        <v>6295</v>
      </c>
      <c r="F5995" s="7" t="s">
        <v>6939</v>
      </c>
      <c r="G5995" s="7" t="s">
        <v>7150</v>
      </c>
      <c r="H5995" s="7" t="s">
        <v>7156</v>
      </c>
      <c r="I5995" s="7"/>
      <c r="J5995" s="10">
        <v>39764</v>
      </c>
      <c r="K5995" s="7" t="s">
        <v>7165</v>
      </c>
      <c r="L5995" s="7"/>
      <c r="M5995" s="7"/>
    </row>
    <row r="5996" spans="1:13" x14ac:dyDescent="0.3">
      <c r="A5996" s="7">
        <v>11388</v>
      </c>
      <c r="B5996" s="7" t="s">
        <v>6002</v>
      </c>
      <c r="C5996" s="7" t="s">
        <v>7123</v>
      </c>
      <c r="D5996" s="7" t="s">
        <v>6295</v>
      </c>
      <c r="E5996" s="7" t="s">
        <v>6295</v>
      </c>
      <c r="F5996" s="7" t="s">
        <v>6335</v>
      </c>
      <c r="G5996" s="7" t="s">
        <v>7150</v>
      </c>
      <c r="H5996" s="7" t="s">
        <v>7156</v>
      </c>
      <c r="I5996" s="7"/>
      <c r="J5996" s="10">
        <v>42620</v>
      </c>
      <c r="K5996" s="7" t="s">
        <v>7165</v>
      </c>
      <c r="L5996" s="7"/>
      <c r="M5996" s="7"/>
    </row>
    <row r="5997" spans="1:13" x14ac:dyDescent="0.3">
      <c r="A5997" s="7">
        <v>770009</v>
      </c>
      <c r="B5997" s="7" t="s">
        <v>6003</v>
      </c>
      <c r="C5997" s="7" t="s">
        <v>7123</v>
      </c>
      <c r="D5997" s="7" t="s">
        <v>6295</v>
      </c>
      <c r="E5997" s="7" t="s">
        <v>6940</v>
      </c>
      <c r="F5997" s="7" t="s">
        <v>6991</v>
      </c>
      <c r="G5997" s="7" t="s">
        <v>7150</v>
      </c>
      <c r="H5997" s="7" t="s">
        <v>7156</v>
      </c>
      <c r="I5997" s="7"/>
      <c r="J5997" s="10">
        <v>38551</v>
      </c>
      <c r="K5997" s="7" t="s">
        <v>7165</v>
      </c>
      <c r="L5997" s="7"/>
      <c r="M5997" s="7"/>
    </row>
    <row r="5998" spans="1:13" x14ac:dyDescent="0.3">
      <c r="A5998" s="7">
        <v>14445</v>
      </c>
      <c r="B5998" s="7" t="s">
        <v>6004</v>
      </c>
      <c r="C5998" s="7" t="s">
        <v>7123</v>
      </c>
      <c r="D5998" s="7" t="s">
        <v>6295</v>
      </c>
      <c r="E5998" s="7" t="s">
        <v>6940</v>
      </c>
      <c r="F5998" s="7" t="s">
        <v>6979</v>
      </c>
      <c r="G5998" s="7" t="s">
        <v>7150</v>
      </c>
      <c r="H5998" s="7" t="s">
        <v>7156</v>
      </c>
      <c r="I5998" s="7"/>
      <c r="J5998" s="10">
        <v>44760</v>
      </c>
      <c r="K5998" s="7" t="s">
        <v>7165</v>
      </c>
      <c r="L5998" s="7"/>
      <c r="M5998" s="7"/>
    </row>
    <row r="5999" spans="1:13" x14ac:dyDescent="0.3">
      <c r="A5999" s="7">
        <v>11562</v>
      </c>
      <c r="B5999" s="7" t="s">
        <v>6005</v>
      </c>
      <c r="C5999" s="7" t="s">
        <v>7123</v>
      </c>
      <c r="D5999" s="7" t="s">
        <v>6295</v>
      </c>
      <c r="E5999" s="7" t="s">
        <v>6940</v>
      </c>
      <c r="F5999" s="7" t="s">
        <v>6561</v>
      </c>
      <c r="G5999" s="7" t="s">
        <v>7150</v>
      </c>
      <c r="H5999" s="7" t="s">
        <v>7156</v>
      </c>
      <c r="I5999" s="7"/>
      <c r="J5999" s="10">
        <v>42844</v>
      </c>
      <c r="K5999" s="7" t="s">
        <v>7165</v>
      </c>
      <c r="L5999" s="7"/>
      <c r="M5999" s="7"/>
    </row>
    <row r="6000" spans="1:13" x14ac:dyDescent="0.3">
      <c r="A6000" s="7">
        <v>11389</v>
      </c>
      <c r="B6000" s="7" t="s">
        <v>6006</v>
      </c>
      <c r="C6000" s="7" t="s">
        <v>7123</v>
      </c>
      <c r="D6000" s="7" t="s">
        <v>6295</v>
      </c>
      <c r="E6000" s="7" t="s">
        <v>6940</v>
      </c>
      <c r="F6000" s="7" t="s">
        <v>6561</v>
      </c>
      <c r="G6000" s="7" t="s">
        <v>7150</v>
      </c>
      <c r="H6000" s="7" t="s">
        <v>7156</v>
      </c>
      <c r="I6000" s="7"/>
      <c r="J6000" s="10">
        <v>42620</v>
      </c>
      <c r="K6000" s="7" t="s">
        <v>7165</v>
      </c>
      <c r="L6000" s="7"/>
      <c r="M6000" s="7"/>
    </row>
    <row r="6001" spans="1:13" x14ac:dyDescent="0.3">
      <c r="A6001" s="7">
        <v>17445</v>
      </c>
      <c r="B6001" s="7" t="s">
        <v>6007</v>
      </c>
      <c r="C6001" s="7" t="s">
        <v>7123</v>
      </c>
      <c r="D6001" s="7" t="s">
        <v>6295</v>
      </c>
      <c r="E6001" s="7" t="s">
        <v>6940</v>
      </c>
      <c r="F6001" s="7" t="s">
        <v>6949</v>
      </c>
      <c r="G6001" s="7" t="s">
        <v>7150</v>
      </c>
      <c r="H6001" s="7" t="s">
        <v>7156</v>
      </c>
      <c r="I6001" s="7"/>
      <c r="J6001" s="10">
        <v>45755</v>
      </c>
      <c r="K6001" s="7" t="s">
        <v>7165</v>
      </c>
      <c r="L6001" s="7"/>
      <c r="M6001" s="7"/>
    </row>
    <row r="6002" spans="1:13" x14ac:dyDescent="0.3">
      <c r="A6002" s="7">
        <v>17070</v>
      </c>
      <c r="B6002" s="7" t="s">
        <v>6008</v>
      </c>
      <c r="C6002" s="7" t="s">
        <v>7123</v>
      </c>
      <c r="D6002" s="7" t="s">
        <v>6295</v>
      </c>
      <c r="E6002" s="7" t="s">
        <v>6940</v>
      </c>
      <c r="F6002" s="7" t="s">
        <v>6949</v>
      </c>
      <c r="G6002" s="7" t="s">
        <v>7150</v>
      </c>
      <c r="H6002" s="7" t="s">
        <v>7156</v>
      </c>
      <c r="I6002" s="7"/>
      <c r="J6002" s="10">
        <v>45623</v>
      </c>
      <c r="K6002" s="7" t="s">
        <v>7165</v>
      </c>
      <c r="L6002" s="7"/>
      <c r="M6002" s="7"/>
    </row>
    <row r="6003" spans="1:13" x14ac:dyDescent="0.3">
      <c r="A6003" s="7">
        <v>760043</v>
      </c>
      <c r="B6003" s="7" t="s">
        <v>6009</v>
      </c>
      <c r="C6003" s="7" t="s">
        <v>7123</v>
      </c>
      <c r="D6003" s="7" t="s">
        <v>6295</v>
      </c>
      <c r="E6003" s="7" t="s">
        <v>6940</v>
      </c>
      <c r="F6003" s="7" t="s">
        <v>6992</v>
      </c>
      <c r="G6003" s="7" t="s">
        <v>7150</v>
      </c>
      <c r="H6003" s="7" t="s">
        <v>7156</v>
      </c>
      <c r="I6003" s="7"/>
      <c r="J6003" s="10">
        <v>43766</v>
      </c>
      <c r="K6003" s="7" t="s">
        <v>7165</v>
      </c>
      <c r="L6003" s="7"/>
      <c r="M6003" s="7"/>
    </row>
    <row r="6004" spans="1:13" x14ac:dyDescent="0.3">
      <c r="A6004" s="7">
        <v>760034</v>
      </c>
      <c r="B6004" s="7" t="s">
        <v>6010</v>
      </c>
      <c r="C6004" s="7" t="s">
        <v>7123</v>
      </c>
      <c r="D6004" s="7" t="s">
        <v>6295</v>
      </c>
      <c r="E6004" s="7" t="s">
        <v>6940</v>
      </c>
      <c r="F6004" s="7" t="s">
        <v>6498</v>
      </c>
      <c r="G6004" s="7" t="s">
        <v>7150</v>
      </c>
      <c r="H6004" s="7" t="s">
        <v>7156</v>
      </c>
      <c r="I6004" s="7"/>
      <c r="J6004" s="10">
        <v>42620</v>
      </c>
      <c r="K6004" s="7" t="s">
        <v>7165</v>
      </c>
      <c r="L6004" s="7"/>
      <c r="M6004" s="7"/>
    </row>
    <row r="6005" spans="1:13" x14ac:dyDescent="0.3">
      <c r="A6005" s="7">
        <v>760039</v>
      </c>
      <c r="B6005" s="7" t="s">
        <v>6011</v>
      </c>
      <c r="C6005" s="7" t="s">
        <v>7123</v>
      </c>
      <c r="D6005" s="7" t="s">
        <v>6295</v>
      </c>
      <c r="E6005" s="7" t="s">
        <v>6940</v>
      </c>
      <c r="F6005" s="7" t="s">
        <v>6941</v>
      </c>
      <c r="G6005" s="7" t="s">
        <v>7150</v>
      </c>
      <c r="H6005" s="7" t="s">
        <v>7156</v>
      </c>
      <c r="I6005" s="7"/>
      <c r="J6005" s="10">
        <v>43018</v>
      </c>
      <c r="K6005" s="7" t="s">
        <v>7165</v>
      </c>
      <c r="L6005" s="7"/>
      <c r="M6005" s="7"/>
    </row>
    <row r="6006" spans="1:13" x14ac:dyDescent="0.3">
      <c r="A6006" s="7">
        <v>760041</v>
      </c>
      <c r="B6006" s="7" t="s">
        <v>6012</v>
      </c>
      <c r="C6006" s="7" t="s">
        <v>7123</v>
      </c>
      <c r="D6006" s="7" t="s">
        <v>6295</v>
      </c>
      <c r="E6006" s="7" t="s">
        <v>6940</v>
      </c>
      <c r="F6006" s="7" t="s">
        <v>6980</v>
      </c>
      <c r="G6006" s="7" t="s">
        <v>7150</v>
      </c>
      <c r="H6006" s="7" t="s">
        <v>7156</v>
      </c>
      <c r="I6006" s="7"/>
      <c r="J6006" s="10">
        <v>43259</v>
      </c>
      <c r="K6006" s="7" t="s">
        <v>7165</v>
      </c>
      <c r="L6006" s="7"/>
      <c r="M6006" s="7"/>
    </row>
    <row r="6007" spans="1:13" x14ac:dyDescent="0.3">
      <c r="A6007" s="7">
        <v>760026</v>
      </c>
      <c r="B6007" s="7" t="s">
        <v>6013</v>
      </c>
      <c r="C6007" s="7" t="s">
        <v>7123</v>
      </c>
      <c r="D6007" s="7" t="s">
        <v>6295</v>
      </c>
      <c r="E6007" s="7" t="s">
        <v>6940</v>
      </c>
      <c r="F6007" s="7" t="s">
        <v>6980</v>
      </c>
      <c r="G6007" s="7" t="s">
        <v>7150</v>
      </c>
      <c r="H6007" s="7" t="s">
        <v>7156</v>
      </c>
      <c r="I6007" s="7"/>
      <c r="J6007" s="10">
        <v>42165</v>
      </c>
      <c r="K6007" s="7" t="s">
        <v>7165</v>
      </c>
      <c r="L6007" s="7"/>
      <c r="M6007" s="7"/>
    </row>
    <row r="6008" spans="1:13" x14ac:dyDescent="0.3">
      <c r="A6008" s="7">
        <v>760035</v>
      </c>
      <c r="B6008" s="7" t="s">
        <v>6014</v>
      </c>
      <c r="C6008" s="7" t="s">
        <v>7123</v>
      </c>
      <c r="D6008" s="7" t="s">
        <v>6295</v>
      </c>
      <c r="E6008" s="7" t="s">
        <v>6940</v>
      </c>
      <c r="F6008" s="7" t="s">
        <v>6986</v>
      </c>
      <c r="G6008" s="7" t="s">
        <v>7151</v>
      </c>
      <c r="H6008" s="7" t="s">
        <v>7156</v>
      </c>
      <c r="I6008" s="7"/>
      <c r="J6008" s="10">
        <v>42620</v>
      </c>
      <c r="K6008" s="7" t="s">
        <v>7165</v>
      </c>
      <c r="L6008" s="7"/>
      <c r="M6008" s="7"/>
    </row>
    <row r="6009" spans="1:13" x14ac:dyDescent="0.3">
      <c r="A6009" s="7">
        <v>760044</v>
      </c>
      <c r="B6009" s="7" t="s">
        <v>6015</v>
      </c>
      <c r="C6009" s="7" t="s">
        <v>7123</v>
      </c>
      <c r="D6009" s="7" t="s">
        <v>6295</v>
      </c>
      <c r="E6009" s="7" t="s">
        <v>6940</v>
      </c>
      <c r="F6009" s="7" t="s">
        <v>6980</v>
      </c>
      <c r="G6009" s="7" t="s">
        <v>7150</v>
      </c>
      <c r="H6009" s="7" t="s">
        <v>7156</v>
      </c>
      <c r="I6009" s="7"/>
      <c r="J6009" s="10">
        <v>43819</v>
      </c>
      <c r="K6009" s="7" t="s">
        <v>7165</v>
      </c>
      <c r="L6009" s="7"/>
      <c r="M6009" s="7"/>
    </row>
    <row r="6010" spans="1:13" x14ac:dyDescent="0.3">
      <c r="A6010" s="7">
        <v>16424</v>
      </c>
      <c r="B6010" s="7" t="s">
        <v>6016</v>
      </c>
      <c r="C6010" s="7" t="s">
        <v>7123</v>
      </c>
      <c r="D6010" s="7" t="s">
        <v>6295</v>
      </c>
      <c r="E6010" s="7" t="s">
        <v>6940</v>
      </c>
      <c r="F6010" s="7" t="s">
        <v>6987</v>
      </c>
      <c r="G6010" s="7" t="s">
        <v>7150</v>
      </c>
      <c r="H6010" s="7" t="s">
        <v>7156</v>
      </c>
      <c r="I6010" s="7"/>
      <c r="J6010" s="10">
        <v>45386</v>
      </c>
      <c r="K6010" s="7" t="s">
        <v>7165</v>
      </c>
      <c r="L6010" s="7"/>
      <c r="M6010" s="7"/>
    </row>
    <row r="6011" spans="1:13" x14ac:dyDescent="0.3">
      <c r="A6011" s="7">
        <v>14889</v>
      </c>
      <c r="B6011" s="7" t="s">
        <v>6017</v>
      </c>
      <c r="C6011" s="7" t="s">
        <v>7123</v>
      </c>
      <c r="D6011" s="7" t="s">
        <v>6295</v>
      </c>
      <c r="E6011" s="7" t="s">
        <v>6940</v>
      </c>
      <c r="F6011" s="7" t="s">
        <v>6987</v>
      </c>
      <c r="G6011" s="7" t="s">
        <v>7151</v>
      </c>
      <c r="H6011" s="7" t="s">
        <v>7156</v>
      </c>
      <c r="I6011" s="7"/>
      <c r="J6011" s="10">
        <v>44886</v>
      </c>
      <c r="K6011" s="7" t="s">
        <v>7165</v>
      </c>
      <c r="L6011" s="7"/>
      <c r="M6011" s="7"/>
    </row>
    <row r="6012" spans="1:13" x14ac:dyDescent="0.3">
      <c r="A6012" s="7">
        <v>18197</v>
      </c>
      <c r="B6012" s="7" t="s">
        <v>6018</v>
      </c>
      <c r="C6012" s="7" t="s">
        <v>7123</v>
      </c>
      <c r="D6012" s="7" t="s">
        <v>6295</v>
      </c>
      <c r="E6012" s="7" t="s">
        <v>6940</v>
      </c>
      <c r="F6012" s="7" t="s">
        <v>7000</v>
      </c>
      <c r="G6012" s="7" t="s">
        <v>7150</v>
      </c>
      <c r="H6012" s="7" t="s">
        <v>7157</v>
      </c>
      <c r="I6012" s="7"/>
      <c r="J6012" s="10">
        <v>46045</v>
      </c>
      <c r="K6012" s="7" t="s">
        <v>7165</v>
      </c>
      <c r="L6012" s="7"/>
      <c r="M6012" s="7"/>
    </row>
    <row r="6013" spans="1:13" x14ac:dyDescent="0.3">
      <c r="A6013" s="7">
        <v>17079</v>
      </c>
      <c r="B6013" s="7" t="s">
        <v>6019</v>
      </c>
      <c r="C6013" s="7" t="s">
        <v>7123</v>
      </c>
      <c r="D6013" s="7" t="s">
        <v>6295</v>
      </c>
      <c r="E6013" s="7" t="s">
        <v>6940</v>
      </c>
      <c r="F6013" s="7" t="s">
        <v>6987</v>
      </c>
      <c r="G6013" s="7" t="s">
        <v>7150</v>
      </c>
      <c r="H6013" s="7" t="s">
        <v>7156</v>
      </c>
      <c r="I6013" s="7"/>
      <c r="J6013" s="10">
        <v>45623</v>
      </c>
      <c r="K6013" s="7" t="s">
        <v>7165</v>
      </c>
      <c r="L6013" s="7"/>
      <c r="M6013" s="7"/>
    </row>
    <row r="6014" spans="1:13" x14ac:dyDescent="0.3">
      <c r="A6014" s="7">
        <v>760004</v>
      </c>
      <c r="B6014" s="7" t="s">
        <v>6020</v>
      </c>
      <c r="C6014" s="7" t="s">
        <v>7123</v>
      </c>
      <c r="D6014" s="7" t="s">
        <v>6295</v>
      </c>
      <c r="E6014" s="7" t="s">
        <v>6951</v>
      </c>
      <c r="F6014" s="7" t="s">
        <v>6398</v>
      </c>
      <c r="G6014" s="7" t="s">
        <v>7150</v>
      </c>
      <c r="H6014" s="7" t="s">
        <v>7156</v>
      </c>
      <c r="I6014" s="7"/>
      <c r="J6014" s="10">
        <v>37043</v>
      </c>
      <c r="K6014" s="7" t="s">
        <v>7165</v>
      </c>
      <c r="L6014" s="7"/>
      <c r="M6014" s="7"/>
    </row>
    <row r="6015" spans="1:13" x14ac:dyDescent="0.3">
      <c r="A6015" s="7">
        <v>16962</v>
      </c>
      <c r="B6015" s="7" t="s">
        <v>6021</v>
      </c>
      <c r="C6015" s="7" t="s">
        <v>7123</v>
      </c>
      <c r="D6015" s="7" t="s">
        <v>6295</v>
      </c>
      <c r="E6015" s="7" t="s">
        <v>6951</v>
      </c>
      <c r="F6015" s="7" t="s">
        <v>6398</v>
      </c>
      <c r="G6015" s="7" t="s">
        <v>7150</v>
      </c>
      <c r="H6015" s="7" t="s">
        <v>7156</v>
      </c>
      <c r="I6015" s="7"/>
      <c r="J6015" s="10">
        <v>45579</v>
      </c>
      <c r="K6015" s="7" t="s">
        <v>7165</v>
      </c>
      <c r="L6015" s="7"/>
      <c r="M6015" s="7"/>
    </row>
    <row r="6016" spans="1:13" x14ac:dyDescent="0.3">
      <c r="A6016" s="7">
        <v>760045</v>
      </c>
      <c r="B6016" s="7" t="s">
        <v>6022</v>
      </c>
      <c r="C6016" s="7" t="s">
        <v>7123</v>
      </c>
      <c r="D6016" s="7" t="s">
        <v>6295</v>
      </c>
      <c r="E6016" s="7" t="s">
        <v>6994</v>
      </c>
      <c r="F6016" s="7" t="s">
        <v>6498</v>
      </c>
      <c r="G6016" s="7" t="s">
        <v>7150</v>
      </c>
      <c r="H6016" s="7" t="s">
        <v>7156</v>
      </c>
      <c r="I6016" s="7"/>
      <c r="J6016" s="10">
        <v>44461</v>
      </c>
      <c r="K6016" s="7" t="s">
        <v>7165</v>
      </c>
      <c r="L6016" s="7"/>
      <c r="M6016" s="7"/>
    </row>
    <row r="6017" spans="1:13" x14ac:dyDescent="0.3">
      <c r="A6017" s="7">
        <v>760048</v>
      </c>
      <c r="B6017" s="7" t="s">
        <v>6023</v>
      </c>
      <c r="C6017" s="7" t="s">
        <v>7123</v>
      </c>
      <c r="D6017" s="7" t="s">
        <v>6295</v>
      </c>
      <c r="E6017" s="7" t="s">
        <v>6994</v>
      </c>
      <c r="F6017" s="7" t="s">
        <v>6340</v>
      </c>
      <c r="G6017" s="7" t="s">
        <v>7150</v>
      </c>
      <c r="H6017" s="7" t="s">
        <v>7156</v>
      </c>
      <c r="I6017" s="7"/>
      <c r="J6017" s="10">
        <v>44552</v>
      </c>
      <c r="K6017" s="7" t="s">
        <v>7165</v>
      </c>
      <c r="L6017" s="7"/>
      <c r="M6017" s="7"/>
    </row>
    <row r="6018" spans="1:13" x14ac:dyDescent="0.3">
      <c r="A6018" s="7">
        <v>760049</v>
      </c>
      <c r="B6018" s="7" t="s">
        <v>6024</v>
      </c>
      <c r="C6018" s="7" t="s">
        <v>7123</v>
      </c>
      <c r="D6018" s="7" t="s">
        <v>6295</v>
      </c>
      <c r="E6018" s="7" t="s">
        <v>6994</v>
      </c>
      <c r="F6018" s="7" t="s">
        <v>6340</v>
      </c>
      <c r="G6018" s="7" t="s">
        <v>7150</v>
      </c>
      <c r="H6018" s="7" t="s">
        <v>7156</v>
      </c>
      <c r="I6018" s="7"/>
      <c r="J6018" s="10">
        <v>44558</v>
      </c>
      <c r="K6018" s="7" t="s">
        <v>7165</v>
      </c>
      <c r="L6018" s="7"/>
      <c r="M6018" s="7"/>
    </row>
    <row r="6019" spans="1:13" x14ac:dyDescent="0.3">
      <c r="A6019" s="7">
        <v>760050</v>
      </c>
      <c r="B6019" s="7" t="s">
        <v>6025</v>
      </c>
      <c r="C6019" s="7" t="s">
        <v>7123</v>
      </c>
      <c r="D6019" s="7" t="s">
        <v>6295</v>
      </c>
      <c r="E6019" s="7" t="s">
        <v>6994</v>
      </c>
      <c r="F6019" s="7" t="s">
        <v>6340</v>
      </c>
      <c r="G6019" s="7" t="s">
        <v>7150</v>
      </c>
      <c r="H6019" s="7" t="s">
        <v>7156</v>
      </c>
      <c r="I6019" s="7"/>
      <c r="J6019" s="10">
        <v>44558</v>
      </c>
      <c r="K6019" s="7" t="s">
        <v>7165</v>
      </c>
      <c r="L6019" s="7"/>
      <c r="M6019" s="7"/>
    </row>
    <row r="6020" spans="1:13" x14ac:dyDescent="0.3">
      <c r="A6020" s="7">
        <v>14151</v>
      </c>
      <c r="B6020" s="7" t="s">
        <v>6026</v>
      </c>
      <c r="C6020" s="7" t="s">
        <v>7123</v>
      </c>
      <c r="D6020" s="7" t="s">
        <v>6295</v>
      </c>
      <c r="E6020" s="7" t="s">
        <v>6994</v>
      </c>
      <c r="F6020" s="7" t="s">
        <v>6341</v>
      </c>
      <c r="G6020" s="7" t="s">
        <v>7150</v>
      </c>
      <c r="H6020" s="7" t="s">
        <v>7156</v>
      </c>
      <c r="I6020" s="7"/>
      <c r="J6020" s="10">
        <v>44677</v>
      </c>
      <c r="K6020" s="7" t="s">
        <v>7165</v>
      </c>
      <c r="L6020" s="7"/>
      <c r="M6020" s="7"/>
    </row>
    <row r="6021" spans="1:13" x14ac:dyDescent="0.3">
      <c r="A6021" s="7">
        <v>12037</v>
      </c>
      <c r="B6021" s="7" t="s">
        <v>6027</v>
      </c>
      <c r="C6021" s="7" t="s">
        <v>7124</v>
      </c>
      <c r="D6021" s="7" t="s">
        <v>6295</v>
      </c>
      <c r="E6021" s="7" t="s">
        <v>6295</v>
      </c>
      <c r="F6021" s="7" t="s">
        <v>6939</v>
      </c>
      <c r="G6021" s="7" t="s">
        <v>7150</v>
      </c>
      <c r="H6021" s="7" t="s">
        <v>7156</v>
      </c>
      <c r="I6021" s="7"/>
      <c r="J6021" s="10">
        <v>43399</v>
      </c>
      <c r="K6021" s="7" t="s">
        <v>7165</v>
      </c>
      <c r="L6021" s="7"/>
      <c r="M6021" s="7"/>
    </row>
    <row r="6022" spans="1:13" x14ac:dyDescent="0.3">
      <c r="A6022" s="7">
        <v>115005</v>
      </c>
      <c r="B6022" s="7" t="s">
        <v>6028</v>
      </c>
      <c r="C6022" s="7" t="s">
        <v>7124</v>
      </c>
      <c r="D6022" s="7" t="s">
        <v>6295</v>
      </c>
      <c r="E6022" s="7" t="s">
        <v>6940</v>
      </c>
      <c r="F6022" s="7" t="s">
        <v>6991</v>
      </c>
      <c r="G6022" s="7" t="s">
        <v>7150</v>
      </c>
      <c r="H6022" s="7" t="s">
        <v>7156</v>
      </c>
      <c r="I6022" s="7"/>
      <c r="J6022" s="10">
        <v>41417</v>
      </c>
      <c r="K6022" s="7" t="s">
        <v>7165</v>
      </c>
      <c r="L6022" s="7"/>
      <c r="M6022" s="7"/>
    </row>
    <row r="6023" spans="1:13" x14ac:dyDescent="0.3">
      <c r="A6023" s="7">
        <v>16652</v>
      </c>
      <c r="B6023" s="7" t="s">
        <v>6029</v>
      </c>
      <c r="C6023" s="7" t="s">
        <v>7124</v>
      </c>
      <c r="D6023" s="7" t="s">
        <v>6295</v>
      </c>
      <c r="E6023" s="7" t="s">
        <v>6940</v>
      </c>
      <c r="F6023" s="7" t="s">
        <v>6949</v>
      </c>
      <c r="G6023" s="7" t="s">
        <v>7150</v>
      </c>
      <c r="H6023" s="7" t="s">
        <v>7156</v>
      </c>
      <c r="I6023" s="7"/>
      <c r="J6023" s="10">
        <v>45511</v>
      </c>
      <c r="K6023" s="7" t="s">
        <v>7165</v>
      </c>
      <c r="L6023" s="7"/>
      <c r="M6023" s="7"/>
    </row>
    <row r="6024" spans="1:13" x14ac:dyDescent="0.3">
      <c r="A6024" s="7">
        <v>17443</v>
      </c>
      <c r="B6024" s="7" t="s">
        <v>6030</v>
      </c>
      <c r="C6024" s="7" t="s">
        <v>7124</v>
      </c>
      <c r="D6024" s="7" t="s">
        <v>6295</v>
      </c>
      <c r="E6024" s="7" t="s">
        <v>6940</v>
      </c>
      <c r="F6024" s="7" t="s">
        <v>6989</v>
      </c>
      <c r="G6024" s="7" t="s">
        <v>7150</v>
      </c>
      <c r="H6024" s="7" t="s">
        <v>7156</v>
      </c>
      <c r="I6024" s="7"/>
      <c r="J6024" s="10">
        <v>45755</v>
      </c>
      <c r="K6024" s="7" t="s">
        <v>7165</v>
      </c>
      <c r="L6024" s="7"/>
      <c r="M6024" s="7"/>
    </row>
    <row r="6025" spans="1:13" x14ac:dyDescent="0.3">
      <c r="A6025" s="7">
        <v>300044</v>
      </c>
      <c r="B6025" s="7" t="s">
        <v>6031</v>
      </c>
      <c r="C6025" s="7" t="s">
        <v>7124</v>
      </c>
      <c r="D6025" s="7" t="s">
        <v>6295</v>
      </c>
      <c r="E6025" s="7" t="s">
        <v>6940</v>
      </c>
      <c r="F6025" s="7" t="s">
        <v>6980</v>
      </c>
      <c r="G6025" s="7" t="s">
        <v>7150</v>
      </c>
      <c r="H6025" s="7" t="s">
        <v>7156</v>
      </c>
      <c r="I6025" s="7"/>
      <c r="J6025" s="10">
        <v>42720</v>
      </c>
      <c r="K6025" s="7" t="s">
        <v>7165</v>
      </c>
      <c r="L6025" s="7"/>
      <c r="M6025" s="7"/>
    </row>
    <row r="6026" spans="1:13" x14ac:dyDescent="0.3">
      <c r="A6026" s="7">
        <v>290047</v>
      </c>
      <c r="B6026" s="7" t="s">
        <v>6032</v>
      </c>
      <c r="C6026" s="7" t="s">
        <v>7124</v>
      </c>
      <c r="D6026" s="7" t="s">
        <v>6295</v>
      </c>
      <c r="E6026" s="7" t="s">
        <v>6940</v>
      </c>
      <c r="F6026" s="7" t="s">
        <v>6980</v>
      </c>
      <c r="G6026" s="7" t="s">
        <v>7150</v>
      </c>
      <c r="H6026" s="7" t="s">
        <v>7156</v>
      </c>
      <c r="I6026" s="7"/>
      <c r="J6026" s="10">
        <v>42796</v>
      </c>
      <c r="K6026" s="7" t="s">
        <v>7165</v>
      </c>
      <c r="L6026" s="7"/>
      <c r="M6026" s="7"/>
    </row>
    <row r="6027" spans="1:13" x14ac:dyDescent="0.3">
      <c r="A6027" s="7">
        <v>510034</v>
      </c>
      <c r="B6027" s="7" t="s">
        <v>6033</v>
      </c>
      <c r="C6027" s="7" t="s">
        <v>7124</v>
      </c>
      <c r="D6027" s="7" t="s">
        <v>6295</v>
      </c>
      <c r="E6027" s="7" t="s">
        <v>6940</v>
      </c>
      <c r="F6027" s="7" t="s">
        <v>6980</v>
      </c>
      <c r="G6027" s="7" t="s">
        <v>7150</v>
      </c>
      <c r="H6027" s="7" t="s">
        <v>7156</v>
      </c>
      <c r="I6027" s="7"/>
      <c r="J6027" s="10">
        <v>43696</v>
      </c>
      <c r="K6027" s="7" t="s">
        <v>7165</v>
      </c>
      <c r="L6027" s="7"/>
      <c r="M6027" s="7"/>
    </row>
    <row r="6028" spans="1:13" x14ac:dyDescent="0.3">
      <c r="A6028" s="7">
        <v>510040</v>
      </c>
      <c r="B6028" s="7" t="s">
        <v>6034</v>
      </c>
      <c r="C6028" s="7" t="s">
        <v>7124</v>
      </c>
      <c r="D6028" s="7" t="s">
        <v>6295</v>
      </c>
      <c r="E6028" s="7" t="s">
        <v>6940</v>
      </c>
      <c r="F6028" s="7" t="s">
        <v>6986</v>
      </c>
      <c r="G6028" s="7" t="s">
        <v>7150</v>
      </c>
      <c r="H6028" s="7" t="s">
        <v>7156</v>
      </c>
      <c r="I6028" s="7"/>
      <c r="J6028" s="10">
        <v>44552</v>
      </c>
      <c r="K6028" s="7" t="s">
        <v>7165</v>
      </c>
      <c r="L6028" s="7"/>
      <c r="M6028" s="7"/>
    </row>
    <row r="6029" spans="1:13" x14ac:dyDescent="0.3">
      <c r="A6029" s="7">
        <v>510041</v>
      </c>
      <c r="B6029" s="7" t="s">
        <v>6035</v>
      </c>
      <c r="C6029" s="7" t="s">
        <v>7124</v>
      </c>
      <c r="D6029" s="7" t="s">
        <v>6295</v>
      </c>
      <c r="E6029" s="7" t="s">
        <v>6940</v>
      </c>
      <c r="F6029" s="7" t="s">
        <v>6986</v>
      </c>
      <c r="G6029" s="7" t="s">
        <v>7150</v>
      </c>
      <c r="H6029" s="7" t="s">
        <v>7156</v>
      </c>
      <c r="I6029" s="7"/>
      <c r="J6029" s="10">
        <v>44603</v>
      </c>
      <c r="K6029" s="7" t="s">
        <v>7165</v>
      </c>
      <c r="L6029" s="7"/>
      <c r="M6029" s="7"/>
    </row>
    <row r="6030" spans="1:13" x14ac:dyDescent="0.3">
      <c r="A6030" s="7">
        <v>15288</v>
      </c>
      <c r="B6030" s="7" t="s">
        <v>6036</v>
      </c>
      <c r="C6030" s="7" t="s">
        <v>7124</v>
      </c>
      <c r="D6030" s="7" t="s">
        <v>6295</v>
      </c>
      <c r="E6030" s="7" t="s">
        <v>6940</v>
      </c>
      <c r="F6030" s="7" t="s">
        <v>6986</v>
      </c>
      <c r="G6030" s="7" t="s">
        <v>7150</v>
      </c>
      <c r="H6030" s="7" t="s">
        <v>7156</v>
      </c>
      <c r="I6030" s="7"/>
      <c r="J6030" s="10">
        <v>45019</v>
      </c>
      <c r="K6030" s="7" t="s">
        <v>7165</v>
      </c>
      <c r="L6030" s="7"/>
      <c r="M6030" s="7"/>
    </row>
    <row r="6031" spans="1:13" x14ac:dyDescent="0.3">
      <c r="A6031" s="7">
        <v>14690</v>
      </c>
      <c r="B6031" s="7" t="s">
        <v>6037</v>
      </c>
      <c r="C6031" s="7" t="s">
        <v>7124</v>
      </c>
      <c r="D6031" s="7" t="s">
        <v>6295</v>
      </c>
      <c r="E6031" s="7" t="s">
        <v>6940</v>
      </c>
      <c r="F6031" s="7" t="s">
        <v>6987</v>
      </c>
      <c r="G6031" s="7" t="s">
        <v>7150</v>
      </c>
      <c r="H6031" s="7" t="s">
        <v>7156</v>
      </c>
      <c r="I6031" s="7"/>
      <c r="J6031" s="10">
        <v>44826</v>
      </c>
      <c r="K6031" s="7" t="s">
        <v>7165</v>
      </c>
      <c r="L6031" s="7"/>
      <c r="M6031" s="7"/>
    </row>
    <row r="6032" spans="1:13" x14ac:dyDescent="0.3">
      <c r="A6032" s="7">
        <v>17963</v>
      </c>
      <c r="B6032" s="7" t="s">
        <v>6038</v>
      </c>
      <c r="C6032" s="7" t="s">
        <v>7124</v>
      </c>
      <c r="D6032" s="7" t="s">
        <v>6295</v>
      </c>
      <c r="E6032" s="7" t="s">
        <v>6940</v>
      </c>
      <c r="F6032" s="7" t="s">
        <v>6987</v>
      </c>
      <c r="G6032" s="7" t="s">
        <v>7150</v>
      </c>
      <c r="H6032" s="7" t="s">
        <v>7156</v>
      </c>
      <c r="I6032" s="7"/>
      <c r="J6032" s="10">
        <v>45939</v>
      </c>
      <c r="K6032" s="7" t="s">
        <v>7165</v>
      </c>
      <c r="L6032" s="7"/>
      <c r="M6032" s="7"/>
    </row>
    <row r="6033" spans="1:13" x14ac:dyDescent="0.3">
      <c r="A6033" s="7">
        <v>16064</v>
      </c>
      <c r="B6033" s="7" t="s">
        <v>6039</v>
      </c>
      <c r="C6033" s="7" t="s">
        <v>7124</v>
      </c>
      <c r="D6033" s="7" t="s">
        <v>6295</v>
      </c>
      <c r="E6033" s="7" t="s">
        <v>6940</v>
      </c>
      <c r="F6033" s="7" t="s">
        <v>6987</v>
      </c>
      <c r="G6033" s="7" t="s">
        <v>7150</v>
      </c>
      <c r="H6033" s="7" t="s">
        <v>7156</v>
      </c>
      <c r="I6033" s="7"/>
      <c r="J6033" s="10">
        <v>45278</v>
      </c>
      <c r="K6033" s="7" t="s">
        <v>7165</v>
      </c>
      <c r="L6033" s="7"/>
      <c r="M6033" s="7"/>
    </row>
    <row r="6034" spans="1:13" x14ac:dyDescent="0.3">
      <c r="A6034" s="7">
        <v>17941</v>
      </c>
      <c r="B6034" s="7" t="s">
        <v>6040</v>
      </c>
      <c r="C6034" s="7" t="s">
        <v>7124</v>
      </c>
      <c r="D6034" s="7" t="s">
        <v>6295</v>
      </c>
      <c r="E6034" s="7" t="s">
        <v>6940</v>
      </c>
      <c r="F6034" s="7" t="s">
        <v>6987</v>
      </c>
      <c r="G6034" s="7" t="s">
        <v>7150</v>
      </c>
      <c r="H6034" s="7" t="s">
        <v>7156</v>
      </c>
      <c r="I6034" s="7"/>
      <c r="J6034" s="10">
        <v>45931</v>
      </c>
      <c r="K6034" s="7" t="s">
        <v>7165</v>
      </c>
      <c r="L6034" s="7"/>
      <c r="M6034" s="7"/>
    </row>
    <row r="6035" spans="1:13" x14ac:dyDescent="0.3">
      <c r="A6035" s="7">
        <v>14072</v>
      </c>
      <c r="B6035" s="7" t="s">
        <v>6041</v>
      </c>
      <c r="C6035" s="7" t="s">
        <v>7124</v>
      </c>
      <c r="D6035" s="7" t="s">
        <v>6295</v>
      </c>
      <c r="E6035" s="7" t="s">
        <v>6940</v>
      </c>
      <c r="F6035" s="7" t="s">
        <v>6986</v>
      </c>
      <c r="G6035" s="7" t="s">
        <v>7150</v>
      </c>
      <c r="H6035" s="7" t="s">
        <v>7156</v>
      </c>
      <c r="I6035" s="7"/>
      <c r="J6035" s="10">
        <v>44652</v>
      </c>
      <c r="K6035" s="7" t="s">
        <v>7165</v>
      </c>
      <c r="L6035" s="7"/>
      <c r="M6035" s="7"/>
    </row>
    <row r="6036" spans="1:13" x14ac:dyDescent="0.3">
      <c r="A6036" s="7">
        <v>510006</v>
      </c>
      <c r="B6036" s="7" t="s">
        <v>6042</v>
      </c>
      <c r="C6036" s="7" t="s">
        <v>7124</v>
      </c>
      <c r="D6036" s="7" t="s">
        <v>6295</v>
      </c>
      <c r="E6036" s="7" t="s">
        <v>6951</v>
      </c>
      <c r="F6036" s="7" t="s">
        <v>6398</v>
      </c>
      <c r="G6036" s="7" t="s">
        <v>7150</v>
      </c>
      <c r="H6036" s="7" t="s">
        <v>7156</v>
      </c>
      <c r="I6036" s="7"/>
      <c r="J6036" s="10">
        <v>41092</v>
      </c>
      <c r="K6036" s="7" t="s">
        <v>7165</v>
      </c>
      <c r="L6036" s="7"/>
      <c r="M6036" s="7"/>
    </row>
    <row r="6037" spans="1:13" x14ac:dyDescent="0.3">
      <c r="A6037" s="7">
        <v>510039</v>
      </c>
      <c r="B6037" s="7" t="s">
        <v>6043</v>
      </c>
      <c r="C6037" s="7" t="s">
        <v>7124</v>
      </c>
      <c r="D6037" s="7" t="s">
        <v>6295</v>
      </c>
      <c r="E6037" s="7" t="s">
        <v>6994</v>
      </c>
      <c r="F6037" s="7" t="s">
        <v>6498</v>
      </c>
      <c r="G6037" s="7" t="s">
        <v>7150</v>
      </c>
      <c r="H6037" s="7" t="s">
        <v>7156</v>
      </c>
      <c r="I6037" s="7"/>
      <c r="J6037" s="10">
        <v>44502</v>
      </c>
      <c r="K6037" s="7" t="s">
        <v>7165</v>
      </c>
      <c r="L6037" s="7"/>
      <c r="M6037" s="7"/>
    </row>
    <row r="6038" spans="1:13" x14ac:dyDescent="0.3">
      <c r="A6038" s="7">
        <v>14342</v>
      </c>
      <c r="B6038" s="7" t="s">
        <v>6044</v>
      </c>
      <c r="C6038" s="7" t="s">
        <v>7124</v>
      </c>
      <c r="D6038" s="7" t="s">
        <v>6295</v>
      </c>
      <c r="E6038" s="7" t="s">
        <v>6994</v>
      </c>
      <c r="F6038" s="7" t="s">
        <v>6340</v>
      </c>
      <c r="G6038" s="7" t="s">
        <v>7150</v>
      </c>
      <c r="H6038" s="7" t="s">
        <v>7156</v>
      </c>
      <c r="I6038" s="7"/>
      <c r="J6038" s="10">
        <v>44735</v>
      </c>
      <c r="K6038" s="7" t="s">
        <v>7165</v>
      </c>
      <c r="L6038" s="7"/>
      <c r="M6038" s="7"/>
    </row>
    <row r="6039" spans="1:13" x14ac:dyDescent="0.3">
      <c r="A6039" s="7">
        <v>14353</v>
      </c>
      <c r="B6039" s="7" t="s">
        <v>6045</v>
      </c>
      <c r="C6039" s="7" t="s">
        <v>7124</v>
      </c>
      <c r="D6039" s="7" t="s">
        <v>6295</v>
      </c>
      <c r="E6039" s="7" t="s">
        <v>6994</v>
      </c>
      <c r="F6039" s="7" t="s">
        <v>6340</v>
      </c>
      <c r="G6039" s="7" t="s">
        <v>7150</v>
      </c>
      <c r="H6039" s="7" t="s">
        <v>7156</v>
      </c>
      <c r="I6039" s="7"/>
      <c r="J6039" s="10">
        <v>44746</v>
      </c>
      <c r="K6039" s="7" t="s">
        <v>7165</v>
      </c>
      <c r="L6039" s="7"/>
      <c r="M6039" s="7"/>
    </row>
    <row r="6040" spans="1:13" x14ac:dyDescent="0.3">
      <c r="A6040" s="7">
        <v>14352</v>
      </c>
      <c r="B6040" s="7" t="s">
        <v>6046</v>
      </c>
      <c r="C6040" s="7" t="s">
        <v>7124</v>
      </c>
      <c r="D6040" s="7" t="s">
        <v>6295</v>
      </c>
      <c r="E6040" s="7" t="s">
        <v>6994</v>
      </c>
      <c r="F6040" s="7" t="s">
        <v>6340</v>
      </c>
      <c r="G6040" s="7" t="s">
        <v>7150</v>
      </c>
      <c r="H6040" s="7" t="s">
        <v>7156</v>
      </c>
      <c r="I6040" s="7"/>
      <c r="J6040" s="10">
        <v>44746</v>
      </c>
      <c r="K6040" s="7" t="s">
        <v>7165</v>
      </c>
      <c r="L6040" s="7"/>
      <c r="M6040" s="7"/>
    </row>
    <row r="6041" spans="1:13" x14ac:dyDescent="0.3">
      <c r="A6041" s="7">
        <v>18503</v>
      </c>
      <c r="B6041" s="7" t="s">
        <v>6047</v>
      </c>
      <c r="C6041" s="7" t="s">
        <v>7124</v>
      </c>
      <c r="D6041" s="7" t="s">
        <v>6295</v>
      </c>
      <c r="E6041" s="7" t="s">
        <v>6994</v>
      </c>
      <c r="F6041" s="7" t="s">
        <v>6348</v>
      </c>
      <c r="G6041" s="7" t="s">
        <v>7150</v>
      </c>
      <c r="H6041" s="7" t="s">
        <v>7156</v>
      </c>
      <c r="I6041" s="7"/>
      <c r="J6041" s="10">
        <v>46146</v>
      </c>
      <c r="K6041" s="7" t="s">
        <v>7165</v>
      </c>
      <c r="L6041" s="7"/>
      <c r="M6041" s="7"/>
    </row>
    <row r="6042" spans="1:13" x14ac:dyDescent="0.3">
      <c r="A6042" s="7">
        <v>700047</v>
      </c>
      <c r="B6042" s="7" t="s">
        <v>6048</v>
      </c>
      <c r="C6042" s="7" t="s">
        <v>7125</v>
      </c>
      <c r="D6042" s="7" t="s">
        <v>6295</v>
      </c>
      <c r="E6042" s="7" t="s">
        <v>6295</v>
      </c>
      <c r="F6042" s="7" t="s">
        <v>6939</v>
      </c>
      <c r="G6042" s="7" t="s">
        <v>7150</v>
      </c>
      <c r="H6042" s="7" t="s">
        <v>7156</v>
      </c>
      <c r="I6042" s="7"/>
      <c r="J6042" s="10">
        <v>42552</v>
      </c>
      <c r="K6042" s="7" t="s">
        <v>7165</v>
      </c>
      <c r="L6042" s="7"/>
      <c r="M6042" s="7"/>
    </row>
    <row r="6043" spans="1:13" x14ac:dyDescent="0.3">
      <c r="A6043" s="7">
        <v>710030</v>
      </c>
      <c r="B6043" s="7" t="s">
        <v>6049</v>
      </c>
      <c r="C6043" s="7" t="s">
        <v>7125</v>
      </c>
      <c r="D6043" s="7" t="s">
        <v>6295</v>
      </c>
      <c r="E6043" s="7" t="s">
        <v>6940</v>
      </c>
      <c r="F6043" s="7" t="s">
        <v>6941</v>
      </c>
      <c r="G6043" s="7" t="s">
        <v>7150</v>
      </c>
      <c r="H6043" s="7" t="s">
        <v>7156</v>
      </c>
      <c r="I6043" s="7"/>
      <c r="J6043" s="10">
        <v>42695</v>
      </c>
      <c r="K6043" s="7" t="s">
        <v>7165</v>
      </c>
      <c r="L6043" s="7"/>
      <c r="M6043" s="7"/>
    </row>
    <row r="6044" spans="1:13" x14ac:dyDescent="0.3">
      <c r="A6044" s="7">
        <v>200012</v>
      </c>
      <c r="B6044" s="7" t="s">
        <v>6050</v>
      </c>
      <c r="C6044" s="7" t="s">
        <v>7125</v>
      </c>
      <c r="D6044" s="7" t="s">
        <v>6295</v>
      </c>
      <c r="E6044" s="7" t="s">
        <v>6940</v>
      </c>
      <c r="F6044" s="7" t="s">
        <v>6943</v>
      </c>
      <c r="G6044" s="7" t="s">
        <v>7151</v>
      </c>
      <c r="H6044" s="7" t="s">
        <v>7156</v>
      </c>
      <c r="I6044" s="7"/>
      <c r="J6044" s="10">
        <v>44606</v>
      </c>
      <c r="K6044" s="7" t="s">
        <v>7165</v>
      </c>
      <c r="L6044" s="7"/>
      <c r="M6044" s="7"/>
    </row>
    <row r="6045" spans="1:13" x14ac:dyDescent="0.3">
      <c r="A6045" s="7">
        <v>18264</v>
      </c>
      <c r="B6045" s="7" t="s">
        <v>6051</v>
      </c>
      <c r="C6045" s="7" t="s">
        <v>7125</v>
      </c>
      <c r="D6045" s="7" t="s">
        <v>6295</v>
      </c>
      <c r="E6045" s="7" t="s">
        <v>6940</v>
      </c>
      <c r="F6045" s="7" t="s">
        <v>6983</v>
      </c>
      <c r="G6045" s="7" t="s">
        <v>7150</v>
      </c>
      <c r="H6045" s="7" t="s">
        <v>7157</v>
      </c>
      <c r="I6045" s="7"/>
      <c r="J6045" s="10">
        <v>46073</v>
      </c>
      <c r="K6045" s="7" t="s">
        <v>7165</v>
      </c>
      <c r="L6045" s="7"/>
      <c r="M6045" s="7"/>
    </row>
    <row r="6046" spans="1:13" x14ac:dyDescent="0.3">
      <c r="A6046" s="7">
        <v>17102</v>
      </c>
      <c r="B6046" s="7" t="s">
        <v>6052</v>
      </c>
      <c r="C6046" s="7" t="s">
        <v>7125</v>
      </c>
      <c r="D6046" s="7" t="s">
        <v>6295</v>
      </c>
      <c r="E6046" s="7" t="s">
        <v>6940</v>
      </c>
      <c r="F6046" s="7" t="s">
        <v>6943</v>
      </c>
      <c r="G6046" s="7" t="s">
        <v>7150</v>
      </c>
      <c r="H6046" s="7" t="s">
        <v>7156</v>
      </c>
      <c r="I6046" s="7"/>
      <c r="J6046" s="10">
        <v>45629</v>
      </c>
      <c r="K6046" s="7" t="s">
        <v>7165</v>
      </c>
      <c r="L6046" s="7"/>
      <c r="M6046" s="7"/>
    </row>
    <row r="6047" spans="1:13" x14ac:dyDescent="0.3">
      <c r="A6047" s="7">
        <v>16511</v>
      </c>
      <c r="B6047" s="7" t="s">
        <v>6053</v>
      </c>
      <c r="C6047" s="7" t="s">
        <v>7125</v>
      </c>
      <c r="D6047" s="7" t="s">
        <v>6295</v>
      </c>
      <c r="E6047" s="7" t="s">
        <v>6940</v>
      </c>
      <c r="F6047" s="7" t="s">
        <v>6949</v>
      </c>
      <c r="G6047" s="7" t="s">
        <v>7150</v>
      </c>
      <c r="H6047" s="7" t="s">
        <v>7156</v>
      </c>
      <c r="I6047" s="7"/>
      <c r="J6047" s="10">
        <v>45449</v>
      </c>
      <c r="K6047" s="7" t="s">
        <v>7165</v>
      </c>
      <c r="L6047" s="7"/>
      <c r="M6047" s="7"/>
    </row>
    <row r="6048" spans="1:13" x14ac:dyDescent="0.3">
      <c r="A6048" s="7">
        <v>16550</v>
      </c>
      <c r="B6048" s="7" t="s">
        <v>6054</v>
      </c>
      <c r="C6048" s="7" t="s">
        <v>7125</v>
      </c>
      <c r="D6048" s="7" t="s">
        <v>6295</v>
      </c>
      <c r="E6048" s="7" t="s">
        <v>6940</v>
      </c>
      <c r="F6048" s="7" t="s">
        <v>6949</v>
      </c>
      <c r="G6048" s="7" t="s">
        <v>7150</v>
      </c>
      <c r="H6048" s="7" t="s">
        <v>7156</v>
      </c>
      <c r="I6048" s="7"/>
      <c r="J6048" s="10">
        <v>45484</v>
      </c>
      <c r="K6048" s="7" t="s">
        <v>7165</v>
      </c>
      <c r="L6048" s="7"/>
      <c r="M6048" s="7"/>
    </row>
    <row r="6049" spans="1:13" x14ac:dyDescent="0.3">
      <c r="A6049" s="7">
        <v>720033</v>
      </c>
      <c r="B6049" s="7" t="s">
        <v>6055</v>
      </c>
      <c r="C6049" s="7" t="s">
        <v>7125</v>
      </c>
      <c r="D6049" s="7" t="s">
        <v>6295</v>
      </c>
      <c r="E6049" s="7" t="s">
        <v>6940</v>
      </c>
      <c r="F6049" s="7" t="s">
        <v>6980</v>
      </c>
      <c r="G6049" s="7" t="s">
        <v>7150</v>
      </c>
      <c r="H6049" s="7" t="s">
        <v>7156</v>
      </c>
      <c r="I6049" s="7"/>
      <c r="J6049" s="10">
        <v>42556</v>
      </c>
      <c r="K6049" s="7" t="s">
        <v>7165</v>
      </c>
      <c r="L6049" s="7"/>
      <c r="M6049" s="7"/>
    </row>
    <row r="6050" spans="1:13" x14ac:dyDescent="0.3">
      <c r="A6050" s="7">
        <v>14559</v>
      </c>
      <c r="B6050" s="7" t="s">
        <v>6056</v>
      </c>
      <c r="C6050" s="7" t="s">
        <v>7125</v>
      </c>
      <c r="D6050" s="7" t="s">
        <v>6295</v>
      </c>
      <c r="E6050" s="7" t="s">
        <v>6940</v>
      </c>
      <c r="F6050" s="7" t="s">
        <v>6986</v>
      </c>
      <c r="G6050" s="7" t="s">
        <v>7150</v>
      </c>
      <c r="H6050" s="7" t="s">
        <v>7156</v>
      </c>
      <c r="I6050" s="7"/>
      <c r="J6050" s="10">
        <v>44784</v>
      </c>
      <c r="K6050" s="7" t="s">
        <v>7165</v>
      </c>
      <c r="L6050" s="7"/>
      <c r="M6050" s="7"/>
    </row>
    <row r="6051" spans="1:13" x14ac:dyDescent="0.3">
      <c r="A6051" s="7">
        <v>200013</v>
      </c>
      <c r="B6051" s="7" t="s">
        <v>6057</v>
      </c>
      <c r="C6051" s="7" t="s">
        <v>7125</v>
      </c>
      <c r="D6051" s="7" t="s">
        <v>6295</v>
      </c>
      <c r="E6051" s="7" t="s">
        <v>6940</v>
      </c>
      <c r="F6051" s="7" t="s">
        <v>6986</v>
      </c>
      <c r="G6051" s="7" t="s">
        <v>7150</v>
      </c>
      <c r="H6051" s="7" t="s">
        <v>7156</v>
      </c>
      <c r="I6051" s="7"/>
      <c r="J6051" s="10">
        <v>44614</v>
      </c>
      <c r="K6051" s="7" t="s">
        <v>7165</v>
      </c>
      <c r="L6051" s="7"/>
      <c r="M6051" s="7"/>
    </row>
    <row r="6052" spans="1:13" x14ac:dyDescent="0.3">
      <c r="A6052" s="7">
        <v>17243</v>
      </c>
      <c r="B6052" s="7" t="s">
        <v>6058</v>
      </c>
      <c r="C6052" s="7" t="s">
        <v>7125</v>
      </c>
      <c r="D6052" s="7" t="s">
        <v>6295</v>
      </c>
      <c r="E6052" s="7" t="s">
        <v>6940</v>
      </c>
      <c r="F6052" s="7" t="s">
        <v>6989</v>
      </c>
      <c r="G6052" s="7" t="s">
        <v>7150</v>
      </c>
      <c r="H6052" s="7" t="s">
        <v>7156</v>
      </c>
      <c r="I6052" s="7"/>
      <c r="J6052" s="10">
        <v>45681</v>
      </c>
      <c r="K6052" s="7" t="s">
        <v>7165</v>
      </c>
      <c r="L6052" s="7"/>
      <c r="M6052" s="7"/>
    </row>
    <row r="6053" spans="1:13" x14ac:dyDescent="0.3">
      <c r="A6053" s="7">
        <v>200003</v>
      </c>
      <c r="B6053" s="7" t="s">
        <v>6059</v>
      </c>
      <c r="C6053" s="7" t="s">
        <v>7125</v>
      </c>
      <c r="D6053" s="7" t="s">
        <v>6295</v>
      </c>
      <c r="E6053" s="7" t="s">
        <v>6951</v>
      </c>
      <c r="F6053" s="7" t="s">
        <v>6398</v>
      </c>
      <c r="G6053" s="7" t="s">
        <v>7150</v>
      </c>
      <c r="H6053" s="7" t="s">
        <v>7156</v>
      </c>
      <c r="I6053" s="7"/>
      <c r="J6053" s="10">
        <v>43174</v>
      </c>
      <c r="K6053" s="7" t="s">
        <v>7165</v>
      </c>
      <c r="L6053" s="7"/>
      <c r="M6053" s="7"/>
    </row>
    <row r="6054" spans="1:13" x14ac:dyDescent="0.3">
      <c r="A6054" s="7">
        <v>390023</v>
      </c>
      <c r="B6054" s="7" t="s">
        <v>6060</v>
      </c>
      <c r="C6054" s="7" t="s">
        <v>7126</v>
      </c>
      <c r="D6054" s="7" t="s">
        <v>6295</v>
      </c>
      <c r="E6054" s="7" t="s">
        <v>6295</v>
      </c>
      <c r="F6054" s="7" t="s">
        <v>6939</v>
      </c>
      <c r="G6054" s="7" t="s">
        <v>7150</v>
      </c>
      <c r="H6054" s="7" t="s">
        <v>7156</v>
      </c>
      <c r="I6054" s="7"/>
      <c r="J6054" s="10">
        <v>42849</v>
      </c>
      <c r="K6054" s="7" t="s">
        <v>7165</v>
      </c>
      <c r="L6054" s="7"/>
      <c r="M6054" s="7"/>
    </row>
    <row r="6055" spans="1:13" x14ac:dyDescent="0.3">
      <c r="A6055" s="7">
        <v>11156</v>
      </c>
      <c r="B6055" s="7" t="s">
        <v>6061</v>
      </c>
      <c r="C6055" s="7" t="s">
        <v>7126</v>
      </c>
      <c r="D6055" s="7" t="s">
        <v>6295</v>
      </c>
      <c r="E6055" s="7" t="s">
        <v>6295</v>
      </c>
      <c r="F6055" s="7" t="s">
        <v>6335</v>
      </c>
      <c r="G6055" s="7" t="s">
        <v>7150</v>
      </c>
      <c r="H6055" s="7" t="s">
        <v>7156</v>
      </c>
      <c r="I6055" s="7"/>
      <c r="J6055" s="10">
        <v>42326</v>
      </c>
      <c r="K6055" s="7" t="s">
        <v>7165</v>
      </c>
      <c r="L6055" s="7"/>
      <c r="M6055" s="7"/>
    </row>
    <row r="6056" spans="1:13" x14ac:dyDescent="0.3">
      <c r="A6056" s="7">
        <v>470033</v>
      </c>
      <c r="B6056" s="7" t="s">
        <v>6062</v>
      </c>
      <c r="C6056" s="7" t="s">
        <v>7126</v>
      </c>
      <c r="D6056" s="7" t="s">
        <v>6295</v>
      </c>
      <c r="E6056" s="7" t="s">
        <v>6940</v>
      </c>
      <c r="F6056" s="7" t="s">
        <v>6991</v>
      </c>
      <c r="G6056" s="7" t="s">
        <v>7150</v>
      </c>
      <c r="H6056" s="7" t="s">
        <v>7156</v>
      </c>
      <c r="I6056" s="7"/>
      <c r="J6056" s="10">
        <v>42522</v>
      </c>
      <c r="K6056" s="7" t="s">
        <v>7165</v>
      </c>
      <c r="L6056" s="7"/>
      <c r="M6056" s="7"/>
    </row>
    <row r="6057" spans="1:13" x14ac:dyDescent="0.3">
      <c r="A6057" s="7">
        <v>450048</v>
      </c>
      <c r="B6057" s="7" t="s">
        <v>6063</v>
      </c>
      <c r="C6057" s="7" t="s">
        <v>7126</v>
      </c>
      <c r="D6057" s="7" t="s">
        <v>6295</v>
      </c>
      <c r="E6057" s="7" t="s">
        <v>6940</v>
      </c>
      <c r="F6057" s="7" t="s">
        <v>6991</v>
      </c>
      <c r="G6057" s="7" t="s">
        <v>7150</v>
      </c>
      <c r="H6057" s="7" t="s">
        <v>7156</v>
      </c>
      <c r="I6057" s="7"/>
      <c r="J6057" s="10">
        <v>43521</v>
      </c>
      <c r="K6057" s="7" t="s">
        <v>7165</v>
      </c>
      <c r="L6057" s="7"/>
      <c r="M6057" s="7"/>
    </row>
    <row r="6058" spans="1:13" x14ac:dyDescent="0.3">
      <c r="A6058" s="7">
        <v>11481</v>
      </c>
      <c r="B6058" s="7" t="s">
        <v>6064</v>
      </c>
      <c r="C6058" s="7" t="s">
        <v>7126</v>
      </c>
      <c r="D6058" s="7" t="s">
        <v>6295</v>
      </c>
      <c r="E6058" s="7" t="s">
        <v>6940</v>
      </c>
      <c r="F6058" s="7" t="s">
        <v>6561</v>
      </c>
      <c r="G6058" s="7" t="s">
        <v>7150</v>
      </c>
      <c r="H6058" s="7" t="s">
        <v>7156</v>
      </c>
      <c r="I6058" s="7"/>
      <c r="J6058" s="10">
        <v>42751</v>
      </c>
      <c r="K6058" s="7" t="s">
        <v>7165</v>
      </c>
      <c r="L6058" s="7"/>
      <c r="M6058" s="7"/>
    </row>
    <row r="6059" spans="1:13" x14ac:dyDescent="0.3">
      <c r="A6059" s="7">
        <v>13356</v>
      </c>
      <c r="B6059" s="7" t="s">
        <v>6065</v>
      </c>
      <c r="C6059" s="7" t="s">
        <v>7126</v>
      </c>
      <c r="D6059" s="7" t="s">
        <v>6295</v>
      </c>
      <c r="E6059" s="7" t="s">
        <v>6940</v>
      </c>
      <c r="F6059" s="7" t="s">
        <v>6561</v>
      </c>
      <c r="G6059" s="7" t="s">
        <v>7150</v>
      </c>
      <c r="H6059" s="7" t="s">
        <v>7156</v>
      </c>
      <c r="I6059" s="7"/>
      <c r="J6059" s="10">
        <v>44400</v>
      </c>
      <c r="K6059" s="7" t="s">
        <v>7165</v>
      </c>
      <c r="L6059" s="7"/>
      <c r="M6059" s="7"/>
    </row>
    <row r="6060" spans="1:13" x14ac:dyDescent="0.3">
      <c r="A6060" s="7">
        <v>17085</v>
      </c>
      <c r="B6060" s="7" t="s">
        <v>6066</v>
      </c>
      <c r="C6060" s="7" t="s">
        <v>7126</v>
      </c>
      <c r="D6060" s="7" t="s">
        <v>6295</v>
      </c>
      <c r="E6060" s="7" t="s">
        <v>6940</v>
      </c>
      <c r="F6060" s="7" t="s">
        <v>6989</v>
      </c>
      <c r="G6060" s="7" t="s">
        <v>7150</v>
      </c>
      <c r="H6060" s="7" t="s">
        <v>7156</v>
      </c>
      <c r="I6060" s="7"/>
      <c r="J6060" s="10">
        <v>45624</v>
      </c>
      <c r="K6060" s="7" t="s">
        <v>7165</v>
      </c>
      <c r="L6060" s="7"/>
      <c r="M6060" s="7"/>
    </row>
    <row r="6061" spans="1:13" x14ac:dyDescent="0.3">
      <c r="A6061" s="7">
        <v>450031</v>
      </c>
      <c r="B6061" s="7" t="s">
        <v>6067</v>
      </c>
      <c r="C6061" s="7" t="s">
        <v>7126</v>
      </c>
      <c r="D6061" s="7" t="s">
        <v>6295</v>
      </c>
      <c r="E6061" s="7" t="s">
        <v>6940</v>
      </c>
      <c r="F6061" s="7" t="s">
        <v>6980</v>
      </c>
      <c r="G6061" s="7" t="s">
        <v>7150</v>
      </c>
      <c r="H6061" s="7" t="s">
        <v>7156</v>
      </c>
      <c r="I6061" s="7"/>
      <c r="J6061" s="10">
        <v>42405</v>
      </c>
      <c r="K6061" s="7" t="s">
        <v>7165</v>
      </c>
      <c r="L6061" s="7"/>
      <c r="M6061" s="7"/>
    </row>
    <row r="6062" spans="1:13" x14ac:dyDescent="0.3">
      <c r="A6062" s="7">
        <v>450034</v>
      </c>
      <c r="B6062" s="7" t="s">
        <v>6068</v>
      </c>
      <c r="C6062" s="7" t="s">
        <v>7126</v>
      </c>
      <c r="D6062" s="7" t="s">
        <v>6295</v>
      </c>
      <c r="E6062" s="7" t="s">
        <v>6940</v>
      </c>
      <c r="F6062" s="7" t="s">
        <v>6980</v>
      </c>
      <c r="G6062" s="7" t="s">
        <v>7150</v>
      </c>
      <c r="H6062" s="7" t="s">
        <v>7156</v>
      </c>
      <c r="I6062" s="7"/>
      <c r="J6062" s="10">
        <v>42405</v>
      </c>
      <c r="K6062" s="7" t="s">
        <v>7165</v>
      </c>
      <c r="L6062" s="7"/>
      <c r="M6062" s="7"/>
    </row>
    <row r="6063" spans="1:13" x14ac:dyDescent="0.3">
      <c r="A6063" s="7">
        <v>450045</v>
      </c>
      <c r="B6063" s="7" t="s">
        <v>6069</v>
      </c>
      <c r="C6063" s="7" t="s">
        <v>7126</v>
      </c>
      <c r="D6063" s="7" t="s">
        <v>6295</v>
      </c>
      <c r="E6063" s="7" t="s">
        <v>6940</v>
      </c>
      <c r="F6063" s="7" t="s">
        <v>6980</v>
      </c>
      <c r="G6063" s="7" t="s">
        <v>7150</v>
      </c>
      <c r="H6063" s="7" t="s">
        <v>7156</v>
      </c>
      <c r="I6063" s="7"/>
      <c r="J6063" s="10">
        <v>43304</v>
      </c>
      <c r="K6063" s="7" t="s">
        <v>7165</v>
      </c>
      <c r="L6063" s="7"/>
      <c r="M6063" s="7"/>
    </row>
    <row r="6064" spans="1:13" x14ac:dyDescent="0.3">
      <c r="A6064" s="7">
        <v>470030</v>
      </c>
      <c r="B6064" s="7" t="s">
        <v>6070</v>
      </c>
      <c r="C6064" s="7" t="s">
        <v>7126</v>
      </c>
      <c r="D6064" s="7" t="s">
        <v>6295</v>
      </c>
      <c r="E6064" s="7" t="s">
        <v>6940</v>
      </c>
      <c r="F6064" s="7" t="s">
        <v>6498</v>
      </c>
      <c r="G6064" s="7" t="s">
        <v>7150</v>
      </c>
      <c r="H6064" s="7" t="s">
        <v>7156</v>
      </c>
      <c r="I6064" s="7"/>
      <c r="J6064" s="10">
        <v>42509</v>
      </c>
      <c r="K6064" s="7" t="s">
        <v>7165</v>
      </c>
      <c r="L6064" s="7"/>
      <c r="M6064" s="7"/>
    </row>
    <row r="6065" spans="1:13" x14ac:dyDescent="0.3">
      <c r="A6065" s="7">
        <v>450050</v>
      </c>
      <c r="B6065" s="7" t="s">
        <v>6071</v>
      </c>
      <c r="C6065" s="7" t="s">
        <v>7126</v>
      </c>
      <c r="D6065" s="7" t="s">
        <v>6295</v>
      </c>
      <c r="E6065" s="7" t="s">
        <v>6940</v>
      </c>
      <c r="F6065" s="7" t="s">
        <v>6980</v>
      </c>
      <c r="G6065" s="7" t="s">
        <v>7150</v>
      </c>
      <c r="H6065" s="7" t="s">
        <v>7156</v>
      </c>
      <c r="I6065" s="7"/>
      <c r="J6065" s="10">
        <v>43790</v>
      </c>
      <c r="K6065" s="7" t="s">
        <v>7165</v>
      </c>
      <c r="L6065" s="7"/>
      <c r="M6065" s="7"/>
    </row>
    <row r="6066" spans="1:13" x14ac:dyDescent="0.3">
      <c r="A6066" s="7">
        <v>450028</v>
      </c>
      <c r="B6066" s="7" t="s">
        <v>6072</v>
      </c>
      <c r="C6066" s="7" t="s">
        <v>7126</v>
      </c>
      <c r="D6066" s="7" t="s">
        <v>6295</v>
      </c>
      <c r="E6066" s="7" t="s">
        <v>6940</v>
      </c>
      <c r="F6066" s="7" t="s">
        <v>6980</v>
      </c>
      <c r="G6066" s="7" t="s">
        <v>7150</v>
      </c>
      <c r="H6066" s="7" t="s">
        <v>7156</v>
      </c>
      <c r="I6066" s="7"/>
      <c r="J6066" s="10">
        <v>42359</v>
      </c>
      <c r="K6066" s="7" t="s">
        <v>7165</v>
      </c>
      <c r="L6066" s="7"/>
      <c r="M6066" s="7"/>
    </row>
    <row r="6067" spans="1:13" x14ac:dyDescent="0.3">
      <c r="A6067" s="7">
        <v>450052</v>
      </c>
      <c r="B6067" s="7" t="s">
        <v>6073</v>
      </c>
      <c r="C6067" s="7" t="s">
        <v>7126</v>
      </c>
      <c r="D6067" s="7" t="s">
        <v>6295</v>
      </c>
      <c r="E6067" s="7" t="s">
        <v>6940</v>
      </c>
      <c r="F6067" s="7" t="s">
        <v>6980</v>
      </c>
      <c r="G6067" s="7" t="s">
        <v>7150</v>
      </c>
      <c r="H6067" s="7" t="s">
        <v>7156</v>
      </c>
      <c r="I6067" s="7"/>
      <c r="J6067" s="10">
        <v>44573</v>
      </c>
      <c r="K6067" s="7" t="s">
        <v>7165</v>
      </c>
      <c r="L6067" s="7"/>
      <c r="M6067" s="7"/>
    </row>
    <row r="6068" spans="1:13" x14ac:dyDescent="0.3">
      <c r="A6068" s="7">
        <v>14871</v>
      </c>
      <c r="B6068" s="7" t="s">
        <v>6074</v>
      </c>
      <c r="C6068" s="7" t="s">
        <v>7126</v>
      </c>
      <c r="D6068" s="7" t="s">
        <v>6295</v>
      </c>
      <c r="E6068" s="7" t="s">
        <v>6940</v>
      </c>
      <c r="F6068" s="7" t="s">
        <v>6986</v>
      </c>
      <c r="G6068" s="7" t="s">
        <v>7150</v>
      </c>
      <c r="H6068" s="7" t="s">
        <v>7156</v>
      </c>
      <c r="I6068" s="7"/>
      <c r="J6068" s="10">
        <v>44881</v>
      </c>
      <c r="K6068" s="7" t="s">
        <v>7165</v>
      </c>
      <c r="L6068" s="7"/>
      <c r="M6068" s="7"/>
    </row>
    <row r="6069" spans="1:13" x14ac:dyDescent="0.3">
      <c r="A6069" s="7">
        <v>14103</v>
      </c>
      <c r="B6069" s="7" t="s">
        <v>6075</v>
      </c>
      <c r="C6069" s="7" t="s">
        <v>7126</v>
      </c>
      <c r="D6069" s="7" t="s">
        <v>6295</v>
      </c>
      <c r="E6069" s="7" t="s">
        <v>6940</v>
      </c>
      <c r="F6069" s="7" t="s">
        <v>6987</v>
      </c>
      <c r="G6069" s="7" t="s">
        <v>7150</v>
      </c>
      <c r="H6069" s="7" t="s">
        <v>7156</v>
      </c>
      <c r="I6069" s="7"/>
      <c r="J6069" s="10">
        <v>44659</v>
      </c>
      <c r="K6069" s="7" t="s">
        <v>7165</v>
      </c>
      <c r="L6069" s="7"/>
      <c r="M6069" s="7"/>
    </row>
    <row r="6070" spans="1:13" x14ac:dyDescent="0.3">
      <c r="A6070" s="7">
        <v>14649</v>
      </c>
      <c r="B6070" s="7" t="s">
        <v>6076</v>
      </c>
      <c r="C6070" s="7" t="s">
        <v>7126</v>
      </c>
      <c r="D6070" s="7" t="s">
        <v>6295</v>
      </c>
      <c r="E6070" s="7" t="s">
        <v>6940</v>
      </c>
      <c r="F6070" s="7" t="s">
        <v>6987</v>
      </c>
      <c r="G6070" s="7" t="s">
        <v>7150</v>
      </c>
      <c r="H6070" s="7" t="s">
        <v>7156</v>
      </c>
      <c r="I6070" s="7"/>
      <c r="J6070" s="10">
        <v>44813</v>
      </c>
      <c r="K6070" s="7" t="s">
        <v>7165</v>
      </c>
      <c r="L6070" s="7"/>
      <c r="M6070" s="7"/>
    </row>
    <row r="6071" spans="1:13" x14ac:dyDescent="0.3">
      <c r="A6071" s="7">
        <v>14093</v>
      </c>
      <c r="B6071" s="7" t="s">
        <v>6077</v>
      </c>
      <c r="C6071" s="7" t="s">
        <v>7126</v>
      </c>
      <c r="D6071" s="7" t="s">
        <v>6295</v>
      </c>
      <c r="E6071" s="7" t="s">
        <v>6940</v>
      </c>
      <c r="F6071" s="7" t="s">
        <v>6986</v>
      </c>
      <c r="G6071" s="7" t="s">
        <v>7150</v>
      </c>
      <c r="H6071" s="7" t="s">
        <v>7156</v>
      </c>
      <c r="I6071" s="7"/>
      <c r="J6071" s="10">
        <v>44657</v>
      </c>
      <c r="K6071" s="7" t="s">
        <v>7165</v>
      </c>
      <c r="L6071" s="7"/>
      <c r="M6071" s="7"/>
    </row>
    <row r="6072" spans="1:13" x14ac:dyDescent="0.3">
      <c r="A6072" s="7">
        <v>17371</v>
      </c>
      <c r="B6072" s="7" t="s">
        <v>6078</v>
      </c>
      <c r="C6072" s="7" t="s">
        <v>7126</v>
      </c>
      <c r="D6072" s="7" t="s">
        <v>6295</v>
      </c>
      <c r="E6072" s="7" t="s">
        <v>6940</v>
      </c>
      <c r="F6072" s="7" t="s">
        <v>6987</v>
      </c>
      <c r="G6072" s="7" t="s">
        <v>7150</v>
      </c>
      <c r="H6072" s="7" t="s">
        <v>7156</v>
      </c>
      <c r="I6072" s="7"/>
      <c r="J6072" s="10">
        <v>45722</v>
      </c>
      <c r="K6072" s="7" t="s">
        <v>7165</v>
      </c>
      <c r="L6072" s="7"/>
      <c r="M6072" s="7"/>
    </row>
    <row r="6073" spans="1:13" x14ac:dyDescent="0.3">
      <c r="A6073" s="7">
        <v>450049</v>
      </c>
      <c r="B6073" s="7" t="s">
        <v>6079</v>
      </c>
      <c r="C6073" s="7" t="s">
        <v>7126</v>
      </c>
      <c r="D6073" s="7" t="s">
        <v>6295</v>
      </c>
      <c r="E6073" s="7" t="s">
        <v>6951</v>
      </c>
      <c r="F6073" s="7" t="s">
        <v>6398</v>
      </c>
      <c r="G6073" s="7" t="s">
        <v>7150</v>
      </c>
      <c r="H6073" s="7" t="s">
        <v>7156</v>
      </c>
      <c r="I6073" s="7"/>
      <c r="J6073" s="10">
        <v>43607</v>
      </c>
      <c r="K6073" s="7" t="s">
        <v>7165</v>
      </c>
      <c r="L6073" s="7"/>
      <c r="M6073" s="7"/>
    </row>
    <row r="6074" spans="1:13" x14ac:dyDescent="0.3">
      <c r="A6074" s="7">
        <v>14388</v>
      </c>
      <c r="B6074" s="7" t="s">
        <v>6080</v>
      </c>
      <c r="C6074" s="7" t="s">
        <v>7126</v>
      </c>
      <c r="D6074" s="7" t="s">
        <v>6295</v>
      </c>
      <c r="E6074" s="7" t="s">
        <v>6951</v>
      </c>
      <c r="F6074" s="7" t="s">
        <v>6398</v>
      </c>
      <c r="G6074" s="7" t="s">
        <v>7150</v>
      </c>
      <c r="H6074" s="7" t="s">
        <v>7156</v>
      </c>
      <c r="I6074" s="7"/>
      <c r="J6074" s="10">
        <v>44746</v>
      </c>
      <c r="K6074" s="7" t="s">
        <v>7165</v>
      </c>
      <c r="L6074" s="7"/>
      <c r="M6074" s="7"/>
    </row>
    <row r="6075" spans="1:13" x14ac:dyDescent="0.3">
      <c r="A6075" s="7">
        <v>460038</v>
      </c>
      <c r="B6075" s="7" t="s">
        <v>6081</v>
      </c>
      <c r="C6075" s="7" t="s">
        <v>7126</v>
      </c>
      <c r="D6075" s="7" t="s">
        <v>6295</v>
      </c>
      <c r="E6075" s="7" t="s">
        <v>6994</v>
      </c>
      <c r="F6075" s="7" t="s">
        <v>6498</v>
      </c>
      <c r="G6075" s="7" t="s">
        <v>7150</v>
      </c>
      <c r="H6075" s="7" t="s">
        <v>7156</v>
      </c>
      <c r="I6075" s="7"/>
      <c r="J6075" s="10">
        <v>44440</v>
      </c>
      <c r="K6075" s="7" t="s">
        <v>7165</v>
      </c>
      <c r="L6075" s="7"/>
      <c r="M6075" s="7"/>
    </row>
    <row r="6076" spans="1:13" x14ac:dyDescent="0.3">
      <c r="A6076" s="7">
        <v>14766</v>
      </c>
      <c r="B6076" s="7" t="s">
        <v>6082</v>
      </c>
      <c r="C6076" s="7" t="s">
        <v>7126</v>
      </c>
      <c r="D6076" s="7" t="s">
        <v>6295</v>
      </c>
      <c r="E6076" s="7" t="s">
        <v>6994</v>
      </c>
      <c r="F6076" s="7" t="s">
        <v>6340</v>
      </c>
      <c r="G6076" s="7" t="s">
        <v>7150</v>
      </c>
      <c r="H6076" s="7" t="s">
        <v>7156</v>
      </c>
      <c r="I6076" s="7"/>
      <c r="J6076" s="10">
        <v>44852</v>
      </c>
      <c r="K6076" s="7" t="s">
        <v>7165</v>
      </c>
      <c r="L6076" s="7"/>
      <c r="M6076" s="7"/>
    </row>
    <row r="6077" spans="1:13" x14ac:dyDescent="0.3">
      <c r="A6077" s="7">
        <v>460040</v>
      </c>
      <c r="B6077" s="7" t="s">
        <v>6083</v>
      </c>
      <c r="C6077" s="7" t="s">
        <v>7126</v>
      </c>
      <c r="D6077" s="7" t="s">
        <v>6295</v>
      </c>
      <c r="E6077" s="7" t="s">
        <v>6994</v>
      </c>
      <c r="F6077" s="7" t="s">
        <v>6340</v>
      </c>
      <c r="G6077" s="7" t="s">
        <v>7150</v>
      </c>
      <c r="H6077" s="7" t="s">
        <v>7156</v>
      </c>
      <c r="I6077" s="7"/>
      <c r="J6077" s="10">
        <v>44522</v>
      </c>
      <c r="K6077" s="7" t="s">
        <v>7165</v>
      </c>
      <c r="L6077" s="7"/>
      <c r="M6077" s="7"/>
    </row>
    <row r="6078" spans="1:13" x14ac:dyDescent="0.3">
      <c r="A6078" s="7">
        <v>15169</v>
      </c>
      <c r="B6078" s="7" t="s">
        <v>6084</v>
      </c>
      <c r="C6078" s="7" t="s">
        <v>7126</v>
      </c>
      <c r="D6078" s="7" t="s">
        <v>6295</v>
      </c>
      <c r="E6078" s="7" t="s">
        <v>6994</v>
      </c>
      <c r="F6078" s="7" t="s">
        <v>6340</v>
      </c>
      <c r="G6078" s="7" t="s">
        <v>7150</v>
      </c>
      <c r="H6078" s="7" t="s">
        <v>7156</v>
      </c>
      <c r="I6078" s="7"/>
      <c r="J6078" s="10">
        <v>44971</v>
      </c>
      <c r="K6078" s="7" t="s">
        <v>7165</v>
      </c>
      <c r="L6078" s="7"/>
      <c r="M6078" s="7"/>
    </row>
    <row r="6079" spans="1:13" x14ac:dyDescent="0.3">
      <c r="A6079" s="7">
        <v>15400</v>
      </c>
      <c r="B6079" s="7" t="s">
        <v>6085</v>
      </c>
      <c r="C6079" s="7" t="s">
        <v>7126</v>
      </c>
      <c r="D6079" s="7" t="s">
        <v>6295</v>
      </c>
      <c r="E6079" s="7" t="s">
        <v>6994</v>
      </c>
      <c r="F6079" s="7" t="s">
        <v>6340</v>
      </c>
      <c r="G6079" s="7" t="s">
        <v>7150</v>
      </c>
      <c r="H6079" s="7" t="s">
        <v>7156</v>
      </c>
      <c r="I6079" s="7"/>
      <c r="J6079" s="10">
        <v>45057</v>
      </c>
      <c r="K6079" s="7" t="s">
        <v>7165</v>
      </c>
      <c r="L6079" s="7"/>
      <c r="M6079" s="7"/>
    </row>
    <row r="6080" spans="1:13" x14ac:dyDescent="0.3">
      <c r="A6080" s="7">
        <v>15512</v>
      </c>
      <c r="B6080" s="7" t="s">
        <v>6086</v>
      </c>
      <c r="C6080" s="7" t="s">
        <v>7126</v>
      </c>
      <c r="D6080" s="7" t="s">
        <v>6295</v>
      </c>
      <c r="E6080" s="7" t="s">
        <v>6994</v>
      </c>
      <c r="F6080" s="7" t="s">
        <v>6341</v>
      </c>
      <c r="G6080" s="7" t="s">
        <v>7150</v>
      </c>
      <c r="H6080" s="7" t="s">
        <v>7156</v>
      </c>
      <c r="I6080" s="7"/>
      <c r="J6080" s="10">
        <v>45110</v>
      </c>
      <c r="K6080" s="7" t="s">
        <v>7165</v>
      </c>
      <c r="L6080" s="7"/>
      <c r="M6080" s="7"/>
    </row>
    <row r="6081" spans="1:13" x14ac:dyDescent="0.3">
      <c r="A6081" s="7">
        <v>180043</v>
      </c>
      <c r="B6081" s="7" t="s">
        <v>6087</v>
      </c>
      <c r="C6081" s="7" t="s">
        <v>7127</v>
      </c>
      <c r="D6081" s="7" t="s">
        <v>6295</v>
      </c>
      <c r="E6081" s="7" t="s">
        <v>6295</v>
      </c>
      <c r="F6081" s="7" t="s">
        <v>6939</v>
      </c>
      <c r="G6081" s="7" t="s">
        <v>7150</v>
      </c>
      <c r="H6081" s="7" t="s">
        <v>7156</v>
      </c>
      <c r="I6081" s="7"/>
      <c r="J6081" s="10">
        <v>42991</v>
      </c>
      <c r="K6081" s="7" t="s">
        <v>7165</v>
      </c>
      <c r="L6081" s="7"/>
      <c r="M6081" s="7"/>
    </row>
    <row r="6082" spans="1:13" x14ac:dyDescent="0.3">
      <c r="A6082" s="7">
        <v>750022</v>
      </c>
      <c r="B6082" s="7" t="s">
        <v>6088</v>
      </c>
      <c r="C6082" s="7" t="s">
        <v>7127</v>
      </c>
      <c r="D6082" s="7" t="s">
        <v>6295</v>
      </c>
      <c r="E6082" s="7" t="s">
        <v>6940</v>
      </c>
      <c r="F6082" s="7" t="s">
        <v>6991</v>
      </c>
      <c r="G6082" s="7" t="s">
        <v>7150</v>
      </c>
      <c r="H6082" s="7" t="s">
        <v>7156</v>
      </c>
      <c r="I6082" s="7"/>
      <c r="J6082" s="10">
        <v>42037</v>
      </c>
      <c r="K6082" s="7" t="s">
        <v>7165</v>
      </c>
      <c r="L6082" s="7"/>
      <c r="M6082" s="7"/>
    </row>
    <row r="6083" spans="1:13" x14ac:dyDescent="0.3">
      <c r="A6083" s="7">
        <v>14102</v>
      </c>
      <c r="B6083" s="7" t="s">
        <v>6089</v>
      </c>
      <c r="C6083" s="7" t="s">
        <v>7127</v>
      </c>
      <c r="D6083" s="7" t="s">
        <v>6295</v>
      </c>
      <c r="E6083" s="7" t="s">
        <v>6940</v>
      </c>
      <c r="F6083" s="7" t="s">
        <v>6949</v>
      </c>
      <c r="G6083" s="7" t="s">
        <v>7150</v>
      </c>
      <c r="H6083" s="7" t="s">
        <v>7156</v>
      </c>
      <c r="I6083" s="7"/>
      <c r="J6083" s="10">
        <v>44659</v>
      </c>
      <c r="K6083" s="7" t="s">
        <v>7165</v>
      </c>
      <c r="L6083" s="7"/>
      <c r="M6083" s="7"/>
    </row>
    <row r="6084" spans="1:13" x14ac:dyDescent="0.3">
      <c r="A6084" s="7">
        <v>18599</v>
      </c>
      <c r="B6084" s="7" t="s">
        <v>6090</v>
      </c>
      <c r="C6084" s="7" t="s">
        <v>7127</v>
      </c>
      <c r="D6084" s="7" t="s">
        <v>6295</v>
      </c>
      <c r="E6084" s="7" t="s">
        <v>6940</v>
      </c>
      <c r="F6084" s="7" t="s">
        <v>6998</v>
      </c>
      <c r="G6084" s="7" t="s">
        <v>7150</v>
      </c>
      <c r="H6084" s="7" t="s">
        <v>7156</v>
      </c>
      <c r="I6084" s="7"/>
      <c r="J6084" s="10">
        <v>46162</v>
      </c>
      <c r="K6084" s="7" t="s">
        <v>7165</v>
      </c>
      <c r="L6084" s="7"/>
      <c r="M6084" s="7"/>
    </row>
    <row r="6085" spans="1:13" x14ac:dyDescent="0.3">
      <c r="A6085" s="7">
        <v>300080</v>
      </c>
      <c r="B6085" s="7" t="s">
        <v>6091</v>
      </c>
      <c r="C6085" s="7" t="s">
        <v>7127</v>
      </c>
      <c r="D6085" s="7" t="s">
        <v>6295</v>
      </c>
      <c r="E6085" s="7" t="s">
        <v>6940</v>
      </c>
      <c r="F6085" s="7" t="s">
        <v>6980</v>
      </c>
      <c r="G6085" s="7" t="s">
        <v>7150</v>
      </c>
      <c r="H6085" s="7" t="s">
        <v>7156</v>
      </c>
      <c r="I6085" s="7"/>
      <c r="J6085" s="10">
        <v>42887</v>
      </c>
      <c r="K6085" s="7" t="s">
        <v>7165</v>
      </c>
      <c r="L6085" s="7"/>
      <c r="M6085" s="7"/>
    </row>
    <row r="6086" spans="1:13" x14ac:dyDescent="0.3">
      <c r="A6086" s="7">
        <v>410062</v>
      </c>
      <c r="B6086" s="7" t="s">
        <v>6092</v>
      </c>
      <c r="C6086" s="7" t="s">
        <v>7128</v>
      </c>
      <c r="D6086" s="7" t="s">
        <v>6295</v>
      </c>
      <c r="E6086" s="7" t="s">
        <v>6295</v>
      </c>
      <c r="F6086" s="7" t="s">
        <v>6939</v>
      </c>
      <c r="G6086" s="7" t="s">
        <v>7150</v>
      </c>
      <c r="H6086" s="7" t="s">
        <v>7156</v>
      </c>
      <c r="I6086" s="7"/>
      <c r="J6086" s="10">
        <v>44384</v>
      </c>
      <c r="K6086" s="7" t="s">
        <v>7165</v>
      </c>
      <c r="L6086" s="7"/>
      <c r="M6086" s="7"/>
    </row>
    <row r="6087" spans="1:13" x14ac:dyDescent="0.3">
      <c r="A6087" s="7">
        <v>16273</v>
      </c>
      <c r="B6087" s="7" t="s">
        <v>6093</v>
      </c>
      <c r="C6087" s="7" t="s">
        <v>7128</v>
      </c>
      <c r="D6087" s="7" t="s">
        <v>6295</v>
      </c>
      <c r="E6087" s="7" t="s">
        <v>6940</v>
      </c>
      <c r="F6087" s="7" t="s">
        <v>6943</v>
      </c>
      <c r="G6087" s="7" t="s">
        <v>7150</v>
      </c>
      <c r="H6087" s="7" t="s">
        <v>7156</v>
      </c>
      <c r="I6087" s="7"/>
      <c r="J6087" s="10">
        <v>45336</v>
      </c>
      <c r="K6087" s="7" t="s">
        <v>7165</v>
      </c>
      <c r="L6087" s="7"/>
      <c r="M6087" s="7"/>
    </row>
    <row r="6088" spans="1:13" x14ac:dyDescent="0.3">
      <c r="A6088" s="7">
        <v>17892</v>
      </c>
      <c r="B6088" s="7" t="s">
        <v>6094</v>
      </c>
      <c r="C6088" s="7" t="s">
        <v>7128</v>
      </c>
      <c r="D6088" s="7" t="s">
        <v>6295</v>
      </c>
      <c r="E6088" s="7" t="s">
        <v>6940</v>
      </c>
      <c r="F6088" s="7" t="s">
        <v>6949</v>
      </c>
      <c r="G6088" s="7" t="s">
        <v>7150</v>
      </c>
      <c r="H6088" s="7" t="s">
        <v>7156</v>
      </c>
      <c r="I6088" s="7"/>
      <c r="J6088" s="10">
        <v>45905</v>
      </c>
      <c r="K6088" s="7" t="s">
        <v>7165</v>
      </c>
      <c r="L6088" s="7"/>
      <c r="M6088" s="7"/>
    </row>
    <row r="6089" spans="1:13" x14ac:dyDescent="0.3">
      <c r="A6089" s="7">
        <v>17341</v>
      </c>
      <c r="B6089" s="7" t="s">
        <v>6095</v>
      </c>
      <c r="C6089" s="7" t="s">
        <v>7128</v>
      </c>
      <c r="D6089" s="7" t="s">
        <v>6295</v>
      </c>
      <c r="E6089" s="7" t="s">
        <v>6940</v>
      </c>
      <c r="F6089" s="7" t="s">
        <v>6989</v>
      </c>
      <c r="G6089" s="7" t="s">
        <v>7150</v>
      </c>
      <c r="H6089" s="7" t="s">
        <v>7156</v>
      </c>
      <c r="I6089" s="7"/>
      <c r="J6089" s="10">
        <v>45712</v>
      </c>
      <c r="K6089" s="7" t="s">
        <v>7165</v>
      </c>
      <c r="L6089" s="7"/>
      <c r="M6089" s="7"/>
    </row>
    <row r="6090" spans="1:13" x14ac:dyDescent="0.3">
      <c r="A6090" s="7">
        <v>300082</v>
      </c>
      <c r="B6090" s="7" t="s">
        <v>6096</v>
      </c>
      <c r="C6090" s="7" t="s">
        <v>7128</v>
      </c>
      <c r="D6090" s="7" t="s">
        <v>6295</v>
      </c>
      <c r="E6090" s="7" t="s">
        <v>6940</v>
      </c>
      <c r="F6090" s="7" t="s">
        <v>6980</v>
      </c>
      <c r="G6090" s="7" t="s">
        <v>7150</v>
      </c>
      <c r="H6090" s="7" t="s">
        <v>7156</v>
      </c>
      <c r="I6090" s="7"/>
      <c r="J6090" s="10">
        <v>42891</v>
      </c>
      <c r="K6090" s="7" t="s">
        <v>7165</v>
      </c>
      <c r="L6090" s="7"/>
      <c r="M6090" s="7"/>
    </row>
    <row r="6091" spans="1:13" x14ac:dyDescent="0.3">
      <c r="A6091" s="7">
        <v>480028</v>
      </c>
      <c r="B6091" s="7" t="s">
        <v>6097</v>
      </c>
      <c r="C6091" s="7" t="s">
        <v>7128</v>
      </c>
      <c r="D6091" s="7" t="s">
        <v>6295</v>
      </c>
      <c r="E6091" s="7" t="s">
        <v>6940</v>
      </c>
      <c r="F6091" s="7" t="s">
        <v>6980</v>
      </c>
      <c r="G6091" s="7" t="s">
        <v>7150</v>
      </c>
      <c r="H6091" s="7" t="s">
        <v>7156</v>
      </c>
      <c r="I6091" s="7"/>
      <c r="J6091" s="10">
        <v>43332</v>
      </c>
      <c r="K6091" s="7" t="s">
        <v>7165</v>
      </c>
      <c r="L6091" s="7"/>
      <c r="M6091" s="7"/>
    </row>
    <row r="6092" spans="1:13" x14ac:dyDescent="0.3">
      <c r="A6092" s="7">
        <v>480011</v>
      </c>
      <c r="B6092" s="7" t="s">
        <v>6098</v>
      </c>
      <c r="C6092" s="7" t="s">
        <v>7128</v>
      </c>
      <c r="D6092" s="7" t="s">
        <v>6295</v>
      </c>
      <c r="E6092" s="7" t="s">
        <v>6940</v>
      </c>
      <c r="F6092" s="7" t="s">
        <v>6980</v>
      </c>
      <c r="G6092" s="7" t="s">
        <v>7150</v>
      </c>
      <c r="H6092" s="7" t="s">
        <v>7156</v>
      </c>
      <c r="I6092" s="7"/>
      <c r="J6092" s="10">
        <v>40694</v>
      </c>
      <c r="K6092" s="7" t="s">
        <v>7165</v>
      </c>
      <c r="L6092" s="7"/>
      <c r="M6092" s="7"/>
    </row>
    <row r="6093" spans="1:13" x14ac:dyDescent="0.3">
      <c r="A6093" s="7">
        <v>17899</v>
      </c>
      <c r="B6093" s="7" t="s">
        <v>6099</v>
      </c>
      <c r="C6093" s="7" t="s">
        <v>7128</v>
      </c>
      <c r="D6093" s="7" t="s">
        <v>6295</v>
      </c>
      <c r="E6093" s="7" t="s">
        <v>6940</v>
      </c>
      <c r="F6093" s="7" t="s">
        <v>6987</v>
      </c>
      <c r="G6093" s="7" t="s">
        <v>7150</v>
      </c>
      <c r="H6093" s="7" t="s">
        <v>7156</v>
      </c>
      <c r="I6093" s="7"/>
      <c r="J6093" s="10">
        <v>45908</v>
      </c>
      <c r="K6093" s="7" t="s">
        <v>7165</v>
      </c>
      <c r="L6093" s="7"/>
      <c r="M6093" s="7"/>
    </row>
    <row r="6094" spans="1:13" x14ac:dyDescent="0.3">
      <c r="A6094" s="7">
        <v>17323</v>
      </c>
      <c r="B6094" s="7" t="s">
        <v>6100</v>
      </c>
      <c r="C6094" s="7" t="s">
        <v>7128</v>
      </c>
      <c r="D6094" s="7" t="s">
        <v>6295</v>
      </c>
      <c r="E6094" s="7" t="s">
        <v>6940</v>
      </c>
      <c r="F6094" s="7" t="s">
        <v>6987</v>
      </c>
      <c r="G6094" s="7" t="s">
        <v>7150</v>
      </c>
      <c r="H6094" s="7" t="s">
        <v>7156</v>
      </c>
      <c r="I6094" s="7"/>
      <c r="J6094" s="10">
        <v>45708</v>
      </c>
      <c r="K6094" s="7" t="s">
        <v>7165</v>
      </c>
      <c r="L6094" s="7"/>
      <c r="M6094" s="7"/>
    </row>
    <row r="6095" spans="1:13" x14ac:dyDescent="0.3">
      <c r="A6095" s="7">
        <v>18580</v>
      </c>
      <c r="B6095" s="7" t="s">
        <v>6101</v>
      </c>
      <c r="C6095" s="7" t="s">
        <v>7128</v>
      </c>
      <c r="D6095" s="7" t="s">
        <v>6295</v>
      </c>
      <c r="E6095" s="7" t="s">
        <v>6940</v>
      </c>
      <c r="F6095" s="7" t="s">
        <v>7035</v>
      </c>
      <c r="G6095" s="7" t="s">
        <v>7150</v>
      </c>
      <c r="H6095" s="7" t="s">
        <v>7156</v>
      </c>
      <c r="I6095" s="7"/>
      <c r="J6095" s="10">
        <v>46160</v>
      </c>
      <c r="K6095" s="7" t="s">
        <v>7165</v>
      </c>
      <c r="L6095" s="7"/>
      <c r="M6095" s="7"/>
    </row>
    <row r="6096" spans="1:13" x14ac:dyDescent="0.3">
      <c r="A6096" s="7">
        <v>14734</v>
      </c>
      <c r="B6096" s="7" t="s">
        <v>6102</v>
      </c>
      <c r="C6096" s="7" t="s">
        <v>7128</v>
      </c>
      <c r="D6096" s="7" t="s">
        <v>6295</v>
      </c>
      <c r="E6096" s="7" t="s">
        <v>6951</v>
      </c>
      <c r="F6096" s="7" t="s">
        <v>6398</v>
      </c>
      <c r="G6096" s="7" t="s">
        <v>7150</v>
      </c>
      <c r="H6096" s="7" t="s">
        <v>7156</v>
      </c>
      <c r="I6096" s="7"/>
      <c r="J6096" s="10">
        <v>44839</v>
      </c>
      <c r="K6096" s="7" t="s">
        <v>7165</v>
      </c>
      <c r="L6096" s="7"/>
      <c r="M6096" s="7"/>
    </row>
    <row r="6097" spans="1:13" x14ac:dyDescent="0.3">
      <c r="A6097" s="7">
        <v>113028</v>
      </c>
      <c r="B6097" s="7" t="s">
        <v>6103</v>
      </c>
      <c r="C6097" s="7" t="s">
        <v>7129</v>
      </c>
      <c r="D6097" s="7" t="s">
        <v>6295</v>
      </c>
      <c r="E6097" s="7" t="s">
        <v>6295</v>
      </c>
      <c r="F6097" s="7" t="s">
        <v>6939</v>
      </c>
      <c r="G6097" s="7" t="s">
        <v>7150</v>
      </c>
      <c r="H6097" s="7" t="s">
        <v>7156</v>
      </c>
      <c r="I6097" s="7"/>
      <c r="J6097" s="10">
        <v>42012</v>
      </c>
      <c r="K6097" s="7" t="s">
        <v>7165</v>
      </c>
      <c r="L6097" s="7"/>
      <c r="M6097" s="7"/>
    </row>
    <row r="6098" spans="1:13" x14ac:dyDescent="0.3">
      <c r="A6098" s="7">
        <v>470010</v>
      </c>
      <c r="B6098" s="7" t="s">
        <v>6104</v>
      </c>
      <c r="C6098" s="7" t="s">
        <v>7129</v>
      </c>
      <c r="D6098" s="7" t="s">
        <v>6295</v>
      </c>
      <c r="E6098" s="7" t="s">
        <v>6295</v>
      </c>
      <c r="F6098" s="7" t="s">
        <v>6335</v>
      </c>
      <c r="G6098" s="7" t="s">
        <v>7150</v>
      </c>
      <c r="H6098" s="7" t="s">
        <v>7156</v>
      </c>
      <c r="I6098" s="7"/>
      <c r="J6098" s="10">
        <v>40505</v>
      </c>
      <c r="K6098" s="7" t="s">
        <v>7165</v>
      </c>
      <c r="L6098" s="7"/>
      <c r="M6098" s="7"/>
    </row>
    <row r="6099" spans="1:13" x14ac:dyDescent="0.3">
      <c r="A6099" s="7">
        <v>113032</v>
      </c>
      <c r="B6099" s="7" t="s">
        <v>6105</v>
      </c>
      <c r="C6099" s="7" t="s">
        <v>7129</v>
      </c>
      <c r="D6099" s="7" t="s">
        <v>6295</v>
      </c>
      <c r="E6099" s="7" t="s">
        <v>6940</v>
      </c>
      <c r="F6099" s="7" t="s">
        <v>6941</v>
      </c>
      <c r="G6099" s="7" t="s">
        <v>7150</v>
      </c>
      <c r="H6099" s="7" t="s">
        <v>7156</v>
      </c>
      <c r="I6099" s="7"/>
      <c r="J6099" s="10">
        <v>42675</v>
      </c>
      <c r="K6099" s="7" t="s">
        <v>7165</v>
      </c>
      <c r="L6099" s="7"/>
      <c r="M6099" s="7"/>
    </row>
    <row r="6100" spans="1:13" x14ac:dyDescent="0.3">
      <c r="A6100" s="7">
        <v>113043</v>
      </c>
      <c r="B6100" s="7" t="s">
        <v>6106</v>
      </c>
      <c r="C6100" s="7" t="s">
        <v>7129</v>
      </c>
      <c r="D6100" s="7" t="s">
        <v>6295</v>
      </c>
      <c r="E6100" s="7" t="s">
        <v>6940</v>
      </c>
      <c r="F6100" s="7" t="s">
        <v>6943</v>
      </c>
      <c r="G6100" s="7" t="s">
        <v>7150</v>
      </c>
      <c r="H6100" s="7" t="s">
        <v>7156</v>
      </c>
      <c r="I6100" s="7"/>
      <c r="J6100" s="10">
        <v>43851</v>
      </c>
      <c r="K6100" s="7" t="s">
        <v>7165</v>
      </c>
      <c r="L6100" s="7"/>
      <c r="M6100" s="7"/>
    </row>
    <row r="6101" spans="1:13" x14ac:dyDescent="0.3">
      <c r="A6101" s="7">
        <v>15296</v>
      </c>
      <c r="B6101" s="7" t="s">
        <v>6107</v>
      </c>
      <c r="C6101" s="7" t="s">
        <v>7129</v>
      </c>
      <c r="D6101" s="7" t="s">
        <v>6295</v>
      </c>
      <c r="E6101" s="7" t="s">
        <v>6940</v>
      </c>
      <c r="F6101" s="7" t="s">
        <v>6943</v>
      </c>
      <c r="G6101" s="7" t="s">
        <v>7150</v>
      </c>
      <c r="H6101" s="7" t="s">
        <v>7156</v>
      </c>
      <c r="I6101" s="7"/>
      <c r="J6101" s="10">
        <v>45019</v>
      </c>
      <c r="K6101" s="7" t="s">
        <v>7165</v>
      </c>
      <c r="L6101" s="7"/>
      <c r="M6101" s="7"/>
    </row>
    <row r="6102" spans="1:13" x14ac:dyDescent="0.3">
      <c r="A6102" s="7">
        <v>14212</v>
      </c>
      <c r="B6102" s="7" t="s">
        <v>6108</v>
      </c>
      <c r="C6102" s="7" t="s">
        <v>7129</v>
      </c>
      <c r="D6102" s="7" t="s">
        <v>6295</v>
      </c>
      <c r="E6102" s="7" t="s">
        <v>6940</v>
      </c>
      <c r="F6102" s="7" t="s">
        <v>6979</v>
      </c>
      <c r="G6102" s="7" t="s">
        <v>7150</v>
      </c>
      <c r="H6102" s="7" t="s">
        <v>7156</v>
      </c>
      <c r="I6102" s="7"/>
      <c r="J6102" s="10">
        <v>44699</v>
      </c>
      <c r="K6102" s="7" t="s">
        <v>7165</v>
      </c>
      <c r="L6102" s="7"/>
      <c r="M6102" s="7"/>
    </row>
    <row r="6103" spans="1:13" x14ac:dyDescent="0.3">
      <c r="A6103" s="7">
        <v>113029</v>
      </c>
      <c r="B6103" s="7" t="s">
        <v>6109</v>
      </c>
      <c r="C6103" s="7" t="s">
        <v>7129</v>
      </c>
      <c r="D6103" s="7" t="s">
        <v>6295</v>
      </c>
      <c r="E6103" s="7" t="s">
        <v>6940</v>
      </c>
      <c r="F6103" s="7" t="s">
        <v>6561</v>
      </c>
      <c r="G6103" s="7" t="s">
        <v>7150</v>
      </c>
      <c r="H6103" s="7" t="s">
        <v>7156</v>
      </c>
      <c r="I6103" s="7"/>
      <c r="J6103" s="10">
        <v>42054</v>
      </c>
      <c r="K6103" s="7" t="s">
        <v>7165</v>
      </c>
      <c r="L6103" s="7"/>
      <c r="M6103" s="7"/>
    </row>
    <row r="6104" spans="1:13" x14ac:dyDescent="0.3">
      <c r="A6104" s="7">
        <v>113011</v>
      </c>
      <c r="B6104" s="7" t="s">
        <v>6110</v>
      </c>
      <c r="C6104" s="7" t="s">
        <v>7129</v>
      </c>
      <c r="D6104" s="7" t="s">
        <v>6295</v>
      </c>
      <c r="E6104" s="7" t="s">
        <v>6940</v>
      </c>
      <c r="F6104" s="7" t="s">
        <v>6561</v>
      </c>
      <c r="G6104" s="7" t="s">
        <v>7150</v>
      </c>
      <c r="H6104" s="7" t="s">
        <v>7156</v>
      </c>
      <c r="I6104" s="7"/>
      <c r="J6104" s="10">
        <v>40347</v>
      </c>
      <c r="K6104" s="7" t="s">
        <v>7165</v>
      </c>
      <c r="L6104" s="7"/>
      <c r="M6104" s="7"/>
    </row>
    <row r="6105" spans="1:13" x14ac:dyDescent="0.3">
      <c r="A6105" s="7">
        <v>16836</v>
      </c>
      <c r="B6105" s="7" t="s">
        <v>6111</v>
      </c>
      <c r="C6105" s="7" t="s">
        <v>7129</v>
      </c>
      <c r="D6105" s="7" t="s">
        <v>6295</v>
      </c>
      <c r="E6105" s="7" t="s">
        <v>6940</v>
      </c>
      <c r="F6105" s="7" t="s">
        <v>6989</v>
      </c>
      <c r="G6105" s="7" t="s">
        <v>7150</v>
      </c>
      <c r="H6105" s="7" t="s">
        <v>7156</v>
      </c>
      <c r="I6105" s="7"/>
      <c r="J6105" s="10">
        <v>45567</v>
      </c>
      <c r="K6105" s="7" t="s">
        <v>7165</v>
      </c>
      <c r="L6105" s="7"/>
      <c r="M6105" s="7"/>
    </row>
    <row r="6106" spans="1:13" x14ac:dyDescent="0.3">
      <c r="A6106" s="7">
        <v>560017</v>
      </c>
      <c r="B6106" s="7" t="s">
        <v>6112</v>
      </c>
      <c r="C6106" s="7" t="s">
        <v>7129</v>
      </c>
      <c r="D6106" s="7" t="s">
        <v>6295</v>
      </c>
      <c r="E6106" s="7" t="s">
        <v>6940</v>
      </c>
      <c r="F6106" s="7" t="s">
        <v>6498</v>
      </c>
      <c r="G6106" s="7" t="s">
        <v>7150</v>
      </c>
      <c r="H6106" s="7" t="s">
        <v>7156</v>
      </c>
      <c r="I6106" s="7"/>
      <c r="J6106" s="10">
        <v>42822</v>
      </c>
      <c r="K6106" s="7" t="s">
        <v>7165</v>
      </c>
      <c r="L6106" s="7"/>
      <c r="M6106" s="7"/>
    </row>
    <row r="6107" spans="1:13" x14ac:dyDescent="0.3">
      <c r="A6107" s="7">
        <v>113042</v>
      </c>
      <c r="B6107" s="7" t="s">
        <v>6113</v>
      </c>
      <c r="C6107" s="7" t="s">
        <v>7129</v>
      </c>
      <c r="D6107" s="7" t="s">
        <v>6295</v>
      </c>
      <c r="E6107" s="7" t="s">
        <v>6940</v>
      </c>
      <c r="F6107" s="7" t="s">
        <v>6980</v>
      </c>
      <c r="G6107" s="7" t="s">
        <v>7150</v>
      </c>
      <c r="H6107" s="7" t="s">
        <v>7156</v>
      </c>
      <c r="I6107" s="7"/>
      <c r="J6107" s="10">
        <v>43843</v>
      </c>
      <c r="K6107" s="7" t="s">
        <v>7165</v>
      </c>
      <c r="L6107" s="7"/>
      <c r="M6107" s="7"/>
    </row>
    <row r="6108" spans="1:13" x14ac:dyDescent="0.3">
      <c r="A6108" s="7">
        <v>113045</v>
      </c>
      <c r="B6108" s="7" t="s">
        <v>6114</v>
      </c>
      <c r="C6108" s="7" t="s">
        <v>7129</v>
      </c>
      <c r="D6108" s="7" t="s">
        <v>6295</v>
      </c>
      <c r="E6108" s="7" t="s">
        <v>6940</v>
      </c>
      <c r="F6108" s="7" t="s">
        <v>6980</v>
      </c>
      <c r="G6108" s="7" t="s">
        <v>7150</v>
      </c>
      <c r="H6108" s="7" t="s">
        <v>7156</v>
      </c>
      <c r="I6108" s="7"/>
      <c r="J6108" s="10">
        <v>44076</v>
      </c>
      <c r="K6108" s="7" t="s">
        <v>7165</v>
      </c>
      <c r="L6108" s="7"/>
      <c r="M6108" s="7"/>
    </row>
    <row r="6109" spans="1:13" x14ac:dyDescent="0.3">
      <c r="A6109" s="7">
        <v>113040</v>
      </c>
      <c r="B6109" s="7" t="s">
        <v>6115</v>
      </c>
      <c r="C6109" s="7" t="s">
        <v>7129</v>
      </c>
      <c r="D6109" s="7" t="s">
        <v>6295</v>
      </c>
      <c r="E6109" s="7" t="s">
        <v>6940</v>
      </c>
      <c r="F6109" s="7" t="s">
        <v>6980</v>
      </c>
      <c r="G6109" s="7" t="s">
        <v>7150</v>
      </c>
      <c r="H6109" s="7" t="s">
        <v>7156</v>
      </c>
      <c r="I6109" s="7"/>
      <c r="J6109" s="10">
        <v>43766</v>
      </c>
      <c r="K6109" s="7" t="s">
        <v>7165</v>
      </c>
      <c r="L6109" s="7"/>
      <c r="M6109" s="7"/>
    </row>
    <row r="6110" spans="1:13" x14ac:dyDescent="0.3">
      <c r="A6110" s="7">
        <v>113046</v>
      </c>
      <c r="B6110" s="7" t="s">
        <v>6116</v>
      </c>
      <c r="C6110" s="7" t="s">
        <v>7129</v>
      </c>
      <c r="D6110" s="7" t="s">
        <v>6295</v>
      </c>
      <c r="E6110" s="7" t="s">
        <v>6940</v>
      </c>
      <c r="F6110" s="7" t="s">
        <v>6980</v>
      </c>
      <c r="G6110" s="7" t="s">
        <v>7150</v>
      </c>
      <c r="H6110" s="7" t="s">
        <v>7156</v>
      </c>
      <c r="I6110" s="7"/>
      <c r="J6110" s="10">
        <v>44399</v>
      </c>
      <c r="K6110" s="7" t="s">
        <v>7165</v>
      </c>
      <c r="L6110" s="7"/>
      <c r="M6110" s="7"/>
    </row>
    <row r="6111" spans="1:13" x14ac:dyDescent="0.3">
      <c r="A6111" s="7">
        <v>113053</v>
      </c>
      <c r="B6111" s="7" t="s">
        <v>6117</v>
      </c>
      <c r="C6111" s="7" t="s">
        <v>7129</v>
      </c>
      <c r="D6111" s="7" t="s">
        <v>6295</v>
      </c>
      <c r="E6111" s="7" t="s">
        <v>6940</v>
      </c>
      <c r="F6111" s="7" t="s">
        <v>6987</v>
      </c>
      <c r="G6111" s="7" t="s">
        <v>7150</v>
      </c>
      <c r="H6111" s="7" t="s">
        <v>7156</v>
      </c>
      <c r="I6111" s="7"/>
      <c r="J6111" s="10">
        <v>44504</v>
      </c>
      <c r="K6111" s="7" t="s">
        <v>7165</v>
      </c>
      <c r="L6111" s="7"/>
      <c r="M6111" s="7"/>
    </row>
    <row r="6112" spans="1:13" x14ac:dyDescent="0.3">
      <c r="A6112" s="7">
        <v>17043</v>
      </c>
      <c r="B6112" s="7" t="s">
        <v>6118</v>
      </c>
      <c r="C6112" s="7" t="s">
        <v>7129</v>
      </c>
      <c r="D6112" s="7" t="s">
        <v>6295</v>
      </c>
      <c r="E6112" s="7" t="s">
        <v>6940</v>
      </c>
      <c r="F6112" s="7" t="s">
        <v>6987</v>
      </c>
      <c r="G6112" s="7" t="s">
        <v>7150</v>
      </c>
      <c r="H6112" s="7" t="s">
        <v>7156</v>
      </c>
      <c r="I6112" s="7"/>
      <c r="J6112" s="10">
        <v>45601</v>
      </c>
      <c r="K6112" s="7" t="s">
        <v>7165</v>
      </c>
      <c r="L6112" s="7"/>
      <c r="M6112" s="7"/>
    </row>
    <row r="6113" spans="1:13" x14ac:dyDescent="0.3">
      <c r="A6113" s="7">
        <v>113039</v>
      </c>
      <c r="B6113" s="7" t="s">
        <v>6119</v>
      </c>
      <c r="C6113" s="7" t="s">
        <v>7129</v>
      </c>
      <c r="D6113" s="7" t="s">
        <v>6295</v>
      </c>
      <c r="E6113" s="7" t="s">
        <v>6951</v>
      </c>
      <c r="F6113" s="7" t="s">
        <v>6398</v>
      </c>
      <c r="G6113" s="7" t="s">
        <v>7150</v>
      </c>
      <c r="H6113" s="7" t="s">
        <v>7156</v>
      </c>
      <c r="I6113" s="7"/>
      <c r="J6113" s="10">
        <v>43655</v>
      </c>
      <c r="K6113" s="7" t="s">
        <v>7165</v>
      </c>
      <c r="L6113" s="7"/>
      <c r="M6113" s="7"/>
    </row>
    <row r="6114" spans="1:13" x14ac:dyDescent="0.3">
      <c r="A6114" s="7">
        <v>15455</v>
      </c>
      <c r="B6114" s="7" t="s">
        <v>6120</v>
      </c>
      <c r="C6114" s="7" t="s">
        <v>7129</v>
      </c>
      <c r="D6114" s="7" t="s">
        <v>6295</v>
      </c>
      <c r="E6114" s="7" t="s">
        <v>6951</v>
      </c>
      <c r="F6114" s="7" t="s">
        <v>6398</v>
      </c>
      <c r="G6114" s="7" t="s">
        <v>7150</v>
      </c>
      <c r="H6114" s="7" t="s">
        <v>7156</v>
      </c>
      <c r="I6114" s="7"/>
      <c r="J6114" s="10">
        <v>45078</v>
      </c>
      <c r="K6114" s="7" t="s">
        <v>7165</v>
      </c>
      <c r="L6114" s="7"/>
      <c r="M6114" s="7"/>
    </row>
    <row r="6115" spans="1:13" x14ac:dyDescent="0.3">
      <c r="A6115" s="7">
        <v>113048</v>
      </c>
      <c r="B6115" s="7" t="s">
        <v>6121</v>
      </c>
      <c r="C6115" s="7" t="s">
        <v>7129</v>
      </c>
      <c r="D6115" s="7" t="s">
        <v>6295</v>
      </c>
      <c r="E6115" s="7" t="s">
        <v>6994</v>
      </c>
      <c r="F6115" s="7" t="s">
        <v>6498</v>
      </c>
      <c r="G6115" s="7" t="s">
        <v>7150</v>
      </c>
      <c r="H6115" s="7" t="s">
        <v>7156</v>
      </c>
      <c r="I6115" s="7"/>
      <c r="J6115" s="10">
        <v>44441</v>
      </c>
      <c r="K6115" s="7" t="s">
        <v>7165</v>
      </c>
      <c r="L6115" s="7"/>
      <c r="M6115" s="7"/>
    </row>
    <row r="6116" spans="1:13" x14ac:dyDescent="0.3">
      <c r="A6116" s="7">
        <v>113047</v>
      </c>
      <c r="B6116" s="7" t="s">
        <v>6122</v>
      </c>
      <c r="C6116" s="7" t="s">
        <v>7129</v>
      </c>
      <c r="D6116" s="7" t="s">
        <v>6295</v>
      </c>
      <c r="E6116" s="7" t="s">
        <v>6994</v>
      </c>
      <c r="F6116" s="7" t="s">
        <v>6353</v>
      </c>
      <c r="G6116" s="7" t="s">
        <v>7150</v>
      </c>
      <c r="H6116" s="7" t="s">
        <v>7156</v>
      </c>
      <c r="I6116" s="7"/>
      <c r="J6116" s="10">
        <v>44440</v>
      </c>
      <c r="K6116" s="7" t="s">
        <v>7165</v>
      </c>
      <c r="L6116" s="7"/>
      <c r="M6116" s="7"/>
    </row>
    <row r="6117" spans="1:13" x14ac:dyDescent="0.3">
      <c r="A6117" s="7">
        <v>15661</v>
      </c>
      <c r="B6117" s="7" t="s">
        <v>6123</v>
      </c>
      <c r="C6117" s="7" t="s">
        <v>7129</v>
      </c>
      <c r="D6117" s="7" t="s">
        <v>6295</v>
      </c>
      <c r="E6117" s="7" t="s">
        <v>6994</v>
      </c>
      <c r="F6117" s="7" t="s">
        <v>6341</v>
      </c>
      <c r="G6117" s="7" t="s">
        <v>7150</v>
      </c>
      <c r="H6117" s="7" t="s">
        <v>7156</v>
      </c>
      <c r="I6117" s="7"/>
      <c r="J6117" s="10">
        <v>45156</v>
      </c>
      <c r="K6117" s="7" t="s">
        <v>7165</v>
      </c>
      <c r="L6117" s="7"/>
      <c r="M6117" s="7"/>
    </row>
    <row r="6118" spans="1:13" x14ac:dyDescent="0.3">
      <c r="A6118" s="7">
        <v>113038</v>
      </c>
      <c r="B6118" s="7" t="s">
        <v>6124</v>
      </c>
      <c r="C6118" s="7" t="s">
        <v>7129</v>
      </c>
      <c r="D6118" s="7" t="s">
        <v>6295</v>
      </c>
      <c r="E6118" s="7" t="s">
        <v>6994</v>
      </c>
      <c r="F6118" s="7" t="s">
        <v>6341</v>
      </c>
      <c r="G6118" s="7" t="s">
        <v>7150</v>
      </c>
      <c r="H6118" s="7" t="s">
        <v>7156</v>
      </c>
      <c r="I6118" s="7"/>
      <c r="J6118" s="10">
        <v>43259</v>
      </c>
      <c r="K6118" s="7" t="s">
        <v>7165</v>
      </c>
      <c r="L6118" s="7"/>
      <c r="M6118" s="7"/>
    </row>
    <row r="6119" spans="1:13" x14ac:dyDescent="0.3">
      <c r="A6119" s="7">
        <v>113044</v>
      </c>
      <c r="B6119" s="7" t="s">
        <v>6125</v>
      </c>
      <c r="C6119" s="7" t="s">
        <v>7129</v>
      </c>
      <c r="D6119" s="7" t="s">
        <v>6295</v>
      </c>
      <c r="E6119" s="7" t="s">
        <v>6994</v>
      </c>
      <c r="F6119" s="7" t="s">
        <v>6341</v>
      </c>
      <c r="G6119" s="7" t="s">
        <v>7150</v>
      </c>
      <c r="H6119" s="7" t="s">
        <v>7156</v>
      </c>
      <c r="I6119" s="7"/>
      <c r="J6119" s="10">
        <v>43874</v>
      </c>
      <c r="K6119" s="7" t="s">
        <v>7165</v>
      </c>
      <c r="L6119" s="7"/>
      <c r="M6119" s="7"/>
    </row>
    <row r="6120" spans="1:13" x14ac:dyDescent="0.3">
      <c r="A6120" s="7">
        <v>17084</v>
      </c>
      <c r="B6120" s="7" t="s">
        <v>6126</v>
      </c>
      <c r="C6120" s="7" t="s">
        <v>7130</v>
      </c>
      <c r="D6120" s="7" t="s">
        <v>6295</v>
      </c>
      <c r="E6120" s="7" t="s">
        <v>6295</v>
      </c>
      <c r="F6120" s="7" t="s">
        <v>6939</v>
      </c>
      <c r="G6120" s="7" t="s">
        <v>7150</v>
      </c>
      <c r="H6120" s="7" t="s">
        <v>7156</v>
      </c>
      <c r="I6120" s="7"/>
      <c r="J6120" s="10">
        <v>45628</v>
      </c>
      <c r="K6120" s="7" t="s">
        <v>7165</v>
      </c>
      <c r="L6120" s="7"/>
      <c r="M6120" s="7"/>
    </row>
    <row r="6121" spans="1:13" x14ac:dyDescent="0.3">
      <c r="A6121" s="7">
        <v>840011</v>
      </c>
      <c r="B6121" s="7" t="s">
        <v>6127</v>
      </c>
      <c r="C6121" s="7" t="s">
        <v>7130</v>
      </c>
      <c r="D6121" s="7" t="s">
        <v>6295</v>
      </c>
      <c r="E6121" s="7" t="s">
        <v>6940</v>
      </c>
      <c r="F6121" s="7" t="s">
        <v>6991</v>
      </c>
      <c r="G6121" s="7" t="s">
        <v>7150</v>
      </c>
      <c r="H6121" s="7" t="s">
        <v>7156</v>
      </c>
      <c r="I6121" s="7"/>
      <c r="J6121" s="10">
        <v>38504</v>
      </c>
      <c r="K6121" s="7" t="s">
        <v>7165</v>
      </c>
      <c r="L6121" s="7"/>
      <c r="M6121" s="7"/>
    </row>
    <row r="6122" spans="1:13" x14ac:dyDescent="0.3">
      <c r="A6122" s="7">
        <v>840020</v>
      </c>
      <c r="B6122" s="7" t="s">
        <v>6128</v>
      </c>
      <c r="C6122" s="7" t="s">
        <v>7130</v>
      </c>
      <c r="D6122" s="7" t="s">
        <v>6295</v>
      </c>
      <c r="E6122" s="7" t="s">
        <v>6940</v>
      </c>
      <c r="F6122" s="7" t="s">
        <v>6980</v>
      </c>
      <c r="G6122" s="7" t="s">
        <v>7150</v>
      </c>
      <c r="H6122" s="7" t="s">
        <v>7156</v>
      </c>
      <c r="I6122" s="7"/>
      <c r="J6122" s="10">
        <v>43824</v>
      </c>
      <c r="K6122" s="7" t="s">
        <v>7165</v>
      </c>
      <c r="L6122" s="7"/>
      <c r="M6122" s="7"/>
    </row>
    <row r="6123" spans="1:13" x14ac:dyDescent="0.3">
      <c r="A6123" s="7">
        <v>620023</v>
      </c>
      <c r="B6123" s="7" t="s">
        <v>6129</v>
      </c>
      <c r="C6123" s="7" t="s">
        <v>7130</v>
      </c>
      <c r="D6123" s="7" t="s">
        <v>6295</v>
      </c>
      <c r="E6123" s="7" t="s">
        <v>6940</v>
      </c>
      <c r="F6123" s="7" t="s">
        <v>6980</v>
      </c>
      <c r="G6123" s="7" t="s">
        <v>7150</v>
      </c>
      <c r="H6123" s="7" t="s">
        <v>7156</v>
      </c>
      <c r="I6123" s="7"/>
      <c r="J6123" s="10">
        <v>42543</v>
      </c>
      <c r="K6123" s="7" t="s">
        <v>7165</v>
      </c>
      <c r="L6123" s="7"/>
      <c r="M6123" s="7"/>
    </row>
    <row r="6124" spans="1:13" x14ac:dyDescent="0.3">
      <c r="A6124" s="7">
        <v>620027</v>
      </c>
      <c r="B6124" s="7" t="s">
        <v>6130</v>
      </c>
      <c r="C6124" s="7" t="s">
        <v>7130</v>
      </c>
      <c r="D6124" s="7" t="s">
        <v>6295</v>
      </c>
      <c r="E6124" s="7" t="s">
        <v>6940</v>
      </c>
      <c r="F6124" s="7" t="s">
        <v>6980</v>
      </c>
      <c r="G6124" s="7" t="s">
        <v>7150</v>
      </c>
      <c r="H6124" s="7" t="s">
        <v>7156</v>
      </c>
      <c r="I6124" s="7"/>
      <c r="J6124" s="10">
        <v>43160</v>
      </c>
      <c r="K6124" s="7" t="s">
        <v>7165</v>
      </c>
      <c r="L6124" s="7"/>
      <c r="M6124" s="7"/>
    </row>
    <row r="6125" spans="1:13" x14ac:dyDescent="0.3">
      <c r="A6125" s="7">
        <v>410051</v>
      </c>
      <c r="B6125" s="7" t="s">
        <v>6131</v>
      </c>
      <c r="C6125" s="7" t="s">
        <v>7130</v>
      </c>
      <c r="D6125" s="7" t="s">
        <v>6295</v>
      </c>
      <c r="E6125" s="7" t="s">
        <v>6940</v>
      </c>
      <c r="F6125" s="7" t="s">
        <v>6986</v>
      </c>
      <c r="G6125" s="7" t="s">
        <v>7150</v>
      </c>
      <c r="H6125" s="7" t="s">
        <v>7156</v>
      </c>
      <c r="I6125" s="7"/>
      <c r="J6125" s="10">
        <v>42845</v>
      </c>
      <c r="K6125" s="7" t="s">
        <v>7165</v>
      </c>
      <c r="L6125" s="7"/>
      <c r="M6125" s="7"/>
    </row>
    <row r="6126" spans="1:13" x14ac:dyDescent="0.3">
      <c r="A6126" s="7">
        <v>840006</v>
      </c>
      <c r="B6126" s="7" t="s">
        <v>6132</v>
      </c>
      <c r="C6126" s="7" t="s">
        <v>7130</v>
      </c>
      <c r="D6126" s="7" t="s">
        <v>6295</v>
      </c>
      <c r="E6126" s="7" t="s">
        <v>6940</v>
      </c>
      <c r="F6126" s="7" t="s">
        <v>6986</v>
      </c>
      <c r="G6126" s="7" t="s">
        <v>7150</v>
      </c>
      <c r="H6126" s="7" t="s">
        <v>7156</v>
      </c>
      <c r="I6126" s="7"/>
      <c r="J6126" s="10">
        <v>40316</v>
      </c>
      <c r="K6126" s="7" t="s">
        <v>7165</v>
      </c>
      <c r="L6126" s="7"/>
      <c r="M6126" s="7"/>
    </row>
    <row r="6127" spans="1:13" x14ac:dyDescent="0.3">
      <c r="A6127" s="7">
        <v>18500</v>
      </c>
      <c r="B6127" s="7" t="s">
        <v>6133</v>
      </c>
      <c r="C6127" s="7" t="s">
        <v>7130</v>
      </c>
      <c r="D6127" s="7" t="s">
        <v>6295</v>
      </c>
      <c r="E6127" s="7" t="s">
        <v>6940</v>
      </c>
      <c r="F6127" s="7" t="s">
        <v>6998</v>
      </c>
      <c r="G6127" s="7" t="s">
        <v>7150</v>
      </c>
      <c r="H6127" s="7" t="s">
        <v>7156</v>
      </c>
      <c r="I6127" s="7"/>
      <c r="J6127" s="10">
        <v>46146</v>
      </c>
      <c r="K6127" s="7" t="s">
        <v>7165</v>
      </c>
      <c r="L6127" s="7"/>
      <c r="M6127" s="7"/>
    </row>
    <row r="6128" spans="1:13" x14ac:dyDescent="0.3">
      <c r="A6128" s="7">
        <v>840015</v>
      </c>
      <c r="B6128" s="7" t="s">
        <v>6134</v>
      </c>
      <c r="C6128" s="7" t="s">
        <v>7130</v>
      </c>
      <c r="D6128" s="7" t="s">
        <v>6295</v>
      </c>
      <c r="E6128" s="7" t="s">
        <v>6951</v>
      </c>
      <c r="F6128" s="7" t="s">
        <v>6398</v>
      </c>
      <c r="G6128" s="7" t="s">
        <v>7150</v>
      </c>
      <c r="H6128" s="7" t="s">
        <v>7156</v>
      </c>
      <c r="I6128" s="7"/>
      <c r="J6128" s="10">
        <v>42121</v>
      </c>
      <c r="K6128" s="7" t="s">
        <v>7165</v>
      </c>
      <c r="L6128" s="7"/>
      <c r="M6128" s="7"/>
    </row>
    <row r="6129" spans="1:13" x14ac:dyDescent="0.3">
      <c r="A6129" s="7">
        <v>820001</v>
      </c>
      <c r="B6129" s="7" t="s">
        <v>6135</v>
      </c>
      <c r="C6129" s="7" t="s">
        <v>7131</v>
      </c>
      <c r="D6129" s="7" t="s">
        <v>6295</v>
      </c>
      <c r="E6129" s="7" t="s">
        <v>6295</v>
      </c>
      <c r="F6129" s="7" t="s">
        <v>6939</v>
      </c>
      <c r="G6129" s="7" t="s">
        <v>7150</v>
      </c>
      <c r="H6129" s="7" t="s">
        <v>7156</v>
      </c>
      <c r="I6129" s="7"/>
      <c r="J6129" s="10">
        <v>36710</v>
      </c>
      <c r="K6129" s="7" t="s">
        <v>7165</v>
      </c>
      <c r="L6129" s="7"/>
      <c r="M6129" s="7"/>
    </row>
    <row r="6130" spans="1:13" x14ac:dyDescent="0.3">
      <c r="A6130" s="7">
        <v>820018</v>
      </c>
      <c r="B6130" s="7" t="s">
        <v>6136</v>
      </c>
      <c r="C6130" s="7" t="s">
        <v>7131</v>
      </c>
      <c r="D6130" s="7" t="s">
        <v>6295</v>
      </c>
      <c r="E6130" s="7" t="s">
        <v>6940</v>
      </c>
      <c r="F6130" s="7" t="s">
        <v>6941</v>
      </c>
      <c r="G6130" s="7" t="s">
        <v>7150</v>
      </c>
      <c r="H6130" s="7" t="s">
        <v>7156</v>
      </c>
      <c r="I6130" s="7"/>
      <c r="J6130" s="10">
        <v>42723</v>
      </c>
      <c r="K6130" s="7" t="s">
        <v>7165</v>
      </c>
      <c r="L6130" s="7"/>
      <c r="M6130" s="7"/>
    </row>
    <row r="6131" spans="1:13" x14ac:dyDescent="0.3">
      <c r="A6131" s="7">
        <v>16547</v>
      </c>
      <c r="B6131" s="7" t="s">
        <v>6137</v>
      </c>
      <c r="C6131" s="7" t="s">
        <v>7131</v>
      </c>
      <c r="D6131" s="7" t="s">
        <v>6295</v>
      </c>
      <c r="E6131" s="7" t="s">
        <v>6940</v>
      </c>
      <c r="F6131" s="7" t="s">
        <v>6988</v>
      </c>
      <c r="G6131" s="7" t="s">
        <v>7150</v>
      </c>
      <c r="H6131" s="7" t="s">
        <v>7156</v>
      </c>
      <c r="I6131" s="7"/>
      <c r="J6131" s="10">
        <v>45481</v>
      </c>
      <c r="K6131" s="7" t="s">
        <v>7165</v>
      </c>
      <c r="L6131" s="7"/>
      <c r="M6131" s="7"/>
    </row>
    <row r="6132" spans="1:13" x14ac:dyDescent="0.3">
      <c r="A6132" s="7">
        <v>16717</v>
      </c>
      <c r="B6132" s="7" t="s">
        <v>6138</v>
      </c>
      <c r="C6132" s="7" t="s">
        <v>7131</v>
      </c>
      <c r="D6132" s="7" t="s">
        <v>6295</v>
      </c>
      <c r="E6132" s="7" t="s">
        <v>6940</v>
      </c>
      <c r="F6132" s="7" t="s">
        <v>6989</v>
      </c>
      <c r="G6132" s="7" t="s">
        <v>7150</v>
      </c>
      <c r="H6132" s="7" t="s">
        <v>7156</v>
      </c>
      <c r="I6132" s="7"/>
      <c r="J6132" s="10">
        <v>45544</v>
      </c>
      <c r="K6132" s="7" t="s">
        <v>7165</v>
      </c>
      <c r="L6132" s="7"/>
      <c r="M6132" s="7"/>
    </row>
    <row r="6133" spans="1:13" x14ac:dyDescent="0.3">
      <c r="A6133" s="7">
        <v>820011</v>
      </c>
      <c r="B6133" s="7" t="s">
        <v>6139</v>
      </c>
      <c r="C6133" s="7" t="s">
        <v>7131</v>
      </c>
      <c r="D6133" s="7" t="s">
        <v>6295</v>
      </c>
      <c r="E6133" s="7" t="s">
        <v>6940</v>
      </c>
      <c r="F6133" s="7" t="s">
        <v>6980</v>
      </c>
      <c r="G6133" s="7" t="s">
        <v>7150</v>
      </c>
      <c r="H6133" s="7" t="s">
        <v>7156</v>
      </c>
      <c r="I6133" s="7"/>
      <c r="J6133" s="10">
        <v>41549</v>
      </c>
      <c r="K6133" s="7" t="s">
        <v>7165</v>
      </c>
      <c r="L6133" s="7"/>
      <c r="M6133" s="7"/>
    </row>
    <row r="6134" spans="1:13" x14ac:dyDescent="0.3">
      <c r="A6134" s="7">
        <v>820020</v>
      </c>
      <c r="B6134" s="7" t="s">
        <v>6140</v>
      </c>
      <c r="C6134" s="7" t="s">
        <v>7131</v>
      </c>
      <c r="D6134" s="7" t="s">
        <v>6295</v>
      </c>
      <c r="E6134" s="7" t="s">
        <v>6940</v>
      </c>
      <c r="F6134" s="7" t="s">
        <v>6986</v>
      </c>
      <c r="G6134" s="7" t="s">
        <v>7150</v>
      </c>
      <c r="H6134" s="7" t="s">
        <v>7156</v>
      </c>
      <c r="I6134" s="7"/>
      <c r="J6134" s="10">
        <v>43885</v>
      </c>
      <c r="K6134" s="7" t="s">
        <v>7165</v>
      </c>
      <c r="L6134" s="7"/>
      <c r="M6134" s="7"/>
    </row>
    <row r="6135" spans="1:13" x14ac:dyDescent="0.3">
      <c r="A6135" s="7">
        <v>15640</v>
      </c>
      <c r="B6135" s="7" t="s">
        <v>6141</v>
      </c>
      <c r="C6135" s="7" t="s">
        <v>7131</v>
      </c>
      <c r="D6135" s="7" t="s">
        <v>6295</v>
      </c>
      <c r="E6135" s="7" t="s">
        <v>6940</v>
      </c>
      <c r="F6135" s="7" t="s">
        <v>6987</v>
      </c>
      <c r="G6135" s="7" t="s">
        <v>7150</v>
      </c>
      <c r="H6135" s="7" t="s">
        <v>7156</v>
      </c>
      <c r="I6135" s="7"/>
      <c r="J6135" s="10">
        <v>45149</v>
      </c>
      <c r="K6135" s="7" t="s">
        <v>7165</v>
      </c>
      <c r="L6135" s="7"/>
      <c r="M6135" s="7"/>
    </row>
    <row r="6136" spans="1:13" x14ac:dyDescent="0.3">
      <c r="A6136" s="7">
        <v>820002</v>
      </c>
      <c r="B6136" s="7" t="s">
        <v>6142</v>
      </c>
      <c r="C6136" s="7" t="s">
        <v>7131</v>
      </c>
      <c r="D6136" s="7" t="s">
        <v>6295</v>
      </c>
      <c r="E6136" s="7" t="s">
        <v>6951</v>
      </c>
      <c r="F6136" s="7" t="s">
        <v>6398</v>
      </c>
      <c r="G6136" s="7" t="s">
        <v>7150</v>
      </c>
      <c r="H6136" s="7" t="s">
        <v>7156</v>
      </c>
      <c r="I6136" s="7"/>
      <c r="J6136" s="10">
        <v>36717</v>
      </c>
      <c r="K6136" s="7" t="s">
        <v>7165</v>
      </c>
      <c r="L6136" s="7"/>
      <c r="M6136" s="7"/>
    </row>
    <row r="6137" spans="1:13" x14ac:dyDescent="0.3">
      <c r="A6137" s="7">
        <v>250021</v>
      </c>
      <c r="B6137" s="7" t="s">
        <v>6143</v>
      </c>
      <c r="C6137" s="7" t="s">
        <v>7132</v>
      </c>
      <c r="D6137" s="7" t="s">
        <v>6295</v>
      </c>
      <c r="E6137" s="7" t="s">
        <v>6295</v>
      </c>
      <c r="F6137" s="7" t="s">
        <v>6939</v>
      </c>
      <c r="G6137" s="7" t="s">
        <v>7150</v>
      </c>
      <c r="H6137" s="7" t="s">
        <v>7156</v>
      </c>
      <c r="I6137" s="7"/>
      <c r="J6137" s="10">
        <v>41061</v>
      </c>
      <c r="K6137" s="7" t="s">
        <v>7165</v>
      </c>
      <c r="L6137" s="7"/>
      <c r="M6137" s="7"/>
    </row>
    <row r="6138" spans="1:13" x14ac:dyDescent="0.3">
      <c r="A6138" s="7">
        <v>880016</v>
      </c>
      <c r="B6138" s="7" t="s">
        <v>6144</v>
      </c>
      <c r="C6138" s="7" t="s">
        <v>7132</v>
      </c>
      <c r="D6138" s="7" t="s">
        <v>6295</v>
      </c>
      <c r="E6138" s="7" t="s">
        <v>6295</v>
      </c>
      <c r="F6138" s="7" t="s">
        <v>6335</v>
      </c>
      <c r="G6138" s="7" t="s">
        <v>7150</v>
      </c>
      <c r="H6138" s="7" t="s">
        <v>7156</v>
      </c>
      <c r="I6138" s="7"/>
      <c r="J6138" s="10">
        <v>37186</v>
      </c>
      <c r="K6138" s="7" t="s">
        <v>7165</v>
      </c>
      <c r="L6138" s="7"/>
      <c r="M6138" s="7"/>
    </row>
    <row r="6139" spans="1:13" x14ac:dyDescent="0.3">
      <c r="A6139" s="7">
        <v>880007</v>
      </c>
      <c r="B6139" s="7" t="s">
        <v>6145</v>
      </c>
      <c r="C6139" s="7" t="s">
        <v>7132</v>
      </c>
      <c r="D6139" s="7" t="s">
        <v>6295</v>
      </c>
      <c r="E6139" s="7" t="s">
        <v>6940</v>
      </c>
      <c r="F6139" s="7" t="s">
        <v>6991</v>
      </c>
      <c r="G6139" s="7" t="s">
        <v>7150</v>
      </c>
      <c r="H6139" s="7" t="s">
        <v>7156</v>
      </c>
      <c r="I6139" s="7"/>
      <c r="J6139" s="10">
        <v>41015</v>
      </c>
      <c r="K6139" s="7" t="s">
        <v>7165</v>
      </c>
      <c r="L6139" s="7"/>
      <c r="M6139" s="7"/>
    </row>
    <row r="6140" spans="1:13" x14ac:dyDescent="0.3">
      <c r="A6140" s="7">
        <v>410040</v>
      </c>
      <c r="B6140" s="7" t="s">
        <v>6146</v>
      </c>
      <c r="C6140" s="7" t="s">
        <v>7132</v>
      </c>
      <c r="D6140" s="7" t="s">
        <v>6295</v>
      </c>
      <c r="E6140" s="7" t="s">
        <v>6940</v>
      </c>
      <c r="F6140" s="7" t="s">
        <v>6561</v>
      </c>
      <c r="G6140" s="7" t="s">
        <v>7150</v>
      </c>
      <c r="H6140" s="7" t="s">
        <v>7156</v>
      </c>
      <c r="I6140" s="7"/>
      <c r="J6140" s="10">
        <v>42130</v>
      </c>
      <c r="K6140" s="7" t="s">
        <v>7165</v>
      </c>
      <c r="L6140" s="7"/>
      <c r="M6140" s="7"/>
    </row>
    <row r="6141" spans="1:13" x14ac:dyDescent="0.3">
      <c r="A6141" s="7">
        <v>880025</v>
      </c>
      <c r="B6141" s="7" t="s">
        <v>6147</v>
      </c>
      <c r="C6141" s="7" t="s">
        <v>7132</v>
      </c>
      <c r="D6141" s="7" t="s">
        <v>6295</v>
      </c>
      <c r="E6141" s="7" t="s">
        <v>6940</v>
      </c>
      <c r="F6141" s="7" t="s">
        <v>6561</v>
      </c>
      <c r="G6141" s="7" t="s">
        <v>7150</v>
      </c>
      <c r="H6141" s="7" t="s">
        <v>7156</v>
      </c>
      <c r="I6141" s="7"/>
      <c r="J6141" s="10">
        <v>41852</v>
      </c>
      <c r="K6141" s="7" t="s">
        <v>7165</v>
      </c>
      <c r="L6141" s="7"/>
      <c r="M6141" s="7"/>
    </row>
    <row r="6142" spans="1:13" x14ac:dyDescent="0.3">
      <c r="A6142" s="7">
        <v>880045</v>
      </c>
      <c r="B6142" s="7" t="s">
        <v>6148</v>
      </c>
      <c r="C6142" s="7" t="s">
        <v>7132</v>
      </c>
      <c r="D6142" s="7" t="s">
        <v>6295</v>
      </c>
      <c r="E6142" s="7" t="s">
        <v>6940</v>
      </c>
      <c r="F6142" s="7" t="s">
        <v>6980</v>
      </c>
      <c r="G6142" s="7" t="s">
        <v>7150</v>
      </c>
      <c r="H6142" s="7" t="s">
        <v>7156</v>
      </c>
      <c r="I6142" s="7"/>
      <c r="J6142" s="10">
        <v>43761</v>
      </c>
      <c r="K6142" s="7" t="s">
        <v>7165</v>
      </c>
      <c r="L6142" s="7"/>
      <c r="M6142" s="7"/>
    </row>
    <row r="6143" spans="1:13" x14ac:dyDescent="0.3">
      <c r="A6143" s="7">
        <v>880035</v>
      </c>
      <c r="B6143" s="7" t="s">
        <v>6149</v>
      </c>
      <c r="C6143" s="7" t="s">
        <v>7132</v>
      </c>
      <c r="D6143" s="7" t="s">
        <v>6295</v>
      </c>
      <c r="E6143" s="7" t="s">
        <v>6940</v>
      </c>
      <c r="F6143" s="7" t="s">
        <v>6980</v>
      </c>
      <c r="G6143" s="7" t="s">
        <v>7150</v>
      </c>
      <c r="H6143" s="7" t="s">
        <v>7156</v>
      </c>
      <c r="I6143" s="7"/>
      <c r="J6143" s="10">
        <v>42831</v>
      </c>
      <c r="K6143" s="7" t="s">
        <v>7165</v>
      </c>
      <c r="L6143" s="7"/>
      <c r="M6143" s="7"/>
    </row>
    <row r="6144" spans="1:13" x14ac:dyDescent="0.3">
      <c r="A6144" s="7">
        <v>880019</v>
      </c>
      <c r="B6144" s="7" t="s">
        <v>6150</v>
      </c>
      <c r="C6144" s="7" t="s">
        <v>7132</v>
      </c>
      <c r="D6144" s="7" t="s">
        <v>6295</v>
      </c>
      <c r="E6144" s="7" t="s">
        <v>6940</v>
      </c>
      <c r="F6144" s="7" t="s">
        <v>6980</v>
      </c>
      <c r="G6144" s="7" t="s">
        <v>7150</v>
      </c>
      <c r="H6144" s="7" t="s">
        <v>7156</v>
      </c>
      <c r="I6144" s="7"/>
      <c r="J6144" s="10">
        <v>39692</v>
      </c>
      <c r="K6144" s="7" t="s">
        <v>7165</v>
      </c>
      <c r="L6144" s="7"/>
      <c r="M6144" s="7"/>
    </row>
    <row r="6145" spans="1:13" x14ac:dyDescent="0.3">
      <c r="A6145" s="7">
        <v>300090</v>
      </c>
      <c r="B6145" s="7" t="s">
        <v>6151</v>
      </c>
      <c r="C6145" s="7" t="s">
        <v>7132</v>
      </c>
      <c r="D6145" s="7" t="s">
        <v>6295</v>
      </c>
      <c r="E6145" s="7" t="s">
        <v>6940</v>
      </c>
      <c r="F6145" s="7" t="s">
        <v>6980</v>
      </c>
      <c r="G6145" s="7" t="s">
        <v>7150</v>
      </c>
      <c r="H6145" s="7" t="s">
        <v>7156</v>
      </c>
      <c r="I6145" s="7"/>
      <c r="J6145" s="10">
        <v>42905</v>
      </c>
      <c r="K6145" s="7" t="s">
        <v>7165</v>
      </c>
      <c r="L6145" s="7"/>
      <c r="M6145" s="7"/>
    </row>
    <row r="6146" spans="1:13" x14ac:dyDescent="0.3">
      <c r="A6146" s="7">
        <v>880043</v>
      </c>
      <c r="B6146" s="7" t="s">
        <v>6152</v>
      </c>
      <c r="C6146" s="7" t="s">
        <v>7132</v>
      </c>
      <c r="D6146" s="7" t="s">
        <v>6295</v>
      </c>
      <c r="E6146" s="7" t="s">
        <v>6940</v>
      </c>
      <c r="F6146" s="7" t="s">
        <v>6980</v>
      </c>
      <c r="G6146" s="7" t="s">
        <v>7150</v>
      </c>
      <c r="H6146" s="7" t="s">
        <v>7156</v>
      </c>
      <c r="I6146" s="7"/>
      <c r="J6146" s="10">
        <v>43406</v>
      </c>
      <c r="K6146" s="7" t="s">
        <v>7165</v>
      </c>
      <c r="L6146" s="7"/>
      <c r="M6146" s="7"/>
    </row>
    <row r="6147" spans="1:13" x14ac:dyDescent="0.3">
      <c r="A6147" s="7">
        <v>880042</v>
      </c>
      <c r="B6147" s="7" t="s">
        <v>6153</v>
      </c>
      <c r="C6147" s="7" t="s">
        <v>7132</v>
      </c>
      <c r="D6147" s="7" t="s">
        <v>6295</v>
      </c>
      <c r="E6147" s="7" t="s">
        <v>6940</v>
      </c>
      <c r="F6147" s="7" t="s">
        <v>6980</v>
      </c>
      <c r="G6147" s="7" t="s">
        <v>7150</v>
      </c>
      <c r="H6147" s="7" t="s">
        <v>7156</v>
      </c>
      <c r="I6147" s="7"/>
      <c r="J6147" s="10">
        <v>43347</v>
      </c>
      <c r="K6147" s="7" t="s">
        <v>7165</v>
      </c>
      <c r="L6147" s="7"/>
      <c r="M6147" s="7"/>
    </row>
    <row r="6148" spans="1:13" x14ac:dyDescent="0.3">
      <c r="A6148" s="7">
        <v>880041</v>
      </c>
      <c r="B6148" s="7" t="s">
        <v>6154</v>
      </c>
      <c r="C6148" s="7" t="s">
        <v>7132</v>
      </c>
      <c r="D6148" s="7" t="s">
        <v>6295</v>
      </c>
      <c r="E6148" s="7" t="s">
        <v>6940</v>
      </c>
      <c r="F6148" s="7" t="s">
        <v>6987</v>
      </c>
      <c r="G6148" s="7" t="s">
        <v>7150</v>
      </c>
      <c r="H6148" s="7" t="s">
        <v>7156</v>
      </c>
      <c r="I6148" s="7"/>
      <c r="J6148" s="10">
        <v>43326</v>
      </c>
      <c r="K6148" s="7" t="s">
        <v>7165</v>
      </c>
      <c r="L6148" s="7"/>
      <c r="M6148" s="7"/>
    </row>
    <row r="6149" spans="1:13" x14ac:dyDescent="0.3">
      <c r="A6149" s="7">
        <v>17238</v>
      </c>
      <c r="B6149" s="7" t="s">
        <v>6155</v>
      </c>
      <c r="C6149" s="7" t="s">
        <v>7132</v>
      </c>
      <c r="D6149" s="7" t="s">
        <v>6295</v>
      </c>
      <c r="E6149" s="7" t="s">
        <v>6940</v>
      </c>
      <c r="F6149" s="7" t="s">
        <v>6987</v>
      </c>
      <c r="G6149" s="7" t="s">
        <v>7150</v>
      </c>
      <c r="H6149" s="7" t="s">
        <v>7156</v>
      </c>
      <c r="I6149" s="7"/>
      <c r="J6149" s="10">
        <v>45679</v>
      </c>
      <c r="K6149" s="7" t="s">
        <v>7165</v>
      </c>
      <c r="L6149" s="7"/>
      <c r="M6149" s="7"/>
    </row>
    <row r="6150" spans="1:13" x14ac:dyDescent="0.3">
      <c r="A6150" s="7">
        <v>880048</v>
      </c>
      <c r="B6150" s="7" t="s">
        <v>6156</v>
      </c>
      <c r="C6150" s="7" t="s">
        <v>7132</v>
      </c>
      <c r="D6150" s="7" t="s">
        <v>6295</v>
      </c>
      <c r="E6150" s="7" t="s">
        <v>6951</v>
      </c>
      <c r="F6150" s="7" t="s">
        <v>6398</v>
      </c>
      <c r="G6150" s="7" t="s">
        <v>7150</v>
      </c>
      <c r="H6150" s="7" t="s">
        <v>7156</v>
      </c>
      <c r="I6150" s="7"/>
      <c r="J6150" s="10">
        <v>44410</v>
      </c>
      <c r="K6150" s="7" t="s">
        <v>7165</v>
      </c>
      <c r="L6150" s="7"/>
      <c r="M6150" s="7"/>
    </row>
    <row r="6151" spans="1:13" x14ac:dyDescent="0.3">
      <c r="A6151" s="7">
        <v>14653</v>
      </c>
      <c r="B6151" s="7" t="s">
        <v>6157</v>
      </c>
      <c r="C6151" s="7" t="s">
        <v>7132</v>
      </c>
      <c r="D6151" s="7" t="s">
        <v>6295</v>
      </c>
      <c r="E6151" s="7" t="s">
        <v>6951</v>
      </c>
      <c r="F6151" s="7" t="s">
        <v>6398</v>
      </c>
      <c r="G6151" s="7" t="s">
        <v>7150</v>
      </c>
      <c r="H6151" s="7" t="s">
        <v>7156</v>
      </c>
      <c r="I6151" s="7"/>
      <c r="J6151" s="10">
        <v>44816</v>
      </c>
      <c r="K6151" s="7" t="s">
        <v>7165</v>
      </c>
      <c r="L6151" s="7"/>
      <c r="M6151" s="7"/>
    </row>
    <row r="6152" spans="1:13" x14ac:dyDescent="0.3">
      <c r="A6152" s="7">
        <v>430002</v>
      </c>
      <c r="B6152" s="7" t="s">
        <v>6158</v>
      </c>
      <c r="C6152" s="7" t="s">
        <v>7133</v>
      </c>
      <c r="D6152" s="7" t="s">
        <v>6295</v>
      </c>
      <c r="E6152" s="7" t="s">
        <v>6295</v>
      </c>
      <c r="F6152" s="7" t="s">
        <v>6939</v>
      </c>
      <c r="G6152" s="7" t="s">
        <v>7150</v>
      </c>
      <c r="H6152" s="7" t="s">
        <v>7156</v>
      </c>
      <c r="I6152" s="7"/>
      <c r="J6152" s="10">
        <v>40696</v>
      </c>
      <c r="K6152" s="7" t="s">
        <v>7165</v>
      </c>
      <c r="L6152" s="7"/>
      <c r="M6152" s="7"/>
    </row>
    <row r="6153" spans="1:13" x14ac:dyDescent="0.3">
      <c r="A6153" s="7">
        <v>430009</v>
      </c>
      <c r="B6153" s="7" t="s">
        <v>6159</v>
      </c>
      <c r="C6153" s="7" t="s">
        <v>7133</v>
      </c>
      <c r="D6153" s="7" t="s">
        <v>6295</v>
      </c>
      <c r="E6153" s="7" t="s">
        <v>6940</v>
      </c>
      <c r="F6153" s="7" t="s">
        <v>6991</v>
      </c>
      <c r="G6153" s="7" t="s">
        <v>7150</v>
      </c>
      <c r="H6153" s="7" t="s">
        <v>7156</v>
      </c>
      <c r="I6153" s="7"/>
      <c r="J6153" s="10">
        <v>39223</v>
      </c>
      <c r="K6153" s="7" t="s">
        <v>7165</v>
      </c>
      <c r="L6153" s="7"/>
      <c r="M6153" s="7"/>
    </row>
    <row r="6154" spans="1:13" x14ac:dyDescent="0.3">
      <c r="A6154" s="7">
        <v>17115</v>
      </c>
      <c r="B6154" s="7" t="s">
        <v>6160</v>
      </c>
      <c r="C6154" s="7" t="s">
        <v>7133</v>
      </c>
      <c r="D6154" s="7" t="s">
        <v>6295</v>
      </c>
      <c r="E6154" s="7" t="s">
        <v>6940</v>
      </c>
      <c r="F6154" s="7" t="s">
        <v>6988</v>
      </c>
      <c r="G6154" s="7" t="s">
        <v>7150</v>
      </c>
      <c r="H6154" s="7" t="s">
        <v>7156</v>
      </c>
      <c r="I6154" s="7"/>
      <c r="J6154" s="10">
        <v>45635</v>
      </c>
      <c r="K6154" s="7" t="s">
        <v>7165</v>
      </c>
      <c r="L6154" s="7"/>
      <c r="M6154" s="7"/>
    </row>
    <row r="6155" spans="1:13" x14ac:dyDescent="0.3">
      <c r="A6155" s="7">
        <v>750027</v>
      </c>
      <c r="B6155" s="7" t="s">
        <v>6161</v>
      </c>
      <c r="C6155" s="7" t="s">
        <v>7133</v>
      </c>
      <c r="D6155" s="7" t="s">
        <v>6295</v>
      </c>
      <c r="E6155" s="7" t="s">
        <v>6940</v>
      </c>
      <c r="F6155" s="7" t="s">
        <v>6980</v>
      </c>
      <c r="G6155" s="7" t="s">
        <v>7150</v>
      </c>
      <c r="H6155" s="7" t="s">
        <v>7156</v>
      </c>
      <c r="I6155" s="7"/>
      <c r="J6155" s="10">
        <v>42436</v>
      </c>
      <c r="K6155" s="7" t="s">
        <v>7165</v>
      </c>
      <c r="L6155" s="7"/>
      <c r="M6155" s="7"/>
    </row>
    <row r="6156" spans="1:13" x14ac:dyDescent="0.3">
      <c r="A6156" s="7">
        <v>430003</v>
      </c>
      <c r="B6156" s="7" t="s">
        <v>6162</v>
      </c>
      <c r="C6156" s="7" t="s">
        <v>7133</v>
      </c>
      <c r="D6156" s="7" t="s">
        <v>6295</v>
      </c>
      <c r="E6156" s="7" t="s">
        <v>6940</v>
      </c>
      <c r="F6156" s="7" t="s">
        <v>6980</v>
      </c>
      <c r="G6156" s="7" t="s">
        <v>7154</v>
      </c>
      <c r="H6156" s="7" t="s">
        <v>7156</v>
      </c>
      <c r="I6156" s="7"/>
      <c r="J6156" s="10">
        <v>40544</v>
      </c>
      <c r="K6156" s="7" t="s">
        <v>7165</v>
      </c>
      <c r="L6156" s="7"/>
      <c r="M6156" s="7"/>
    </row>
    <row r="6157" spans="1:13" x14ac:dyDescent="0.3">
      <c r="A6157" s="7">
        <v>430023</v>
      </c>
      <c r="B6157" s="7" t="s">
        <v>6163</v>
      </c>
      <c r="C6157" s="7" t="s">
        <v>7133</v>
      </c>
      <c r="D6157" s="7" t="s">
        <v>6295</v>
      </c>
      <c r="E6157" s="7" t="s">
        <v>6940</v>
      </c>
      <c r="F6157" s="7" t="s">
        <v>6980</v>
      </c>
      <c r="G6157" s="7" t="s">
        <v>7150</v>
      </c>
      <c r="H6157" s="7" t="s">
        <v>7156</v>
      </c>
      <c r="I6157" s="7"/>
      <c r="J6157" s="10">
        <v>43866</v>
      </c>
      <c r="K6157" s="7" t="s">
        <v>7165</v>
      </c>
      <c r="L6157" s="7"/>
      <c r="M6157" s="7"/>
    </row>
    <row r="6158" spans="1:13" x14ac:dyDescent="0.3">
      <c r="A6158" s="7">
        <v>750032</v>
      </c>
      <c r="B6158" s="7" t="s">
        <v>6164</v>
      </c>
      <c r="C6158" s="7" t="s">
        <v>7133</v>
      </c>
      <c r="D6158" s="7" t="s">
        <v>6295</v>
      </c>
      <c r="E6158" s="7" t="s">
        <v>6940</v>
      </c>
      <c r="F6158" s="7" t="s">
        <v>6980</v>
      </c>
      <c r="G6158" s="7" t="s">
        <v>7150</v>
      </c>
      <c r="H6158" s="7" t="s">
        <v>7156</v>
      </c>
      <c r="I6158" s="7"/>
      <c r="J6158" s="10">
        <v>43781</v>
      </c>
      <c r="K6158" s="7" t="s">
        <v>7165</v>
      </c>
      <c r="L6158" s="7"/>
      <c r="M6158" s="7"/>
    </row>
    <row r="6159" spans="1:13" x14ac:dyDescent="0.3">
      <c r="A6159" s="7">
        <v>14533</v>
      </c>
      <c r="B6159" s="7" t="s">
        <v>6165</v>
      </c>
      <c r="C6159" s="7" t="s">
        <v>7133</v>
      </c>
      <c r="D6159" s="7" t="s">
        <v>6295</v>
      </c>
      <c r="E6159" s="7" t="s">
        <v>6940</v>
      </c>
      <c r="F6159" s="7" t="s">
        <v>6986</v>
      </c>
      <c r="G6159" s="7" t="s">
        <v>7150</v>
      </c>
      <c r="H6159" s="7" t="s">
        <v>7156</v>
      </c>
      <c r="I6159" s="7"/>
      <c r="J6159" s="10">
        <v>44778</v>
      </c>
      <c r="K6159" s="7" t="s">
        <v>7165</v>
      </c>
      <c r="L6159" s="7"/>
      <c r="M6159" s="7"/>
    </row>
    <row r="6160" spans="1:13" x14ac:dyDescent="0.3">
      <c r="A6160" s="7">
        <v>750030</v>
      </c>
      <c r="B6160" s="7" t="s">
        <v>6166</v>
      </c>
      <c r="C6160" s="7" t="s">
        <v>7133</v>
      </c>
      <c r="D6160" s="7" t="s">
        <v>6295</v>
      </c>
      <c r="E6160" s="7" t="s">
        <v>6940</v>
      </c>
      <c r="F6160" s="7" t="s">
        <v>6986</v>
      </c>
      <c r="G6160" s="7" t="s">
        <v>7150</v>
      </c>
      <c r="H6160" s="7" t="s">
        <v>7156</v>
      </c>
      <c r="I6160" s="7"/>
      <c r="J6160" s="10">
        <v>43256</v>
      </c>
      <c r="K6160" s="7" t="s">
        <v>7165</v>
      </c>
      <c r="L6160" s="7"/>
      <c r="M6160" s="7"/>
    </row>
    <row r="6161" spans="1:13" x14ac:dyDescent="0.3">
      <c r="A6161" s="7">
        <v>14095</v>
      </c>
      <c r="B6161" s="7" t="s">
        <v>6167</v>
      </c>
      <c r="C6161" s="7" t="s">
        <v>7133</v>
      </c>
      <c r="D6161" s="7" t="s">
        <v>6295</v>
      </c>
      <c r="E6161" s="7" t="s">
        <v>6940</v>
      </c>
      <c r="F6161" s="7" t="s">
        <v>6986</v>
      </c>
      <c r="G6161" s="7" t="s">
        <v>7150</v>
      </c>
      <c r="H6161" s="7" t="s">
        <v>7156</v>
      </c>
      <c r="I6161" s="7"/>
      <c r="J6161" s="10">
        <v>44657</v>
      </c>
      <c r="K6161" s="7" t="s">
        <v>7165</v>
      </c>
      <c r="L6161" s="7"/>
      <c r="M6161" s="7"/>
    </row>
    <row r="6162" spans="1:13" x14ac:dyDescent="0.3">
      <c r="A6162" s="7">
        <v>430016</v>
      </c>
      <c r="B6162" s="7" t="s">
        <v>6168</v>
      </c>
      <c r="C6162" s="7" t="s">
        <v>7133</v>
      </c>
      <c r="D6162" s="7" t="s">
        <v>6295</v>
      </c>
      <c r="E6162" s="7" t="s">
        <v>6940</v>
      </c>
      <c r="F6162" s="7" t="s">
        <v>6987</v>
      </c>
      <c r="G6162" s="7" t="s">
        <v>7150</v>
      </c>
      <c r="H6162" s="7" t="s">
        <v>7156</v>
      </c>
      <c r="I6162" s="7"/>
      <c r="J6162" s="10">
        <v>42646</v>
      </c>
      <c r="K6162" s="7" t="s">
        <v>7165</v>
      </c>
      <c r="L6162" s="7"/>
      <c r="M6162" s="7"/>
    </row>
    <row r="6163" spans="1:13" x14ac:dyDescent="0.3">
      <c r="A6163" s="7">
        <v>18367</v>
      </c>
      <c r="B6163" s="7" t="s">
        <v>6169</v>
      </c>
      <c r="C6163" s="7" t="s">
        <v>7133</v>
      </c>
      <c r="D6163" s="7" t="s">
        <v>6295</v>
      </c>
      <c r="E6163" s="7" t="s">
        <v>6940</v>
      </c>
      <c r="F6163" s="7" t="s">
        <v>6998</v>
      </c>
      <c r="G6163" s="7" t="s">
        <v>7150</v>
      </c>
      <c r="H6163" s="7" t="s">
        <v>7156</v>
      </c>
      <c r="I6163" s="7"/>
      <c r="J6163" s="10">
        <v>46113</v>
      </c>
      <c r="K6163" s="7" t="s">
        <v>7165</v>
      </c>
      <c r="L6163" s="7"/>
      <c r="M6163" s="7"/>
    </row>
    <row r="6164" spans="1:13" x14ac:dyDescent="0.3">
      <c r="A6164" s="7">
        <v>14214</v>
      </c>
      <c r="B6164" s="7" t="s">
        <v>6170</v>
      </c>
      <c r="C6164" s="7" t="s">
        <v>7133</v>
      </c>
      <c r="D6164" s="7" t="s">
        <v>6295</v>
      </c>
      <c r="E6164" s="7" t="s">
        <v>6994</v>
      </c>
      <c r="F6164" s="7" t="s">
        <v>6498</v>
      </c>
      <c r="G6164" s="7" t="s">
        <v>7150</v>
      </c>
      <c r="H6164" s="7" t="s">
        <v>7156</v>
      </c>
      <c r="I6164" s="7"/>
      <c r="J6164" s="10">
        <v>44699</v>
      </c>
      <c r="K6164" s="7" t="s">
        <v>7165</v>
      </c>
      <c r="L6164" s="7"/>
      <c r="M6164" s="7"/>
    </row>
    <row r="6165" spans="1:13" x14ac:dyDescent="0.3">
      <c r="A6165" s="7">
        <v>430024</v>
      </c>
      <c r="B6165" s="7" t="s">
        <v>6171</v>
      </c>
      <c r="C6165" s="7" t="s">
        <v>7133</v>
      </c>
      <c r="D6165" s="7" t="s">
        <v>6295</v>
      </c>
      <c r="E6165" s="7" t="s">
        <v>6994</v>
      </c>
      <c r="F6165" s="7" t="s">
        <v>6353</v>
      </c>
      <c r="G6165" s="7" t="s">
        <v>7150</v>
      </c>
      <c r="H6165" s="7" t="s">
        <v>7156</v>
      </c>
      <c r="I6165" s="7"/>
      <c r="J6165" s="10">
        <v>44462</v>
      </c>
      <c r="K6165" s="7" t="s">
        <v>7165</v>
      </c>
      <c r="L6165" s="7"/>
      <c r="M6165" s="7"/>
    </row>
    <row r="6166" spans="1:13" x14ac:dyDescent="0.3">
      <c r="A6166" s="7">
        <v>14552</v>
      </c>
      <c r="B6166" s="7" t="s">
        <v>6172</v>
      </c>
      <c r="C6166" s="7" t="s">
        <v>7133</v>
      </c>
      <c r="D6166" s="7" t="s">
        <v>6295</v>
      </c>
      <c r="E6166" s="7" t="s">
        <v>6994</v>
      </c>
      <c r="F6166" s="7" t="s">
        <v>6353</v>
      </c>
      <c r="G6166" s="7" t="s">
        <v>7150</v>
      </c>
      <c r="H6166" s="7" t="s">
        <v>7156</v>
      </c>
      <c r="I6166" s="7"/>
      <c r="J6166" s="10">
        <v>44783</v>
      </c>
      <c r="K6166" s="7" t="s">
        <v>7165</v>
      </c>
      <c r="L6166" s="7"/>
      <c r="M6166" s="7"/>
    </row>
    <row r="6167" spans="1:13" x14ac:dyDescent="0.3">
      <c r="A6167" s="7">
        <v>430025</v>
      </c>
      <c r="B6167" s="7" t="s">
        <v>6173</v>
      </c>
      <c r="C6167" s="7" t="s">
        <v>7133</v>
      </c>
      <c r="D6167" s="7" t="s">
        <v>6295</v>
      </c>
      <c r="E6167" s="7" t="s">
        <v>6994</v>
      </c>
      <c r="F6167" s="7" t="s">
        <v>6353</v>
      </c>
      <c r="G6167" s="7" t="s">
        <v>7150</v>
      </c>
      <c r="H6167" s="7" t="s">
        <v>7156</v>
      </c>
      <c r="I6167" s="7"/>
      <c r="J6167" s="10">
        <v>44476</v>
      </c>
      <c r="K6167" s="7" t="s">
        <v>7165</v>
      </c>
      <c r="L6167" s="7"/>
      <c r="M6167" s="7"/>
    </row>
    <row r="6168" spans="1:13" x14ac:dyDescent="0.3">
      <c r="A6168" s="7">
        <v>15933</v>
      </c>
      <c r="B6168" s="7" t="s">
        <v>6174</v>
      </c>
      <c r="C6168" s="7" t="s">
        <v>7133</v>
      </c>
      <c r="D6168" s="7" t="s">
        <v>6295</v>
      </c>
      <c r="E6168" s="7" t="s">
        <v>6994</v>
      </c>
      <c r="F6168" s="7" t="s">
        <v>6341</v>
      </c>
      <c r="G6168" s="7" t="s">
        <v>7150</v>
      </c>
      <c r="H6168" s="7" t="s">
        <v>7156</v>
      </c>
      <c r="I6168" s="7"/>
      <c r="J6168" s="10">
        <v>45245</v>
      </c>
      <c r="K6168" s="7" t="s">
        <v>7165</v>
      </c>
      <c r="L6168" s="7"/>
      <c r="M6168" s="7"/>
    </row>
    <row r="6169" spans="1:13" x14ac:dyDescent="0.3">
      <c r="A6169" s="7">
        <v>16815</v>
      </c>
      <c r="B6169" s="7" t="s">
        <v>6175</v>
      </c>
      <c r="C6169" s="7" t="s">
        <v>7133</v>
      </c>
      <c r="D6169" s="7" t="s">
        <v>6295</v>
      </c>
      <c r="E6169" s="7" t="s">
        <v>6951</v>
      </c>
      <c r="F6169" s="7" t="s">
        <v>6398</v>
      </c>
      <c r="G6169" s="7" t="s">
        <v>7150</v>
      </c>
      <c r="H6169" s="7" t="s">
        <v>7156</v>
      </c>
      <c r="I6169" s="7"/>
      <c r="J6169" s="10">
        <v>45559</v>
      </c>
      <c r="K6169" s="7" t="s">
        <v>7165</v>
      </c>
      <c r="L6169" s="7"/>
      <c r="M6169" s="7"/>
    </row>
    <row r="6170" spans="1:13" x14ac:dyDescent="0.3">
      <c r="A6170" s="7">
        <v>118022</v>
      </c>
      <c r="B6170" s="7" t="s">
        <v>6176</v>
      </c>
      <c r="C6170" s="7" t="s">
        <v>7134</v>
      </c>
      <c r="D6170" s="7" t="s">
        <v>6295</v>
      </c>
      <c r="E6170" s="7" t="s">
        <v>6295</v>
      </c>
      <c r="F6170" s="7" t="s">
        <v>6939</v>
      </c>
      <c r="G6170" s="7" t="s">
        <v>7150</v>
      </c>
      <c r="H6170" s="7" t="s">
        <v>7156</v>
      </c>
      <c r="I6170" s="7"/>
      <c r="J6170" s="10">
        <v>42555</v>
      </c>
      <c r="K6170" s="7" t="s">
        <v>7165</v>
      </c>
      <c r="L6170" s="7"/>
      <c r="M6170" s="7"/>
    </row>
    <row r="6171" spans="1:13" x14ac:dyDescent="0.3">
      <c r="A6171" s="7">
        <v>17933</v>
      </c>
      <c r="B6171" s="7" t="s">
        <v>6177</v>
      </c>
      <c r="C6171" s="7" t="s">
        <v>7134</v>
      </c>
      <c r="D6171" s="7" t="s">
        <v>6295</v>
      </c>
      <c r="E6171" s="7" t="s">
        <v>6940</v>
      </c>
      <c r="F6171" s="7" t="s">
        <v>6988</v>
      </c>
      <c r="G6171" s="7" t="s">
        <v>7150</v>
      </c>
      <c r="H6171" s="7" t="s">
        <v>7156</v>
      </c>
      <c r="I6171" s="7"/>
      <c r="J6171" s="10">
        <v>45924</v>
      </c>
      <c r="K6171" s="7" t="s">
        <v>7165</v>
      </c>
      <c r="L6171" s="7"/>
      <c r="M6171" s="7"/>
    </row>
    <row r="6172" spans="1:13" x14ac:dyDescent="0.3">
      <c r="A6172" s="7">
        <v>15287</v>
      </c>
      <c r="B6172" s="7" t="s">
        <v>6178</v>
      </c>
      <c r="C6172" s="7" t="s">
        <v>7134</v>
      </c>
      <c r="D6172" s="7" t="s">
        <v>6295</v>
      </c>
      <c r="E6172" s="7" t="s">
        <v>6940</v>
      </c>
      <c r="F6172" s="7" t="s">
        <v>6943</v>
      </c>
      <c r="G6172" s="7" t="s">
        <v>7150</v>
      </c>
      <c r="H6172" s="7" t="s">
        <v>7156</v>
      </c>
      <c r="I6172" s="7"/>
      <c r="J6172" s="10">
        <v>45012</v>
      </c>
      <c r="K6172" s="7" t="s">
        <v>7165</v>
      </c>
      <c r="L6172" s="7"/>
      <c r="M6172" s="7"/>
    </row>
    <row r="6173" spans="1:13" x14ac:dyDescent="0.3">
      <c r="A6173" s="7">
        <v>14697</v>
      </c>
      <c r="B6173" s="7" t="s">
        <v>6179</v>
      </c>
      <c r="C6173" s="7" t="s">
        <v>7134</v>
      </c>
      <c r="D6173" s="7" t="s">
        <v>6295</v>
      </c>
      <c r="E6173" s="7" t="s">
        <v>6951</v>
      </c>
      <c r="F6173" s="7" t="s">
        <v>6398</v>
      </c>
      <c r="G6173" s="7" t="s">
        <v>7150</v>
      </c>
      <c r="H6173" s="7" t="s">
        <v>7156</v>
      </c>
      <c r="I6173" s="7"/>
      <c r="J6173" s="10">
        <v>44826</v>
      </c>
      <c r="K6173" s="7" t="s">
        <v>7165</v>
      </c>
      <c r="L6173" s="7"/>
      <c r="M6173" s="7"/>
    </row>
    <row r="6174" spans="1:13" x14ac:dyDescent="0.3">
      <c r="A6174" s="7">
        <v>300089</v>
      </c>
      <c r="B6174" s="7" t="s">
        <v>6180</v>
      </c>
      <c r="C6174" s="7" t="s">
        <v>7135</v>
      </c>
      <c r="D6174" s="7" t="s">
        <v>6295</v>
      </c>
      <c r="E6174" s="7" t="s">
        <v>6295</v>
      </c>
      <c r="F6174" s="7" t="s">
        <v>6939</v>
      </c>
      <c r="G6174" s="7" t="s">
        <v>7150</v>
      </c>
      <c r="H6174" s="7" t="s">
        <v>7156</v>
      </c>
      <c r="I6174" s="7"/>
      <c r="J6174" s="10">
        <v>42900</v>
      </c>
      <c r="K6174" s="7" t="s">
        <v>7165</v>
      </c>
      <c r="L6174" s="7"/>
      <c r="M6174" s="7"/>
    </row>
    <row r="6175" spans="1:13" x14ac:dyDescent="0.3">
      <c r="A6175" s="7">
        <v>490015</v>
      </c>
      <c r="B6175" s="7" t="s">
        <v>6181</v>
      </c>
      <c r="C6175" s="7" t="s">
        <v>7135</v>
      </c>
      <c r="D6175" s="7" t="s">
        <v>6295</v>
      </c>
      <c r="E6175" s="7" t="s">
        <v>6940</v>
      </c>
      <c r="F6175" s="7" t="s">
        <v>6991</v>
      </c>
      <c r="G6175" s="7" t="s">
        <v>7150</v>
      </c>
      <c r="H6175" s="7" t="s">
        <v>7156</v>
      </c>
      <c r="I6175" s="7"/>
      <c r="J6175" s="10">
        <v>39699</v>
      </c>
      <c r="K6175" s="7" t="s">
        <v>7165</v>
      </c>
      <c r="L6175" s="7"/>
      <c r="M6175" s="7"/>
    </row>
    <row r="6176" spans="1:13" x14ac:dyDescent="0.3">
      <c r="A6176" s="7">
        <v>490021</v>
      </c>
      <c r="B6176" s="7" t="s">
        <v>6182</v>
      </c>
      <c r="C6176" s="7" t="s">
        <v>7135</v>
      </c>
      <c r="D6176" s="7" t="s">
        <v>6295</v>
      </c>
      <c r="E6176" s="7" t="s">
        <v>6940</v>
      </c>
      <c r="F6176" s="7" t="s">
        <v>6992</v>
      </c>
      <c r="G6176" s="7" t="s">
        <v>7150</v>
      </c>
      <c r="H6176" s="7" t="s">
        <v>7156</v>
      </c>
      <c r="I6176" s="7"/>
      <c r="J6176" s="10">
        <v>43824</v>
      </c>
      <c r="K6176" s="7" t="s">
        <v>7165</v>
      </c>
      <c r="L6176" s="7"/>
      <c r="M6176" s="7"/>
    </row>
    <row r="6177" spans="1:13" x14ac:dyDescent="0.3">
      <c r="A6177" s="7">
        <v>300079</v>
      </c>
      <c r="B6177" s="7" t="s">
        <v>6183</v>
      </c>
      <c r="C6177" s="7" t="s">
        <v>7135</v>
      </c>
      <c r="D6177" s="7" t="s">
        <v>6295</v>
      </c>
      <c r="E6177" s="7" t="s">
        <v>6940</v>
      </c>
      <c r="F6177" s="7" t="s">
        <v>6980</v>
      </c>
      <c r="G6177" s="7" t="s">
        <v>7150</v>
      </c>
      <c r="H6177" s="7" t="s">
        <v>7156</v>
      </c>
      <c r="I6177" s="7"/>
      <c r="J6177" s="10">
        <v>42881</v>
      </c>
      <c r="K6177" s="7" t="s">
        <v>7165</v>
      </c>
      <c r="L6177" s="7"/>
      <c r="M6177" s="7"/>
    </row>
    <row r="6178" spans="1:13" x14ac:dyDescent="0.3">
      <c r="A6178" s="7">
        <v>490016</v>
      </c>
      <c r="B6178" s="7" t="s">
        <v>6184</v>
      </c>
      <c r="C6178" s="7" t="s">
        <v>7135</v>
      </c>
      <c r="D6178" s="7" t="s">
        <v>6295</v>
      </c>
      <c r="E6178" s="7" t="s">
        <v>6940</v>
      </c>
      <c r="F6178" s="7" t="s">
        <v>6980</v>
      </c>
      <c r="G6178" s="7" t="s">
        <v>7150</v>
      </c>
      <c r="H6178" s="7" t="s">
        <v>7156</v>
      </c>
      <c r="I6178" s="7"/>
      <c r="J6178" s="10">
        <v>41925</v>
      </c>
      <c r="K6178" s="7" t="s">
        <v>7165</v>
      </c>
      <c r="L6178" s="7"/>
      <c r="M6178" s="7"/>
    </row>
    <row r="6179" spans="1:13" x14ac:dyDescent="0.3">
      <c r="A6179" s="7">
        <v>490017</v>
      </c>
      <c r="B6179" s="7" t="s">
        <v>6185</v>
      </c>
      <c r="C6179" s="7" t="s">
        <v>7135</v>
      </c>
      <c r="D6179" s="7" t="s">
        <v>6295</v>
      </c>
      <c r="E6179" s="7" t="s">
        <v>6940</v>
      </c>
      <c r="F6179" s="7" t="s">
        <v>6986</v>
      </c>
      <c r="G6179" s="7" t="s">
        <v>7150</v>
      </c>
      <c r="H6179" s="7" t="s">
        <v>7156</v>
      </c>
      <c r="I6179" s="7"/>
      <c r="J6179" s="10">
        <v>42909</v>
      </c>
      <c r="K6179" s="7" t="s">
        <v>7165</v>
      </c>
      <c r="L6179" s="7"/>
      <c r="M6179" s="7"/>
    </row>
    <row r="6180" spans="1:13" x14ac:dyDescent="0.3">
      <c r="A6180" s="7">
        <v>490018</v>
      </c>
      <c r="B6180" s="7" t="s">
        <v>6186</v>
      </c>
      <c r="C6180" s="7" t="s">
        <v>7135</v>
      </c>
      <c r="D6180" s="7" t="s">
        <v>6295</v>
      </c>
      <c r="E6180" s="7" t="s">
        <v>6951</v>
      </c>
      <c r="F6180" s="7" t="s">
        <v>6398</v>
      </c>
      <c r="G6180" s="7" t="s">
        <v>7150</v>
      </c>
      <c r="H6180" s="7" t="s">
        <v>7156</v>
      </c>
      <c r="I6180" s="7"/>
      <c r="J6180" s="10">
        <v>43000</v>
      </c>
      <c r="K6180" s="7" t="s">
        <v>7165</v>
      </c>
      <c r="L6180" s="7"/>
      <c r="M6180" s="7"/>
    </row>
    <row r="6181" spans="1:13" x14ac:dyDescent="0.3">
      <c r="A6181" s="7">
        <v>850102</v>
      </c>
      <c r="B6181" s="7" t="s">
        <v>6187</v>
      </c>
      <c r="C6181" s="7" t="s">
        <v>6295</v>
      </c>
      <c r="D6181" s="7" t="s">
        <v>7136</v>
      </c>
      <c r="E6181" s="7" t="s">
        <v>6295</v>
      </c>
      <c r="F6181" s="7" t="s">
        <v>6939</v>
      </c>
      <c r="G6181" s="7" t="s">
        <v>7150</v>
      </c>
      <c r="H6181" s="7" t="s">
        <v>7156</v>
      </c>
      <c r="I6181" s="7"/>
      <c r="J6181" s="10">
        <v>43755</v>
      </c>
      <c r="K6181" s="7" t="s">
        <v>7165</v>
      </c>
      <c r="L6181" s="7"/>
      <c r="M6181" s="7"/>
    </row>
    <row r="6182" spans="1:13" x14ac:dyDescent="0.3">
      <c r="A6182" s="7">
        <v>350041</v>
      </c>
      <c r="B6182" s="7" t="s">
        <v>6188</v>
      </c>
      <c r="C6182" s="7" t="s">
        <v>6295</v>
      </c>
      <c r="D6182" s="7" t="s">
        <v>7136</v>
      </c>
      <c r="E6182" s="7" t="s">
        <v>6940</v>
      </c>
      <c r="F6182" s="7" t="s">
        <v>6941</v>
      </c>
      <c r="G6182" s="7" t="s">
        <v>7150</v>
      </c>
      <c r="H6182" s="7" t="s">
        <v>7156</v>
      </c>
      <c r="I6182" s="7"/>
      <c r="J6182" s="10">
        <v>44141</v>
      </c>
      <c r="K6182" s="7" t="s">
        <v>7165</v>
      </c>
      <c r="L6182" s="7"/>
      <c r="M6182" s="7"/>
    </row>
    <row r="6183" spans="1:13" x14ac:dyDescent="0.3">
      <c r="A6183" s="7">
        <v>15037</v>
      </c>
      <c r="B6183" s="7" t="s">
        <v>6189</v>
      </c>
      <c r="C6183" s="7" t="s">
        <v>6295</v>
      </c>
      <c r="D6183" s="7" t="s">
        <v>7136</v>
      </c>
      <c r="E6183" s="7" t="s">
        <v>6940</v>
      </c>
      <c r="F6183" s="7" t="s">
        <v>6943</v>
      </c>
      <c r="G6183" s="7" t="s">
        <v>7150</v>
      </c>
      <c r="H6183" s="7" t="s">
        <v>7156</v>
      </c>
      <c r="I6183" s="7"/>
      <c r="J6183" s="10">
        <v>44931</v>
      </c>
      <c r="K6183" s="7" t="s">
        <v>7165</v>
      </c>
      <c r="L6183" s="7"/>
      <c r="M6183" s="7"/>
    </row>
    <row r="6184" spans="1:13" x14ac:dyDescent="0.3">
      <c r="A6184" s="7">
        <v>15035</v>
      </c>
      <c r="B6184" s="7" t="s">
        <v>6190</v>
      </c>
      <c r="C6184" s="7" t="s">
        <v>6295</v>
      </c>
      <c r="D6184" s="7" t="s">
        <v>7136</v>
      </c>
      <c r="E6184" s="7" t="s">
        <v>6940</v>
      </c>
      <c r="F6184" s="7" t="s">
        <v>6943</v>
      </c>
      <c r="G6184" s="7" t="s">
        <v>7150</v>
      </c>
      <c r="H6184" s="7" t="s">
        <v>7156</v>
      </c>
      <c r="I6184" s="7"/>
      <c r="J6184" s="10">
        <v>44931</v>
      </c>
      <c r="K6184" s="7" t="s">
        <v>7165</v>
      </c>
      <c r="L6184" s="7"/>
      <c r="M6184" s="7"/>
    </row>
    <row r="6185" spans="1:13" x14ac:dyDescent="0.3">
      <c r="A6185" s="7">
        <v>15168</v>
      </c>
      <c r="B6185" s="7" t="s">
        <v>6191</v>
      </c>
      <c r="C6185" s="7" t="s">
        <v>6295</v>
      </c>
      <c r="D6185" s="7" t="s">
        <v>7136</v>
      </c>
      <c r="E6185" s="7" t="s">
        <v>6940</v>
      </c>
      <c r="F6185" s="7" t="s">
        <v>6943</v>
      </c>
      <c r="G6185" s="7" t="s">
        <v>7150</v>
      </c>
      <c r="H6185" s="7" t="s">
        <v>7156</v>
      </c>
      <c r="I6185" s="7"/>
      <c r="J6185" s="10">
        <v>44971</v>
      </c>
      <c r="K6185" s="7" t="s">
        <v>7165</v>
      </c>
      <c r="L6185" s="7"/>
      <c r="M6185" s="7"/>
    </row>
    <row r="6186" spans="1:13" x14ac:dyDescent="0.3">
      <c r="A6186" s="7">
        <v>15119</v>
      </c>
      <c r="B6186" s="7" t="s">
        <v>6192</v>
      </c>
      <c r="C6186" s="7" t="s">
        <v>6295</v>
      </c>
      <c r="D6186" s="7" t="s">
        <v>7136</v>
      </c>
      <c r="E6186" s="7" t="s">
        <v>6940</v>
      </c>
      <c r="F6186" s="7" t="s">
        <v>6943</v>
      </c>
      <c r="G6186" s="7" t="s">
        <v>7150</v>
      </c>
      <c r="H6186" s="7" t="s">
        <v>7156</v>
      </c>
      <c r="I6186" s="7"/>
      <c r="J6186" s="10">
        <v>44958</v>
      </c>
      <c r="K6186" s="7" t="s">
        <v>7165</v>
      </c>
      <c r="L6186" s="7"/>
      <c r="M6186" s="7"/>
    </row>
    <row r="6187" spans="1:13" x14ac:dyDescent="0.3">
      <c r="A6187" s="7">
        <v>121023</v>
      </c>
      <c r="B6187" s="7" t="s">
        <v>6193</v>
      </c>
      <c r="C6187" s="7" t="s">
        <v>6295</v>
      </c>
      <c r="D6187" s="7" t="s">
        <v>7137</v>
      </c>
      <c r="E6187" s="7" t="s">
        <v>6295</v>
      </c>
      <c r="F6187" s="7" t="s">
        <v>6939</v>
      </c>
      <c r="G6187" s="7" t="s">
        <v>7150</v>
      </c>
      <c r="H6187" s="7" t="s">
        <v>7156</v>
      </c>
      <c r="I6187" s="7"/>
      <c r="J6187" s="10">
        <v>43699</v>
      </c>
      <c r="K6187" s="7" t="s">
        <v>7165</v>
      </c>
      <c r="L6187" s="7"/>
      <c r="M6187" s="7"/>
    </row>
    <row r="6188" spans="1:13" x14ac:dyDescent="0.3">
      <c r="A6188" s="7">
        <v>15154</v>
      </c>
      <c r="B6188" s="7" t="s">
        <v>6194</v>
      </c>
      <c r="C6188" s="7" t="s">
        <v>6295</v>
      </c>
      <c r="D6188" s="7" t="s">
        <v>7137</v>
      </c>
      <c r="E6188" s="7" t="s">
        <v>6940</v>
      </c>
      <c r="F6188" s="7" t="s">
        <v>6943</v>
      </c>
      <c r="G6188" s="7" t="s">
        <v>7150</v>
      </c>
      <c r="H6188" s="7" t="s">
        <v>7156</v>
      </c>
      <c r="I6188" s="7"/>
      <c r="J6188" s="10">
        <v>44965</v>
      </c>
      <c r="K6188" s="7" t="s">
        <v>7165</v>
      </c>
      <c r="L6188" s="7"/>
      <c r="M6188" s="7"/>
    </row>
    <row r="6189" spans="1:13" x14ac:dyDescent="0.3">
      <c r="A6189" s="7">
        <v>15476</v>
      </c>
      <c r="B6189" s="7" t="s">
        <v>6195</v>
      </c>
      <c r="C6189" s="7" t="s">
        <v>6295</v>
      </c>
      <c r="D6189" s="7" t="s">
        <v>7137</v>
      </c>
      <c r="E6189" s="7" t="s">
        <v>6940</v>
      </c>
      <c r="F6189" s="7" t="s">
        <v>6943</v>
      </c>
      <c r="G6189" s="7" t="s">
        <v>7150</v>
      </c>
      <c r="H6189" s="7" t="s">
        <v>7156</v>
      </c>
      <c r="I6189" s="7"/>
      <c r="J6189" s="10">
        <v>45085</v>
      </c>
      <c r="K6189" s="7" t="s">
        <v>7165</v>
      </c>
      <c r="L6189" s="7"/>
      <c r="M6189" s="7"/>
    </row>
    <row r="6190" spans="1:13" x14ac:dyDescent="0.3">
      <c r="A6190" s="7">
        <v>15465</v>
      </c>
      <c r="B6190" s="7" t="s">
        <v>6196</v>
      </c>
      <c r="C6190" s="7" t="s">
        <v>6295</v>
      </c>
      <c r="D6190" s="7" t="s">
        <v>7137</v>
      </c>
      <c r="E6190" s="7" t="s">
        <v>6940</v>
      </c>
      <c r="F6190" s="7" t="s">
        <v>6949</v>
      </c>
      <c r="G6190" s="7" t="s">
        <v>7150</v>
      </c>
      <c r="H6190" s="7" t="s">
        <v>7156</v>
      </c>
      <c r="I6190" s="7"/>
      <c r="J6190" s="10">
        <v>45082</v>
      </c>
      <c r="K6190" s="7" t="s">
        <v>7165</v>
      </c>
      <c r="L6190" s="7"/>
      <c r="M6190" s="7"/>
    </row>
    <row r="6191" spans="1:13" x14ac:dyDescent="0.3">
      <c r="A6191" s="7">
        <v>15693</v>
      </c>
      <c r="B6191" s="7" t="s">
        <v>6197</v>
      </c>
      <c r="C6191" s="7" t="s">
        <v>6295</v>
      </c>
      <c r="D6191" s="7" t="s">
        <v>7137</v>
      </c>
      <c r="E6191" s="7" t="s">
        <v>6940</v>
      </c>
      <c r="F6191" s="7" t="s">
        <v>6949</v>
      </c>
      <c r="G6191" s="7" t="s">
        <v>7150</v>
      </c>
      <c r="H6191" s="7" t="s">
        <v>7156</v>
      </c>
      <c r="I6191" s="7"/>
      <c r="J6191" s="10">
        <v>45166</v>
      </c>
      <c r="K6191" s="7" t="s">
        <v>7165</v>
      </c>
      <c r="L6191" s="7"/>
      <c r="M6191" s="7"/>
    </row>
    <row r="6192" spans="1:13" x14ac:dyDescent="0.3">
      <c r="A6192" s="7">
        <v>360029</v>
      </c>
      <c r="B6192" s="7" t="s">
        <v>6198</v>
      </c>
      <c r="C6192" s="7" t="s">
        <v>6295</v>
      </c>
      <c r="D6192" s="7" t="s">
        <v>7138</v>
      </c>
      <c r="E6192" s="7" t="s">
        <v>6295</v>
      </c>
      <c r="F6192" s="7" t="s">
        <v>6939</v>
      </c>
      <c r="G6192" s="7" t="s">
        <v>7150</v>
      </c>
      <c r="H6192" s="7" t="s">
        <v>7156</v>
      </c>
      <c r="I6192" s="7"/>
      <c r="J6192" s="10">
        <v>43678</v>
      </c>
      <c r="K6192" s="7" t="s">
        <v>7165</v>
      </c>
      <c r="L6192" s="7"/>
      <c r="M6192" s="7"/>
    </row>
    <row r="6193" spans="1:13" x14ac:dyDescent="0.3">
      <c r="A6193" s="7">
        <v>15118</v>
      </c>
      <c r="B6193" s="7" t="s">
        <v>6199</v>
      </c>
      <c r="C6193" s="7" t="s">
        <v>6295</v>
      </c>
      <c r="D6193" s="7" t="s">
        <v>7138</v>
      </c>
      <c r="E6193" s="7" t="s">
        <v>6940</v>
      </c>
      <c r="F6193" s="7" t="s">
        <v>6943</v>
      </c>
      <c r="G6193" s="7" t="s">
        <v>7150</v>
      </c>
      <c r="H6193" s="7" t="s">
        <v>7156</v>
      </c>
      <c r="I6193" s="7"/>
      <c r="J6193" s="10">
        <v>44952</v>
      </c>
      <c r="K6193" s="7" t="s">
        <v>7165</v>
      </c>
      <c r="L6193" s="7"/>
      <c r="M6193" s="7"/>
    </row>
    <row r="6194" spans="1:13" x14ac:dyDescent="0.3">
      <c r="A6194" s="7">
        <v>360027</v>
      </c>
      <c r="B6194" s="7" t="s">
        <v>6200</v>
      </c>
      <c r="C6194" s="7" t="s">
        <v>6295</v>
      </c>
      <c r="D6194" s="7" t="s">
        <v>7139</v>
      </c>
      <c r="E6194" s="7" t="s">
        <v>6295</v>
      </c>
      <c r="F6194" s="7" t="s">
        <v>6939</v>
      </c>
      <c r="G6194" s="7" t="s">
        <v>7150</v>
      </c>
      <c r="H6194" s="7" t="s">
        <v>7156</v>
      </c>
      <c r="I6194" s="7"/>
      <c r="J6194" s="10">
        <v>43678</v>
      </c>
      <c r="K6194" s="7" t="s">
        <v>7165</v>
      </c>
      <c r="L6194" s="7"/>
      <c r="M6194" s="7"/>
    </row>
    <row r="6195" spans="1:13" x14ac:dyDescent="0.3">
      <c r="A6195" s="7">
        <v>15136</v>
      </c>
      <c r="B6195" s="7" t="s">
        <v>6201</v>
      </c>
      <c r="C6195" s="7" t="s">
        <v>6295</v>
      </c>
      <c r="D6195" s="7" t="s">
        <v>7139</v>
      </c>
      <c r="E6195" s="7" t="s">
        <v>6940</v>
      </c>
      <c r="F6195" s="7" t="s">
        <v>6943</v>
      </c>
      <c r="G6195" s="7" t="s">
        <v>7150</v>
      </c>
      <c r="H6195" s="7" t="s">
        <v>7156</v>
      </c>
      <c r="I6195" s="7"/>
      <c r="J6195" s="10">
        <v>44959</v>
      </c>
      <c r="K6195" s="7" t="s">
        <v>7165</v>
      </c>
      <c r="L6195" s="7"/>
      <c r="M6195" s="7"/>
    </row>
    <row r="6196" spans="1:13" x14ac:dyDescent="0.3">
      <c r="A6196" s="7">
        <v>15387</v>
      </c>
      <c r="B6196" s="7" t="s">
        <v>6202</v>
      </c>
      <c r="C6196" s="7" t="s">
        <v>6295</v>
      </c>
      <c r="D6196" s="7" t="s">
        <v>7139</v>
      </c>
      <c r="E6196" s="7" t="s">
        <v>6940</v>
      </c>
      <c r="F6196" s="7" t="s">
        <v>6943</v>
      </c>
      <c r="G6196" s="7" t="s">
        <v>7150</v>
      </c>
      <c r="H6196" s="7" t="s">
        <v>7156</v>
      </c>
      <c r="I6196" s="7"/>
      <c r="J6196" s="10">
        <v>45050</v>
      </c>
      <c r="K6196" s="7" t="s">
        <v>7165</v>
      </c>
      <c r="L6196" s="7"/>
      <c r="M6196" s="7"/>
    </row>
    <row r="6197" spans="1:13" x14ac:dyDescent="0.3">
      <c r="A6197" s="7">
        <v>18153</v>
      </c>
      <c r="B6197" s="7" t="s">
        <v>6203</v>
      </c>
      <c r="C6197" s="7" t="s">
        <v>6295</v>
      </c>
      <c r="D6197" s="7" t="s">
        <v>7139</v>
      </c>
      <c r="E6197" s="7" t="s">
        <v>6940</v>
      </c>
      <c r="F6197" s="7" t="s">
        <v>6949</v>
      </c>
      <c r="G6197" s="7" t="s">
        <v>7150</v>
      </c>
      <c r="H6197" s="7" t="s">
        <v>7156</v>
      </c>
      <c r="I6197" s="7"/>
      <c r="J6197" s="10">
        <v>46016</v>
      </c>
      <c r="K6197" s="7" t="s">
        <v>7165</v>
      </c>
      <c r="L6197" s="7"/>
      <c r="M6197" s="7"/>
    </row>
    <row r="6198" spans="1:13" x14ac:dyDescent="0.3">
      <c r="A6198" s="7">
        <v>17258</v>
      </c>
      <c r="B6198" s="7" t="s">
        <v>6204</v>
      </c>
      <c r="C6198" s="7" t="s">
        <v>6295</v>
      </c>
      <c r="D6198" s="7" t="s">
        <v>7139</v>
      </c>
      <c r="E6198" s="7" t="s">
        <v>6940</v>
      </c>
      <c r="F6198" s="7" t="s">
        <v>6949</v>
      </c>
      <c r="G6198" s="7" t="s">
        <v>7150</v>
      </c>
      <c r="H6198" s="7" t="s">
        <v>7156</v>
      </c>
      <c r="I6198" s="7"/>
      <c r="J6198" s="10">
        <v>45692</v>
      </c>
      <c r="K6198" s="7" t="s">
        <v>7165</v>
      </c>
      <c r="L6198" s="7"/>
      <c r="M6198" s="7"/>
    </row>
    <row r="6199" spans="1:13" x14ac:dyDescent="0.3">
      <c r="A6199" s="7">
        <v>17686</v>
      </c>
      <c r="B6199" s="7" t="s">
        <v>6205</v>
      </c>
      <c r="C6199" s="7" t="s">
        <v>6295</v>
      </c>
      <c r="D6199" s="7" t="s">
        <v>7139</v>
      </c>
      <c r="E6199" s="7" t="s">
        <v>6940</v>
      </c>
      <c r="F6199" s="7" t="s">
        <v>6949</v>
      </c>
      <c r="G6199" s="7" t="s">
        <v>7150</v>
      </c>
      <c r="H6199" s="7" t="s">
        <v>7156</v>
      </c>
      <c r="I6199" s="7"/>
      <c r="J6199" s="10">
        <v>45845</v>
      </c>
      <c r="K6199" s="7" t="s">
        <v>7165</v>
      </c>
      <c r="L6199" s="7"/>
      <c r="M6199" s="7"/>
    </row>
    <row r="6200" spans="1:13" x14ac:dyDescent="0.3">
      <c r="A6200" s="7">
        <v>850101</v>
      </c>
      <c r="B6200" s="7" t="s">
        <v>6206</v>
      </c>
      <c r="C6200" s="7" t="s">
        <v>6295</v>
      </c>
      <c r="D6200" s="7" t="s">
        <v>7140</v>
      </c>
      <c r="E6200" s="7" t="s">
        <v>6295</v>
      </c>
      <c r="F6200" s="7" t="s">
        <v>6939</v>
      </c>
      <c r="G6200" s="7" t="s">
        <v>7150</v>
      </c>
      <c r="H6200" s="7" t="s">
        <v>7156</v>
      </c>
      <c r="I6200" s="7"/>
      <c r="J6200" s="10">
        <v>43755</v>
      </c>
      <c r="K6200" s="7" t="s">
        <v>7165</v>
      </c>
      <c r="L6200" s="7"/>
      <c r="M6200" s="7"/>
    </row>
    <row r="6201" spans="1:13" x14ac:dyDescent="0.3">
      <c r="A6201" s="7">
        <v>360033</v>
      </c>
      <c r="B6201" s="7" t="s">
        <v>6207</v>
      </c>
      <c r="C6201" s="7" t="s">
        <v>6295</v>
      </c>
      <c r="D6201" s="7" t="s">
        <v>7140</v>
      </c>
      <c r="E6201" s="7" t="s">
        <v>6940</v>
      </c>
      <c r="F6201" s="7" t="s">
        <v>6949</v>
      </c>
      <c r="G6201" s="7" t="s">
        <v>7150</v>
      </c>
      <c r="H6201" s="7" t="s">
        <v>7156</v>
      </c>
      <c r="I6201" s="7"/>
      <c r="J6201" s="10">
        <v>43759</v>
      </c>
      <c r="K6201" s="7" t="s">
        <v>7165</v>
      </c>
      <c r="L6201" s="7"/>
      <c r="M6201" s="7"/>
    </row>
    <row r="6202" spans="1:13" x14ac:dyDescent="0.3">
      <c r="A6202" s="7">
        <v>15141</v>
      </c>
      <c r="B6202" s="7" t="s">
        <v>6208</v>
      </c>
      <c r="C6202" s="7" t="s">
        <v>6295</v>
      </c>
      <c r="D6202" s="7" t="s">
        <v>7140</v>
      </c>
      <c r="E6202" s="7" t="s">
        <v>6940</v>
      </c>
      <c r="F6202" s="7" t="s">
        <v>6943</v>
      </c>
      <c r="G6202" s="7" t="s">
        <v>7150</v>
      </c>
      <c r="H6202" s="7" t="s">
        <v>7156</v>
      </c>
      <c r="I6202" s="7"/>
      <c r="J6202" s="10">
        <v>44963</v>
      </c>
      <c r="K6202" s="7" t="s">
        <v>7165</v>
      </c>
      <c r="L6202" s="7"/>
      <c r="M6202" s="7"/>
    </row>
    <row r="6203" spans="1:13" x14ac:dyDescent="0.3">
      <c r="A6203" s="7">
        <v>15034</v>
      </c>
      <c r="B6203" s="7" t="s">
        <v>6209</v>
      </c>
      <c r="C6203" s="7" t="s">
        <v>6295</v>
      </c>
      <c r="D6203" s="7" t="s">
        <v>7140</v>
      </c>
      <c r="E6203" s="7" t="s">
        <v>6940</v>
      </c>
      <c r="F6203" s="7" t="s">
        <v>6943</v>
      </c>
      <c r="G6203" s="7" t="s">
        <v>7150</v>
      </c>
      <c r="H6203" s="7" t="s">
        <v>7156</v>
      </c>
      <c r="I6203" s="7"/>
      <c r="J6203" s="10">
        <v>44923</v>
      </c>
      <c r="K6203" s="7" t="s">
        <v>7165</v>
      </c>
      <c r="L6203" s="7"/>
      <c r="M6203" s="7"/>
    </row>
    <row r="6204" spans="1:13" x14ac:dyDescent="0.3">
      <c r="A6204" s="7">
        <v>15090</v>
      </c>
      <c r="B6204" s="7" t="s">
        <v>6210</v>
      </c>
      <c r="C6204" s="7" t="s">
        <v>6295</v>
      </c>
      <c r="D6204" s="7" t="s">
        <v>7140</v>
      </c>
      <c r="E6204" s="7" t="s">
        <v>6940</v>
      </c>
      <c r="F6204" s="7" t="s">
        <v>6943</v>
      </c>
      <c r="G6204" s="7" t="s">
        <v>7150</v>
      </c>
      <c r="H6204" s="7" t="s">
        <v>7156</v>
      </c>
      <c r="I6204" s="7"/>
      <c r="J6204" s="10">
        <v>44944</v>
      </c>
      <c r="K6204" s="7" t="s">
        <v>7165</v>
      </c>
      <c r="L6204" s="7"/>
      <c r="M6204" s="7"/>
    </row>
    <row r="6205" spans="1:13" x14ac:dyDescent="0.3">
      <c r="A6205" s="7">
        <v>15056</v>
      </c>
      <c r="B6205" s="7" t="s">
        <v>6211</v>
      </c>
      <c r="C6205" s="7" t="s">
        <v>6295</v>
      </c>
      <c r="D6205" s="7" t="s">
        <v>7140</v>
      </c>
      <c r="E6205" s="7" t="s">
        <v>6940</v>
      </c>
      <c r="F6205" s="7" t="s">
        <v>6949</v>
      </c>
      <c r="G6205" s="7" t="s">
        <v>7150</v>
      </c>
      <c r="H6205" s="7" t="s">
        <v>7156</v>
      </c>
      <c r="I6205" s="7"/>
      <c r="J6205" s="10">
        <v>44935</v>
      </c>
      <c r="K6205" s="7" t="s">
        <v>7165</v>
      </c>
      <c r="L6205" s="7"/>
      <c r="M6205" s="7"/>
    </row>
    <row r="6206" spans="1:13" x14ac:dyDescent="0.3">
      <c r="A6206" s="7">
        <v>350032</v>
      </c>
      <c r="B6206" s="7" t="s">
        <v>6212</v>
      </c>
      <c r="C6206" s="7" t="s">
        <v>7141</v>
      </c>
      <c r="D6206" s="7" t="s">
        <v>6295</v>
      </c>
      <c r="E6206" s="7" t="s">
        <v>6295</v>
      </c>
      <c r="F6206" s="7" t="s">
        <v>6939</v>
      </c>
      <c r="G6206" s="7" t="s">
        <v>7150</v>
      </c>
      <c r="H6206" s="7" t="s">
        <v>7156</v>
      </c>
      <c r="I6206" s="7"/>
      <c r="J6206" s="10">
        <v>43678</v>
      </c>
      <c r="K6206" s="7" t="s">
        <v>7165</v>
      </c>
      <c r="L6206" s="7"/>
      <c r="M6206" s="7"/>
    </row>
    <row r="6207" spans="1:13" x14ac:dyDescent="0.3">
      <c r="A6207" s="7">
        <v>330021</v>
      </c>
      <c r="B6207" s="7" t="s">
        <v>6213</v>
      </c>
      <c r="C6207" s="7" t="s">
        <v>7141</v>
      </c>
      <c r="D6207" s="7" t="s">
        <v>6295</v>
      </c>
      <c r="E6207" s="7" t="s">
        <v>6940</v>
      </c>
      <c r="F6207" s="7" t="s">
        <v>6979</v>
      </c>
      <c r="G6207" s="7" t="s">
        <v>7150</v>
      </c>
      <c r="H6207" s="7" t="s">
        <v>7156</v>
      </c>
      <c r="I6207" s="7"/>
      <c r="J6207" s="10">
        <v>43647</v>
      </c>
      <c r="K6207" s="7" t="s">
        <v>7165</v>
      </c>
      <c r="L6207" s="7"/>
      <c r="M6207" s="7"/>
    </row>
    <row r="6208" spans="1:13" x14ac:dyDescent="0.3">
      <c r="A6208" s="7">
        <v>15740</v>
      </c>
      <c r="B6208" s="7" t="s">
        <v>6214</v>
      </c>
      <c r="C6208" s="7" t="s">
        <v>7141</v>
      </c>
      <c r="D6208" s="7" t="s">
        <v>6295</v>
      </c>
      <c r="E6208" s="7" t="s">
        <v>6940</v>
      </c>
      <c r="F6208" s="7" t="s">
        <v>6992</v>
      </c>
      <c r="G6208" s="7" t="s">
        <v>7150</v>
      </c>
      <c r="H6208" s="7" t="s">
        <v>7156</v>
      </c>
      <c r="I6208" s="7"/>
      <c r="J6208" s="10">
        <v>45181</v>
      </c>
      <c r="K6208" s="7" t="s">
        <v>7165</v>
      </c>
      <c r="L6208" s="7"/>
      <c r="M6208" s="7"/>
    </row>
    <row r="6209" spans="1:13" x14ac:dyDescent="0.3">
      <c r="A6209" s="7">
        <v>330019</v>
      </c>
      <c r="B6209" s="7" t="s">
        <v>6215</v>
      </c>
      <c r="C6209" s="7" t="s">
        <v>7141</v>
      </c>
      <c r="D6209" s="7" t="s">
        <v>6295</v>
      </c>
      <c r="E6209" s="7" t="s">
        <v>6940</v>
      </c>
      <c r="F6209" s="7" t="s">
        <v>6980</v>
      </c>
      <c r="G6209" s="7" t="s">
        <v>7150</v>
      </c>
      <c r="H6209" s="7" t="s">
        <v>7156</v>
      </c>
      <c r="I6209" s="7"/>
      <c r="J6209" s="10">
        <v>43647</v>
      </c>
      <c r="K6209" s="7" t="s">
        <v>7165</v>
      </c>
      <c r="L6209" s="7"/>
      <c r="M6209" s="7"/>
    </row>
    <row r="6210" spans="1:13" x14ac:dyDescent="0.3">
      <c r="A6210" s="7">
        <v>330032</v>
      </c>
      <c r="B6210" s="7" t="s">
        <v>6216</v>
      </c>
      <c r="C6210" s="7" t="s">
        <v>7141</v>
      </c>
      <c r="D6210" s="7" t="s">
        <v>6295</v>
      </c>
      <c r="E6210" s="7" t="s">
        <v>6940</v>
      </c>
      <c r="F6210" s="7" t="s">
        <v>6986</v>
      </c>
      <c r="G6210" s="7" t="s">
        <v>7150</v>
      </c>
      <c r="H6210" s="7" t="s">
        <v>7156</v>
      </c>
      <c r="I6210" s="7"/>
      <c r="J6210" s="10">
        <v>44238</v>
      </c>
      <c r="K6210" s="7" t="s">
        <v>7165</v>
      </c>
      <c r="L6210" s="7"/>
      <c r="M6210" s="7"/>
    </row>
    <row r="6211" spans="1:13" x14ac:dyDescent="0.3">
      <c r="A6211" s="7">
        <v>15298</v>
      </c>
      <c r="B6211" s="7" t="s">
        <v>6217</v>
      </c>
      <c r="C6211" s="7" t="s">
        <v>7141</v>
      </c>
      <c r="D6211" s="7" t="s">
        <v>6295</v>
      </c>
      <c r="E6211" s="7" t="s">
        <v>6940</v>
      </c>
      <c r="F6211" s="7" t="s">
        <v>6987</v>
      </c>
      <c r="G6211" s="7" t="s">
        <v>7150</v>
      </c>
      <c r="H6211" s="7" t="s">
        <v>7156</v>
      </c>
      <c r="I6211" s="7"/>
      <c r="J6211" s="10">
        <v>45020</v>
      </c>
      <c r="K6211" s="7" t="s">
        <v>7165</v>
      </c>
      <c r="L6211" s="7"/>
      <c r="M6211" s="7"/>
    </row>
    <row r="6212" spans="1:13" x14ac:dyDescent="0.3">
      <c r="A6212" s="7">
        <v>16574</v>
      </c>
      <c r="B6212" s="7" t="s">
        <v>6218</v>
      </c>
      <c r="C6212" s="7" t="s">
        <v>7141</v>
      </c>
      <c r="D6212" s="7" t="s">
        <v>6295</v>
      </c>
      <c r="E6212" s="7" t="s">
        <v>6951</v>
      </c>
      <c r="F6212" s="7" t="s">
        <v>6398</v>
      </c>
      <c r="G6212" s="7" t="s">
        <v>7150</v>
      </c>
      <c r="H6212" s="7" t="s">
        <v>7156</v>
      </c>
      <c r="I6212" s="7"/>
      <c r="J6212" s="10">
        <v>45475</v>
      </c>
      <c r="K6212" s="7" t="s">
        <v>7165</v>
      </c>
      <c r="L6212" s="7"/>
      <c r="M6212" s="7"/>
    </row>
    <row r="6213" spans="1:13" x14ac:dyDescent="0.3">
      <c r="A6213" s="7">
        <v>14333</v>
      </c>
      <c r="B6213" s="7" t="s">
        <v>6219</v>
      </c>
      <c r="C6213" s="7" t="s">
        <v>7142</v>
      </c>
      <c r="D6213" s="7" t="s">
        <v>6295</v>
      </c>
      <c r="E6213" s="7" t="s">
        <v>6940</v>
      </c>
      <c r="F6213" s="7" t="s">
        <v>6979</v>
      </c>
      <c r="G6213" s="7" t="s">
        <v>7150</v>
      </c>
      <c r="H6213" s="7" t="s">
        <v>7156</v>
      </c>
      <c r="I6213" s="7"/>
      <c r="J6213" s="10">
        <v>44735</v>
      </c>
      <c r="K6213" s="7" t="s">
        <v>7165</v>
      </c>
      <c r="L6213" s="7"/>
      <c r="M6213" s="7"/>
    </row>
    <row r="6214" spans="1:13" x14ac:dyDescent="0.3">
      <c r="A6214" s="7">
        <v>16116</v>
      </c>
      <c r="B6214" s="7" t="s">
        <v>6220</v>
      </c>
      <c r="C6214" s="7" t="s">
        <v>7142</v>
      </c>
      <c r="D6214" s="7" t="s">
        <v>6295</v>
      </c>
      <c r="E6214" s="7" t="s">
        <v>6940</v>
      </c>
      <c r="F6214" s="7" t="s">
        <v>6992</v>
      </c>
      <c r="G6214" s="7" t="s">
        <v>7150</v>
      </c>
      <c r="H6214" s="7" t="s">
        <v>7156</v>
      </c>
      <c r="I6214" s="7"/>
      <c r="J6214" s="10">
        <v>45288</v>
      </c>
      <c r="K6214" s="7" t="s">
        <v>7165</v>
      </c>
      <c r="L6214" s="7"/>
      <c r="M6214" s="7"/>
    </row>
    <row r="6215" spans="1:13" x14ac:dyDescent="0.3">
      <c r="A6215" s="7">
        <v>350037</v>
      </c>
      <c r="B6215" s="7" t="s">
        <v>6221</v>
      </c>
      <c r="C6215" s="7" t="s">
        <v>7142</v>
      </c>
      <c r="D6215" s="7" t="s">
        <v>6295</v>
      </c>
      <c r="E6215" s="7" t="s">
        <v>6940</v>
      </c>
      <c r="F6215" s="7" t="s">
        <v>6980</v>
      </c>
      <c r="G6215" s="7" t="s">
        <v>7150</v>
      </c>
      <c r="H6215" s="7" t="s">
        <v>7156</v>
      </c>
      <c r="I6215" s="7"/>
      <c r="J6215" s="10">
        <v>43691</v>
      </c>
      <c r="K6215" s="7" t="s">
        <v>7165</v>
      </c>
      <c r="L6215" s="7"/>
      <c r="M6215" s="7"/>
    </row>
    <row r="6216" spans="1:13" x14ac:dyDescent="0.3">
      <c r="A6216" s="7">
        <v>350042</v>
      </c>
      <c r="B6216" s="7" t="s">
        <v>6222</v>
      </c>
      <c r="C6216" s="7" t="s">
        <v>7142</v>
      </c>
      <c r="D6216" s="7" t="s">
        <v>6295</v>
      </c>
      <c r="E6216" s="7" t="s">
        <v>6940</v>
      </c>
      <c r="F6216" s="7" t="s">
        <v>6980</v>
      </c>
      <c r="G6216" s="7" t="s">
        <v>7150</v>
      </c>
      <c r="H6216" s="7" t="s">
        <v>7156</v>
      </c>
      <c r="I6216" s="7"/>
      <c r="J6216" s="10">
        <v>44369</v>
      </c>
      <c r="K6216" s="7" t="s">
        <v>7165</v>
      </c>
      <c r="L6216" s="7"/>
      <c r="M6216" s="7"/>
    </row>
    <row r="6217" spans="1:13" x14ac:dyDescent="0.3">
      <c r="A6217" s="7">
        <v>350043</v>
      </c>
      <c r="B6217" s="7" t="s">
        <v>6223</v>
      </c>
      <c r="C6217" s="7" t="s">
        <v>7142</v>
      </c>
      <c r="D6217" s="7" t="s">
        <v>6295</v>
      </c>
      <c r="E6217" s="7" t="s">
        <v>6940</v>
      </c>
      <c r="F6217" s="7" t="s">
        <v>6986</v>
      </c>
      <c r="G6217" s="7" t="s">
        <v>7150</v>
      </c>
      <c r="H6217" s="7" t="s">
        <v>7156</v>
      </c>
      <c r="I6217" s="7"/>
      <c r="J6217" s="10">
        <v>44550</v>
      </c>
      <c r="K6217" s="7" t="s">
        <v>7165</v>
      </c>
      <c r="L6217" s="7"/>
      <c r="M6217" s="7"/>
    </row>
    <row r="6218" spans="1:13" x14ac:dyDescent="0.3">
      <c r="A6218" s="7">
        <v>350036</v>
      </c>
      <c r="B6218" s="7" t="s">
        <v>6224</v>
      </c>
      <c r="C6218" s="7" t="s">
        <v>7142</v>
      </c>
      <c r="D6218" s="7" t="s">
        <v>6295</v>
      </c>
      <c r="E6218" s="7" t="s">
        <v>6951</v>
      </c>
      <c r="F6218" s="7" t="s">
        <v>6398</v>
      </c>
      <c r="G6218" s="7" t="s">
        <v>7150</v>
      </c>
      <c r="H6218" s="7" t="s">
        <v>7156</v>
      </c>
      <c r="I6218" s="7"/>
      <c r="J6218" s="10">
        <v>43678</v>
      </c>
      <c r="K6218" s="7" t="s">
        <v>7165</v>
      </c>
      <c r="L6218" s="7"/>
      <c r="M6218" s="7"/>
    </row>
    <row r="6219" spans="1:13" x14ac:dyDescent="0.3">
      <c r="A6219" s="7">
        <v>17012</v>
      </c>
      <c r="B6219" s="7" t="s">
        <v>6225</v>
      </c>
      <c r="C6219" s="7" t="s">
        <v>7143</v>
      </c>
      <c r="D6219" s="7" t="s">
        <v>6295</v>
      </c>
      <c r="E6219" s="7" t="s">
        <v>6940</v>
      </c>
      <c r="F6219" s="7" t="s">
        <v>6989</v>
      </c>
      <c r="G6219" s="7" t="s">
        <v>7150</v>
      </c>
      <c r="H6219" s="7" t="s">
        <v>7156</v>
      </c>
      <c r="I6219" s="7"/>
      <c r="J6219" s="10">
        <v>45621</v>
      </c>
      <c r="K6219" s="7" t="s">
        <v>7165</v>
      </c>
      <c r="L6219" s="7"/>
      <c r="M6219" s="7"/>
    </row>
    <row r="6220" spans="1:13" x14ac:dyDescent="0.3">
      <c r="A6220" s="7">
        <v>360032</v>
      </c>
      <c r="B6220" s="7" t="s">
        <v>6226</v>
      </c>
      <c r="C6220" s="7" t="s">
        <v>7143</v>
      </c>
      <c r="D6220" s="7" t="s">
        <v>6295</v>
      </c>
      <c r="E6220" s="7" t="s">
        <v>6940</v>
      </c>
      <c r="F6220" s="7" t="s">
        <v>6980</v>
      </c>
      <c r="G6220" s="7" t="s">
        <v>7150</v>
      </c>
      <c r="H6220" s="7" t="s">
        <v>7156</v>
      </c>
      <c r="I6220" s="7"/>
      <c r="J6220" s="10">
        <v>43759</v>
      </c>
      <c r="K6220" s="7" t="s">
        <v>7165</v>
      </c>
      <c r="L6220" s="7"/>
      <c r="M6220" s="7"/>
    </row>
    <row r="6221" spans="1:13" x14ac:dyDescent="0.3">
      <c r="A6221" s="7">
        <v>16274</v>
      </c>
      <c r="B6221" s="7" t="s">
        <v>6227</v>
      </c>
      <c r="C6221" s="7" t="s">
        <v>7143</v>
      </c>
      <c r="D6221" s="7" t="s">
        <v>6295</v>
      </c>
      <c r="E6221" s="7" t="s">
        <v>6940</v>
      </c>
      <c r="F6221" s="7" t="s">
        <v>6987</v>
      </c>
      <c r="G6221" s="7" t="s">
        <v>7150</v>
      </c>
      <c r="H6221" s="7" t="s">
        <v>7156</v>
      </c>
      <c r="I6221" s="7"/>
      <c r="J6221" s="10">
        <v>45338</v>
      </c>
      <c r="K6221" s="7" t="s">
        <v>7165</v>
      </c>
      <c r="L6221" s="7"/>
      <c r="M6221" s="7"/>
    </row>
    <row r="6222" spans="1:13" x14ac:dyDescent="0.3">
      <c r="A6222" s="7">
        <v>16209</v>
      </c>
      <c r="B6222" s="7" t="s">
        <v>6228</v>
      </c>
      <c r="C6222" s="7" t="s">
        <v>7143</v>
      </c>
      <c r="D6222" s="7" t="s">
        <v>6295</v>
      </c>
      <c r="E6222" s="7" t="s">
        <v>6940</v>
      </c>
      <c r="F6222" s="7" t="s">
        <v>6987</v>
      </c>
      <c r="G6222" s="7" t="s">
        <v>7150</v>
      </c>
      <c r="H6222" s="7" t="s">
        <v>7156</v>
      </c>
      <c r="I6222" s="7"/>
      <c r="J6222" s="10">
        <v>45352</v>
      </c>
      <c r="K6222" s="7" t="s">
        <v>7165</v>
      </c>
      <c r="L6222" s="7"/>
      <c r="M6222" s="7"/>
    </row>
    <row r="6223" spans="1:13" x14ac:dyDescent="0.3">
      <c r="A6223" s="7">
        <v>18616</v>
      </c>
      <c r="B6223" s="7" t="s">
        <v>6229</v>
      </c>
      <c r="C6223" s="7" t="s">
        <v>7143</v>
      </c>
      <c r="D6223" s="7" t="s">
        <v>6295</v>
      </c>
      <c r="E6223" s="7" t="s">
        <v>6940</v>
      </c>
      <c r="F6223" s="7" t="s">
        <v>7035</v>
      </c>
      <c r="G6223" s="7" t="s">
        <v>7150</v>
      </c>
      <c r="H6223" s="7" t="s">
        <v>7156</v>
      </c>
      <c r="I6223" s="7"/>
      <c r="J6223" s="10">
        <v>46174</v>
      </c>
      <c r="K6223" s="7" t="s">
        <v>7165</v>
      </c>
      <c r="L6223" s="7"/>
      <c r="M6223" s="7"/>
    </row>
    <row r="6224" spans="1:13" x14ac:dyDescent="0.3">
      <c r="A6224" s="7">
        <v>15964</v>
      </c>
      <c r="B6224" s="7" t="s">
        <v>6230</v>
      </c>
      <c r="C6224" s="7" t="s">
        <v>7143</v>
      </c>
      <c r="D6224" s="7" t="s">
        <v>6295</v>
      </c>
      <c r="E6224" s="7" t="s">
        <v>6951</v>
      </c>
      <c r="F6224" s="7" t="s">
        <v>6398</v>
      </c>
      <c r="G6224" s="7" t="s">
        <v>7150</v>
      </c>
      <c r="H6224" s="7" t="s">
        <v>7156</v>
      </c>
      <c r="I6224" s="7"/>
      <c r="J6224" s="10">
        <v>45245</v>
      </c>
      <c r="K6224" s="7" t="s">
        <v>7165</v>
      </c>
      <c r="L6224" s="7"/>
      <c r="M6224" s="7"/>
    </row>
    <row r="6225" spans="1:13" x14ac:dyDescent="0.3">
      <c r="A6225" s="7">
        <v>13393</v>
      </c>
      <c r="B6225" s="7" t="s">
        <v>6231</v>
      </c>
      <c r="C6225" s="7" t="s">
        <v>7144</v>
      </c>
      <c r="D6225" s="7" t="s">
        <v>6295</v>
      </c>
      <c r="E6225" s="7" t="s">
        <v>6295</v>
      </c>
      <c r="F6225" s="7" t="s">
        <v>6939</v>
      </c>
      <c r="G6225" s="7" t="s">
        <v>7150</v>
      </c>
      <c r="H6225" s="7" t="s">
        <v>7156</v>
      </c>
      <c r="I6225" s="7"/>
      <c r="J6225" s="10">
        <v>44421</v>
      </c>
      <c r="K6225" s="7" t="s">
        <v>7165</v>
      </c>
      <c r="L6225" s="7"/>
      <c r="M6225" s="7"/>
    </row>
    <row r="6226" spans="1:13" x14ac:dyDescent="0.3">
      <c r="A6226" s="7">
        <v>850106</v>
      </c>
      <c r="B6226" s="7" t="s">
        <v>6232</v>
      </c>
      <c r="C6226" s="7" t="s">
        <v>7144</v>
      </c>
      <c r="D6226" s="7" t="s">
        <v>6295</v>
      </c>
      <c r="E6226" s="7" t="s">
        <v>6295</v>
      </c>
      <c r="F6226" s="7" t="s">
        <v>6335</v>
      </c>
      <c r="G6226" s="7" t="s">
        <v>7150</v>
      </c>
      <c r="H6226" s="7" t="s">
        <v>7156</v>
      </c>
      <c r="I6226" s="7"/>
      <c r="J6226" s="10">
        <v>43755</v>
      </c>
      <c r="K6226" s="7" t="s">
        <v>7165</v>
      </c>
      <c r="L6226" s="7"/>
      <c r="M6226" s="7"/>
    </row>
    <row r="6227" spans="1:13" x14ac:dyDescent="0.3">
      <c r="A6227" s="7">
        <v>370024</v>
      </c>
      <c r="B6227" s="7" t="s">
        <v>6233</v>
      </c>
      <c r="C6227" s="7" t="s">
        <v>7144</v>
      </c>
      <c r="D6227" s="7" t="s">
        <v>6295</v>
      </c>
      <c r="E6227" s="7" t="s">
        <v>6940</v>
      </c>
      <c r="F6227" s="7" t="s">
        <v>6991</v>
      </c>
      <c r="G6227" s="7" t="s">
        <v>7150</v>
      </c>
      <c r="H6227" s="7" t="s">
        <v>7156</v>
      </c>
      <c r="I6227" s="7"/>
      <c r="J6227" s="10">
        <v>43731</v>
      </c>
      <c r="K6227" s="7" t="s">
        <v>7165</v>
      </c>
      <c r="L6227" s="7"/>
      <c r="M6227" s="7"/>
    </row>
    <row r="6228" spans="1:13" x14ac:dyDescent="0.3">
      <c r="A6228" s="7">
        <v>14106</v>
      </c>
      <c r="B6228" s="7" t="s">
        <v>6234</v>
      </c>
      <c r="C6228" s="7" t="s">
        <v>7144</v>
      </c>
      <c r="D6228" s="7" t="s">
        <v>6295</v>
      </c>
      <c r="E6228" s="7" t="s">
        <v>6940</v>
      </c>
      <c r="F6228" s="7" t="s">
        <v>6979</v>
      </c>
      <c r="G6228" s="7" t="s">
        <v>7150</v>
      </c>
      <c r="H6228" s="7" t="s">
        <v>7156</v>
      </c>
      <c r="I6228" s="7"/>
      <c r="J6228" s="10">
        <v>44658</v>
      </c>
      <c r="K6228" s="7" t="s">
        <v>7165</v>
      </c>
      <c r="L6228" s="7"/>
      <c r="M6228" s="7"/>
    </row>
    <row r="6229" spans="1:13" x14ac:dyDescent="0.3">
      <c r="A6229" s="7">
        <v>850103</v>
      </c>
      <c r="B6229" s="7" t="s">
        <v>6235</v>
      </c>
      <c r="C6229" s="7" t="s">
        <v>7144</v>
      </c>
      <c r="D6229" s="7" t="s">
        <v>6295</v>
      </c>
      <c r="E6229" s="7" t="s">
        <v>6940</v>
      </c>
      <c r="F6229" s="7" t="s">
        <v>6979</v>
      </c>
      <c r="G6229" s="7" t="s">
        <v>7150</v>
      </c>
      <c r="H6229" s="7" t="s">
        <v>7156</v>
      </c>
      <c r="I6229" s="7"/>
      <c r="J6229" s="10">
        <v>43755</v>
      </c>
      <c r="K6229" s="7" t="s">
        <v>7165</v>
      </c>
      <c r="L6229" s="7"/>
      <c r="M6229" s="7"/>
    </row>
    <row r="6230" spans="1:13" x14ac:dyDescent="0.3">
      <c r="A6230" s="7">
        <v>18259</v>
      </c>
      <c r="B6230" s="7" t="s">
        <v>6236</v>
      </c>
      <c r="C6230" s="7" t="s">
        <v>7144</v>
      </c>
      <c r="D6230" s="7" t="s">
        <v>6295</v>
      </c>
      <c r="E6230" s="7" t="s">
        <v>6940</v>
      </c>
      <c r="F6230" s="7" t="s">
        <v>6998</v>
      </c>
      <c r="G6230" s="7" t="s">
        <v>7150</v>
      </c>
      <c r="H6230" s="7" t="s">
        <v>7156</v>
      </c>
      <c r="I6230" s="7"/>
      <c r="J6230" s="10">
        <v>46076</v>
      </c>
      <c r="K6230" s="7" t="s">
        <v>7165</v>
      </c>
      <c r="L6230" s="7"/>
      <c r="M6230" s="7"/>
    </row>
    <row r="6231" spans="1:13" x14ac:dyDescent="0.3">
      <c r="A6231" s="7">
        <v>15457</v>
      </c>
      <c r="B6231" s="7" t="s">
        <v>6237</v>
      </c>
      <c r="C6231" s="7" t="s">
        <v>7144</v>
      </c>
      <c r="D6231" s="7" t="s">
        <v>6295</v>
      </c>
      <c r="E6231" s="7" t="s">
        <v>6940</v>
      </c>
      <c r="F6231" s="7" t="s">
        <v>6979</v>
      </c>
      <c r="G6231" s="7" t="s">
        <v>7150</v>
      </c>
      <c r="H6231" s="7" t="s">
        <v>7156</v>
      </c>
      <c r="I6231" s="7"/>
      <c r="J6231" s="10">
        <v>45078</v>
      </c>
      <c r="K6231" s="7" t="s">
        <v>7165</v>
      </c>
      <c r="L6231" s="7"/>
      <c r="M6231" s="7"/>
    </row>
    <row r="6232" spans="1:13" x14ac:dyDescent="0.3">
      <c r="A6232" s="7">
        <v>12439</v>
      </c>
      <c r="B6232" s="7" t="s">
        <v>6238</v>
      </c>
      <c r="C6232" s="7" t="s">
        <v>7144</v>
      </c>
      <c r="D6232" s="7" t="s">
        <v>6295</v>
      </c>
      <c r="E6232" s="7" t="s">
        <v>6940</v>
      </c>
      <c r="F6232" s="7" t="s">
        <v>6561</v>
      </c>
      <c r="G6232" s="7" t="s">
        <v>7150</v>
      </c>
      <c r="H6232" s="7" t="s">
        <v>7156</v>
      </c>
      <c r="I6232" s="7"/>
      <c r="J6232" s="10">
        <v>43755</v>
      </c>
      <c r="K6232" s="7" t="s">
        <v>7165</v>
      </c>
      <c r="L6232" s="7"/>
      <c r="M6232" s="7"/>
    </row>
    <row r="6233" spans="1:13" x14ac:dyDescent="0.3">
      <c r="A6233" s="7">
        <v>12442</v>
      </c>
      <c r="B6233" s="7" t="s">
        <v>6239</v>
      </c>
      <c r="C6233" s="7" t="s">
        <v>7144</v>
      </c>
      <c r="D6233" s="7" t="s">
        <v>6295</v>
      </c>
      <c r="E6233" s="7" t="s">
        <v>6940</v>
      </c>
      <c r="F6233" s="7" t="s">
        <v>6561</v>
      </c>
      <c r="G6233" s="7" t="s">
        <v>7150</v>
      </c>
      <c r="H6233" s="7" t="s">
        <v>7156</v>
      </c>
      <c r="I6233" s="7"/>
      <c r="J6233" s="10">
        <v>43755</v>
      </c>
      <c r="K6233" s="7" t="s">
        <v>7165</v>
      </c>
      <c r="L6233" s="7"/>
      <c r="M6233" s="7"/>
    </row>
    <row r="6234" spans="1:13" x14ac:dyDescent="0.3">
      <c r="A6234" s="7">
        <v>14463</v>
      </c>
      <c r="B6234" s="7" t="s">
        <v>6240</v>
      </c>
      <c r="C6234" s="7" t="s">
        <v>7144</v>
      </c>
      <c r="D6234" s="7" t="s">
        <v>6295</v>
      </c>
      <c r="E6234" s="7" t="s">
        <v>6940</v>
      </c>
      <c r="F6234" s="7" t="s">
        <v>6949</v>
      </c>
      <c r="G6234" s="7" t="s">
        <v>7150</v>
      </c>
      <c r="H6234" s="7" t="s">
        <v>7156</v>
      </c>
      <c r="I6234" s="7"/>
      <c r="J6234" s="10">
        <v>44762</v>
      </c>
      <c r="K6234" s="7" t="s">
        <v>7165</v>
      </c>
      <c r="L6234" s="7"/>
      <c r="M6234" s="7"/>
    </row>
    <row r="6235" spans="1:13" x14ac:dyDescent="0.3">
      <c r="A6235" s="7">
        <v>15385</v>
      </c>
      <c r="B6235" s="7" t="s">
        <v>6241</v>
      </c>
      <c r="C6235" s="7" t="s">
        <v>7144</v>
      </c>
      <c r="D6235" s="7" t="s">
        <v>6295</v>
      </c>
      <c r="E6235" s="7" t="s">
        <v>6940</v>
      </c>
      <c r="F6235" s="7" t="s">
        <v>6949</v>
      </c>
      <c r="G6235" s="7" t="s">
        <v>7150</v>
      </c>
      <c r="H6235" s="7" t="s">
        <v>7156</v>
      </c>
      <c r="I6235" s="7"/>
      <c r="J6235" s="10">
        <v>45050</v>
      </c>
      <c r="K6235" s="7" t="s">
        <v>7165</v>
      </c>
      <c r="L6235" s="7"/>
      <c r="M6235" s="7"/>
    </row>
    <row r="6236" spans="1:13" x14ac:dyDescent="0.3">
      <c r="A6236" s="7">
        <v>18260</v>
      </c>
      <c r="B6236" s="7" t="s">
        <v>6242</v>
      </c>
      <c r="C6236" s="7" t="s">
        <v>7144</v>
      </c>
      <c r="D6236" s="7" t="s">
        <v>6295</v>
      </c>
      <c r="E6236" s="7" t="s">
        <v>6940</v>
      </c>
      <c r="F6236" s="7" t="s">
        <v>6949</v>
      </c>
      <c r="G6236" s="7" t="s">
        <v>7150</v>
      </c>
      <c r="H6236" s="7" t="s">
        <v>7156</v>
      </c>
      <c r="I6236" s="7"/>
      <c r="J6236" s="10">
        <v>46076</v>
      </c>
      <c r="K6236" s="7" t="s">
        <v>7165</v>
      </c>
      <c r="L6236" s="7"/>
      <c r="M6236" s="7"/>
    </row>
    <row r="6237" spans="1:13" x14ac:dyDescent="0.3">
      <c r="A6237" s="7">
        <v>15605</v>
      </c>
      <c r="B6237" s="7" t="s">
        <v>6243</v>
      </c>
      <c r="C6237" s="7" t="s">
        <v>7144</v>
      </c>
      <c r="D6237" s="7" t="s">
        <v>6295</v>
      </c>
      <c r="E6237" s="7" t="s">
        <v>6940</v>
      </c>
      <c r="F6237" s="7" t="s">
        <v>6949</v>
      </c>
      <c r="G6237" s="7" t="s">
        <v>7150</v>
      </c>
      <c r="H6237" s="7" t="s">
        <v>7156</v>
      </c>
      <c r="I6237" s="7"/>
      <c r="J6237" s="10">
        <v>45133</v>
      </c>
      <c r="K6237" s="7" t="s">
        <v>7165</v>
      </c>
      <c r="L6237" s="7"/>
      <c r="M6237" s="7"/>
    </row>
    <row r="6238" spans="1:13" x14ac:dyDescent="0.3">
      <c r="A6238" s="7">
        <v>340022</v>
      </c>
      <c r="B6238" s="7" t="s">
        <v>6244</v>
      </c>
      <c r="C6238" s="7" t="s">
        <v>7144</v>
      </c>
      <c r="D6238" s="7" t="s">
        <v>6295</v>
      </c>
      <c r="E6238" s="7" t="s">
        <v>6940</v>
      </c>
      <c r="F6238" s="7" t="s">
        <v>6980</v>
      </c>
      <c r="G6238" s="7" t="s">
        <v>7150</v>
      </c>
      <c r="H6238" s="7" t="s">
        <v>7156</v>
      </c>
      <c r="I6238" s="7"/>
      <c r="J6238" s="10">
        <v>43731</v>
      </c>
      <c r="K6238" s="7" t="s">
        <v>7165</v>
      </c>
      <c r="L6238" s="7"/>
      <c r="M6238" s="7"/>
    </row>
    <row r="6239" spans="1:13" x14ac:dyDescent="0.3">
      <c r="A6239" s="7">
        <v>370022</v>
      </c>
      <c r="B6239" s="7" t="s">
        <v>6245</v>
      </c>
      <c r="C6239" s="7" t="s">
        <v>7144</v>
      </c>
      <c r="D6239" s="7" t="s">
        <v>6295</v>
      </c>
      <c r="E6239" s="7" t="s">
        <v>6940</v>
      </c>
      <c r="F6239" s="7" t="s">
        <v>6986</v>
      </c>
      <c r="G6239" s="7" t="s">
        <v>7150</v>
      </c>
      <c r="H6239" s="7" t="s">
        <v>7156</v>
      </c>
      <c r="I6239" s="7"/>
      <c r="J6239" s="10">
        <v>43731</v>
      </c>
      <c r="K6239" s="7" t="s">
        <v>7165</v>
      </c>
      <c r="L6239" s="7"/>
      <c r="M6239" s="7"/>
    </row>
    <row r="6240" spans="1:13" x14ac:dyDescent="0.3">
      <c r="A6240" s="7">
        <v>360031</v>
      </c>
      <c r="B6240" s="7" t="s">
        <v>6246</v>
      </c>
      <c r="C6240" s="7" t="s">
        <v>7144</v>
      </c>
      <c r="D6240" s="7" t="s">
        <v>6295</v>
      </c>
      <c r="E6240" s="7" t="s">
        <v>6940</v>
      </c>
      <c r="F6240" s="7" t="s">
        <v>6980</v>
      </c>
      <c r="G6240" s="7" t="s">
        <v>7150</v>
      </c>
      <c r="H6240" s="7" t="s">
        <v>7156</v>
      </c>
      <c r="I6240" s="7"/>
      <c r="J6240" s="10">
        <v>43759</v>
      </c>
      <c r="K6240" s="7" t="s">
        <v>7165</v>
      </c>
      <c r="L6240" s="7"/>
      <c r="M6240" s="7"/>
    </row>
    <row r="6241" spans="1:13" x14ac:dyDescent="0.3">
      <c r="A6241" s="7">
        <v>850108</v>
      </c>
      <c r="B6241" s="7" t="s">
        <v>6247</v>
      </c>
      <c r="C6241" s="7" t="s">
        <v>7144</v>
      </c>
      <c r="D6241" s="7" t="s">
        <v>6295</v>
      </c>
      <c r="E6241" s="7" t="s">
        <v>6940</v>
      </c>
      <c r="F6241" s="7" t="s">
        <v>6980</v>
      </c>
      <c r="G6241" s="7" t="s">
        <v>7150</v>
      </c>
      <c r="H6241" s="7" t="s">
        <v>7156</v>
      </c>
      <c r="I6241" s="7"/>
      <c r="J6241" s="10">
        <v>43763</v>
      </c>
      <c r="K6241" s="7" t="s">
        <v>7165</v>
      </c>
      <c r="L6241" s="7"/>
      <c r="M6241" s="7"/>
    </row>
    <row r="6242" spans="1:13" x14ac:dyDescent="0.3">
      <c r="A6242" s="7">
        <v>850113</v>
      </c>
      <c r="B6242" s="7" t="s">
        <v>6248</v>
      </c>
      <c r="C6242" s="7" t="s">
        <v>7144</v>
      </c>
      <c r="D6242" s="7" t="s">
        <v>6295</v>
      </c>
      <c r="E6242" s="7" t="s">
        <v>6940</v>
      </c>
      <c r="F6242" s="7" t="s">
        <v>6986</v>
      </c>
      <c r="G6242" s="7" t="s">
        <v>7150</v>
      </c>
      <c r="H6242" s="7" t="s">
        <v>7156</v>
      </c>
      <c r="I6242" s="7"/>
      <c r="J6242" s="10">
        <v>44166</v>
      </c>
      <c r="K6242" s="7" t="s">
        <v>7165</v>
      </c>
      <c r="L6242" s="7"/>
      <c r="M6242" s="7"/>
    </row>
    <row r="6243" spans="1:13" x14ac:dyDescent="0.3">
      <c r="A6243" s="7">
        <v>370029</v>
      </c>
      <c r="B6243" s="7" t="s">
        <v>6249</v>
      </c>
      <c r="C6243" s="7" t="s">
        <v>7144</v>
      </c>
      <c r="D6243" s="7" t="s">
        <v>6295</v>
      </c>
      <c r="E6243" s="7" t="s">
        <v>6940</v>
      </c>
      <c r="F6243" s="7" t="s">
        <v>6980</v>
      </c>
      <c r="G6243" s="7" t="s">
        <v>7150</v>
      </c>
      <c r="H6243" s="7" t="s">
        <v>7156</v>
      </c>
      <c r="I6243" s="7"/>
      <c r="J6243" s="10">
        <v>44238</v>
      </c>
      <c r="K6243" s="7" t="s">
        <v>7165</v>
      </c>
      <c r="L6243" s="7"/>
      <c r="M6243" s="7"/>
    </row>
    <row r="6244" spans="1:13" x14ac:dyDescent="0.3">
      <c r="A6244" s="7">
        <v>850112</v>
      </c>
      <c r="B6244" s="7" t="s">
        <v>6250</v>
      </c>
      <c r="C6244" s="7" t="s">
        <v>7144</v>
      </c>
      <c r="D6244" s="7" t="s">
        <v>6295</v>
      </c>
      <c r="E6244" s="7" t="s">
        <v>6940</v>
      </c>
      <c r="F6244" s="7" t="s">
        <v>6987</v>
      </c>
      <c r="G6244" s="7" t="s">
        <v>7151</v>
      </c>
      <c r="H6244" s="7" t="s">
        <v>7156</v>
      </c>
      <c r="I6244" s="7"/>
      <c r="J6244" s="10">
        <v>44141</v>
      </c>
      <c r="K6244" s="7" t="s">
        <v>7165</v>
      </c>
      <c r="L6244" s="7"/>
      <c r="M6244" s="7"/>
    </row>
    <row r="6245" spans="1:13" x14ac:dyDescent="0.3">
      <c r="A6245" s="7">
        <v>15967</v>
      </c>
      <c r="B6245" s="7" t="s">
        <v>6251</v>
      </c>
      <c r="C6245" s="7" t="s">
        <v>7144</v>
      </c>
      <c r="D6245" s="7" t="s">
        <v>6295</v>
      </c>
      <c r="E6245" s="7" t="s">
        <v>6940</v>
      </c>
      <c r="F6245" s="7" t="s">
        <v>6987</v>
      </c>
      <c r="G6245" s="7" t="s">
        <v>7150</v>
      </c>
      <c r="H6245" s="7" t="s">
        <v>7156</v>
      </c>
      <c r="I6245" s="7"/>
      <c r="J6245" s="10">
        <v>45253</v>
      </c>
      <c r="K6245" s="7" t="s">
        <v>7165</v>
      </c>
      <c r="L6245" s="7"/>
      <c r="M6245" s="7"/>
    </row>
    <row r="6246" spans="1:13" x14ac:dyDescent="0.3">
      <c r="A6246" s="7">
        <v>16251</v>
      </c>
      <c r="B6246" s="7" t="s">
        <v>6252</v>
      </c>
      <c r="C6246" s="7" t="s">
        <v>7144</v>
      </c>
      <c r="D6246" s="7" t="s">
        <v>6295</v>
      </c>
      <c r="E6246" s="7" t="s">
        <v>6940</v>
      </c>
      <c r="F6246" s="7" t="s">
        <v>6986</v>
      </c>
      <c r="G6246" s="7" t="s">
        <v>7150</v>
      </c>
      <c r="H6246" s="7" t="s">
        <v>7156</v>
      </c>
      <c r="I6246" s="7"/>
      <c r="J6246" s="10">
        <v>45330</v>
      </c>
      <c r="K6246" s="7" t="s">
        <v>7165</v>
      </c>
      <c r="L6246" s="7"/>
      <c r="M6246" s="7"/>
    </row>
    <row r="6247" spans="1:13" x14ac:dyDescent="0.3">
      <c r="A6247" s="7">
        <v>16423</v>
      </c>
      <c r="B6247" s="7" t="s">
        <v>6253</v>
      </c>
      <c r="C6247" s="7" t="s">
        <v>7144</v>
      </c>
      <c r="D6247" s="7" t="s">
        <v>6295</v>
      </c>
      <c r="E6247" s="7" t="s">
        <v>6940</v>
      </c>
      <c r="F6247" s="7" t="s">
        <v>6987</v>
      </c>
      <c r="G6247" s="7" t="s">
        <v>7150</v>
      </c>
      <c r="H6247" s="7" t="s">
        <v>7156</v>
      </c>
      <c r="I6247" s="7"/>
      <c r="J6247" s="10">
        <v>45386</v>
      </c>
      <c r="K6247" s="7" t="s">
        <v>7165</v>
      </c>
      <c r="L6247" s="7"/>
      <c r="M6247" s="7"/>
    </row>
    <row r="6248" spans="1:13" x14ac:dyDescent="0.3">
      <c r="A6248" s="7">
        <v>17734</v>
      </c>
      <c r="B6248" s="7" t="s">
        <v>6254</v>
      </c>
      <c r="C6248" s="7" t="s">
        <v>7144</v>
      </c>
      <c r="D6248" s="7" t="s">
        <v>6295</v>
      </c>
      <c r="E6248" s="7" t="s">
        <v>6940</v>
      </c>
      <c r="F6248" s="7" t="s">
        <v>6987</v>
      </c>
      <c r="G6248" s="7" t="s">
        <v>7150</v>
      </c>
      <c r="H6248" s="7" t="s">
        <v>7156</v>
      </c>
      <c r="I6248" s="7"/>
      <c r="J6248" s="10">
        <v>45859</v>
      </c>
      <c r="K6248" s="7" t="s">
        <v>7165</v>
      </c>
      <c r="L6248" s="7"/>
      <c r="M6248" s="7"/>
    </row>
    <row r="6249" spans="1:13" x14ac:dyDescent="0.3">
      <c r="A6249" s="7">
        <v>18545</v>
      </c>
      <c r="B6249" s="7" t="s">
        <v>6255</v>
      </c>
      <c r="C6249" s="7" t="s">
        <v>7144</v>
      </c>
      <c r="D6249" s="7" t="s">
        <v>6295</v>
      </c>
      <c r="E6249" s="7" t="s">
        <v>6940</v>
      </c>
      <c r="F6249" s="7" t="s">
        <v>7013</v>
      </c>
      <c r="G6249" s="7" t="s">
        <v>7150</v>
      </c>
      <c r="H6249" s="7" t="s">
        <v>7156</v>
      </c>
      <c r="I6249" s="7"/>
      <c r="J6249" s="10">
        <v>46150</v>
      </c>
      <c r="K6249" s="7" t="s">
        <v>7165</v>
      </c>
      <c r="L6249" s="7"/>
      <c r="M6249" s="7"/>
    </row>
    <row r="6250" spans="1:13" x14ac:dyDescent="0.3">
      <c r="A6250" s="7">
        <v>17287</v>
      </c>
      <c r="B6250" s="7" t="s">
        <v>6256</v>
      </c>
      <c r="C6250" s="7" t="s">
        <v>7144</v>
      </c>
      <c r="D6250" s="7" t="s">
        <v>6295</v>
      </c>
      <c r="E6250" s="7" t="s">
        <v>6940</v>
      </c>
      <c r="F6250" s="7" t="s">
        <v>6987</v>
      </c>
      <c r="G6250" s="7" t="s">
        <v>7150</v>
      </c>
      <c r="H6250" s="7" t="s">
        <v>7156</v>
      </c>
      <c r="I6250" s="7"/>
      <c r="J6250" s="10">
        <v>45695</v>
      </c>
      <c r="K6250" s="7" t="s">
        <v>7165</v>
      </c>
      <c r="L6250" s="7"/>
      <c r="M6250" s="7"/>
    </row>
    <row r="6251" spans="1:13" x14ac:dyDescent="0.3">
      <c r="A6251" s="7">
        <v>850109</v>
      </c>
      <c r="B6251" s="7" t="s">
        <v>6257</v>
      </c>
      <c r="C6251" s="7" t="s">
        <v>7144</v>
      </c>
      <c r="D6251" s="7" t="s">
        <v>6295</v>
      </c>
      <c r="E6251" s="7" t="s">
        <v>6951</v>
      </c>
      <c r="F6251" s="7" t="s">
        <v>6398</v>
      </c>
      <c r="G6251" s="7" t="s">
        <v>7150</v>
      </c>
      <c r="H6251" s="7" t="s">
        <v>7156</v>
      </c>
      <c r="I6251" s="7"/>
      <c r="J6251" s="10">
        <v>43819</v>
      </c>
      <c r="K6251" s="7" t="s">
        <v>7165</v>
      </c>
      <c r="L6251" s="7"/>
      <c r="M6251" s="7"/>
    </row>
    <row r="6252" spans="1:13" x14ac:dyDescent="0.3">
      <c r="A6252" s="7">
        <v>850116</v>
      </c>
      <c r="B6252" s="7" t="s">
        <v>6258</v>
      </c>
      <c r="C6252" s="7" t="s">
        <v>7144</v>
      </c>
      <c r="D6252" s="7" t="s">
        <v>6295</v>
      </c>
      <c r="E6252" s="7" t="s">
        <v>6951</v>
      </c>
      <c r="F6252" s="7" t="s">
        <v>6398</v>
      </c>
      <c r="G6252" s="7" t="s">
        <v>7150</v>
      </c>
      <c r="H6252" s="7" t="s">
        <v>7156</v>
      </c>
      <c r="I6252" s="7"/>
      <c r="J6252" s="10">
        <v>44593</v>
      </c>
      <c r="K6252" s="7" t="s">
        <v>7165</v>
      </c>
      <c r="L6252" s="7"/>
      <c r="M6252" s="7"/>
    </row>
    <row r="6253" spans="1:13" x14ac:dyDescent="0.3">
      <c r="A6253" s="7">
        <v>17595</v>
      </c>
      <c r="B6253" s="7" t="s">
        <v>6259</v>
      </c>
      <c r="C6253" s="7" t="s">
        <v>7144</v>
      </c>
      <c r="D6253" s="7" t="s">
        <v>6295</v>
      </c>
      <c r="E6253" s="7" t="s">
        <v>6994</v>
      </c>
      <c r="F6253" s="7" t="s">
        <v>6498</v>
      </c>
      <c r="G6253" s="7" t="s">
        <v>7150</v>
      </c>
      <c r="H6253" s="7" t="s">
        <v>7156</v>
      </c>
      <c r="I6253" s="7"/>
      <c r="J6253" s="10">
        <v>45804</v>
      </c>
      <c r="K6253" s="7" t="s">
        <v>7165</v>
      </c>
      <c r="L6253" s="7"/>
      <c r="M6253" s="7"/>
    </row>
    <row r="6254" spans="1:13" x14ac:dyDescent="0.3">
      <c r="A6254" s="7">
        <v>14426</v>
      </c>
      <c r="B6254" s="7" t="s">
        <v>6260</v>
      </c>
      <c r="C6254" s="7" t="s">
        <v>7144</v>
      </c>
      <c r="D6254" s="7" t="s">
        <v>6295</v>
      </c>
      <c r="E6254" s="7" t="s">
        <v>6994</v>
      </c>
      <c r="F6254" s="7" t="s">
        <v>6353</v>
      </c>
      <c r="G6254" s="7" t="s">
        <v>7150</v>
      </c>
      <c r="H6254" s="7" t="s">
        <v>7156</v>
      </c>
      <c r="I6254" s="7"/>
      <c r="J6254" s="10">
        <v>44756</v>
      </c>
      <c r="K6254" s="7" t="s">
        <v>7165</v>
      </c>
      <c r="L6254" s="7"/>
      <c r="M6254" s="7"/>
    </row>
    <row r="6255" spans="1:13" x14ac:dyDescent="0.3">
      <c r="A6255" s="7">
        <v>14634</v>
      </c>
      <c r="B6255" s="7" t="s">
        <v>6261</v>
      </c>
      <c r="C6255" s="7" t="s">
        <v>7144</v>
      </c>
      <c r="D6255" s="7" t="s">
        <v>6295</v>
      </c>
      <c r="E6255" s="7" t="s">
        <v>6994</v>
      </c>
      <c r="F6255" s="7" t="s">
        <v>6340</v>
      </c>
      <c r="G6255" s="7" t="s">
        <v>7150</v>
      </c>
      <c r="H6255" s="7" t="s">
        <v>7156</v>
      </c>
      <c r="I6255" s="7"/>
      <c r="J6255" s="10">
        <v>44811</v>
      </c>
      <c r="K6255" s="7" t="s">
        <v>7165</v>
      </c>
      <c r="L6255" s="7"/>
      <c r="M6255" s="7"/>
    </row>
    <row r="6256" spans="1:13" x14ac:dyDescent="0.3">
      <c r="A6256" s="7">
        <v>15748</v>
      </c>
      <c r="B6256" s="7" t="s">
        <v>6262</v>
      </c>
      <c r="C6256" s="7" t="s">
        <v>7144</v>
      </c>
      <c r="D6256" s="7" t="s">
        <v>6295</v>
      </c>
      <c r="E6256" s="7" t="s">
        <v>6994</v>
      </c>
      <c r="F6256" s="7" t="s">
        <v>6340</v>
      </c>
      <c r="G6256" s="7" t="s">
        <v>7150</v>
      </c>
      <c r="H6256" s="7" t="s">
        <v>7156</v>
      </c>
      <c r="I6256" s="7"/>
      <c r="J6256" s="10">
        <v>45184</v>
      </c>
      <c r="K6256" s="7" t="s">
        <v>7165</v>
      </c>
      <c r="L6256" s="7"/>
      <c r="M6256" s="7"/>
    </row>
    <row r="6257" spans="1:13" x14ac:dyDescent="0.3">
      <c r="A6257" s="7">
        <v>17026</v>
      </c>
      <c r="B6257" s="7" t="s">
        <v>6263</v>
      </c>
      <c r="C6257" s="7" t="s">
        <v>7144</v>
      </c>
      <c r="D6257" s="7" t="s">
        <v>6295</v>
      </c>
      <c r="E6257" s="7" t="s">
        <v>6994</v>
      </c>
      <c r="F6257" s="7" t="s">
        <v>6341</v>
      </c>
      <c r="G6257" s="7" t="s">
        <v>7150</v>
      </c>
      <c r="H6257" s="7" t="s">
        <v>7156</v>
      </c>
      <c r="I6257" s="7"/>
      <c r="J6257" s="10">
        <v>45615</v>
      </c>
      <c r="K6257" s="7" t="s">
        <v>7165</v>
      </c>
      <c r="L6257" s="7"/>
      <c r="M6257" s="7"/>
    </row>
    <row r="6258" spans="1:13" x14ac:dyDescent="0.3">
      <c r="A6258" s="7">
        <v>17143</v>
      </c>
      <c r="B6258" s="7" t="s">
        <v>6264</v>
      </c>
      <c r="C6258" s="7" t="s">
        <v>7144</v>
      </c>
      <c r="D6258" s="7" t="s">
        <v>6295</v>
      </c>
      <c r="E6258" s="7" t="s">
        <v>6940</v>
      </c>
      <c r="F6258" s="7" t="s">
        <v>7047</v>
      </c>
      <c r="G6258" s="7" t="s">
        <v>7150</v>
      </c>
      <c r="H6258" s="7" t="s">
        <v>7156</v>
      </c>
      <c r="I6258" s="7"/>
      <c r="J6258" s="10">
        <v>45649</v>
      </c>
      <c r="K6258" s="7" t="s">
        <v>7165</v>
      </c>
      <c r="L6258" s="7"/>
      <c r="M6258" s="7"/>
    </row>
    <row r="6259" spans="1:13" x14ac:dyDescent="0.3">
      <c r="A6259" s="7">
        <v>350033</v>
      </c>
      <c r="B6259" s="7" t="s">
        <v>6265</v>
      </c>
      <c r="C6259" s="7" t="s">
        <v>7145</v>
      </c>
      <c r="D6259" s="7" t="s">
        <v>6295</v>
      </c>
      <c r="E6259" s="7" t="s">
        <v>6295</v>
      </c>
      <c r="F6259" s="7" t="s">
        <v>6939</v>
      </c>
      <c r="G6259" s="7" t="s">
        <v>7150</v>
      </c>
      <c r="H6259" s="7" t="s">
        <v>7156</v>
      </c>
      <c r="I6259" s="7"/>
      <c r="J6259" s="10">
        <v>43678</v>
      </c>
      <c r="K6259" s="7" t="s">
        <v>7165</v>
      </c>
      <c r="L6259" s="7"/>
      <c r="M6259" s="7"/>
    </row>
    <row r="6260" spans="1:13" x14ac:dyDescent="0.3">
      <c r="A6260" s="7">
        <v>340025</v>
      </c>
      <c r="B6260" s="7" t="s">
        <v>6266</v>
      </c>
      <c r="C6260" s="7" t="s">
        <v>7145</v>
      </c>
      <c r="D6260" s="7" t="s">
        <v>6295</v>
      </c>
      <c r="E6260" s="7" t="s">
        <v>6940</v>
      </c>
      <c r="F6260" s="7" t="s">
        <v>6979</v>
      </c>
      <c r="G6260" s="7" t="s">
        <v>7150</v>
      </c>
      <c r="H6260" s="7" t="s">
        <v>7156</v>
      </c>
      <c r="I6260" s="7"/>
      <c r="J6260" s="10">
        <v>43731</v>
      </c>
      <c r="K6260" s="7" t="s">
        <v>7165</v>
      </c>
      <c r="L6260" s="7"/>
      <c r="M6260" s="7"/>
    </row>
    <row r="6261" spans="1:13" x14ac:dyDescent="0.3">
      <c r="A6261" s="7">
        <v>15473</v>
      </c>
      <c r="B6261" s="7" t="s">
        <v>6267</v>
      </c>
      <c r="C6261" s="7" t="s">
        <v>7145</v>
      </c>
      <c r="D6261" s="7" t="s">
        <v>6295</v>
      </c>
      <c r="E6261" s="7" t="s">
        <v>6940</v>
      </c>
      <c r="F6261" s="7" t="s">
        <v>6949</v>
      </c>
      <c r="G6261" s="7" t="s">
        <v>7150</v>
      </c>
      <c r="H6261" s="7" t="s">
        <v>7156</v>
      </c>
      <c r="I6261" s="7"/>
      <c r="J6261" s="10">
        <v>45085</v>
      </c>
      <c r="K6261" s="7" t="s">
        <v>7165</v>
      </c>
      <c r="L6261" s="7"/>
      <c r="M6261" s="7"/>
    </row>
    <row r="6262" spans="1:13" x14ac:dyDescent="0.3">
      <c r="A6262" s="7">
        <v>340028</v>
      </c>
      <c r="B6262" s="7" t="s">
        <v>6268</v>
      </c>
      <c r="C6262" s="7" t="s">
        <v>7145</v>
      </c>
      <c r="D6262" s="7" t="s">
        <v>6295</v>
      </c>
      <c r="E6262" s="7" t="s">
        <v>6940</v>
      </c>
      <c r="F6262" s="7" t="s">
        <v>6949</v>
      </c>
      <c r="G6262" s="7" t="s">
        <v>7150</v>
      </c>
      <c r="H6262" s="7" t="s">
        <v>7156</v>
      </c>
      <c r="I6262" s="7"/>
      <c r="J6262" s="10">
        <v>44333</v>
      </c>
      <c r="K6262" s="7" t="s">
        <v>7165</v>
      </c>
      <c r="L6262" s="7"/>
      <c r="M6262" s="7"/>
    </row>
    <row r="6263" spans="1:13" x14ac:dyDescent="0.3">
      <c r="A6263" s="7">
        <v>330026</v>
      </c>
      <c r="B6263" s="7" t="s">
        <v>6269</v>
      </c>
      <c r="C6263" s="7" t="s">
        <v>7145</v>
      </c>
      <c r="D6263" s="7" t="s">
        <v>6295</v>
      </c>
      <c r="E6263" s="7" t="s">
        <v>6940</v>
      </c>
      <c r="F6263" s="7" t="s">
        <v>6980</v>
      </c>
      <c r="G6263" s="7" t="s">
        <v>7150</v>
      </c>
      <c r="H6263" s="7" t="s">
        <v>7156</v>
      </c>
      <c r="I6263" s="7"/>
      <c r="J6263" s="10">
        <v>43692</v>
      </c>
      <c r="K6263" s="7" t="s">
        <v>7165</v>
      </c>
      <c r="L6263" s="7"/>
      <c r="M6263" s="7"/>
    </row>
    <row r="6264" spans="1:13" x14ac:dyDescent="0.3">
      <c r="A6264" s="7">
        <v>14947</v>
      </c>
      <c r="B6264" s="7" t="s">
        <v>6270</v>
      </c>
      <c r="C6264" s="7" t="s">
        <v>7145</v>
      </c>
      <c r="D6264" s="7" t="s">
        <v>6295</v>
      </c>
      <c r="E6264" s="7" t="s">
        <v>6940</v>
      </c>
      <c r="F6264" s="7" t="s">
        <v>6986</v>
      </c>
      <c r="G6264" s="7" t="s">
        <v>7150</v>
      </c>
      <c r="H6264" s="7" t="s">
        <v>7156</v>
      </c>
      <c r="I6264" s="7"/>
      <c r="J6264" s="10">
        <v>44896</v>
      </c>
      <c r="K6264" s="7" t="s">
        <v>7165</v>
      </c>
      <c r="L6264" s="7"/>
      <c r="M6264" s="7"/>
    </row>
    <row r="6265" spans="1:13" x14ac:dyDescent="0.3">
      <c r="A6265" s="7">
        <v>16002</v>
      </c>
      <c r="B6265" s="7" t="s">
        <v>6271</v>
      </c>
      <c r="C6265" s="7" t="s">
        <v>7145</v>
      </c>
      <c r="D6265" s="7" t="s">
        <v>6295</v>
      </c>
      <c r="E6265" s="7" t="s">
        <v>6940</v>
      </c>
      <c r="F6265" s="7" t="s">
        <v>6992</v>
      </c>
      <c r="G6265" s="7" t="s">
        <v>7150</v>
      </c>
      <c r="H6265" s="7" t="s">
        <v>7156</v>
      </c>
      <c r="I6265" s="7"/>
      <c r="J6265" s="10">
        <v>45264</v>
      </c>
      <c r="K6265" s="7" t="s">
        <v>7165</v>
      </c>
      <c r="L6265" s="7"/>
      <c r="M6265" s="7"/>
    </row>
    <row r="6266" spans="1:13" x14ac:dyDescent="0.3">
      <c r="A6266" s="7">
        <v>340026</v>
      </c>
      <c r="B6266" s="7" t="s">
        <v>6272</v>
      </c>
      <c r="C6266" s="7" t="s">
        <v>7145</v>
      </c>
      <c r="D6266" s="7" t="s">
        <v>6295</v>
      </c>
      <c r="E6266" s="7" t="s">
        <v>6951</v>
      </c>
      <c r="F6266" s="7" t="s">
        <v>6398</v>
      </c>
      <c r="G6266" s="7" t="s">
        <v>7150</v>
      </c>
      <c r="H6266" s="7" t="s">
        <v>7156</v>
      </c>
      <c r="I6266" s="7"/>
      <c r="J6266" s="10">
        <v>43731</v>
      </c>
      <c r="K6266" s="7" t="s">
        <v>7165</v>
      </c>
      <c r="L6266" s="7"/>
      <c r="M6266" s="7"/>
    </row>
    <row r="6267" spans="1:13" x14ac:dyDescent="0.3">
      <c r="A6267" s="7">
        <v>380027</v>
      </c>
      <c r="B6267" s="7" t="s">
        <v>6273</v>
      </c>
      <c r="C6267" s="7" t="s">
        <v>7146</v>
      </c>
      <c r="D6267" s="7" t="s">
        <v>6295</v>
      </c>
      <c r="E6267" s="7" t="s">
        <v>6940</v>
      </c>
      <c r="F6267" s="7" t="s">
        <v>6943</v>
      </c>
      <c r="G6267" s="7" t="s">
        <v>7150</v>
      </c>
      <c r="H6267" s="7" t="s">
        <v>7156</v>
      </c>
      <c r="I6267" s="7"/>
      <c r="J6267" s="10">
        <v>44209</v>
      </c>
      <c r="K6267" s="7" t="s">
        <v>7165</v>
      </c>
      <c r="L6267" s="7"/>
      <c r="M6267" s="7"/>
    </row>
    <row r="6268" spans="1:13" x14ac:dyDescent="0.3">
      <c r="A6268" s="7">
        <v>380025</v>
      </c>
      <c r="B6268" s="7" t="s">
        <v>6274</v>
      </c>
      <c r="C6268" s="7" t="s">
        <v>7146</v>
      </c>
      <c r="D6268" s="7" t="s">
        <v>6295</v>
      </c>
      <c r="E6268" s="7" t="s">
        <v>6940</v>
      </c>
      <c r="F6268" s="7" t="s">
        <v>6979</v>
      </c>
      <c r="G6268" s="7" t="s">
        <v>7150</v>
      </c>
      <c r="H6268" s="7" t="s">
        <v>7156</v>
      </c>
      <c r="I6268" s="7"/>
      <c r="J6268" s="10">
        <v>43699</v>
      </c>
      <c r="K6268" s="7" t="s">
        <v>7165</v>
      </c>
      <c r="L6268" s="7"/>
      <c r="M6268" s="7"/>
    </row>
    <row r="6269" spans="1:13" x14ac:dyDescent="0.3">
      <c r="A6269" s="7">
        <v>330024</v>
      </c>
      <c r="B6269" s="7" t="s">
        <v>6275</v>
      </c>
      <c r="C6269" s="7" t="s">
        <v>7146</v>
      </c>
      <c r="D6269" s="7" t="s">
        <v>6295</v>
      </c>
      <c r="E6269" s="7" t="s">
        <v>6940</v>
      </c>
      <c r="F6269" s="7" t="s">
        <v>6986</v>
      </c>
      <c r="G6269" s="7" t="s">
        <v>7150</v>
      </c>
      <c r="H6269" s="7" t="s">
        <v>7156</v>
      </c>
      <c r="I6269" s="7"/>
      <c r="J6269" s="10">
        <v>43692</v>
      </c>
      <c r="K6269" s="7" t="s">
        <v>7165</v>
      </c>
      <c r="L6269" s="7"/>
      <c r="M6269" s="7"/>
    </row>
    <row r="6270" spans="1:13" x14ac:dyDescent="0.3">
      <c r="A6270" s="7">
        <v>18108</v>
      </c>
      <c r="B6270" s="7" t="s">
        <v>6276</v>
      </c>
      <c r="C6270" s="7" t="s">
        <v>7146</v>
      </c>
      <c r="D6270" s="7" t="s">
        <v>6295</v>
      </c>
      <c r="E6270" s="7" t="s">
        <v>6951</v>
      </c>
      <c r="F6270" s="7" t="s">
        <v>7147</v>
      </c>
      <c r="G6270" s="7" t="s">
        <v>7150</v>
      </c>
      <c r="H6270" s="7" t="s">
        <v>7156</v>
      </c>
      <c r="I6270" s="7"/>
      <c r="J6270" s="10">
        <v>45993</v>
      </c>
      <c r="K6270" s="7" t="s">
        <v>7165</v>
      </c>
      <c r="L6270" s="7"/>
      <c r="M6270" s="7"/>
    </row>
    <row r="6271" spans="1:13" x14ac:dyDescent="0.3">
      <c r="A6271" s="7">
        <v>12727</v>
      </c>
      <c r="B6271" s="7" t="s">
        <v>6277</v>
      </c>
      <c r="C6271" s="7" t="s">
        <v>7148</v>
      </c>
      <c r="D6271" s="7" t="s">
        <v>6295</v>
      </c>
      <c r="E6271" s="7" t="s">
        <v>6295</v>
      </c>
      <c r="F6271" s="7" t="s">
        <v>6939</v>
      </c>
      <c r="G6271" s="7" t="s">
        <v>7150</v>
      </c>
      <c r="H6271" s="7" t="s">
        <v>7156</v>
      </c>
      <c r="I6271" s="7"/>
      <c r="J6271" s="10">
        <v>43879</v>
      </c>
      <c r="K6271" s="7" t="s">
        <v>7165</v>
      </c>
      <c r="L6271" s="7"/>
      <c r="M6271" s="7"/>
    </row>
    <row r="6272" spans="1:13" x14ac:dyDescent="0.3">
      <c r="A6272" s="7">
        <v>18323</v>
      </c>
      <c r="B6272" s="7" t="s">
        <v>6278</v>
      </c>
      <c r="C6272" s="7" t="s">
        <v>7148</v>
      </c>
      <c r="D6272" s="7" t="s">
        <v>6295</v>
      </c>
      <c r="E6272" s="7" t="s">
        <v>6940</v>
      </c>
      <c r="F6272" s="7" t="s">
        <v>7035</v>
      </c>
      <c r="G6272" s="7" t="s">
        <v>7150</v>
      </c>
      <c r="H6272" s="7" t="s">
        <v>7156</v>
      </c>
      <c r="I6272" s="7"/>
      <c r="J6272" s="10">
        <v>46087</v>
      </c>
      <c r="K6272" s="7" t="s">
        <v>7165</v>
      </c>
      <c r="L6272" s="7"/>
      <c r="M6272" s="7"/>
    </row>
    <row r="6273" spans="1:13" x14ac:dyDescent="0.3">
      <c r="A6273" s="7">
        <v>17301</v>
      </c>
      <c r="B6273" s="7" t="s">
        <v>6279</v>
      </c>
      <c r="C6273" s="7" t="s">
        <v>7148</v>
      </c>
      <c r="D6273" s="7" t="s">
        <v>6295</v>
      </c>
      <c r="E6273" s="7" t="s">
        <v>6940</v>
      </c>
      <c r="F6273" s="7" t="s">
        <v>6949</v>
      </c>
      <c r="G6273" s="7" t="s">
        <v>7150</v>
      </c>
      <c r="H6273" s="7" t="s">
        <v>7156</v>
      </c>
      <c r="I6273" s="7"/>
      <c r="J6273" s="10">
        <v>45699</v>
      </c>
      <c r="K6273" s="7" t="s">
        <v>7165</v>
      </c>
      <c r="L6273" s="7"/>
      <c r="M6273" s="7"/>
    </row>
    <row r="6274" spans="1:13" x14ac:dyDescent="0.3">
      <c r="A6274" s="7">
        <v>330027</v>
      </c>
      <c r="B6274" s="7" t="s">
        <v>6280</v>
      </c>
      <c r="C6274" s="7" t="s">
        <v>7148</v>
      </c>
      <c r="D6274" s="7" t="s">
        <v>6295</v>
      </c>
      <c r="E6274" s="7" t="s">
        <v>6940</v>
      </c>
      <c r="F6274" s="7" t="s">
        <v>6980</v>
      </c>
      <c r="G6274" s="7" t="s">
        <v>7150</v>
      </c>
      <c r="H6274" s="7" t="s">
        <v>7156</v>
      </c>
      <c r="I6274" s="7"/>
      <c r="J6274" s="10">
        <v>43696</v>
      </c>
      <c r="K6274" s="7" t="s">
        <v>7165</v>
      </c>
      <c r="L6274" s="7"/>
      <c r="M6274" s="7"/>
    </row>
    <row r="6275" spans="1:13" x14ac:dyDescent="0.3">
      <c r="A6275" s="7">
        <v>15966</v>
      </c>
      <c r="B6275" s="7" t="s">
        <v>6281</v>
      </c>
      <c r="C6275" s="7" t="s">
        <v>7148</v>
      </c>
      <c r="D6275" s="7" t="s">
        <v>6295</v>
      </c>
      <c r="E6275" s="7" t="s">
        <v>6940</v>
      </c>
      <c r="F6275" s="7" t="s">
        <v>6949</v>
      </c>
      <c r="G6275" s="7" t="s">
        <v>7150</v>
      </c>
      <c r="H6275" s="7" t="s">
        <v>7156</v>
      </c>
      <c r="I6275" s="7"/>
      <c r="J6275" s="10">
        <v>45252</v>
      </c>
      <c r="K6275" s="7" t="s">
        <v>7165</v>
      </c>
      <c r="L6275" s="7"/>
      <c r="M6275" s="7"/>
    </row>
    <row r="6276" spans="1:13" x14ac:dyDescent="0.3">
      <c r="A6276" s="7">
        <v>14821</v>
      </c>
      <c r="B6276" s="7" t="s">
        <v>6282</v>
      </c>
      <c r="C6276" s="7" t="s">
        <v>7148</v>
      </c>
      <c r="D6276" s="7" t="s">
        <v>6295</v>
      </c>
      <c r="E6276" s="7" t="s">
        <v>6951</v>
      </c>
      <c r="F6276" s="7" t="s">
        <v>6398</v>
      </c>
      <c r="G6276" s="7" t="s">
        <v>7150</v>
      </c>
      <c r="H6276" s="7" t="s">
        <v>7156</v>
      </c>
      <c r="I6276" s="7"/>
      <c r="J6276" s="10">
        <v>44866</v>
      </c>
      <c r="K6276" s="7" t="s">
        <v>7165</v>
      </c>
      <c r="L6276" s="7"/>
      <c r="M6276" s="7"/>
    </row>
    <row r="6277" spans="1:13" x14ac:dyDescent="0.3">
      <c r="A6277" s="7">
        <v>850089</v>
      </c>
      <c r="B6277" s="7" t="s">
        <v>6283</v>
      </c>
      <c r="C6277" s="7" t="s">
        <v>7149</v>
      </c>
      <c r="D6277" s="7" t="s">
        <v>6295</v>
      </c>
      <c r="E6277" s="7" t="s">
        <v>6295</v>
      </c>
      <c r="F6277" s="7" t="s">
        <v>6939</v>
      </c>
      <c r="G6277" s="7" t="s">
        <v>7150</v>
      </c>
      <c r="H6277" s="7" t="s">
        <v>7156</v>
      </c>
      <c r="I6277" s="7"/>
      <c r="J6277" s="10">
        <v>43755</v>
      </c>
      <c r="K6277" s="7" t="s">
        <v>7165</v>
      </c>
      <c r="L6277" s="7"/>
      <c r="M6277" s="7"/>
    </row>
    <row r="6278" spans="1:13" x14ac:dyDescent="0.3">
      <c r="A6278" s="7">
        <v>15896</v>
      </c>
      <c r="B6278" s="7" t="s">
        <v>6284</v>
      </c>
      <c r="C6278" s="7" t="s">
        <v>7149</v>
      </c>
      <c r="D6278" s="7" t="s">
        <v>6295</v>
      </c>
      <c r="E6278" s="7" t="s">
        <v>6940</v>
      </c>
      <c r="F6278" s="7" t="s">
        <v>6943</v>
      </c>
      <c r="G6278" s="7" t="s">
        <v>7152</v>
      </c>
      <c r="H6278" s="7" t="s">
        <v>7156</v>
      </c>
      <c r="I6278" s="7"/>
      <c r="J6278" s="10">
        <v>45233</v>
      </c>
      <c r="K6278" s="7" t="s">
        <v>7165</v>
      </c>
      <c r="L6278" s="7"/>
      <c r="M6278" s="7"/>
    </row>
    <row r="6279" spans="1:13" x14ac:dyDescent="0.3">
      <c r="A6279" s="7">
        <v>17674</v>
      </c>
      <c r="B6279" s="7" t="s">
        <v>6285</v>
      </c>
      <c r="C6279" s="7" t="s">
        <v>7149</v>
      </c>
      <c r="D6279" s="7" t="s">
        <v>6295</v>
      </c>
      <c r="E6279" s="7" t="s">
        <v>6940</v>
      </c>
      <c r="F6279" s="7" t="s">
        <v>6949</v>
      </c>
      <c r="G6279" s="7" t="s">
        <v>7150</v>
      </c>
      <c r="H6279" s="7" t="s">
        <v>7156</v>
      </c>
      <c r="I6279" s="7"/>
      <c r="J6279" s="10">
        <v>45841</v>
      </c>
      <c r="K6279" s="7" t="s">
        <v>7165</v>
      </c>
      <c r="L6279" s="7"/>
      <c r="M6279" s="7"/>
    </row>
    <row r="6280" spans="1:13" x14ac:dyDescent="0.3">
      <c r="A6280" s="7">
        <v>16985</v>
      </c>
      <c r="B6280" s="7" t="s">
        <v>6286</v>
      </c>
      <c r="C6280" s="7" t="s">
        <v>7149</v>
      </c>
      <c r="D6280" s="7" t="s">
        <v>6295</v>
      </c>
      <c r="E6280" s="7" t="s">
        <v>6940</v>
      </c>
      <c r="F6280" s="7" t="s">
        <v>6979</v>
      </c>
      <c r="G6280" s="7" t="s">
        <v>7150</v>
      </c>
      <c r="H6280" s="7" t="s">
        <v>7156</v>
      </c>
      <c r="I6280" s="7"/>
      <c r="J6280" s="10">
        <v>45588</v>
      </c>
      <c r="K6280" s="7" t="s">
        <v>7165</v>
      </c>
      <c r="L6280" s="7"/>
      <c r="M6280" s="7"/>
    </row>
    <row r="6281" spans="1:13" x14ac:dyDescent="0.3">
      <c r="A6281" s="7">
        <v>360025</v>
      </c>
      <c r="B6281" s="7" t="s">
        <v>6287</v>
      </c>
      <c r="C6281" s="7" t="s">
        <v>7149</v>
      </c>
      <c r="D6281" s="7" t="s">
        <v>6295</v>
      </c>
      <c r="E6281" s="7" t="s">
        <v>6940</v>
      </c>
      <c r="F6281" s="7" t="s">
        <v>6980</v>
      </c>
      <c r="G6281" s="7" t="s">
        <v>7150</v>
      </c>
      <c r="H6281" s="7" t="s">
        <v>7156</v>
      </c>
      <c r="I6281" s="7"/>
      <c r="J6281" s="10">
        <v>43678</v>
      </c>
      <c r="K6281" s="7" t="s">
        <v>7165</v>
      </c>
      <c r="L6281" s="7"/>
      <c r="M6281" s="7"/>
    </row>
    <row r="6282" spans="1:13" x14ac:dyDescent="0.3">
      <c r="A6282" s="7">
        <v>18228</v>
      </c>
      <c r="B6282" s="7" t="s">
        <v>6288</v>
      </c>
      <c r="C6282" s="7" t="s">
        <v>7149</v>
      </c>
      <c r="D6282" s="7" t="s">
        <v>6295</v>
      </c>
      <c r="E6282" s="7" t="s">
        <v>6940</v>
      </c>
      <c r="F6282" s="7" t="s">
        <v>6989</v>
      </c>
      <c r="G6282" s="7" t="s">
        <v>7150</v>
      </c>
      <c r="H6282" s="7" t="s">
        <v>7156</v>
      </c>
      <c r="I6282" s="7"/>
      <c r="J6282" s="10">
        <v>46064</v>
      </c>
      <c r="K6282" s="7" t="s">
        <v>7165</v>
      </c>
      <c r="L6282" s="7"/>
      <c r="M6282" s="7"/>
    </row>
    <row r="6283" spans="1:13" x14ac:dyDescent="0.3">
      <c r="A6283" s="7">
        <v>360026</v>
      </c>
      <c r="B6283" s="7" t="s">
        <v>6289</v>
      </c>
      <c r="C6283" s="7" t="s">
        <v>7149</v>
      </c>
      <c r="D6283" s="7" t="s">
        <v>6295</v>
      </c>
      <c r="E6283" s="7" t="s">
        <v>6940</v>
      </c>
      <c r="F6283" s="7" t="s">
        <v>6980</v>
      </c>
      <c r="G6283" s="7" t="s">
        <v>7150</v>
      </c>
      <c r="H6283" s="7" t="s">
        <v>7156</v>
      </c>
      <c r="I6283" s="7"/>
      <c r="J6283" s="10">
        <v>43678</v>
      </c>
      <c r="K6283" s="7" t="s">
        <v>7165</v>
      </c>
      <c r="L6283" s="7"/>
      <c r="M6283" s="7"/>
    </row>
    <row r="6284" spans="1:13" x14ac:dyDescent="0.3">
      <c r="A6284" s="7">
        <v>360034</v>
      </c>
      <c r="B6284" s="7" t="s">
        <v>6290</v>
      </c>
      <c r="C6284" s="7" t="s">
        <v>7149</v>
      </c>
      <c r="D6284" s="7" t="s">
        <v>6295</v>
      </c>
      <c r="E6284" s="7" t="s">
        <v>6940</v>
      </c>
      <c r="F6284" s="7" t="s">
        <v>6980</v>
      </c>
      <c r="G6284" s="7" t="s">
        <v>7150</v>
      </c>
      <c r="H6284" s="7" t="s">
        <v>7156</v>
      </c>
      <c r="I6284" s="7"/>
      <c r="J6284" s="10">
        <v>43808</v>
      </c>
      <c r="K6284" s="7" t="s">
        <v>7165</v>
      </c>
      <c r="L6284" s="7"/>
      <c r="M6284" s="7"/>
    </row>
    <row r="6285" spans="1:13" x14ac:dyDescent="0.3">
      <c r="A6285" s="7">
        <v>360038</v>
      </c>
      <c r="B6285" s="7" t="s">
        <v>6291</v>
      </c>
      <c r="C6285" s="7" t="s">
        <v>7149</v>
      </c>
      <c r="D6285" s="7" t="s">
        <v>6295</v>
      </c>
      <c r="E6285" s="7" t="s">
        <v>6940</v>
      </c>
      <c r="F6285" s="7" t="s">
        <v>6986</v>
      </c>
      <c r="G6285" s="7" t="s">
        <v>7150</v>
      </c>
      <c r="H6285" s="7" t="s">
        <v>7156</v>
      </c>
      <c r="I6285" s="7"/>
      <c r="J6285" s="10">
        <v>44551</v>
      </c>
      <c r="K6285" s="7" t="s">
        <v>7165</v>
      </c>
      <c r="L6285" s="7"/>
      <c r="M6285" s="7"/>
    </row>
    <row r="6286" spans="1:13" x14ac:dyDescent="0.3">
      <c r="A6286" s="7">
        <v>15971</v>
      </c>
      <c r="B6286" s="7" t="s">
        <v>6292</v>
      </c>
      <c r="C6286" s="7" t="s">
        <v>7149</v>
      </c>
      <c r="D6286" s="7" t="s">
        <v>6295</v>
      </c>
      <c r="E6286" s="7" t="s">
        <v>6940</v>
      </c>
      <c r="F6286" s="7" t="s">
        <v>6987</v>
      </c>
      <c r="G6286" s="7" t="s">
        <v>7150</v>
      </c>
      <c r="H6286" s="7" t="s">
        <v>7156</v>
      </c>
      <c r="I6286" s="7"/>
      <c r="J6286" s="10">
        <v>45253</v>
      </c>
      <c r="K6286" s="7" t="s">
        <v>7165</v>
      </c>
      <c r="L6286" s="7"/>
      <c r="M6286" s="7"/>
    </row>
    <row r="6287" spans="1:13" x14ac:dyDescent="0.3">
      <c r="A6287" s="7">
        <v>360035</v>
      </c>
      <c r="B6287" s="7" t="s">
        <v>6293</v>
      </c>
      <c r="C6287" s="7" t="s">
        <v>7149</v>
      </c>
      <c r="D6287" s="7" t="s">
        <v>6295</v>
      </c>
      <c r="E6287" s="7" t="s">
        <v>6951</v>
      </c>
      <c r="F6287" s="7" t="s">
        <v>6398</v>
      </c>
      <c r="G6287" s="7" t="s">
        <v>7150</v>
      </c>
      <c r="H6287" s="7" t="s">
        <v>7156</v>
      </c>
      <c r="I6287" s="7"/>
      <c r="J6287" s="10">
        <v>43819</v>
      </c>
      <c r="K6287" s="7" t="s">
        <v>7165</v>
      </c>
      <c r="L6287" s="7"/>
      <c r="M6287" s="7"/>
    </row>
    <row r="6288" spans="1:13" x14ac:dyDescent="0.3">
      <c r="A6288" s="7">
        <v>18261</v>
      </c>
      <c r="B6288" s="7" t="s">
        <v>7166</v>
      </c>
      <c r="C6288" s="7" t="s">
        <v>6533</v>
      </c>
      <c r="D6288" s="7" t="s">
        <v>6563</v>
      </c>
      <c r="E6288" s="7" t="s">
        <v>6295</v>
      </c>
      <c r="F6288" s="7" t="s">
        <v>6586</v>
      </c>
      <c r="G6288" s="7" t="s">
        <v>7197</v>
      </c>
      <c r="H6288" s="7" t="s">
        <v>7156</v>
      </c>
      <c r="I6288" s="7" t="s">
        <v>7159</v>
      </c>
      <c r="J6288" s="10">
        <v>46069</v>
      </c>
      <c r="K6288" s="7" t="s">
        <v>7163</v>
      </c>
      <c r="L6288" s="10">
        <v>46073</v>
      </c>
      <c r="M6288" s="7" t="s">
        <v>7240</v>
      </c>
    </row>
    <row r="6289" spans="1:12" x14ac:dyDescent="0.3">
      <c r="A6289">
        <v>18452</v>
      </c>
      <c r="B6289" t="s">
        <v>7167</v>
      </c>
      <c r="C6289" t="s">
        <v>6525</v>
      </c>
      <c r="D6289" t="s">
        <v>6838</v>
      </c>
      <c r="E6289" t="s">
        <v>6295</v>
      </c>
      <c r="F6289" t="s">
        <v>6348</v>
      </c>
      <c r="G6289" t="s">
        <v>7197</v>
      </c>
      <c r="H6289" t="s">
        <v>7156</v>
      </c>
      <c r="I6289" t="s">
        <v>7159</v>
      </c>
      <c r="J6289" s="1">
        <v>46126</v>
      </c>
      <c r="K6289" t="s">
        <v>7163</v>
      </c>
      <c r="L6289" s="1">
        <v>46147</v>
      </c>
    </row>
    <row r="6290" spans="1:12" x14ac:dyDescent="0.3">
      <c r="A6290">
        <v>18442</v>
      </c>
      <c r="B6290" t="s">
        <v>7168</v>
      </c>
      <c r="C6290" t="s">
        <v>6525</v>
      </c>
      <c r="D6290" t="s">
        <v>6526</v>
      </c>
      <c r="E6290" t="s">
        <v>6841</v>
      </c>
      <c r="F6290" t="s">
        <v>6498</v>
      </c>
      <c r="G6290" t="s">
        <v>7197</v>
      </c>
      <c r="H6290" t="s">
        <v>7156</v>
      </c>
      <c r="I6290" t="s">
        <v>7159</v>
      </c>
      <c r="J6290" s="1">
        <v>46126</v>
      </c>
      <c r="K6290" t="s">
        <v>7163</v>
      </c>
      <c r="L6290" s="1">
        <v>46161</v>
      </c>
    </row>
    <row r="6291" spans="1:12" x14ac:dyDescent="0.3">
      <c r="A6291">
        <v>18463</v>
      </c>
      <c r="B6291" t="s">
        <v>7169</v>
      </c>
      <c r="C6291" t="s">
        <v>6525</v>
      </c>
      <c r="D6291" t="s">
        <v>6839</v>
      </c>
      <c r="E6291" t="s">
        <v>6295</v>
      </c>
      <c r="F6291" t="s">
        <v>6341</v>
      </c>
      <c r="G6291" t="s">
        <v>7197</v>
      </c>
      <c r="H6291" t="s">
        <v>7156</v>
      </c>
      <c r="I6291" t="s">
        <v>7159</v>
      </c>
      <c r="J6291" s="1">
        <v>46127</v>
      </c>
      <c r="K6291" t="s">
        <v>7163</v>
      </c>
      <c r="L6291" s="1">
        <v>46174</v>
      </c>
    </row>
    <row r="6292" spans="1:12" x14ac:dyDescent="0.3">
      <c r="A6292">
        <v>18373</v>
      </c>
      <c r="B6292" t="s">
        <v>7170</v>
      </c>
      <c r="C6292" t="s">
        <v>6396</v>
      </c>
      <c r="D6292" t="s">
        <v>6405</v>
      </c>
      <c r="E6292" t="s">
        <v>6295</v>
      </c>
      <c r="F6292" t="s">
        <v>6340</v>
      </c>
      <c r="G6292" t="s">
        <v>7197</v>
      </c>
      <c r="H6292" t="s">
        <v>7156</v>
      </c>
      <c r="I6292" t="s">
        <v>7159</v>
      </c>
      <c r="J6292" s="1">
        <v>46126</v>
      </c>
      <c r="K6292" t="s">
        <v>7163</v>
      </c>
      <c r="L6292" s="1">
        <v>46198</v>
      </c>
    </row>
    <row r="6293" spans="1:12" x14ac:dyDescent="0.3">
      <c r="A6293">
        <v>18345</v>
      </c>
      <c r="B6293" t="s">
        <v>7171</v>
      </c>
      <c r="C6293" t="s">
        <v>6396</v>
      </c>
      <c r="D6293" t="s">
        <v>6405</v>
      </c>
      <c r="E6293" t="s">
        <v>6295</v>
      </c>
      <c r="F6293" t="s">
        <v>6353</v>
      </c>
      <c r="G6293" t="s">
        <v>7197</v>
      </c>
      <c r="H6293" t="s">
        <v>7156</v>
      </c>
      <c r="I6293" t="s">
        <v>7159</v>
      </c>
      <c r="J6293" s="1">
        <v>46094</v>
      </c>
      <c r="K6293" t="s">
        <v>7163</v>
      </c>
      <c r="L6293" s="1">
        <v>46198</v>
      </c>
    </row>
    <row r="6294" spans="1:12" x14ac:dyDescent="0.3">
      <c r="A6294">
        <v>18289</v>
      </c>
      <c r="B6294" t="s">
        <v>7172</v>
      </c>
      <c r="C6294" t="s">
        <v>6349</v>
      </c>
      <c r="D6294" t="s">
        <v>6415</v>
      </c>
      <c r="E6294" t="s">
        <v>6295</v>
      </c>
      <c r="F6294" t="s">
        <v>6353</v>
      </c>
      <c r="G6294" t="s">
        <v>7197</v>
      </c>
      <c r="H6294" t="s">
        <v>7156</v>
      </c>
      <c r="I6294" t="s">
        <v>7159</v>
      </c>
      <c r="J6294" s="1">
        <v>46072</v>
      </c>
      <c r="K6294" t="s">
        <v>7163</v>
      </c>
      <c r="L6294" s="1">
        <v>46198</v>
      </c>
    </row>
    <row r="6295" spans="1:12" x14ac:dyDescent="0.3">
      <c r="A6295">
        <v>18433</v>
      </c>
      <c r="B6295" t="s">
        <v>7173</v>
      </c>
      <c r="C6295" t="s">
        <v>6295</v>
      </c>
      <c r="D6295" t="s">
        <v>6337</v>
      </c>
      <c r="E6295" t="s">
        <v>6344</v>
      </c>
      <c r="F6295" t="s">
        <v>6345</v>
      </c>
      <c r="G6295" t="s">
        <v>7197</v>
      </c>
      <c r="H6295" t="s">
        <v>7156</v>
      </c>
      <c r="I6295" t="s">
        <v>7158</v>
      </c>
      <c r="J6295" s="1">
        <v>46125</v>
      </c>
      <c r="K6295" t="s">
        <v>7163</v>
      </c>
      <c r="L6295" s="1">
        <v>46209</v>
      </c>
    </row>
    <row r="6296" spans="1:12" x14ac:dyDescent="0.3">
      <c r="A6296">
        <v>18286</v>
      </c>
      <c r="B6296" t="s">
        <v>7174</v>
      </c>
      <c r="C6296" t="s">
        <v>6396</v>
      </c>
      <c r="D6296" t="s">
        <v>6405</v>
      </c>
      <c r="E6296" t="s">
        <v>6295</v>
      </c>
      <c r="F6296" t="s">
        <v>6353</v>
      </c>
      <c r="G6296" t="s">
        <v>7197</v>
      </c>
      <c r="H6296" t="s">
        <v>7156</v>
      </c>
      <c r="I6296" t="s">
        <v>7159</v>
      </c>
      <c r="J6296" s="1">
        <v>46072</v>
      </c>
      <c r="K6296" t="s">
        <v>7163</v>
      </c>
      <c r="L6296" s="1">
        <v>46213</v>
      </c>
    </row>
    <row r="6297" spans="1:12" x14ac:dyDescent="0.3">
      <c r="A6297">
        <v>18460</v>
      </c>
      <c r="B6297" t="s">
        <v>7175</v>
      </c>
      <c r="C6297" t="s">
        <v>6525</v>
      </c>
      <c r="D6297" t="s">
        <v>6839</v>
      </c>
      <c r="E6297" t="s">
        <v>6295</v>
      </c>
      <c r="F6297" t="s">
        <v>6607</v>
      </c>
      <c r="G6297" t="s">
        <v>7197</v>
      </c>
      <c r="H6297" t="s">
        <v>7156</v>
      </c>
      <c r="I6297" t="s">
        <v>7159</v>
      </c>
      <c r="J6297" s="1">
        <v>46126</v>
      </c>
      <c r="K6297" t="s">
        <v>7163</v>
      </c>
      <c r="L6297" s="1">
        <v>46217</v>
      </c>
    </row>
    <row r="6298" spans="1:12" x14ac:dyDescent="0.3">
      <c r="A6298">
        <v>18275</v>
      </c>
      <c r="B6298" t="s">
        <v>7176</v>
      </c>
      <c r="C6298" t="s">
        <v>6396</v>
      </c>
      <c r="D6298" t="s">
        <v>6405</v>
      </c>
      <c r="E6298" t="s">
        <v>6295</v>
      </c>
      <c r="F6298" t="s">
        <v>6341</v>
      </c>
      <c r="G6298" t="s">
        <v>7197</v>
      </c>
      <c r="H6298" t="s">
        <v>7156</v>
      </c>
      <c r="I6298" t="s">
        <v>7158</v>
      </c>
      <c r="J6298" s="1">
        <v>46071</v>
      </c>
      <c r="K6298" t="s">
        <v>7163</v>
      </c>
      <c r="L6298" s="1">
        <v>46226</v>
      </c>
    </row>
    <row r="6299" spans="1:12" x14ac:dyDescent="0.3">
      <c r="A6299">
        <v>18385</v>
      </c>
      <c r="B6299" t="s">
        <v>7177</v>
      </c>
      <c r="C6299" t="s">
        <v>6371</v>
      </c>
      <c r="D6299" t="s">
        <v>6378</v>
      </c>
      <c r="E6299" t="s">
        <v>6295</v>
      </c>
      <c r="F6299" t="s">
        <v>6338</v>
      </c>
      <c r="G6299" t="s">
        <v>7197</v>
      </c>
      <c r="H6299" t="s">
        <v>7156</v>
      </c>
      <c r="I6299" t="s">
        <v>7158</v>
      </c>
      <c r="J6299" s="1">
        <v>46113</v>
      </c>
      <c r="K6299" t="s">
        <v>7163</v>
      </c>
      <c r="L6299" s="1">
        <v>46241</v>
      </c>
    </row>
    <row r="6300" spans="1:12" x14ac:dyDescent="0.3">
      <c r="A6300">
        <v>18601</v>
      </c>
      <c r="B6300" t="s">
        <v>7178</v>
      </c>
      <c r="C6300" t="s">
        <v>6421</v>
      </c>
      <c r="D6300" t="s">
        <v>6424</v>
      </c>
      <c r="E6300" t="s">
        <v>6295</v>
      </c>
      <c r="F6300" t="s">
        <v>6341</v>
      </c>
      <c r="G6300" t="s">
        <v>7197</v>
      </c>
      <c r="H6300" t="s">
        <v>7156</v>
      </c>
      <c r="I6300" t="s">
        <v>7158</v>
      </c>
      <c r="J6300" s="1">
        <v>46160</v>
      </c>
      <c r="K6300" t="s">
        <v>7163</v>
      </c>
      <c r="L6300" s="1">
        <v>46241</v>
      </c>
    </row>
    <row r="6301" spans="1:12" x14ac:dyDescent="0.3">
      <c r="A6301">
        <v>18832</v>
      </c>
      <c r="B6301" t="s">
        <v>7179</v>
      </c>
      <c r="C6301" t="s">
        <v>6783</v>
      </c>
      <c r="D6301" t="s">
        <v>6787</v>
      </c>
      <c r="E6301" t="s">
        <v>6295</v>
      </c>
      <c r="F6301" t="s">
        <v>6785</v>
      </c>
      <c r="G6301" t="s">
        <v>7197</v>
      </c>
      <c r="H6301" t="s">
        <v>7156</v>
      </c>
      <c r="I6301" t="s">
        <v>7159</v>
      </c>
      <c r="J6301" s="1">
        <v>46217</v>
      </c>
      <c r="K6301" t="s">
        <v>7164</v>
      </c>
      <c r="L6301" s="1">
        <v>46248</v>
      </c>
    </row>
    <row r="6302" spans="1:12" x14ac:dyDescent="0.3">
      <c r="A6302">
        <v>18690</v>
      </c>
      <c r="B6302" t="s">
        <v>7180</v>
      </c>
      <c r="C6302" t="s">
        <v>6529</v>
      </c>
      <c r="D6302" t="s">
        <v>6549</v>
      </c>
      <c r="E6302" t="s">
        <v>6295</v>
      </c>
      <c r="F6302" t="s">
        <v>6353</v>
      </c>
      <c r="G6302" t="s">
        <v>7197</v>
      </c>
      <c r="H6302" t="s">
        <v>7156</v>
      </c>
      <c r="I6302" t="s">
        <v>7159</v>
      </c>
      <c r="J6302" s="1">
        <v>46185</v>
      </c>
      <c r="K6302" t="s">
        <v>7163</v>
      </c>
      <c r="L6302" s="1">
        <v>46251</v>
      </c>
    </row>
    <row r="6303" spans="1:12" x14ac:dyDescent="0.3">
      <c r="A6303">
        <v>18374</v>
      </c>
      <c r="B6303" t="s">
        <v>7181</v>
      </c>
      <c r="C6303" t="s">
        <v>6396</v>
      </c>
      <c r="D6303" t="s">
        <v>6397</v>
      </c>
      <c r="E6303" t="s">
        <v>6295</v>
      </c>
      <c r="F6303" t="s">
        <v>6348</v>
      </c>
      <c r="G6303" t="s">
        <v>7197</v>
      </c>
      <c r="H6303" t="s">
        <v>7156</v>
      </c>
      <c r="I6303" t="s">
        <v>7159</v>
      </c>
      <c r="J6303" s="1">
        <v>46113</v>
      </c>
      <c r="K6303" t="s">
        <v>7163</v>
      </c>
      <c r="L6303" s="1">
        <v>46252</v>
      </c>
    </row>
    <row r="6304" spans="1:12" x14ac:dyDescent="0.3">
      <c r="A6304">
        <v>18515</v>
      </c>
      <c r="B6304" t="s">
        <v>7182</v>
      </c>
      <c r="C6304" t="s">
        <v>6477</v>
      </c>
      <c r="D6304" t="s">
        <v>6481</v>
      </c>
      <c r="E6304" t="s">
        <v>6295</v>
      </c>
      <c r="F6304" t="s">
        <v>7195</v>
      </c>
      <c r="G6304" t="s">
        <v>7197</v>
      </c>
      <c r="H6304" t="s">
        <v>7156</v>
      </c>
      <c r="I6304" t="s">
        <v>7160</v>
      </c>
      <c r="J6304" s="1">
        <v>46143</v>
      </c>
      <c r="K6304" t="s">
        <v>7163</v>
      </c>
      <c r="L6304" s="1">
        <v>46254</v>
      </c>
    </row>
    <row r="6305" spans="1:12" x14ac:dyDescent="0.3">
      <c r="A6305">
        <v>18530</v>
      </c>
      <c r="B6305" t="s">
        <v>7183</v>
      </c>
      <c r="C6305" t="s">
        <v>6543</v>
      </c>
      <c r="D6305" t="s">
        <v>6546</v>
      </c>
      <c r="E6305" t="s">
        <v>6295</v>
      </c>
      <c r="F6305" t="s">
        <v>6571</v>
      </c>
      <c r="G6305" t="s">
        <v>7197</v>
      </c>
      <c r="H6305" t="s">
        <v>7156</v>
      </c>
      <c r="I6305" t="s">
        <v>7159</v>
      </c>
      <c r="J6305" s="1">
        <v>46146</v>
      </c>
      <c r="K6305" t="s">
        <v>7163</v>
      </c>
      <c r="L6305" s="1">
        <v>46255</v>
      </c>
    </row>
    <row r="6306" spans="1:12" x14ac:dyDescent="0.3">
      <c r="A6306">
        <v>18239</v>
      </c>
      <c r="B6306" t="s">
        <v>7184</v>
      </c>
      <c r="C6306" t="s">
        <v>6349</v>
      </c>
      <c r="D6306" t="s">
        <v>6350</v>
      </c>
      <c r="E6306" t="s">
        <v>6352</v>
      </c>
      <c r="F6306" t="s">
        <v>6341</v>
      </c>
      <c r="G6306" t="s">
        <v>7197</v>
      </c>
      <c r="H6306" t="s">
        <v>7156</v>
      </c>
      <c r="I6306" t="s">
        <v>7160</v>
      </c>
      <c r="J6306" s="1">
        <v>46064</v>
      </c>
      <c r="K6306" t="s">
        <v>7163</v>
      </c>
      <c r="L6306" s="1">
        <v>46258</v>
      </c>
    </row>
    <row r="6307" spans="1:12" x14ac:dyDescent="0.3">
      <c r="A6307">
        <v>19095</v>
      </c>
      <c r="B6307" t="s">
        <v>1432</v>
      </c>
      <c r="C6307" t="s">
        <v>6543</v>
      </c>
      <c r="D6307" t="s">
        <v>6545</v>
      </c>
      <c r="E6307" t="s">
        <v>6295</v>
      </c>
      <c r="F6307" t="s">
        <v>6566</v>
      </c>
      <c r="G6307" t="s">
        <v>7197</v>
      </c>
      <c r="H6307" t="s">
        <v>7156</v>
      </c>
      <c r="I6307" t="s">
        <v>7159</v>
      </c>
      <c r="J6307" s="1">
        <v>46251</v>
      </c>
      <c r="K6307" t="s">
        <v>7163</v>
      </c>
      <c r="L6307" s="1">
        <v>46262</v>
      </c>
    </row>
    <row r="6308" spans="1:12" x14ac:dyDescent="0.3">
      <c r="A6308">
        <v>18514</v>
      </c>
      <c r="B6308" t="s">
        <v>7185</v>
      </c>
      <c r="C6308" t="s">
        <v>6477</v>
      </c>
      <c r="D6308" t="s">
        <v>6478</v>
      </c>
      <c r="E6308" t="s">
        <v>6295</v>
      </c>
      <c r="F6308" t="s">
        <v>7196</v>
      </c>
      <c r="G6308" t="s">
        <v>7197</v>
      </c>
      <c r="H6308" t="s">
        <v>7156</v>
      </c>
      <c r="I6308" t="s">
        <v>7160</v>
      </c>
      <c r="J6308" s="1">
        <v>46143</v>
      </c>
      <c r="K6308" t="s">
        <v>7163</v>
      </c>
      <c r="L6308" s="1">
        <v>46265</v>
      </c>
    </row>
    <row r="6309" spans="1:12" x14ac:dyDescent="0.3">
      <c r="A6309">
        <v>18479</v>
      </c>
      <c r="B6309" t="s">
        <v>7186</v>
      </c>
      <c r="C6309" t="s">
        <v>6543</v>
      </c>
      <c r="D6309" t="s">
        <v>6546</v>
      </c>
      <c r="E6309" t="s">
        <v>6295</v>
      </c>
      <c r="F6309" t="s">
        <v>6572</v>
      </c>
      <c r="G6309" t="s">
        <v>7197</v>
      </c>
      <c r="H6309" t="s">
        <v>7156</v>
      </c>
      <c r="I6309" t="s">
        <v>7159</v>
      </c>
      <c r="J6309" s="1">
        <v>46132</v>
      </c>
      <c r="K6309" t="s">
        <v>7163</v>
      </c>
      <c r="L6309" s="1">
        <v>46268</v>
      </c>
    </row>
    <row r="6310" spans="1:12" x14ac:dyDescent="0.3">
      <c r="A6310">
        <v>18434</v>
      </c>
      <c r="B6310" t="s">
        <v>7187</v>
      </c>
      <c r="C6310" t="s">
        <v>6295</v>
      </c>
      <c r="D6310" t="s">
        <v>6337</v>
      </c>
      <c r="E6310" t="s">
        <v>6344</v>
      </c>
      <c r="F6310" t="s">
        <v>6345</v>
      </c>
      <c r="G6310" t="s">
        <v>7197</v>
      </c>
      <c r="H6310" t="s">
        <v>7156</v>
      </c>
      <c r="I6310" t="s">
        <v>7159</v>
      </c>
      <c r="J6310" s="1">
        <v>46125</v>
      </c>
      <c r="K6310" t="s">
        <v>7163</v>
      </c>
      <c r="L6310" s="1">
        <v>46272</v>
      </c>
    </row>
    <row r="6311" spans="1:12" x14ac:dyDescent="0.3">
      <c r="A6311">
        <v>19050</v>
      </c>
      <c r="B6311" t="s">
        <v>7188</v>
      </c>
      <c r="C6311" t="s">
        <v>6543</v>
      </c>
      <c r="D6311" t="s">
        <v>6546</v>
      </c>
      <c r="E6311" t="s">
        <v>6295</v>
      </c>
      <c r="F6311" t="s">
        <v>6585</v>
      </c>
      <c r="G6311" t="s">
        <v>7197</v>
      </c>
      <c r="H6311" t="s">
        <v>7156</v>
      </c>
      <c r="I6311" t="s">
        <v>7159</v>
      </c>
      <c r="J6311" s="1">
        <v>46259</v>
      </c>
      <c r="K6311" t="s">
        <v>7163</v>
      </c>
      <c r="L6311" s="1">
        <v>46273</v>
      </c>
    </row>
    <row r="6312" spans="1:12" x14ac:dyDescent="0.3">
      <c r="A6312">
        <v>19039</v>
      </c>
      <c r="B6312" t="s">
        <v>7189</v>
      </c>
      <c r="C6312" t="s">
        <v>6543</v>
      </c>
      <c r="D6312" t="s">
        <v>6546</v>
      </c>
      <c r="E6312" t="s">
        <v>6295</v>
      </c>
      <c r="F6312" t="s">
        <v>6558</v>
      </c>
      <c r="G6312" t="s">
        <v>7197</v>
      </c>
      <c r="H6312" t="s">
        <v>7156</v>
      </c>
      <c r="I6312" t="s">
        <v>7159</v>
      </c>
      <c r="J6312" s="1">
        <v>46259</v>
      </c>
      <c r="K6312" t="s">
        <v>7163</v>
      </c>
      <c r="L6312" s="1">
        <v>46276</v>
      </c>
    </row>
    <row r="6313" spans="1:12" x14ac:dyDescent="0.3">
      <c r="A6313">
        <v>18480</v>
      </c>
      <c r="B6313" t="s">
        <v>7190</v>
      </c>
      <c r="C6313" t="s">
        <v>6543</v>
      </c>
      <c r="D6313" t="s">
        <v>6546</v>
      </c>
      <c r="E6313" t="s">
        <v>6295</v>
      </c>
      <c r="F6313" t="s">
        <v>6584</v>
      </c>
      <c r="G6313" t="s">
        <v>7197</v>
      </c>
      <c r="H6313" t="s">
        <v>7156</v>
      </c>
      <c r="I6313" t="s">
        <v>7159</v>
      </c>
      <c r="J6313" s="1">
        <v>46132</v>
      </c>
      <c r="K6313" t="s">
        <v>7163</v>
      </c>
      <c r="L6313" s="1">
        <v>46282</v>
      </c>
    </row>
    <row r="6314" spans="1:12" x14ac:dyDescent="0.3">
      <c r="A6314">
        <v>18769</v>
      </c>
      <c r="B6314" t="s">
        <v>7191</v>
      </c>
      <c r="C6314" t="s">
        <v>6349</v>
      </c>
      <c r="D6314" t="s">
        <v>6418</v>
      </c>
      <c r="E6314" t="s">
        <v>6419</v>
      </c>
      <c r="F6314" t="s">
        <v>6341</v>
      </c>
      <c r="G6314" t="s">
        <v>7197</v>
      </c>
      <c r="H6314" t="s">
        <v>7156</v>
      </c>
      <c r="I6314" t="s">
        <v>7158</v>
      </c>
      <c r="J6314" s="1">
        <v>46204</v>
      </c>
      <c r="K6314" t="s">
        <v>7163</v>
      </c>
      <c r="L6314" s="1">
        <v>46295</v>
      </c>
    </row>
    <row r="6315" spans="1:12" x14ac:dyDescent="0.3">
      <c r="A6315">
        <v>18806</v>
      </c>
      <c r="B6315" t="s">
        <v>7192</v>
      </c>
      <c r="C6315" t="s">
        <v>6322</v>
      </c>
      <c r="D6315" t="s">
        <v>6535</v>
      </c>
      <c r="E6315" t="s">
        <v>6295</v>
      </c>
      <c r="F6315" t="s">
        <v>6747</v>
      </c>
      <c r="G6315" t="s">
        <v>7197</v>
      </c>
      <c r="H6315" t="s">
        <v>7156</v>
      </c>
      <c r="I6315" t="s">
        <v>7159</v>
      </c>
      <c r="J6315" s="1">
        <v>46213</v>
      </c>
      <c r="K6315" t="s">
        <v>7164</v>
      </c>
      <c r="L6315" s="1">
        <v>46295</v>
      </c>
    </row>
    <row r="6316" spans="1:12" x14ac:dyDescent="0.3">
      <c r="A6316">
        <v>18278</v>
      </c>
      <c r="B6316" t="s">
        <v>7193</v>
      </c>
      <c r="C6316" t="s">
        <v>6349</v>
      </c>
      <c r="D6316" t="s">
        <v>6425</v>
      </c>
      <c r="E6316" t="s">
        <v>6426</v>
      </c>
      <c r="F6316" t="s">
        <v>6335</v>
      </c>
      <c r="G6316" t="s">
        <v>7197</v>
      </c>
      <c r="H6316" t="s">
        <v>7156</v>
      </c>
      <c r="I6316" t="s">
        <v>7158</v>
      </c>
      <c r="J6316" s="1">
        <v>46071</v>
      </c>
      <c r="K6316" t="s">
        <v>7163</v>
      </c>
      <c r="L6316" s="1">
        <v>46296</v>
      </c>
    </row>
    <row r="6317" spans="1:12" x14ac:dyDescent="0.3">
      <c r="A6317">
        <v>18423</v>
      </c>
      <c r="B6317" t="s">
        <v>7194</v>
      </c>
      <c r="C6317" t="s">
        <v>6685</v>
      </c>
      <c r="D6317" t="s">
        <v>6686</v>
      </c>
      <c r="E6317" t="s">
        <v>6295</v>
      </c>
      <c r="F6317" t="s">
        <v>6340</v>
      </c>
      <c r="G6317" t="s">
        <v>7197</v>
      </c>
      <c r="H6317" t="s">
        <v>7156</v>
      </c>
      <c r="I6317" t="s">
        <v>7158</v>
      </c>
      <c r="J6317" s="1">
        <v>46122</v>
      </c>
      <c r="K6317" t="s">
        <v>7163</v>
      </c>
      <c r="L6317" s="1">
        <v>46297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811A-B038-4134-9194-A9BB3E67FABC}">
  <dimension ref="A1:G7"/>
  <sheetViews>
    <sheetView workbookViewId="0">
      <selection activeCell="F8" sqref="F8"/>
    </sheetView>
  </sheetViews>
  <sheetFormatPr defaultRowHeight="14.4" x14ac:dyDescent="0.3"/>
  <cols>
    <col min="1" max="1" width="36.5546875" customWidth="1"/>
    <col min="2" max="2" width="12.109375" bestFit="1" customWidth="1"/>
    <col min="3" max="3" width="16.109375" customWidth="1"/>
    <col min="4" max="4" width="21.21875" customWidth="1"/>
    <col min="5" max="5" width="24.77734375" customWidth="1"/>
    <col min="6" max="6" width="21.109375" customWidth="1"/>
    <col min="7" max="7" width="34" customWidth="1"/>
  </cols>
  <sheetData>
    <row r="1" spans="1:7" s="14" customFormat="1" ht="48" customHeight="1" x14ac:dyDescent="0.3">
      <c r="A1" s="14" t="s">
        <v>7249</v>
      </c>
      <c r="B1" s="14" t="s">
        <v>17042</v>
      </c>
      <c r="C1" s="14" t="s">
        <v>17043</v>
      </c>
      <c r="D1" s="14" t="s">
        <v>7248</v>
      </c>
      <c r="E1" s="14" t="s">
        <v>17039</v>
      </c>
      <c r="F1" s="14" t="s">
        <v>17044</v>
      </c>
      <c r="G1" s="14" t="s">
        <v>7155</v>
      </c>
    </row>
    <row r="2" spans="1:7" x14ac:dyDescent="0.3">
      <c r="A2" t="s">
        <v>7165</v>
      </c>
      <c r="B2">
        <v>2007</v>
      </c>
      <c r="C2">
        <v>1950</v>
      </c>
      <c r="D2">
        <v>57</v>
      </c>
      <c r="E2">
        <v>106</v>
      </c>
      <c r="F2">
        <f>Table1[[#This Row],[İxtisardan əvvəlki vakant]]-Table1[[#This Row],[İxtisar olunan ştat sayı]]</f>
        <v>49</v>
      </c>
      <c r="G2" t="s">
        <v>17040</v>
      </c>
    </row>
    <row r="3" spans="1:7" x14ac:dyDescent="0.3">
      <c r="A3" t="s">
        <v>6327</v>
      </c>
      <c r="B3">
        <v>366</v>
      </c>
      <c r="C3">
        <v>357</v>
      </c>
      <c r="D3">
        <v>9</v>
      </c>
      <c r="E3">
        <v>45</v>
      </c>
      <c r="F3">
        <f>Table1[[#This Row],[İxtisardan əvvəlki vakant]]-Table1[[#This Row],[İxtisar olunan ştat sayı]]</f>
        <v>36</v>
      </c>
      <c r="G3" t="s">
        <v>17041</v>
      </c>
    </row>
    <row r="4" spans="1:7" x14ac:dyDescent="0.3">
      <c r="A4" t="s">
        <v>6337</v>
      </c>
      <c r="B4">
        <v>37.5</v>
      </c>
      <c r="C4">
        <v>35.5</v>
      </c>
      <c r="D4">
        <v>2</v>
      </c>
      <c r="E4">
        <v>7.5</v>
      </c>
      <c r="F4">
        <f>Table1[[#This Row],[İxtisardan əvvəlki vakant]]-Table1[[#This Row],[İxtisar olunan ştat sayı]]</f>
        <v>5.5</v>
      </c>
    </row>
    <row r="5" spans="1:7" x14ac:dyDescent="0.3">
      <c r="A5" t="s">
        <v>6529</v>
      </c>
      <c r="B5">
        <v>61</v>
      </c>
      <c r="C5">
        <v>59</v>
      </c>
      <c r="D5">
        <v>2</v>
      </c>
      <c r="E5">
        <v>3</v>
      </c>
      <c r="F5">
        <f>Table1[[#This Row],[İxtisardan əvvəlki vakant]]-Table1[[#This Row],[İxtisar olunan ştat sayı]]</f>
        <v>1</v>
      </c>
    </row>
    <row r="6" spans="1:7" x14ac:dyDescent="0.3">
      <c r="A6" t="s">
        <v>6759</v>
      </c>
      <c r="B6">
        <v>133</v>
      </c>
      <c r="C6">
        <f>Table1[[#This Row],[Əvvəlki təsdiqlənən ştat sayı]]-17</f>
        <v>116</v>
      </c>
      <c r="D6">
        <v>17</v>
      </c>
      <c r="E6">
        <v>22</v>
      </c>
      <c r="F6">
        <f>Table1[[#This Row],[İxtisardan əvvəlki vakant]]-Table1[[#This Row],[İxtisar olunan ştat sayı]]</f>
        <v>5</v>
      </c>
    </row>
    <row r="7" spans="1:7" x14ac:dyDescent="0.3">
      <c r="A7" t="s">
        <v>7252</v>
      </c>
      <c r="D7">
        <f>SUM(Table1[İxtisar olunan ştat sayı])</f>
        <v>87</v>
      </c>
      <c r="E7">
        <f>SUM(Table1[İxtisardan əvvəlki vakant])</f>
        <v>183.5</v>
      </c>
      <c r="F7">
        <f>SUM(Table1[İxtisardan sonrakı vakant])</f>
        <v>96.5</v>
      </c>
    </row>
  </sheetData>
  <phoneticPr fontId="21" type="noConversion"/>
  <conditionalFormatting sqref="A2">
    <cfRule type="duplicateValues" dxfId="776" priority="4"/>
  </conditionalFormatting>
  <conditionalFormatting sqref="A3">
    <cfRule type="duplicateValues" dxfId="775" priority="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F1D8-B169-42BF-9BEB-6C8702DBFD41}">
  <dimension ref="A1:M39"/>
  <sheetViews>
    <sheetView zoomScale="69" workbookViewId="0">
      <selection activeCell="F24" sqref="F24"/>
    </sheetView>
  </sheetViews>
  <sheetFormatPr defaultRowHeight="14.4" x14ac:dyDescent="0.3"/>
  <cols>
    <col min="1" max="1" width="41.6640625" bestFit="1" customWidth="1"/>
    <col min="2" max="2" width="64" bestFit="1" customWidth="1"/>
    <col min="3" max="3" width="49" bestFit="1" customWidth="1"/>
    <col min="4" max="4" width="24.6640625" customWidth="1"/>
    <col min="5" max="5" width="24.44140625" bestFit="1" customWidth="1"/>
    <col min="6" max="6" width="15.88671875" customWidth="1"/>
    <col min="7" max="7" width="17" customWidth="1"/>
    <col min="8" max="8" width="27.33203125" customWidth="1"/>
    <col min="9" max="9" width="10.33203125" customWidth="1"/>
    <col min="10" max="10" width="39.5546875" bestFit="1" customWidth="1"/>
    <col min="11" max="13" width="39.5546875" customWidth="1"/>
    <col min="14" max="14" width="16.109375" bestFit="1" customWidth="1"/>
    <col min="15" max="15" width="20.21875" bestFit="1" customWidth="1"/>
    <col min="16" max="16" width="10.109375" bestFit="1" customWidth="1"/>
    <col min="18" max="18" width="27.44140625" bestFit="1" customWidth="1"/>
  </cols>
  <sheetData>
    <row r="1" spans="1:13" x14ac:dyDescent="0.3">
      <c r="A1" s="32" t="s">
        <v>7249</v>
      </c>
      <c r="B1" s="32" t="s">
        <v>16935</v>
      </c>
      <c r="C1" s="32" t="s">
        <v>16941</v>
      </c>
      <c r="D1" s="32" t="s">
        <v>16942</v>
      </c>
      <c r="E1" s="32" t="s">
        <v>16936</v>
      </c>
      <c r="F1" s="32" t="s">
        <v>16932</v>
      </c>
      <c r="G1" s="32" t="s">
        <v>16933</v>
      </c>
      <c r="H1" s="32" t="s">
        <v>16934</v>
      </c>
      <c r="J1" s="32" t="s">
        <v>17025</v>
      </c>
      <c r="K1" s="32" t="s">
        <v>17028</v>
      </c>
      <c r="L1" s="32" t="s">
        <v>7198</v>
      </c>
      <c r="M1" s="11"/>
    </row>
    <row r="2" spans="1:13" ht="57.6" x14ac:dyDescent="0.3">
      <c r="A2" s="59" t="s">
        <v>6349</v>
      </c>
      <c r="B2" s="58">
        <v>0</v>
      </c>
      <c r="C2" s="30" t="s">
        <v>6421</v>
      </c>
      <c r="D2" s="29">
        <v>48</v>
      </c>
      <c r="E2" s="58">
        <f>SUM(D2:D9)</f>
        <v>84</v>
      </c>
      <c r="F2" s="56">
        <v>82</v>
      </c>
      <c r="G2" s="56">
        <v>3</v>
      </c>
      <c r="H2" s="56">
        <v>5</v>
      </c>
      <c r="J2" s="11" t="s">
        <v>17023</v>
      </c>
      <c r="K2" s="21" t="s">
        <v>17029</v>
      </c>
      <c r="L2" s="33">
        <v>46203</v>
      </c>
      <c r="M2" s="55" t="s">
        <v>7162</v>
      </c>
    </row>
    <row r="3" spans="1:13" ht="57.6" x14ac:dyDescent="0.3">
      <c r="A3" s="59"/>
      <c r="B3" s="58"/>
      <c r="C3" s="29" t="s">
        <v>16937</v>
      </c>
      <c r="D3" s="29">
        <v>8</v>
      </c>
      <c r="E3" s="58"/>
      <c r="F3" s="56"/>
      <c r="G3" s="56"/>
      <c r="H3" s="56"/>
      <c r="J3" s="11" t="s">
        <v>17024</v>
      </c>
      <c r="K3" s="21" t="s">
        <v>17033</v>
      </c>
      <c r="L3" s="11" t="s">
        <v>17034</v>
      </c>
      <c r="M3" s="55"/>
    </row>
    <row r="4" spans="1:13" x14ac:dyDescent="0.3">
      <c r="A4" s="59"/>
      <c r="B4" s="58"/>
      <c r="C4" s="30" t="s">
        <v>7238</v>
      </c>
      <c r="D4" s="29">
        <f>5+4</f>
        <v>9</v>
      </c>
      <c r="E4" s="58"/>
      <c r="F4" s="56"/>
      <c r="G4" s="56"/>
      <c r="H4" s="56"/>
      <c r="J4" s="11" t="s">
        <v>17026</v>
      </c>
      <c r="K4" s="11" t="s">
        <v>17032</v>
      </c>
      <c r="L4" s="33">
        <v>46205</v>
      </c>
      <c r="M4" s="56" t="s">
        <v>7238</v>
      </c>
    </row>
    <row r="5" spans="1:13" x14ac:dyDescent="0.3">
      <c r="A5" s="59"/>
      <c r="B5" s="58"/>
      <c r="C5" s="29" t="s">
        <v>7158</v>
      </c>
      <c r="D5" s="29">
        <f>7+5</f>
        <v>12</v>
      </c>
      <c r="E5" s="58"/>
      <c r="F5" s="56"/>
      <c r="G5" s="56"/>
      <c r="H5" s="56"/>
      <c r="J5" s="11" t="s">
        <v>17030</v>
      </c>
      <c r="K5" s="11" t="s">
        <v>17031</v>
      </c>
      <c r="L5" s="33">
        <v>46224</v>
      </c>
      <c r="M5" s="56"/>
    </row>
    <row r="6" spans="1:13" x14ac:dyDescent="0.3">
      <c r="A6" s="59"/>
      <c r="B6" s="58"/>
      <c r="C6" s="30" t="s">
        <v>16938</v>
      </c>
      <c r="D6" s="29">
        <v>2</v>
      </c>
      <c r="E6" s="58"/>
      <c r="F6" s="56"/>
      <c r="G6" s="56"/>
      <c r="H6" s="56"/>
    </row>
    <row r="7" spans="1:13" x14ac:dyDescent="0.3">
      <c r="A7" s="59"/>
      <c r="B7" s="58"/>
      <c r="C7" s="31" t="s">
        <v>16939</v>
      </c>
      <c r="D7" s="31">
        <v>2</v>
      </c>
      <c r="E7" s="58"/>
      <c r="F7" s="56"/>
      <c r="G7" s="56"/>
      <c r="H7" s="56"/>
    </row>
    <row r="8" spans="1:13" x14ac:dyDescent="0.3">
      <c r="A8" s="59"/>
      <c r="B8" s="58"/>
      <c r="C8" s="30" t="s">
        <v>16940</v>
      </c>
      <c r="D8" s="31">
        <v>1</v>
      </c>
      <c r="E8" s="58"/>
      <c r="F8" s="56"/>
      <c r="G8" s="56"/>
      <c r="H8" s="56"/>
    </row>
    <row r="9" spans="1:13" x14ac:dyDescent="0.3">
      <c r="A9" s="59"/>
      <c r="B9" s="58"/>
      <c r="C9" s="31" t="s">
        <v>7161</v>
      </c>
      <c r="D9" s="31">
        <v>2</v>
      </c>
      <c r="E9" s="58"/>
      <c r="F9" s="56"/>
      <c r="G9" s="56"/>
      <c r="H9" s="56"/>
    </row>
    <row r="10" spans="1:13" x14ac:dyDescent="0.3">
      <c r="B10" s="40"/>
      <c r="C10" s="41"/>
      <c r="D10" s="41"/>
      <c r="E10" s="40"/>
      <c r="F10" s="42"/>
      <c r="G10" s="42"/>
      <c r="H10" s="42"/>
    </row>
    <row r="11" spans="1:13" x14ac:dyDescent="0.3">
      <c r="A11" s="35" t="s">
        <v>17022</v>
      </c>
      <c r="B11" s="35" t="s">
        <v>7260</v>
      </c>
      <c r="C11" s="35" t="s">
        <v>16951</v>
      </c>
      <c r="D11" s="35" t="s">
        <v>16950</v>
      </c>
      <c r="E11" s="35" t="s">
        <v>16948</v>
      </c>
      <c r="F11" s="35" t="s">
        <v>16949</v>
      </c>
      <c r="G11" s="35" t="s">
        <v>7155</v>
      </c>
      <c r="H11" s="32" t="s">
        <v>8</v>
      </c>
    </row>
    <row r="12" spans="1:13" x14ac:dyDescent="0.3">
      <c r="A12" s="20">
        <v>1</v>
      </c>
      <c r="B12" s="39" t="s">
        <v>6425</v>
      </c>
      <c r="C12" s="11" t="s">
        <v>7293</v>
      </c>
      <c r="D12" s="11" t="s">
        <v>6340</v>
      </c>
      <c r="E12" s="11" t="s">
        <v>16947</v>
      </c>
      <c r="F12" s="33">
        <v>46307</v>
      </c>
      <c r="G12" s="57" t="s">
        <v>16954</v>
      </c>
      <c r="H12" s="36" t="s">
        <v>16956</v>
      </c>
    </row>
    <row r="13" spans="1:13" x14ac:dyDescent="0.3">
      <c r="A13" s="20">
        <v>2</v>
      </c>
      <c r="B13" s="39" t="s">
        <v>6418</v>
      </c>
      <c r="C13" s="11" t="s">
        <v>6423</v>
      </c>
      <c r="D13" s="11" t="s">
        <v>6341</v>
      </c>
      <c r="E13" s="11" t="s">
        <v>16952</v>
      </c>
      <c r="F13" s="11" t="s">
        <v>7293</v>
      </c>
      <c r="G13" s="57"/>
      <c r="H13" s="36" t="s">
        <v>16955</v>
      </c>
    </row>
    <row r="14" spans="1:13" x14ac:dyDescent="0.3">
      <c r="A14" s="20">
        <v>3</v>
      </c>
      <c r="B14" s="39" t="s">
        <v>6418</v>
      </c>
      <c r="C14" s="11" t="s">
        <v>6419</v>
      </c>
      <c r="D14" s="11" t="s">
        <v>6335</v>
      </c>
      <c r="E14" s="11" t="s">
        <v>16953</v>
      </c>
      <c r="F14" s="33">
        <v>46310</v>
      </c>
      <c r="G14" s="57"/>
      <c r="H14" s="11" t="s">
        <v>7191</v>
      </c>
    </row>
    <row r="15" spans="1:13" x14ac:dyDescent="0.3">
      <c r="A15" s="20">
        <v>4</v>
      </c>
      <c r="B15" s="11" t="s">
        <v>17027</v>
      </c>
      <c r="C15" s="11" t="s">
        <v>7293</v>
      </c>
      <c r="D15" s="11" t="s">
        <v>6340</v>
      </c>
      <c r="E15" s="11"/>
      <c r="F15" s="11"/>
      <c r="G15" s="11"/>
      <c r="H15" s="11" t="s">
        <v>16946</v>
      </c>
    </row>
    <row r="16" spans="1:13" x14ac:dyDescent="0.3">
      <c r="A16" s="20">
        <v>5</v>
      </c>
      <c r="B16" s="38" t="s">
        <v>6425</v>
      </c>
      <c r="C16" s="11" t="s">
        <v>6426</v>
      </c>
      <c r="D16" s="11" t="s">
        <v>6335</v>
      </c>
      <c r="E16" s="11"/>
      <c r="F16" s="11"/>
      <c r="G16" s="11" t="s">
        <v>12544</v>
      </c>
      <c r="H16" s="11" t="s">
        <v>7193</v>
      </c>
    </row>
    <row r="20" spans="1:8" x14ac:dyDescent="0.3">
      <c r="A20" s="5"/>
      <c r="B20" s="4"/>
      <c r="C20" s="4"/>
      <c r="D20" s="4"/>
      <c r="E20" s="4"/>
      <c r="F20" s="4"/>
      <c r="G20" s="4"/>
      <c r="H20" s="4"/>
    </row>
    <row r="21" spans="1:8" x14ac:dyDescent="0.3">
      <c r="A21" s="44" t="s">
        <v>16959</v>
      </c>
      <c r="B21" s="45" t="s">
        <v>16957</v>
      </c>
      <c r="C21" s="45" t="s">
        <v>16958</v>
      </c>
      <c r="D21" s="44" t="s">
        <v>8</v>
      </c>
    </row>
    <row r="22" spans="1:8" x14ac:dyDescent="0.3">
      <c r="A22" s="46">
        <v>1</v>
      </c>
      <c r="B22" s="47" t="s">
        <v>6426</v>
      </c>
      <c r="C22" s="48" t="s">
        <v>16960</v>
      </c>
      <c r="D22" s="48"/>
    </row>
    <row r="23" spans="1:8" x14ac:dyDescent="0.3">
      <c r="A23" s="46">
        <v>2</v>
      </c>
      <c r="B23" s="47" t="s">
        <v>6425</v>
      </c>
      <c r="C23" s="48" t="s">
        <v>16961</v>
      </c>
      <c r="D23" s="47"/>
    </row>
    <row r="24" spans="1:8" x14ac:dyDescent="0.3">
      <c r="A24" s="46">
        <v>3</v>
      </c>
      <c r="B24" s="48" t="s">
        <v>6418</v>
      </c>
      <c r="C24" s="48" t="s">
        <v>16962</v>
      </c>
      <c r="D24" s="48" t="s">
        <v>16963</v>
      </c>
    </row>
    <row r="25" spans="1:8" x14ac:dyDescent="0.3">
      <c r="A25" s="43">
        <v>4</v>
      </c>
      <c r="B25" s="11" t="s">
        <v>6415</v>
      </c>
      <c r="C25" s="11" t="s">
        <v>16944</v>
      </c>
      <c r="D25" s="11"/>
    </row>
    <row r="26" spans="1:8" x14ac:dyDescent="0.3">
      <c r="A26" s="43">
        <v>5</v>
      </c>
      <c r="B26" s="11" t="s">
        <v>6415</v>
      </c>
      <c r="C26" s="11" t="s">
        <v>16945</v>
      </c>
      <c r="D26" s="11"/>
    </row>
    <row r="27" spans="1:8" ht="15.6" x14ac:dyDescent="0.3">
      <c r="A27" s="52">
        <v>6</v>
      </c>
      <c r="B27" s="11" t="s">
        <v>6350</v>
      </c>
      <c r="C27" s="11" t="s">
        <v>16943</v>
      </c>
      <c r="D27" s="11"/>
    </row>
    <row r="28" spans="1:8" ht="15.6" x14ac:dyDescent="0.3">
      <c r="A28" s="37"/>
    </row>
    <row r="29" spans="1:8" ht="15.6" x14ac:dyDescent="0.3">
      <c r="A29" s="37"/>
    </row>
    <row r="30" spans="1:8" x14ac:dyDescent="0.3">
      <c r="A30" s="44" t="s">
        <v>16964</v>
      </c>
      <c r="B30" s="44" t="s">
        <v>16957</v>
      </c>
      <c r="C30" s="44" t="s">
        <v>16965</v>
      </c>
      <c r="D30" s="44" t="s">
        <v>8</v>
      </c>
    </row>
    <row r="31" spans="1:8" ht="42.6" customHeight="1" x14ac:dyDescent="0.3">
      <c r="A31" s="53">
        <v>1</v>
      </c>
      <c r="B31" s="54" t="s">
        <v>12546</v>
      </c>
      <c r="C31" s="48" t="s">
        <v>16966</v>
      </c>
      <c r="D31" s="54" t="s">
        <v>16967</v>
      </c>
      <c r="E31" s="1"/>
    </row>
    <row r="32" spans="1:8" x14ac:dyDescent="0.3">
      <c r="A32" s="53"/>
      <c r="B32" s="54"/>
      <c r="C32" s="48" t="s">
        <v>400</v>
      </c>
      <c r="D32" s="54"/>
      <c r="E32" s="1"/>
    </row>
    <row r="33" spans="1:4" x14ac:dyDescent="0.3">
      <c r="A33" s="53">
        <v>3</v>
      </c>
      <c r="B33" s="54" t="s">
        <v>6350</v>
      </c>
      <c r="C33" s="48" t="s">
        <v>82</v>
      </c>
      <c r="D33" s="48" t="s">
        <v>16968</v>
      </c>
    </row>
    <row r="34" spans="1:4" x14ac:dyDescent="0.3">
      <c r="A34" s="53"/>
      <c r="B34" s="54"/>
      <c r="C34" s="48" t="s">
        <v>16946</v>
      </c>
      <c r="D34" s="48" t="s">
        <v>16968</v>
      </c>
    </row>
    <row r="35" spans="1:4" x14ac:dyDescent="0.3">
      <c r="A35" s="53"/>
      <c r="B35" s="54"/>
      <c r="C35" s="48" t="s">
        <v>16969</v>
      </c>
      <c r="D35" s="48" t="s">
        <v>16968</v>
      </c>
    </row>
    <row r="38" spans="1:4" x14ac:dyDescent="0.3">
      <c r="A38" s="49"/>
      <c r="B38" s="50"/>
      <c r="C38" s="51"/>
      <c r="D38" s="4"/>
    </row>
    <row r="39" spans="1:4" x14ac:dyDescent="0.3">
      <c r="A39" s="49"/>
      <c r="B39" s="50"/>
      <c r="C39" s="51"/>
      <c r="D39" s="4"/>
    </row>
  </sheetData>
  <mergeCells count="14">
    <mergeCell ref="A33:A35"/>
    <mergeCell ref="B33:B35"/>
    <mergeCell ref="M2:M3"/>
    <mergeCell ref="M4:M5"/>
    <mergeCell ref="F2:F9"/>
    <mergeCell ref="G2:G9"/>
    <mergeCell ref="H2:H9"/>
    <mergeCell ref="G12:G14"/>
    <mergeCell ref="A31:A32"/>
    <mergeCell ref="B31:B32"/>
    <mergeCell ref="D31:D32"/>
    <mergeCell ref="E2:E9"/>
    <mergeCell ref="B2:B9"/>
    <mergeCell ref="A2:A9"/>
  </mergeCells>
  <conditionalFormatting sqref="A2">
    <cfRule type="duplicateValues" dxfId="774" priority="5"/>
  </conditionalFormatting>
  <conditionalFormatting sqref="E32">
    <cfRule type="expression" dxfId="773" priority="1">
      <formula>OR($AP32="HX",$AP32="SM")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0E7A-8F11-475E-AC50-67EFDA97D9AE}">
  <dimension ref="A1:F23"/>
  <sheetViews>
    <sheetView workbookViewId="0">
      <selection activeCell="G14" sqref="G14"/>
    </sheetView>
  </sheetViews>
  <sheetFormatPr defaultRowHeight="14.4" x14ac:dyDescent="0.3"/>
  <cols>
    <col min="1" max="1" width="47.44140625" bestFit="1" customWidth="1"/>
    <col min="6" max="6" width="10.109375" bestFit="1" customWidth="1"/>
  </cols>
  <sheetData>
    <row r="1" spans="1:6" x14ac:dyDescent="0.3">
      <c r="A1" t="s">
        <v>12543</v>
      </c>
      <c r="B1" t="s">
        <v>12541</v>
      </c>
      <c r="C1" t="s">
        <v>12544</v>
      </c>
      <c r="F1" s="60">
        <v>46294</v>
      </c>
    </row>
    <row r="2" spans="1:6" x14ac:dyDescent="0.3">
      <c r="A2" t="s">
        <v>12545</v>
      </c>
      <c r="B2">
        <v>30</v>
      </c>
      <c r="C2" s="22">
        <v>0</v>
      </c>
    </row>
    <row r="3" spans="1:6" x14ac:dyDescent="0.3">
      <c r="A3" t="s">
        <v>8572</v>
      </c>
      <c r="B3">
        <v>1</v>
      </c>
      <c r="C3" s="22">
        <v>0</v>
      </c>
    </row>
    <row r="4" spans="1:6" x14ac:dyDescent="0.3">
      <c r="A4" t="s">
        <v>9254</v>
      </c>
      <c r="B4">
        <v>3</v>
      </c>
      <c r="C4" s="22">
        <v>0</v>
      </c>
    </row>
    <row r="5" spans="1:6" x14ac:dyDescent="0.3">
      <c r="A5" t="s">
        <v>7934</v>
      </c>
      <c r="B5">
        <v>10</v>
      </c>
      <c r="C5" s="22">
        <v>0</v>
      </c>
    </row>
    <row r="6" spans="1:6" x14ac:dyDescent="0.3">
      <c r="A6" t="s">
        <v>10171</v>
      </c>
      <c r="B6">
        <v>3</v>
      </c>
      <c r="C6" s="22">
        <v>1</v>
      </c>
    </row>
    <row r="7" spans="1:6" x14ac:dyDescent="0.3">
      <c r="A7" t="s">
        <v>11862</v>
      </c>
      <c r="B7">
        <v>3</v>
      </c>
      <c r="C7" s="22">
        <v>0</v>
      </c>
    </row>
    <row r="8" spans="1:6" x14ac:dyDescent="0.3">
      <c r="A8" t="s">
        <v>7312</v>
      </c>
      <c r="B8">
        <v>165</v>
      </c>
      <c r="C8" s="22">
        <v>24</v>
      </c>
    </row>
    <row r="9" spans="1:6" x14ac:dyDescent="0.3">
      <c r="A9" t="s">
        <v>7947</v>
      </c>
      <c r="B9">
        <v>11</v>
      </c>
      <c r="C9" s="22">
        <v>0</v>
      </c>
    </row>
    <row r="10" spans="1:6" x14ac:dyDescent="0.3">
      <c r="A10" t="s">
        <v>8998</v>
      </c>
      <c r="B10">
        <v>11</v>
      </c>
      <c r="C10" s="22">
        <v>3</v>
      </c>
    </row>
    <row r="11" spans="1:6" x14ac:dyDescent="0.3">
      <c r="A11" t="s">
        <v>8965</v>
      </c>
      <c r="B11">
        <v>18</v>
      </c>
      <c r="C11" s="22">
        <v>5</v>
      </c>
    </row>
    <row r="12" spans="1:6" x14ac:dyDescent="0.3">
      <c r="A12" t="s">
        <v>7218</v>
      </c>
      <c r="B12">
        <v>3</v>
      </c>
      <c r="C12" s="22">
        <v>1</v>
      </c>
    </row>
    <row r="13" spans="1:6" x14ac:dyDescent="0.3">
      <c r="A13" t="s">
        <v>9457</v>
      </c>
      <c r="B13">
        <v>1</v>
      </c>
      <c r="C13" s="22">
        <v>0</v>
      </c>
    </row>
    <row r="14" spans="1:6" x14ac:dyDescent="0.3">
      <c r="A14" t="s">
        <v>6355</v>
      </c>
      <c r="B14">
        <v>2</v>
      </c>
      <c r="C14" s="22">
        <v>0</v>
      </c>
    </row>
    <row r="15" spans="1:6" x14ac:dyDescent="0.3">
      <c r="A15" t="s">
        <v>7675</v>
      </c>
      <c r="B15">
        <v>13</v>
      </c>
      <c r="C15" s="22">
        <v>2</v>
      </c>
    </row>
    <row r="16" spans="1:6" x14ac:dyDescent="0.3">
      <c r="A16" t="s">
        <v>6421</v>
      </c>
      <c r="B16">
        <v>4</v>
      </c>
      <c r="C16" s="22">
        <v>2</v>
      </c>
    </row>
    <row r="17" spans="1:3" x14ac:dyDescent="0.3">
      <c r="A17" t="s">
        <v>6471</v>
      </c>
      <c r="B17">
        <v>14</v>
      </c>
      <c r="C17" s="22">
        <v>4</v>
      </c>
    </row>
    <row r="18" spans="1:3" x14ac:dyDescent="0.3">
      <c r="A18" t="s">
        <v>12389</v>
      </c>
      <c r="B18">
        <v>1</v>
      </c>
      <c r="C18" s="22">
        <v>0</v>
      </c>
    </row>
    <row r="19" spans="1:3" x14ac:dyDescent="0.3">
      <c r="A19" t="s">
        <v>7371</v>
      </c>
      <c r="B19">
        <v>125</v>
      </c>
      <c r="C19" s="22">
        <v>13</v>
      </c>
    </row>
    <row r="20" spans="1:3" x14ac:dyDescent="0.3">
      <c r="A20" t="s">
        <v>6492</v>
      </c>
      <c r="B20">
        <v>8</v>
      </c>
      <c r="C20" s="22">
        <v>0</v>
      </c>
    </row>
    <row r="21" spans="1:3" x14ac:dyDescent="0.3">
      <c r="A21" t="s">
        <v>7330</v>
      </c>
      <c r="B21">
        <v>138</v>
      </c>
      <c r="C21" s="22">
        <v>0</v>
      </c>
    </row>
    <row r="22" spans="1:3" x14ac:dyDescent="0.3">
      <c r="A22" t="s">
        <v>7292</v>
      </c>
      <c r="B22">
        <v>27</v>
      </c>
      <c r="C22" s="22">
        <v>0</v>
      </c>
    </row>
    <row r="23" spans="1:3" x14ac:dyDescent="0.3">
      <c r="A23" t="s">
        <v>12542</v>
      </c>
      <c r="B23">
        <f>SUM(B2:B22)</f>
        <v>591</v>
      </c>
      <c r="C23">
        <f>SUM(C2:C22)</f>
        <v>55</v>
      </c>
    </row>
  </sheetData>
  <conditionalFormatting sqref="A2:A22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8F36-3B67-4F8D-896C-7E0B39D883D0}">
  <dimension ref="A1:F40"/>
  <sheetViews>
    <sheetView workbookViewId="0">
      <selection activeCell="C2" sqref="C2"/>
    </sheetView>
  </sheetViews>
  <sheetFormatPr defaultRowHeight="14.4" x14ac:dyDescent="0.3"/>
  <cols>
    <col min="1" max="1" width="59" style="7" customWidth="1"/>
    <col min="2" max="2" width="18.6640625" style="7" customWidth="1"/>
    <col min="3" max="3" width="12.33203125" style="7" customWidth="1"/>
    <col min="4" max="4" width="9" style="7" customWidth="1"/>
    <col min="5" max="5" width="16.21875" style="7" customWidth="1"/>
    <col min="6" max="6" width="16.44140625" style="7" customWidth="1"/>
    <col min="7" max="16384" width="8.88671875" style="7"/>
  </cols>
  <sheetData>
    <row r="1" spans="1:6" x14ac:dyDescent="0.3">
      <c r="A1" s="26">
        <v>46301</v>
      </c>
      <c r="D1" s="10"/>
      <c r="E1" s="10"/>
      <c r="F1" s="10"/>
    </row>
    <row r="2" spans="1:6" s="28" customFormat="1" ht="57.6" x14ac:dyDescent="0.3">
      <c r="A2" s="27" t="s">
        <v>12596</v>
      </c>
      <c r="B2" s="27" t="s">
        <v>12595</v>
      </c>
      <c r="C2" s="27" t="s">
        <v>12597</v>
      </c>
      <c r="D2" s="27" t="s">
        <v>12598</v>
      </c>
      <c r="E2" s="27" t="s">
        <v>12599</v>
      </c>
      <c r="F2" s="27" t="s">
        <v>12600</v>
      </c>
    </row>
    <row r="3" spans="1:6" x14ac:dyDescent="0.3">
      <c r="A3" s="7" t="s">
        <v>12559</v>
      </c>
      <c r="B3" s="7">
        <v>1</v>
      </c>
      <c r="C3" s="7">
        <v>2</v>
      </c>
      <c r="D3" s="7">
        <v>2</v>
      </c>
    </row>
    <row r="4" spans="1:6" x14ac:dyDescent="0.3">
      <c r="A4" s="7" t="s">
        <v>12560</v>
      </c>
      <c r="B4" s="7">
        <v>11</v>
      </c>
      <c r="C4" s="7">
        <v>1</v>
      </c>
    </row>
    <row r="5" spans="1:6" x14ac:dyDescent="0.3">
      <c r="A5" s="7" t="s">
        <v>12561</v>
      </c>
      <c r="B5" s="7">
        <v>6</v>
      </c>
    </row>
    <row r="6" spans="1:6" x14ac:dyDescent="0.3">
      <c r="A6" s="7" t="s">
        <v>12562</v>
      </c>
      <c r="B6" s="7">
        <v>8</v>
      </c>
    </row>
    <row r="7" spans="1:6" x14ac:dyDescent="0.3">
      <c r="A7" s="7" t="s">
        <v>12563</v>
      </c>
      <c r="B7" s="7">
        <v>8</v>
      </c>
      <c r="C7" s="7">
        <v>1</v>
      </c>
    </row>
    <row r="8" spans="1:6" x14ac:dyDescent="0.3">
      <c r="A8" s="7" t="s">
        <v>12565</v>
      </c>
      <c r="B8" s="7">
        <v>46</v>
      </c>
    </row>
    <row r="9" spans="1:6" x14ac:dyDescent="0.3">
      <c r="A9" s="7" t="s">
        <v>12564</v>
      </c>
      <c r="B9" s="7">
        <v>37</v>
      </c>
    </row>
    <row r="10" spans="1:6" x14ac:dyDescent="0.3">
      <c r="A10" s="7" t="s">
        <v>12594</v>
      </c>
      <c r="B10" s="7">
        <v>3</v>
      </c>
      <c r="D10" s="7">
        <v>1</v>
      </c>
    </row>
    <row r="11" spans="1:6" x14ac:dyDescent="0.3">
      <c r="A11" s="7" t="s">
        <v>12567</v>
      </c>
      <c r="B11" s="7">
        <v>1</v>
      </c>
    </row>
    <row r="12" spans="1:6" x14ac:dyDescent="0.3">
      <c r="A12" s="7" t="s">
        <v>12572</v>
      </c>
      <c r="B12" s="7">
        <v>192</v>
      </c>
      <c r="C12" s="7">
        <v>6</v>
      </c>
      <c r="D12" s="7">
        <v>2</v>
      </c>
      <c r="E12" s="7">
        <v>455</v>
      </c>
      <c r="F12" s="7">
        <v>80</v>
      </c>
    </row>
    <row r="13" spans="1:6" x14ac:dyDescent="0.3">
      <c r="A13" s="7" t="s">
        <v>12571</v>
      </c>
      <c r="B13" s="7">
        <v>1</v>
      </c>
      <c r="C13" s="7">
        <v>1</v>
      </c>
    </row>
    <row r="14" spans="1:6" x14ac:dyDescent="0.3">
      <c r="A14" s="7" t="s">
        <v>6836</v>
      </c>
      <c r="B14" s="7">
        <v>3</v>
      </c>
    </row>
    <row r="15" spans="1:6" x14ac:dyDescent="0.3">
      <c r="A15" s="7" t="s">
        <v>12569</v>
      </c>
      <c r="B15" s="7">
        <v>9</v>
      </c>
    </row>
    <row r="16" spans="1:6" x14ac:dyDescent="0.3">
      <c r="A16" s="7" t="s">
        <v>12568</v>
      </c>
      <c r="B16" s="7">
        <v>5</v>
      </c>
    </row>
    <row r="17" spans="1:4" x14ac:dyDescent="0.3">
      <c r="A17" s="7" t="s">
        <v>12570</v>
      </c>
      <c r="B17" s="7">
        <v>20</v>
      </c>
    </row>
    <row r="18" spans="1:4" x14ac:dyDescent="0.3">
      <c r="A18" s="7" t="s">
        <v>12573</v>
      </c>
      <c r="B18" s="7">
        <v>3</v>
      </c>
      <c r="D18" s="7">
        <v>4</v>
      </c>
    </row>
    <row r="19" spans="1:4" x14ac:dyDescent="0.3">
      <c r="A19" s="24" t="s">
        <v>12577</v>
      </c>
      <c r="B19" s="7">
        <v>2</v>
      </c>
      <c r="C19" s="7">
        <v>1</v>
      </c>
      <c r="D19" s="7">
        <v>5</v>
      </c>
    </row>
    <row r="20" spans="1:4" x14ac:dyDescent="0.3">
      <c r="A20" s="25" t="s">
        <v>12575</v>
      </c>
      <c r="B20" s="6">
        <v>2</v>
      </c>
      <c r="C20" s="7">
        <v>1</v>
      </c>
      <c r="D20" s="7">
        <v>1</v>
      </c>
    </row>
    <row r="21" spans="1:4" x14ac:dyDescent="0.3">
      <c r="A21" s="25" t="s">
        <v>12574</v>
      </c>
      <c r="B21" s="6">
        <v>11</v>
      </c>
      <c r="D21" s="7">
        <v>10</v>
      </c>
    </row>
    <row r="22" spans="1:4" x14ac:dyDescent="0.3">
      <c r="A22" s="24" t="s">
        <v>12576</v>
      </c>
      <c r="B22" s="7">
        <v>8</v>
      </c>
    </row>
    <row r="23" spans="1:4" x14ac:dyDescent="0.3">
      <c r="A23" s="24" t="s">
        <v>12578</v>
      </c>
      <c r="B23" s="7">
        <v>12</v>
      </c>
      <c r="D23" s="7">
        <v>7</v>
      </c>
    </row>
    <row r="24" spans="1:4" x14ac:dyDescent="0.3">
      <c r="A24" s="24" t="s">
        <v>12579</v>
      </c>
      <c r="B24" s="7">
        <v>23</v>
      </c>
      <c r="D24" s="7">
        <v>103</v>
      </c>
    </row>
    <row r="25" spans="1:4" x14ac:dyDescent="0.3">
      <c r="A25" s="24" t="s">
        <v>12580</v>
      </c>
    </row>
    <row r="26" spans="1:4" x14ac:dyDescent="0.3">
      <c r="A26" s="24" t="s">
        <v>12585</v>
      </c>
      <c r="B26" s="7">
        <v>29</v>
      </c>
    </row>
    <row r="27" spans="1:4" x14ac:dyDescent="0.3">
      <c r="A27" s="24" t="s">
        <v>12583</v>
      </c>
      <c r="B27" s="7">
        <v>8</v>
      </c>
      <c r="C27" s="7">
        <v>2</v>
      </c>
    </row>
    <row r="28" spans="1:4" x14ac:dyDescent="0.3">
      <c r="A28" s="24" t="s">
        <v>12581</v>
      </c>
      <c r="B28" s="7">
        <v>2</v>
      </c>
    </row>
    <row r="29" spans="1:4" x14ac:dyDescent="0.3">
      <c r="A29" s="24" t="s">
        <v>12582</v>
      </c>
      <c r="B29" s="7">
        <v>2</v>
      </c>
    </row>
    <row r="30" spans="1:4" x14ac:dyDescent="0.3">
      <c r="A30" s="24" t="s">
        <v>12584</v>
      </c>
      <c r="B30" s="7">
        <v>1</v>
      </c>
      <c r="C30" s="7">
        <v>1</v>
      </c>
    </row>
    <row r="31" spans="1:4" x14ac:dyDescent="0.3">
      <c r="A31" s="24" t="s">
        <v>12586</v>
      </c>
    </row>
    <row r="32" spans="1:4" x14ac:dyDescent="0.3">
      <c r="A32" s="24" t="s">
        <v>12588</v>
      </c>
      <c r="B32" s="7">
        <v>2</v>
      </c>
    </row>
    <row r="33" spans="1:6" x14ac:dyDescent="0.3">
      <c r="A33" s="24" t="s">
        <v>12589</v>
      </c>
      <c r="B33" s="7">
        <v>3</v>
      </c>
      <c r="D33" s="7">
        <v>1</v>
      </c>
    </row>
    <row r="34" spans="1:6" x14ac:dyDescent="0.3">
      <c r="A34" s="24" t="s">
        <v>12587</v>
      </c>
      <c r="B34" s="7">
        <v>7</v>
      </c>
    </row>
    <row r="35" spans="1:6" x14ac:dyDescent="0.3">
      <c r="A35" s="24" t="s">
        <v>12566</v>
      </c>
      <c r="B35" s="7">
        <v>1</v>
      </c>
    </row>
    <row r="36" spans="1:6" x14ac:dyDescent="0.3">
      <c r="A36" s="24" t="s">
        <v>12592</v>
      </c>
      <c r="B36" s="7">
        <v>1</v>
      </c>
    </row>
    <row r="37" spans="1:6" x14ac:dyDescent="0.3">
      <c r="A37" s="24" t="s">
        <v>12591</v>
      </c>
      <c r="B37" s="7">
        <v>167</v>
      </c>
      <c r="C37" s="7">
        <v>10</v>
      </c>
    </row>
    <row r="38" spans="1:6" x14ac:dyDescent="0.3">
      <c r="A38" s="24" t="s">
        <v>12590</v>
      </c>
      <c r="B38" s="7">
        <v>2</v>
      </c>
      <c r="C38" s="7">
        <v>1</v>
      </c>
      <c r="D38" s="7">
        <v>3</v>
      </c>
    </row>
    <row r="39" spans="1:6" x14ac:dyDescent="0.3">
      <c r="A39" s="24" t="s">
        <v>12593</v>
      </c>
      <c r="B39" s="7">
        <v>1</v>
      </c>
    </row>
    <row r="40" spans="1:6" x14ac:dyDescent="0.3">
      <c r="A40" s="7" t="s">
        <v>7201</v>
      </c>
      <c r="B40" s="7">
        <f>SUM(B3:B39)</f>
        <v>638</v>
      </c>
      <c r="C40" s="7">
        <f>SUM(C3:C39)</f>
        <v>27</v>
      </c>
      <c r="D40" s="7">
        <f>SUM(D3:D39)</f>
        <v>139</v>
      </c>
      <c r="E40" s="7">
        <f t="shared" ref="E40:F40" si="0">SUM(E3:E39)</f>
        <v>455</v>
      </c>
      <c r="F40" s="7">
        <f t="shared" si="0"/>
        <v>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5FFB-0AFD-4770-AA51-0D648D0FEFEF}">
  <dimension ref="A1:AI592"/>
  <sheetViews>
    <sheetView workbookViewId="0">
      <selection activeCell="F6" sqref="F6"/>
    </sheetView>
  </sheetViews>
  <sheetFormatPr defaultRowHeight="14.4" x14ac:dyDescent="0.3"/>
  <cols>
    <col min="4" max="4" width="34.6640625" bestFit="1" customWidth="1"/>
    <col min="5" max="5" width="36.44140625" bestFit="1" customWidth="1"/>
    <col min="6" max="6" width="32.44140625" bestFit="1" customWidth="1"/>
    <col min="13" max="14" width="17.44140625" customWidth="1"/>
  </cols>
  <sheetData>
    <row r="1" spans="1:35" s="14" customFormat="1" ht="62.4" x14ac:dyDescent="0.3">
      <c r="A1" s="66" t="s">
        <v>7155</v>
      </c>
      <c r="B1" s="66" t="s">
        <v>7253</v>
      </c>
      <c r="C1" s="66" t="s">
        <v>7254</v>
      </c>
      <c r="D1" s="67" t="s">
        <v>7255</v>
      </c>
      <c r="E1" s="66" t="s">
        <v>7256</v>
      </c>
      <c r="F1" s="66" t="s">
        <v>7257</v>
      </c>
      <c r="G1" s="66" t="s">
        <v>7258</v>
      </c>
      <c r="H1" s="66" t="s">
        <v>7259</v>
      </c>
      <c r="I1" s="66" t="s">
        <v>7260</v>
      </c>
      <c r="J1" s="66" t="s">
        <v>7261</v>
      </c>
      <c r="K1" s="68" t="s">
        <v>7262</v>
      </c>
      <c r="L1" s="69" t="s">
        <v>7263</v>
      </c>
      <c r="M1" s="66" t="s">
        <v>7264</v>
      </c>
      <c r="N1" s="66" t="s">
        <v>7265</v>
      </c>
      <c r="O1" s="66" t="s">
        <v>7266</v>
      </c>
      <c r="P1" s="66" t="s">
        <v>7267</v>
      </c>
      <c r="Q1" s="66" t="s">
        <v>7268</v>
      </c>
      <c r="R1" s="66" t="s">
        <v>7269</v>
      </c>
      <c r="S1" s="70" t="s">
        <v>7270</v>
      </c>
      <c r="T1" s="66" t="s">
        <v>7271</v>
      </c>
      <c r="U1" s="66" t="s">
        <v>7272</v>
      </c>
      <c r="V1" s="66" t="s">
        <v>7273</v>
      </c>
      <c r="W1" s="66" t="s">
        <v>7274</v>
      </c>
      <c r="X1" s="66" t="s">
        <v>7275</v>
      </c>
      <c r="Y1" s="66" t="s">
        <v>7276</v>
      </c>
      <c r="Z1" s="66" t="s">
        <v>7277</v>
      </c>
      <c r="AA1" s="21"/>
      <c r="AB1" s="66" t="s">
        <v>7278</v>
      </c>
      <c r="AC1" s="69" t="s">
        <v>7279</v>
      </c>
      <c r="AD1" s="69" t="s">
        <v>7280</v>
      </c>
      <c r="AE1" s="69" t="s">
        <v>7281</v>
      </c>
      <c r="AF1" s="69" t="s">
        <v>7282</v>
      </c>
      <c r="AG1" s="69" t="s">
        <v>7283</v>
      </c>
      <c r="AH1" s="69" t="s">
        <v>7284</v>
      </c>
      <c r="AI1" s="69" t="s">
        <v>7285</v>
      </c>
    </row>
    <row r="2" spans="1:35" ht="57.6" x14ac:dyDescent="0.3">
      <c r="A2" s="71" t="s">
        <v>7286</v>
      </c>
      <c r="B2" s="17" t="s">
        <v>7287</v>
      </c>
      <c r="C2" s="72" t="s">
        <v>7288</v>
      </c>
      <c r="D2" s="73" t="s">
        <v>7289</v>
      </c>
      <c r="E2" s="74" t="s">
        <v>7290</v>
      </c>
      <c r="F2" s="75" t="s">
        <v>7291</v>
      </c>
      <c r="G2" s="75" t="s">
        <v>7292</v>
      </c>
      <c r="H2" s="75" t="s">
        <v>7293</v>
      </c>
      <c r="I2" s="75" t="s">
        <v>7293</v>
      </c>
      <c r="J2" s="11" t="s">
        <v>7294</v>
      </c>
      <c r="K2" s="76" t="s">
        <v>6356</v>
      </c>
      <c r="L2" s="77" t="s">
        <v>7295</v>
      </c>
      <c r="M2" s="76">
        <v>39819</v>
      </c>
      <c r="N2" s="76"/>
      <c r="O2" s="75" t="s">
        <v>7296</v>
      </c>
      <c r="P2" s="17"/>
      <c r="Q2" s="76">
        <v>28620</v>
      </c>
      <c r="R2" s="78">
        <v>48.435616438356163</v>
      </c>
      <c r="S2" s="79" t="s">
        <v>7297</v>
      </c>
      <c r="T2" s="75" t="s">
        <v>7298</v>
      </c>
      <c r="U2" s="75" t="s">
        <v>7299</v>
      </c>
      <c r="V2" s="17"/>
      <c r="W2" s="75" t="s">
        <v>7300</v>
      </c>
      <c r="X2" s="80" t="s">
        <v>7301</v>
      </c>
      <c r="Y2" s="75" t="s">
        <v>7302</v>
      </c>
      <c r="Z2" s="15" t="s">
        <v>7303</v>
      </c>
      <c r="AA2" s="75" t="s">
        <v>7303</v>
      </c>
      <c r="AB2" s="12" t="s">
        <v>7304</v>
      </c>
      <c r="AC2" s="12"/>
      <c r="AD2" s="75" t="s">
        <v>7305</v>
      </c>
      <c r="AE2" s="75" t="s">
        <v>7305</v>
      </c>
      <c r="AF2" s="17" t="s">
        <v>7306</v>
      </c>
      <c r="AG2" s="72">
        <v>0</v>
      </c>
      <c r="AH2" s="17"/>
      <c r="AI2" s="75" t="s">
        <v>7307</v>
      </c>
    </row>
    <row r="3" spans="1:35" x14ac:dyDescent="0.3">
      <c r="A3" s="71" t="s">
        <v>7286</v>
      </c>
      <c r="B3" s="17" t="s">
        <v>7308</v>
      </c>
      <c r="C3" s="72" t="s">
        <v>7150</v>
      </c>
      <c r="D3" s="81" t="s">
        <v>7309</v>
      </c>
      <c r="E3" s="74" t="s">
        <v>7310</v>
      </c>
      <c r="F3" s="75" t="s">
        <v>7293</v>
      </c>
      <c r="G3" s="75" t="s">
        <v>7293</v>
      </c>
      <c r="H3" s="75" t="s">
        <v>7311</v>
      </c>
      <c r="I3" s="75" t="s">
        <v>7312</v>
      </c>
      <c r="J3" s="82" t="s">
        <v>7313</v>
      </c>
      <c r="K3" s="11" t="s">
        <v>7314</v>
      </c>
      <c r="L3" s="77" t="s">
        <v>7315</v>
      </c>
      <c r="M3" s="76">
        <v>40508</v>
      </c>
      <c r="N3" s="76"/>
      <c r="O3" s="75" t="s">
        <v>7296</v>
      </c>
      <c r="P3" s="17" t="s">
        <v>7316</v>
      </c>
      <c r="Q3" s="76">
        <v>31870</v>
      </c>
      <c r="R3" s="78">
        <v>39.531506849315072</v>
      </c>
      <c r="S3" s="79" t="s">
        <v>7317</v>
      </c>
      <c r="T3" s="75" t="s">
        <v>7298</v>
      </c>
      <c r="U3" s="75" t="s">
        <v>7318</v>
      </c>
      <c r="V3" s="17"/>
      <c r="W3" s="75" t="s">
        <v>7300</v>
      </c>
      <c r="X3" s="80"/>
      <c r="Y3" s="75" t="s">
        <v>7319</v>
      </c>
      <c r="Z3" s="15" t="s">
        <v>7320</v>
      </c>
      <c r="AA3" s="75"/>
      <c r="AB3" s="12" t="s">
        <v>7293</v>
      </c>
      <c r="AC3" s="12"/>
      <c r="AD3" s="75" t="s">
        <v>7321</v>
      </c>
      <c r="AE3" s="75" t="s">
        <v>7322</v>
      </c>
      <c r="AF3" s="17" t="s">
        <v>7323</v>
      </c>
      <c r="AG3" s="72">
        <v>2</v>
      </c>
      <c r="AH3" s="17"/>
      <c r="AI3" s="75" t="s">
        <v>7324</v>
      </c>
    </row>
    <row r="4" spans="1:35" ht="57.6" x14ac:dyDescent="0.3">
      <c r="A4" s="71" t="s">
        <v>7286</v>
      </c>
      <c r="B4" s="17" t="s">
        <v>7325</v>
      </c>
      <c r="C4" s="72" t="s">
        <v>7326</v>
      </c>
      <c r="D4" s="81" t="s">
        <v>7327</v>
      </c>
      <c r="E4" s="74" t="s">
        <v>7328</v>
      </c>
      <c r="F4" s="75" t="s">
        <v>7329</v>
      </c>
      <c r="G4" s="75" t="s">
        <v>7330</v>
      </c>
      <c r="H4" s="75" t="s">
        <v>7331</v>
      </c>
      <c r="I4" s="75" t="s">
        <v>7332</v>
      </c>
      <c r="J4" s="82" t="s">
        <v>7333</v>
      </c>
      <c r="K4" s="11" t="s">
        <v>7334</v>
      </c>
      <c r="L4" s="77" t="s">
        <v>7335</v>
      </c>
      <c r="M4" s="76">
        <v>40592</v>
      </c>
      <c r="N4" s="76"/>
      <c r="O4" s="75" t="s">
        <v>7296</v>
      </c>
      <c r="P4" s="17"/>
      <c r="Q4" s="76">
        <v>32181</v>
      </c>
      <c r="R4" s="78">
        <v>38.679452054794524</v>
      </c>
      <c r="S4" s="79" t="s">
        <v>7336</v>
      </c>
      <c r="T4" s="75" t="s">
        <v>7298</v>
      </c>
      <c r="U4" s="75" t="s">
        <v>7337</v>
      </c>
      <c r="V4" s="17"/>
      <c r="W4" s="75" t="s">
        <v>7300</v>
      </c>
      <c r="X4" s="80"/>
      <c r="Y4" s="75" t="s">
        <v>7319</v>
      </c>
      <c r="Z4" s="15" t="s">
        <v>7338</v>
      </c>
      <c r="AA4" s="75" t="s">
        <v>7338</v>
      </c>
      <c r="AB4" s="12" t="s">
        <v>7339</v>
      </c>
      <c r="AC4" s="12"/>
      <c r="AD4" s="75" t="s">
        <v>7340</v>
      </c>
      <c r="AE4" s="75" t="s">
        <v>7341</v>
      </c>
      <c r="AF4" s="17" t="s">
        <v>7323</v>
      </c>
      <c r="AG4" s="72">
        <v>1</v>
      </c>
      <c r="AH4" s="17"/>
      <c r="AI4" s="75" t="s">
        <v>7324</v>
      </c>
    </row>
    <row r="5" spans="1:35" ht="57.6" x14ac:dyDescent="0.3">
      <c r="A5" s="71" t="s">
        <v>7286</v>
      </c>
      <c r="B5" s="17" t="s">
        <v>7342</v>
      </c>
      <c r="C5" s="72" t="s">
        <v>7343</v>
      </c>
      <c r="D5" s="81" t="s">
        <v>7344</v>
      </c>
      <c r="E5" s="74" t="s">
        <v>7345</v>
      </c>
      <c r="F5" s="75" t="s">
        <v>7346</v>
      </c>
      <c r="G5" s="75" t="s">
        <v>6471</v>
      </c>
      <c r="H5" s="75" t="s">
        <v>7347</v>
      </c>
      <c r="I5" s="75" t="s">
        <v>7348</v>
      </c>
      <c r="J5" s="82" t="s">
        <v>7349</v>
      </c>
      <c r="K5" s="11" t="s">
        <v>6335</v>
      </c>
      <c r="L5" s="77" t="s">
        <v>7350</v>
      </c>
      <c r="M5" s="76">
        <v>40620</v>
      </c>
      <c r="N5" s="76"/>
      <c r="O5" s="75" t="s">
        <v>7296</v>
      </c>
      <c r="P5" s="17"/>
      <c r="Q5" s="76">
        <v>33246</v>
      </c>
      <c r="R5" s="78">
        <v>35.761643835616439</v>
      </c>
      <c r="S5" s="79" t="s">
        <v>7351</v>
      </c>
      <c r="T5" s="75" t="s">
        <v>7298</v>
      </c>
      <c r="U5" s="75" t="s">
        <v>7352</v>
      </c>
      <c r="V5" s="17"/>
      <c r="W5" s="75" t="s">
        <v>7300</v>
      </c>
      <c r="X5" s="80"/>
      <c r="Y5" s="75" t="s">
        <v>7302</v>
      </c>
      <c r="Z5" s="15" t="s">
        <v>7353</v>
      </c>
      <c r="AA5" s="75" t="s">
        <v>7353</v>
      </c>
      <c r="AB5" s="12" t="s">
        <v>7354</v>
      </c>
      <c r="AC5" s="12"/>
      <c r="AD5" s="75" t="s">
        <v>7341</v>
      </c>
      <c r="AE5" s="75" t="s">
        <v>7341</v>
      </c>
      <c r="AF5" s="17" t="s">
        <v>7323</v>
      </c>
      <c r="AG5" s="72">
        <v>1</v>
      </c>
      <c r="AH5" s="17"/>
      <c r="AI5" s="75" t="s">
        <v>7307</v>
      </c>
    </row>
    <row r="6" spans="1:35" ht="72" x14ac:dyDescent="0.3">
      <c r="A6" s="71" t="s">
        <v>7286</v>
      </c>
      <c r="B6" s="17" t="s">
        <v>7355</v>
      </c>
      <c r="C6" s="72" t="s">
        <v>7326</v>
      </c>
      <c r="D6" s="74" t="s">
        <v>7356</v>
      </c>
      <c r="E6" s="75" t="s">
        <v>7357</v>
      </c>
      <c r="F6" s="75" t="s">
        <v>7329</v>
      </c>
      <c r="G6" s="75" t="s">
        <v>7330</v>
      </c>
      <c r="H6" s="11" t="s">
        <v>7358</v>
      </c>
      <c r="I6" s="75" t="s">
        <v>7359</v>
      </c>
      <c r="J6" s="11" t="s">
        <v>7333</v>
      </c>
      <c r="K6" s="11" t="s">
        <v>7334</v>
      </c>
      <c r="L6" s="77" t="s">
        <v>7360</v>
      </c>
      <c r="M6" s="76">
        <v>40833</v>
      </c>
      <c r="N6" s="76"/>
      <c r="O6" s="75" t="s">
        <v>7296</v>
      </c>
      <c r="P6" s="17"/>
      <c r="Q6" s="76">
        <v>26583</v>
      </c>
      <c r="R6" s="78">
        <v>54.016438356164386</v>
      </c>
      <c r="S6" s="75" t="s">
        <v>7361</v>
      </c>
      <c r="T6" s="75" t="s">
        <v>7298</v>
      </c>
      <c r="U6" s="77" t="s">
        <v>7362</v>
      </c>
      <c r="V6" s="75"/>
      <c r="W6" s="80" t="s">
        <v>7300</v>
      </c>
      <c r="X6" s="75"/>
      <c r="Y6" s="15" t="s">
        <v>7319</v>
      </c>
      <c r="Z6" s="75" t="s">
        <v>7363</v>
      </c>
      <c r="AA6" s="12" t="s">
        <v>7363</v>
      </c>
      <c r="AB6" s="12" t="s">
        <v>7364</v>
      </c>
      <c r="AC6" s="75"/>
      <c r="AD6" s="17" t="s">
        <v>7365</v>
      </c>
      <c r="AE6" s="81" t="s">
        <v>7365</v>
      </c>
      <c r="AF6" s="17" t="s">
        <v>7323</v>
      </c>
      <c r="AG6" s="17">
        <v>2</v>
      </c>
      <c r="AH6" s="17"/>
      <c r="AI6" s="75" t="s">
        <v>7324</v>
      </c>
    </row>
    <row r="7" spans="1:35" ht="57.6" x14ac:dyDescent="0.3">
      <c r="A7" s="71" t="s">
        <v>7286</v>
      </c>
      <c r="B7" s="17" t="s">
        <v>7366</v>
      </c>
      <c r="C7" s="72" t="s">
        <v>7367</v>
      </c>
      <c r="D7" s="81" t="s">
        <v>7368</v>
      </c>
      <c r="E7" s="74" t="s">
        <v>7369</v>
      </c>
      <c r="F7" s="75" t="s">
        <v>7370</v>
      </c>
      <c r="G7" s="75" t="s">
        <v>7371</v>
      </c>
      <c r="H7" s="75" t="s">
        <v>7372</v>
      </c>
      <c r="I7" s="75" t="s">
        <v>7373</v>
      </c>
      <c r="J7" s="82" t="s">
        <v>7374</v>
      </c>
      <c r="K7" s="11" t="s">
        <v>7375</v>
      </c>
      <c r="L7" s="77" t="s">
        <v>7376</v>
      </c>
      <c r="M7" s="76">
        <v>40841</v>
      </c>
      <c r="N7" s="76"/>
      <c r="O7" s="75" t="s">
        <v>7296</v>
      </c>
      <c r="P7" s="17"/>
      <c r="Q7" s="76">
        <v>32461</v>
      </c>
      <c r="R7" s="78">
        <v>37.912328767123284</v>
      </c>
      <c r="S7" s="79" t="s">
        <v>7377</v>
      </c>
      <c r="T7" s="75" t="s">
        <v>7298</v>
      </c>
      <c r="U7" s="75" t="s">
        <v>7378</v>
      </c>
      <c r="V7" s="17"/>
      <c r="W7" s="75" t="s">
        <v>7300</v>
      </c>
      <c r="X7" s="80"/>
      <c r="Y7" s="75" t="s">
        <v>7302</v>
      </c>
      <c r="Z7" s="15" t="s">
        <v>7379</v>
      </c>
      <c r="AA7" s="75" t="s">
        <v>7379</v>
      </c>
      <c r="AB7" s="12" t="s">
        <v>7380</v>
      </c>
      <c r="AC7" s="12"/>
      <c r="AD7" s="75" t="s">
        <v>7381</v>
      </c>
      <c r="AE7" s="75" t="s">
        <v>7382</v>
      </c>
      <c r="AF7" s="17" t="s">
        <v>7323</v>
      </c>
      <c r="AG7" s="72">
        <v>1</v>
      </c>
      <c r="AH7" s="17"/>
      <c r="AI7" s="11" t="s">
        <v>7383</v>
      </c>
    </row>
    <row r="8" spans="1:35" x14ac:dyDescent="0.3">
      <c r="A8" s="71" t="s">
        <v>7384</v>
      </c>
      <c r="B8" s="17" t="s">
        <v>7385</v>
      </c>
      <c r="C8" s="72" t="s">
        <v>7367</v>
      </c>
      <c r="D8" s="81" t="s">
        <v>7386</v>
      </c>
      <c r="E8" s="74" t="s">
        <v>7387</v>
      </c>
      <c r="F8" s="75" t="s">
        <v>7329</v>
      </c>
      <c r="G8" s="75" t="s">
        <v>7330</v>
      </c>
      <c r="H8" s="11" t="s">
        <v>7358</v>
      </c>
      <c r="I8" s="75" t="s">
        <v>7359</v>
      </c>
      <c r="J8" s="11" t="s">
        <v>7388</v>
      </c>
      <c r="K8" s="11" t="s">
        <v>7389</v>
      </c>
      <c r="L8" s="77" t="s">
        <v>7360</v>
      </c>
      <c r="M8" s="76">
        <v>40858</v>
      </c>
      <c r="N8" s="76"/>
      <c r="O8" s="75" t="s">
        <v>7296</v>
      </c>
      <c r="P8" s="17"/>
      <c r="Q8" s="76">
        <v>30281</v>
      </c>
      <c r="R8" s="78">
        <v>43.884931506849313</v>
      </c>
      <c r="S8" s="79" t="s">
        <v>7390</v>
      </c>
      <c r="T8" s="75" t="s">
        <v>7298</v>
      </c>
      <c r="U8" s="75" t="s">
        <v>7391</v>
      </c>
      <c r="V8" s="17"/>
      <c r="W8" s="75" t="s">
        <v>7300</v>
      </c>
      <c r="X8" s="80"/>
      <c r="Y8" s="75" t="s">
        <v>7319</v>
      </c>
      <c r="Z8" s="15" t="s">
        <v>7392</v>
      </c>
      <c r="AA8" s="75"/>
      <c r="AB8" s="12" t="s">
        <v>7293</v>
      </c>
      <c r="AC8" s="12"/>
      <c r="AD8" s="75" t="s">
        <v>7393</v>
      </c>
      <c r="AE8" s="75" t="s">
        <v>7393</v>
      </c>
      <c r="AF8" s="17" t="s">
        <v>7323</v>
      </c>
      <c r="AG8" s="72">
        <v>2</v>
      </c>
      <c r="AH8" s="17"/>
      <c r="AI8" s="75" t="s">
        <v>7324</v>
      </c>
    </row>
    <row r="9" spans="1:35" ht="57.6" x14ac:dyDescent="0.3">
      <c r="A9" s="71" t="s">
        <v>7286</v>
      </c>
      <c r="B9" s="17" t="s">
        <v>7394</v>
      </c>
      <c r="C9" s="72" t="s">
        <v>7326</v>
      </c>
      <c r="D9" s="81" t="s">
        <v>7395</v>
      </c>
      <c r="E9" s="74" t="s">
        <v>7396</v>
      </c>
      <c r="F9" s="75" t="s">
        <v>7329</v>
      </c>
      <c r="G9" s="75" t="s">
        <v>7330</v>
      </c>
      <c r="H9" s="11" t="s">
        <v>7358</v>
      </c>
      <c r="I9" s="75" t="s">
        <v>7359</v>
      </c>
      <c r="J9" s="11" t="s">
        <v>7333</v>
      </c>
      <c r="K9" s="11" t="s">
        <v>7334</v>
      </c>
      <c r="L9" s="77" t="s">
        <v>7360</v>
      </c>
      <c r="M9" s="76">
        <v>41052</v>
      </c>
      <c r="N9" s="76"/>
      <c r="O9" s="75" t="s">
        <v>7296</v>
      </c>
      <c r="P9" s="17"/>
      <c r="Q9" s="76">
        <v>32226</v>
      </c>
      <c r="R9" s="78">
        <v>38.556164383561644</v>
      </c>
      <c r="S9" s="79" t="s">
        <v>7397</v>
      </c>
      <c r="T9" s="75" t="s">
        <v>7298</v>
      </c>
      <c r="U9" s="75" t="s">
        <v>7398</v>
      </c>
      <c r="V9" s="17"/>
      <c r="W9" s="75" t="s">
        <v>7300</v>
      </c>
      <c r="X9" s="80"/>
      <c r="Y9" s="75" t="s">
        <v>7319</v>
      </c>
      <c r="Z9" s="15" t="s">
        <v>7399</v>
      </c>
      <c r="AA9" s="75" t="s">
        <v>7399</v>
      </c>
      <c r="AB9" s="12" t="s">
        <v>7400</v>
      </c>
      <c r="AC9" s="12"/>
      <c r="AD9" s="75" t="s">
        <v>7401</v>
      </c>
      <c r="AE9" s="75" t="s">
        <v>7401</v>
      </c>
      <c r="AF9" s="17" t="s">
        <v>7323</v>
      </c>
      <c r="AG9" s="72">
        <v>3</v>
      </c>
      <c r="AH9" s="17"/>
      <c r="AI9" s="75" t="s">
        <v>7324</v>
      </c>
    </row>
    <row r="10" spans="1:35" x14ac:dyDescent="0.3">
      <c r="A10" s="71" t="s">
        <v>7286</v>
      </c>
      <c r="B10" s="17" t="s">
        <v>7402</v>
      </c>
      <c r="C10" s="72" t="s">
        <v>7150</v>
      </c>
      <c r="D10" s="81" t="s">
        <v>7403</v>
      </c>
      <c r="E10" s="74" t="s">
        <v>7404</v>
      </c>
      <c r="F10" s="75" t="s">
        <v>7329</v>
      </c>
      <c r="G10" s="75" t="s">
        <v>7330</v>
      </c>
      <c r="H10" s="75" t="s">
        <v>7405</v>
      </c>
      <c r="I10" s="75" t="s">
        <v>7406</v>
      </c>
      <c r="J10" s="11" t="s">
        <v>7407</v>
      </c>
      <c r="K10" s="11" t="s">
        <v>7408</v>
      </c>
      <c r="L10" s="77" t="s">
        <v>7409</v>
      </c>
      <c r="M10" s="76">
        <v>41309</v>
      </c>
      <c r="N10" s="76"/>
      <c r="O10" s="75" t="s">
        <v>7296</v>
      </c>
      <c r="P10" s="17"/>
      <c r="Q10" s="76">
        <v>31043</v>
      </c>
      <c r="R10" s="78">
        <v>41.797260273972604</v>
      </c>
      <c r="S10" s="79" t="s">
        <v>7410</v>
      </c>
      <c r="T10" s="75" t="s">
        <v>7298</v>
      </c>
      <c r="U10" s="75" t="s">
        <v>7411</v>
      </c>
      <c r="V10" s="17"/>
      <c r="W10" s="75" t="s">
        <v>7300</v>
      </c>
      <c r="X10" s="80"/>
      <c r="Y10" s="75" t="s">
        <v>7319</v>
      </c>
      <c r="Z10" s="15" t="s">
        <v>7412</v>
      </c>
      <c r="AA10" s="75"/>
      <c r="AB10" s="12" t="s">
        <v>7293</v>
      </c>
      <c r="AC10" s="12"/>
      <c r="AD10" s="75" t="s">
        <v>7413</v>
      </c>
      <c r="AE10" s="75" t="s">
        <v>7414</v>
      </c>
      <c r="AF10" s="17" t="s">
        <v>7323</v>
      </c>
      <c r="AG10" s="72">
        <v>2</v>
      </c>
      <c r="AH10" s="17"/>
      <c r="AI10" s="75" t="s">
        <v>7324</v>
      </c>
    </row>
    <row r="11" spans="1:35" x14ac:dyDescent="0.3">
      <c r="A11" s="71" t="s">
        <v>7286</v>
      </c>
      <c r="B11" s="17" t="s">
        <v>7415</v>
      </c>
      <c r="C11" s="72" t="s">
        <v>7150</v>
      </c>
      <c r="D11" s="81" t="s">
        <v>7416</v>
      </c>
      <c r="E11" s="74" t="s">
        <v>7417</v>
      </c>
      <c r="F11" s="75" t="s">
        <v>7329</v>
      </c>
      <c r="G11" s="75" t="s">
        <v>7330</v>
      </c>
      <c r="H11" s="75" t="s">
        <v>7405</v>
      </c>
      <c r="I11" s="75" t="s">
        <v>7406</v>
      </c>
      <c r="J11" s="11" t="s">
        <v>7407</v>
      </c>
      <c r="K11" s="11" t="s">
        <v>7408</v>
      </c>
      <c r="L11" s="77" t="s">
        <v>7409</v>
      </c>
      <c r="M11" s="76">
        <v>41421</v>
      </c>
      <c r="N11" s="76"/>
      <c r="O11" s="75" t="s">
        <v>7296</v>
      </c>
      <c r="P11" s="17"/>
      <c r="Q11" s="76">
        <v>28198</v>
      </c>
      <c r="R11" s="78">
        <v>49.591780821917808</v>
      </c>
      <c r="S11" s="79" t="s">
        <v>7418</v>
      </c>
      <c r="T11" s="75" t="s">
        <v>7298</v>
      </c>
      <c r="U11" s="75" t="s">
        <v>7419</v>
      </c>
      <c r="V11" s="17"/>
      <c r="W11" s="75" t="s">
        <v>7300</v>
      </c>
      <c r="X11" s="80"/>
      <c r="Y11" s="75" t="s">
        <v>7319</v>
      </c>
      <c r="Z11" s="15" t="s">
        <v>7420</v>
      </c>
      <c r="AA11" s="75"/>
      <c r="AB11" s="12" t="s">
        <v>7293</v>
      </c>
      <c r="AC11" s="12"/>
      <c r="AD11" s="75" t="s">
        <v>7421</v>
      </c>
      <c r="AE11" s="75" t="s">
        <v>7421</v>
      </c>
      <c r="AF11" s="17" t="s">
        <v>7323</v>
      </c>
      <c r="AG11" s="72">
        <v>2</v>
      </c>
      <c r="AH11" s="17"/>
      <c r="AI11" s="11" t="s">
        <v>7422</v>
      </c>
    </row>
    <row r="12" spans="1:35" x14ac:dyDescent="0.3">
      <c r="A12" s="71" t="s">
        <v>7286</v>
      </c>
      <c r="B12" s="17" t="s">
        <v>7423</v>
      </c>
      <c r="C12" s="72" t="s">
        <v>7150</v>
      </c>
      <c r="D12" s="81" t="s">
        <v>7424</v>
      </c>
      <c r="E12" s="74" t="s">
        <v>1438</v>
      </c>
      <c r="F12" s="75" t="s">
        <v>7293</v>
      </c>
      <c r="G12" s="75" t="s">
        <v>7293</v>
      </c>
      <c r="H12" s="75" t="s">
        <v>7311</v>
      </c>
      <c r="I12" s="75" t="s">
        <v>7312</v>
      </c>
      <c r="J12" s="11" t="s">
        <v>7313</v>
      </c>
      <c r="K12" s="11" t="s">
        <v>7314</v>
      </c>
      <c r="L12" s="77" t="s">
        <v>7315</v>
      </c>
      <c r="M12" s="76">
        <v>41487</v>
      </c>
      <c r="N12" s="76"/>
      <c r="O12" s="75" t="s">
        <v>7296</v>
      </c>
      <c r="P12" s="17" t="s">
        <v>7425</v>
      </c>
      <c r="Q12" s="76">
        <v>24196</v>
      </c>
      <c r="R12" s="78">
        <v>60.556164383561644</v>
      </c>
      <c r="S12" s="79" t="s">
        <v>7426</v>
      </c>
      <c r="T12" s="75" t="s">
        <v>7298</v>
      </c>
      <c r="U12" s="75" t="s">
        <v>7427</v>
      </c>
      <c r="V12" s="17"/>
      <c r="W12" s="75" t="s">
        <v>7300</v>
      </c>
      <c r="X12" s="80"/>
      <c r="Y12" s="75" t="s">
        <v>7319</v>
      </c>
      <c r="Z12" s="15" t="s">
        <v>7428</v>
      </c>
      <c r="AA12" s="75"/>
      <c r="AB12" s="12" t="s">
        <v>7293</v>
      </c>
      <c r="AC12" s="12"/>
      <c r="AD12" s="75" t="s">
        <v>7429</v>
      </c>
      <c r="AE12" s="75" t="s">
        <v>7430</v>
      </c>
      <c r="AF12" s="17" t="s">
        <v>7323</v>
      </c>
      <c r="AG12" s="72">
        <v>2</v>
      </c>
      <c r="AH12" s="17"/>
      <c r="AI12" s="11" t="s">
        <v>7425</v>
      </c>
    </row>
    <row r="13" spans="1:35" x14ac:dyDescent="0.3">
      <c r="A13" s="71" t="s">
        <v>7286</v>
      </c>
      <c r="B13" s="17" t="s">
        <v>7431</v>
      </c>
      <c r="C13" s="72" t="s">
        <v>7150</v>
      </c>
      <c r="D13" s="81" t="s">
        <v>7432</v>
      </c>
      <c r="E13" s="74" t="s">
        <v>1406</v>
      </c>
      <c r="F13" s="75" t="s">
        <v>7293</v>
      </c>
      <c r="G13" s="75" t="s">
        <v>7293</v>
      </c>
      <c r="H13" s="75" t="s">
        <v>7311</v>
      </c>
      <c r="I13" s="75" t="s">
        <v>7312</v>
      </c>
      <c r="J13" s="11" t="s">
        <v>7433</v>
      </c>
      <c r="K13" s="11" t="s">
        <v>7434</v>
      </c>
      <c r="L13" s="77" t="s">
        <v>7315</v>
      </c>
      <c r="M13" s="76">
        <v>41487</v>
      </c>
      <c r="N13" s="76"/>
      <c r="O13" s="75" t="s">
        <v>7296</v>
      </c>
      <c r="P13" s="17" t="s">
        <v>7316</v>
      </c>
      <c r="Q13" s="76">
        <v>31933</v>
      </c>
      <c r="R13" s="78">
        <v>39.358904109589041</v>
      </c>
      <c r="S13" s="79" t="s">
        <v>7435</v>
      </c>
      <c r="T13" s="75" t="s">
        <v>7298</v>
      </c>
      <c r="U13" s="75" t="s">
        <v>7436</v>
      </c>
      <c r="V13" s="17"/>
      <c r="W13" s="75" t="s">
        <v>7300</v>
      </c>
      <c r="X13" s="80"/>
      <c r="Y13" s="75" t="s">
        <v>7319</v>
      </c>
      <c r="Z13" s="15" t="s">
        <v>7437</v>
      </c>
      <c r="AA13" s="75"/>
      <c r="AB13" s="12" t="s">
        <v>7293</v>
      </c>
      <c r="AC13" s="12"/>
      <c r="AD13" s="75" t="s">
        <v>7438</v>
      </c>
      <c r="AE13" s="75" t="s">
        <v>7439</v>
      </c>
      <c r="AF13" s="17" t="s">
        <v>7323</v>
      </c>
      <c r="AG13" s="72">
        <v>2</v>
      </c>
      <c r="AH13" s="17"/>
      <c r="AI13" s="75" t="s">
        <v>7324</v>
      </c>
    </row>
    <row r="14" spans="1:35" x14ac:dyDescent="0.3">
      <c r="A14" s="71" t="s">
        <v>7286</v>
      </c>
      <c r="B14" s="17" t="s">
        <v>7440</v>
      </c>
      <c r="C14" s="72" t="s">
        <v>7150</v>
      </c>
      <c r="D14" s="81" t="s">
        <v>7441</v>
      </c>
      <c r="E14" s="74" t="s">
        <v>7442</v>
      </c>
      <c r="F14" s="75" t="s">
        <v>7329</v>
      </c>
      <c r="G14" s="75" t="s">
        <v>7330</v>
      </c>
      <c r="H14" s="75" t="s">
        <v>7405</v>
      </c>
      <c r="I14" s="75" t="s">
        <v>7406</v>
      </c>
      <c r="J14" s="11" t="s">
        <v>7407</v>
      </c>
      <c r="K14" s="11" t="s">
        <v>7408</v>
      </c>
      <c r="L14" s="77" t="s">
        <v>7409</v>
      </c>
      <c r="M14" s="76">
        <v>41673</v>
      </c>
      <c r="N14" s="76"/>
      <c r="O14" s="75" t="s">
        <v>7296</v>
      </c>
      <c r="P14" s="17"/>
      <c r="Q14" s="76">
        <v>33608</v>
      </c>
      <c r="R14" s="78">
        <v>34.769863013698632</v>
      </c>
      <c r="S14" s="79" t="s">
        <v>7443</v>
      </c>
      <c r="T14" s="75" t="s">
        <v>7298</v>
      </c>
      <c r="U14" s="75" t="s">
        <v>7444</v>
      </c>
      <c r="V14" s="17"/>
      <c r="W14" s="75" t="s">
        <v>7300</v>
      </c>
      <c r="X14" s="80"/>
      <c r="Y14" s="75" t="s">
        <v>7319</v>
      </c>
      <c r="Z14" s="15" t="s">
        <v>7445</v>
      </c>
      <c r="AA14" s="75"/>
      <c r="AB14" s="12" t="s">
        <v>7293</v>
      </c>
      <c r="AC14" s="12"/>
      <c r="AD14" s="75" t="s">
        <v>7446</v>
      </c>
      <c r="AE14" s="75" t="s">
        <v>7447</v>
      </c>
      <c r="AF14" s="17" t="s">
        <v>7323</v>
      </c>
      <c r="AG14" s="72">
        <v>0</v>
      </c>
      <c r="AH14" s="17"/>
      <c r="AI14" s="75" t="s">
        <v>7448</v>
      </c>
    </row>
    <row r="15" spans="1:35" ht="57.6" x14ac:dyDescent="0.3">
      <c r="A15" s="71" t="s">
        <v>7286</v>
      </c>
      <c r="B15" s="17" t="s">
        <v>7449</v>
      </c>
      <c r="C15" s="72" t="s">
        <v>7367</v>
      </c>
      <c r="D15" s="81" t="s">
        <v>7450</v>
      </c>
      <c r="E15" s="74" t="s">
        <v>7451</v>
      </c>
      <c r="F15" s="75" t="s">
        <v>7329</v>
      </c>
      <c r="G15" s="75" t="s">
        <v>7330</v>
      </c>
      <c r="H15" s="75" t="s">
        <v>7452</v>
      </c>
      <c r="I15" s="75" t="s">
        <v>7453</v>
      </c>
      <c r="J15" s="11" t="s">
        <v>7454</v>
      </c>
      <c r="K15" s="11" t="s">
        <v>7455</v>
      </c>
      <c r="L15" s="77" t="s">
        <v>7456</v>
      </c>
      <c r="M15" s="76">
        <v>41673</v>
      </c>
      <c r="N15" s="76"/>
      <c r="O15" s="75" t="s">
        <v>7296</v>
      </c>
      <c r="P15" s="17"/>
      <c r="Q15" s="76">
        <v>31799</v>
      </c>
      <c r="R15" s="78">
        <v>39.726027397260275</v>
      </c>
      <c r="S15" s="79" t="s">
        <v>7457</v>
      </c>
      <c r="T15" s="75" t="s">
        <v>7298</v>
      </c>
      <c r="U15" s="75" t="s">
        <v>7458</v>
      </c>
      <c r="V15" s="17"/>
      <c r="W15" s="75" t="s">
        <v>7300</v>
      </c>
      <c r="X15" s="80"/>
      <c r="Y15" s="75" t="s">
        <v>7319</v>
      </c>
      <c r="Z15" s="15" t="s">
        <v>7459</v>
      </c>
      <c r="AA15" s="75" t="s">
        <v>7459</v>
      </c>
      <c r="AB15" s="13" t="s">
        <v>7460</v>
      </c>
      <c r="AC15" s="12"/>
      <c r="AD15" s="75" t="s">
        <v>7461</v>
      </c>
      <c r="AE15" s="75" t="s">
        <v>7462</v>
      </c>
      <c r="AF15" s="17" t="s">
        <v>7323</v>
      </c>
      <c r="AG15" s="72">
        <v>2</v>
      </c>
      <c r="AH15" s="17"/>
      <c r="AI15" s="75" t="s">
        <v>7324</v>
      </c>
    </row>
    <row r="16" spans="1:35" ht="43.2" x14ac:dyDescent="0.3">
      <c r="A16" s="71" t="s">
        <v>7286</v>
      </c>
      <c r="B16" s="17" t="s">
        <v>7463</v>
      </c>
      <c r="C16" s="72" t="s">
        <v>7343</v>
      </c>
      <c r="D16" s="81" t="s">
        <v>7464</v>
      </c>
      <c r="E16" s="74" t="s">
        <v>7409</v>
      </c>
      <c r="F16" s="75" t="s">
        <v>7329</v>
      </c>
      <c r="G16" s="75" t="s">
        <v>7330</v>
      </c>
      <c r="H16" s="75" t="s">
        <v>7405</v>
      </c>
      <c r="I16" s="75" t="s">
        <v>7406</v>
      </c>
      <c r="J16" s="11" t="s">
        <v>7465</v>
      </c>
      <c r="K16" s="11" t="s">
        <v>7466</v>
      </c>
      <c r="L16" s="77" t="s">
        <v>7467</v>
      </c>
      <c r="M16" s="76">
        <v>41682</v>
      </c>
      <c r="N16" s="76"/>
      <c r="O16" s="75" t="s">
        <v>7296</v>
      </c>
      <c r="P16" s="17"/>
      <c r="Q16" s="76">
        <v>32621</v>
      </c>
      <c r="R16" s="78">
        <v>37.473972602739728</v>
      </c>
      <c r="S16" s="79" t="s">
        <v>7468</v>
      </c>
      <c r="T16" s="75" t="s">
        <v>7298</v>
      </c>
      <c r="U16" s="75" t="s">
        <v>7469</v>
      </c>
      <c r="V16" s="17"/>
      <c r="W16" s="75" t="s">
        <v>7300</v>
      </c>
      <c r="X16" s="80"/>
      <c r="Y16" s="75" t="s">
        <v>7319</v>
      </c>
      <c r="Z16" s="15" t="s">
        <v>7470</v>
      </c>
      <c r="AA16" s="75" t="s">
        <v>7470</v>
      </c>
      <c r="AB16" s="12" t="s">
        <v>7471</v>
      </c>
      <c r="AC16" s="12"/>
      <c r="AD16" s="75" t="s">
        <v>7472</v>
      </c>
      <c r="AE16" s="75" t="s">
        <v>7473</v>
      </c>
      <c r="AF16" s="17" t="s">
        <v>7323</v>
      </c>
      <c r="AG16" s="72">
        <v>1</v>
      </c>
      <c r="AH16" s="17"/>
      <c r="AI16" s="75" t="s">
        <v>7324</v>
      </c>
    </row>
    <row r="17" spans="1:35" x14ac:dyDescent="0.3">
      <c r="A17" s="71" t="s">
        <v>7286</v>
      </c>
      <c r="B17" s="17" t="s">
        <v>7474</v>
      </c>
      <c r="C17" s="72" t="s">
        <v>7150</v>
      </c>
      <c r="D17" s="81" t="s">
        <v>7475</v>
      </c>
      <c r="E17" s="74" t="s">
        <v>1530</v>
      </c>
      <c r="F17" s="75" t="s">
        <v>7293</v>
      </c>
      <c r="G17" s="75" t="s">
        <v>7293</v>
      </c>
      <c r="H17" s="75" t="s">
        <v>7311</v>
      </c>
      <c r="I17" s="75" t="s">
        <v>7312</v>
      </c>
      <c r="J17" s="11" t="s">
        <v>7433</v>
      </c>
      <c r="K17" s="11" t="s">
        <v>7434</v>
      </c>
      <c r="L17" s="77" t="s">
        <v>7315</v>
      </c>
      <c r="M17" s="76">
        <v>41745</v>
      </c>
      <c r="N17" s="76"/>
      <c r="O17" s="75" t="s">
        <v>7296</v>
      </c>
      <c r="P17" s="17" t="s">
        <v>7422</v>
      </c>
      <c r="Q17" s="76">
        <v>31979</v>
      </c>
      <c r="R17" s="78">
        <v>39.232876712328768</v>
      </c>
      <c r="S17" s="79" t="s">
        <v>7476</v>
      </c>
      <c r="T17" s="75" t="s">
        <v>7298</v>
      </c>
      <c r="U17" s="75" t="s">
        <v>7477</v>
      </c>
      <c r="V17" s="83">
        <v>48428</v>
      </c>
      <c r="W17" s="75" t="s">
        <v>7300</v>
      </c>
      <c r="X17" s="80"/>
      <c r="Y17" s="75" t="s">
        <v>7319</v>
      </c>
      <c r="Z17" s="15" t="s">
        <v>7478</v>
      </c>
      <c r="AA17" s="75"/>
      <c r="AB17" s="12" t="s">
        <v>7293</v>
      </c>
      <c r="AC17" s="12"/>
      <c r="AD17" s="75" t="s">
        <v>7479</v>
      </c>
      <c r="AE17" s="75" t="s">
        <v>7480</v>
      </c>
      <c r="AF17" s="17" t="s">
        <v>7323</v>
      </c>
      <c r="AG17" s="72">
        <v>2</v>
      </c>
      <c r="AH17" s="17"/>
      <c r="AI17" s="11" t="s">
        <v>7422</v>
      </c>
    </row>
    <row r="18" spans="1:35" x14ac:dyDescent="0.3">
      <c r="A18" s="71" t="s">
        <v>7286</v>
      </c>
      <c r="B18" s="17" t="s">
        <v>7481</v>
      </c>
      <c r="C18" s="72" t="s">
        <v>7150</v>
      </c>
      <c r="D18" s="81" t="s">
        <v>7482</v>
      </c>
      <c r="E18" s="74" t="s">
        <v>7483</v>
      </c>
      <c r="F18" s="75" t="s">
        <v>7329</v>
      </c>
      <c r="G18" s="75" t="s">
        <v>7330</v>
      </c>
      <c r="H18" s="75" t="s">
        <v>7405</v>
      </c>
      <c r="I18" s="75" t="s">
        <v>7406</v>
      </c>
      <c r="J18" s="11" t="s">
        <v>7407</v>
      </c>
      <c r="K18" s="11" t="s">
        <v>7408</v>
      </c>
      <c r="L18" s="77" t="s">
        <v>7409</v>
      </c>
      <c r="M18" s="76">
        <v>41792</v>
      </c>
      <c r="N18" s="76"/>
      <c r="O18" s="75" t="s">
        <v>7296</v>
      </c>
      <c r="P18" s="17"/>
      <c r="Q18" s="76">
        <v>32432</v>
      </c>
      <c r="R18" s="78">
        <v>37.991780821917807</v>
      </c>
      <c r="S18" s="79" t="s">
        <v>7484</v>
      </c>
      <c r="T18" s="75" t="s">
        <v>7298</v>
      </c>
      <c r="U18" s="81" t="s">
        <v>7485</v>
      </c>
      <c r="V18" s="84">
        <v>48265</v>
      </c>
      <c r="W18" s="75" t="s">
        <v>7300</v>
      </c>
      <c r="X18" s="80"/>
      <c r="Y18" s="75" t="s">
        <v>7319</v>
      </c>
      <c r="Z18" s="15" t="s">
        <v>7486</v>
      </c>
      <c r="AA18" s="75"/>
      <c r="AB18" s="12" t="s">
        <v>7293</v>
      </c>
      <c r="AC18" s="12"/>
      <c r="AD18" s="81" t="s">
        <v>7487</v>
      </c>
      <c r="AE18" s="81" t="s">
        <v>7487</v>
      </c>
      <c r="AF18" s="17" t="s">
        <v>7306</v>
      </c>
      <c r="AG18" s="72">
        <v>0</v>
      </c>
      <c r="AH18" s="72"/>
      <c r="AI18" s="11" t="s">
        <v>7422</v>
      </c>
    </row>
    <row r="19" spans="1:35" x14ac:dyDescent="0.3">
      <c r="A19" s="71" t="s">
        <v>7286</v>
      </c>
      <c r="B19" s="17" t="s">
        <v>7488</v>
      </c>
      <c r="C19" s="72" t="s">
        <v>7150</v>
      </c>
      <c r="D19" s="81" t="s">
        <v>7489</v>
      </c>
      <c r="E19" s="74" t="s">
        <v>7490</v>
      </c>
      <c r="F19" s="75" t="s">
        <v>7293</v>
      </c>
      <c r="G19" s="75" t="s">
        <v>7293</v>
      </c>
      <c r="H19" s="75" t="s">
        <v>7311</v>
      </c>
      <c r="I19" s="75" t="s">
        <v>7312</v>
      </c>
      <c r="J19" s="11" t="s">
        <v>7433</v>
      </c>
      <c r="K19" s="11" t="s">
        <v>7434</v>
      </c>
      <c r="L19" s="77" t="s">
        <v>7315</v>
      </c>
      <c r="M19" s="76">
        <v>41815</v>
      </c>
      <c r="N19" s="76"/>
      <c r="O19" s="75" t="s">
        <v>7296</v>
      </c>
      <c r="P19" s="17" t="s">
        <v>7425</v>
      </c>
      <c r="Q19" s="76">
        <v>34093</v>
      </c>
      <c r="R19" s="78">
        <v>33.441095890410956</v>
      </c>
      <c r="S19" s="79" t="s">
        <v>7491</v>
      </c>
      <c r="T19" s="75" t="s">
        <v>7298</v>
      </c>
      <c r="U19" s="81" t="s">
        <v>7492</v>
      </c>
      <c r="V19" s="85"/>
      <c r="W19" s="75" t="s">
        <v>7300</v>
      </c>
      <c r="X19" s="80"/>
      <c r="Y19" s="75" t="s">
        <v>7319</v>
      </c>
      <c r="Z19" s="15" t="s">
        <v>7493</v>
      </c>
      <c r="AA19" s="75"/>
      <c r="AB19" s="12" t="s">
        <v>7293</v>
      </c>
      <c r="AC19" s="12"/>
      <c r="AD19" s="86" t="s">
        <v>7494</v>
      </c>
      <c r="AE19" s="81" t="s">
        <v>7494</v>
      </c>
      <c r="AF19" s="17" t="s">
        <v>7306</v>
      </c>
      <c r="AG19" s="72">
        <v>0</v>
      </c>
      <c r="AH19" s="72"/>
      <c r="AI19" s="75" t="s">
        <v>7425</v>
      </c>
    </row>
    <row r="20" spans="1:35" ht="57.6" x14ac:dyDescent="0.3">
      <c r="A20" s="71" t="s">
        <v>7286</v>
      </c>
      <c r="B20" s="17" t="s">
        <v>7495</v>
      </c>
      <c r="C20" s="72" t="s">
        <v>7326</v>
      </c>
      <c r="D20" s="81" t="s">
        <v>7496</v>
      </c>
      <c r="E20" s="74" t="s">
        <v>7497</v>
      </c>
      <c r="F20" s="75" t="s">
        <v>7293</v>
      </c>
      <c r="G20" s="75" t="s">
        <v>7293</v>
      </c>
      <c r="H20" s="75" t="s">
        <v>7311</v>
      </c>
      <c r="I20" s="75" t="s">
        <v>7312</v>
      </c>
      <c r="J20" s="11" t="s">
        <v>7498</v>
      </c>
      <c r="K20" s="11" t="s">
        <v>7499</v>
      </c>
      <c r="L20" s="77" t="s">
        <v>7315</v>
      </c>
      <c r="M20" s="76">
        <v>41834</v>
      </c>
      <c r="N20" s="76"/>
      <c r="O20" s="75" t="s">
        <v>7296</v>
      </c>
      <c r="P20" s="17"/>
      <c r="Q20" s="76">
        <v>34190</v>
      </c>
      <c r="R20" s="78">
        <v>33.175342465753424</v>
      </c>
      <c r="S20" s="79" t="s">
        <v>7500</v>
      </c>
      <c r="T20" s="75" t="s">
        <v>7298</v>
      </c>
      <c r="U20" s="81" t="s">
        <v>7501</v>
      </c>
      <c r="V20" s="85"/>
      <c r="W20" s="75" t="s">
        <v>7300</v>
      </c>
      <c r="X20" s="80"/>
      <c r="Y20" s="75" t="s">
        <v>7319</v>
      </c>
      <c r="Z20" s="15" t="s">
        <v>7502</v>
      </c>
      <c r="AA20" s="75" t="s">
        <v>7502</v>
      </c>
      <c r="AB20" s="12" t="s">
        <v>7503</v>
      </c>
      <c r="AC20" s="12"/>
      <c r="AD20" s="75" t="s">
        <v>7504</v>
      </c>
      <c r="AE20" s="81" t="s">
        <v>7504</v>
      </c>
      <c r="AF20" s="17" t="s">
        <v>7306</v>
      </c>
      <c r="AG20" s="72">
        <v>0</v>
      </c>
      <c r="AH20" s="72"/>
      <c r="AI20" s="11" t="s">
        <v>7505</v>
      </c>
    </row>
    <row r="21" spans="1:35" x14ac:dyDescent="0.3">
      <c r="A21" s="71" t="s">
        <v>7286</v>
      </c>
      <c r="B21" s="17" t="s">
        <v>7506</v>
      </c>
      <c r="C21" s="72" t="s">
        <v>7150</v>
      </c>
      <c r="D21" s="81" t="s">
        <v>7507</v>
      </c>
      <c r="E21" s="74" t="s">
        <v>7508</v>
      </c>
      <c r="F21" s="75" t="s">
        <v>7329</v>
      </c>
      <c r="G21" s="75" t="s">
        <v>7330</v>
      </c>
      <c r="H21" s="75" t="s">
        <v>7452</v>
      </c>
      <c r="I21" s="75" t="s">
        <v>7453</v>
      </c>
      <c r="J21" s="11" t="s">
        <v>7509</v>
      </c>
      <c r="K21" s="11" t="s">
        <v>7510</v>
      </c>
      <c r="L21" s="77" t="s">
        <v>7456</v>
      </c>
      <c r="M21" s="76">
        <v>41900</v>
      </c>
      <c r="N21" s="76"/>
      <c r="O21" s="75" t="s">
        <v>7296</v>
      </c>
      <c r="P21" s="17"/>
      <c r="Q21" s="76">
        <v>31001</v>
      </c>
      <c r="R21" s="78">
        <v>41.912328767123284</v>
      </c>
      <c r="S21" s="79" t="s">
        <v>7511</v>
      </c>
      <c r="T21" s="75" t="s">
        <v>7298</v>
      </c>
      <c r="U21" s="81" t="s">
        <v>7512</v>
      </c>
      <c r="V21" s="85"/>
      <c r="W21" s="75" t="s">
        <v>7300</v>
      </c>
      <c r="X21" s="80"/>
      <c r="Y21" s="75" t="s">
        <v>7319</v>
      </c>
      <c r="Z21" s="15" t="s">
        <v>7513</v>
      </c>
      <c r="AA21" s="75"/>
      <c r="AB21" s="12" t="s">
        <v>7293</v>
      </c>
      <c r="AC21" s="12"/>
      <c r="AD21" s="86" t="s">
        <v>7514</v>
      </c>
      <c r="AE21" s="81" t="s">
        <v>7515</v>
      </c>
      <c r="AF21" s="17" t="s">
        <v>7323</v>
      </c>
      <c r="AG21" s="72">
        <v>2</v>
      </c>
      <c r="AH21" s="72"/>
      <c r="AI21" s="75" t="s">
        <v>7324</v>
      </c>
    </row>
    <row r="22" spans="1:35" ht="100.8" x14ac:dyDescent="0.3">
      <c r="A22" s="71" t="s">
        <v>7286</v>
      </c>
      <c r="B22" s="17" t="s">
        <v>7516</v>
      </c>
      <c r="C22" s="72" t="s">
        <v>7150</v>
      </c>
      <c r="D22" s="81" t="s">
        <v>7517</v>
      </c>
      <c r="E22" s="74" t="s">
        <v>1447</v>
      </c>
      <c r="F22" s="75" t="s">
        <v>7293</v>
      </c>
      <c r="G22" s="75" t="s">
        <v>7293</v>
      </c>
      <c r="H22" s="75" t="s">
        <v>7311</v>
      </c>
      <c r="I22" s="75" t="s">
        <v>7312</v>
      </c>
      <c r="J22" s="11" t="s">
        <v>7313</v>
      </c>
      <c r="K22" s="11" t="s">
        <v>7314</v>
      </c>
      <c r="L22" s="77" t="s">
        <v>7315</v>
      </c>
      <c r="M22" s="76">
        <v>41913</v>
      </c>
      <c r="N22" s="76"/>
      <c r="O22" s="75" t="s">
        <v>7296</v>
      </c>
      <c r="P22" s="17" t="s">
        <v>7316</v>
      </c>
      <c r="Q22" s="76">
        <v>21253</v>
      </c>
      <c r="R22" s="78">
        <v>68.61917808219178</v>
      </c>
      <c r="S22" s="79" t="s">
        <v>7518</v>
      </c>
      <c r="T22" s="75" t="s">
        <v>7298</v>
      </c>
      <c r="U22" s="87" t="s">
        <v>7519</v>
      </c>
      <c r="V22" s="88"/>
      <c r="W22" s="75" t="s">
        <v>7300</v>
      </c>
      <c r="X22" s="80"/>
      <c r="Y22" s="75" t="s">
        <v>7319</v>
      </c>
      <c r="Z22" s="15" t="s">
        <v>7520</v>
      </c>
      <c r="AA22" s="75"/>
      <c r="AB22" s="12" t="s">
        <v>7293</v>
      </c>
      <c r="AC22" s="12"/>
      <c r="AD22" s="89" t="s">
        <v>7521</v>
      </c>
      <c r="AE22" s="87" t="s">
        <v>7521</v>
      </c>
      <c r="AF22" s="17" t="s">
        <v>7323</v>
      </c>
      <c r="AG22" s="72">
        <v>2</v>
      </c>
      <c r="AH22" s="72"/>
      <c r="AI22" s="75" t="s">
        <v>7324</v>
      </c>
    </row>
    <row r="23" spans="1:35" x14ac:dyDescent="0.3">
      <c r="A23" s="71" t="s">
        <v>7286</v>
      </c>
      <c r="B23" s="17" t="s">
        <v>7522</v>
      </c>
      <c r="C23" s="72" t="s">
        <v>7150</v>
      </c>
      <c r="D23" s="81" t="s">
        <v>7523</v>
      </c>
      <c r="E23" s="74" t="s">
        <v>1280</v>
      </c>
      <c r="F23" s="75" t="s">
        <v>7293</v>
      </c>
      <c r="G23" s="75" t="s">
        <v>7293</v>
      </c>
      <c r="H23" s="75" t="s">
        <v>7311</v>
      </c>
      <c r="I23" s="75" t="s">
        <v>7312</v>
      </c>
      <c r="J23" s="11" t="s">
        <v>7433</v>
      </c>
      <c r="K23" s="11" t="s">
        <v>7434</v>
      </c>
      <c r="L23" s="77" t="s">
        <v>7315</v>
      </c>
      <c r="M23" s="76">
        <v>41975</v>
      </c>
      <c r="N23" s="76"/>
      <c r="O23" s="75" t="s">
        <v>7296</v>
      </c>
      <c r="P23" s="17" t="s">
        <v>7524</v>
      </c>
      <c r="Q23" s="76">
        <v>31329</v>
      </c>
      <c r="R23" s="78">
        <v>41.013698630136986</v>
      </c>
      <c r="S23" s="79" t="s">
        <v>7525</v>
      </c>
      <c r="T23" s="75" t="s">
        <v>7298</v>
      </c>
      <c r="U23" s="75" t="s">
        <v>7526</v>
      </c>
      <c r="V23" s="17"/>
      <c r="W23" s="75" t="s">
        <v>7300</v>
      </c>
      <c r="X23" s="80"/>
      <c r="Y23" s="75" t="s">
        <v>7319</v>
      </c>
      <c r="Z23" s="15" t="s">
        <v>7527</v>
      </c>
      <c r="AA23" s="75"/>
      <c r="AB23" s="12" t="s">
        <v>7293</v>
      </c>
      <c r="AC23" s="12"/>
      <c r="AD23" s="75" t="s">
        <v>7528</v>
      </c>
      <c r="AE23" s="75" t="s">
        <v>7528</v>
      </c>
      <c r="AF23" s="17" t="s">
        <v>7323</v>
      </c>
      <c r="AG23" s="72">
        <v>3</v>
      </c>
      <c r="AH23" s="17"/>
      <c r="AI23" s="11" t="s">
        <v>7524</v>
      </c>
    </row>
    <row r="24" spans="1:35" ht="57.6" x14ac:dyDescent="0.3">
      <c r="A24" s="71" t="s">
        <v>7286</v>
      </c>
      <c r="B24" s="17" t="s">
        <v>7529</v>
      </c>
      <c r="C24" s="72" t="s">
        <v>7367</v>
      </c>
      <c r="D24" s="81" t="s">
        <v>7530</v>
      </c>
      <c r="E24" s="74" t="s">
        <v>7531</v>
      </c>
      <c r="F24" s="75" t="s">
        <v>7370</v>
      </c>
      <c r="G24" s="75" t="s">
        <v>7371</v>
      </c>
      <c r="H24" s="75" t="s">
        <v>7372</v>
      </c>
      <c r="I24" s="75" t="s">
        <v>7373</v>
      </c>
      <c r="J24" s="82" t="s">
        <v>7532</v>
      </c>
      <c r="K24" s="11" t="s">
        <v>7533</v>
      </c>
      <c r="L24" s="77" t="s">
        <v>7376</v>
      </c>
      <c r="M24" s="76">
        <v>41984</v>
      </c>
      <c r="N24" s="76"/>
      <c r="O24" s="75" t="s">
        <v>7296</v>
      </c>
      <c r="P24" s="17"/>
      <c r="Q24" s="76">
        <v>33528</v>
      </c>
      <c r="R24" s="78">
        <v>34.989041095890414</v>
      </c>
      <c r="S24" s="79" t="s">
        <v>7534</v>
      </c>
      <c r="T24" s="75" t="s">
        <v>7298</v>
      </c>
      <c r="U24" s="75" t="s">
        <v>7535</v>
      </c>
      <c r="V24" s="17"/>
      <c r="W24" s="75" t="s">
        <v>7300</v>
      </c>
      <c r="X24" s="80"/>
      <c r="Y24" s="75" t="s">
        <v>7302</v>
      </c>
      <c r="Z24" s="15" t="s">
        <v>7536</v>
      </c>
      <c r="AA24" s="75" t="s">
        <v>7536</v>
      </c>
      <c r="AB24" s="12" t="s">
        <v>7537</v>
      </c>
      <c r="AC24" s="12"/>
      <c r="AD24" s="75" t="s">
        <v>7538</v>
      </c>
      <c r="AE24" s="75" t="s">
        <v>7538</v>
      </c>
      <c r="AF24" s="17" t="s">
        <v>7323</v>
      </c>
      <c r="AG24" s="72">
        <v>1</v>
      </c>
      <c r="AH24" s="17"/>
      <c r="AI24" s="75" t="s">
        <v>7524</v>
      </c>
    </row>
    <row r="25" spans="1:35" x14ac:dyDescent="0.3">
      <c r="A25" s="71" t="s">
        <v>7286</v>
      </c>
      <c r="B25" s="17" t="s">
        <v>7539</v>
      </c>
      <c r="C25" s="72" t="s">
        <v>7150</v>
      </c>
      <c r="D25" s="81" t="s">
        <v>7540</v>
      </c>
      <c r="E25" s="74" t="s">
        <v>7541</v>
      </c>
      <c r="F25" s="75" t="s">
        <v>7293</v>
      </c>
      <c r="G25" s="75" t="s">
        <v>7293</v>
      </c>
      <c r="H25" s="75" t="s">
        <v>7293</v>
      </c>
      <c r="I25" s="75" t="s">
        <v>7293</v>
      </c>
      <c r="J25" s="11" t="s">
        <v>7542</v>
      </c>
      <c r="K25" s="11" t="s">
        <v>6401</v>
      </c>
      <c r="L25" s="77" t="s">
        <v>7543</v>
      </c>
      <c r="M25" s="76">
        <v>42010</v>
      </c>
      <c r="N25" s="76"/>
      <c r="O25" s="75" t="s">
        <v>7296</v>
      </c>
      <c r="P25" s="17"/>
      <c r="Q25" s="76">
        <v>26712</v>
      </c>
      <c r="R25" s="78">
        <v>53.663013698630138</v>
      </c>
      <c r="S25" s="79" t="s">
        <v>7544</v>
      </c>
      <c r="T25" s="75" t="s">
        <v>7298</v>
      </c>
      <c r="U25" s="75" t="s">
        <v>7545</v>
      </c>
      <c r="V25" s="17"/>
      <c r="W25" s="75" t="s">
        <v>7300</v>
      </c>
      <c r="X25" s="80"/>
      <c r="Y25" s="75" t="s">
        <v>7302</v>
      </c>
      <c r="Z25" s="15" t="s">
        <v>7546</v>
      </c>
      <c r="AA25" s="75"/>
      <c r="AB25" s="12" t="s">
        <v>7293</v>
      </c>
      <c r="AC25" s="12"/>
      <c r="AD25" s="75" t="s">
        <v>7547</v>
      </c>
      <c r="AE25" s="75" t="s">
        <v>7547</v>
      </c>
      <c r="AF25" s="17" t="s">
        <v>7323</v>
      </c>
      <c r="AG25" s="72">
        <v>2</v>
      </c>
      <c r="AH25" s="17"/>
      <c r="AI25" s="75" t="s">
        <v>7524</v>
      </c>
    </row>
    <row r="26" spans="1:35" x14ac:dyDescent="0.3">
      <c r="A26" s="71" t="s">
        <v>7384</v>
      </c>
      <c r="B26" s="17" t="s">
        <v>7548</v>
      </c>
      <c r="C26" s="72" t="s">
        <v>7367</v>
      </c>
      <c r="D26" s="81" t="s">
        <v>7549</v>
      </c>
      <c r="E26" s="74" t="s">
        <v>7550</v>
      </c>
      <c r="F26" s="75" t="s">
        <v>7329</v>
      </c>
      <c r="G26" s="75" t="s">
        <v>7330</v>
      </c>
      <c r="H26" s="11" t="s">
        <v>7358</v>
      </c>
      <c r="I26" s="75" t="s">
        <v>7359</v>
      </c>
      <c r="J26" s="11" t="s">
        <v>7388</v>
      </c>
      <c r="K26" s="11" t="s">
        <v>7389</v>
      </c>
      <c r="L26" s="77" t="s">
        <v>7360</v>
      </c>
      <c r="M26" s="76">
        <v>42061</v>
      </c>
      <c r="N26" s="76"/>
      <c r="O26" s="75" t="s">
        <v>7296</v>
      </c>
      <c r="P26" s="17"/>
      <c r="Q26" s="76">
        <v>22369</v>
      </c>
      <c r="R26" s="78">
        <v>65.561643835616437</v>
      </c>
      <c r="S26" s="79" t="s">
        <v>7551</v>
      </c>
      <c r="T26" s="75" t="s">
        <v>7298</v>
      </c>
      <c r="U26" s="75" t="s">
        <v>7552</v>
      </c>
      <c r="V26" s="17"/>
      <c r="W26" s="75" t="s">
        <v>7300</v>
      </c>
      <c r="X26" s="80"/>
      <c r="Y26" s="75" t="s">
        <v>7319</v>
      </c>
      <c r="Z26" s="15" t="s">
        <v>7553</v>
      </c>
      <c r="AA26" s="75"/>
      <c r="AB26" s="12" t="s">
        <v>7293</v>
      </c>
      <c r="AC26" s="12"/>
      <c r="AD26" s="75" t="s">
        <v>7554</v>
      </c>
      <c r="AE26" s="75" t="s">
        <v>7555</v>
      </c>
      <c r="AF26" s="17" t="s">
        <v>7323</v>
      </c>
      <c r="AG26" s="72">
        <v>2</v>
      </c>
      <c r="AH26" s="17"/>
      <c r="AI26" s="11" t="s">
        <v>7556</v>
      </c>
    </row>
    <row r="27" spans="1:35" x14ac:dyDescent="0.3">
      <c r="A27" s="71" t="s">
        <v>7286</v>
      </c>
      <c r="B27" s="17" t="s">
        <v>7557</v>
      </c>
      <c r="C27" s="72" t="s">
        <v>7150</v>
      </c>
      <c r="D27" s="81" t="s">
        <v>7558</v>
      </c>
      <c r="E27" s="74" t="s">
        <v>7559</v>
      </c>
      <c r="F27" s="75" t="s">
        <v>7293</v>
      </c>
      <c r="G27" s="75" t="s">
        <v>7293</v>
      </c>
      <c r="H27" s="75" t="s">
        <v>7293</v>
      </c>
      <c r="I27" s="75" t="s">
        <v>7293</v>
      </c>
      <c r="J27" s="11" t="s">
        <v>7542</v>
      </c>
      <c r="K27" s="11" t="s">
        <v>6401</v>
      </c>
      <c r="L27" s="77" t="s">
        <v>7543</v>
      </c>
      <c r="M27" s="76">
        <v>42074</v>
      </c>
      <c r="N27" s="76"/>
      <c r="O27" s="75" t="s">
        <v>7296</v>
      </c>
      <c r="P27" s="17"/>
      <c r="Q27" s="76">
        <v>22255</v>
      </c>
      <c r="R27" s="78">
        <v>65.873972602739727</v>
      </c>
      <c r="S27" s="79" t="s">
        <v>7560</v>
      </c>
      <c r="T27" s="75" t="s">
        <v>7298</v>
      </c>
      <c r="U27" s="75" t="s">
        <v>7561</v>
      </c>
      <c r="V27" s="17"/>
      <c r="W27" s="75" t="s">
        <v>7300</v>
      </c>
      <c r="X27" s="80"/>
      <c r="Y27" s="75" t="s">
        <v>7302</v>
      </c>
      <c r="Z27" s="15" t="s">
        <v>7562</v>
      </c>
      <c r="AA27" s="75"/>
      <c r="AB27" s="12" t="s">
        <v>7293</v>
      </c>
      <c r="AC27" s="12"/>
      <c r="AD27" s="75" t="s">
        <v>7563</v>
      </c>
      <c r="AE27" s="75" t="s">
        <v>7563</v>
      </c>
      <c r="AF27" s="17" t="s">
        <v>7323</v>
      </c>
      <c r="AG27" s="72">
        <v>2</v>
      </c>
      <c r="AH27" s="17"/>
      <c r="AI27" s="11" t="s">
        <v>7422</v>
      </c>
    </row>
    <row r="28" spans="1:35" x14ac:dyDescent="0.3">
      <c r="A28" s="71" t="s">
        <v>7384</v>
      </c>
      <c r="B28" s="17" t="s">
        <v>7564</v>
      </c>
      <c r="C28" s="72" t="s">
        <v>7367</v>
      </c>
      <c r="D28" s="81" t="s">
        <v>7565</v>
      </c>
      <c r="E28" s="74" t="s">
        <v>7566</v>
      </c>
      <c r="F28" s="75" t="s">
        <v>7329</v>
      </c>
      <c r="G28" s="75" t="s">
        <v>7330</v>
      </c>
      <c r="H28" s="11" t="s">
        <v>7358</v>
      </c>
      <c r="I28" s="75" t="s">
        <v>7359</v>
      </c>
      <c r="J28" s="11" t="s">
        <v>7388</v>
      </c>
      <c r="K28" s="11" t="s">
        <v>7389</v>
      </c>
      <c r="L28" s="77" t="s">
        <v>7360</v>
      </c>
      <c r="M28" s="76">
        <v>42095</v>
      </c>
      <c r="N28" s="76"/>
      <c r="O28" s="75" t="s">
        <v>7296</v>
      </c>
      <c r="P28" s="17"/>
      <c r="Q28" s="76">
        <v>25756</v>
      </c>
      <c r="R28" s="78">
        <v>56.282191780821918</v>
      </c>
      <c r="S28" s="79" t="s">
        <v>7567</v>
      </c>
      <c r="T28" s="75" t="s">
        <v>7298</v>
      </c>
      <c r="U28" s="75" t="s">
        <v>7568</v>
      </c>
      <c r="V28" s="17"/>
      <c r="W28" s="75" t="s">
        <v>7300</v>
      </c>
      <c r="X28" s="80"/>
      <c r="Y28" s="75" t="s">
        <v>7319</v>
      </c>
      <c r="Z28" s="15" t="s">
        <v>7569</v>
      </c>
      <c r="AA28" s="75"/>
      <c r="AB28" s="12" t="s">
        <v>7293</v>
      </c>
      <c r="AC28" s="12"/>
      <c r="AD28" s="75" t="s">
        <v>7570</v>
      </c>
      <c r="AE28" s="75" t="s">
        <v>7571</v>
      </c>
      <c r="AF28" s="17" t="s">
        <v>7323</v>
      </c>
      <c r="AG28" s="72">
        <v>2</v>
      </c>
      <c r="AH28" s="17"/>
      <c r="AI28" s="11" t="s">
        <v>7556</v>
      </c>
    </row>
    <row r="29" spans="1:35" ht="57.6" x14ac:dyDescent="0.3">
      <c r="A29" s="71" t="s">
        <v>7286</v>
      </c>
      <c r="B29" s="17" t="s">
        <v>7572</v>
      </c>
      <c r="C29" s="72" t="s">
        <v>7367</v>
      </c>
      <c r="D29" s="81" t="s">
        <v>7573</v>
      </c>
      <c r="E29" s="74" t="s">
        <v>7574</v>
      </c>
      <c r="F29" s="75" t="s">
        <v>7329</v>
      </c>
      <c r="G29" s="75" t="s">
        <v>7330</v>
      </c>
      <c r="H29" s="75" t="s">
        <v>7331</v>
      </c>
      <c r="I29" s="75" t="s">
        <v>7332</v>
      </c>
      <c r="J29" s="11" t="s">
        <v>7575</v>
      </c>
      <c r="K29" s="11" t="s">
        <v>6340</v>
      </c>
      <c r="L29" s="77" t="s">
        <v>7335</v>
      </c>
      <c r="M29" s="76">
        <v>42101</v>
      </c>
      <c r="N29" s="76"/>
      <c r="O29" s="75" t="s">
        <v>7296</v>
      </c>
      <c r="P29" s="17"/>
      <c r="Q29" s="76">
        <v>33044</v>
      </c>
      <c r="R29" s="78">
        <v>36.315068493150683</v>
      </c>
      <c r="S29" s="79" t="s">
        <v>7576</v>
      </c>
      <c r="T29" s="75" t="s">
        <v>7298</v>
      </c>
      <c r="U29" s="75" t="s">
        <v>7577</v>
      </c>
      <c r="V29" s="17"/>
      <c r="W29" s="75" t="s">
        <v>7300</v>
      </c>
      <c r="X29" s="80"/>
      <c r="Y29" s="75" t="s">
        <v>7319</v>
      </c>
      <c r="Z29" s="15" t="s">
        <v>7578</v>
      </c>
      <c r="AA29" s="75" t="s">
        <v>7578</v>
      </c>
      <c r="AB29" s="12" t="s">
        <v>7579</v>
      </c>
      <c r="AC29" s="12"/>
      <c r="AD29" s="75" t="s">
        <v>7580</v>
      </c>
      <c r="AE29" s="75" t="s">
        <v>7581</v>
      </c>
      <c r="AF29" s="17" t="s">
        <v>7323</v>
      </c>
      <c r="AG29" s="72">
        <v>2</v>
      </c>
      <c r="AH29" s="17"/>
      <c r="AI29" s="75" t="s">
        <v>7324</v>
      </c>
    </row>
    <row r="30" spans="1:35" ht="57.6" x14ac:dyDescent="0.3">
      <c r="A30" s="71" t="s">
        <v>7286</v>
      </c>
      <c r="B30" s="17" t="s">
        <v>7582</v>
      </c>
      <c r="C30" s="72" t="s">
        <v>7367</v>
      </c>
      <c r="D30" s="81" t="s">
        <v>7583</v>
      </c>
      <c r="E30" s="74" t="s">
        <v>7584</v>
      </c>
      <c r="F30" s="75" t="s">
        <v>7293</v>
      </c>
      <c r="G30" s="75" t="s">
        <v>7293</v>
      </c>
      <c r="H30" s="75" t="s">
        <v>7293</v>
      </c>
      <c r="I30" s="75" t="s">
        <v>7293</v>
      </c>
      <c r="J30" s="11" t="s">
        <v>7585</v>
      </c>
      <c r="K30" s="11" t="s">
        <v>7586</v>
      </c>
      <c r="L30" s="77" t="s">
        <v>7587</v>
      </c>
      <c r="M30" s="76">
        <v>42125</v>
      </c>
      <c r="N30" s="76"/>
      <c r="O30" s="75" t="s">
        <v>7296</v>
      </c>
      <c r="P30" s="17"/>
      <c r="Q30" s="76">
        <v>29538</v>
      </c>
      <c r="R30" s="78">
        <v>45.920547945205477</v>
      </c>
      <c r="S30" s="79" t="s">
        <v>7588</v>
      </c>
      <c r="T30" s="75" t="s">
        <v>7298</v>
      </c>
      <c r="U30" s="75" t="s">
        <v>7589</v>
      </c>
      <c r="V30" s="17"/>
      <c r="W30" s="75" t="s">
        <v>7300</v>
      </c>
      <c r="X30" s="80"/>
      <c r="Y30" s="75" t="s">
        <v>7302</v>
      </c>
      <c r="Z30" s="15" t="s">
        <v>7590</v>
      </c>
      <c r="AA30" s="75" t="s">
        <v>7590</v>
      </c>
      <c r="AB30" s="12" t="s">
        <v>7591</v>
      </c>
      <c r="AC30" s="12"/>
      <c r="AD30" s="75" t="s">
        <v>7592</v>
      </c>
      <c r="AE30" s="75" t="s">
        <v>7593</v>
      </c>
      <c r="AF30" s="17" t="s">
        <v>7306</v>
      </c>
      <c r="AG30" s="72">
        <v>2</v>
      </c>
      <c r="AH30" s="17"/>
      <c r="AI30" s="75" t="s">
        <v>7307</v>
      </c>
    </row>
    <row r="31" spans="1:35" x14ac:dyDescent="0.3">
      <c r="A31" s="71" t="s">
        <v>7286</v>
      </c>
      <c r="B31" s="17" t="s">
        <v>7594</v>
      </c>
      <c r="C31" s="72" t="s">
        <v>7150</v>
      </c>
      <c r="D31" s="81" t="s">
        <v>7595</v>
      </c>
      <c r="E31" s="74" t="s">
        <v>7596</v>
      </c>
      <c r="F31" s="75" t="s">
        <v>7293</v>
      </c>
      <c r="G31" s="75" t="s">
        <v>7293</v>
      </c>
      <c r="H31" s="75" t="s">
        <v>7311</v>
      </c>
      <c r="I31" s="75" t="s">
        <v>7312</v>
      </c>
      <c r="J31" s="11" t="s">
        <v>7313</v>
      </c>
      <c r="K31" s="11" t="s">
        <v>7314</v>
      </c>
      <c r="L31" s="77" t="s">
        <v>7315</v>
      </c>
      <c r="M31" s="76">
        <v>42136</v>
      </c>
      <c r="N31" s="76"/>
      <c r="O31" s="75" t="s">
        <v>7296</v>
      </c>
      <c r="P31" s="17" t="s">
        <v>7597</v>
      </c>
      <c r="Q31" s="76">
        <v>27762</v>
      </c>
      <c r="R31" s="78">
        <v>50.786301369863011</v>
      </c>
      <c r="S31" s="79" t="s">
        <v>7598</v>
      </c>
      <c r="T31" s="75" t="s">
        <v>7298</v>
      </c>
      <c r="U31" s="75" t="s">
        <v>7599</v>
      </c>
      <c r="V31" s="17"/>
      <c r="W31" s="75" t="s">
        <v>7300</v>
      </c>
      <c r="X31" s="80"/>
      <c r="Y31" s="75" t="s">
        <v>7319</v>
      </c>
      <c r="Z31" s="15" t="s">
        <v>7600</v>
      </c>
      <c r="AA31" s="75"/>
      <c r="AB31" s="12" t="s">
        <v>7293</v>
      </c>
      <c r="AC31" s="12"/>
      <c r="AD31" s="75" t="s">
        <v>7601</v>
      </c>
      <c r="AE31" s="75" t="s">
        <v>7601</v>
      </c>
      <c r="AF31" s="17" t="s">
        <v>7306</v>
      </c>
      <c r="AG31" s="72">
        <v>2</v>
      </c>
      <c r="AH31" s="17"/>
      <c r="AI31" s="75" t="s">
        <v>7597</v>
      </c>
    </row>
    <row r="32" spans="1:35" x14ac:dyDescent="0.3">
      <c r="A32" s="71" t="s">
        <v>7286</v>
      </c>
      <c r="B32" s="17" t="s">
        <v>7602</v>
      </c>
      <c r="C32" s="72" t="s">
        <v>7150</v>
      </c>
      <c r="D32" s="81" t="s">
        <v>7603</v>
      </c>
      <c r="E32" s="74" t="s">
        <v>7604</v>
      </c>
      <c r="F32" s="75" t="s">
        <v>7329</v>
      </c>
      <c r="G32" s="75" t="s">
        <v>7330</v>
      </c>
      <c r="H32" s="75" t="s">
        <v>7405</v>
      </c>
      <c r="I32" s="75" t="s">
        <v>7406</v>
      </c>
      <c r="J32" s="11" t="s">
        <v>7407</v>
      </c>
      <c r="K32" s="11" t="s">
        <v>7408</v>
      </c>
      <c r="L32" s="77" t="s">
        <v>7409</v>
      </c>
      <c r="M32" s="76">
        <v>42137</v>
      </c>
      <c r="N32" s="76"/>
      <c r="O32" s="75" t="s">
        <v>7296</v>
      </c>
      <c r="P32" s="17"/>
      <c r="Q32" s="76">
        <v>34351</v>
      </c>
      <c r="R32" s="78">
        <v>32.734246575342468</v>
      </c>
      <c r="S32" s="79" t="s">
        <v>7605</v>
      </c>
      <c r="T32" s="75" t="s">
        <v>7298</v>
      </c>
      <c r="U32" s="75" t="s">
        <v>7606</v>
      </c>
      <c r="V32" s="17"/>
      <c r="W32" s="75" t="s">
        <v>7300</v>
      </c>
      <c r="X32" s="80"/>
      <c r="Y32" s="75" t="s">
        <v>7319</v>
      </c>
      <c r="Z32" s="15" t="s">
        <v>7607</v>
      </c>
      <c r="AA32" s="75"/>
      <c r="AB32" s="12" t="s">
        <v>7293</v>
      </c>
      <c r="AC32" s="12"/>
      <c r="AD32" s="75" t="s">
        <v>7608</v>
      </c>
      <c r="AE32" s="75" t="s">
        <v>7609</v>
      </c>
      <c r="AF32" s="17" t="s">
        <v>7306</v>
      </c>
      <c r="AG32" s="72">
        <v>0</v>
      </c>
      <c r="AH32" s="17"/>
      <c r="AI32" s="75" t="s">
        <v>7324</v>
      </c>
    </row>
    <row r="33" spans="1:35" x14ac:dyDescent="0.3">
      <c r="A33" s="71" t="s">
        <v>7286</v>
      </c>
      <c r="B33" s="17" t="s">
        <v>7610</v>
      </c>
      <c r="C33" s="72" t="s">
        <v>7150</v>
      </c>
      <c r="D33" s="81" t="s">
        <v>7611</v>
      </c>
      <c r="E33" s="74" t="s">
        <v>7612</v>
      </c>
      <c r="F33" s="75" t="s">
        <v>7293</v>
      </c>
      <c r="G33" s="75" t="s">
        <v>7293</v>
      </c>
      <c r="H33" s="75" t="s">
        <v>7311</v>
      </c>
      <c r="I33" s="75" t="s">
        <v>7312</v>
      </c>
      <c r="J33" s="11" t="s">
        <v>7313</v>
      </c>
      <c r="K33" s="11" t="s">
        <v>7314</v>
      </c>
      <c r="L33" s="77" t="s">
        <v>7315</v>
      </c>
      <c r="M33" s="76">
        <v>42137</v>
      </c>
      <c r="N33" s="76"/>
      <c r="O33" s="75" t="s">
        <v>7296</v>
      </c>
      <c r="P33" s="17" t="s">
        <v>7425</v>
      </c>
      <c r="Q33" s="76">
        <v>31355</v>
      </c>
      <c r="R33" s="78">
        <v>40.942465753424656</v>
      </c>
      <c r="S33" s="79" t="s">
        <v>7613</v>
      </c>
      <c r="T33" s="75" t="s">
        <v>7298</v>
      </c>
      <c r="U33" s="75" t="s">
        <v>7614</v>
      </c>
      <c r="V33" s="17"/>
      <c r="W33" s="75" t="s">
        <v>7300</v>
      </c>
      <c r="X33" s="80"/>
      <c r="Y33" s="75" t="s">
        <v>7319</v>
      </c>
      <c r="Z33" s="15" t="s">
        <v>7615</v>
      </c>
      <c r="AA33" s="75"/>
      <c r="AB33" s="12" t="s">
        <v>7293</v>
      </c>
      <c r="AC33" s="12"/>
      <c r="AD33" s="75" t="s">
        <v>7616</v>
      </c>
      <c r="AE33" s="75" t="s">
        <v>7617</v>
      </c>
      <c r="AF33" s="17" t="s">
        <v>7323</v>
      </c>
      <c r="AG33" s="72">
        <v>1</v>
      </c>
      <c r="AH33" s="17"/>
      <c r="AI33" s="75" t="s">
        <v>7425</v>
      </c>
    </row>
    <row r="34" spans="1:35" ht="57.6" x14ac:dyDescent="0.3">
      <c r="A34" s="71" t="s">
        <v>7286</v>
      </c>
      <c r="B34" s="17" t="s">
        <v>7618</v>
      </c>
      <c r="C34" s="72" t="s">
        <v>7343</v>
      </c>
      <c r="D34" s="81" t="s">
        <v>7619</v>
      </c>
      <c r="E34" s="74" t="s">
        <v>7335</v>
      </c>
      <c r="F34" s="75" t="s">
        <v>7329</v>
      </c>
      <c r="G34" s="75" t="s">
        <v>7330</v>
      </c>
      <c r="H34" s="75" t="s">
        <v>7331</v>
      </c>
      <c r="I34" s="75" t="s">
        <v>7332</v>
      </c>
      <c r="J34" s="11" t="s">
        <v>7620</v>
      </c>
      <c r="K34" s="11" t="s">
        <v>7621</v>
      </c>
      <c r="L34" s="77" t="s">
        <v>7467</v>
      </c>
      <c r="M34" s="76">
        <v>42160</v>
      </c>
      <c r="N34" s="76"/>
      <c r="O34" s="75" t="s">
        <v>7296</v>
      </c>
      <c r="P34" s="17"/>
      <c r="Q34" s="76">
        <v>26315</v>
      </c>
      <c r="R34" s="78">
        <v>54.750684931506846</v>
      </c>
      <c r="S34" s="79" t="s">
        <v>7622</v>
      </c>
      <c r="T34" s="75" t="s">
        <v>7298</v>
      </c>
      <c r="U34" s="75" t="s">
        <v>7623</v>
      </c>
      <c r="V34" s="17"/>
      <c r="W34" s="75" t="s">
        <v>7300</v>
      </c>
      <c r="X34" s="80"/>
      <c r="Y34" s="75" t="s">
        <v>7319</v>
      </c>
      <c r="Z34" s="15" t="s">
        <v>7624</v>
      </c>
      <c r="AA34" s="75" t="s">
        <v>7624</v>
      </c>
      <c r="AB34" s="12" t="s">
        <v>7625</v>
      </c>
      <c r="AC34" s="12"/>
      <c r="AD34" s="75" t="s">
        <v>7626</v>
      </c>
      <c r="AE34" s="75" t="s">
        <v>7626</v>
      </c>
      <c r="AF34" s="17" t="s">
        <v>7323</v>
      </c>
      <c r="AG34" s="72">
        <v>2</v>
      </c>
      <c r="AH34" s="17"/>
      <c r="AI34" s="75" t="s">
        <v>7324</v>
      </c>
    </row>
    <row r="35" spans="1:35" ht="57.6" x14ac:dyDescent="0.3">
      <c r="A35" s="71" t="s">
        <v>7286</v>
      </c>
      <c r="B35" s="17" t="s">
        <v>7627</v>
      </c>
      <c r="C35" s="72" t="s">
        <v>7367</v>
      </c>
      <c r="D35" s="81" t="s">
        <v>7628</v>
      </c>
      <c r="E35" s="74" t="s">
        <v>7629</v>
      </c>
      <c r="F35" s="75" t="s">
        <v>7329</v>
      </c>
      <c r="G35" s="75" t="s">
        <v>7330</v>
      </c>
      <c r="H35" s="75" t="s">
        <v>7630</v>
      </c>
      <c r="I35" s="75" t="s">
        <v>7631</v>
      </c>
      <c r="J35" s="11" t="s">
        <v>7575</v>
      </c>
      <c r="K35" s="11" t="s">
        <v>6340</v>
      </c>
      <c r="L35" s="77" t="s">
        <v>7632</v>
      </c>
      <c r="M35" s="76">
        <v>42171</v>
      </c>
      <c r="N35" s="76"/>
      <c r="O35" s="75" t="s">
        <v>7296</v>
      </c>
      <c r="P35" s="17"/>
      <c r="Q35" s="76">
        <v>32136</v>
      </c>
      <c r="R35" s="78">
        <v>38.802739726027397</v>
      </c>
      <c r="S35" s="79" t="s">
        <v>7633</v>
      </c>
      <c r="T35" s="75" t="s">
        <v>7298</v>
      </c>
      <c r="U35" s="75" t="s">
        <v>7634</v>
      </c>
      <c r="V35" s="17"/>
      <c r="W35" s="75" t="s">
        <v>7300</v>
      </c>
      <c r="X35" s="80"/>
      <c r="Y35" s="75" t="s">
        <v>7319</v>
      </c>
      <c r="Z35" s="15" t="s">
        <v>7635</v>
      </c>
      <c r="AA35" s="75" t="s">
        <v>7635</v>
      </c>
      <c r="AB35" s="12" t="s">
        <v>7636</v>
      </c>
      <c r="AC35" s="12"/>
      <c r="AD35" s="75" t="s">
        <v>7637</v>
      </c>
      <c r="AE35" s="75" t="s">
        <v>7638</v>
      </c>
      <c r="AF35" s="17" t="s">
        <v>7323</v>
      </c>
      <c r="AG35" s="72">
        <v>2</v>
      </c>
      <c r="AH35" s="17"/>
      <c r="AI35" s="75" t="s">
        <v>7324</v>
      </c>
    </row>
    <row r="36" spans="1:35" ht="43.2" x14ac:dyDescent="0.3">
      <c r="A36" s="71" t="s">
        <v>7286</v>
      </c>
      <c r="B36" s="17" t="s">
        <v>7639</v>
      </c>
      <c r="C36" s="72" t="s">
        <v>7326</v>
      </c>
      <c r="D36" s="81" t="s">
        <v>7640</v>
      </c>
      <c r="E36" s="74" t="s">
        <v>7641</v>
      </c>
      <c r="F36" s="75" t="s">
        <v>7642</v>
      </c>
      <c r="G36" s="75" t="s">
        <v>7643</v>
      </c>
      <c r="H36" s="75" t="s">
        <v>7293</v>
      </c>
      <c r="I36" s="75" t="s">
        <v>7293</v>
      </c>
      <c r="J36" s="11" t="s">
        <v>7644</v>
      </c>
      <c r="K36" s="11" t="s">
        <v>7645</v>
      </c>
      <c r="L36" s="77" t="s">
        <v>7646</v>
      </c>
      <c r="M36" s="76">
        <v>42177</v>
      </c>
      <c r="N36" s="76"/>
      <c r="O36" s="75" t="s">
        <v>7296</v>
      </c>
      <c r="P36" s="17"/>
      <c r="Q36" s="76">
        <v>23384</v>
      </c>
      <c r="R36" s="78">
        <v>62.780821917808218</v>
      </c>
      <c r="S36" s="79" t="s">
        <v>7647</v>
      </c>
      <c r="T36" s="75" t="s">
        <v>7298</v>
      </c>
      <c r="U36" s="75" t="s">
        <v>7648</v>
      </c>
      <c r="V36" s="17"/>
      <c r="W36" s="75" t="s">
        <v>7300</v>
      </c>
      <c r="X36" s="80"/>
      <c r="Y36" s="75" t="s">
        <v>7319</v>
      </c>
      <c r="Z36" s="15" t="s">
        <v>7649</v>
      </c>
      <c r="AA36" s="75" t="s">
        <v>7650</v>
      </c>
      <c r="AB36" s="12" t="s">
        <v>7651</v>
      </c>
      <c r="AC36" s="12"/>
      <c r="AD36" s="75" t="s">
        <v>7652</v>
      </c>
      <c r="AE36" s="75" t="s">
        <v>7653</v>
      </c>
      <c r="AF36" s="17" t="s">
        <v>7323</v>
      </c>
      <c r="AG36" s="72">
        <v>2</v>
      </c>
      <c r="AH36" s="17"/>
      <c r="AI36" s="75" t="s">
        <v>7324</v>
      </c>
    </row>
    <row r="37" spans="1:35" x14ac:dyDescent="0.3">
      <c r="A37" s="71" t="s">
        <v>7286</v>
      </c>
      <c r="B37" s="17" t="s">
        <v>7654</v>
      </c>
      <c r="C37" s="72" t="s">
        <v>7150</v>
      </c>
      <c r="D37" s="81" t="s">
        <v>7655</v>
      </c>
      <c r="E37" s="74" t="s">
        <v>7656</v>
      </c>
      <c r="F37" s="75" t="s">
        <v>7329</v>
      </c>
      <c r="G37" s="75" t="s">
        <v>7330</v>
      </c>
      <c r="H37" s="75" t="s">
        <v>7405</v>
      </c>
      <c r="I37" s="75" t="s">
        <v>7406</v>
      </c>
      <c r="J37" s="11" t="s">
        <v>7407</v>
      </c>
      <c r="K37" s="11" t="s">
        <v>7408</v>
      </c>
      <c r="L37" s="77" t="s">
        <v>7409</v>
      </c>
      <c r="M37" s="76">
        <v>42222</v>
      </c>
      <c r="N37" s="76"/>
      <c r="O37" s="75" t="s">
        <v>7296</v>
      </c>
      <c r="P37" s="17"/>
      <c r="Q37" s="76">
        <v>33348</v>
      </c>
      <c r="R37" s="78">
        <v>35.482191780821921</v>
      </c>
      <c r="S37" s="79" t="s">
        <v>7657</v>
      </c>
      <c r="T37" s="75" t="s">
        <v>7298</v>
      </c>
      <c r="U37" s="75" t="s">
        <v>7658</v>
      </c>
      <c r="V37" s="17"/>
      <c r="W37" s="75" t="s">
        <v>7300</v>
      </c>
      <c r="X37" s="80"/>
      <c r="Y37" s="75" t="s">
        <v>7319</v>
      </c>
      <c r="Z37" s="15" t="s">
        <v>7659</v>
      </c>
      <c r="AA37" s="75"/>
      <c r="AB37" s="12" t="s">
        <v>7293</v>
      </c>
      <c r="AC37" s="12"/>
      <c r="AD37" s="75" t="s">
        <v>7660</v>
      </c>
      <c r="AE37" s="75" t="s">
        <v>7660</v>
      </c>
      <c r="AF37" s="17" t="s">
        <v>7323</v>
      </c>
      <c r="AG37" s="72">
        <v>2</v>
      </c>
      <c r="AH37" s="17"/>
      <c r="AI37" s="75" t="s">
        <v>7324</v>
      </c>
    </row>
    <row r="38" spans="1:35" ht="57.6" x14ac:dyDescent="0.3">
      <c r="A38" s="71" t="s">
        <v>7286</v>
      </c>
      <c r="B38" s="17" t="s">
        <v>7661</v>
      </c>
      <c r="C38" s="72" t="s">
        <v>7326</v>
      </c>
      <c r="D38" s="81" t="s">
        <v>7662</v>
      </c>
      <c r="E38" s="74" t="s">
        <v>7663</v>
      </c>
      <c r="F38" s="75" t="s">
        <v>7293</v>
      </c>
      <c r="G38" s="75" t="s">
        <v>7293</v>
      </c>
      <c r="H38" s="75" t="s">
        <v>7311</v>
      </c>
      <c r="I38" s="75" t="s">
        <v>7312</v>
      </c>
      <c r="J38" s="11" t="s">
        <v>7498</v>
      </c>
      <c r="K38" s="11" t="s">
        <v>7499</v>
      </c>
      <c r="L38" s="77" t="s">
        <v>7315</v>
      </c>
      <c r="M38" s="76">
        <v>42234</v>
      </c>
      <c r="N38" s="76"/>
      <c r="O38" s="75" t="s">
        <v>7296</v>
      </c>
      <c r="P38" s="17"/>
      <c r="Q38" s="76">
        <v>33886</v>
      </c>
      <c r="R38" s="78">
        <v>34.008219178082193</v>
      </c>
      <c r="S38" s="79" t="s">
        <v>7664</v>
      </c>
      <c r="T38" s="75" t="s">
        <v>7298</v>
      </c>
      <c r="U38" s="75" t="s">
        <v>7665</v>
      </c>
      <c r="V38" s="17"/>
      <c r="W38" s="75" t="s">
        <v>7300</v>
      </c>
      <c r="X38" s="80"/>
      <c r="Y38" s="75" t="s">
        <v>7319</v>
      </c>
      <c r="Z38" s="15" t="s">
        <v>7666</v>
      </c>
      <c r="AA38" s="75"/>
      <c r="AB38" s="12" t="s">
        <v>7667</v>
      </c>
      <c r="AC38" s="12"/>
      <c r="AD38" s="75" t="s">
        <v>7668</v>
      </c>
      <c r="AE38" s="75" t="s">
        <v>7669</v>
      </c>
      <c r="AF38" s="17" t="s">
        <v>7323</v>
      </c>
      <c r="AG38" s="72">
        <v>1</v>
      </c>
      <c r="AH38" s="17"/>
      <c r="AI38" s="75" t="s">
        <v>7670</v>
      </c>
    </row>
    <row r="39" spans="1:35" ht="57.6" x14ac:dyDescent="0.3">
      <c r="A39" s="71" t="s">
        <v>7286</v>
      </c>
      <c r="B39" s="17" t="s">
        <v>7671</v>
      </c>
      <c r="C39" s="72" t="s">
        <v>7343</v>
      </c>
      <c r="D39" s="81" t="s">
        <v>7672</v>
      </c>
      <c r="E39" s="74" t="s">
        <v>7673</v>
      </c>
      <c r="F39" s="75" t="s">
        <v>7674</v>
      </c>
      <c r="G39" s="75" t="s">
        <v>7675</v>
      </c>
      <c r="H39" s="75" t="s">
        <v>7676</v>
      </c>
      <c r="I39" s="75" t="s">
        <v>7677</v>
      </c>
      <c r="J39" s="75" t="s">
        <v>7678</v>
      </c>
      <c r="K39" s="11" t="s">
        <v>7679</v>
      </c>
      <c r="L39" s="77" t="s">
        <v>7680</v>
      </c>
      <c r="M39" s="76">
        <v>42269</v>
      </c>
      <c r="N39" s="76"/>
      <c r="O39" s="75" t="s">
        <v>7296</v>
      </c>
      <c r="P39" s="17"/>
      <c r="Q39" s="76">
        <v>33840</v>
      </c>
      <c r="R39" s="78">
        <v>34.134246575342466</v>
      </c>
      <c r="S39" s="79" t="s">
        <v>7681</v>
      </c>
      <c r="T39" s="75" t="s">
        <v>7298</v>
      </c>
      <c r="U39" s="75" t="s">
        <v>7682</v>
      </c>
      <c r="V39" s="17"/>
      <c r="W39" s="75" t="s">
        <v>7300</v>
      </c>
      <c r="X39" s="80"/>
      <c r="Y39" s="75" t="s">
        <v>7319</v>
      </c>
      <c r="Z39" s="15" t="s">
        <v>7683</v>
      </c>
      <c r="AA39" s="75" t="s">
        <v>7683</v>
      </c>
      <c r="AB39" s="12" t="s">
        <v>7684</v>
      </c>
      <c r="AC39" s="12"/>
      <c r="AD39" s="75" t="s">
        <v>7685</v>
      </c>
      <c r="AE39" s="75" t="s">
        <v>7685</v>
      </c>
      <c r="AF39" s="17" t="s">
        <v>7323</v>
      </c>
      <c r="AG39" s="72">
        <v>0</v>
      </c>
      <c r="AH39" s="17"/>
      <c r="AI39" s="75" t="s">
        <v>7307</v>
      </c>
    </row>
    <row r="40" spans="1:35" x14ac:dyDescent="0.3">
      <c r="A40" s="71" t="s">
        <v>7286</v>
      </c>
      <c r="B40" s="17" t="s">
        <v>7686</v>
      </c>
      <c r="C40" s="72" t="s">
        <v>7150</v>
      </c>
      <c r="D40" s="81" t="s">
        <v>7687</v>
      </c>
      <c r="E40" s="74" t="s">
        <v>1531</v>
      </c>
      <c r="F40" s="75" t="s">
        <v>7293</v>
      </c>
      <c r="G40" s="75" t="s">
        <v>7293</v>
      </c>
      <c r="H40" s="75" t="s">
        <v>7311</v>
      </c>
      <c r="I40" s="75" t="s">
        <v>7312</v>
      </c>
      <c r="J40" s="75" t="s">
        <v>7313</v>
      </c>
      <c r="K40" s="11" t="s">
        <v>7314</v>
      </c>
      <c r="L40" s="77" t="s">
        <v>7315</v>
      </c>
      <c r="M40" s="76">
        <v>42391</v>
      </c>
      <c r="N40" s="76"/>
      <c r="O40" s="75" t="s">
        <v>7296</v>
      </c>
      <c r="P40" s="17" t="s">
        <v>7422</v>
      </c>
      <c r="Q40" s="76">
        <v>32761</v>
      </c>
      <c r="R40" s="78">
        <v>37.090410958904108</v>
      </c>
      <c r="S40" s="79" t="s">
        <v>7688</v>
      </c>
      <c r="T40" s="75" t="s">
        <v>7298</v>
      </c>
      <c r="U40" s="75" t="s">
        <v>7689</v>
      </c>
      <c r="V40" s="17"/>
      <c r="W40" s="75" t="s">
        <v>7300</v>
      </c>
      <c r="X40" s="80"/>
      <c r="Y40" s="75" t="s">
        <v>7319</v>
      </c>
      <c r="Z40" s="15" t="s">
        <v>7690</v>
      </c>
      <c r="AA40" s="75"/>
      <c r="AB40" s="12" t="s">
        <v>7293</v>
      </c>
      <c r="AC40" s="12"/>
      <c r="AD40" s="75" t="s">
        <v>7691</v>
      </c>
      <c r="AE40" s="75" t="s">
        <v>7691</v>
      </c>
      <c r="AF40" s="17" t="s">
        <v>7323</v>
      </c>
      <c r="AG40" s="72">
        <v>1</v>
      </c>
      <c r="AH40" s="17"/>
      <c r="AI40" s="11" t="s">
        <v>7422</v>
      </c>
    </row>
    <row r="41" spans="1:35" x14ac:dyDescent="0.3">
      <c r="A41" s="71" t="s">
        <v>7286</v>
      </c>
      <c r="B41" s="17" t="s">
        <v>7692</v>
      </c>
      <c r="C41" s="72" t="s">
        <v>7150</v>
      </c>
      <c r="D41" s="81" t="s">
        <v>7693</v>
      </c>
      <c r="E41" s="74" t="s">
        <v>7694</v>
      </c>
      <c r="F41" s="75" t="s">
        <v>7329</v>
      </c>
      <c r="G41" s="75" t="s">
        <v>7330</v>
      </c>
      <c r="H41" s="75" t="s">
        <v>7405</v>
      </c>
      <c r="I41" s="75" t="s">
        <v>7406</v>
      </c>
      <c r="J41" s="75" t="s">
        <v>7407</v>
      </c>
      <c r="K41" s="11" t="s">
        <v>7408</v>
      </c>
      <c r="L41" s="77" t="s">
        <v>7409</v>
      </c>
      <c r="M41" s="76">
        <v>42391</v>
      </c>
      <c r="N41" s="76"/>
      <c r="O41" s="75" t="s">
        <v>7296</v>
      </c>
      <c r="P41" s="17"/>
      <c r="Q41" s="76">
        <v>30918</v>
      </c>
      <c r="R41" s="78">
        <v>42.139726027397259</v>
      </c>
      <c r="S41" s="79" t="s">
        <v>7695</v>
      </c>
      <c r="T41" s="75" t="s">
        <v>7298</v>
      </c>
      <c r="U41" s="75" t="s">
        <v>7696</v>
      </c>
      <c r="V41" s="17"/>
      <c r="W41" s="75" t="s">
        <v>7300</v>
      </c>
      <c r="X41" s="80"/>
      <c r="Y41" s="75" t="s">
        <v>7319</v>
      </c>
      <c r="Z41" s="15" t="s">
        <v>7697</v>
      </c>
      <c r="AA41" s="75"/>
      <c r="AB41" s="12" t="s">
        <v>7293</v>
      </c>
      <c r="AC41" s="12"/>
      <c r="AD41" s="75" t="s">
        <v>7698</v>
      </c>
      <c r="AE41" s="75" t="s">
        <v>7699</v>
      </c>
      <c r="AF41" s="17" t="s">
        <v>7323</v>
      </c>
      <c r="AG41" s="72">
        <v>2</v>
      </c>
      <c r="AH41" s="17"/>
      <c r="AI41" s="11" t="s">
        <v>7524</v>
      </c>
    </row>
    <row r="42" spans="1:35" ht="57.6" x14ac:dyDescent="0.3">
      <c r="A42" s="71" t="s">
        <v>7286</v>
      </c>
      <c r="B42" s="17" t="s">
        <v>7700</v>
      </c>
      <c r="C42" s="72" t="s">
        <v>7326</v>
      </c>
      <c r="D42" s="81" t="s">
        <v>7701</v>
      </c>
      <c r="E42" s="74" t="s">
        <v>7702</v>
      </c>
      <c r="F42" s="75" t="s">
        <v>7329</v>
      </c>
      <c r="G42" s="75" t="s">
        <v>7330</v>
      </c>
      <c r="H42" s="75" t="s">
        <v>7331</v>
      </c>
      <c r="I42" s="75" t="s">
        <v>7332</v>
      </c>
      <c r="J42" s="75" t="s">
        <v>7703</v>
      </c>
      <c r="K42" s="11" t="s">
        <v>7704</v>
      </c>
      <c r="L42" s="77" t="s">
        <v>7335</v>
      </c>
      <c r="M42" s="76">
        <v>42527</v>
      </c>
      <c r="N42" s="76"/>
      <c r="O42" s="75" t="s">
        <v>7296</v>
      </c>
      <c r="P42" s="17"/>
      <c r="Q42" s="76">
        <v>27610</v>
      </c>
      <c r="R42" s="78">
        <v>51.202739726027396</v>
      </c>
      <c r="S42" s="79" t="s">
        <v>7705</v>
      </c>
      <c r="T42" s="75" t="s">
        <v>7298</v>
      </c>
      <c r="U42" s="75" t="s">
        <v>7706</v>
      </c>
      <c r="V42" s="17"/>
      <c r="W42" s="75" t="s">
        <v>7300</v>
      </c>
      <c r="X42" s="80"/>
      <c r="Y42" s="75" t="s">
        <v>7319</v>
      </c>
      <c r="Z42" s="15" t="s">
        <v>7707</v>
      </c>
      <c r="AA42" s="75" t="s">
        <v>7707</v>
      </c>
      <c r="AB42" s="12" t="s">
        <v>7708</v>
      </c>
      <c r="AC42" s="12"/>
      <c r="AD42" s="75" t="s">
        <v>7709</v>
      </c>
      <c r="AE42" s="75" t="s">
        <v>7710</v>
      </c>
      <c r="AF42" s="17" t="s">
        <v>7323</v>
      </c>
      <c r="AG42" s="72">
        <v>2</v>
      </c>
      <c r="AH42" s="17"/>
      <c r="AI42" s="75" t="s">
        <v>7324</v>
      </c>
    </row>
    <row r="43" spans="1:35" x14ac:dyDescent="0.3">
      <c r="A43" s="71" t="s">
        <v>7286</v>
      </c>
      <c r="B43" s="17" t="s">
        <v>7711</v>
      </c>
      <c r="C43" s="72" t="s">
        <v>7150</v>
      </c>
      <c r="D43" s="81" t="s">
        <v>7712</v>
      </c>
      <c r="E43" s="74" t="s">
        <v>7713</v>
      </c>
      <c r="F43" s="75" t="s">
        <v>7293</v>
      </c>
      <c r="G43" s="75" t="s">
        <v>7293</v>
      </c>
      <c r="H43" s="75" t="s">
        <v>7311</v>
      </c>
      <c r="I43" s="75" t="s">
        <v>7312</v>
      </c>
      <c r="J43" s="11" t="s">
        <v>7433</v>
      </c>
      <c r="K43" s="11" t="s">
        <v>7434</v>
      </c>
      <c r="L43" s="77" t="s">
        <v>7315</v>
      </c>
      <c r="M43" s="76">
        <v>42528</v>
      </c>
      <c r="N43" s="76"/>
      <c r="O43" s="75" t="s">
        <v>7296</v>
      </c>
      <c r="P43" s="17" t="s">
        <v>7524</v>
      </c>
      <c r="Q43" s="76">
        <v>33138</v>
      </c>
      <c r="R43" s="78">
        <v>36.057534246575344</v>
      </c>
      <c r="S43" s="79" t="s">
        <v>7714</v>
      </c>
      <c r="T43" s="75" t="s">
        <v>7298</v>
      </c>
      <c r="U43" s="75" t="s">
        <v>7715</v>
      </c>
      <c r="V43" s="17"/>
      <c r="W43" s="75" t="s">
        <v>7300</v>
      </c>
      <c r="X43" s="80"/>
      <c r="Y43" s="75" t="s">
        <v>7319</v>
      </c>
      <c r="Z43" s="15" t="s">
        <v>7716</v>
      </c>
      <c r="AA43" s="75"/>
      <c r="AB43" s="12" t="s">
        <v>7293</v>
      </c>
      <c r="AC43" s="12"/>
      <c r="AD43" s="75" t="s">
        <v>7717</v>
      </c>
      <c r="AE43" s="75" t="s">
        <v>7718</v>
      </c>
      <c r="AF43" s="17" t="s">
        <v>7323</v>
      </c>
      <c r="AG43" s="72">
        <v>2</v>
      </c>
      <c r="AH43" s="83"/>
      <c r="AI43" s="75" t="s">
        <v>7524</v>
      </c>
    </row>
    <row r="44" spans="1:35" x14ac:dyDescent="0.3">
      <c r="A44" s="71" t="s">
        <v>7286</v>
      </c>
      <c r="B44" s="17" t="s">
        <v>7719</v>
      </c>
      <c r="C44" s="72" t="s">
        <v>7150</v>
      </c>
      <c r="D44" s="81" t="s">
        <v>7720</v>
      </c>
      <c r="E44" s="74" t="s">
        <v>1662</v>
      </c>
      <c r="F44" s="75" t="s">
        <v>7293</v>
      </c>
      <c r="G44" s="75" t="s">
        <v>7293</v>
      </c>
      <c r="H44" s="75" t="s">
        <v>7311</v>
      </c>
      <c r="I44" s="75" t="s">
        <v>7312</v>
      </c>
      <c r="J44" s="75" t="s">
        <v>7313</v>
      </c>
      <c r="K44" s="11" t="s">
        <v>7314</v>
      </c>
      <c r="L44" s="77" t="s">
        <v>7315</v>
      </c>
      <c r="M44" s="76">
        <v>42552</v>
      </c>
      <c r="N44" s="76"/>
      <c r="O44" s="75" t="s">
        <v>7296</v>
      </c>
      <c r="P44" s="17" t="s">
        <v>7505</v>
      </c>
      <c r="Q44" s="76">
        <v>30737</v>
      </c>
      <c r="R44" s="78">
        <v>42.635616438356166</v>
      </c>
      <c r="S44" s="79" t="s">
        <v>7721</v>
      </c>
      <c r="T44" s="75" t="s">
        <v>7298</v>
      </c>
      <c r="U44" s="75" t="s">
        <v>7722</v>
      </c>
      <c r="V44" s="17"/>
      <c r="W44" s="75" t="s">
        <v>7300</v>
      </c>
      <c r="X44" s="80"/>
      <c r="Y44" s="75" t="s">
        <v>7319</v>
      </c>
      <c r="Z44" s="15" t="s">
        <v>7723</v>
      </c>
      <c r="AA44" s="75"/>
      <c r="AB44" s="12" t="s">
        <v>7293</v>
      </c>
      <c r="AC44" s="12"/>
      <c r="AD44" s="75" t="s">
        <v>7724</v>
      </c>
      <c r="AE44" s="75" t="s">
        <v>7725</v>
      </c>
      <c r="AF44" s="17" t="s">
        <v>7323</v>
      </c>
      <c r="AG44" s="72">
        <v>2</v>
      </c>
      <c r="AH44" s="83"/>
      <c r="AI44" s="11" t="s">
        <v>7505</v>
      </c>
    </row>
    <row r="45" spans="1:35" x14ac:dyDescent="0.3">
      <c r="A45" s="71" t="s">
        <v>7286</v>
      </c>
      <c r="B45" s="17" t="s">
        <v>7726</v>
      </c>
      <c r="C45" s="72" t="s">
        <v>7150</v>
      </c>
      <c r="D45" s="81" t="s">
        <v>7727</v>
      </c>
      <c r="E45" s="74" t="s">
        <v>7728</v>
      </c>
      <c r="F45" s="75" t="s">
        <v>7329</v>
      </c>
      <c r="G45" s="75" t="s">
        <v>7330</v>
      </c>
      <c r="H45" s="75" t="s">
        <v>7405</v>
      </c>
      <c r="I45" s="75" t="s">
        <v>7406</v>
      </c>
      <c r="J45" s="75" t="s">
        <v>7407</v>
      </c>
      <c r="K45" s="11" t="s">
        <v>7408</v>
      </c>
      <c r="L45" s="77" t="s">
        <v>7409</v>
      </c>
      <c r="M45" s="76">
        <v>42640</v>
      </c>
      <c r="N45" s="76"/>
      <c r="O45" s="75" t="s">
        <v>7296</v>
      </c>
      <c r="P45" s="17"/>
      <c r="Q45" s="76">
        <v>33301</v>
      </c>
      <c r="R45" s="78">
        <v>35.610958904109587</v>
      </c>
      <c r="S45" s="79" t="s">
        <v>7729</v>
      </c>
      <c r="T45" s="75" t="s">
        <v>7298</v>
      </c>
      <c r="U45" s="75" t="s">
        <v>7730</v>
      </c>
      <c r="V45" s="17"/>
      <c r="W45" s="75" t="s">
        <v>7300</v>
      </c>
      <c r="X45" s="80"/>
      <c r="Y45" s="75" t="s">
        <v>7319</v>
      </c>
      <c r="Z45" s="15" t="s">
        <v>7731</v>
      </c>
      <c r="AA45" s="75"/>
      <c r="AB45" s="12" t="s">
        <v>7293</v>
      </c>
      <c r="AC45" s="12"/>
      <c r="AD45" s="75" t="s">
        <v>7732</v>
      </c>
      <c r="AE45" s="75" t="s">
        <v>7732</v>
      </c>
      <c r="AF45" s="17" t="s">
        <v>7306</v>
      </c>
      <c r="AG45" s="72">
        <v>0</v>
      </c>
      <c r="AH45" s="83"/>
      <c r="AI45" s="75" t="s">
        <v>7324</v>
      </c>
    </row>
    <row r="46" spans="1:35" ht="57.6" x14ac:dyDescent="0.3">
      <c r="A46" s="71" t="s">
        <v>7286</v>
      </c>
      <c r="B46" s="17" t="s">
        <v>7733</v>
      </c>
      <c r="C46" s="72" t="s">
        <v>7326</v>
      </c>
      <c r="D46" s="81" t="s">
        <v>7734</v>
      </c>
      <c r="E46" s="74" t="s">
        <v>7735</v>
      </c>
      <c r="F46" s="75" t="s">
        <v>7370</v>
      </c>
      <c r="G46" s="75" t="s">
        <v>7371</v>
      </c>
      <c r="H46" s="75" t="s">
        <v>7372</v>
      </c>
      <c r="I46" s="75" t="s">
        <v>7373</v>
      </c>
      <c r="J46" s="75" t="s">
        <v>7736</v>
      </c>
      <c r="K46" s="11" t="s">
        <v>7737</v>
      </c>
      <c r="L46" s="77" t="s">
        <v>7376</v>
      </c>
      <c r="M46" s="76">
        <v>42675</v>
      </c>
      <c r="N46" s="76"/>
      <c r="O46" s="75" t="s">
        <v>7296</v>
      </c>
      <c r="P46" s="17"/>
      <c r="Q46" s="76">
        <v>34586</v>
      </c>
      <c r="R46" s="78">
        <v>32.090410958904108</v>
      </c>
      <c r="S46" s="79" t="s">
        <v>7738</v>
      </c>
      <c r="T46" s="75" t="s">
        <v>7298</v>
      </c>
      <c r="U46" s="75" t="s">
        <v>7739</v>
      </c>
      <c r="V46" s="83">
        <v>48423</v>
      </c>
      <c r="W46" s="75" t="s">
        <v>7300</v>
      </c>
      <c r="X46" s="80"/>
      <c r="Y46" s="75" t="s">
        <v>7302</v>
      </c>
      <c r="Z46" s="15" t="s">
        <v>7740</v>
      </c>
      <c r="AA46" s="75" t="s">
        <v>7741</v>
      </c>
      <c r="AB46" s="12" t="s">
        <v>7742</v>
      </c>
      <c r="AC46" s="12"/>
      <c r="AD46" s="75" t="s">
        <v>7743</v>
      </c>
      <c r="AE46" s="75" t="s">
        <v>7744</v>
      </c>
      <c r="AF46" s="17" t="s">
        <v>7306</v>
      </c>
      <c r="AG46" s="72">
        <v>0</v>
      </c>
      <c r="AH46" s="83"/>
      <c r="AI46" s="75" t="s">
        <v>7745</v>
      </c>
    </row>
    <row r="47" spans="1:35" x14ac:dyDescent="0.3">
      <c r="A47" s="71" t="s">
        <v>7286</v>
      </c>
      <c r="B47" s="17" t="s">
        <v>7746</v>
      </c>
      <c r="C47" s="72" t="s">
        <v>7150</v>
      </c>
      <c r="D47" s="81" t="s">
        <v>7747</v>
      </c>
      <c r="E47" s="74" t="s">
        <v>7748</v>
      </c>
      <c r="F47" s="75" t="s">
        <v>7329</v>
      </c>
      <c r="G47" s="75" t="s">
        <v>7330</v>
      </c>
      <c r="H47" s="75" t="s">
        <v>7331</v>
      </c>
      <c r="I47" s="75" t="s">
        <v>7332</v>
      </c>
      <c r="J47" s="75" t="s">
        <v>7749</v>
      </c>
      <c r="K47" s="11" t="s">
        <v>6403</v>
      </c>
      <c r="L47" s="77" t="s">
        <v>7335</v>
      </c>
      <c r="M47" s="76">
        <v>42678</v>
      </c>
      <c r="N47" s="76"/>
      <c r="O47" s="75" t="s">
        <v>7296</v>
      </c>
      <c r="P47" s="17"/>
      <c r="Q47" s="76">
        <v>31566</v>
      </c>
      <c r="R47" s="78">
        <v>40.364383561643834</v>
      </c>
      <c r="S47" s="79" t="s">
        <v>7750</v>
      </c>
      <c r="T47" s="75" t="s">
        <v>7298</v>
      </c>
      <c r="U47" s="75" t="s">
        <v>7751</v>
      </c>
      <c r="V47" s="17"/>
      <c r="W47" s="75" t="s">
        <v>7300</v>
      </c>
      <c r="X47" s="80"/>
      <c r="Y47" s="75" t="s">
        <v>7319</v>
      </c>
      <c r="Z47" s="15" t="s">
        <v>7752</v>
      </c>
      <c r="AA47" s="75"/>
      <c r="AB47" s="12" t="s">
        <v>7293</v>
      </c>
      <c r="AC47" s="12"/>
      <c r="AD47" s="75" t="s">
        <v>7753</v>
      </c>
      <c r="AE47" s="75" t="s">
        <v>7753</v>
      </c>
      <c r="AF47" s="17" t="s">
        <v>7323</v>
      </c>
      <c r="AG47" s="72">
        <v>0</v>
      </c>
      <c r="AH47" s="83"/>
      <c r="AI47" s="75" t="s">
        <v>7324</v>
      </c>
    </row>
    <row r="48" spans="1:35" ht="57.6" x14ac:dyDescent="0.3">
      <c r="A48" s="71" t="s">
        <v>7384</v>
      </c>
      <c r="B48" s="17" t="s">
        <v>7754</v>
      </c>
      <c r="C48" s="72" t="s">
        <v>7326</v>
      </c>
      <c r="D48" s="81" t="s">
        <v>7755</v>
      </c>
      <c r="E48" s="74" t="s">
        <v>7756</v>
      </c>
      <c r="F48" s="75" t="s">
        <v>7329</v>
      </c>
      <c r="G48" s="75" t="s">
        <v>7330</v>
      </c>
      <c r="H48" s="75" t="s">
        <v>7452</v>
      </c>
      <c r="I48" s="75" t="s">
        <v>7453</v>
      </c>
      <c r="J48" s="75" t="s">
        <v>7757</v>
      </c>
      <c r="K48" s="11" t="s">
        <v>7334</v>
      </c>
      <c r="L48" s="77" t="s">
        <v>7456</v>
      </c>
      <c r="M48" s="76">
        <v>42709</v>
      </c>
      <c r="N48" s="76"/>
      <c r="O48" s="75" t="s">
        <v>7296</v>
      </c>
      <c r="P48" s="17"/>
      <c r="Q48" s="76">
        <v>29920</v>
      </c>
      <c r="R48" s="78">
        <v>44.873972602739727</v>
      </c>
      <c r="S48" s="79" t="s">
        <v>7758</v>
      </c>
      <c r="T48" s="75" t="s">
        <v>7298</v>
      </c>
      <c r="U48" s="75" t="s">
        <v>7759</v>
      </c>
      <c r="V48" s="17"/>
      <c r="W48" s="75" t="s">
        <v>7300</v>
      </c>
      <c r="X48" s="80"/>
      <c r="Y48" s="75" t="s">
        <v>7319</v>
      </c>
      <c r="Z48" s="15" t="s">
        <v>7760</v>
      </c>
      <c r="AA48" s="75" t="s">
        <v>7760</v>
      </c>
      <c r="AB48" s="12" t="s">
        <v>7761</v>
      </c>
      <c r="AC48" s="12"/>
      <c r="AD48" s="75" t="s">
        <v>7762</v>
      </c>
      <c r="AE48" s="75" t="s">
        <v>7763</v>
      </c>
      <c r="AF48" s="17" t="s">
        <v>7323</v>
      </c>
      <c r="AG48" s="72">
        <v>2</v>
      </c>
      <c r="AH48" s="83"/>
      <c r="AI48" s="75" t="s">
        <v>7324</v>
      </c>
    </row>
    <row r="49" spans="1:35" ht="57.6" x14ac:dyDescent="0.3">
      <c r="A49" s="71" t="s">
        <v>7286</v>
      </c>
      <c r="B49" s="17" t="s">
        <v>7764</v>
      </c>
      <c r="C49" s="72" t="s">
        <v>7367</v>
      </c>
      <c r="D49" s="81" t="s">
        <v>7765</v>
      </c>
      <c r="E49" s="74" t="s">
        <v>7766</v>
      </c>
      <c r="F49" s="75" t="s">
        <v>7370</v>
      </c>
      <c r="G49" s="75" t="s">
        <v>7371</v>
      </c>
      <c r="H49" s="75" t="s">
        <v>7767</v>
      </c>
      <c r="I49" s="75" t="s">
        <v>7768</v>
      </c>
      <c r="J49" s="75" t="s">
        <v>7769</v>
      </c>
      <c r="K49" s="11" t="s">
        <v>7770</v>
      </c>
      <c r="L49" s="77" t="s">
        <v>7771</v>
      </c>
      <c r="M49" s="76">
        <v>42752</v>
      </c>
      <c r="N49" s="76"/>
      <c r="O49" s="75" t="s">
        <v>7296</v>
      </c>
      <c r="P49" s="17"/>
      <c r="Q49" s="76">
        <v>34007</v>
      </c>
      <c r="R49" s="78">
        <v>33.676712328767124</v>
      </c>
      <c r="S49" s="79" t="s">
        <v>7772</v>
      </c>
      <c r="T49" s="75" t="s">
        <v>7298</v>
      </c>
      <c r="U49" s="75" t="s">
        <v>7773</v>
      </c>
      <c r="V49" s="17"/>
      <c r="W49" s="75" t="s">
        <v>7300</v>
      </c>
      <c r="X49" s="80"/>
      <c r="Y49" s="75" t="s">
        <v>7302</v>
      </c>
      <c r="Z49" s="15" t="s">
        <v>7774</v>
      </c>
      <c r="AA49" s="75" t="s">
        <v>7774</v>
      </c>
      <c r="AB49" s="12" t="s">
        <v>7775</v>
      </c>
      <c r="AC49" s="12"/>
      <c r="AD49" s="75" t="s">
        <v>7776</v>
      </c>
      <c r="AE49" s="75" t="s">
        <v>7777</v>
      </c>
      <c r="AF49" s="17" t="s">
        <v>7306</v>
      </c>
      <c r="AG49" s="72">
        <v>0</v>
      </c>
      <c r="AH49" s="83"/>
      <c r="AI49" s="75" t="s">
        <v>7745</v>
      </c>
    </row>
    <row r="50" spans="1:35" x14ac:dyDescent="0.3">
      <c r="A50" s="71" t="s">
        <v>7286</v>
      </c>
      <c r="B50" s="17" t="s">
        <v>7778</v>
      </c>
      <c r="C50" s="72" t="s">
        <v>7150</v>
      </c>
      <c r="D50" s="81" t="s">
        <v>7779</v>
      </c>
      <c r="E50" s="74" t="s">
        <v>1532</v>
      </c>
      <c r="F50" s="75" t="s">
        <v>7293</v>
      </c>
      <c r="G50" s="75" t="s">
        <v>7293</v>
      </c>
      <c r="H50" s="75" t="s">
        <v>7311</v>
      </c>
      <c r="I50" s="75" t="s">
        <v>7312</v>
      </c>
      <c r="J50" s="11" t="s">
        <v>7433</v>
      </c>
      <c r="K50" s="11" t="s">
        <v>7434</v>
      </c>
      <c r="L50" s="77" t="s">
        <v>7315</v>
      </c>
      <c r="M50" s="76">
        <v>42780</v>
      </c>
      <c r="N50" s="76"/>
      <c r="O50" s="75" t="s">
        <v>7296</v>
      </c>
      <c r="P50" s="17" t="s">
        <v>7422</v>
      </c>
      <c r="Q50" s="76">
        <v>28252</v>
      </c>
      <c r="R50" s="78">
        <v>49.443835616438356</v>
      </c>
      <c r="S50" s="79" t="s">
        <v>7780</v>
      </c>
      <c r="T50" s="75" t="s">
        <v>7298</v>
      </c>
      <c r="U50" s="75" t="s">
        <v>7781</v>
      </c>
      <c r="V50" s="83">
        <v>48775</v>
      </c>
      <c r="W50" s="75" t="s">
        <v>7300</v>
      </c>
      <c r="X50" s="80"/>
      <c r="Y50" s="75" t="s">
        <v>7319</v>
      </c>
      <c r="Z50" s="15" t="s">
        <v>7782</v>
      </c>
      <c r="AA50" s="75"/>
      <c r="AB50" s="12" t="s">
        <v>7293</v>
      </c>
      <c r="AC50" s="12"/>
      <c r="AD50" s="75" t="s">
        <v>7783</v>
      </c>
      <c r="AE50" s="75" t="s">
        <v>7783</v>
      </c>
      <c r="AF50" s="17" t="s">
        <v>7323</v>
      </c>
      <c r="AG50" s="72">
        <v>2</v>
      </c>
      <c r="AH50" s="83"/>
      <c r="AI50" s="11" t="s">
        <v>7422</v>
      </c>
    </row>
    <row r="51" spans="1:35" ht="57.6" x14ac:dyDescent="0.3">
      <c r="A51" s="71" t="s">
        <v>7286</v>
      </c>
      <c r="B51" s="17" t="s">
        <v>7784</v>
      </c>
      <c r="C51" s="72" t="s">
        <v>7367</v>
      </c>
      <c r="D51" s="81" t="s">
        <v>7785</v>
      </c>
      <c r="E51" s="74" t="s">
        <v>7786</v>
      </c>
      <c r="F51" s="75" t="s">
        <v>7674</v>
      </c>
      <c r="G51" s="75" t="s">
        <v>7675</v>
      </c>
      <c r="H51" s="75" t="s">
        <v>7676</v>
      </c>
      <c r="I51" s="75" t="s">
        <v>7677</v>
      </c>
      <c r="J51" s="75" t="s">
        <v>7787</v>
      </c>
      <c r="K51" s="11" t="s">
        <v>7788</v>
      </c>
      <c r="L51" s="77" t="s">
        <v>7673</v>
      </c>
      <c r="M51" s="76">
        <v>42811</v>
      </c>
      <c r="N51" s="76"/>
      <c r="O51" s="75" t="s">
        <v>7296</v>
      </c>
      <c r="P51" s="17"/>
      <c r="Q51" s="76">
        <v>33892</v>
      </c>
      <c r="R51" s="78">
        <v>33.991780821917807</v>
      </c>
      <c r="S51" s="79" t="s">
        <v>7789</v>
      </c>
      <c r="T51" s="75" t="s">
        <v>7298</v>
      </c>
      <c r="U51" s="75" t="s">
        <v>7790</v>
      </c>
      <c r="V51" s="17"/>
      <c r="W51" s="75" t="s">
        <v>7300</v>
      </c>
      <c r="X51" s="80"/>
      <c r="Y51" s="75" t="s">
        <v>7302</v>
      </c>
      <c r="Z51" s="15" t="s">
        <v>7791</v>
      </c>
      <c r="AA51" s="75" t="s">
        <v>7792</v>
      </c>
      <c r="AB51" s="12" t="s">
        <v>7793</v>
      </c>
      <c r="AC51" s="12"/>
      <c r="AD51" s="75" t="s">
        <v>7794</v>
      </c>
      <c r="AE51" s="75" t="s">
        <v>7795</v>
      </c>
      <c r="AF51" s="17" t="s">
        <v>7306</v>
      </c>
      <c r="AG51" s="72">
        <v>0</v>
      </c>
      <c r="AH51" s="83"/>
      <c r="AI51" s="75" t="s">
        <v>7307</v>
      </c>
    </row>
    <row r="52" spans="1:35" x14ac:dyDescent="0.3">
      <c r="A52" s="71" t="s">
        <v>7286</v>
      </c>
      <c r="B52" s="17" t="s">
        <v>7796</v>
      </c>
      <c r="C52" s="72" t="s">
        <v>7150</v>
      </c>
      <c r="D52" s="81" t="s">
        <v>7797</v>
      </c>
      <c r="E52" s="74" t="s">
        <v>7798</v>
      </c>
      <c r="F52" s="75" t="s">
        <v>7293</v>
      </c>
      <c r="G52" s="75" t="s">
        <v>7293</v>
      </c>
      <c r="H52" s="75" t="s">
        <v>7311</v>
      </c>
      <c r="I52" s="75" t="s">
        <v>7312</v>
      </c>
      <c r="J52" s="75" t="s">
        <v>7313</v>
      </c>
      <c r="K52" s="11" t="s">
        <v>7314</v>
      </c>
      <c r="L52" s="77" t="s">
        <v>7315</v>
      </c>
      <c r="M52" s="76">
        <v>42839</v>
      </c>
      <c r="N52" s="76"/>
      <c r="O52" s="75" t="s">
        <v>7296</v>
      </c>
      <c r="P52" s="17" t="s">
        <v>7505</v>
      </c>
      <c r="Q52" s="76">
        <v>28141</v>
      </c>
      <c r="R52" s="78">
        <v>49.747945205479454</v>
      </c>
      <c r="S52" s="79" t="s">
        <v>7799</v>
      </c>
      <c r="T52" s="75" t="s">
        <v>7298</v>
      </c>
      <c r="U52" s="75" t="s">
        <v>7800</v>
      </c>
      <c r="V52" s="17"/>
      <c r="W52" s="75" t="s">
        <v>7300</v>
      </c>
      <c r="X52" s="80"/>
      <c r="Y52" s="75" t="s">
        <v>7319</v>
      </c>
      <c r="Z52" s="15" t="s">
        <v>7801</v>
      </c>
      <c r="AA52" s="75"/>
      <c r="AB52" s="12" t="s">
        <v>7293</v>
      </c>
      <c r="AC52" s="12"/>
      <c r="AD52" s="75" t="s">
        <v>7802</v>
      </c>
      <c r="AE52" s="75" t="s">
        <v>7803</v>
      </c>
      <c r="AF52" s="17" t="s">
        <v>7323</v>
      </c>
      <c r="AG52" s="72">
        <v>2</v>
      </c>
      <c r="AH52" s="83"/>
      <c r="AI52" s="11" t="s">
        <v>7505</v>
      </c>
    </row>
    <row r="53" spans="1:35" x14ac:dyDescent="0.3">
      <c r="A53" s="71" t="s">
        <v>7286</v>
      </c>
      <c r="B53" s="17" t="s">
        <v>7804</v>
      </c>
      <c r="C53" s="72" t="s">
        <v>7150</v>
      </c>
      <c r="D53" s="81" t="s">
        <v>7805</v>
      </c>
      <c r="E53" s="74" t="s">
        <v>7806</v>
      </c>
      <c r="F53" s="75" t="s">
        <v>7329</v>
      </c>
      <c r="G53" s="75" t="s">
        <v>7330</v>
      </c>
      <c r="H53" s="75" t="s">
        <v>7405</v>
      </c>
      <c r="I53" s="75" t="s">
        <v>7406</v>
      </c>
      <c r="J53" s="75" t="s">
        <v>7407</v>
      </c>
      <c r="K53" s="11" t="s">
        <v>7408</v>
      </c>
      <c r="L53" s="77" t="s">
        <v>7409</v>
      </c>
      <c r="M53" s="76">
        <v>42898</v>
      </c>
      <c r="N53" s="76"/>
      <c r="O53" s="90" t="s">
        <v>7296</v>
      </c>
      <c r="P53" s="17"/>
      <c r="Q53" s="76">
        <v>34663</v>
      </c>
      <c r="R53" s="78">
        <v>31.87945205479452</v>
      </c>
      <c r="S53" s="79" t="s">
        <v>7807</v>
      </c>
      <c r="T53" s="75" t="s">
        <v>7298</v>
      </c>
      <c r="U53" s="75" t="s">
        <v>7808</v>
      </c>
      <c r="V53" s="17"/>
      <c r="W53" s="75" t="s">
        <v>7300</v>
      </c>
      <c r="X53" s="80"/>
      <c r="Y53" s="75" t="s">
        <v>7319</v>
      </c>
      <c r="Z53" s="15" t="s">
        <v>7809</v>
      </c>
      <c r="AA53" s="75"/>
      <c r="AB53" s="12" t="s">
        <v>7293</v>
      </c>
      <c r="AC53" s="12"/>
      <c r="AD53" s="75" t="s">
        <v>7810</v>
      </c>
      <c r="AE53" s="75" t="s">
        <v>7810</v>
      </c>
      <c r="AF53" s="17" t="s">
        <v>7323</v>
      </c>
      <c r="AG53" s="72">
        <v>1</v>
      </c>
      <c r="AH53" s="83"/>
      <c r="AI53" s="11" t="s">
        <v>7422</v>
      </c>
    </row>
    <row r="54" spans="1:35" ht="57.6" x14ac:dyDescent="0.3">
      <c r="A54" s="71" t="s">
        <v>7286</v>
      </c>
      <c r="B54" s="17" t="s">
        <v>7811</v>
      </c>
      <c r="C54" s="72" t="s">
        <v>7326</v>
      </c>
      <c r="D54" s="11" t="s">
        <v>7812</v>
      </c>
      <c r="E54" s="74" t="s">
        <v>7813</v>
      </c>
      <c r="F54" s="75" t="s">
        <v>7291</v>
      </c>
      <c r="G54" s="75" t="s">
        <v>7292</v>
      </c>
      <c r="H54" s="75" t="s">
        <v>7814</v>
      </c>
      <c r="I54" s="75" t="s">
        <v>7815</v>
      </c>
      <c r="J54" s="75" t="s">
        <v>7816</v>
      </c>
      <c r="K54" s="11" t="s">
        <v>7817</v>
      </c>
      <c r="L54" s="77" t="s">
        <v>7818</v>
      </c>
      <c r="M54" s="76">
        <v>42964</v>
      </c>
      <c r="N54" s="76"/>
      <c r="O54" s="90" t="s">
        <v>7296</v>
      </c>
      <c r="P54" s="17"/>
      <c r="Q54" s="76">
        <v>31323</v>
      </c>
      <c r="R54" s="78">
        <v>41.030136986301372</v>
      </c>
      <c r="S54" s="79" t="s">
        <v>7819</v>
      </c>
      <c r="T54" s="75" t="s">
        <v>7298</v>
      </c>
      <c r="U54" s="75" t="s">
        <v>7820</v>
      </c>
      <c r="V54" s="17"/>
      <c r="W54" s="75" t="s">
        <v>7300</v>
      </c>
      <c r="X54" s="80" t="s">
        <v>7301</v>
      </c>
      <c r="Y54" s="75" t="s">
        <v>7319</v>
      </c>
      <c r="Z54" s="15" t="s">
        <v>7821</v>
      </c>
      <c r="AA54" s="75" t="s">
        <v>7821</v>
      </c>
      <c r="AB54" s="12" t="s">
        <v>7822</v>
      </c>
      <c r="AC54" s="12"/>
      <c r="AD54" s="75" t="s">
        <v>7823</v>
      </c>
      <c r="AE54" s="75" t="s">
        <v>7823</v>
      </c>
      <c r="AF54" s="17" t="s">
        <v>7323</v>
      </c>
      <c r="AG54" s="72">
        <v>1</v>
      </c>
      <c r="AH54" s="83"/>
      <c r="AI54" s="75" t="s">
        <v>7307</v>
      </c>
    </row>
    <row r="55" spans="1:35" ht="43.2" x14ac:dyDescent="0.3">
      <c r="A55" s="71" t="s">
        <v>7286</v>
      </c>
      <c r="B55" s="17" t="s">
        <v>7824</v>
      </c>
      <c r="C55" s="72" t="s">
        <v>7326</v>
      </c>
      <c r="D55" s="81" t="s">
        <v>7825</v>
      </c>
      <c r="E55" s="74" t="s">
        <v>7826</v>
      </c>
      <c r="F55" s="75" t="s">
        <v>7291</v>
      </c>
      <c r="G55" s="75" t="s">
        <v>7292</v>
      </c>
      <c r="H55" s="75" t="s">
        <v>7814</v>
      </c>
      <c r="I55" s="75" t="s">
        <v>7815</v>
      </c>
      <c r="J55" s="75" t="s">
        <v>7827</v>
      </c>
      <c r="K55" s="11" t="s">
        <v>7828</v>
      </c>
      <c r="L55" s="77" t="s">
        <v>7818</v>
      </c>
      <c r="M55" s="76">
        <v>42989</v>
      </c>
      <c r="N55" s="76"/>
      <c r="O55" s="90" t="s">
        <v>7296</v>
      </c>
      <c r="P55" s="17"/>
      <c r="Q55" s="76">
        <v>32899</v>
      </c>
      <c r="R55" s="78">
        <v>36.712328767123289</v>
      </c>
      <c r="S55" s="79" t="s">
        <v>7829</v>
      </c>
      <c r="T55" s="75" t="s">
        <v>7298</v>
      </c>
      <c r="U55" s="75" t="s">
        <v>7830</v>
      </c>
      <c r="V55" s="17"/>
      <c r="W55" s="75" t="s">
        <v>7300</v>
      </c>
      <c r="X55" s="80" t="s">
        <v>7301</v>
      </c>
      <c r="Y55" s="75" t="s">
        <v>7319</v>
      </c>
      <c r="Z55" s="15" t="s">
        <v>7831</v>
      </c>
      <c r="AA55" s="75" t="s">
        <v>7832</v>
      </c>
      <c r="AB55" s="12" t="s">
        <v>7833</v>
      </c>
      <c r="AC55" s="12"/>
      <c r="AD55" s="75" t="s">
        <v>7834</v>
      </c>
      <c r="AE55" s="75" t="s">
        <v>7834</v>
      </c>
      <c r="AF55" s="17" t="s">
        <v>7323</v>
      </c>
      <c r="AG55" s="72">
        <v>2</v>
      </c>
      <c r="AH55" s="83"/>
      <c r="AI55" s="75" t="s">
        <v>7524</v>
      </c>
    </row>
    <row r="56" spans="1:35" x14ac:dyDescent="0.3">
      <c r="A56" s="71" t="s">
        <v>7286</v>
      </c>
      <c r="B56" s="17" t="s">
        <v>7835</v>
      </c>
      <c r="C56" s="72" t="s">
        <v>7150</v>
      </c>
      <c r="D56" s="81" t="s">
        <v>7836</v>
      </c>
      <c r="E56" s="74" t="s">
        <v>7837</v>
      </c>
      <c r="F56" s="75" t="s">
        <v>7329</v>
      </c>
      <c r="G56" s="75" t="s">
        <v>7330</v>
      </c>
      <c r="H56" s="75" t="s">
        <v>7405</v>
      </c>
      <c r="I56" s="75" t="s">
        <v>7406</v>
      </c>
      <c r="J56" s="75" t="s">
        <v>7407</v>
      </c>
      <c r="K56" s="11" t="s">
        <v>7408</v>
      </c>
      <c r="L56" s="77" t="s">
        <v>7409</v>
      </c>
      <c r="M56" s="76">
        <v>42999</v>
      </c>
      <c r="N56" s="76"/>
      <c r="O56" s="90" t="s">
        <v>7296</v>
      </c>
      <c r="P56" s="17"/>
      <c r="Q56" s="76">
        <v>32655</v>
      </c>
      <c r="R56" s="78">
        <v>37.38082191780822</v>
      </c>
      <c r="S56" s="79" t="s">
        <v>7838</v>
      </c>
      <c r="T56" s="75" t="s">
        <v>7298</v>
      </c>
      <c r="U56" s="75" t="s">
        <v>7839</v>
      </c>
      <c r="V56" s="17"/>
      <c r="W56" s="75" t="s">
        <v>7300</v>
      </c>
      <c r="X56" s="80"/>
      <c r="Y56" s="75" t="s">
        <v>7319</v>
      </c>
      <c r="Z56" s="15" t="s">
        <v>7840</v>
      </c>
      <c r="AA56" s="75"/>
      <c r="AB56" s="12" t="s">
        <v>7293</v>
      </c>
      <c r="AC56" s="12"/>
      <c r="AD56" s="75" t="s">
        <v>7841</v>
      </c>
      <c r="AE56" s="75" t="s">
        <v>7841</v>
      </c>
      <c r="AF56" s="17" t="s">
        <v>7323</v>
      </c>
      <c r="AG56" s="72">
        <v>0</v>
      </c>
      <c r="AH56" s="83"/>
      <c r="AI56" s="11" t="s">
        <v>7524</v>
      </c>
    </row>
    <row r="57" spans="1:35" ht="57.6" x14ac:dyDescent="0.3">
      <c r="A57" s="71" t="s">
        <v>7286</v>
      </c>
      <c r="B57" s="17" t="s">
        <v>7842</v>
      </c>
      <c r="C57" s="72" t="s">
        <v>7367</v>
      </c>
      <c r="D57" s="81" t="s">
        <v>7843</v>
      </c>
      <c r="E57" s="74" t="s">
        <v>23</v>
      </c>
      <c r="F57" s="75" t="s">
        <v>7329</v>
      </c>
      <c r="G57" s="75" t="s">
        <v>7330</v>
      </c>
      <c r="H57" s="11" t="s">
        <v>7358</v>
      </c>
      <c r="I57" s="75" t="s">
        <v>7359</v>
      </c>
      <c r="J57" s="75" t="s">
        <v>7844</v>
      </c>
      <c r="K57" s="11" t="s">
        <v>7845</v>
      </c>
      <c r="L57" s="77" t="s">
        <v>7360</v>
      </c>
      <c r="M57" s="76">
        <v>43010</v>
      </c>
      <c r="N57" s="76"/>
      <c r="O57" s="90" t="s">
        <v>7296</v>
      </c>
      <c r="P57" s="17"/>
      <c r="Q57" s="76">
        <v>29388</v>
      </c>
      <c r="R57" s="78">
        <v>46.331506849315069</v>
      </c>
      <c r="S57" s="79" t="s">
        <v>7846</v>
      </c>
      <c r="T57" s="75" t="s">
        <v>7298</v>
      </c>
      <c r="U57" s="75" t="s">
        <v>7847</v>
      </c>
      <c r="V57" s="17"/>
      <c r="W57" s="75" t="s">
        <v>7300</v>
      </c>
      <c r="X57" s="80"/>
      <c r="Y57" s="75" t="s">
        <v>7319</v>
      </c>
      <c r="Z57" s="15" t="s">
        <v>7848</v>
      </c>
      <c r="AA57" s="75"/>
      <c r="AB57" s="12" t="s">
        <v>7849</v>
      </c>
      <c r="AC57" s="12"/>
      <c r="AD57" s="75" t="s">
        <v>7850</v>
      </c>
      <c r="AE57" s="75" t="s">
        <v>7850</v>
      </c>
      <c r="AF57" s="17" t="s">
        <v>7323</v>
      </c>
      <c r="AG57" s="72">
        <v>2</v>
      </c>
      <c r="AH57" s="83"/>
      <c r="AI57" s="75" t="s">
        <v>7324</v>
      </c>
    </row>
    <row r="58" spans="1:35" x14ac:dyDescent="0.3">
      <c r="A58" s="71" t="s">
        <v>7286</v>
      </c>
      <c r="B58" s="17" t="s">
        <v>7851</v>
      </c>
      <c r="C58" s="72" t="s">
        <v>7150</v>
      </c>
      <c r="D58" s="81" t="s">
        <v>7852</v>
      </c>
      <c r="E58" s="74" t="s">
        <v>7853</v>
      </c>
      <c r="F58" s="75" t="s">
        <v>7329</v>
      </c>
      <c r="G58" s="75" t="s">
        <v>7330</v>
      </c>
      <c r="H58" s="75" t="s">
        <v>7405</v>
      </c>
      <c r="I58" s="75" t="s">
        <v>7406</v>
      </c>
      <c r="J58" s="75" t="s">
        <v>7407</v>
      </c>
      <c r="K58" s="11" t="s">
        <v>7408</v>
      </c>
      <c r="L58" s="77" t="s">
        <v>7409</v>
      </c>
      <c r="M58" s="76">
        <v>43040</v>
      </c>
      <c r="N58" s="76"/>
      <c r="O58" s="90" t="s">
        <v>7296</v>
      </c>
      <c r="P58" s="17"/>
      <c r="Q58" s="76">
        <v>33277</v>
      </c>
      <c r="R58" s="78">
        <v>35.676712328767124</v>
      </c>
      <c r="S58" s="79" t="s">
        <v>7854</v>
      </c>
      <c r="T58" s="75" t="s">
        <v>7298</v>
      </c>
      <c r="U58" s="75" t="s">
        <v>7855</v>
      </c>
      <c r="V58" s="17"/>
      <c r="W58" s="75" t="s">
        <v>7300</v>
      </c>
      <c r="X58" s="80"/>
      <c r="Y58" s="75" t="s">
        <v>7319</v>
      </c>
      <c r="Z58" s="15" t="s">
        <v>7856</v>
      </c>
      <c r="AA58" s="75"/>
      <c r="AB58" s="12" t="s">
        <v>7293</v>
      </c>
      <c r="AC58" s="12"/>
      <c r="AD58" s="75" t="s">
        <v>7857</v>
      </c>
      <c r="AE58" s="75" t="s">
        <v>7857</v>
      </c>
      <c r="AF58" s="17" t="s">
        <v>7323</v>
      </c>
      <c r="AG58" s="72">
        <v>2</v>
      </c>
      <c r="AH58" s="83"/>
      <c r="AI58" s="11" t="s">
        <v>7858</v>
      </c>
    </row>
    <row r="59" spans="1:35" x14ac:dyDescent="0.3">
      <c r="A59" s="71" t="s">
        <v>7286</v>
      </c>
      <c r="B59" s="17" t="s">
        <v>7859</v>
      </c>
      <c r="C59" s="72" t="s">
        <v>7150</v>
      </c>
      <c r="D59" s="81" t="s">
        <v>7860</v>
      </c>
      <c r="E59" s="74" t="s">
        <v>7861</v>
      </c>
      <c r="F59" s="75" t="s">
        <v>7293</v>
      </c>
      <c r="G59" s="75" t="s">
        <v>7293</v>
      </c>
      <c r="H59" s="75" t="s">
        <v>7293</v>
      </c>
      <c r="I59" s="75" t="s">
        <v>7293</v>
      </c>
      <c r="J59" s="75" t="s">
        <v>7407</v>
      </c>
      <c r="K59" s="11" t="s">
        <v>7408</v>
      </c>
      <c r="L59" s="77" t="s">
        <v>7467</v>
      </c>
      <c r="M59" s="76">
        <v>43070</v>
      </c>
      <c r="N59" s="76"/>
      <c r="O59" s="90" t="s">
        <v>7296</v>
      </c>
      <c r="P59" s="17"/>
      <c r="Q59" s="76">
        <v>32306</v>
      </c>
      <c r="R59" s="78">
        <v>38.336986301369862</v>
      </c>
      <c r="S59" s="79" t="s">
        <v>7862</v>
      </c>
      <c r="T59" s="75" t="s">
        <v>7298</v>
      </c>
      <c r="U59" s="75" t="s">
        <v>7863</v>
      </c>
      <c r="V59" s="17"/>
      <c r="W59" s="75" t="s">
        <v>7300</v>
      </c>
      <c r="X59" s="80"/>
      <c r="Y59" s="75" t="s">
        <v>7319</v>
      </c>
      <c r="Z59" s="15" t="s">
        <v>7864</v>
      </c>
      <c r="AA59" s="75"/>
      <c r="AB59" s="12" t="s">
        <v>7293</v>
      </c>
      <c r="AC59" s="12"/>
      <c r="AD59" s="75" t="s">
        <v>7865</v>
      </c>
      <c r="AE59" s="75" t="s">
        <v>7866</v>
      </c>
      <c r="AF59" s="17" t="s">
        <v>7323</v>
      </c>
      <c r="AG59" s="72">
        <v>0</v>
      </c>
      <c r="AH59" s="83"/>
      <c r="AI59" s="75" t="s">
        <v>7324</v>
      </c>
    </row>
    <row r="60" spans="1:35" ht="57.6" x14ac:dyDescent="0.3">
      <c r="A60" s="71" t="s">
        <v>7286</v>
      </c>
      <c r="B60" s="17" t="s">
        <v>7867</v>
      </c>
      <c r="C60" s="72" t="s">
        <v>7367</v>
      </c>
      <c r="D60" s="81" t="s">
        <v>7868</v>
      </c>
      <c r="E60" s="74" t="s">
        <v>7869</v>
      </c>
      <c r="F60" s="75" t="s">
        <v>7370</v>
      </c>
      <c r="G60" s="75" t="s">
        <v>7371</v>
      </c>
      <c r="H60" s="75" t="s">
        <v>7372</v>
      </c>
      <c r="I60" s="75" t="s">
        <v>7373</v>
      </c>
      <c r="J60" s="75" t="s">
        <v>7374</v>
      </c>
      <c r="K60" s="11" t="s">
        <v>7375</v>
      </c>
      <c r="L60" s="77" t="s">
        <v>7376</v>
      </c>
      <c r="M60" s="76">
        <v>43108</v>
      </c>
      <c r="N60" s="76"/>
      <c r="O60" s="75" t="s">
        <v>7870</v>
      </c>
      <c r="P60" s="17"/>
      <c r="Q60" s="76">
        <v>32698</v>
      </c>
      <c r="R60" s="78">
        <v>37.263013698630139</v>
      </c>
      <c r="S60" s="79" t="s">
        <v>7871</v>
      </c>
      <c r="T60" s="75" t="s">
        <v>7298</v>
      </c>
      <c r="U60" s="75" t="s">
        <v>7872</v>
      </c>
      <c r="V60" s="17"/>
      <c r="W60" s="75" t="s">
        <v>7300</v>
      </c>
      <c r="X60" s="80"/>
      <c r="Y60" s="75" t="s">
        <v>7302</v>
      </c>
      <c r="Z60" s="15" t="s">
        <v>7873</v>
      </c>
      <c r="AA60" s="75" t="s">
        <v>7873</v>
      </c>
      <c r="AB60" s="12" t="s">
        <v>7874</v>
      </c>
      <c r="AC60" s="12"/>
      <c r="AD60" s="75" t="s">
        <v>7875</v>
      </c>
      <c r="AE60" s="75" t="s">
        <v>7875</v>
      </c>
      <c r="AF60" s="17" t="s">
        <v>7323</v>
      </c>
      <c r="AG60" s="72">
        <v>1</v>
      </c>
      <c r="AH60" s="83"/>
      <c r="AI60" s="11" t="s">
        <v>7876</v>
      </c>
    </row>
    <row r="61" spans="1:35" x14ac:dyDescent="0.3">
      <c r="A61" s="71" t="s">
        <v>7286</v>
      </c>
      <c r="B61" s="17" t="s">
        <v>7877</v>
      </c>
      <c r="C61" s="72" t="s">
        <v>7150</v>
      </c>
      <c r="D61" s="81" t="s">
        <v>7878</v>
      </c>
      <c r="E61" s="74" t="s">
        <v>1277</v>
      </c>
      <c r="F61" s="75" t="s">
        <v>7293</v>
      </c>
      <c r="G61" s="75" t="s">
        <v>7293</v>
      </c>
      <c r="H61" s="75" t="s">
        <v>7311</v>
      </c>
      <c r="I61" s="75" t="s">
        <v>7312</v>
      </c>
      <c r="J61" s="75" t="s">
        <v>7313</v>
      </c>
      <c r="K61" s="11" t="s">
        <v>7314</v>
      </c>
      <c r="L61" s="77" t="s">
        <v>7315</v>
      </c>
      <c r="M61" s="76">
        <v>43192</v>
      </c>
      <c r="N61" s="76"/>
      <c r="O61" s="75" t="s">
        <v>7870</v>
      </c>
      <c r="P61" s="17" t="s">
        <v>7524</v>
      </c>
      <c r="Q61" s="76">
        <v>26574</v>
      </c>
      <c r="R61" s="78">
        <v>54.041095890410958</v>
      </c>
      <c r="S61" s="79" t="s">
        <v>7879</v>
      </c>
      <c r="T61" s="75" t="s">
        <v>7298</v>
      </c>
      <c r="U61" s="75" t="s">
        <v>7880</v>
      </c>
      <c r="V61" s="17"/>
      <c r="W61" s="75" t="s">
        <v>7300</v>
      </c>
      <c r="X61" s="80"/>
      <c r="Y61" s="75" t="s">
        <v>7319</v>
      </c>
      <c r="Z61" s="15" t="s">
        <v>7881</v>
      </c>
      <c r="AA61" s="75"/>
      <c r="AB61" s="12" t="s">
        <v>7293</v>
      </c>
      <c r="AC61" s="12"/>
      <c r="AD61" s="75" t="s">
        <v>7882</v>
      </c>
      <c r="AE61" s="75" t="s">
        <v>7882</v>
      </c>
      <c r="AF61" s="17" t="s">
        <v>7323</v>
      </c>
      <c r="AG61" s="72">
        <v>0</v>
      </c>
      <c r="AH61" s="83"/>
      <c r="AI61" s="75" t="s">
        <v>7524</v>
      </c>
    </row>
    <row r="62" spans="1:35" x14ac:dyDescent="0.3">
      <c r="A62" s="71" t="s">
        <v>7286</v>
      </c>
      <c r="B62" s="17" t="s">
        <v>7883</v>
      </c>
      <c r="C62" s="72" t="s">
        <v>7150</v>
      </c>
      <c r="D62" s="81" t="s">
        <v>7884</v>
      </c>
      <c r="E62" s="74" t="s">
        <v>7885</v>
      </c>
      <c r="F62" s="75" t="s">
        <v>7329</v>
      </c>
      <c r="G62" s="75" t="s">
        <v>7330</v>
      </c>
      <c r="H62" s="75" t="s">
        <v>7405</v>
      </c>
      <c r="I62" s="75" t="s">
        <v>7406</v>
      </c>
      <c r="J62" s="75" t="s">
        <v>7407</v>
      </c>
      <c r="K62" s="11" t="s">
        <v>7408</v>
      </c>
      <c r="L62" s="77" t="s">
        <v>7409</v>
      </c>
      <c r="M62" s="76">
        <v>43206</v>
      </c>
      <c r="N62" s="76"/>
      <c r="O62" s="75" t="s">
        <v>7870</v>
      </c>
      <c r="P62" s="17"/>
      <c r="Q62" s="76">
        <v>31555</v>
      </c>
      <c r="R62" s="78">
        <v>40.394520547945206</v>
      </c>
      <c r="S62" s="79" t="s">
        <v>7886</v>
      </c>
      <c r="T62" s="75" t="s">
        <v>7298</v>
      </c>
      <c r="U62" s="75" t="s">
        <v>7887</v>
      </c>
      <c r="V62" s="17"/>
      <c r="W62" s="75" t="s">
        <v>7300</v>
      </c>
      <c r="X62" s="80"/>
      <c r="Y62" s="75" t="s">
        <v>7319</v>
      </c>
      <c r="Z62" s="15" t="s">
        <v>7888</v>
      </c>
      <c r="AA62" s="75"/>
      <c r="AB62" s="12" t="s">
        <v>7293</v>
      </c>
      <c r="AC62" s="12"/>
      <c r="AD62" s="75" t="s">
        <v>7889</v>
      </c>
      <c r="AE62" s="75" t="s">
        <v>7889</v>
      </c>
      <c r="AF62" s="17" t="s">
        <v>7323</v>
      </c>
      <c r="AG62" s="72">
        <v>2</v>
      </c>
      <c r="AH62" s="83"/>
      <c r="AI62" s="75" t="s">
        <v>7448</v>
      </c>
    </row>
    <row r="63" spans="1:35" x14ac:dyDescent="0.3">
      <c r="A63" s="71" t="s">
        <v>7286</v>
      </c>
      <c r="B63" s="17" t="s">
        <v>7890</v>
      </c>
      <c r="C63" s="72" t="s">
        <v>7150</v>
      </c>
      <c r="D63" s="81" t="s">
        <v>7891</v>
      </c>
      <c r="E63" s="74" t="s">
        <v>1454</v>
      </c>
      <c r="F63" s="75" t="s">
        <v>7293</v>
      </c>
      <c r="G63" s="75" t="s">
        <v>7293</v>
      </c>
      <c r="H63" s="75" t="s">
        <v>7311</v>
      </c>
      <c r="I63" s="75" t="s">
        <v>7312</v>
      </c>
      <c r="J63" s="11" t="s">
        <v>7433</v>
      </c>
      <c r="K63" s="11" t="s">
        <v>7434</v>
      </c>
      <c r="L63" s="77" t="s">
        <v>7315</v>
      </c>
      <c r="M63" s="76">
        <v>43228</v>
      </c>
      <c r="N63" s="76"/>
      <c r="O63" s="75" t="s">
        <v>7892</v>
      </c>
      <c r="P63" s="17" t="s">
        <v>7316</v>
      </c>
      <c r="Q63" s="76">
        <v>29221</v>
      </c>
      <c r="R63" s="78">
        <v>46.789041095890411</v>
      </c>
      <c r="S63" s="79" t="s">
        <v>7893</v>
      </c>
      <c r="T63" s="75" t="s">
        <v>7298</v>
      </c>
      <c r="U63" s="75" t="s">
        <v>7894</v>
      </c>
      <c r="V63" s="17"/>
      <c r="W63" s="75" t="s">
        <v>7300</v>
      </c>
      <c r="X63" s="80"/>
      <c r="Y63" s="75" t="s">
        <v>7319</v>
      </c>
      <c r="Z63" s="15" t="s">
        <v>7895</v>
      </c>
      <c r="AA63" s="75"/>
      <c r="AB63" s="12" t="s">
        <v>7293</v>
      </c>
      <c r="AC63" s="12"/>
      <c r="AD63" s="75" t="s">
        <v>7896</v>
      </c>
      <c r="AE63" s="75" t="s">
        <v>7897</v>
      </c>
      <c r="AF63" s="17" t="s">
        <v>7323</v>
      </c>
      <c r="AG63" s="72">
        <v>2</v>
      </c>
      <c r="AH63" s="83"/>
      <c r="AI63" s="75" t="s">
        <v>7324</v>
      </c>
    </row>
    <row r="64" spans="1:35" x14ac:dyDescent="0.3">
      <c r="A64" s="71" t="s">
        <v>7286</v>
      </c>
      <c r="B64" s="17" t="s">
        <v>7898</v>
      </c>
      <c r="C64" s="72" t="s">
        <v>7150</v>
      </c>
      <c r="D64" s="81" t="s">
        <v>7899</v>
      </c>
      <c r="E64" s="74" t="s">
        <v>7900</v>
      </c>
      <c r="F64" s="75" t="s">
        <v>7329</v>
      </c>
      <c r="G64" s="75" t="s">
        <v>7330</v>
      </c>
      <c r="H64" s="75" t="s">
        <v>7405</v>
      </c>
      <c r="I64" s="75" t="s">
        <v>7406</v>
      </c>
      <c r="J64" s="75" t="s">
        <v>7407</v>
      </c>
      <c r="K64" s="11" t="s">
        <v>7408</v>
      </c>
      <c r="L64" s="77" t="s">
        <v>7409</v>
      </c>
      <c r="M64" s="76">
        <v>43252</v>
      </c>
      <c r="N64" s="76"/>
      <c r="O64" s="75" t="s">
        <v>7870</v>
      </c>
      <c r="P64" s="17"/>
      <c r="Q64" s="76">
        <v>26333</v>
      </c>
      <c r="R64" s="78">
        <v>54.701369863013696</v>
      </c>
      <c r="S64" s="79" t="s">
        <v>7901</v>
      </c>
      <c r="T64" s="75" t="s">
        <v>7298</v>
      </c>
      <c r="U64" s="81" t="s">
        <v>7902</v>
      </c>
      <c r="V64" s="72"/>
      <c r="W64" s="75" t="s">
        <v>7300</v>
      </c>
      <c r="X64" s="80"/>
      <c r="Y64" s="75" t="s">
        <v>7319</v>
      </c>
      <c r="Z64" s="15" t="s">
        <v>7903</v>
      </c>
      <c r="AA64" s="75"/>
      <c r="AB64" s="12" t="s">
        <v>7293</v>
      </c>
      <c r="AC64" s="12"/>
      <c r="AD64" s="86" t="s">
        <v>7904</v>
      </c>
      <c r="AE64" s="81" t="s">
        <v>7904</v>
      </c>
      <c r="AF64" s="17" t="s">
        <v>7323</v>
      </c>
      <c r="AG64" s="72">
        <v>2</v>
      </c>
      <c r="AH64" s="83"/>
      <c r="AI64" s="75" t="s">
        <v>7324</v>
      </c>
    </row>
    <row r="65" spans="1:35" ht="57.6" x14ac:dyDescent="0.3">
      <c r="A65" s="71" t="s">
        <v>7286</v>
      </c>
      <c r="B65" s="17" t="s">
        <v>7905</v>
      </c>
      <c r="C65" s="72" t="s">
        <v>7326</v>
      </c>
      <c r="D65" s="81" t="s">
        <v>7906</v>
      </c>
      <c r="E65" s="74" t="s">
        <v>7907</v>
      </c>
      <c r="F65" s="75" t="s">
        <v>7291</v>
      </c>
      <c r="G65" s="75" t="s">
        <v>7292</v>
      </c>
      <c r="H65" s="75" t="s">
        <v>7908</v>
      </c>
      <c r="I65" s="75" t="s">
        <v>7909</v>
      </c>
      <c r="J65" s="75" t="s">
        <v>7910</v>
      </c>
      <c r="K65" s="11" t="s">
        <v>7911</v>
      </c>
      <c r="L65" s="77" t="s">
        <v>7290</v>
      </c>
      <c r="M65" s="76">
        <v>43278</v>
      </c>
      <c r="N65" s="76"/>
      <c r="O65" s="75" t="s">
        <v>7892</v>
      </c>
      <c r="P65" s="17"/>
      <c r="Q65" s="76">
        <v>34228</v>
      </c>
      <c r="R65" s="78">
        <v>33.07123287671233</v>
      </c>
      <c r="S65" s="79" t="s">
        <v>7912</v>
      </c>
      <c r="T65" s="75" t="s">
        <v>7298</v>
      </c>
      <c r="U65" s="75" t="s">
        <v>7913</v>
      </c>
      <c r="V65" s="17"/>
      <c r="W65" s="75" t="s">
        <v>7300</v>
      </c>
      <c r="X65" s="80" t="s">
        <v>7301</v>
      </c>
      <c r="Y65" s="75" t="s">
        <v>7319</v>
      </c>
      <c r="Z65" s="15" t="s">
        <v>7914</v>
      </c>
      <c r="AA65" s="75" t="s">
        <v>7286</v>
      </c>
      <c r="AB65" s="12" t="s">
        <v>7915</v>
      </c>
      <c r="AC65" s="12"/>
      <c r="AD65" s="75" t="s">
        <v>7916</v>
      </c>
      <c r="AE65" s="75" t="s">
        <v>7917</v>
      </c>
      <c r="AF65" s="17" t="s">
        <v>7306</v>
      </c>
      <c r="AG65" s="72">
        <v>0</v>
      </c>
      <c r="AH65" s="83"/>
      <c r="AI65" s="75" t="s">
        <v>7307</v>
      </c>
    </row>
    <row r="66" spans="1:35" ht="57.6" x14ac:dyDescent="0.3">
      <c r="A66" s="71" t="s">
        <v>7286</v>
      </c>
      <c r="B66" s="17" t="s">
        <v>7918</v>
      </c>
      <c r="C66" s="72" t="s">
        <v>7367</v>
      </c>
      <c r="D66" s="81" t="s">
        <v>7919</v>
      </c>
      <c r="E66" s="74" t="s">
        <v>7920</v>
      </c>
      <c r="F66" s="75" t="s">
        <v>7293</v>
      </c>
      <c r="G66" s="75" t="s">
        <v>7293</v>
      </c>
      <c r="H66" s="75" t="s">
        <v>7293</v>
      </c>
      <c r="I66" s="75" t="s">
        <v>7293</v>
      </c>
      <c r="J66" s="75" t="s">
        <v>7921</v>
      </c>
      <c r="K66" s="11" t="s">
        <v>7922</v>
      </c>
      <c r="L66" s="77" t="s">
        <v>7587</v>
      </c>
      <c r="M66" s="76">
        <v>43332</v>
      </c>
      <c r="N66" s="76"/>
      <c r="O66" s="75" t="s">
        <v>7923</v>
      </c>
      <c r="P66" s="17"/>
      <c r="Q66" s="76">
        <v>35135</v>
      </c>
      <c r="R66" s="78">
        <v>30.586301369863012</v>
      </c>
      <c r="S66" s="79" t="s">
        <v>7924</v>
      </c>
      <c r="T66" s="75" t="s">
        <v>7298</v>
      </c>
      <c r="U66" s="75" t="s">
        <v>7925</v>
      </c>
      <c r="V66" s="17"/>
      <c r="W66" s="75" t="s">
        <v>7300</v>
      </c>
      <c r="X66" s="80"/>
      <c r="Y66" s="75" t="s">
        <v>7319</v>
      </c>
      <c r="Z66" s="15" t="s">
        <v>7926</v>
      </c>
      <c r="AA66" s="75" t="s">
        <v>7927</v>
      </c>
      <c r="AB66" s="12" t="s">
        <v>7928</v>
      </c>
      <c r="AC66" s="12"/>
      <c r="AD66" s="75" t="s">
        <v>7929</v>
      </c>
      <c r="AE66" s="75" t="s">
        <v>7929</v>
      </c>
      <c r="AF66" s="17" t="s">
        <v>7306</v>
      </c>
      <c r="AG66" s="72">
        <v>0</v>
      </c>
      <c r="AH66" s="17"/>
      <c r="AI66" s="75" t="s">
        <v>7307</v>
      </c>
    </row>
    <row r="67" spans="1:35" ht="57.6" x14ac:dyDescent="0.3">
      <c r="A67" s="71" t="s">
        <v>7286</v>
      </c>
      <c r="B67" s="17" t="s">
        <v>7930</v>
      </c>
      <c r="C67" s="72" t="s">
        <v>7367</v>
      </c>
      <c r="D67" s="75" t="s">
        <v>7931</v>
      </c>
      <c r="E67" s="11" t="s">
        <v>7932</v>
      </c>
      <c r="F67" s="75" t="s">
        <v>7293</v>
      </c>
      <c r="G67" s="75" t="s">
        <v>7293</v>
      </c>
      <c r="H67" s="75" t="s">
        <v>7933</v>
      </c>
      <c r="I67" s="75" t="s">
        <v>7934</v>
      </c>
      <c r="J67" s="75" t="s">
        <v>7935</v>
      </c>
      <c r="K67" s="11" t="s">
        <v>7936</v>
      </c>
      <c r="L67" s="77" t="s">
        <v>7937</v>
      </c>
      <c r="M67" s="76">
        <v>43342</v>
      </c>
      <c r="N67" s="76"/>
      <c r="O67" s="75" t="s">
        <v>7923</v>
      </c>
      <c r="P67" s="17"/>
      <c r="Q67" s="76">
        <v>35285</v>
      </c>
      <c r="R67" s="78">
        <v>30.175342465753424</v>
      </c>
      <c r="S67" s="79" t="s">
        <v>7938</v>
      </c>
      <c r="T67" s="75" t="s">
        <v>7298</v>
      </c>
      <c r="U67" s="75" t="s">
        <v>7939</v>
      </c>
      <c r="V67" s="17"/>
      <c r="W67" s="75" t="s">
        <v>7300</v>
      </c>
      <c r="X67" s="80"/>
      <c r="Y67" s="75" t="s">
        <v>7302</v>
      </c>
      <c r="Z67" s="15" t="s">
        <v>7940</v>
      </c>
      <c r="AA67" s="75" t="s">
        <v>7940</v>
      </c>
      <c r="AB67" s="12" t="s">
        <v>7941</v>
      </c>
      <c r="AC67" s="12"/>
      <c r="AD67" s="75" t="s">
        <v>7942</v>
      </c>
      <c r="AE67" s="75" t="s">
        <v>7942</v>
      </c>
      <c r="AF67" s="17" t="s">
        <v>7323</v>
      </c>
      <c r="AG67" s="72">
        <v>1</v>
      </c>
      <c r="AH67" s="17"/>
      <c r="AI67" s="75" t="s">
        <v>7307</v>
      </c>
    </row>
    <row r="68" spans="1:35" ht="57.6" x14ac:dyDescent="0.3">
      <c r="A68" s="71" t="s">
        <v>7286</v>
      </c>
      <c r="B68" s="17" t="s">
        <v>7943</v>
      </c>
      <c r="C68" s="72" t="s">
        <v>7343</v>
      </c>
      <c r="D68" s="81" t="s">
        <v>7944</v>
      </c>
      <c r="E68" s="74" t="s">
        <v>7945</v>
      </c>
      <c r="F68" s="75" t="s">
        <v>7293</v>
      </c>
      <c r="G68" s="75" t="s">
        <v>7293</v>
      </c>
      <c r="H68" s="75" t="s">
        <v>7946</v>
      </c>
      <c r="I68" s="75" t="s">
        <v>7947</v>
      </c>
      <c r="J68" s="75" t="s">
        <v>7948</v>
      </c>
      <c r="K68" s="11" t="s">
        <v>7949</v>
      </c>
      <c r="L68" s="77" t="s">
        <v>7950</v>
      </c>
      <c r="M68" s="76">
        <v>43350</v>
      </c>
      <c r="N68" s="76"/>
      <c r="O68" s="75" t="s">
        <v>7296</v>
      </c>
      <c r="P68" s="17"/>
      <c r="Q68" s="76">
        <v>34438</v>
      </c>
      <c r="R68" s="78">
        <v>32.495890410958907</v>
      </c>
      <c r="S68" s="79" t="s">
        <v>7951</v>
      </c>
      <c r="T68" s="75" t="s">
        <v>7298</v>
      </c>
      <c r="U68" s="75" t="s">
        <v>7952</v>
      </c>
      <c r="V68" s="17"/>
      <c r="W68" s="75" t="s">
        <v>7953</v>
      </c>
      <c r="X68" s="80"/>
      <c r="Y68" s="75" t="s">
        <v>7319</v>
      </c>
      <c r="Z68" s="15" t="s">
        <v>7954</v>
      </c>
      <c r="AA68" s="75" t="s">
        <v>7954</v>
      </c>
      <c r="AB68" s="12" t="s">
        <v>7955</v>
      </c>
      <c r="AC68" s="12"/>
      <c r="AD68" s="75" t="s">
        <v>7956</v>
      </c>
      <c r="AE68" s="75" t="s">
        <v>7957</v>
      </c>
      <c r="AF68" s="17" t="s">
        <v>7323</v>
      </c>
      <c r="AG68" s="72">
        <v>1</v>
      </c>
      <c r="AH68" s="17"/>
      <c r="AI68" s="75" t="s">
        <v>7307</v>
      </c>
    </row>
    <row r="69" spans="1:35" ht="57.6" x14ac:dyDescent="0.3">
      <c r="A69" s="71" t="s">
        <v>7286</v>
      </c>
      <c r="B69" s="17" t="s">
        <v>7958</v>
      </c>
      <c r="C69" s="72" t="s">
        <v>7343</v>
      </c>
      <c r="D69" s="81" t="s">
        <v>7959</v>
      </c>
      <c r="E69" s="74" t="s">
        <v>7315</v>
      </c>
      <c r="F69" s="75" t="s">
        <v>7293</v>
      </c>
      <c r="G69" s="75" t="s">
        <v>7293</v>
      </c>
      <c r="H69" s="75" t="s">
        <v>7311</v>
      </c>
      <c r="I69" s="75" t="s">
        <v>7312</v>
      </c>
      <c r="J69" s="75" t="s">
        <v>7333</v>
      </c>
      <c r="K69" s="11" t="s">
        <v>7334</v>
      </c>
      <c r="L69" s="77" t="s">
        <v>7295</v>
      </c>
      <c r="M69" s="76">
        <v>43375</v>
      </c>
      <c r="N69" s="76"/>
      <c r="O69" s="75" t="s">
        <v>7296</v>
      </c>
      <c r="P69" s="17"/>
      <c r="Q69" s="76">
        <v>30019</v>
      </c>
      <c r="R69" s="78">
        <v>44.602739726027394</v>
      </c>
      <c r="S69" s="79" t="s">
        <v>7960</v>
      </c>
      <c r="T69" s="75" t="s">
        <v>7298</v>
      </c>
      <c r="U69" s="75" t="s">
        <v>7961</v>
      </c>
      <c r="V69" s="17"/>
      <c r="W69" s="75" t="s">
        <v>7300</v>
      </c>
      <c r="X69" s="80"/>
      <c r="Y69" s="75" t="s">
        <v>7302</v>
      </c>
      <c r="Z69" s="15" t="s">
        <v>7962</v>
      </c>
      <c r="AA69" s="75" t="s">
        <v>7963</v>
      </c>
      <c r="AB69" s="12" t="s">
        <v>7964</v>
      </c>
      <c r="AC69" s="12"/>
      <c r="AD69" s="75" t="s">
        <v>7965</v>
      </c>
      <c r="AE69" s="75" t="s">
        <v>7965</v>
      </c>
      <c r="AF69" s="17" t="s">
        <v>7323</v>
      </c>
      <c r="AG69" s="72">
        <v>2</v>
      </c>
      <c r="AH69" s="17"/>
      <c r="AI69" s="75" t="s">
        <v>7966</v>
      </c>
    </row>
    <row r="70" spans="1:35" x14ac:dyDescent="0.3">
      <c r="A70" s="71" t="s">
        <v>7286</v>
      </c>
      <c r="B70" s="17" t="s">
        <v>7967</v>
      </c>
      <c r="C70" s="72" t="s">
        <v>7150</v>
      </c>
      <c r="D70" s="81" t="s">
        <v>7968</v>
      </c>
      <c r="E70" s="74" t="s">
        <v>7969</v>
      </c>
      <c r="F70" s="75" t="s">
        <v>7329</v>
      </c>
      <c r="G70" s="75" t="s">
        <v>7330</v>
      </c>
      <c r="H70" s="75" t="s">
        <v>7331</v>
      </c>
      <c r="I70" s="75" t="s">
        <v>7332</v>
      </c>
      <c r="J70" s="75" t="s">
        <v>7749</v>
      </c>
      <c r="K70" s="11" t="s">
        <v>6403</v>
      </c>
      <c r="L70" s="77" t="s">
        <v>7335</v>
      </c>
      <c r="M70" s="76">
        <v>43383</v>
      </c>
      <c r="N70" s="76"/>
      <c r="O70" s="75" t="s">
        <v>7870</v>
      </c>
      <c r="P70" s="17"/>
      <c r="Q70" s="76">
        <v>31123</v>
      </c>
      <c r="R70" s="78">
        <v>41.578082191780823</v>
      </c>
      <c r="S70" s="79" t="s">
        <v>7970</v>
      </c>
      <c r="T70" s="75" t="s">
        <v>7298</v>
      </c>
      <c r="U70" s="75" t="s">
        <v>7971</v>
      </c>
      <c r="V70" s="17"/>
      <c r="W70" s="75" t="s">
        <v>7300</v>
      </c>
      <c r="X70" s="80"/>
      <c r="Y70" s="75" t="s">
        <v>7319</v>
      </c>
      <c r="Z70" s="15" t="s">
        <v>7972</v>
      </c>
      <c r="AA70" s="75"/>
      <c r="AB70" s="12" t="s">
        <v>7293</v>
      </c>
      <c r="AC70" s="12"/>
      <c r="AD70" s="75" t="s">
        <v>7973</v>
      </c>
      <c r="AE70" s="75" t="s">
        <v>7974</v>
      </c>
      <c r="AF70" s="17" t="s">
        <v>7323</v>
      </c>
      <c r="AG70" s="72">
        <v>2</v>
      </c>
      <c r="AH70" s="17"/>
      <c r="AI70" s="75" t="s">
        <v>7324</v>
      </c>
    </row>
    <row r="71" spans="1:35" ht="57.6" x14ac:dyDescent="0.3">
      <c r="A71" s="71" t="s">
        <v>7286</v>
      </c>
      <c r="B71" s="17" t="s">
        <v>7975</v>
      </c>
      <c r="C71" s="72" t="s">
        <v>7367</v>
      </c>
      <c r="D71" s="81" t="s">
        <v>7976</v>
      </c>
      <c r="E71" s="74" t="s">
        <v>7977</v>
      </c>
      <c r="F71" s="75" t="s">
        <v>7370</v>
      </c>
      <c r="G71" s="75" t="s">
        <v>7371</v>
      </c>
      <c r="H71" s="75" t="s">
        <v>7767</v>
      </c>
      <c r="I71" s="75" t="s">
        <v>7768</v>
      </c>
      <c r="J71" s="75" t="s">
        <v>7978</v>
      </c>
      <c r="K71" s="11" t="s">
        <v>7979</v>
      </c>
      <c r="L71" s="77" t="s">
        <v>7771</v>
      </c>
      <c r="M71" s="76">
        <v>43409</v>
      </c>
      <c r="N71" s="76"/>
      <c r="O71" s="75" t="s">
        <v>7296</v>
      </c>
      <c r="P71" s="17"/>
      <c r="Q71" s="76">
        <v>34771</v>
      </c>
      <c r="R71" s="78">
        <v>31.583561643835615</v>
      </c>
      <c r="S71" s="79" t="s">
        <v>7980</v>
      </c>
      <c r="T71" s="75" t="s">
        <v>7298</v>
      </c>
      <c r="U71" s="75" t="s">
        <v>7981</v>
      </c>
      <c r="V71" s="17"/>
      <c r="W71" s="75" t="s">
        <v>7300</v>
      </c>
      <c r="X71" s="80"/>
      <c r="Y71" s="75" t="s">
        <v>7302</v>
      </c>
      <c r="Z71" s="15" t="s">
        <v>7982</v>
      </c>
      <c r="AA71" s="75" t="s">
        <v>7982</v>
      </c>
      <c r="AB71" s="12" t="s">
        <v>7983</v>
      </c>
      <c r="AC71" s="12"/>
      <c r="AD71" s="75" t="s">
        <v>7984</v>
      </c>
      <c r="AE71" s="75" t="s">
        <v>7985</v>
      </c>
      <c r="AF71" s="17" t="s">
        <v>7323</v>
      </c>
      <c r="AG71" s="72">
        <v>1</v>
      </c>
      <c r="AH71" s="17"/>
      <c r="AI71" s="75" t="s">
        <v>7745</v>
      </c>
    </row>
    <row r="72" spans="1:35" ht="57.6" x14ac:dyDescent="0.3">
      <c r="A72" s="71" t="s">
        <v>7286</v>
      </c>
      <c r="B72" s="17" t="s">
        <v>7986</v>
      </c>
      <c r="C72" s="72" t="s">
        <v>7367</v>
      </c>
      <c r="D72" s="81" t="s">
        <v>7987</v>
      </c>
      <c r="E72" s="74" t="s">
        <v>7988</v>
      </c>
      <c r="F72" s="75" t="s">
        <v>7329</v>
      </c>
      <c r="G72" s="75" t="s">
        <v>7330</v>
      </c>
      <c r="H72" s="11" t="s">
        <v>7358</v>
      </c>
      <c r="I72" s="75" t="s">
        <v>7359</v>
      </c>
      <c r="J72" s="75" t="s">
        <v>7989</v>
      </c>
      <c r="K72" s="11" t="s">
        <v>7845</v>
      </c>
      <c r="L72" s="77" t="s">
        <v>7360</v>
      </c>
      <c r="M72" s="76">
        <v>43410</v>
      </c>
      <c r="N72" s="76"/>
      <c r="O72" s="75" t="s">
        <v>7296</v>
      </c>
      <c r="P72" s="17"/>
      <c r="Q72" s="76">
        <v>35898</v>
      </c>
      <c r="R72" s="78">
        <v>28.495890410958904</v>
      </c>
      <c r="S72" s="79" t="s">
        <v>7990</v>
      </c>
      <c r="T72" s="75" t="s">
        <v>7298</v>
      </c>
      <c r="U72" s="75" t="s">
        <v>7991</v>
      </c>
      <c r="V72" s="17"/>
      <c r="W72" s="75" t="s">
        <v>7300</v>
      </c>
      <c r="X72" s="80"/>
      <c r="Y72" s="75" t="s">
        <v>7319</v>
      </c>
      <c r="Z72" s="15" t="s">
        <v>7992</v>
      </c>
      <c r="AA72" s="75"/>
      <c r="AB72" s="12" t="s">
        <v>7993</v>
      </c>
      <c r="AC72" s="12"/>
      <c r="AD72" s="75" t="s">
        <v>7994</v>
      </c>
      <c r="AE72" s="75" t="s">
        <v>7995</v>
      </c>
      <c r="AF72" s="17" t="s">
        <v>7306</v>
      </c>
      <c r="AG72" s="72">
        <v>0</v>
      </c>
      <c r="AH72" s="17"/>
      <c r="AI72" s="75" t="s">
        <v>7324</v>
      </c>
    </row>
    <row r="73" spans="1:35" x14ac:dyDescent="0.3">
      <c r="A73" s="71" t="s">
        <v>7286</v>
      </c>
      <c r="B73" s="17" t="s">
        <v>7996</v>
      </c>
      <c r="C73" s="72" t="s">
        <v>7150</v>
      </c>
      <c r="D73" s="81" t="s">
        <v>7997</v>
      </c>
      <c r="E73" s="74" t="s">
        <v>1666</v>
      </c>
      <c r="F73" s="75" t="s">
        <v>7293</v>
      </c>
      <c r="G73" s="75" t="s">
        <v>7293</v>
      </c>
      <c r="H73" s="75" t="s">
        <v>7311</v>
      </c>
      <c r="I73" s="75" t="s">
        <v>7312</v>
      </c>
      <c r="J73" s="11" t="s">
        <v>7433</v>
      </c>
      <c r="K73" s="11" t="s">
        <v>7434</v>
      </c>
      <c r="L73" s="77" t="s">
        <v>7315</v>
      </c>
      <c r="M73" s="76">
        <v>43435</v>
      </c>
      <c r="N73" s="76"/>
      <c r="O73" s="75" t="s">
        <v>7998</v>
      </c>
      <c r="P73" s="17" t="s">
        <v>7505</v>
      </c>
      <c r="Q73" s="76">
        <v>34839</v>
      </c>
      <c r="R73" s="78">
        <v>31.397260273972602</v>
      </c>
      <c r="S73" s="79" t="s">
        <v>7999</v>
      </c>
      <c r="T73" s="75" t="s">
        <v>7298</v>
      </c>
      <c r="U73" s="75" t="s">
        <v>8000</v>
      </c>
      <c r="V73" s="17"/>
      <c r="W73" s="75" t="s">
        <v>7300</v>
      </c>
      <c r="X73" s="80"/>
      <c r="Y73" s="75" t="s">
        <v>7319</v>
      </c>
      <c r="Z73" s="15" t="s">
        <v>8001</v>
      </c>
      <c r="AA73" s="75"/>
      <c r="AB73" s="12" t="s">
        <v>7293</v>
      </c>
      <c r="AC73" s="12"/>
      <c r="AD73" s="75" t="s">
        <v>8002</v>
      </c>
      <c r="AE73" s="75" t="s">
        <v>8003</v>
      </c>
      <c r="AF73" s="17" t="s">
        <v>7323</v>
      </c>
      <c r="AG73" s="72">
        <v>2</v>
      </c>
      <c r="AH73" s="17"/>
      <c r="AI73" s="11" t="s">
        <v>7505</v>
      </c>
    </row>
    <row r="74" spans="1:35" x14ac:dyDescent="0.3">
      <c r="A74" s="71" t="s">
        <v>7286</v>
      </c>
      <c r="B74" s="17" t="s">
        <v>8004</v>
      </c>
      <c r="C74" s="72" t="s">
        <v>7150</v>
      </c>
      <c r="D74" s="81" t="s">
        <v>8005</v>
      </c>
      <c r="E74" s="74" t="s">
        <v>1535</v>
      </c>
      <c r="F74" s="75" t="s">
        <v>7293</v>
      </c>
      <c r="G74" s="75" t="s">
        <v>7293</v>
      </c>
      <c r="H74" s="75" t="s">
        <v>7311</v>
      </c>
      <c r="I74" s="75" t="s">
        <v>7312</v>
      </c>
      <c r="J74" s="75" t="s">
        <v>7433</v>
      </c>
      <c r="K74" s="11" t="s">
        <v>7434</v>
      </c>
      <c r="L74" s="77" t="s">
        <v>7315</v>
      </c>
      <c r="M74" s="76">
        <v>43435</v>
      </c>
      <c r="N74" s="76"/>
      <c r="O74" s="75" t="s">
        <v>7998</v>
      </c>
      <c r="P74" s="17" t="s">
        <v>7422</v>
      </c>
      <c r="Q74" s="76">
        <v>33948</v>
      </c>
      <c r="R74" s="78">
        <v>33.838356164383562</v>
      </c>
      <c r="S74" s="79" t="s">
        <v>8006</v>
      </c>
      <c r="T74" s="75" t="s">
        <v>7298</v>
      </c>
      <c r="U74" s="75" t="s">
        <v>8007</v>
      </c>
      <c r="V74" s="17"/>
      <c r="W74" s="75" t="s">
        <v>7300</v>
      </c>
      <c r="X74" s="80"/>
      <c r="Y74" s="75" t="s">
        <v>7319</v>
      </c>
      <c r="Z74" s="15" t="s">
        <v>8008</v>
      </c>
      <c r="AA74" s="75"/>
      <c r="AB74" s="12" t="s">
        <v>7293</v>
      </c>
      <c r="AC74" s="12"/>
      <c r="AD74" s="75" t="s">
        <v>8009</v>
      </c>
      <c r="AE74" s="75" t="s">
        <v>8009</v>
      </c>
      <c r="AF74" s="17" t="s">
        <v>7323</v>
      </c>
      <c r="AG74" s="72">
        <v>0</v>
      </c>
      <c r="AH74" s="17"/>
      <c r="AI74" s="11" t="s">
        <v>7422</v>
      </c>
    </row>
    <row r="75" spans="1:35" x14ac:dyDescent="0.3">
      <c r="A75" s="71" t="s">
        <v>7286</v>
      </c>
      <c r="B75" s="17" t="s">
        <v>8010</v>
      </c>
      <c r="C75" s="72" t="s">
        <v>7150</v>
      </c>
      <c r="D75" s="81" t="s">
        <v>8011</v>
      </c>
      <c r="E75" s="74" t="s">
        <v>1287</v>
      </c>
      <c r="F75" s="75" t="s">
        <v>7293</v>
      </c>
      <c r="G75" s="75" t="s">
        <v>7293</v>
      </c>
      <c r="H75" s="75" t="s">
        <v>7311</v>
      </c>
      <c r="I75" s="75" t="s">
        <v>7312</v>
      </c>
      <c r="J75" s="75" t="s">
        <v>7433</v>
      </c>
      <c r="K75" s="11" t="s">
        <v>7434</v>
      </c>
      <c r="L75" s="77" t="s">
        <v>7315</v>
      </c>
      <c r="M75" s="76">
        <v>43435</v>
      </c>
      <c r="N75" s="76"/>
      <c r="O75" s="75" t="s">
        <v>7998</v>
      </c>
      <c r="P75" s="17" t="s">
        <v>7670</v>
      </c>
      <c r="Q75" s="76">
        <v>33562</v>
      </c>
      <c r="R75" s="78">
        <v>34.895890410958906</v>
      </c>
      <c r="S75" s="79" t="s">
        <v>8012</v>
      </c>
      <c r="T75" s="75" t="s">
        <v>7298</v>
      </c>
      <c r="U75" s="75" t="s">
        <v>8013</v>
      </c>
      <c r="V75" s="17"/>
      <c r="W75" s="75" t="s">
        <v>7300</v>
      </c>
      <c r="X75" s="80"/>
      <c r="Y75" s="75" t="s">
        <v>7319</v>
      </c>
      <c r="Z75" s="15" t="s">
        <v>8014</v>
      </c>
      <c r="AA75" s="75"/>
      <c r="AB75" s="12" t="s">
        <v>7293</v>
      </c>
      <c r="AC75" s="12"/>
      <c r="AD75" s="75" t="s">
        <v>8015</v>
      </c>
      <c r="AE75" s="75" t="s">
        <v>8016</v>
      </c>
      <c r="AF75" s="17" t="s">
        <v>7323</v>
      </c>
      <c r="AG75" s="72">
        <v>2</v>
      </c>
      <c r="AH75" s="17"/>
      <c r="AI75" s="75" t="s">
        <v>7670</v>
      </c>
    </row>
    <row r="76" spans="1:35" x14ac:dyDescent="0.3">
      <c r="A76" s="71" t="s">
        <v>7286</v>
      </c>
      <c r="B76" s="17" t="s">
        <v>8017</v>
      </c>
      <c r="C76" s="72" t="s">
        <v>7150</v>
      </c>
      <c r="D76" s="81" t="s">
        <v>8018</v>
      </c>
      <c r="E76" s="74" t="s">
        <v>1667</v>
      </c>
      <c r="F76" s="75" t="s">
        <v>7293</v>
      </c>
      <c r="G76" s="75" t="s">
        <v>7293</v>
      </c>
      <c r="H76" s="75" t="s">
        <v>7311</v>
      </c>
      <c r="I76" s="75" t="s">
        <v>7312</v>
      </c>
      <c r="J76" s="75" t="s">
        <v>7433</v>
      </c>
      <c r="K76" s="11" t="s">
        <v>7434</v>
      </c>
      <c r="L76" s="77" t="s">
        <v>7315</v>
      </c>
      <c r="M76" s="76">
        <v>43435</v>
      </c>
      <c r="N76" s="76"/>
      <c r="O76" s="75" t="s">
        <v>7998</v>
      </c>
      <c r="P76" s="17" t="s">
        <v>7505</v>
      </c>
      <c r="Q76" s="76">
        <v>33377</v>
      </c>
      <c r="R76" s="78">
        <v>35.402739726027399</v>
      </c>
      <c r="S76" s="79" t="s">
        <v>8019</v>
      </c>
      <c r="T76" s="75" t="s">
        <v>7298</v>
      </c>
      <c r="U76" s="75" t="s">
        <v>8020</v>
      </c>
      <c r="V76" s="17"/>
      <c r="W76" s="75" t="s">
        <v>7300</v>
      </c>
      <c r="X76" s="80"/>
      <c r="Y76" s="75" t="s">
        <v>7319</v>
      </c>
      <c r="Z76" s="15" t="s">
        <v>8021</v>
      </c>
      <c r="AA76" s="75"/>
      <c r="AB76" s="12" t="s">
        <v>7293</v>
      </c>
      <c r="AC76" s="12"/>
      <c r="AD76" s="75" t="s">
        <v>8022</v>
      </c>
      <c r="AE76" s="75" t="s">
        <v>8023</v>
      </c>
      <c r="AF76" s="17" t="s">
        <v>7323</v>
      </c>
      <c r="AG76" s="72">
        <v>1</v>
      </c>
      <c r="AH76" s="17"/>
      <c r="AI76" s="11" t="s">
        <v>7505</v>
      </c>
    </row>
    <row r="77" spans="1:35" x14ac:dyDescent="0.3">
      <c r="A77" s="71" t="s">
        <v>7286</v>
      </c>
      <c r="B77" s="17" t="s">
        <v>8024</v>
      </c>
      <c r="C77" s="72" t="s">
        <v>7150</v>
      </c>
      <c r="D77" s="81" t="s">
        <v>8025</v>
      </c>
      <c r="E77" s="74" t="s">
        <v>1276</v>
      </c>
      <c r="F77" s="75" t="s">
        <v>7293</v>
      </c>
      <c r="G77" s="75" t="s">
        <v>7293</v>
      </c>
      <c r="H77" s="75" t="s">
        <v>7311</v>
      </c>
      <c r="I77" s="75" t="s">
        <v>7312</v>
      </c>
      <c r="J77" s="75" t="s">
        <v>7433</v>
      </c>
      <c r="K77" s="11" t="s">
        <v>7434</v>
      </c>
      <c r="L77" s="77" t="s">
        <v>7315</v>
      </c>
      <c r="M77" s="76">
        <v>43435</v>
      </c>
      <c r="N77" s="76"/>
      <c r="O77" s="75" t="s">
        <v>7870</v>
      </c>
      <c r="P77" s="17" t="s">
        <v>7524</v>
      </c>
      <c r="Q77" s="76">
        <v>33150</v>
      </c>
      <c r="R77" s="78">
        <v>36.024657534246572</v>
      </c>
      <c r="S77" s="79" t="s">
        <v>8026</v>
      </c>
      <c r="T77" s="75" t="s">
        <v>7298</v>
      </c>
      <c r="U77" s="75" t="s">
        <v>8027</v>
      </c>
      <c r="V77" s="17"/>
      <c r="W77" s="75" t="s">
        <v>7300</v>
      </c>
      <c r="X77" s="80"/>
      <c r="Y77" s="75" t="s">
        <v>7319</v>
      </c>
      <c r="Z77" s="15" t="s">
        <v>8028</v>
      </c>
      <c r="AA77" s="75"/>
      <c r="AB77" s="12" t="s">
        <v>7293</v>
      </c>
      <c r="AC77" s="12"/>
      <c r="AD77" s="75" t="s">
        <v>8029</v>
      </c>
      <c r="AE77" s="75" t="s">
        <v>8029</v>
      </c>
      <c r="AF77" s="17" t="s">
        <v>7323</v>
      </c>
      <c r="AG77" s="72">
        <v>2</v>
      </c>
      <c r="AH77" s="17"/>
      <c r="AI77" s="75" t="s">
        <v>7524</v>
      </c>
    </row>
    <row r="78" spans="1:35" x14ac:dyDescent="0.3">
      <c r="A78" s="71" t="s">
        <v>7286</v>
      </c>
      <c r="B78" s="17" t="s">
        <v>8030</v>
      </c>
      <c r="C78" s="72" t="s">
        <v>7150</v>
      </c>
      <c r="D78" s="81" t="s">
        <v>8031</v>
      </c>
      <c r="E78" s="74" t="s">
        <v>1533</v>
      </c>
      <c r="F78" s="75" t="s">
        <v>7293</v>
      </c>
      <c r="G78" s="75" t="s">
        <v>7293</v>
      </c>
      <c r="H78" s="75" t="s">
        <v>7311</v>
      </c>
      <c r="I78" s="75" t="s">
        <v>7312</v>
      </c>
      <c r="J78" s="75" t="s">
        <v>7313</v>
      </c>
      <c r="K78" s="11" t="s">
        <v>7314</v>
      </c>
      <c r="L78" s="77" t="s">
        <v>7315</v>
      </c>
      <c r="M78" s="76">
        <v>43435</v>
      </c>
      <c r="N78" s="76"/>
      <c r="O78" s="75" t="s">
        <v>7998</v>
      </c>
      <c r="P78" s="17" t="s">
        <v>7422</v>
      </c>
      <c r="Q78" s="76">
        <v>32976</v>
      </c>
      <c r="R78" s="78">
        <v>36.5013698630137</v>
      </c>
      <c r="S78" s="79" t="s">
        <v>8032</v>
      </c>
      <c r="T78" s="75" t="s">
        <v>7298</v>
      </c>
      <c r="U78" s="75" t="s">
        <v>8033</v>
      </c>
      <c r="V78" s="17"/>
      <c r="W78" s="75" t="s">
        <v>7300</v>
      </c>
      <c r="X78" s="80"/>
      <c r="Y78" s="75" t="s">
        <v>7319</v>
      </c>
      <c r="Z78" s="15" t="s">
        <v>8034</v>
      </c>
      <c r="AA78" s="75"/>
      <c r="AB78" s="12" t="s">
        <v>7293</v>
      </c>
      <c r="AC78" s="12"/>
      <c r="AD78" s="75" t="s">
        <v>8035</v>
      </c>
      <c r="AE78" s="75" t="s">
        <v>8036</v>
      </c>
      <c r="AF78" s="17" t="s">
        <v>7323</v>
      </c>
      <c r="AG78" s="72">
        <v>2</v>
      </c>
      <c r="AH78" s="17"/>
      <c r="AI78" s="11" t="s">
        <v>7422</v>
      </c>
    </row>
    <row r="79" spans="1:35" x14ac:dyDescent="0.3">
      <c r="A79" s="71" t="s">
        <v>7286</v>
      </c>
      <c r="B79" s="17" t="s">
        <v>8037</v>
      </c>
      <c r="C79" s="72" t="s">
        <v>7150</v>
      </c>
      <c r="D79" s="81" t="s">
        <v>8038</v>
      </c>
      <c r="E79" s="74" t="s">
        <v>1278</v>
      </c>
      <c r="F79" s="75" t="s">
        <v>7293</v>
      </c>
      <c r="G79" s="75" t="s">
        <v>7293</v>
      </c>
      <c r="H79" s="75" t="s">
        <v>7311</v>
      </c>
      <c r="I79" s="75" t="s">
        <v>7312</v>
      </c>
      <c r="J79" s="75" t="s">
        <v>7433</v>
      </c>
      <c r="K79" s="11" t="s">
        <v>7434</v>
      </c>
      <c r="L79" s="77" t="s">
        <v>7315</v>
      </c>
      <c r="M79" s="76">
        <v>43435</v>
      </c>
      <c r="N79" s="76"/>
      <c r="O79" s="75" t="s">
        <v>7998</v>
      </c>
      <c r="P79" s="17" t="s">
        <v>7524</v>
      </c>
      <c r="Q79" s="76">
        <v>28517</v>
      </c>
      <c r="R79" s="78">
        <v>48.717808219178082</v>
      </c>
      <c r="S79" s="79" t="s">
        <v>8039</v>
      </c>
      <c r="T79" s="75" t="s">
        <v>7298</v>
      </c>
      <c r="U79" s="75" t="s">
        <v>8040</v>
      </c>
      <c r="V79" s="17"/>
      <c r="W79" s="75" t="s">
        <v>7300</v>
      </c>
      <c r="X79" s="80"/>
      <c r="Y79" s="75" t="s">
        <v>7319</v>
      </c>
      <c r="Z79" s="15" t="s">
        <v>8041</v>
      </c>
      <c r="AA79" s="75"/>
      <c r="AB79" s="12" t="s">
        <v>7293</v>
      </c>
      <c r="AC79" s="12"/>
      <c r="AD79" s="75" t="s">
        <v>8042</v>
      </c>
      <c r="AE79" s="75" t="s">
        <v>8042</v>
      </c>
      <c r="AF79" s="17" t="s">
        <v>7323</v>
      </c>
      <c r="AG79" s="72">
        <v>2</v>
      </c>
      <c r="AH79" s="17"/>
      <c r="AI79" s="75" t="s">
        <v>7524</v>
      </c>
    </row>
    <row r="80" spans="1:35" x14ac:dyDescent="0.3">
      <c r="A80" s="71" t="s">
        <v>7286</v>
      </c>
      <c r="B80" s="17" t="s">
        <v>8043</v>
      </c>
      <c r="C80" s="72" t="s">
        <v>7150</v>
      </c>
      <c r="D80" s="81" t="s">
        <v>8044</v>
      </c>
      <c r="E80" s="74" t="s">
        <v>8045</v>
      </c>
      <c r="F80" s="75" t="s">
        <v>7329</v>
      </c>
      <c r="G80" s="75" t="s">
        <v>7330</v>
      </c>
      <c r="H80" s="75" t="s">
        <v>7405</v>
      </c>
      <c r="I80" s="75" t="s">
        <v>7406</v>
      </c>
      <c r="J80" s="75" t="s">
        <v>7407</v>
      </c>
      <c r="K80" s="11" t="s">
        <v>7408</v>
      </c>
      <c r="L80" s="77" t="s">
        <v>7409</v>
      </c>
      <c r="M80" s="76">
        <v>43435</v>
      </c>
      <c r="N80" s="76"/>
      <c r="O80" s="75" t="s">
        <v>7892</v>
      </c>
      <c r="P80" s="17"/>
      <c r="Q80" s="76">
        <v>34900</v>
      </c>
      <c r="R80" s="78">
        <v>31.230136986301371</v>
      </c>
      <c r="S80" s="79" t="s">
        <v>8046</v>
      </c>
      <c r="T80" s="75" t="s">
        <v>7298</v>
      </c>
      <c r="U80" s="75" t="s">
        <v>8047</v>
      </c>
      <c r="V80" s="17"/>
      <c r="W80" s="75" t="s">
        <v>7300</v>
      </c>
      <c r="X80" s="80"/>
      <c r="Y80" s="75" t="s">
        <v>7319</v>
      </c>
      <c r="Z80" s="15" t="s">
        <v>8048</v>
      </c>
      <c r="AA80" s="75"/>
      <c r="AB80" s="12" t="s">
        <v>7293</v>
      </c>
      <c r="AC80" s="12"/>
      <c r="AD80" s="75" t="s">
        <v>8049</v>
      </c>
      <c r="AE80" s="75" t="s">
        <v>8049</v>
      </c>
      <c r="AF80" s="17" t="s">
        <v>7323</v>
      </c>
      <c r="AG80" s="72"/>
      <c r="AH80" s="17"/>
      <c r="AI80" s="75" t="s">
        <v>7324</v>
      </c>
    </row>
    <row r="81" spans="1:35" x14ac:dyDescent="0.3">
      <c r="A81" s="71" t="s">
        <v>7286</v>
      </c>
      <c r="B81" s="17" t="s">
        <v>8050</v>
      </c>
      <c r="C81" s="72" t="s">
        <v>7150</v>
      </c>
      <c r="D81" s="81" t="s">
        <v>8051</v>
      </c>
      <c r="E81" s="74" t="s">
        <v>8052</v>
      </c>
      <c r="F81" s="75" t="s">
        <v>7329</v>
      </c>
      <c r="G81" s="75" t="s">
        <v>7330</v>
      </c>
      <c r="H81" s="75" t="s">
        <v>7405</v>
      </c>
      <c r="I81" s="75" t="s">
        <v>7406</v>
      </c>
      <c r="J81" s="75" t="s">
        <v>7407</v>
      </c>
      <c r="K81" s="11" t="s">
        <v>7408</v>
      </c>
      <c r="L81" s="77" t="s">
        <v>7409</v>
      </c>
      <c r="M81" s="76">
        <v>43435</v>
      </c>
      <c r="N81" s="76"/>
      <c r="O81" s="75" t="s">
        <v>7998</v>
      </c>
      <c r="P81" s="17"/>
      <c r="Q81" s="76">
        <v>34574</v>
      </c>
      <c r="R81" s="78">
        <v>32.123287671232873</v>
      </c>
      <c r="S81" s="79" t="s">
        <v>8053</v>
      </c>
      <c r="T81" s="75" t="s">
        <v>7298</v>
      </c>
      <c r="U81" s="75" t="s">
        <v>8054</v>
      </c>
      <c r="V81" s="17"/>
      <c r="W81" s="75" t="s">
        <v>7300</v>
      </c>
      <c r="X81" s="80"/>
      <c r="Y81" s="75" t="s">
        <v>7319</v>
      </c>
      <c r="Z81" s="15" t="s">
        <v>8055</v>
      </c>
      <c r="AA81" s="75"/>
      <c r="AB81" s="12" t="s">
        <v>7293</v>
      </c>
      <c r="AC81" s="12"/>
      <c r="AD81" s="75" t="s">
        <v>8056</v>
      </c>
      <c r="AE81" s="75" t="s">
        <v>8057</v>
      </c>
      <c r="AF81" s="17" t="s">
        <v>7323</v>
      </c>
      <c r="AG81" s="72">
        <v>1</v>
      </c>
      <c r="AH81" s="17"/>
      <c r="AI81" s="75" t="s">
        <v>7324</v>
      </c>
    </row>
    <row r="82" spans="1:35" x14ac:dyDescent="0.3">
      <c r="A82" s="71" t="s">
        <v>7286</v>
      </c>
      <c r="B82" s="17" t="s">
        <v>8058</v>
      </c>
      <c r="C82" s="72" t="s">
        <v>7150</v>
      </c>
      <c r="D82" s="81" t="s">
        <v>8059</v>
      </c>
      <c r="E82" s="74" t="s">
        <v>8060</v>
      </c>
      <c r="F82" s="75" t="s">
        <v>7329</v>
      </c>
      <c r="G82" s="75" t="s">
        <v>7330</v>
      </c>
      <c r="H82" s="75" t="s">
        <v>7405</v>
      </c>
      <c r="I82" s="75" t="s">
        <v>7406</v>
      </c>
      <c r="J82" s="75" t="s">
        <v>7407</v>
      </c>
      <c r="K82" s="11" t="s">
        <v>7408</v>
      </c>
      <c r="L82" s="77" t="s">
        <v>7409</v>
      </c>
      <c r="M82" s="76">
        <v>43435</v>
      </c>
      <c r="N82" s="76"/>
      <c r="O82" s="75" t="s">
        <v>7892</v>
      </c>
      <c r="P82" s="17"/>
      <c r="Q82" s="76">
        <v>34062</v>
      </c>
      <c r="R82" s="78">
        <v>33.526027397260272</v>
      </c>
      <c r="S82" s="79" t="s">
        <v>8061</v>
      </c>
      <c r="T82" s="75" t="s">
        <v>7298</v>
      </c>
      <c r="U82" s="75" t="s">
        <v>8062</v>
      </c>
      <c r="V82" s="17"/>
      <c r="W82" s="75" t="s">
        <v>7300</v>
      </c>
      <c r="X82" s="80"/>
      <c r="Y82" s="75" t="s">
        <v>7319</v>
      </c>
      <c r="Z82" s="15" t="s">
        <v>8063</v>
      </c>
      <c r="AA82" s="75"/>
      <c r="AB82" s="12" t="s">
        <v>7293</v>
      </c>
      <c r="AC82" s="12"/>
      <c r="AD82" s="75" t="s">
        <v>8064</v>
      </c>
      <c r="AE82" s="75" t="s">
        <v>8065</v>
      </c>
      <c r="AF82" s="17" t="s">
        <v>7306</v>
      </c>
      <c r="AG82" s="72">
        <v>0</v>
      </c>
      <c r="AH82" s="17"/>
      <c r="AI82" s="75" t="s">
        <v>7324</v>
      </c>
    </row>
    <row r="83" spans="1:35" x14ac:dyDescent="0.3">
      <c r="A83" s="71" t="s">
        <v>7286</v>
      </c>
      <c r="B83" s="17" t="s">
        <v>8066</v>
      </c>
      <c r="C83" s="72" t="s">
        <v>7150</v>
      </c>
      <c r="D83" s="81" t="s">
        <v>8067</v>
      </c>
      <c r="E83" s="74" t="s">
        <v>1432</v>
      </c>
      <c r="F83" s="75" t="s">
        <v>7293</v>
      </c>
      <c r="G83" s="75" t="s">
        <v>7293</v>
      </c>
      <c r="H83" s="75" t="s">
        <v>7311</v>
      </c>
      <c r="I83" s="75" t="s">
        <v>7312</v>
      </c>
      <c r="J83" s="75" t="s">
        <v>7433</v>
      </c>
      <c r="K83" s="11" t="s">
        <v>7434</v>
      </c>
      <c r="L83" s="77" t="s">
        <v>7315</v>
      </c>
      <c r="M83" s="76">
        <v>43435</v>
      </c>
      <c r="N83" s="76"/>
      <c r="O83" s="75" t="s">
        <v>7296</v>
      </c>
      <c r="P83" s="17" t="s">
        <v>7425</v>
      </c>
      <c r="Q83" s="76">
        <v>32094</v>
      </c>
      <c r="R83" s="78">
        <v>38.917808219178085</v>
      </c>
      <c r="S83" s="79" t="s">
        <v>8068</v>
      </c>
      <c r="T83" s="75" t="s">
        <v>7298</v>
      </c>
      <c r="U83" s="75" t="s">
        <v>8069</v>
      </c>
      <c r="V83" s="17"/>
      <c r="W83" s="75" t="s">
        <v>7300</v>
      </c>
      <c r="X83" s="80"/>
      <c r="Y83" s="75" t="s">
        <v>7319</v>
      </c>
      <c r="Z83" s="15" t="s">
        <v>8070</v>
      </c>
      <c r="AA83" s="75"/>
      <c r="AB83" s="12" t="s">
        <v>7293</v>
      </c>
      <c r="AC83" s="12"/>
      <c r="AD83" s="75" t="s">
        <v>8071</v>
      </c>
      <c r="AE83" s="75" t="s">
        <v>8071</v>
      </c>
      <c r="AF83" s="17" t="s">
        <v>7323</v>
      </c>
      <c r="AG83" s="72">
        <v>1</v>
      </c>
      <c r="AH83" s="17"/>
      <c r="AI83" s="75" t="s">
        <v>7425</v>
      </c>
    </row>
    <row r="84" spans="1:35" x14ac:dyDescent="0.3">
      <c r="A84" s="71" t="s">
        <v>7286</v>
      </c>
      <c r="B84" s="17" t="s">
        <v>8072</v>
      </c>
      <c r="C84" s="72" t="s">
        <v>7150</v>
      </c>
      <c r="D84" s="81" t="s">
        <v>8073</v>
      </c>
      <c r="E84" s="74" t="s">
        <v>1451</v>
      </c>
      <c r="F84" s="75" t="s">
        <v>7293</v>
      </c>
      <c r="G84" s="75" t="s">
        <v>7293</v>
      </c>
      <c r="H84" s="75" t="s">
        <v>7311</v>
      </c>
      <c r="I84" s="75" t="s">
        <v>7312</v>
      </c>
      <c r="J84" s="75" t="s">
        <v>7433</v>
      </c>
      <c r="K84" s="11" t="s">
        <v>7434</v>
      </c>
      <c r="L84" s="77" t="s">
        <v>7315</v>
      </c>
      <c r="M84" s="76">
        <v>43435</v>
      </c>
      <c r="N84" s="76"/>
      <c r="O84" s="75" t="s">
        <v>7998</v>
      </c>
      <c r="P84" s="17" t="s">
        <v>7316</v>
      </c>
      <c r="Q84" s="76">
        <v>30351</v>
      </c>
      <c r="R84" s="78">
        <v>43.69315068493151</v>
      </c>
      <c r="S84" s="79" t="s">
        <v>8074</v>
      </c>
      <c r="T84" s="75" t="s">
        <v>7298</v>
      </c>
      <c r="U84" s="75" t="s">
        <v>8075</v>
      </c>
      <c r="V84" s="17"/>
      <c r="W84" s="75" t="s">
        <v>7300</v>
      </c>
      <c r="X84" s="80"/>
      <c r="Y84" s="75" t="s">
        <v>7319</v>
      </c>
      <c r="Z84" s="15" t="s">
        <v>8076</v>
      </c>
      <c r="AA84" s="75"/>
      <c r="AB84" s="12" t="s">
        <v>7293</v>
      </c>
      <c r="AC84" s="12"/>
      <c r="AD84" s="75" t="s">
        <v>8077</v>
      </c>
      <c r="AE84" s="75" t="s">
        <v>8078</v>
      </c>
      <c r="AF84" s="17" t="s">
        <v>7323</v>
      </c>
      <c r="AG84" s="72">
        <v>2</v>
      </c>
      <c r="AH84" s="17"/>
      <c r="AI84" s="75" t="s">
        <v>7324</v>
      </c>
    </row>
    <row r="85" spans="1:35" x14ac:dyDescent="0.3">
      <c r="A85" s="71" t="s">
        <v>7286</v>
      </c>
      <c r="B85" s="17" t="s">
        <v>8079</v>
      </c>
      <c r="C85" s="72" t="s">
        <v>7150</v>
      </c>
      <c r="D85" s="81" t="s">
        <v>8080</v>
      </c>
      <c r="E85" s="74" t="s">
        <v>1461</v>
      </c>
      <c r="F85" s="75" t="s">
        <v>7293</v>
      </c>
      <c r="G85" s="75" t="s">
        <v>7293</v>
      </c>
      <c r="H85" s="75" t="s">
        <v>7311</v>
      </c>
      <c r="I85" s="75" t="s">
        <v>7312</v>
      </c>
      <c r="J85" s="11" t="s">
        <v>7433</v>
      </c>
      <c r="K85" s="11" t="s">
        <v>7434</v>
      </c>
      <c r="L85" s="77" t="s">
        <v>7315</v>
      </c>
      <c r="M85" s="76">
        <v>43435</v>
      </c>
      <c r="N85" s="76"/>
      <c r="O85" s="75" t="s">
        <v>7892</v>
      </c>
      <c r="P85" s="17" t="s">
        <v>7425</v>
      </c>
      <c r="Q85" s="76">
        <v>36052</v>
      </c>
      <c r="R85" s="78">
        <v>28.073972602739726</v>
      </c>
      <c r="S85" s="79" t="s">
        <v>8081</v>
      </c>
      <c r="T85" s="75" t="s">
        <v>7298</v>
      </c>
      <c r="U85" s="75" t="s">
        <v>8082</v>
      </c>
      <c r="V85" s="17"/>
      <c r="W85" s="75" t="s">
        <v>7300</v>
      </c>
      <c r="X85" s="80"/>
      <c r="Y85" s="75" t="s">
        <v>7319</v>
      </c>
      <c r="Z85" s="15" t="s">
        <v>8083</v>
      </c>
      <c r="AA85" s="75"/>
      <c r="AB85" s="12" t="s">
        <v>7293</v>
      </c>
      <c r="AC85" s="12"/>
      <c r="AD85" s="75" t="s">
        <v>8084</v>
      </c>
      <c r="AE85" s="75" t="s">
        <v>8085</v>
      </c>
      <c r="AF85" s="17" t="s">
        <v>7306</v>
      </c>
      <c r="AG85" s="72">
        <v>0</v>
      </c>
      <c r="AH85" s="17"/>
      <c r="AI85" s="75" t="s">
        <v>7425</v>
      </c>
    </row>
    <row r="86" spans="1:35" x14ac:dyDescent="0.3">
      <c r="A86" s="71" t="s">
        <v>7286</v>
      </c>
      <c r="B86" s="17" t="s">
        <v>8086</v>
      </c>
      <c r="C86" s="72" t="s">
        <v>7150</v>
      </c>
      <c r="D86" s="81" t="s">
        <v>8087</v>
      </c>
      <c r="E86" s="74" t="s">
        <v>1472</v>
      </c>
      <c r="F86" s="75" t="s">
        <v>7293</v>
      </c>
      <c r="G86" s="75" t="s">
        <v>7293</v>
      </c>
      <c r="H86" s="75" t="s">
        <v>7311</v>
      </c>
      <c r="I86" s="75" t="s">
        <v>7312</v>
      </c>
      <c r="J86" s="11" t="s">
        <v>7433</v>
      </c>
      <c r="K86" s="11" t="s">
        <v>7434</v>
      </c>
      <c r="L86" s="77" t="s">
        <v>7315</v>
      </c>
      <c r="M86" s="76">
        <v>43435</v>
      </c>
      <c r="N86" s="76"/>
      <c r="O86" s="75" t="s">
        <v>7892</v>
      </c>
      <c r="P86" s="17" t="s">
        <v>7316</v>
      </c>
      <c r="Q86" s="76">
        <v>35688</v>
      </c>
      <c r="R86" s="78">
        <v>29.07123287671233</v>
      </c>
      <c r="S86" s="79" t="s">
        <v>8088</v>
      </c>
      <c r="T86" s="75" t="s">
        <v>7298</v>
      </c>
      <c r="U86" s="75" t="s">
        <v>8089</v>
      </c>
      <c r="V86" s="17"/>
      <c r="W86" s="75" t="s">
        <v>7300</v>
      </c>
      <c r="X86" s="80"/>
      <c r="Y86" s="75" t="s">
        <v>7319</v>
      </c>
      <c r="Z86" s="15" t="s">
        <v>8090</v>
      </c>
      <c r="AA86" s="75"/>
      <c r="AB86" s="12" t="s">
        <v>7293</v>
      </c>
      <c r="AC86" s="12"/>
      <c r="AD86" s="75" t="s">
        <v>8091</v>
      </c>
      <c r="AE86" s="75" t="s">
        <v>8092</v>
      </c>
      <c r="AF86" s="17" t="s">
        <v>7323</v>
      </c>
      <c r="AG86" s="72"/>
      <c r="AH86" s="17"/>
      <c r="AI86" s="75" t="s">
        <v>7324</v>
      </c>
    </row>
    <row r="87" spans="1:35" x14ac:dyDescent="0.3">
      <c r="A87" s="71" t="s">
        <v>7286</v>
      </c>
      <c r="B87" s="17" t="s">
        <v>8093</v>
      </c>
      <c r="C87" s="72" t="s">
        <v>7150</v>
      </c>
      <c r="D87" s="81" t="s">
        <v>8094</v>
      </c>
      <c r="E87" s="74" t="s">
        <v>1403</v>
      </c>
      <c r="F87" s="75" t="s">
        <v>7293</v>
      </c>
      <c r="G87" s="75" t="s">
        <v>7293</v>
      </c>
      <c r="H87" s="75" t="s">
        <v>7311</v>
      </c>
      <c r="I87" s="75" t="s">
        <v>7312</v>
      </c>
      <c r="J87" s="11" t="s">
        <v>7433</v>
      </c>
      <c r="K87" s="11" t="s">
        <v>7434</v>
      </c>
      <c r="L87" s="77" t="s">
        <v>7315</v>
      </c>
      <c r="M87" s="76">
        <v>43435</v>
      </c>
      <c r="N87" s="76"/>
      <c r="O87" s="75" t="s">
        <v>7296</v>
      </c>
      <c r="P87" s="17" t="s">
        <v>7316</v>
      </c>
      <c r="Q87" s="76">
        <v>34944</v>
      </c>
      <c r="R87" s="78">
        <v>31.109589041095891</v>
      </c>
      <c r="S87" s="79" t="s">
        <v>8095</v>
      </c>
      <c r="T87" s="75" t="s">
        <v>7298</v>
      </c>
      <c r="U87" s="75" t="s">
        <v>8096</v>
      </c>
      <c r="V87" s="17"/>
      <c r="W87" s="75" t="s">
        <v>7300</v>
      </c>
      <c r="X87" s="80"/>
      <c r="Y87" s="75" t="s">
        <v>7319</v>
      </c>
      <c r="Z87" s="15" t="s">
        <v>8097</v>
      </c>
      <c r="AA87" s="75"/>
      <c r="AB87" s="12" t="s">
        <v>7293</v>
      </c>
      <c r="AC87" s="12"/>
      <c r="AD87" s="75" t="s">
        <v>8098</v>
      </c>
      <c r="AE87" s="75" t="s">
        <v>8099</v>
      </c>
      <c r="AF87" s="17" t="s">
        <v>7306</v>
      </c>
      <c r="AG87" s="72">
        <v>0</v>
      </c>
      <c r="AH87" s="17"/>
      <c r="AI87" s="75" t="s">
        <v>7324</v>
      </c>
    </row>
    <row r="88" spans="1:35" x14ac:dyDescent="0.3">
      <c r="A88" s="71" t="s">
        <v>7286</v>
      </c>
      <c r="B88" s="17" t="s">
        <v>8100</v>
      </c>
      <c r="C88" s="72" t="s">
        <v>7150</v>
      </c>
      <c r="D88" s="81" t="s">
        <v>8101</v>
      </c>
      <c r="E88" s="74" t="s">
        <v>1431</v>
      </c>
      <c r="F88" s="75" t="s">
        <v>7293</v>
      </c>
      <c r="G88" s="75" t="s">
        <v>7293</v>
      </c>
      <c r="H88" s="75" t="s">
        <v>7311</v>
      </c>
      <c r="I88" s="75" t="s">
        <v>7312</v>
      </c>
      <c r="J88" s="11" t="s">
        <v>7433</v>
      </c>
      <c r="K88" s="11" t="s">
        <v>7434</v>
      </c>
      <c r="L88" s="77" t="s">
        <v>7315</v>
      </c>
      <c r="M88" s="76">
        <v>43435</v>
      </c>
      <c r="N88" s="76"/>
      <c r="O88" s="75" t="s">
        <v>7892</v>
      </c>
      <c r="P88" s="17" t="s">
        <v>7425</v>
      </c>
      <c r="Q88" s="76">
        <v>33187</v>
      </c>
      <c r="R88" s="78">
        <v>35.923287671232877</v>
      </c>
      <c r="S88" s="79" t="s">
        <v>8102</v>
      </c>
      <c r="T88" s="75" t="s">
        <v>7298</v>
      </c>
      <c r="U88" s="75" t="s">
        <v>8103</v>
      </c>
      <c r="V88" s="17"/>
      <c r="W88" s="75" t="s">
        <v>7300</v>
      </c>
      <c r="X88" s="80"/>
      <c r="Y88" s="75" t="s">
        <v>7319</v>
      </c>
      <c r="Z88" s="15" t="s">
        <v>8104</v>
      </c>
      <c r="AA88" s="75"/>
      <c r="AB88" s="12" t="s">
        <v>7293</v>
      </c>
      <c r="AC88" s="12"/>
      <c r="AD88" s="75" t="s">
        <v>8105</v>
      </c>
      <c r="AE88" s="75" t="s">
        <v>8106</v>
      </c>
      <c r="AF88" s="17" t="s">
        <v>7323</v>
      </c>
      <c r="AG88" s="72">
        <v>1</v>
      </c>
      <c r="AH88" s="17"/>
      <c r="AI88" s="75" t="s">
        <v>7425</v>
      </c>
    </row>
    <row r="89" spans="1:35" x14ac:dyDescent="0.3">
      <c r="A89" s="71" t="s">
        <v>7286</v>
      </c>
      <c r="B89" s="17" t="s">
        <v>8107</v>
      </c>
      <c r="C89" s="72" t="s">
        <v>7150</v>
      </c>
      <c r="D89" s="81" t="s">
        <v>8108</v>
      </c>
      <c r="E89" s="74" t="s">
        <v>8109</v>
      </c>
      <c r="F89" s="75" t="s">
        <v>7293</v>
      </c>
      <c r="G89" s="75" t="s">
        <v>7293</v>
      </c>
      <c r="H89" s="75" t="s">
        <v>7311</v>
      </c>
      <c r="I89" s="75" t="s">
        <v>7312</v>
      </c>
      <c r="J89" s="11" t="s">
        <v>7433</v>
      </c>
      <c r="K89" s="11" t="s">
        <v>7434</v>
      </c>
      <c r="L89" s="77" t="s">
        <v>7315</v>
      </c>
      <c r="M89" s="76">
        <v>43435</v>
      </c>
      <c r="N89" s="76"/>
      <c r="O89" s="75" t="s">
        <v>7998</v>
      </c>
      <c r="P89" s="17" t="s">
        <v>7597</v>
      </c>
      <c r="Q89" s="76">
        <v>32968</v>
      </c>
      <c r="R89" s="78">
        <v>36.523287671232879</v>
      </c>
      <c r="S89" s="79" t="s">
        <v>8110</v>
      </c>
      <c r="T89" s="75" t="s">
        <v>7298</v>
      </c>
      <c r="U89" s="75" t="s">
        <v>8111</v>
      </c>
      <c r="V89" s="17"/>
      <c r="W89" s="75" t="s">
        <v>7300</v>
      </c>
      <c r="X89" s="80"/>
      <c r="Y89" s="75" t="s">
        <v>7319</v>
      </c>
      <c r="Z89" s="15" t="s">
        <v>8112</v>
      </c>
      <c r="AA89" s="75"/>
      <c r="AB89" s="12" t="s">
        <v>7293</v>
      </c>
      <c r="AC89" s="12"/>
      <c r="AD89" s="75" t="s">
        <v>8113</v>
      </c>
      <c r="AE89" s="75" t="s">
        <v>8113</v>
      </c>
      <c r="AF89" s="17" t="s">
        <v>7323</v>
      </c>
      <c r="AG89" s="72">
        <v>1</v>
      </c>
      <c r="AH89" s="17"/>
      <c r="AI89" s="75" t="s">
        <v>7597</v>
      </c>
    </row>
    <row r="90" spans="1:35" x14ac:dyDescent="0.3">
      <c r="A90" s="71" t="s">
        <v>7286</v>
      </c>
      <c r="B90" s="17" t="s">
        <v>8114</v>
      </c>
      <c r="C90" s="72" t="s">
        <v>7150</v>
      </c>
      <c r="D90" s="81" t="s">
        <v>8115</v>
      </c>
      <c r="E90" s="74" t="s">
        <v>1285</v>
      </c>
      <c r="F90" s="75" t="s">
        <v>7293</v>
      </c>
      <c r="G90" s="75" t="s">
        <v>7293</v>
      </c>
      <c r="H90" s="75" t="s">
        <v>7311</v>
      </c>
      <c r="I90" s="75" t="s">
        <v>7312</v>
      </c>
      <c r="J90" s="75" t="s">
        <v>7313</v>
      </c>
      <c r="K90" s="11" t="s">
        <v>7434</v>
      </c>
      <c r="L90" s="77" t="s">
        <v>7315</v>
      </c>
      <c r="M90" s="76">
        <v>43451</v>
      </c>
      <c r="N90" s="76"/>
      <c r="O90" s="75" t="s">
        <v>7296</v>
      </c>
      <c r="P90" s="17" t="s">
        <v>8116</v>
      </c>
      <c r="Q90" s="76">
        <v>33800</v>
      </c>
      <c r="R90" s="78">
        <v>34.243835616438353</v>
      </c>
      <c r="S90" s="79" t="s">
        <v>8117</v>
      </c>
      <c r="T90" s="75" t="s">
        <v>7298</v>
      </c>
      <c r="U90" s="75" t="s">
        <v>8118</v>
      </c>
      <c r="V90" s="17"/>
      <c r="W90" s="75" t="s">
        <v>7300</v>
      </c>
      <c r="X90" s="80"/>
      <c r="Y90" s="75" t="s">
        <v>7319</v>
      </c>
      <c r="Z90" s="15" t="s">
        <v>8119</v>
      </c>
      <c r="AA90" s="75"/>
      <c r="AB90" s="12" t="s">
        <v>7293</v>
      </c>
      <c r="AC90" s="12"/>
      <c r="AD90" s="75" t="s">
        <v>8120</v>
      </c>
      <c r="AE90" s="75" t="s">
        <v>8120</v>
      </c>
      <c r="AF90" s="17" t="s">
        <v>7323</v>
      </c>
      <c r="AG90" s="72">
        <v>0</v>
      </c>
      <c r="AH90" s="17"/>
      <c r="AI90" s="75" t="s">
        <v>8116</v>
      </c>
    </row>
    <row r="91" spans="1:35" x14ac:dyDescent="0.3">
      <c r="A91" s="71" t="s">
        <v>7286</v>
      </c>
      <c r="B91" s="17" t="s">
        <v>8121</v>
      </c>
      <c r="C91" s="72" t="s">
        <v>7150</v>
      </c>
      <c r="D91" s="81" t="s">
        <v>8122</v>
      </c>
      <c r="E91" s="74" t="s">
        <v>8123</v>
      </c>
      <c r="F91" s="75" t="s">
        <v>7293</v>
      </c>
      <c r="G91" s="75" t="s">
        <v>7293</v>
      </c>
      <c r="H91" s="75" t="s">
        <v>7293</v>
      </c>
      <c r="I91" s="75" t="s">
        <v>7293</v>
      </c>
      <c r="J91" s="75" t="s">
        <v>7542</v>
      </c>
      <c r="K91" s="11" t="s">
        <v>6401</v>
      </c>
      <c r="L91" s="77" t="s">
        <v>7543</v>
      </c>
      <c r="M91" s="76">
        <v>43451</v>
      </c>
      <c r="N91" s="76"/>
      <c r="O91" s="75" t="s">
        <v>7296</v>
      </c>
      <c r="P91" s="17"/>
      <c r="Q91" s="76">
        <v>32750</v>
      </c>
      <c r="R91" s="78">
        <v>37.12054794520548</v>
      </c>
      <c r="S91" s="79" t="s">
        <v>8124</v>
      </c>
      <c r="T91" s="75" t="s">
        <v>7298</v>
      </c>
      <c r="U91" s="81" t="s">
        <v>8125</v>
      </c>
      <c r="V91" s="85"/>
      <c r="W91" s="75" t="s">
        <v>7300</v>
      </c>
      <c r="X91" s="80"/>
      <c r="Y91" s="75" t="s">
        <v>7302</v>
      </c>
      <c r="Z91" s="15" t="s">
        <v>8126</v>
      </c>
      <c r="AA91" s="75"/>
      <c r="AB91" s="12" t="s">
        <v>7293</v>
      </c>
      <c r="AC91" s="12"/>
      <c r="AD91" s="81" t="s">
        <v>8127</v>
      </c>
      <c r="AE91" s="81" t="s">
        <v>8127</v>
      </c>
      <c r="AF91" s="17" t="s">
        <v>7323</v>
      </c>
      <c r="AG91" s="72">
        <v>2</v>
      </c>
      <c r="AH91" s="72"/>
      <c r="AI91" s="75" t="s">
        <v>8116</v>
      </c>
    </row>
    <row r="92" spans="1:35" ht="57.6" x14ac:dyDescent="0.3">
      <c r="A92" s="71" t="s">
        <v>7286</v>
      </c>
      <c r="B92" s="17" t="s">
        <v>8128</v>
      </c>
      <c r="C92" s="72" t="s">
        <v>7367</v>
      </c>
      <c r="D92" s="81" t="s">
        <v>8129</v>
      </c>
      <c r="E92" s="74" t="s">
        <v>8130</v>
      </c>
      <c r="F92" s="75" t="s">
        <v>7291</v>
      </c>
      <c r="G92" s="75" t="s">
        <v>7292</v>
      </c>
      <c r="H92" s="75" t="s">
        <v>7814</v>
      </c>
      <c r="I92" s="75" t="s">
        <v>7815</v>
      </c>
      <c r="J92" s="75" t="s">
        <v>8131</v>
      </c>
      <c r="K92" s="11" t="s">
        <v>8132</v>
      </c>
      <c r="L92" s="77" t="s">
        <v>7818</v>
      </c>
      <c r="M92" s="76">
        <v>43468</v>
      </c>
      <c r="N92" s="76"/>
      <c r="O92" s="75" t="s">
        <v>7892</v>
      </c>
      <c r="P92" s="17"/>
      <c r="Q92" s="76">
        <v>29074</v>
      </c>
      <c r="R92" s="78">
        <v>47.19178082191781</v>
      </c>
      <c r="S92" s="79" t="s">
        <v>8133</v>
      </c>
      <c r="T92" s="75" t="s">
        <v>7298</v>
      </c>
      <c r="U92" s="75" t="s">
        <v>8134</v>
      </c>
      <c r="V92" s="17"/>
      <c r="W92" s="75" t="s">
        <v>7300</v>
      </c>
      <c r="X92" s="80" t="s">
        <v>7301</v>
      </c>
      <c r="Y92" s="75" t="s">
        <v>7319</v>
      </c>
      <c r="Z92" s="15" t="s">
        <v>8135</v>
      </c>
      <c r="AA92" s="75" t="s">
        <v>8135</v>
      </c>
      <c r="AB92" s="12" t="s">
        <v>8136</v>
      </c>
      <c r="AC92" s="12"/>
      <c r="AD92" s="75" t="s">
        <v>8137</v>
      </c>
      <c r="AE92" s="75" t="s">
        <v>8137</v>
      </c>
      <c r="AF92" s="17" t="s">
        <v>7323</v>
      </c>
      <c r="AG92" s="72">
        <v>3</v>
      </c>
      <c r="AH92" s="17"/>
      <c r="AI92" s="11" t="s">
        <v>7422</v>
      </c>
    </row>
    <row r="93" spans="1:35" x14ac:dyDescent="0.3">
      <c r="A93" s="71" t="s">
        <v>7286</v>
      </c>
      <c r="B93" s="17" t="s">
        <v>8138</v>
      </c>
      <c r="C93" s="72" t="s">
        <v>7367</v>
      </c>
      <c r="D93" s="81" t="s">
        <v>8139</v>
      </c>
      <c r="E93" s="74" t="s">
        <v>8140</v>
      </c>
      <c r="F93" s="75" t="s">
        <v>7329</v>
      </c>
      <c r="G93" s="75" t="s">
        <v>7330</v>
      </c>
      <c r="H93" s="75" t="s">
        <v>7331</v>
      </c>
      <c r="I93" s="75" t="s">
        <v>7332</v>
      </c>
      <c r="J93" s="75" t="s">
        <v>8141</v>
      </c>
      <c r="K93" s="11" t="s">
        <v>8142</v>
      </c>
      <c r="L93" s="77" t="s">
        <v>7335</v>
      </c>
      <c r="M93" s="76">
        <v>43469</v>
      </c>
      <c r="N93" s="76"/>
      <c r="O93" s="75" t="s">
        <v>7296</v>
      </c>
      <c r="P93" s="17"/>
      <c r="Q93" s="76">
        <v>30196</v>
      </c>
      <c r="R93" s="78">
        <v>44.11780821917808</v>
      </c>
      <c r="S93" s="79" t="s">
        <v>8143</v>
      </c>
      <c r="T93" s="75" t="s">
        <v>7298</v>
      </c>
      <c r="U93" s="75" t="s">
        <v>8144</v>
      </c>
      <c r="V93" s="17"/>
      <c r="W93" s="75" t="s">
        <v>7300</v>
      </c>
      <c r="X93" s="80"/>
      <c r="Y93" s="75" t="s">
        <v>7302</v>
      </c>
      <c r="Z93" s="15" t="s">
        <v>8145</v>
      </c>
      <c r="AA93" s="75"/>
      <c r="AB93" s="12" t="s">
        <v>7293</v>
      </c>
      <c r="AC93" s="12"/>
      <c r="AD93" s="75" t="s">
        <v>8146</v>
      </c>
      <c r="AE93" s="75" t="s">
        <v>8146</v>
      </c>
      <c r="AF93" s="17" t="s">
        <v>7323</v>
      </c>
      <c r="AG93" s="72">
        <v>3</v>
      </c>
      <c r="AH93" s="17"/>
      <c r="AI93" s="75" t="s">
        <v>7324</v>
      </c>
    </row>
    <row r="94" spans="1:35" x14ac:dyDescent="0.3">
      <c r="A94" s="71" t="s">
        <v>7286</v>
      </c>
      <c r="B94" s="17" t="s">
        <v>8147</v>
      </c>
      <c r="C94" s="72" t="s">
        <v>7150</v>
      </c>
      <c r="D94" s="81" t="s">
        <v>8148</v>
      </c>
      <c r="E94" s="74" t="s">
        <v>8149</v>
      </c>
      <c r="F94" s="75" t="s">
        <v>7329</v>
      </c>
      <c r="G94" s="75" t="s">
        <v>7330</v>
      </c>
      <c r="H94" s="75" t="s">
        <v>7405</v>
      </c>
      <c r="I94" s="75" t="s">
        <v>7406</v>
      </c>
      <c r="J94" s="75" t="s">
        <v>7407</v>
      </c>
      <c r="K94" s="11" t="s">
        <v>7408</v>
      </c>
      <c r="L94" s="77" t="s">
        <v>7409</v>
      </c>
      <c r="M94" s="76">
        <v>43497</v>
      </c>
      <c r="N94" s="76"/>
      <c r="O94" s="75" t="s">
        <v>7870</v>
      </c>
      <c r="P94" s="17"/>
      <c r="Q94" s="76">
        <v>34196</v>
      </c>
      <c r="R94" s="78">
        <v>33.158904109589038</v>
      </c>
      <c r="S94" s="79" t="s">
        <v>8150</v>
      </c>
      <c r="T94" s="75" t="s">
        <v>7298</v>
      </c>
      <c r="U94" s="75" t="s">
        <v>8151</v>
      </c>
      <c r="V94" s="17"/>
      <c r="W94" s="75" t="s">
        <v>7300</v>
      </c>
      <c r="X94" s="80"/>
      <c r="Y94" s="75" t="s">
        <v>7319</v>
      </c>
      <c r="Z94" s="15" t="s">
        <v>8152</v>
      </c>
      <c r="AA94" s="75"/>
      <c r="AB94" s="12" t="s">
        <v>7293</v>
      </c>
      <c r="AC94" s="12"/>
      <c r="AD94" s="75" t="s">
        <v>8153</v>
      </c>
      <c r="AE94" s="75" t="s">
        <v>8154</v>
      </c>
      <c r="AF94" s="17" t="s">
        <v>7306</v>
      </c>
      <c r="AG94" s="72">
        <v>0</v>
      </c>
      <c r="AH94" s="17"/>
      <c r="AI94" s="11" t="s">
        <v>7422</v>
      </c>
    </row>
    <row r="95" spans="1:35" x14ac:dyDescent="0.3">
      <c r="A95" s="71" t="s">
        <v>7286</v>
      </c>
      <c r="B95" s="17" t="s">
        <v>8155</v>
      </c>
      <c r="C95" s="72" t="s">
        <v>7150</v>
      </c>
      <c r="D95" s="81" t="s">
        <v>8156</v>
      </c>
      <c r="E95" s="74" t="s">
        <v>8157</v>
      </c>
      <c r="F95" s="75" t="s">
        <v>7329</v>
      </c>
      <c r="G95" s="75" t="s">
        <v>7330</v>
      </c>
      <c r="H95" s="75" t="s">
        <v>7405</v>
      </c>
      <c r="I95" s="75" t="s">
        <v>7406</v>
      </c>
      <c r="J95" s="75" t="s">
        <v>7407</v>
      </c>
      <c r="K95" s="11" t="s">
        <v>7408</v>
      </c>
      <c r="L95" s="77" t="s">
        <v>7409</v>
      </c>
      <c r="M95" s="76">
        <v>43521</v>
      </c>
      <c r="N95" s="76"/>
      <c r="O95" s="75" t="s">
        <v>7892</v>
      </c>
      <c r="P95" s="17"/>
      <c r="Q95" s="76">
        <v>30801</v>
      </c>
      <c r="R95" s="78">
        <v>42.460273972602742</v>
      </c>
      <c r="S95" s="79" t="s">
        <v>8158</v>
      </c>
      <c r="T95" s="75" t="s">
        <v>7298</v>
      </c>
      <c r="U95" s="75" t="s">
        <v>8159</v>
      </c>
      <c r="V95" s="17"/>
      <c r="W95" s="75" t="s">
        <v>7300</v>
      </c>
      <c r="X95" s="80"/>
      <c r="Y95" s="75" t="s">
        <v>7319</v>
      </c>
      <c r="Z95" s="15" t="s">
        <v>8160</v>
      </c>
      <c r="AA95" s="75"/>
      <c r="AB95" s="12" t="s">
        <v>7293</v>
      </c>
      <c r="AC95" s="12"/>
      <c r="AD95" s="75" t="s">
        <v>8161</v>
      </c>
      <c r="AE95" s="75" t="s">
        <v>8162</v>
      </c>
      <c r="AF95" s="17" t="s">
        <v>7323</v>
      </c>
      <c r="AG95" s="72">
        <v>3</v>
      </c>
      <c r="AH95" s="17"/>
      <c r="AI95" s="11" t="s">
        <v>7524</v>
      </c>
    </row>
    <row r="96" spans="1:35" ht="43.2" x14ac:dyDescent="0.3">
      <c r="A96" s="71" t="s">
        <v>7286</v>
      </c>
      <c r="B96" s="17" t="s">
        <v>8163</v>
      </c>
      <c r="C96" s="72" t="s">
        <v>7367</v>
      </c>
      <c r="D96" s="81" t="s">
        <v>8164</v>
      </c>
      <c r="E96" s="74" t="s">
        <v>8165</v>
      </c>
      <c r="F96" s="75" t="s">
        <v>8166</v>
      </c>
      <c r="G96" s="75" t="s">
        <v>6492</v>
      </c>
      <c r="H96" s="75" t="s">
        <v>7293</v>
      </c>
      <c r="I96" s="75" t="s">
        <v>7293</v>
      </c>
      <c r="J96" s="75" t="s">
        <v>8167</v>
      </c>
      <c r="K96" s="11" t="s">
        <v>6353</v>
      </c>
      <c r="L96" s="77" t="s">
        <v>7646</v>
      </c>
      <c r="M96" s="76">
        <v>43586</v>
      </c>
      <c r="N96" s="76"/>
      <c r="O96" s="75" t="s">
        <v>7870</v>
      </c>
      <c r="P96" s="17"/>
      <c r="Q96" s="76">
        <v>25859</v>
      </c>
      <c r="R96" s="78">
        <v>56</v>
      </c>
      <c r="S96" s="79" t="s">
        <v>8168</v>
      </c>
      <c r="T96" s="75" t="s">
        <v>7298</v>
      </c>
      <c r="U96" s="75" t="s">
        <v>8169</v>
      </c>
      <c r="V96" s="17"/>
      <c r="W96" s="75" t="s">
        <v>7300</v>
      </c>
      <c r="X96" s="80"/>
      <c r="Y96" s="75" t="s">
        <v>7319</v>
      </c>
      <c r="Z96" s="15" t="s">
        <v>8170</v>
      </c>
      <c r="AA96" s="75" t="s">
        <v>8171</v>
      </c>
      <c r="AB96" s="12" t="s">
        <v>8172</v>
      </c>
      <c r="AC96" s="12"/>
      <c r="AD96" s="75" t="s">
        <v>8173</v>
      </c>
      <c r="AE96" s="75" t="s">
        <v>8173</v>
      </c>
      <c r="AF96" s="17" t="s">
        <v>7323</v>
      </c>
      <c r="AG96" s="72">
        <v>2</v>
      </c>
      <c r="AH96" s="17"/>
      <c r="AI96" s="75" t="s">
        <v>7324</v>
      </c>
    </row>
    <row r="97" spans="1:35" x14ac:dyDescent="0.3">
      <c r="A97" s="71" t="s">
        <v>7286</v>
      </c>
      <c r="B97" s="17" t="s">
        <v>8174</v>
      </c>
      <c r="C97" s="72" t="s">
        <v>7150</v>
      </c>
      <c r="D97" s="81" t="s">
        <v>8175</v>
      </c>
      <c r="E97" s="74" t="s">
        <v>1456</v>
      </c>
      <c r="F97" s="75" t="s">
        <v>7293</v>
      </c>
      <c r="G97" s="75" t="s">
        <v>7293</v>
      </c>
      <c r="H97" s="75" t="s">
        <v>7311</v>
      </c>
      <c r="I97" s="75" t="s">
        <v>7312</v>
      </c>
      <c r="J97" s="75" t="s">
        <v>7313</v>
      </c>
      <c r="K97" s="11" t="s">
        <v>7314</v>
      </c>
      <c r="L97" s="77" t="s">
        <v>7315</v>
      </c>
      <c r="M97" s="76">
        <v>43595</v>
      </c>
      <c r="N97" s="76"/>
      <c r="O97" s="75" t="s">
        <v>7870</v>
      </c>
      <c r="P97" s="17" t="s">
        <v>7316</v>
      </c>
      <c r="Q97" s="76">
        <v>31038</v>
      </c>
      <c r="R97" s="78">
        <v>41.81095890410959</v>
      </c>
      <c r="S97" s="79" t="s">
        <v>8176</v>
      </c>
      <c r="T97" s="75" t="s">
        <v>7298</v>
      </c>
      <c r="U97" s="81" t="s">
        <v>8177</v>
      </c>
      <c r="V97" s="85"/>
      <c r="W97" s="75" t="s">
        <v>7300</v>
      </c>
      <c r="X97" s="80"/>
      <c r="Y97" s="75" t="s">
        <v>7319</v>
      </c>
      <c r="Z97" s="15" t="s">
        <v>8178</v>
      </c>
      <c r="AA97" s="75"/>
      <c r="AB97" s="12" t="s">
        <v>7293</v>
      </c>
      <c r="AC97" s="12"/>
      <c r="AD97" s="81" t="s">
        <v>8179</v>
      </c>
      <c r="AE97" s="81" t="s">
        <v>8180</v>
      </c>
      <c r="AF97" s="17" t="s">
        <v>7323</v>
      </c>
      <c r="AG97" s="72">
        <v>1</v>
      </c>
      <c r="AH97" s="72"/>
      <c r="AI97" s="75" t="s">
        <v>7324</v>
      </c>
    </row>
    <row r="98" spans="1:35" x14ac:dyDescent="0.3">
      <c r="A98" s="71" t="s">
        <v>7286</v>
      </c>
      <c r="B98" s="17" t="s">
        <v>8181</v>
      </c>
      <c r="C98" s="72" t="s">
        <v>7150</v>
      </c>
      <c r="D98" s="81" t="s">
        <v>8182</v>
      </c>
      <c r="E98" s="74" t="s">
        <v>8183</v>
      </c>
      <c r="F98" s="75" t="s">
        <v>7293</v>
      </c>
      <c r="G98" s="75" t="s">
        <v>7293</v>
      </c>
      <c r="H98" s="75" t="s">
        <v>7311</v>
      </c>
      <c r="I98" s="75" t="s">
        <v>7312</v>
      </c>
      <c r="J98" s="11" t="s">
        <v>7433</v>
      </c>
      <c r="K98" s="11" t="s">
        <v>7434</v>
      </c>
      <c r="L98" s="77" t="s">
        <v>7315</v>
      </c>
      <c r="M98" s="76">
        <v>43617</v>
      </c>
      <c r="N98" s="76"/>
      <c r="O98" s="75" t="s">
        <v>7892</v>
      </c>
      <c r="P98" s="17" t="s">
        <v>7597</v>
      </c>
      <c r="Q98" s="76">
        <v>34241</v>
      </c>
      <c r="R98" s="78">
        <v>33.035616438356165</v>
      </c>
      <c r="S98" s="79" t="s">
        <v>8184</v>
      </c>
      <c r="T98" s="75" t="s">
        <v>7298</v>
      </c>
      <c r="U98" s="75" t="s">
        <v>8185</v>
      </c>
      <c r="V98" s="17"/>
      <c r="W98" s="75" t="s">
        <v>7300</v>
      </c>
      <c r="X98" s="80"/>
      <c r="Y98" s="75" t="s">
        <v>7319</v>
      </c>
      <c r="Z98" s="15" t="s">
        <v>8186</v>
      </c>
      <c r="AA98" s="75"/>
      <c r="AB98" s="12" t="s">
        <v>7293</v>
      </c>
      <c r="AC98" s="12"/>
      <c r="AD98" s="75" t="s">
        <v>8187</v>
      </c>
      <c r="AE98" s="75" t="s">
        <v>8187</v>
      </c>
      <c r="AF98" s="17" t="s">
        <v>7323</v>
      </c>
      <c r="AG98" s="72"/>
      <c r="AH98" s="17"/>
      <c r="AI98" s="75" t="s">
        <v>7597</v>
      </c>
    </row>
    <row r="99" spans="1:35" ht="57.6" x14ac:dyDescent="0.3">
      <c r="A99" s="71" t="s">
        <v>7286</v>
      </c>
      <c r="B99" s="17" t="s">
        <v>8188</v>
      </c>
      <c r="C99" s="72" t="s">
        <v>7343</v>
      </c>
      <c r="D99" s="81" t="s">
        <v>8189</v>
      </c>
      <c r="E99" s="74" t="s">
        <v>8190</v>
      </c>
      <c r="F99" s="75" t="s">
        <v>7293</v>
      </c>
      <c r="G99" s="75" t="s">
        <v>7293</v>
      </c>
      <c r="H99" s="75" t="s">
        <v>7311</v>
      </c>
      <c r="I99" s="75" t="s">
        <v>7312</v>
      </c>
      <c r="J99" s="75" t="s">
        <v>8191</v>
      </c>
      <c r="K99" s="11" t="s">
        <v>8192</v>
      </c>
      <c r="L99" s="77" t="s">
        <v>7315</v>
      </c>
      <c r="M99" s="76">
        <v>43634</v>
      </c>
      <c r="N99" s="76"/>
      <c r="O99" s="75" t="s">
        <v>7892</v>
      </c>
      <c r="P99" s="17"/>
      <c r="Q99" s="76">
        <v>25249</v>
      </c>
      <c r="R99" s="78">
        <v>57.671232876712331</v>
      </c>
      <c r="S99" s="79" t="s">
        <v>8193</v>
      </c>
      <c r="T99" s="75" t="s">
        <v>7298</v>
      </c>
      <c r="U99" s="81" t="s">
        <v>8194</v>
      </c>
      <c r="V99" s="85"/>
      <c r="W99" s="75" t="s">
        <v>7300</v>
      </c>
      <c r="X99" s="80"/>
      <c r="Y99" s="75" t="s">
        <v>7319</v>
      </c>
      <c r="Z99" s="15" t="s">
        <v>8195</v>
      </c>
      <c r="AA99" s="75" t="s">
        <v>8195</v>
      </c>
      <c r="AB99" s="12" t="s">
        <v>8196</v>
      </c>
      <c r="AC99" s="12"/>
      <c r="AD99" s="86" t="s">
        <v>8197</v>
      </c>
      <c r="AE99" s="81" t="s">
        <v>8198</v>
      </c>
      <c r="AF99" s="72" t="s">
        <v>7323</v>
      </c>
      <c r="AG99" s="72">
        <v>2</v>
      </c>
      <c r="AH99" s="72"/>
      <c r="AI99" s="75" t="s">
        <v>8116</v>
      </c>
    </row>
    <row r="100" spans="1:35" x14ac:dyDescent="0.3">
      <c r="A100" s="71" t="s">
        <v>7286</v>
      </c>
      <c r="B100" s="17" t="s">
        <v>8199</v>
      </c>
      <c r="C100" s="72" t="s">
        <v>7150</v>
      </c>
      <c r="D100" s="81" t="s">
        <v>8200</v>
      </c>
      <c r="E100" s="74" t="s">
        <v>8201</v>
      </c>
      <c r="F100" s="75" t="s">
        <v>7329</v>
      </c>
      <c r="G100" s="75" t="s">
        <v>7330</v>
      </c>
      <c r="H100" s="75" t="s">
        <v>7331</v>
      </c>
      <c r="I100" s="75" t="s">
        <v>7332</v>
      </c>
      <c r="J100" s="75" t="s">
        <v>8202</v>
      </c>
      <c r="K100" s="11" t="s">
        <v>8203</v>
      </c>
      <c r="L100" s="77" t="s">
        <v>7335</v>
      </c>
      <c r="M100" s="76">
        <v>43643</v>
      </c>
      <c r="N100" s="76"/>
      <c r="O100" s="75" t="s">
        <v>7870</v>
      </c>
      <c r="P100" s="17"/>
      <c r="Q100" s="76">
        <v>34669</v>
      </c>
      <c r="R100" s="78">
        <v>31.863013698630137</v>
      </c>
      <c r="S100" s="79" t="s">
        <v>8204</v>
      </c>
      <c r="T100" s="75" t="s">
        <v>7298</v>
      </c>
      <c r="U100" s="75" t="s">
        <v>8205</v>
      </c>
      <c r="V100" s="17"/>
      <c r="W100" s="75" t="s">
        <v>7300</v>
      </c>
      <c r="X100" s="80"/>
      <c r="Y100" s="75" t="s">
        <v>7319</v>
      </c>
      <c r="Z100" s="15" t="s">
        <v>8206</v>
      </c>
      <c r="AA100" s="75"/>
      <c r="AB100" s="12" t="s">
        <v>7293</v>
      </c>
      <c r="AC100" s="12"/>
      <c r="AD100" s="75" t="s">
        <v>8207</v>
      </c>
      <c r="AE100" s="75" t="s">
        <v>8207</v>
      </c>
      <c r="AF100" s="17" t="s">
        <v>7323</v>
      </c>
      <c r="AG100" s="72">
        <v>0</v>
      </c>
      <c r="AH100" s="17"/>
      <c r="AI100" s="75" t="s">
        <v>7324</v>
      </c>
    </row>
    <row r="101" spans="1:35" x14ac:dyDescent="0.3">
      <c r="A101" s="71" t="s">
        <v>7286</v>
      </c>
      <c r="B101" s="17" t="s">
        <v>8208</v>
      </c>
      <c r="C101" s="72" t="s">
        <v>7150</v>
      </c>
      <c r="D101" s="81" t="s">
        <v>8209</v>
      </c>
      <c r="E101" s="74" t="s">
        <v>1457</v>
      </c>
      <c r="F101" s="75" t="s">
        <v>7293</v>
      </c>
      <c r="G101" s="75" t="s">
        <v>7293</v>
      </c>
      <c r="H101" s="75" t="s">
        <v>7311</v>
      </c>
      <c r="I101" s="75" t="s">
        <v>7312</v>
      </c>
      <c r="J101" s="75" t="s">
        <v>7313</v>
      </c>
      <c r="K101" s="11" t="s">
        <v>7314</v>
      </c>
      <c r="L101" s="77" t="s">
        <v>7315</v>
      </c>
      <c r="M101" s="76">
        <v>43655</v>
      </c>
      <c r="N101" s="76"/>
      <c r="O101" s="75" t="s">
        <v>7870</v>
      </c>
      <c r="P101" s="17" t="s">
        <v>7425</v>
      </c>
      <c r="Q101" s="76">
        <v>35070</v>
      </c>
      <c r="R101" s="78">
        <v>30.764383561643836</v>
      </c>
      <c r="S101" s="79" t="s">
        <v>8210</v>
      </c>
      <c r="T101" s="75" t="s">
        <v>7298</v>
      </c>
      <c r="U101" s="75" t="s">
        <v>8211</v>
      </c>
      <c r="V101" s="17"/>
      <c r="W101" s="75" t="s">
        <v>7300</v>
      </c>
      <c r="X101" s="80"/>
      <c r="Y101" s="75" t="s">
        <v>7319</v>
      </c>
      <c r="Z101" s="15" t="s">
        <v>8212</v>
      </c>
      <c r="AA101" s="75"/>
      <c r="AB101" s="12" t="s">
        <v>7293</v>
      </c>
      <c r="AC101" s="12"/>
      <c r="AD101" s="75" t="s">
        <v>8213</v>
      </c>
      <c r="AE101" s="75" t="s">
        <v>8214</v>
      </c>
      <c r="AF101" s="17" t="s">
        <v>7306</v>
      </c>
      <c r="AG101" s="72">
        <v>0</v>
      </c>
      <c r="AH101" s="17"/>
      <c r="AI101" s="75" t="s">
        <v>7425</v>
      </c>
    </row>
    <row r="102" spans="1:35" x14ac:dyDescent="0.3">
      <c r="A102" s="71" t="s">
        <v>7286</v>
      </c>
      <c r="B102" s="17" t="s">
        <v>8215</v>
      </c>
      <c r="C102" s="72" t="s">
        <v>7150</v>
      </c>
      <c r="D102" s="81" t="s">
        <v>8216</v>
      </c>
      <c r="E102" s="74" t="s">
        <v>1665</v>
      </c>
      <c r="F102" s="75" t="s">
        <v>7293</v>
      </c>
      <c r="G102" s="75" t="s">
        <v>7293</v>
      </c>
      <c r="H102" s="75" t="s">
        <v>7311</v>
      </c>
      <c r="I102" s="75" t="s">
        <v>7312</v>
      </c>
      <c r="J102" s="75" t="s">
        <v>7433</v>
      </c>
      <c r="K102" s="11" t="s">
        <v>7434</v>
      </c>
      <c r="L102" s="77" t="s">
        <v>7315</v>
      </c>
      <c r="M102" s="76">
        <v>43661</v>
      </c>
      <c r="N102" s="76"/>
      <c r="O102" s="75" t="s">
        <v>7892</v>
      </c>
      <c r="P102" s="17" t="s">
        <v>7505</v>
      </c>
      <c r="Q102" s="76">
        <v>35334</v>
      </c>
      <c r="R102" s="78">
        <v>30.041095890410958</v>
      </c>
      <c r="S102" s="79" t="s">
        <v>8217</v>
      </c>
      <c r="T102" s="75" t="s">
        <v>7298</v>
      </c>
      <c r="U102" s="75" t="s">
        <v>8218</v>
      </c>
      <c r="V102" s="17"/>
      <c r="W102" s="75" t="s">
        <v>7300</v>
      </c>
      <c r="X102" s="80"/>
      <c r="Y102" s="75" t="s">
        <v>7319</v>
      </c>
      <c r="Z102" s="15" t="s">
        <v>8219</v>
      </c>
      <c r="AA102" s="75"/>
      <c r="AB102" s="12" t="s">
        <v>7293</v>
      </c>
      <c r="AC102" s="12"/>
      <c r="AD102" s="75" t="s">
        <v>8220</v>
      </c>
      <c r="AE102" s="75" t="s">
        <v>8220</v>
      </c>
      <c r="AF102" s="17" t="s">
        <v>7306</v>
      </c>
      <c r="AG102" s="72">
        <v>0</v>
      </c>
      <c r="AH102" s="17"/>
      <c r="AI102" s="11" t="s">
        <v>7505</v>
      </c>
    </row>
    <row r="103" spans="1:35" x14ac:dyDescent="0.3">
      <c r="A103" s="71" t="s">
        <v>7286</v>
      </c>
      <c r="B103" s="17" t="s">
        <v>8221</v>
      </c>
      <c r="C103" s="72" t="s">
        <v>7150</v>
      </c>
      <c r="D103" s="81" t="s">
        <v>8222</v>
      </c>
      <c r="E103" s="74" t="s">
        <v>8223</v>
      </c>
      <c r="F103" s="75" t="s">
        <v>7329</v>
      </c>
      <c r="G103" s="75" t="s">
        <v>7330</v>
      </c>
      <c r="H103" s="75" t="s">
        <v>7405</v>
      </c>
      <c r="I103" s="75" t="s">
        <v>7406</v>
      </c>
      <c r="J103" s="75" t="s">
        <v>7407</v>
      </c>
      <c r="K103" s="11" t="s">
        <v>7408</v>
      </c>
      <c r="L103" s="77" t="s">
        <v>7409</v>
      </c>
      <c r="M103" s="76">
        <v>43679</v>
      </c>
      <c r="N103" s="76"/>
      <c r="O103" s="75" t="s">
        <v>7870</v>
      </c>
      <c r="P103" s="17"/>
      <c r="Q103" s="76">
        <v>28999</v>
      </c>
      <c r="R103" s="78">
        <v>47.397260273972606</v>
      </c>
      <c r="S103" s="79" t="s">
        <v>8224</v>
      </c>
      <c r="T103" s="75" t="s">
        <v>7298</v>
      </c>
      <c r="U103" s="75" t="s">
        <v>8225</v>
      </c>
      <c r="V103" s="17"/>
      <c r="W103" s="75" t="s">
        <v>7300</v>
      </c>
      <c r="X103" s="80"/>
      <c r="Y103" s="75" t="s">
        <v>7319</v>
      </c>
      <c r="Z103" s="15" t="s">
        <v>8226</v>
      </c>
      <c r="AA103" s="75"/>
      <c r="AB103" s="12" t="s">
        <v>7293</v>
      </c>
      <c r="AC103" s="12"/>
      <c r="AD103" s="75" t="s">
        <v>8227</v>
      </c>
      <c r="AE103" s="75" t="s">
        <v>8228</v>
      </c>
      <c r="AF103" s="17" t="s">
        <v>7323</v>
      </c>
      <c r="AG103" s="72">
        <v>2</v>
      </c>
      <c r="AH103" s="17"/>
      <c r="AI103" s="75" t="s">
        <v>7324</v>
      </c>
    </row>
    <row r="104" spans="1:35" x14ac:dyDescent="0.3">
      <c r="A104" s="71" t="s">
        <v>7286</v>
      </c>
      <c r="B104" s="17" t="s">
        <v>8229</v>
      </c>
      <c r="C104" s="72" t="s">
        <v>7150</v>
      </c>
      <c r="D104" s="81" t="s">
        <v>8230</v>
      </c>
      <c r="E104" s="74" t="s">
        <v>1576</v>
      </c>
      <c r="F104" s="75" t="s">
        <v>7293</v>
      </c>
      <c r="G104" s="75" t="s">
        <v>7293</v>
      </c>
      <c r="H104" s="75" t="s">
        <v>7311</v>
      </c>
      <c r="I104" s="75" t="s">
        <v>7312</v>
      </c>
      <c r="J104" s="11" t="s">
        <v>7433</v>
      </c>
      <c r="K104" s="11" t="s">
        <v>7434</v>
      </c>
      <c r="L104" s="77" t="s">
        <v>7315</v>
      </c>
      <c r="M104" s="76">
        <v>43684</v>
      </c>
      <c r="N104" s="76"/>
      <c r="O104" s="75" t="s">
        <v>7892</v>
      </c>
      <c r="P104" s="17" t="s">
        <v>8116</v>
      </c>
      <c r="Q104" s="76">
        <v>34511</v>
      </c>
      <c r="R104" s="78">
        <v>32.295890410958904</v>
      </c>
      <c r="S104" s="79" t="s">
        <v>8231</v>
      </c>
      <c r="T104" s="75" t="s">
        <v>7298</v>
      </c>
      <c r="U104" s="75" t="s">
        <v>8232</v>
      </c>
      <c r="V104" s="17"/>
      <c r="W104" s="75" t="s">
        <v>7300</v>
      </c>
      <c r="X104" s="80"/>
      <c r="Y104" s="75" t="s">
        <v>7319</v>
      </c>
      <c r="Z104" s="15" t="s">
        <v>8233</v>
      </c>
      <c r="AA104" s="75"/>
      <c r="AB104" s="12" t="s">
        <v>7293</v>
      </c>
      <c r="AC104" s="12"/>
      <c r="AD104" s="75" t="s">
        <v>8234</v>
      </c>
      <c r="AE104" s="75" t="s">
        <v>8235</v>
      </c>
      <c r="AF104" s="17" t="s">
        <v>7306</v>
      </c>
      <c r="AG104" s="72">
        <v>0</v>
      </c>
      <c r="AH104" s="17"/>
      <c r="AI104" s="75" t="s">
        <v>8116</v>
      </c>
    </row>
    <row r="105" spans="1:35" x14ac:dyDescent="0.3">
      <c r="A105" s="71" t="s">
        <v>7286</v>
      </c>
      <c r="B105" s="17" t="s">
        <v>8236</v>
      </c>
      <c r="C105" s="72" t="s">
        <v>7150</v>
      </c>
      <c r="D105" s="81" t="s">
        <v>8237</v>
      </c>
      <c r="E105" s="74" t="s">
        <v>1284</v>
      </c>
      <c r="F105" s="75" t="s">
        <v>7293</v>
      </c>
      <c r="G105" s="75" t="s">
        <v>7293</v>
      </c>
      <c r="H105" s="75" t="s">
        <v>7311</v>
      </c>
      <c r="I105" s="75" t="s">
        <v>7312</v>
      </c>
      <c r="J105" s="11" t="s">
        <v>7433</v>
      </c>
      <c r="K105" s="11" t="s">
        <v>7434</v>
      </c>
      <c r="L105" s="77" t="s">
        <v>7315</v>
      </c>
      <c r="M105" s="76">
        <v>43684</v>
      </c>
      <c r="N105" s="76"/>
      <c r="O105" s="75" t="s">
        <v>7892</v>
      </c>
      <c r="P105" s="17" t="s">
        <v>8116</v>
      </c>
      <c r="Q105" s="76">
        <v>32408</v>
      </c>
      <c r="R105" s="78">
        <v>38.057534246575344</v>
      </c>
      <c r="S105" s="79" t="s">
        <v>8238</v>
      </c>
      <c r="T105" s="75" t="s">
        <v>7298</v>
      </c>
      <c r="U105" s="75" t="s">
        <v>8239</v>
      </c>
      <c r="V105" s="17"/>
      <c r="W105" s="75" t="s">
        <v>7300</v>
      </c>
      <c r="X105" s="80"/>
      <c r="Y105" s="75" t="s">
        <v>7319</v>
      </c>
      <c r="Z105" s="15" t="s">
        <v>8240</v>
      </c>
      <c r="AA105" s="75"/>
      <c r="AB105" s="12" t="s">
        <v>7293</v>
      </c>
      <c r="AC105" s="12"/>
      <c r="AD105" s="75" t="s">
        <v>8241</v>
      </c>
      <c r="AE105" s="75" t="s">
        <v>8242</v>
      </c>
      <c r="AF105" s="17" t="s">
        <v>7323</v>
      </c>
      <c r="AG105" s="72">
        <v>1</v>
      </c>
      <c r="AH105" s="17"/>
      <c r="AI105" s="75" t="s">
        <v>8116</v>
      </c>
    </row>
    <row r="106" spans="1:35" x14ac:dyDescent="0.3">
      <c r="A106" s="71" t="s">
        <v>7286</v>
      </c>
      <c r="B106" s="17" t="s">
        <v>8243</v>
      </c>
      <c r="C106" s="72" t="s">
        <v>7150</v>
      </c>
      <c r="D106" s="81" t="s">
        <v>8244</v>
      </c>
      <c r="E106" s="74" t="s">
        <v>1437</v>
      </c>
      <c r="F106" s="75" t="s">
        <v>7293</v>
      </c>
      <c r="G106" s="75" t="s">
        <v>7293</v>
      </c>
      <c r="H106" s="75" t="s">
        <v>7311</v>
      </c>
      <c r="I106" s="75" t="s">
        <v>7312</v>
      </c>
      <c r="J106" s="11" t="s">
        <v>7313</v>
      </c>
      <c r="K106" s="11" t="s">
        <v>7314</v>
      </c>
      <c r="L106" s="77" t="s">
        <v>7315</v>
      </c>
      <c r="M106" s="76">
        <v>43687</v>
      </c>
      <c r="N106" s="76"/>
      <c r="O106" s="75" t="s">
        <v>7870</v>
      </c>
      <c r="P106" s="17" t="s">
        <v>7425</v>
      </c>
      <c r="Q106" s="76">
        <v>28113</v>
      </c>
      <c r="R106" s="78">
        <v>49.824657534246576</v>
      </c>
      <c r="S106" s="79" t="s">
        <v>8245</v>
      </c>
      <c r="T106" s="75" t="s">
        <v>7298</v>
      </c>
      <c r="U106" s="75" t="s">
        <v>8246</v>
      </c>
      <c r="V106" s="17"/>
      <c r="W106" s="75" t="s">
        <v>7300</v>
      </c>
      <c r="X106" s="80"/>
      <c r="Y106" s="75" t="s">
        <v>7319</v>
      </c>
      <c r="Z106" s="15" t="s">
        <v>8247</v>
      </c>
      <c r="AA106" s="75"/>
      <c r="AB106" s="12" t="s">
        <v>7293</v>
      </c>
      <c r="AC106" s="12"/>
      <c r="AD106" s="75" t="s">
        <v>8248</v>
      </c>
      <c r="AE106" s="75" t="s">
        <v>8248</v>
      </c>
      <c r="AF106" s="17" t="s">
        <v>7306</v>
      </c>
      <c r="AG106" s="72">
        <v>0</v>
      </c>
      <c r="AH106" s="17"/>
      <c r="AI106" s="75" t="s">
        <v>7425</v>
      </c>
    </row>
    <row r="107" spans="1:35" x14ac:dyDescent="0.3">
      <c r="A107" s="71" t="s">
        <v>7286</v>
      </c>
      <c r="B107" s="17" t="s">
        <v>8249</v>
      </c>
      <c r="C107" s="72" t="s">
        <v>7150</v>
      </c>
      <c r="D107" s="81" t="s">
        <v>8250</v>
      </c>
      <c r="E107" s="74" t="s">
        <v>1627</v>
      </c>
      <c r="F107" s="75" t="s">
        <v>7293</v>
      </c>
      <c r="G107" s="75" t="s">
        <v>7293</v>
      </c>
      <c r="H107" s="75" t="s">
        <v>7311</v>
      </c>
      <c r="I107" s="75" t="s">
        <v>7312</v>
      </c>
      <c r="J107" s="75" t="s">
        <v>7433</v>
      </c>
      <c r="K107" s="11" t="s">
        <v>7434</v>
      </c>
      <c r="L107" s="77" t="s">
        <v>7315</v>
      </c>
      <c r="M107" s="76">
        <v>43693</v>
      </c>
      <c r="N107" s="76"/>
      <c r="O107" s="75" t="s">
        <v>7870</v>
      </c>
      <c r="P107" s="17" t="s">
        <v>7858</v>
      </c>
      <c r="Q107" s="76">
        <v>34286</v>
      </c>
      <c r="R107" s="78">
        <v>32.912328767123284</v>
      </c>
      <c r="S107" s="79" t="s">
        <v>8251</v>
      </c>
      <c r="T107" s="75" t="s">
        <v>7298</v>
      </c>
      <c r="U107" s="75" t="s">
        <v>8252</v>
      </c>
      <c r="V107" s="17"/>
      <c r="W107" s="75" t="s">
        <v>7300</v>
      </c>
      <c r="X107" s="80"/>
      <c r="Y107" s="75" t="s">
        <v>7319</v>
      </c>
      <c r="Z107" s="15" t="s">
        <v>8253</v>
      </c>
      <c r="AA107" s="75"/>
      <c r="AB107" s="12" t="s">
        <v>7293</v>
      </c>
      <c r="AC107" s="12"/>
      <c r="AD107" s="75" t="s">
        <v>8254</v>
      </c>
      <c r="AE107" s="75" t="s">
        <v>8254</v>
      </c>
      <c r="AF107" s="17" t="s">
        <v>7323</v>
      </c>
      <c r="AG107" s="72">
        <v>0</v>
      </c>
      <c r="AH107" s="17"/>
      <c r="AI107" s="75" t="s">
        <v>7858</v>
      </c>
    </row>
    <row r="108" spans="1:35" x14ac:dyDescent="0.3">
      <c r="A108" s="71" t="s">
        <v>7286</v>
      </c>
      <c r="B108" s="17" t="s">
        <v>8255</v>
      </c>
      <c r="C108" s="72" t="s">
        <v>7150</v>
      </c>
      <c r="D108" s="81" t="s">
        <v>8256</v>
      </c>
      <c r="E108" s="74" t="s">
        <v>8257</v>
      </c>
      <c r="F108" s="75" t="s">
        <v>7329</v>
      </c>
      <c r="G108" s="75" t="s">
        <v>7330</v>
      </c>
      <c r="H108" s="75" t="s">
        <v>7405</v>
      </c>
      <c r="I108" s="75" t="s">
        <v>7406</v>
      </c>
      <c r="J108" s="75" t="s">
        <v>7407</v>
      </c>
      <c r="K108" s="11" t="s">
        <v>7408</v>
      </c>
      <c r="L108" s="77" t="s">
        <v>7409</v>
      </c>
      <c r="M108" s="76">
        <v>43714</v>
      </c>
      <c r="N108" s="76"/>
      <c r="O108" s="75" t="s">
        <v>7870</v>
      </c>
      <c r="P108" s="17"/>
      <c r="Q108" s="76">
        <v>34308</v>
      </c>
      <c r="R108" s="78">
        <v>32.852054794520548</v>
      </c>
      <c r="S108" s="79" t="s">
        <v>8258</v>
      </c>
      <c r="T108" s="75" t="s">
        <v>7298</v>
      </c>
      <c r="U108" s="75" t="s">
        <v>8259</v>
      </c>
      <c r="V108" s="17"/>
      <c r="W108" s="75" t="s">
        <v>7300</v>
      </c>
      <c r="X108" s="80"/>
      <c r="Y108" s="75" t="s">
        <v>7319</v>
      </c>
      <c r="Z108" s="15" t="s">
        <v>8260</v>
      </c>
      <c r="AA108" s="75"/>
      <c r="AB108" s="12" t="s">
        <v>7293</v>
      </c>
      <c r="AC108" s="12"/>
      <c r="AD108" s="75" t="s">
        <v>8261</v>
      </c>
      <c r="AE108" s="75" t="s">
        <v>8262</v>
      </c>
      <c r="AF108" s="17" t="s">
        <v>7323</v>
      </c>
      <c r="AG108" s="72">
        <v>1</v>
      </c>
      <c r="AH108" s="17"/>
      <c r="AI108" s="75" t="s">
        <v>7324</v>
      </c>
    </row>
    <row r="109" spans="1:35" x14ac:dyDescent="0.3">
      <c r="A109" s="71" t="s">
        <v>7286</v>
      </c>
      <c r="B109" s="17" t="s">
        <v>8263</v>
      </c>
      <c r="C109" s="72" t="s">
        <v>7150</v>
      </c>
      <c r="D109" s="81" t="s">
        <v>8264</v>
      </c>
      <c r="E109" s="74" t="s">
        <v>1434</v>
      </c>
      <c r="F109" s="75" t="s">
        <v>7293</v>
      </c>
      <c r="G109" s="75" t="s">
        <v>7293</v>
      </c>
      <c r="H109" s="75" t="s">
        <v>7311</v>
      </c>
      <c r="I109" s="75" t="s">
        <v>7312</v>
      </c>
      <c r="J109" s="75" t="s">
        <v>7433</v>
      </c>
      <c r="K109" s="11" t="s">
        <v>7434</v>
      </c>
      <c r="L109" s="77" t="s">
        <v>7315</v>
      </c>
      <c r="M109" s="76">
        <v>43739</v>
      </c>
      <c r="N109" s="76"/>
      <c r="O109" s="75" t="s">
        <v>7870</v>
      </c>
      <c r="P109" s="17" t="s">
        <v>7425</v>
      </c>
      <c r="Q109" s="76">
        <v>34101</v>
      </c>
      <c r="R109" s="78">
        <v>33.419178082191777</v>
      </c>
      <c r="S109" s="79" t="s">
        <v>8265</v>
      </c>
      <c r="T109" s="75" t="s">
        <v>7298</v>
      </c>
      <c r="U109" s="75" t="s">
        <v>8266</v>
      </c>
      <c r="V109" s="83">
        <v>48749</v>
      </c>
      <c r="W109" s="75" t="s">
        <v>7300</v>
      </c>
      <c r="X109" s="80"/>
      <c r="Y109" s="75" t="s">
        <v>7319</v>
      </c>
      <c r="Z109" s="15" t="s">
        <v>8267</v>
      </c>
      <c r="AA109" s="75"/>
      <c r="AB109" s="12" t="s">
        <v>7293</v>
      </c>
      <c r="AC109" s="12"/>
      <c r="AD109" s="75" t="s">
        <v>8268</v>
      </c>
      <c r="AE109" s="75" t="s">
        <v>8269</v>
      </c>
      <c r="AF109" s="17" t="s">
        <v>7306</v>
      </c>
      <c r="AG109" s="72">
        <v>0</v>
      </c>
      <c r="AH109" s="17"/>
      <c r="AI109" s="75" t="s">
        <v>7425</v>
      </c>
    </row>
    <row r="110" spans="1:35" x14ac:dyDescent="0.3">
      <c r="A110" s="71" t="s">
        <v>7286</v>
      </c>
      <c r="B110" s="17" t="s">
        <v>8270</v>
      </c>
      <c r="C110" s="72" t="s">
        <v>7150</v>
      </c>
      <c r="D110" s="81" t="s">
        <v>8271</v>
      </c>
      <c r="E110" s="74" t="s">
        <v>1542</v>
      </c>
      <c r="F110" s="75" t="s">
        <v>7293</v>
      </c>
      <c r="G110" s="75" t="s">
        <v>7293</v>
      </c>
      <c r="H110" s="75" t="s">
        <v>7311</v>
      </c>
      <c r="I110" s="75" t="s">
        <v>7312</v>
      </c>
      <c r="J110" s="75" t="s">
        <v>7313</v>
      </c>
      <c r="K110" s="11" t="s">
        <v>7314</v>
      </c>
      <c r="L110" s="77" t="s">
        <v>7315</v>
      </c>
      <c r="M110" s="76">
        <v>43763</v>
      </c>
      <c r="N110" s="76"/>
      <c r="O110" s="75" t="s">
        <v>7892</v>
      </c>
      <c r="P110" s="17" t="s">
        <v>7422</v>
      </c>
      <c r="Q110" s="76">
        <v>34383</v>
      </c>
      <c r="R110" s="78">
        <v>32.646575342465752</v>
      </c>
      <c r="S110" s="79" t="s">
        <v>8272</v>
      </c>
      <c r="T110" s="75" t="s">
        <v>7298</v>
      </c>
      <c r="U110" s="75" t="s">
        <v>8273</v>
      </c>
      <c r="V110" s="17"/>
      <c r="W110" s="75" t="s">
        <v>7300</v>
      </c>
      <c r="X110" s="80"/>
      <c r="Y110" s="75" t="s">
        <v>7319</v>
      </c>
      <c r="Z110" s="15" t="s">
        <v>8274</v>
      </c>
      <c r="AA110" s="75"/>
      <c r="AB110" s="12" t="s">
        <v>7293</v>
      </c>
      <c r="AC110" s="12"/>
      <c r="AD110" s="75" t="s">
        <v>8275</v>
      </c>
      <c r="AE110" s="75" t="s">
        <v>8276</v>
      </c>
      <c r="AF110" s="17" t="s">
        <v>7306</v>
      </c>
      <c r="AG110" s="72">
        <v>0</v>
      </c>
      <c r="AH110" s="17"/>
      <c r="AI110" s="11" t="s">
        <v>7422</v>
      </c>
    </row>
    <row r="111" spans="1:35" x14ac:dyDescent="0.3">
      <c r="A111" s="71" t="s">
        <v>7384</v>
      </c>
      <c r="B111" s="17" t="s">
        <v>8277</v>
      </c>
      <c r="C111" s="72" t="s">
        <v>7150</v>
      </c>
      <c r="D111" s="81" t="s">
        <v>8278</v>
      </c>
      <c r="E111" s="74" t="s">
        <v>8279</v>
      </c>
      <c r="F111" s="75" t="s">
        <v>7293</v>
      </c>
      <c r="G111" s="75" t="s">
        <v>7293</v>
      </c>
      <c r="H111" s="75" t="s">
        <v>7293</v>
      </c>
      <c r="I111" s="75" t="s">
        <v>7293</v>
      </c>
      <c r="J111" s="75" t="s">
        <v>7542</v>
      </c>
      <c r="K111" s="11" t="s">
        <v>6401</v>
      </c>
      <c r="L111" s="77" t="s">
        <v>8280</v>
      </c>
      <c r="M111" s="76">
        <v>43770</v>
      </c>
      <c r="N111" s="76"/>
      <c r="O111" s="75" t="s">
        <v>7870</v>
      </c>
      <c r="P111" s="17"/>
      <c r="Q111" s="76">
        <v>32552</v>
      </c>
      <c r="R111" s="78">
        <v>37.663013698630138</v>
      </c>
      <c r="S111" s="79" t="s">
        <v>8281</v>
      </c>
      <c r="T111" s="75" t="s">
        <v>7298</v>
      </c>
      <c r="U111" s="81" t="s">
        <v>8282</v>
      </c>
      <c r="V111" s="85"/>
      <c r="W111" s="75" t="s">
        <v>7300</v>
      </c>
      <c r="X111" s="80"/>
      <c r="Y111" s="75" t="s">
        <v>7302</v>
      </c>
      <c r="Z111" s="15" t="s">
        <v>8283</v>
      </c>
      <c r="AA111" s="75"/>
      <c r="AB111" s="12" t="s">
        <v>7293</v>
      </c>
      <c r="AC111" s="12"/>
      <c r="AD111" s="86" t="s">
        <v>8284</v>
      </c>
      <c r="AE111" s="81" t="s">
        <v>8284</v>
      </c>
      <c r="AF111" s="72" t="s">
        <v>7306</v>
      </c>
      <c r="AG111" s="72">
        <v>0</v>
      </c>
      <c r="AH111" s="72"/>
      <c r="AI111" s="11" t="s">
        <v>7556</v>
      </c>
    </row>
    <row r="112" spans="1:35" x14ac:dyDescent="0.3">
      <c r="A112" s="71" t="s">
        <v>7286</v>
      </c>
      <c r="B112" s="17" t="s">
        <v>8285</v>
      </c>
      <c r="C112" s="72" t="s">
        <v>7150</v>
      </c>
      <c r="D112" s="81" t="s">
        <v>8286</v>
      </c>
      <c r="E112" s="74" t="s">
        <v>1664</v>
      </c>
      <c r="F112" s="75" t="s">
        <v>7293</v>
      </c>
      <c r="G112" s="75" t="s">
        <v>7293</v>
      </c>
      <c r="H112" s="75" t="s">
        <v>7311</v>
      </c>
      <c r="I112" s="75" t="s">
        <v>7312</v>
      </c>
      <c r="J112" s="11" t="s">
        <v>7433</v>
      </c>
      <c r="K112" s="11" t="s">
        <v>7434</v>
      </c>
      <c r="L112" s="77" t="s">
        <v>7315</v>
      </c>
      <c r="M112" s="76">
        <v>43773</v>
      </c>
      <c r="N112" s="76"/>
      <c r="O112" s="75" t="s">
        <v>7892</v>
      </c>
      <c r="P112" s="17" t="s">
        <v>7505</v>
      </c>
      <c r="Q112" s="76">
        <v>34243</v>
      </c>
      <c r="R112" s="78">
        <v>33.030136986301372</v>
      </c>
      <c r="S112" s="79" t="s">
        <v>8287</v>
      </c>
      <c r="T112" s="75" t="s">
        <v>7298</v>
      </c>
      <c r="U112" s="75" t="s">
        <v>8288</v>
      </c>
      <c r="V112" s="17"/>
      <c r="W112" s="75" t="s">
        <v>7300</v>
      </c>
      <c r="X112" s="80"/>
      <c r="Y112" s="75" t="s">
        <v>7319</v>
      </c>
      <c r="Z112" s="15" t="s">
        <v>8289</v>
      </c>
      <c r="AA112" s="75"/>
      <c r="AB112" s="12" t="s">
        <v>7293</v>
      </c>
      <c r="AC112" s="12"/>
      <c r="AD112" s="75" t="s">
        <v>8290</v>
      </c>
      <c r="AE112" s="75" t="s">
        <v>8291</v>
      </c>
      <c r="AF112" s="17" t="s">
        <v>7306</v>
      </c>
      <c r="AG112" s="72">
        <v>0</v>
      </c>
      <c r="AH112" s="17"/>
      <c r="AI112" s="11" t="s">
        <v>7505</v>
      </c>
    </row>
    <row r="113" spans="1:35" ht="43.2" x14ac:dyDescent="0.3">
      <c r="A113" s="71" t="s">
        <v>7286</v>
      </c>
      <c r="B113" s="17" t="s">
        <v>8292</v>
      </c>
      <c r="C113" s="72" t="s">
        <v>7367</v>
      </c>
      <c r="D113" s="81" t="s">
        <v>8293</v>
      </c>
      <c r="E113" s="74" t="s">
        <v>8294</v>
      </c>
      <c r="F113" s="75" t="s">
        <v>7291</v>
      </c>
      <c r="G113" s="75" t="s">
        <v>7292</v>
      </c>
      <c r="H113" s="75" t="s">
        <v>7814</v>
      </c>
      <c r="I113" s="75" t="s">
        <v>7815</v>
      </c>
      <c r="J113" s="75" t="s">
        <v>8295</v>
      </c>
      <c r="K113" s="11" t="s">
        <v>6353</v>
      </c>
      <c r="L113" s="77" t="s">
        <v>7818</v>
      </c>
      <c r="M113" s="76">
        <v>43773</v>
      </c>
      <c r="N113" s="76"/>
      <c r="O113" s="75" t="s">
        <v>7892</v>
      </c>
      <c r="P113" s="17"/>
      <c r="Q113" s="76">
        <v>33388</v>
      </c>
      <c r="R113" s="78">
        <v>35.372602739726027</v>
      </c>
      <c r="S113" s="79" t="s">
        <v>8296</v>
      </c>
      <c r="T113" s="75" t="s">
        <v>7298</v>
      </c>
      <c r="U113" s="81" t="s">
        <v>8297</v>
      </c>
      <c r="V113" s="85"/>
      <c r="W113" s="75" t="s">
        <v>7300</v>
      </c>
      <c r="X113" s="80"/>
      <c r="Y113" s="75" t="s">
        <v>7319</v>
      </c>
      <c r="Z113" s="15" t="s">
        <v>8298</v>
      </c>
      <c r="AA113" s="75" t="s">
        <v>8298</v>
      </c>
      <c r="AB113" s="12" t="s">
        <v>8299</v>
      </c>
      <c r="AC113" s="12"/>
      <c r="AD113" s="86" t="s">
        <v>8300</v>
      </c>
      <c r="AE113" s="81" t="s">
        <v>8301</v>
      </c>
      <c r="AF113" s="72" t="s">
        <v>7306</v>
      </c>
      <c r="AG113" s="72">
        <v>0</v>
      </c>
      <c r="AH113" s="72"/>
      <c r="AI113" s="75" t="s">
        <v>7307</v>
      </c>
    </row>
    <row r="114" spans="1:35" x14ac:dyDescent="0.3">
      <c r="A114" s="71" t="s">
        <v>7286</v>
      </c>
      <c r="B114" s="17" t="s">
        <v>8302</v>
      </c>
      <c r="C114" s="72" t="s">
        <v>7367</v>
      </c>
      <c r="D114" s="81" t="s">
        <v>8303</v>
      </c>
      <c r="E114" s="74" t="s">
        <v>8304</v>
      </c>
      <c r="F114" s="75" t="s">
        <v>7329</v>
      </c>
      <c r="G114" s="75" t="s">
        <v>7330</v>
      </c>
      <c r="H114" s="75" t="s">
        <v>7630</v>
      </c>
      <c r="I114" s="75" t="s">
        <v>7631</v>
      </c>
      <c r="J114" s="11" t="s">
        <v>7575</v>
      </c>
      <c r="K114" s="11" t="s">
        <v>6340</v>
      </c>
      <c r="L114" s="77" t="s">
        <v>7632</v>
      </c>
      <c r="M114" s="76">
        <v>43776</v>
      </c>
      <c r="N114" s="76"/>
      <c r="O114" s="75" t="s">
        <v>7870</v>
      </c>
      <c r="P114" s="17"/>
      <c r="Q114" s="76">
        <v>34351</v>
      </c>
      <c r="R114" s="78">
        <v>32.734246575342468</v>
      </c>
      <c r="S114" s="79" t="s">
        <v>8305</v>
      </c>
      <c r="T114" s="75" t="s">
        <v>7298</v>
      </c>
      <c r="U114" s="75" t="s">
        <v>8306</v>
      </c>
      <c r="V114" s="17"/>
      <c r="W114" s="75" t="s">
        <v>7300</v>
      </c>
      <c r="X114" s="80"/>
      <c r="Y114" s="75" t="s">
        <v>7319</v>
      </c>
      <c r="Z114" s="15" t="s">
        <v>8307</v>
      </c>
      <c r="AA114" s="75"/>
      <c r="AB114" s="12" t="s">
        <v>7293</v>
      </c>
      <c r="AC114" s="12"/>
      <c r="AD114" s="75" t="s">
        <v>8308</v>
      </c>
      <c r="AE114" s="75" t="s">
        <v>8309</v>
      </c>
      <c r="AF114" s="17" t="s">
        <v>7323</v>
      </c>
      <c r="AG114" s="72">
        <v>1</v>
      </c>
      <c r="AH114" s="17"/>
      <c r="AI114" s="11" t="s">
        <v>7425</v>
      </c>
    </row>
    <row r="115" spans="1:35" x14ac:dyDescent="0.3">
      <c r="A115" s="71" t="s">
        <v>7286</v>
      </c>
      <c r="B115" s="17" t="s">
        <v>8310</v>
      </c>
      <c r="C115" s="72" t="s">
        <v>7150</v>
      </c>
      <c r="D115" s="81" t="s">
        <v>8311</v>
      </c>
      <c r="E115" s="74" t="s">
        <v>1468</v>
      </c>
      <c r="F115" s="75" t="s">
        <v>7293</v>
      </c>
      <c r="G115" s="75" t="s">
        <v>7293</v>
      </c>
      <c r="H115" s="75" t="s">
        <v>7311</v>
      </c>
      <c r="I115" s="75" t="s">
        <v>7312</v>
      </c>
      <c r="J115" s="11" t="s">
        <v>7433</v>
      </c>
      <c r="K115" s="11" t="s">
        <v>7434</v>
      </c>
      <c r="L115" s="77" t="s">
        <v>7315</v>
      </c>
      <c r="M115" s="76">
        <v>43791</v>
      </c>
      <c r="N115" s="76"/>
      <c r="O115" s="75" t="s">
        <v>7892</v>
      </c>
      <c r="P115" s="17" t="s">
        <v>7425</v>
      </c>
      <c r="Q115" s="76">
        <v>36186</v>
      </c>
      <c r="R115" s="78">
        <v>27.706849315068492</v>
      </c>
      <c r="S115" s="79" t="s">
        <v>8312</v>
      </c>
      <c r="T115" s="75" t="s">
        <v>7298</v>
      </c>
      <c r="U115" s="75" t="s">
        <v>8313</v>
      </c>
      <c r="V115" s="17"/>
      <c r="W115" s="75" t="s">
        <v>7300</v>
      </c>
      <c r="X115" s="80"/>
      <c r="Y115" s="75" t="s">
        <v>7319</v>
      </c>
      <c r="Z115" s="15" t="s">
        <v>8314</v>
      </c>
      <c r="AA115" s="75"/>
      <c r="AB115" s="12" t="s">
        <v>7293</v>
      </c>
      <c r="AC115" s="12"/>
      <c r="AD115" s="75" t="s">
        <v>8315</v>
      </c>
      <c r="AE115" s="75" t="s">
        <v>8315</v>
      </c>
      <c r="AF115" s="17" t="s">
        <v>7306</v>
      </c>
      <c r="AG115" s="72">
        <v>0</v>
      </c>
      <c r="AH115" s="17"/>
      <c r="AI115" s="75" t="s">
        <v>7425</v>
      </c>
    </row>
    <row r="116" spans="1:35" ht="57.6" x14ac:dyDescent="0.3">
      <c r="A116" s="71" t="s">
        <v>7286</v>
      </c>
      <c r="B116" s="17" t="s">
        <v>8316</v>
      </c>
      <c r="C116" s="72" t="s">
        <v>7367</v>
      </c>
      <c r="D116" s="81" t="s">
        <v>8317</v>
      </c>
      <c r="E116" s="74" t="s">
        <v>8318</v>
      </c>
      <c r="F116" s="75" t="s">
        <v>7674</v>
      </c>
      <c r="G116" s="75" t="s">
        <v>7675</v>
      </c>
      <c r="H116" s="75" t="s">
        <v>8319</v>
      </c>
      <c r="I116" s="75" t="s">
        <v>8320</v>
      </c>
      <c r="J116" s="75" t="s">
        <v>8321</v>
      </c>
      <c r="K116" s="11" t="s">
        <v>8322</v>
      </c>
      <c r="L116" s="77" t="s">
        <v>7680</v>
      </c>
      <c r="M116" s="76">
        <v>43794</v>
      </c>
      <c r="N116" s="76"/>
      <c r="O116" s="75" t="s">
        <v>7923</v>
      </c>
      <c r="P116" s="17"/>
      <c r="Q116" s="76">
        <v>31124</v>
      </c>
      <c r="R116" s="78">
        <v>41.575342465753423</v>
      </c>
      <c r="S116" s="79" t="s">
        <v>8323</v>
      </c>
      <c r="T116" s="75" t="s">
        <v>7298</v>
      </c>
      <c r="U116" s="75" t="s">
        <v>8324</v>
      </c>
      <c r="V116" s="17"/>
      <c r="W116" s="75" t="s">
        <v>7300</v>
      </c>
      <c r="X116" s="80"/>
      <c r="Y116" s="75" t="s">
        <v>7302</v>
      </c>
      <c r="Z116" s="15" t="s">
        <v>8325</v>
      </c>
      <c r="AA116" s="75" t="s">
        <v>8325</v>
      </c>
      <c r="AB116" s="12" t="s">
        <v>8326</v>
      </c>
      <c r="AC116" s="12"/>
      <c r="AD116" s="75" t="s">
        <v>8327</v>
      </c>
      <c r="AE116" s="75" t="s">
        <v>8327</v>
      </c>
      <c r="AF116" s="17" t="s">
        <v>7323</v>
      </c>
      <c r="AG116" s="72">
        <v>2</v>
      </c>
      <c r="AH116" s="17"/>
      <c r="AI116" s="75" t="s">
        <v>7307</v>
      </c>
    </row>
    <row r="117" spans="1:35" x14ac:dyDescent="0.3">
      <c r="A117" s="71" t="s">
        <v>7286</v>
      </c>
      <c r="B117" s="17" t="s">
        <v>8328</v>
      </c>
      <c r="C117" s="72" t="s">
        <v>7150</v>
      </c>
      <c r="D117" s="81" t="s">
        <v>8329</v>
      </c>
      <c r="E117" s="74" t="s">
        <v>8330</v>
      </c>
      <c r="F117" s="75" t="s">
        <v>7329</v>
      </c>
      <c r="G117" s="75" t="s">
        <v>7330</v>
      </c>
      <c r="H117" s="75" t="s">
        <v>7405</v>
      </c>
      <c r="I117" s="75" t="s">
        <v>7406</v>
      </c>
      <c r="J117" s="75" t="s">
        <v>7407</v>
      </c>
      <c r="K117" s="11" t="s">
        <v>7408</v>
      </c>
      <c r="L117" s="77" t="s">
        <v>7409</v>
      </c>
      <c r="M117" s="76">
        <v>43795</v>
      </c>
      <c r="N117" s="76"/>
      <c r="O117" s="75" t="s">
        <v>7870</v>
      </c>
      <c r="P117" s="17"/>
      <c r="Q117" s="76">
        <v>33793</v>
      </c>
      <c r="R117" s="78">
        <v>34.263013698630139</v>
      </c>
      <c r="S117" s="79" t="s">
        <v>8331</v>
      </c>
      <c r="T117" s="75" t="s">
        <v>7298</v>
      </c>
      <c r="U117" s="75" t="s">
        <v>8332</v>
      </c>
      <c r="V117" s="17"/>
      <c r="W117" s="75" t="s">
        <v>7300</v>
      </c>
      <c r="X117" s="80"/>
      <c r="Y117" s="75" t="s">
        <v>7319</v>
      </c>
      <c r="Z117" s="15" t="s">
        <v>8333</v>
      </c>
      <c r="AA117" s="75"/>
      <c r="AB117" s="12" t="s">
        <v>7293</v>
      </c>
      <c r="AC117" s="12"/>
      <c r="AD117" s="75" t="s">
        <v>8334</v>
      </c>
      <c r="AE117" s="75" t="s">
        <v>8334</v>
      </c>
      <c r="AF117" s="17" t="s">
        <v>7323</v>
      </c>
      <c r="AG117" s="72">
        <v>2</v>
      </c>
      <c r="AH117" s="17"/>
      <c r="AI117" s="75" t="s">
        <v>7324</v>
      </c>
    </row>
    <row r="118" spans="1:35" ht="57.6" x14ac:dyDescent="0.3">
      <c r="A118" s="71" t="s">
        <v>7286</v>
      </c>
      <c r="B118" s="17" t="s">
        <v>8335</v>
      </c>
      <c r="C118" s="72" t="s">
        <v>7367</v>
      </c>
      <c r="D118" s="81" t="s">
        <v>8336</v>
      </c>
      <c r="E118" s="74" t="s">
        <v>8337</v>
      </c>
      <c r="F118" s="75" t="s">
        <v>7293</v>
      </c>
      <c r="G118" s="75" t="s">
        <v>7293</v>
      </c>
      <c r="H118" s="75" t="s">
        <v>7946</v>
      </c>
      <c r="I118" s="75" t="s">
        <v>7947</v>
      </c>
      <c r="J118" s="75" t="s">
        <v>8338</v>
      </c>
      <c r="K118" s="11" t="s">
        <v>8339</v>
      </c>
      <c r="L118" s="77" t="s">
        <v>7950</v>
      </c>
      <c r="M118" s="76">
        <v>43796</v>
      </c>
      <c r="N118" s="76"/>
      <c r="O118" s="75" t="s">
        <v>7892</v>
      </c>
      <c r="P118" s="17"/>
      <c r="Q118" s="76">
        <v>34167</v>
      </c>
      <c r="R118" s="78">
        <v>33.238356164383561</v>
      </c>
      <c r="S118" s="79" t="s">
        <v>8340</v>
      </c>
      <c r="T118" s="75" t="s">
        <v>7298</v>
      </c>
      <c r="U118" s="75" t="s">
        <v>8341</v>
      </c>
      <c r="V118" s="17"/>
      <c r="W118" s="75" t="s">
        <v>7300</v>
      </c>
      <c r="X118" s="80"/>
      <c r="Y118" s="75" t="s">
        <v>7319</v>
      </c>
      <c r="Z118" s="15" t="s">
        <v>8342</v>
      </c>
      <c r="AA118" s="75" t="s">
        <v>8342</v>
      </c>
      <c r="AB118" s="12" t="s">
        <v>8343</v>
      </c>
      <c r="AC118" s="12"/>
      <c r="AD118" s="75" t="s">
        <v>8344</v>
      </c>
      <c r="AE118" s="75" t="s">
        <v>8345</v>
      </c>
      <c r="AF118" s="17" t="s">
        <v>7323</v>
      </c>
      <c r="AG118" s="72">
        <v>0</v>
      </c>
      <c r="AH118" s="17"/>
      <c r="AI118" s="75" t="s">
        <v>7307</v>
      </c>
    </row>
    <row r="119" spans="1:35" ht="57.6" x14ac:dyDescent="0.3">
      <c r="A119" s="71" t="s">
        <v>7286</v>
      </c>
      <c r="B119" s="17" t="s">
        <v>8346</v>
      </c>
      <c r="C119" s="72" t="s">
        <v>7367</v>
      </c>
      <c r="D119" s="81" t="s">
        <v>8347</v>
      </c>
      <c r="E119" s="74" t="s">
        <v>8348</v>
      </c>
      <c r="F119" s="75" t="s">
        <v>7370</v>
      </c>
      <c r="G119" s="75" t="s">
        <v>7371</v>
      </c>
      <c r="H119" s="75" t="s">
        <v>8349</v>
      </c>
      <c r="I119" s="75" t="s">
        <v>8350</v>
      </c>
      <c r="J119" s="75" t="s">
        <v>8351</v>
      </c>
      <c r="K119" s="11" t="s">
        <v>8352</v>
      </c>
      <c r="L119" s="77" t="s">
        <v>2340</v>
      </c>
      <c r="M119" s="76">
        <v>43804</v>
      </c>
      <c r="N119" s="76"/>
      <c r="O119" s="75" t="s">
        <v>7870</v>
      </c>
      <c r="P119" s="17"/>
      <c r="Q119" s="76">
        <v>35713</v>
      </c>
      <c r="R119" s="78">
        <v>29.002739726027396</v>
      </c>
      <c r="S119" s="79" t="s">
        <v>8353</v>
      </c>
      <c r="T119" s="75" t="s">
        <v>7298</v>
      </c>
      <c r="U119" s="75" t="s">
        <v>8354</v>
      </c>
      <c r="V119" s="17"/>
      <c r="W119" s="75" t="s">
        <v>7300</v>
      </c>
      <c r="X119" s="80"/>
      <c r="Y119" s="75" t="s">
        <v>7302</v>
      </c>
      <c r="Z119" s="15" t="s">
        <v>8355</v>
      </c>
      <c r="AA119" s="75" t="s">
        <v>8356</v>
      </c>
      <c r="AB119" s="12" t="s">
        <v>8357</v>
      </c>
      <c r="AC119" s="12"/>
      <c r="AD119" s="75" t="s">
        <v>8358</v>
      </c>
      <c r="AE119" s="75" t="s">
        <v>8358</v>
      </c>
      <c r="AF119" s="17" t="s">
        <v>7306</v>
      </c>
      <c r="AG119" s="72">
        <v>0</v>
      </c>
      <c r="AH119" s="17"/>
      <c r="AI119" s="75" t="s">
        <v>7745</v>
      </c>
    </row>
    <row r="120" spans="1:35" x14ac:dyDescent="0.3">
      <c r="A120" s="71" t="s">
        <v>7286</v>
      </c>
      <c r="B120" s="17" t="s">
        <v>8359</v>
      </c>
      <c r="C120" s="72" t="s">
        <v>7150</v>
      </c>
      <c r="D120" s="81" t="s">
        <v>8360</v>
      </c>
      <c r="E120" s="74" t="s">
        <v>1605</v>
      </c>
      <c r="F120" s="75" t="s">
        <v>7293</v>
      </c>
      <c r="G120" s="75" t="s">
        <v>7293</v>
      </c>
      <c r="H120" s="75" t="s">
        <v>7311</v>
      </c>
      <c r="I120" s="75" t="s">
        <v>7312</v>
      </c>
      <c r="J120" s="75" t="s">
        <v>7313</v>
      </c>
      <c r="K120" s="11" t="s">
        <v>7314</v>
      </c>
      <c r="L120" s="77" t="s">
        <v>7315</v>
      </c>
      <c r="M120" s="76">
        <v>43825</v>
      </c>
      <c r="N120" s="76"/>
      <c r="O120" s="75" t="s">
        <v>7870</v>
      </c>
      <c r="P120" s="17" t="s">
        <v>8361</v>
      </c>
      <c r="Q120" s="76">
        <v>31737</v>
      </c>
      <c r="R120" s="78">
        <v>39.895890410958906</v>
      </c>
      <c r="S120" s="79" t="s">
        <v>8362</v>
      </c>
      <c r="T120" s="75" t="s">
        <v>7298</v>
      </c>
      <c r="U120" s="75" t="s">
        <v>8363</v>
      </c>
      <c r="V120" s="17"/>
      <c r="W120" s="75" t="s">
        <v>7300</v>
      </c>
      <c r="X120" s="80"/>
      <c r="Y120" s="75" t="s">
        <v>7319</v>
      </c>
      <c r="Z120" s="15" t="s">
        <v>8364</v>
      </c>
      <c r="AA120" s="75"/>
      <c r="AB120" s="12" t="s">
        <v>7293</v>
      </c>
      <c r="AC120" s="12"/>
      <c r="AD120" s="75" t="s">
        <v>8365</v>
      </c>
      <c r="AE120" s="75" t="s">
        <v>8366</v>
      </c>
      <c r="AF120" s="17" t="s">
        <v>7323</v>
      </c>
      <c r="AG120" s="72">
        <v>0</v>
      </c>
      <c r="AH120" s="17"/>
      <c r="AI120" s="11" t="s">
        <v>8361</v>
      </c>
    </row>
    <row r="121" spans="1:35" x14ac:dyDescent="0.3">
      <c r="A121" s="71" t="s">
        <v>7286</v>
      </c>
      <c r="B121" s="17" t="s">
        <v>8367</v>
      </c>
      <c r="C121" s="72" t="s">
        <v>7150</v>
      </c>
      <c r="D121" s="81" t="s">
        <v>8368</v>
      </c>
      <c r="E121" s="74" t="s">
        <v>8369</v>
      </c>
      <c r="F121" s="75" t="s">
        <v>7329</v>
      </c>
      <c r="G121" s="75" t="s">
        <v>7330</v>
      </c>
      <c r="H121" s="75" t="s">
        <v>7331</v>
      </c>
      <c r="I121" s="75" t="s">
        <v>7332</v>
      </c>
      <c r="J121" s="75" t="s">
        <v>8202</v>
      </c>
      <c r="K121" s="11" t="s">
        <v>8203</v>
      </c>
      <c r="L121" s="77" t="s">
        <v>7335</v>
      </c>
      <c r="M121" s="76">
        <v>43851</v>
      </c>
      <c r="N121" s="76"/>
      <c r="O121" s="75" t="s">
        <v>7870</v>
      </c>
      <c r="P121" s="17"/>
      <c r="Q121" s="76">
        <v>32271</v>
      </c>
      <c r="R121" s="78">
        <v>38.43287671232877</v>
      </c>
      <c r="S121" s="79" t="s">
        <v>8370</v>
      </c>
      <c r="T121" s="75" t="s">
        <v>7298</v>
      </c>
      <c r="U121" s="75" t="s">
        <v>8371</v>
      </c>
      <c r="V121" s="17"/>
      <c r="W121" s="75" t="s">
        <v>7300</v>
      </c>
      <c r="X121" s="80"/>
      <c r="Y121" s="75" t="s">
        <v>7319</v>
      </c>
      <c r="Z121" s="15" t="s">
        <v>8372</v>
      </c>
      <c r="AA121" s="75"/>
      <c r="AB121" s="12" t="s">
        <v>7293</v>
      </c>
      <c r="AC121" s="12"/>
      <c r="AD121" s="75" t="s">
        <v>8373</v>
      </c>
      <c r="AE121" s="75" t="s">
        <v>8374</v>
      </c>
      <c r="AF121" s="17" t="s">
        <v>7323</v>
      </c>
      <c r="AG121" s="72">
        <v>2</v>
      </c>
      <c r="AH121" s="17"/>
      <c r="AI121" s="75" t="s">
        <v>7745</v>
      </c>
    </row>
    <row r="122" spans="1:35" x14ac:dyDescent="0.3">
      <c r="A122" s="71" t="s">
        <v>7286</v>
      </c>
      <c r="B122" s="17" t="s">
        <v>8375</v>
      </c>
      <c r="C122" s="72" t="s">
        <v>7150</v>
      </c>
      <c r="D122" s="81" t="s">
        <v>8376</v>
      </c>
      <c r="E122" s="74" t="s">
        <v>1536</v>
      </c>
      <c r="F122" s="75" t="s">
        <v>7293</v>
      </c>
      <c r="G122" s="75" t="s">
        <v>7293</v>
      </c>
      <c r="H122" s="75" t="s">
        <v>7311</v>
      </c>
      <c r="I122" s="75" t="s">
        <v>7312</v>
      </c>
      <c r="J122" s="75" t="s">
        <v>7433</v>
      </c>
      <c r="K122" s="11" t="s">
        <v>7434</v>
      </c>
      <c r="L122" s="77" t="s">
        <v>7315</v>
      </c>
      <c r="M122" s="76">
        <v>43852</v>
      </c>
      <c r="N122" s="76"/>
      <c r="O122" s="75" t="s">
        <v>7892</v>
      </c>
      <c r="P122" s="17" t="s">
        <v>7422</v>
      </c>
      <c r="Q122" s="76">
        <v>36340</v>
      </c>
      <c r="R122" s="78">
        <v>27.284931506849315</v>
      </c>
      <c r="S122" s="79" t="s">
        <v>8377</v>
      </c>
      <c r="T122" s="75" t="s">
        <v>7298</v>
      </c>
      <c r="U122" s="75" t="s">
        <v>8378</v>
      </c>
      <c r="V122" s="17"/>
      <c r="W122" s="75" t="s">
        <v>7300</v>
      </c>
      <c r="X122" s="80"/>
      <c r="Y122" s="75" t="s">
        <v>7319</v>
      </c>
      <c r="Z122" s="15" t="s">
        <v>8379</v>
      </c>
      <c r="AA122" s="75"/>
      <c r="AB122" s="12" t="s">
        <v>7293</v>
      </c>
      <c r="AC122" s="12"/>
      <c r="AD122" s="75" t="s">
        <v>8380</v>
      </c>
      <c r="AE122" s="75" t="s">
        <v>8380</v>
      </c>
      <c r="AF122" s="17" t="s">
        <v>7306</v>
      </c>
      <c r="AG122" s="72">
        <v>0</v>
      </c>
      <c r="AH122" s="17"/>
      <c r="AI122" s="11" t="s">
        <v>7422</v>
      </c>
    </row>
    <row r="123" spans="1:35" x14ac:dyDescent="0.3">
      <c r="A123" s="71" t="s">
        <v>7286</v>
      </c>
      <c r="B123" s="17" t="s">
        <v>8381</v>
      </c>
      <c r="C123" s="72" t="s">
        <v>7150</v>
      </c>
      <c r="D123" s="81" t="s">
        <v>8382</v>
      </c>
      <c r="E123" s="74" t="s">
        <v>8383</v>
      </c>
      <c r="F123" s="75" t="s">
        <v>7329</v>
      </c>
      <c r="G123" s="75" t="s">
        <v>7330</v>
      </c>
      <c r="H123" s="75" t="s">
        <v>7405</v>
      </c>
      <c r="I123" s="75" t="s">
        <v>7406</v>
      </c>
      <c r="J123" s="75" t="s">
        <v>7407</v>
      </c>
      <c r="K123" s="11" t="s">
        <v>7408</v>
      </c>
      <c r="L123" s="77" t="s">
        <v>7409</v>
      </c>
      <c r="M123" s="76">
        <v>43853</v>
      </c>
      <c r="N123" s="76"/>
      <c r="O123" s="75" t="s">
        <v>7870</v>
      </c>
      <c r="P123" s="17"/>
      <c r="Q123" s="76">
        <v>33077</v>
      </c>
      <c r="R123" s="78">
        <v>36.224657534246575</v>
      </c>
      <c r="S123" s="79" t="s">
        <v>8384</v>
      </c>
      <c r="T123" s="75" t="s">
        <v>7298</v>
      </c>
      <c r="U123" s="75" t="s">
        <v>8385</v>
      </c>
      <c r="V123" s="17"/>
      <c r="W123" s="75" t="s">
        <v>7300</v>
      </c>
      <c r="X123" s="80"/>
      <c r="Y123" s="75" t="s">
        <v>7319</v>
      </c>
      <c r="Z123" s="15" t="s">
        <v>8386</v>
      </c>
      <c r="AA123" s="75"/>
      <c r="AB123" s="12" t="s">
        <v>7293</v>
      </c>
      <c r="AC123" s="12"/>
      <c r="AD123" s="75" t="s">
        <v>8387</v>
      </c>
      <c r="AE123" s="75" t="s">
        <v>8387</v>
      </c>
      <c r="AF123" s="17" t="s">
        <v>7323</v>
      </c>
      <c r="AG123" s="72">
        <v>0</v>
      </c>
      <c r="AH123" s="17"/>
      <c r="AI123" s="75" t="s">
        <v>7858</v>
      </c>
    </row>
    <row r="124" spans="1:35" x14ac:dyDescent="0.3">
      <c r="A124" s="71" t="s">
        <v>7286</v>
      </c>
      <c r="B124" s="17" t="s">
        <v>8388</v>
      </c>
      <c r="C124" s="72" t="s">
        <v>7150</v>
      </c>
      <c r="D124" s="81" t="s">
        <v>8389</v>
      </c>
      <c r="E124" s="74" t="s">
        <v>8390</v>
      </c>
      <c r="F124" s="75" t="s">
        <v>7329</v>
      </c>
      <c r="G124" s="75" t="s">
        <v>7330</v>
      </c>
      <c r="H124" s="75" t="s">
        <v>7452</v>
      </c>
      <c r="I124" s="75" t="s">
        <v>7453</v>
      </c>
      <c r="J124" s="75" t="s">
        <v>7509</v>
      </c>
      <c r="K124" s="11" t="s">
        <v>7510</v>
      </c>
      <c r="L124" s="77" t="s">
        <v>7456</v>
      </c>
      <c r="M124" s="76">
        <v>43860</v>
      </c>
      <c r="N124" s="76"/>
      <c r="O124" s="75" t="s">
        <v>7870</v>
      </c>
      <c r="P124" s="17"/>
      <c r="Q124" s="76">
        <v>29884</v>
      </c>
      <c r="R124" s="78">
        <v>44.972602739726028</v>
      </c>
      <c r="S124" s="79" t="s">
        <v>8391</v>
      </c>
      <c r="T124" s="75" t="s">
        <v>7298</v>
      </c>
      <c r="U124" s="75" t="s">
        <v>8392</v>
      </c>
      <c r="V124" s="17"/>
      <c r="W124" s="75" t="s">
        <v>7300</v>
      </c>
      <c r="X124" s="80"/>
      <c r="Y124" s="75" t="s">
        <v>7319</v>
      </c>
      <c r="Z124" s="15" t="s">
        <v>8393</v>
      </c>
      <c r="AA124" s="75"/>
      <c r="AB124" s="12" t="s">
        <v>7293</v>
      </c>
      <c r="AC124" s="12"/>
      <c r="AD124" s="75" t="s">
        <v>8394</v>
      </c>
      <c r="AE124" s="75" t="s">
        <v>8395</v>
      </c>
      <c r="AF124" s="17" t="s">
        <v>7323</v>
      </c>
      <c r="AG124" s="72">
        <v>2</v>
      </c>
      <c r="AH124" s="17"/>
      <c r="AI124" s="75" t="s">
        <v>7324</v>
      </c>
    </row>
    <row r="125" spans="1:35" x14ac:dyDescent="0.3">
      <c r="A125" s="71" t="s">
        <v>7286</v>
      </c>
      <c r="B125" s="17" t="s">
        <v>8396</v>
      </c>
      <c r="C125" s="72" t="s">
        <v>7367</v>
      </c>
      <c r="D125" s="81" t="s">
        <v>8397</v>
      </c>
      <c r="E125" s="74" t="s">
        <v>8398</v>
      </c>
      <c r="F125" s="75" t="s">
        <v>7329</v>
      </c>
      <c r="G125" s="75" t="s">
        <v>7330</v>
      </c>
      <c r="H125" s="75" t="s">
        <v>7331</v>
      </c>
      <c r="I125" s="75" t="s">
        <v>7332</v>
      </c>
      <c r="J125" s="75" t="s">
        <v>8141</v>
      </c>
      <c r="K125" s="11" t="s">
        <v>8142</v>
      </c>
      <c r="L125" s="77" t="s">
        <v>7335</v>
      </c>
      <c r="M125" s="76">
        <v>43958</v>
      </c>
      <c r="N125" s="76"/>
      <c r="O125" s="75" t="s">
        <v>7870</v>
      </c>
      <c r="P125" s="17"/>
      <c r="Q125" s="76">
        <v>31638</v>
      </c>
      <c r="R125" s="78">
        <v>40.167123287671231</v>
      </c>
      <c r="S125" s="79" t="s">
        <v>8399</v>
      </c>
      <c r="T125" s="75" t="s">
        <v>7298</v>
      </c>
      <c r="U125" s="75" t="s">
        <v>8400</v>
      </c>
      <c r="V125" s="17"/>
      <c r="W125" s="75" t="s">
        <v>7300</v>
      </c>
      <c r="X125" s="80"/>
      <c r="Y125" s="75" t="s">
        <v>7302</v>
      </c>
      <c r="Z125" s="15" t="s">
        <v>8401</v>
      </c>
      <c r="AA125" s="75"/>
      <c r="AB125" s="12" t="s">
        <v>7293</v>
      </c>
      <c r="AC125" s="12"/>
      <c r="AD125" s="75" t="s">
        <v>8402</v>
      </c>
      <c r="AE125" s="75" t="s">
        <v>8403</v>
      </c>
      <c r="AF125" s="17" t="s">
        <v>7323</v>
      </c>
      <c r="AG125" s="72">
        <v>2</v>
      </c>
      <c r="AH125" s="17"/>
      <c r="AI125" s="75" t="s">
        <v>7324</v>
      </c>
    </row>
    <row r="126" spans="1:35" x14ac:dyDescent="0.3">
      <c r="A126" s="71" t="s">
        <v>7286</v>
      </c>
      <c r="B126" s="17" t="s">
        <v>8404</v>
      </c>
      <c r="C126" s="72" t="s">
        <v>7150</v>
      </c>
      <c r="D126" s="81" t="s">
        <v>8405</v>
      </c>
      <c r="E126" s="74" t="s">
        <v>1452</v>
      </c>
      <c r="F126" s="75" t="s">
        <v>7293</v>
      </c>
      <c r="G126" s="75" t="s">
        <v>7293</v>
      </c>
      <c r="H126" s="75" t="s">
        <v>7311</v>
      </c>
      <c r="I126" s="75" t="s">
        <v>7312</v>
      </c>
      <c r="J126" s="75" t="s">
        <v>7313</v>
      </c>
      <c r="K126" s="11" t="s">
        <v>7314</v>
      </c>
      <c r="L126" s="77" t="s">
        <v>7315</v>
      </c>
      <c r="M126" s="76">
        <v>43959</v>
      </c>
      <c r="N126" s="76"/>
      <c r="O126" s="75" t="s">
        <v>7870</v>
      </c>
      <c r="P126" s="17" t="s">
        <v>7316</v>
      </c>
      <c r="Q126" s="76">
        <v>25475</v>
      </c>
      <c r="R126" s="78">
        <v>57.052054794520551</v>
      </c>
      <c r="S126" s="79" t="s">
        <v>8406</v>
      </c>
      <c r="T126" s="75" t="s">
        <v>7298</v>
      </c>
      <c r="U126" s="75" t="s">
        <v>8407</v>
      </c>
      <c r="V126" s="17"/>
      <c r="W126" s="75" t="s">
        <v>7300</v>
      </c>
      <c r="X126" s="80"/>
      <c r="Y126" s="75" t="s">
        <v>7319</v>
      </c>
      <c r="Z126" s="15" t="s">
        <v>8408</v>
      </c>
      <c r="AA126" s="75"/>
      <c r="AB126" s="12" t="s">
        <v>7293</v>
      </c>
      <c r="AC126" s="12"/>
      <c r="AD126" s="75" t="s">
        <v>8409</v>
      </c>
      <c r="AE126" s="75" t="s">
        <v>8410</v>
      </c>
      <c r="AF126" s="17" t="s">
        <v>7323</v>
      </c>
      <c r="AG126" s="72">
        <v>1</v>
      </c>
      <c r="AH126" s="17"/>
      <c r="AI126" s="75" t="s">
        <v>7324</v>
      </c>
    </row>
    <row r="127" spans="1:35" x14ac:dyDescent="0.3">
      <c r="A127" s="71" t="s">
        <v>7286</v>
      </c>
      <c r="B127" s="17" t="s">
        <v>8411</v>
      </c>
      <c r="C127" s="72" t="s">
        <v>7150</v>
      </c>
      <c r="D127" s="81" t="s">
        <v>8412</v>
      </c>
      <c r="E127" s="74" t="s">
        <v>1271</v>
      </c>
      <c r="F127" s="75" t="s">
        <v>7293</v>
      </c>
      <c r="G127" s="75" t="s">
        <v>7293</v>
      </c>
      <c r="H127" s="75" t="s">
        <v>7311</v>
      </c>
      <c r="I127" s="75" t="s">
        <v>7312</v>
      </c>
      <c r="J127" s="11" t="s">
        <v>7433</v>
      </c>
      <c r="K127" s="11" t="s">
        <v>7434</v>
      </c>
      <c r="L127" s="77" t="s">
        <v>7315</v>
      </c>
      <c r="M127" s="76">
        <v>43964</v>
      </c>
      <c r="N127" s="76"/>
      <c r="O127" s="75" t="s">
        <v>7870</v>
      </c>
      <c r="P127" s="17" t="s">
        <v>8413</v>
      </c>
      <c r="Q127" s="76">
        <v>33911</v>
      </c>
      <c r="R127" s="78">
        <v>33.939726027397263</v>
      </c>
      <c r="S127" s="79" t="s">
        <v>8414</v>
      </c>
      <c r="T127" s="75" t="s">
        <v>7298</v>
      </c>
      <c r="U127" s="75" t="s">
        <v>8415</v>
      </c>
      <c r="V127" s="17"/>
      <c r="W127" s="75" t="s">
        <v>7300</v>
      </c>
      <c r="X127" s="80"/>
      <c r="Y127" s="75" t="s">
        <v>7319</v>
      </c>
      <c r="Z127" s="15" t="s">
        <v>8416</v>
      </c>
      <c r="AA127" s="75"/>
      <c r="AB127" s="12" t="s">
        <v>7293</v>
      </c>
      <c r="AC127" s="12"/>
      <c r="AD127" s="75" t="s">
        <v>8308</v>
      </c>
      <c r="AE127" s="75" t="s">
        <v>8417</v>
      </c>
      <c r="AF127" s="17" t="s">
        <v>7323</v>
      </c>
      <c r="AG127" s="72">
        <v>0</v>
      </c>
      <c r="AH127" s="17"/>
      <c r="AI127" s="75" t="s">
        <v>8413</v>
      </c>
    </row>
    <row r="128" spans="1:35" x14ac:dyDescent="0.3">
      <c r="A128" s="71" t="s">
        <v>7286</v>
      </c>
      <c r="B128" s="17" t="s">
        <v>8418</v>
      </c>
      <c r="C128" s="72" t="s">
        <v>7150</v>
      </c>
      <c r="D128" s="81" t="s">
        <v>8419</v>
      </c>
      <c r="E128" s="74" t="s">
        <v>8420</v>
      </c>
      <c r="F128" s="75" t="s">
        <v>7329</v>
      </c>
      <c r="G128" s="75" t="s">
        <v>7330</v>
      </c>
      <c r="H128" s="75" t="s">
        <v>7331</v>
      </c>
      <c r="I128" s="75" t="s">
        <v>7332</v>
      </c>
      <c r="J128" s="75" t="s">
        <v>8202</v>
      </c>
      <c r="K128" s="11" t="s">
        <v>8203</v>
      </c>
      <c r="L128" s="77" t="s">
        <v>7335</v>
      </c>
      <c r="M128" s="76">
        <v>43974</v>
      </c>
      <c r="N128" s="76"/>
      <c r="O128" s="75" t="s">
        <v>7870</v>
      </c>
      <c r="P128" s="17"/>
      <c r="Q128" s="76">
        <v>32304</v>
      </c>
      <c r="R128" s="78">
        <v>38.342465753424655</v>
      </c>
      <c r="S128" s="79" t="s">
        <v>8421</v>
      </c>
      <c r="T128" s="75" t="s">
        <v>7298</v>
      </c>
      <c r="U128" s="75" t="s">
        <v>8422</v>
      </c>
      <c r="V128" s="17"/>
      <c r="W128" s="75" t="s">
        <v>7300</v>
      </c>
      <c r="X128" s="80"/>
      <c r="Y128" s="75" t="s">
        <v>7319</v>
      </c>
      <c r="Z128" s="15" t="s">
        <v>8423</v>
      </c>
      <c r="AA128" s="75"/>
      <c r="AB128" s="12" t="s">
        <v>7293</v>
      </c>
      <c r="AC128" s="12"/>
      <c r="AD128" s="75" t="s">
        <v>8424</v>
      </c>
      <c r="AE128" s="75" t="s">
        <v>8425</v>
      </c>
      <c r="AF128" s="17" t="s">
        <v>7306</v>
      </c>
      <c r="AG128" s="72">
        <v>0</v>
      </c>
      <c r="AH128" s="17"/>
      <c r="AI128" s="75" t="s">
        <v>7324</v>
      </c>
    </row>
    <row r="129" spans="1:35" x14ac:dyDescent="0.3">
      <c r="A129" s="71" t="s">
        <v>7286</v>
      </c>
      <c r="B129" s="17" t="s">
        <v>8426</v>
      </c>
      <c r="C129" s="72" t="s">
        <v>7150</v>
      </c>
      <c r="D129" s="81" t="s">
        <v>8427</v>
      </c>
      <c r="E129" s="74" t="s">
        <v>1448</v>
      </c>
      <c r="F129" s="75" t="s">
        <v>7293</v>
      </c>
      <c r="G129" s="75" t="s">
        <v>7293</v>
      </c>
      <c r="H129" s="75" t="s">
        <v>7311</v>
      </c>
      <c r="I129" s="75" t="s">
        <v>7312</v>
      </c>
      <c r="J129" s="11" t="s">
        <v>7433</v>
      </c>
      <c r="K129" s="11" t="s">
        <v>7434</v>
      </c>
      <c r="L129" s="77" t="s">
        <v>7315</v>
      </c>
      <c r="M129" s="76">
        <v>43974</v>
      </c>
      <c r="N129" s="76"/>
      <c r="O129" s="75" t="s">
        <v>7892</v>
      </c>
      <c r="P129" s="17" t="s">
        <v>7316</v>
      </c>
      <c r="Q129" s="76">
        <v>35487</v>
      </c>
      <c r="R129" s="78">
        <v>29.621917808219177</v>
      </c>
      <c r="S129" s="79" t="s">
        <v>8428</v>
      </c>
      <c r="T129" s="75" t="s">
        <v>7298</v>
      </c>
      <c r="U129" s="79" t="s">
        <v>8429</v>
      </c>
      <c r="V129" s="85"/>
      <c r="W129" s="75" t="s">
        <v>7300</v>
      </c>
      <c r="X129" s="80"/>
      <c r="Y129" s="75" t="s">
        <v>7319</v>
      </c>
      <c r="Z129" s="15" t="s">
        <v>8430</v>
      </c>
      <c r="AA129" s="75"/>
      <c r="AB129" s="12" t="s">
        <v>7293</v>
      </c>
      <c r="AC129" s="12"/>
      <c r="AD129" s="79" t="s">
        <v>8431</v>
      </c>
      <c r="AE129" s="79" t="s">
        <v>8432</v>
      </c>
      <c r="AF129" s="72" t="s">
        <v>7306</v>
      </c>
      <c r="AG129" s="72">
        <v>0</v>
      </c>
      <c r="AH129" s="72"/>
      <c r="AI129" s="75" t="s">
        <v>7324</v>
      </c>
    </row>
    <row r="130" spans="1:35" x14ac:dyDescent="0.3">
      <c r="A130" s="71" t="s">
        <v>7286</v>
      </c>
      <c r="B130" s="17" t="s">
        <v>8433</v>
      </c>
      <c r="C130" s="72" t="s">
        <v>7150</v>
      </c>
      <c r="D130" s="81" t="s">
        <v>8434</v>
      </c>
      <c r="E130" s="74" t="s">
        <v>1444</v>
      </c>
      <c r="F130" s="75" t="s">
        <v>7293</v>
      </c>
      <c r="G130" s="75" t="s">
        <v>7293</v>
      </c>
      <c r="H130" s="75" t="s">
        <v>7311</v>
      </c>
      <c r="I130" s="75" t="s">
        <v>7312</v>
      </c>
      <c r="J130" s="75" t="s">
        <v>7433</v>
      </c>
      <c r="K130" s="11" t="s">
        <v>7434</v>
      </c>
      <c r="L130" s="77" t="s">
        <v>7315</v>
      </c>
      <c r="M130" s="76">
        <v>43983</v>
      </c>
      <c r="N130" s="76"/>
      <c r="O130" s="75" t="s">
        <v>7870</v>
      </c>
      <c r="P130" s="17" t="s">
        <v>7316</v>
      </c>
      <c r="Q130" s="76">
        <v>31752</v>
      </c>
      <c r="R130" s="78">
        <v>39.854794520547948</v>
      </c>
      <c r="S130" s="79" t="s">
        <v>8435</v>
      </c>
      <c r="T130" s="75" t="s">
        <v>7298</v>
      </c>
      <c r="U130" s="79" t="s">
        <v>8436</v>
      </c>
      <c r="V130" s="85"/>
      <c r="W130" s="75" t="s">
        <v>7300</v>
      </c>
      <c r="X130" s="80"/>
      <c r="Y130" s="75" t="s">
        <v>7319</v>
      </c>
      <c r="Z130" s="15" t="s">
        <v>8437</v>
      </c>
      <c r="AA130" s="75"/>
      <c r="AB130" s="12" t="s">
        <v>7293</v>
      </c>
      <c r="AC130" s="12"/>
      <c r="AD130" s="91" t="s">
        <v>8438</v>
      </c>
      <c r="AE130" s="79" t="s">
        <v>8439</v>
      </c>
      <c r="AF130" s="72" t="s">
        <v>7323</v>
      </c>
      <c r="AG130" s="72">
        <v>1</v>
      </c>
      <c r="AH130" s="72"/>
      <c r="AI130" s="75" t="s">
        <v>7324</v>
      </c>
    </row>
    <row r="131" spans="1:35" x14ac:dyDescent="0.3">
      <c r="A131" s="71" t="s">
        <v>7286</v>
      </c>
      <c r="B131" s="17" t="s">
        <v>8440</v>
      </c>
      <c r="C131" s="72" t="s">
        <v>7150</v>
      </c>
      <c r="D131" s="81" t="s">
        <v>8441</v>
      </c>
      <c r="E131" s="74" t="s">
        <v>8442</v>
      </c>
      <c r="F131" s="75" t="s">
        <v>7329</v>
      </c>
      <c r="G131" s="75" t="s">
        <v>7330</v>
      </c>
      <c r="H131" s="75" t="s">
        <v>7331</v>
      </c>
      <c r="I131" s="75" t="s">
        <v>7332</v>
      </c>
      <c r="J131" s="75" t="s">
        <v>8202</v>
      </c>
      <c r="K131" s="11" t="s">
        <v>8203</v>
      </c>
      <c r="L131" s="77" t="s">
        <v>7335</v>
      </c>
      <c r="M131" s="76">
        <v>43985</v>
      </c>
      <c r="N131" s="76"/>
      <c r="O131" s="75" t="s">
        <v>7870</v>
      </c>
      <c r="P131" s="17"/>
      <c r="Q131" s="76">
        <v>31087</v>
      </c>
      <c r="R131" s="78">
        <v>41.676712328767124</v>
      </c>
      <c r="S131" s="79" t="s">
        <v>8443</v>
      </c>
      <c r="T131" s="75" t="s">
        <v>7298</v>
      </c>
      <c r="U131" s="75" t="s">
        <v>8444</v>
      </c>
      <c r="V131" s="17"/>
      <c r="W131" s="75" t="s">
        <v>7300</v>
      </c>
      <c r="X131" s="80"/>
      <c r="Y131" s="75" t="s">
        <v>7319</v>
      </c>
      <c r="Z131" s="15" t="s">
        <v>8445</v>
      </c>
      <c r="AA131" s="75"/>
      <c r="AB131" s="12" t="s">
        <v>7293</v>
      </c>
      <c r="AC131" s="12"/>
      <c r="AD131" s="75" t="s">
        <v>8446</v>
      </c>
      <c r="AE131" s="75" t="s">
        <v>8447</v>
      </c>
      <c r="AF131" s="17" t="s">
        <v>7323</v>
      </c>
      <c r="AG131" s="72">
        <v>1</v>
      </c>
      <c r="AH131" s="17"/>
      <c r="AI131" s="75" t="s">
        <v>7324</v>
      </c>
    </row>
    <row r="132" spans="1:35" x14ac:dyDescent="0.3">
      <c r="A132" s="71" t="s">
        <v>7286</v>
      </c>
      <c r="B132" s="17" t="s">
        <v>8448</v>
      </c>
      <c r="C132" s="72" t="s">
        <v>7150</v>
      </c>
      <c r="D132" s="81" t="s">
        <v>8449</v>
      </c>
      <c r="E132" s="74" t="s">
        <v>1537</v>
      </c>
      <c r="F132" s="75" t="s">
        <v>7293</v>
      </c>
      <c r="G132" s="75" t="s">
        <v>7293</v>
      </c>
      <c r="H132" s="75" t="s">
        <v>7311</v>
      </c>
      <c r="I132" s="75" t="s">
        <v>7312</v>
      </c>
      <c r="J132" s="75" t="s">
        <v>7313</v>
      </c>
      <c r="K132" s="11" t="s">
        <v>7314</v>
      </c>
      <c r="L132" s="77" t="s">
        <v>7315</v>
      </c>
      <c r="M132" s="76">
        <v>44004</v>
      </c>
      <c r="N132" s="76"/>
      <c r="O132" s="75" t="s">
        <v>7870</v>
      </c>
      <c r="P132" s="17" t="s">
        <v>7422</v>
      </c>
      <c r="Q132" s="76">
        <v>34265</v>
      </c>
      <c r="R132" s="78">
        <v>32.969863013698628</v>
      </c>
      <c r="S132" s="79" t="s">
        <v>8450</v>
      </c>
      <c r="T132" s="75" t="s">
        <v>7298</v>
      </c>
      <c r="U132" s="75" t="s">
        <v>8451</v>
      </c>
      <c r="V132" s="17"/>
      <c r="W132" s="75" t="s">
        <v>7300</v>
      </c>
      <c r="X132" s="80"/>
      <c r="Y132" s="75" t="s">
        <v>7319</v>
      </c>
      <c r="Z132" s="15" t="s">
        <v>8452</v>
      </c>
      <c r="AA132" s="75"/>
      <c r="AB132" s="12" t="s">
        <v>7293</v>
      </c>
      <c r="AC132" s="12"/>
      <c r="AD132" s="75" t="s">
        <v>8453</v>
      </c>
      <c r="AE132" s="75" t="s">
        <v>8454</v>
      </c>
      <c r="AF132" s="17" t="s">
        <v>7306</v>
      </c>
      <c r="AG132" s="72">
        <v>0</v>
      </c>
      <c r="AH132" s="17"/>
      <c r="AI132" s="11" t="s">
        <v>7422</v>
      </c>
    </row>
    <row r="133" spans="1:35" x14ac:dyDescent="0.3">
      <c r="A133" s="71" t="s">
        <v>7286</v>
      </c>
      <c r="B133" s="17" t="s">
        <v>8455</v>
      </c>
      <c r="C133" s="72" t="s">
        <v>7150</v>
      </c>
      <c r="D133" s="81" t="s">
        <v>8456</v>
      </c>
      <c r="E133" s="74" t="s">
        <v>8457</v>
      </c>
      <c r="F133" s="75" t="s">
        <v>7329</v>
      </c>
      <c r="G133" s="75" t="s">
        <v>7330</v>
      </c>
      <c r="H133" s="75" t="s">
        <v>7452</v>
      </c>
      <c r="I133" s="75" t="s">
        <v>7453</v>
      </c>
      <c r="J133" s="75" t="s">
        <v>8458</v>
      </c>
      <c r="K133" s="11" t="s">
        <v>8459</v>
      </c>
      <c r="L133" s="77" t="s">
        <v>7456</v>
      </c>
      <c r="M133" s="76">
        <v>44013</v>
      </c>
      <c r="N133" s="76"/>
      <c r="O133" s="75" t="s">
        <v>7870</v>
      </c>
      <c r="P133" s="17"/>
      <c r="Q133" s="76">
        <v>28149</v>
      </c>
      <c r="R133" s="78">
        <v>49.726027397260275</v>
      </c>
      <c r="S133" s="79" t="s">
        <v>8460</v>
      </c>
      <c r="T133" s="75" t="s">
        <v>7298</v>
      </c>
      <c r="U133" s="75" t="s">
        <v>8461</v>
      </c>
      <c r="V133" s="17"/>
      <c r="W133" s="75" t="s">
        <v>7300</v>
      </c>
      <c r="X133" s="80"/>
      <c r="Y133" s="75" t="s">
        <v>7319</v>
      </c>
      <c r="Z133" s="15" t="s">
        <v>8462</v>
      </c>
      <c r="AA133" s="75"/>
      <c r="AB133" s="12" t="s">
        <v>7293</v>
      </c>
      <c r="AC133" s="12"/>
      <c r="AD133" s="75" t="s">
        <v>8463</v>
      </c>
      <c r="AE133" s="75" t="s">
        <v>8464</v>
      </c>
      <c r="AF133" s="17" t="s">
        <v>7323</v>
      </c>
      <c r="AG133" s="72">
        <v>2</v>
      </c>
      <c r="AH133" s="17"/>
      <c r="AI133" s="75" t="s">
        <v>7324</v>
      </c>
    </row>
    <row r="134" spans="1:35" x14ac:dyDescent="0.3">
      <c r="A134" s="71" t="s">
        <v>7286</v>
      </c>
      <c r="B134" s="17" t="s">
        <v>8465</v>
      </c>
      <c r="C134" s="72" t="s">
        <v>7150</v>
      </c>
      <c r="D134" s="81" t="s">
        <v>8466</v>
      </c>
      <c r="E134" s="74" t="s">
        <v>8467</v>
      </c>
      <c r="F134" s="75" t="s">
        <v>7329</v>
      </c>
      <c r="G134" s="75" t="s">
        <v>7330</v>
      </c>
      <c r="H134" s="75" t="s">
        <v>7405</v>
      </c>
      <c r="I134" s="75" t="s">
        <v>7406</v>
      </c>
      <c r="J134" s="75" t="s">
        <v>7407</v>
      </c>
      <c r="K134" s="11" t="s">
        <v>7408</v>
      </c>
      <c r="L134" s="77" t="s">
        <v>7409</v>
      </c>
      <c r="M134" s="76">
        <v>44039</v>
      </c>
      <c r="N134" s="76"/>
      <c r="O134" s="75" t="s">
        <v>7870</v>
      </c>
      <c r="P134" s="17"/>
      <c r="Q134" s="76">
        <v>34090</v>
      </c>
      <c r="R134" s="78">
        <v>33.449315068493149</v>
      </c>
      <c r="S134" s="79" t="s">
        <v>8468</v>
      </c>
      <c r="T134" s="75" t="s">
        <v>7298</v>
      </c>
      <c r="U134" s="75" t="s">
        <v>8469</v>
      </c>
      <c r="V134" s="17"/>
      <c r="W134" s="75" t="s">
        <v>7300</v>
      </c>
      <c r="X134" s="80"/>
      <c r="Y134" s="75" t="s">
        <v>7319</v>
      </c>
      <c r="Z134" s="15" t="s">
        <v>8470</v>
      </c>
      <c r="AA134" s="75"/>
      <c r="AB134" s="12" t="s">
        <v>7293</v>
      </c>
      <c r="AC134" s="12"/>
      <c r="AD134" s="75" t="s">
        <v>8471</v>
      </c>
      <c r="AE134" s="75" t="s">
        <v>8472</v>
      </c>
      <c r="AF134" s="17" t="s">
        <v>7306</v>
      </c>
      <c r="AG134" s="72">
        <v>0</v>
      </c>
      <c r="AH134" s="17"/>
      <c r="AI134" s="75" t="s">
        <v>7324</v>
      </c>
    </row>
    <row r="135" spans="1:35" x14ac:dyDescent="0.3">
      <c r="A135" s="71" t="s">
        <v>7286</v>
      </c>
      <c r="B135" s="17" t="s">
        <v>8473</v>
      </c>
      <c r="C135" s="72" t="s">
        <v>7150</v>
      </c>
      <c r="D135" s="81" t="s">
        <v>8474</v>
      </c>
      <c r="E135" s="74" t="s">
        <v>1412</v>
      </c>
      <c r="F135" s="75" t="s">
        <v>7293</v>
      </c>
      <c r="G135" s="75" t="s">
        <v>7293</v>
      </c>
      <c r="H135" s="75" t="s">
        <v>7311</v>
      </c>
      <c r="I135" s="75" t="s">
        <v>7312</v>
      </c>
      <c r="J135" s="11" t="s">
        <v>7433</v>
      </c>
      <c r="K135" s="11" t="s">
        <v>7434</v>
      </c>
      <c r="L135" s="77" t="s">
        <v>7315</v>
      </c>
      <c r="M135" s="76">
        <v>44046</v>
      </c>
      <c r="N135" s="76"/>
      <c r="O135" s="75" t="s">
        <v>7870</v>
      </c>
      <c r="P135" s="17" t="s">
        <v>7316</v>
      </c>
      <c r="Q135" s="76">
        <v>33660</v>
      </c>
      <c r="R135" s="78">
        <v>34.627397260273973</v>
      </c>
      <c r="S135" s="79" t="s">
        <v>8475</v>
      </c>
      <c r="T135" s="75" t="s">
        <v>7298</v>
      </c>
      <c r="U135" s="75" t="s">
        <v>8476</v>
      </c>
      <c r="V135" s="17"/>
      <c r="W135" s="75" t="s">
        <v>7300</v>
      </c>
      <c r="X135" s="80"/>
      <c r="Y135" s="75" t="s">
        <v>7319</v>
      </c>
      <c r="Z135" s="15" t="s">
        <v>8477</v>
      </c>
      <c r="AA135" s="75"/>
      <c r="AB135" s="12" t="s">
        <v>7293</v>
      </c>
      <c r="AC135" s="12"/>
      <c r="AD135" s="75" t="s">
        <v>8478</v>
      </c>
      <c r="AE135" s="75" t="s">
        <v>8479</v>
      </c>
      <c r="AF135" s="17" t="s">
        <v>7323</v>
      </c>
      <c r="AG135" s="72">
        <v>2</v>
      </c>
      <c r="AH135" s="17"/>
      <c r="AI135" s="75" t="s">
        <v>7324</v>
      </c>
    </row>
    <row r="136" spans="1:35" x14ac:dyDescent="0.3">
      <c r="A136" s="71" t="s">
        <v>7286</v>
      </c>
      <c r="B136" s="17" t="s">
        <v>8480</v>
      </c>
      <c r="C136" s="72" t="s">
        <v>7150</v>
      </c>
      <c r="D136" s="81" t="s">
        <v>8481</v>
      </c>
      <c r="E136" s="74" t="s">
        <v>1400</v>
      </c>
      <c r="F136" s="75" t="s">
        <v>7293</v>
      </c>
      <c r="G136" s="75" t="s">
        <v>7293</v>
      </c>
      <c r="H136" s="75" t="s">
        <v>7311</v>
      </c>
      <c r="I136" s="75" t="s">
        <v>7312</v>
      </c>
      <c r="J136" s="11" t="s">
        <v>7433</v>
      </c>
      <c r="K136" s="11" t="s">
        <v>7434</v>
      </c>
      <c r="L136" s="77" t="s">
        <v>7315</v>
      </c>
      <c r="M136" s="76">
        <v>44046</v>
      </c>
      <c r="N136" s="76"/>
      <c r="O136" s="75" t="s">
        <v>7892</v>
      </c>
      <c r="P136" s="17" t="s">
        <v>7316</v>
      </c>
      <c r="Q136" s="76">
        <v>34906</v>
      </c>
      <c r="R136" s="78">
        <v>31.213698630136985</v>
      </c>
      <c r="S136" s="79" t="s">
        <v>8482</v>
      </c>
      <c r="T136" s="75" t="s">
        <v>7298</v>
      </c>
      <c r="U136" s="75" t="s">
        <v>8483</v>
      </c>
      <c r="V136" s="17"/>
      <c r="W136" s="75" t="s">
        <v>7300</v>
      </c>
      <c r="X136" s="80"/>
      <c r="Y136" s="75" t="s">
        <v>7319</v>
      </c>
      <c r="Z136" s="15" t="s">
        <v>8484</v>
      </c>
      <c r="AA136" s="75"/>
      <c r="AB136" s="12" t="s">
        <v>7293</v>
      </c>
      <c r="AC136" s="12"/>
      <c r="AD136" s="75" t="s">
        <v>8485</v>
      </c>
      <c r="AE136" s="75" t="s">
        <v>8486</v>
      </c>
      <c r="AF136" s="17" t="s">
        <v>7306</v>
      </c>
      <c r="AG136" s="72">
        <v>0</v>
      </c>
      <c r="AH136" s="17"/>
      <c r="AI136" s="75" t="s">
        <v>7324</v>
      </c>
    </row>
    <row r="137" spans="1:35" x14ac:dyDescent="0.3">
      <c r="A137" s="71" t="s">
        <v>7286</v>
      </c>
      <c r="B137" s="17" t="s">
        <v>8487</v>
      </c>
      <c r="C137" s="72" t="s">
        <v>7150</v>
      </c>
      <c r="D137" s="81" t="s">
        <v>8488</v>
      </c>
      <c r="E137" s="74" t="s">
        <v>1337</v>
      </c>
      <c r="F137" s="75" t="s">
        <v>7293</v>
      </c>
      <c r="G137" s="75" t="s">
        <v>7293</v>
      </c>
      <c r="H137" s="75" t="s">
        <v>7311</v>
      </c>
      <c r="I137" s="75" t="s">
        <v>7312</v>
      </c>
      <c r="J137" s="75" t="s">
        <v>8489</v>
      </c>
      <c r="K137" s="11" t="s">
        <v>6561</v>
      </c>
      <c r="L137" s="77" t="s">
        <v>7315</v>
      </c>
      <c r="M137" s="76">
        <v>44060</v>
      </c>
      <c r="N137" s="76"/>
      <c r="O137" s="75" t="s">
        <v>7892</v>
      </c>
      <c r="P137" s="17"/>
      <c r="Q137" s="76">
        <v>35756</v>
      </c>
      <c r="R137" s="78">
        <v>28.884931506849316</v>
      </c>
      <c r="S137" s="79" t="s">
        <v>8490</v>
      </c>
      <c r="T137" s="75" t="s">
        <v>7298</v>
      </c>
      <c r="U137" s="75" t="s">
        <v>8491</v>
      </c>
      <c r="V137" s="17"/>
      <c r="W137" s="75" t="s">
        <v>7300</v>
      </c>
      <c r="X137" s="80"/>
      <c r="Y137" s="75" t="s">
        <v>7319</v>
      </c>
      <c r="Z137" s="15" t="s">
        <v>8492</v>
      </c>
      <c r="AA137" s="75"/>
      <c r="AB137" s="12" t="s">
        <v>7293</v>
      </c>
      <c r="AC137" s="12"/>
      <c r="AD137" s="75" t="s">
        <v>8493</v>
      </c>
      <c r="AE137" s="75" t="s">
        <v>8494</v>
      </c>
      <c r="AF137" s="17" t="s">
        <v>7306</v>
      </c>
      <c r="AG137" s="72">
        <v>0</v>
      </c>
      <c r="AH137" s="17"/>
      <c r="AI137" s="75" t="s">
        <v>7324</v>
      </c>
    </row>
    <row r="138" spans="1:35" x14ac:dyDescent="0.3">
      <c r="A138" s="71" t="s">
        <v>7286</v>
      </c>
      <c r="B138" s="17" t="s">
        <v>8495</v>
      </c>
      <c r="C138" s="72" t="s">
        <v>7150</v>
      </c>
      <c r="D138" s="81" t="s">
        <v>8496</v>
      </c>
      <c r="E138" s="74" t="s">
        <v>8497</v>
      </c>
      <c r="F138" s="75" t="s">
        <v>7329</v>
      </c>
      <c r="G138" s="75" t="s">
        <v>7330</v>
      </c>
      <c r="H138" s="75" t="s">
        <v>7405</v>
      </c>
      <c r="I138" s="75" t="s">
        <v>7406</v>
      </c>
      <c r="J138" s="75" t="s">
        <v>7407</v>
      </c>
      <c r="K138" s="11" t="s">
        <v>7408</v>
      </c>
      <c r="L138" s="77" t="s">
        <v>7409</v>
      </c>
      <c r="M138" s="76">
        <v>44064</v>
      </c>
      <c r="N138" s="76"/>
      <c r="O138" s="75" t="s">
        <v>7870</v>
      </c>
      <c r="P138" s="17"/>
      <c r="Q138" s="76">
        <v>33808</v>
      </c>
      <c r="R138" s="78">
        <v>34.221917808219175</v>
      </c>
      <c r="S138" s="79" t="s">
        <v>8498</v>
      </c>
      <c r="T138" s="75" t="s">
        <v>7298</v>
      </c>
      <c r="U138" s="75" t="s">
        <v>8499</v>
      </c>
      <c r="V138" s="17"/>
      <c r="W138" s="75" t="s">
        <v>7300</v>
      </c>
      <c r="X138" s="80"/>
      <c r="Y138" s="75" t="s">
        <v>7319</v>
      </c>
      <c r="Z138" s="15" t="s">
        <v>8500</v>
      </c>
      <c r="AA138" s="75"/>
      <c r="AB138" s="12" t="s">
        <v>7293</v>
      </c>
      <c r="AC138" s="12"/>
      <c r="AD138" s="75" t="s">
        <v>8501</v>
      </c>
      <c r="AE138" s="75" t="s">
        <v>8502</v>
      </c>
      <c r="AF138" s="17" t="s">
        <v>7323</v>
      </c>
      <c r="AG138" s="72">
        <v>1</v>
      </c>
      <c r="AH138" s="17"/>
      <c r="AI138" s="75" t="s">
        <v>7324</v>
      </c>
    </row>
    <row r="139" spans="1:35" ht="57.6" x14ac:dyDescent="0.3">
      <c r="A139" s="71" t="s">
        <v>7286</v>
      </c>
      <c r="B139" s="17" t="s">
        <v>8503</v>
      </c>
      <c r="C139" s="72" t="s">
        <v>7367</v>
      </c>
      <c r="D139" s="81" t="s">
        <v>8504</v>
      </c>
      <c r="E139" s="74" t="s">
        <v>8505</v>
      </c>
      <c r="F139" s="75" t="s">
        <v>7370</v>
      </c>
      <c r="G139" s="75" t="s">
        <v>7371</v>
      </c>
      <c r="H139" s="75" t="s">
        <v>8349</v>
      </c>
      <c r="I139" s="75" t="s">
        <v>8350</v>
      </c>
      <c r="J139" s="75" t="s">
        <v>8506</v>
      </c>
      <c r="K139" s="11" t="s">
        <v>8507</v>
      </c>
      <c r="L139" s="77" t="s">
        <v>2340</v>
      </c>
      <c r="M139" s="76">
        <v>44106</v>
      </c>
      <c r="N139" s="76"/>
      <c r="O139" s="75" t="s">
        <v>7892</v>
      </c>
      <c r="P139" s="17"/>
      <c r="Q139" s="76">
        <v>33649</v>
      </c>
      <c r="R139" s="78">
        <v>34.657534246575345</v>
      </c>
      <c r="S139" s="79" t="s">
        <v>8508</v>
      </c>
      <c r="T139" s="75" t="s">
        <v>7298</v>
      </c>
      <c r="U139" s="75" t="s">
        <v>8509</v>
      </c>
      <c r="V139" s="17"/>
      <c r="W139" s="75" t="s">
        <v>7300</v>
      </c>
      <c r="X139" s="80"/>
      <c r="Y139" s="75" t="s">
        <v>7302</v>
      </c>
      <c r="Z139" s="15" t="s">
        <v>8510</v>
      </c>
      <c r="AA139" s="75" t="s">
        <v>8510</v>
      </c>
      <c r="AB139" s="12" t="s">
        <v>8511</v>
      </c>
      <c r="AC139" s="12"/>
      <c r="AD139" s="75" t="s">
        <v>8512</v>
      </c>
      <c r="AE139" s="75" t="s">
        <v>8513</v>
      </c>
      <c r="AF139" s="17" t="s">
        <v>7323</v>
      </c>
      <c r="AG139" s="72">
        <v>1</v>
      </c>
      <c r="AH139" s="17"/>
      <c r="AI139" s="75" t="s">
        <v>7745</v>
      </c>
    </row>
    <row r="140" spans="1:35" x14ac:dyDescent="0.3">
      <c r="A140" s="71" t="s">
        <v>7286</v>
      </c>
      <c r="B140" s="17" t="s">
        <v>8514</v>
      </c>
      <c r="C140" s="72" t="s">
        <v>7367</v>
      </c>
      <c r="D140" s="81" t="s">
        <v>8515</v>
      </c>
      <c r="E140" s="74" t="s">
        <v>8516</v>
      </c>
      <c r="F140" s="75" t="s">
        <v>7329</v>
      </c>
      <c r="G140" s="75" t="s">
        <v>7330</v>
      </c>
      <c r="H140" s="11" t="s">
        <v>7358</v>
      </c>
      <c r="I140" s="75" t="s">
        <v>7359</v>
      </c>
      <c r="J140" s="75" t="s">
        <v>8517</v>
      </c>
      <c r="K140" s="11" t="s">
        <v>6341</v>
      </c>
      <c r="L140" s="77" t="s">
        <v>7360</v>
      </c>
      <c r="M140" s="76">
        <v>44166</v>
      </c>
      <c r="N140" s="76"/>
      <c r="O140" s="75" t="s">
        <v>7870</v>
      </c>
      <c r="P140" s="17"/>
      <c r="Q140" s="76">
        <v>36584</v>
      </c>
      <c r="R140" s="78">
        <v>26.616438356164384</v>
      </c>
      <c r="S140" s="79" t="s">
        <v>8518</v>
      </c>
      <c r="T140" s="75" t="s">
        <v>7298</v>
      </c>
      <c r="U140" s="75" t="s">
        <v>8519</v>
      </c>
      <c r="V140" s="17"/>
      <c r="W140" s="75" t="s">
        <v>7300</v>
      </c>
      <c r="X140" s="80"/>
      <c r="Y140" s="75" t="s">
        <v>7319</v>
      </c>
      <c r="Z140" s="15" t="s">
        <v>8520</v>
      </c>
      <c r="AA140" s="75"/>
      <c r="AB140" s="12" t="s">
        <v>7293</v>
      </c>
      <c r="AC140" s="12"/>
      <c r="AD140" s="75" t="s">
        <v>8521</v>
      </c>
      <c r="AE140" s="75" t="s">
        <v>8522</v>
      </c>
      <c r="AF140" s="17" t="s">
        <v>7306</v>
      </c>
      <c r="AG140" s="72">
        <v>0</v>
      </c>
      <c r="AH140" s="17"/>
      <c r="AI140" s="75" t="s">
        <v>7324</v>
      </c>
    </row>
    <row r="141" spans="1:35" x14ac:dyDescent="0.3">
      <c r="A141" s="71" t="s">
        <v>7286</v>
      </c>
      <c r="B141" s="17" t="s">
        <v>8523</v>
      </c>
      <c r="C141" s="72" t="s">
        <v>7150</v>
      </c>
      <c r="D141" s="81" t="s">
        <v>8524</v>
      </c>
      <c r="E141" s="74" t="s">
        <v>8525</v>
      </c>
      <c r="F141" s="75" t="s">
        <v>7329</v>
      </c>
      <c r="G141" s="75" t="s">
        <v>7330</v>
      </c>
      <c r="H141" s="75" t="s">
        <v>7405</v>
      </c>
      <c r="I141" s="75" t="s">
        <v>7406</v>
      </c>
      <c r="J141" s="75" t="s">
        <v>7407</v>
      </c>
      <c r="K141" s="11" t="s">
        <v>7408</v>
      </c>
      <c r="L141" s="77" t="s">
        <v>7409</v>
      </c>
      <c r="M141" s="76">
        <v>44166</v>
      </c>
      <c r="N141" s="76"/>
      <c r="O141" s="75" t="s">
        <v>7870</v>
      </c>
      <c r="P141" s="17"/>
      <c r="Q141" s="76">
        <v>32863</v>
      </c>
      <c r="R141" s="78">
        <v>36.81095890410959</v>
      </c>
      <c r="S141" s="79" t="s">
        <v>8526</v>
      </c>
      <c r="T141" s="75" t="s">
        <v>7298</v>
      </c>
      <c r="U141" s="75" t="s">
        <v>8527</v>
      </c>
      <c r="V141" s="17"/>
      <c r="W141" s="75" t="s">
        <v>7300</v>
      </c>
      <c r="X141" s="80"/>
      <c r="Y141" s="75" t="s">
        <v>7319</v>
      </c>
      <c r="Z141" s="15" t="s">
        <v>8528</v>
      </c>
      <c r="AA141" s="75"/>
      <c r="AB141" s="12" t="s">
        <v>7293</v>
      </c>
      <c r="AC141" s="12"/>
      <c r="AD141" s="75" t="s">
        <v>8529</v>
      </c>
      <c r="AE141" s="75" t="s">
        <v>8530</v>
      </c>
      <c r="AF141" s="17" t="s">
        <v>7323</v>
      </c>
      <c r="AG141" s="72">
        <v>3</v>
      </c>
      <c r="AH141" s="17"/>
      <c r="AI141" s="11" t="s">
        <v>7422</v>
      </c>
    </row>
    <row r="142" spans="1:35" ht="57.6" x14ac:dyDescent="0.3">
      <c r="A142" s="71" t="s">
        <v>7286</v>
      </c>
      <c r="B142" s="17" t="s">
        <v>8531</v>
      </c>
      <c r="C142" s="72" t="s">
        <v>7367</v>
      </c>
      <c r="D142" s="81" t="s">
        <v>8532</v>
      </c>
      <c r="E142" s="74" t="s">
        <v>8533</v>
      </c>
      <c r="F142" s="75" t="s">
        <v>7291</v>
      </c>
      <c r="G142" s="75" t="s">
        <v>7292</v>
      </c>
      <c r="H142" s="75" t="s">
        <v>7814</v>
      </c>
      <c r="I142" s="75" t="s">
        <v>7815</v>
      </c>
      <c r="J142" s="75" t="s">
        <v>8517</v>
      </c>
      <c r="K142" s="11" t="s">
        <v>6341</v>
      </c>
      <c r="L142" s="77" t="s">
        <v>7818</v>
      </c>
      <c r="M142" s="76">
        <v>44167</v>
      </c>
      <c r="N142" s="76"/>
      <c r="O142" s="75" t="s">
        <v>7892</v>
      </c>
      <c r="P142" s="17"/>
      <c r="Q142" s="76">
        <v>31090</v>
      </c>
      <c r="R142" s="78">
        <v>41.668493150684931</v>
      </c>
      <c r="S142" s="79" t="s">
        <v>8534</v>
      </c>
      <c r="T142" s="75" t="s">
        <v>7298</v>
      </c>
      <c r="U142" s="75" t="s">
        <v>8535</v>
      </c>
      <c r="V142" s="17"/>
      <c r="W142" s="75" t="s">
        <v>7300</v>
      </c>
      <c r="X142" s="80"/>
      <c r="Y142" s="75" t="s">
        <v>7319</v>
      </c>
      <c r="Z142" s="15" t="s">
        <v>8536</v>
      </c>
      <c r="AA142" s="75" t="s">
        <v>8536</v>
      </c>
      <c r="AB142" s="12" t="s">
        <v>8537</v>
      </c>
      <c r="AC142" s="12"/>
      <c r="AD142" s="75" t="s">
        <v>8538</v>
      </c>
      <c r="AE142" s="75" t="s">
        <v>8539</v>
      </c>
      <c r="AF142" s="17" t="s">
        <v>7323</v>
      </c>
      <c r="AG142" s="72">
        <v>1</v>
      </c>
      <c r="AH142" s="17"/>
      <c r="AI142" s="11" t="s">
        <v>7422</v>
      </c>
    </row>
    <row r="143" spans="1:35" ht="57.6" x14ac:dyDescent="0.3">
      <c r="A143" s="71" t="s">
        <v>7286</v>
      </c>
      <c r="B143" s="17" t="s">
        <v>8540</v>
      </c>
      <c r="C143" s="72" t="s">
        <v>7367</v>
      </c>
      <c r="D143" s="81" t="s">
        <v>8541</v>
      </c>
      <c r="E143" s="74" t="s">
        <v>8542</v>
      </c>
      <c r="F143" s="75" t="s">
        <v>7291</v>
      </c>
      <c r="G143" s="75" t="s">
        <v>7292</v>
      </c>
      <c r="H143" s="75" t="s">
        <v>7908</v>
      </c>
      <c r="I143" s="75" t="s">
        <v>7909</v>
      </c>
      <c r="J143" s="75" t="s">
        <v>8543</v>
      </c>
      <c r="K143" s="11" t="s">
        <v>8544</v>
      </c>
      <c r="L143" s="77" t="s">
        <v>7907</v>
      </c>
      <c r="M143" s="76">
        <v>44182</v>
      </c>
      <c r="N143" s="76"/>
      <c r="O143" s="75" t="s">
        <v>7892</v>
      </c>
      <c r="P143" s="17"/>
      <c r="Q143" s="76">
        <v>35686</v>
      </c>
      <c r="R143" s="78">
        <v>29.076712328767123</v>
      </c>
      <c r="S143" s="79" t="s">
        <v>8545</v>
      </c>
      <c r="T143" s="75" t="s">
        <v>7298</v>
      </c>
      <c r="U143" s="75" t="s">
        <v>8546</v>
      </c>
      <c r="V143" s="17"/>
      <c r="W143" s="75" t="s">
        <v>7300</v>
      </c>
      <c r="X143" s="80" t="s">
        <v>8547</v>
      </c>
      <c r="Y143" s="75" t="s">
        <v>7302</v>
      </c>
      <c r="Z143" s="15" t="s">
        <v>8548</v>
      </c>
      <c r="AA143" s="75"/>
      <c r="AB143" s="12" t="s">
        <v>8549</v>
      </c>
      <c r="AC143" s="12"/>
      <c r="AD143" s="75" t="s">
        <v>8550</v>
      </c>
      <c r="AE143" s="75" t="s">
        <v>8551</v>
      </c>
      <c r="AF143" s="17" t="s">
        <v>7306</v>
      </c>
      <c r="AG143" s="72">
        <v>0</v>
      </c>
      <c r="AH143" s="17"/>
      <c r="AI143" s="75" t="s">
        <v>7307</v>
      </c>
    </row>
    <row r="144" spans="1:35" ht="57.6" x14ac:dyDescent="0.3">
      <c r="A144" s="71" t="s">
        <v>7286</v>
      </c>
      <c r="B144" s="17" t="s">
        <v>8552</v>
      </c>
      <c r="C144" s="72" t="s">
        <v>7367</v>
      </c>
      <c r="D144" s="81" t="s">
        <v>8553</v>
      </c>
      <c r="E144" s="74" t="s">
        <v>8554</v>
      </c>
      <c r="F144" s="75" t="s">
        <v>7370</v>
      </c>
      <c r="G144" s="75" t="s">
        <v>7371</v>
      </c>
      <c r="H144" s="75" t="s">
        <v>7372</v>
      </c>
      <c r="I144" s="75" t="s">
        <v>7373</v>
      </c>
      <c r="J144" s="75" t="s">
        <v>7532</v>
      </c>
      <c r="K144" s="11" t="s">
        <v>7533</v>
      </c>
      <c r="L144" s="77" t="s">
        <v>7376</v>
      </c>
      <c r="M144" s="76">
        <v>44190</v>
      </c>
      <c r="N144" s="76"/>
      <c r="O144" s="75" t="s">
        <v>7870</v>
      </c>
      <c r="P144" s="17"/>
      <c r="Q144" s="76">
        <v>36074</v>
      </c>
      <c r="R144" s="78">
        <v>28.013698630136986</v>
      </c>
      <c r="S144" s="79" t="s">
        <v>8555</v>
      </c>
      <c r="T144" s="75" t="s">
        <v>7298</v>
      </c>
      <c r="U144" s="75" t="s">
        <v>8556</v>
      </c>
      <c r="V144" s="83">
        <v>48380</v>
      </c>
      <c r="W144" s="75" t="s">
        <v>7300</v>
      </c>
      <c r="X144" s="80"/>
      <c r="Y144" s="75" t="s">
        <v>7302</v>
      </c>
      <c r="Z144" s="15" t="s">
        <v>8557</v>
      </c>
      <c r="AA144" s="75" t="s">
        <v>8557</v>
      </c>
      <c r="AB144" s="12" t="s">
        <v>8558</v>
      </c>
      <c r="AC144" s="12"/>
      <c r="AD144" s="75" t="s">
        <v>8559</v>
      </c>
      <c r="AE144" s="75" t="s">
        <v>8560</v>
      </c>
      <c r="AF144" s="17" t="s">
        <v>7323</v>
      </c>
      <c r="AG144" s="72">
        <v>0</v>
      </c>
      <c r="AH144" s="17"/>
      <c r="AI144" s="11" t="s">
        <v>7422</v>
      </c>
    </row>
    <row r="145" spans="1:35" x14ac:dyDescent="0.3">
      <c r="A145" s="71" t="s">
        <v>7286</v>
      </c>
      <c r="B145" s="17" t="s">
        <v>8561</v>
      </c>
      <c r="C145" s="72" t="s">
        <v>7150</v>
      </c>
      <c r="D145" s="81" t="s">
        <v>8562</v>
      </c>
      <c r="E145" s="74" t="s">
        <v>1538</v>
      </c>
      <c r="F145" s="75" t="s">
        <v>7293</v>
      </c>
      <c r="G145" s="75" t="s">
        <v>7293</v>
      </c>
      <c r="H145" s="75" t="s">
        <v>7311</v>
      </c>
      <c r="I145" s="75" t="s">
        <v>7312</v>
      </c>
      <c r="J145" s="75" t="s">
        <v>7313</v>
      </c>
      <c r="K145" s="11" t="s">
        <v>7314</v>
      </c>
      <c r="L145" s="77" t="s">
        <v>7315</v>
      </c>
      <c r="M145" s="76">
        <v>44194</v>
      </c>
      <c r="N145" s="76"/>
      <c r="O145" s="75" t="s">
        <v>7870</v>
      </c>
      <c r="P145" s="17" t="s">
        <v>7422</v>
      </c>
      <c r="Q145" s="76">
        <v>33307</v>
      </c>
      <c r="R145" s="78">
        <v>35.594520547945208</v>
      </c>
      <c r="S145" s="79" t="s">
        <v>8563</v>
      </c>
      <c r="T145" s="75" t="s">
        <v>7298</v>
      </c>
      <c r="U145" s="75" t="s">
        <v>8564</v>
      </c>
      <c r="V145" s="17"/>
      <c r="W145" s="75" t="s">
        <v>7300</v>
      </c>
      <c r="X145" s="80"/>
      <c r="Y145" s="75" t="s">
        <v>7319</v>
      </c>
      <c r="Z145" s="15" t="s">
        <v>8565</v>
      </c>
      <c r="AA145" s="75"/>
      <c r="AB145" s="12" t="s">
        <v>7293</v>
      </c>
      <c r="AC145" s="12"/>
      <c r="AD145" s="75" t="s">
        <v>8566</v>
      </c>
      <c r="AE145" s="75" t="s">
        <v>8567</v>
      </c>
      <c r="AF145" s="17" t="s">
        <v>7306</v>
      </c>
      <c r="AG145" s="72">
        <v>0</v>
      </c>
      <c r="AH145" s="17"/>
      <c r="AI145" s="11" t="s">
        <v>7422</v>
      </c>
    </row>
    <row r="146" spans="1:35" ht="57.6" x14ac:dyDescent="0.3">
      <c r="A146" s="71" t="s">
        <v>7286</v>
      </c>
      <c r="B146" s="17" t="s">
        <v>8568</v>
      </c>
      <c r="C146" s="72" t="s">
        <v>7343</v>
      </c>
      <c r="D146" s="73" t="s">
        <v>8569</v>
      </c>
      <c r="E146" s="74" t="s">
        <v>8570</v>
      </c>
      <c r="F146" s="75" t="s">
        <v>7293</v>
      </c>
      <c r="G146" s="75" t="s">
        <v>7293</v>
      </c>
      <c r="H146" s="75" t="s">
        <v>8571</v>
      </c>
      <c r="I146" s="75" t="s">
        <v>8572</v>
      </c>
      <c r="J146" s="75" t="s">
        <v>8573</v>
      </c>
      <c r="K146" s="11" t="s">
        <v>8574</v>
      </c>
      <c r="L146" s="77" t="s">
        <v>8575</v>
      </c>
      <c r="M146" s="76">
        <v>44222</v>
      </c>
      <c r="N146" s="76"/>
      <c r="O146" s="75" t="s">
        <v>7923</v>
      </c>
      <c r="P146" s="17"/>
      <c r="Q146" s="76">
        <v>30282</v>
      </c>
      <c r="R146" s="78">
        <v>43.88219178082192</v>
      </c>
      <c r="S146" s="79" t="s">
        <v>8576</v>
      </c>
      <c r="T146" s="75" t="s">
        <v>7298</v>
      </c>
      <c r="U146" s="75" t="s">
        <v>8577</v>
      </c>
      <c r="V146" s="17"/>
      <c r="W146" s="75" t="s">
        <v>7300</v>
      </c>
      <c r="X146" s="80"/>
      <c r="Y146" s="75" t="s">
        <v>7319</v>
      </c>
      <c r="Z146" s="15" t="s">
        <v>8578</v>
      </c>
      <c r="AA146" s="75" t="s">
        <v>8578</v>
      </c>
      <c r="AB146" s="12" t="s">
        <v>8579</v>
      </c>
      <c r="AC146" s="12"/>
      <c r="AD146" s="75" t="s">
        <v>8580</v>
      </c>
      <c r="AE146" s="75" t="s">
        <v>8581</v>
      </c>
      <c r="AF146" s="17" t="s">
        <v>7323</v>
      </c>
      <c r="AG146" s="72">
        <v>2</v>
      </c>
      <c r="AH146" s="17"/>
      <c r="AI146" s="75" t="s">
        <v>7307</v>
      </c>
    </row>
    <row r="147" spans="1:35" ht="57.6" x14ac:dyDescent="0.3">
      <c r="A147" s="71" t="s">
        <v>7286</v>
      </c>
      <c r="B147" s="17" t="s">
        <v>8582</v>
      </c>
      <c r="C147" s="72" t="s">
        <v>7367</v>
      </c>
      <c r="D147" s="81" t="s">
        <v>8583</v>
      </c>
      <c r="E147" s="74" t="s">
        <v>8584</v>
      </c>
      <c r="F147" s="75" t="s">
        <v>7293</v>
      </c>
      <c r="G147" s="75" t="s">
        <v>7293</v>
      </c>
      <c r="H147" s="75" t="s">
        <v>7293</v>
      </c>
      <c r="I147" s="75" t="s">
        <v>7293</v>
      </c>
      <c r="J147" s="75" t="s">
        <v>8585</v>
      </c>
      <c r="K147" s="11" t="s">
        <v>8586</v>
      </c>
      <c r="L147" s="77" t="s">
        <v>7587</v>
      </c>
      <c r="M147" s="76">
        <v>44270</v>
      </c>
      <c r="N147" s="76"/>
      <c r="O147" s="75" t="s">
        <v>7892</v>
      </c>
      <c r="P147" s="17"/>
      <c r="Q147" s="76">
        <v>31941</v>
      </c>
      <c r="R147" s="78">
        <v>39.336986301369862</v>
      </c>
      <c r="S147" s="79" t="s">
        <v>8587</v>
      </c>
      <c r="T147" s="75" t="s">
        <v>7298</v>
      </c>
      <c r="U147" s="75" t="s">
        <v>8588</v>
      </c>
      <c r="V147" s="17"/>
      <c r="W147" s="75" t="s">
        <v>7300</v>
      </c>
      <c r="X147" s="80"/>
      <c r="Y147" s="75" t="s">
        <v>7319</v>
      </c>
      <c r="Z147" s="15" t="s">
        <v>8589</v>
      </c>
      <c r="AA147" s="75" t="s">
        <v>8589</v>
      </c>
      <c r="AB147" s="12" t="s">
        <v>8590</v>
      </c>
      <c r="AC147" s="12"/>
      <c r="AD147" s="75" t="s">
        <v>8591</v>
      </c>
      <c r="AE147" s="75" t="s">
        <v>8592</v>
      </c>
      <c r="AF147" s="17" t="s">
        <v>7323</v>
      </c>
      <c r="AG147" s="72">
        <v>2</v>
      </c>
      <c r="AH147" s="17"/>
      <c r="AI147" s="75" t="s">
        <v>7307</v>
      </c>
    </row>
    <row r="148" spans="1:35" x14ac:dyDescent="0.3">
      <c r="A148" s="71" t="s">
        <v>7286</v>
      </c>
      <c r="B148" s="17" t="s">
        <v>8593</v>
      </c>
      <c r="C148" s="72" t="s">
        <v>7150</v>
      </c>
      <c r="D148" s="81" t="s">
        <v>8594</v>
      </c>
      <c r="E148" s="74" t="s">
        <v>1397</v>
      </c>
      <c r="F148" s="75" t="s">
        <v>7293</v>
      </c>
      <c r="G148" s="75" t="s">
        <v>7293</v>
      </c>
      <c r="H148" s="75" t="s">
        <v>7311</v>
      </c>
      <c r="I148" s="75" t="s">
        <v>7312</v>
      </c>
      <c r="J148" s="75" t="s">
        <v>7313</v>
      </c>
      <c r="K148" s="11" t="s">
        <v>7314</v>
      </c>
      <c r="L148" s="77" t="s">
        <v>7315</v>
      </c>
      <c r="M148" s="76">
        <v>44273</v>
      </c>
      <c r="N148" s="76"/>
      <c r="O148" s="75" t="s">
        <v>7870</v>
      </c>
      <c r="P148" s="17" t="s">
        <v>7316</v>
      </c>
      <c r="Q148" s="76">
        <v>33439</v>
      </c>
      <c r="R148" s="78">
        <v>35.232876712328768</v>
      </c>
      <c r="S148" s="79" t="s">
        <v>8595</v>
      </c>
      <c r="T148" s="75" t="s">
        <v>7298</v>
      </c>
      <c r="U148" s="75" t="s">
        <v>8596</v>
      </c>
      <c r="V148" s="17"/>
      <c r="W148" s="75" t="s">
        <v>7300</v>
      </c>
      <c r="X148" s="80"/>
      <c r="Y148" s="75" t="s">
        <v>7319</v>
      </c>
      <c r="Z148" s="15" t="s">
        <v>8597</v>
      </c>
      <c r="AA148" s="75"/>
      <c r="AB148" s="12" t="s">
        <v>7293</v>
      </c>
      <c r="AC148" s="12"/>
      <c r="AD148" s="75" t="s">
        <v>8598</v>
      </c>
      <c r="AE148" s="75" t="s">
        <v>8599</v>
      </c>
      <c r="AF148" s="17" t="s">
        <v>7323</v>
      </c>
      <c r="AG148" s="72">
        <v>1</v>
      </c>
      <c r="AH148" s="17"/>
      <c r="AI148" s="75" t="s">
        <v>7324</v>
      </c>
    </row>
    <row r="149" spans="1:35" ht="57.6" x14ac:dyDescent="0.3">
      <c r="A149" s="71" t="s">
        <v>7286</v>
      </c>
      <c r="B149" s="17" t="s">
        <v>8600</v>
      </c>
      <c r="C149" s="72" t="s">
        <v>7326</v>
      </c>
      <c r="D149" s="81" t="s">
        <v>8601</v>
      </c>
      <c r="E149" s="74" t="s">
        <v>8602</v>
      </c>
      <c r="F149" s="75" t="s">
        <v>8166</v>
      </c>
      <c r="G149" s="75" t="s">
        <v>6492</v>
      </c>
      <c r="H149" s="75" t="s">
        <v>7293</v>
      </c>
      <c r="I149" s="75" t="s">
        <v>7293</v>
      </c>
      <c r="J149" s="75" t="s">
        <v>7333</v>
      </c>
      <c r="K149" s="11" t="s">
        <v>7334</v>
      </c>
      <c r="L149" s="77" t="s">
        <v>7646</v>
      </c>
      <c r="M149" s="76">
        <v>44291</v>
      </c>
      <c r="N149" s="76"/>
      <c r="O149" s="75" t="s">
        <v>7892</v>
      </c>
      <c r="P149" s="17"/>
      <c r="Q149" s="76">
        <v>32889</v>
      </c>
      <c r="R149" s="78">
        <v>36.739726027397261</v>
      </c>
      <c r="S149" s="79" t="s">
        <v>8603</v>
      </c>
      <c r="T149" s="75" t="s">
        <v>7298</v>
      </c>
      <c r="U149" s="75" t="s">
        <v>8604</v>
      </c>
      <c r="V149" s="17"/>
      <c r="W149" s="75" t="s">
        <v>7300</v>
      </c>
      <c r="X149" s="80"/>
      <c r="Y149" s="75" t="s">
        <v>7319</v>
      </c>
      <c r="Z149" s="15" t="s">
        <v>8605</v>
      </c>
      <c r="AA149" s="75" t="s">
        <v>8605</v>
      </c>
      <c r="AB149" s="12" t="s">
        <v>8606</v>
      </c>
      <c r="AC149" s="12"/>
      <c r="AD149" s="75" t="s">
        <v>8607</v>
      </c>
      <c r="AE149" s="75" t="s">
        <v>8608</v>
      </c>
      <c r="AF149" s="17" t="s">
        <v>7323</v>
      </c>
      <c r="AG149" s="72">
        <v>2</v>
      </c>
      <c r="AH149" s="17"/>
      <c r="AI149" s="75" t="s">
        <v>7324</v>
      </c>
    </row>
    <row r="150" spans="1:35" x14ac:dyDescent="0.3">
      <c r="A150" s="71" t="s">
        <v>7286</v>
      </c>
      <c r="B150" s="17" t="s">
        <v>8609</v>
      </c>
      <c r="C150" s="72" t="s">
        <v>7150</v>
      </c>
      <c r="D150" s="81" t="s">
        <v>8610</v>
      </c>
      <c r="E150" s="74" t="s">
        <v>1625</v>
      </c>
      <c r="F150" s="75" t="s">
        <v>7293</v>
      </c>
      <c r="G150" s="75" t="s">
        <v>7293</v>
      </c>
      <c r="H150" s="75" t="s">
        <v>7311</v>
      </c>
      <c r="I150" s="75" t="s">
        <v>7312</v>
      </c>
      <c r="J150" s="75" t="s">
        <v>7433</v>
      </c>
      <c r="K150" s="11" t="s">
        <v>7434</v>
      </c>
      <c r="L150" s="77" t="s">
        <v>7315</v>
      </c>
      <c r="M150" s="76">
        <v>44293</v>
      </c>
      <c r="N150" s="76"/>
      <c r="O150" s="75" t="s">
        <v>7892</v>
      </c>
      <c r="P150" s="17" t="s">
        <v>7858</v>
      </c>
      <c r="Q150" s="76">
        <v>33893</v>
      </c>
      <c r="R150" s="78">
        <v>33.989041095890414</v>
      </c>
      <c r="S150" s="79" t="s">
        <v>8611</v>
      </c>
      <c r="T150" s="75" t="s">
        <v>7298</v>
      </c>
      <c r="U150" s="75" t="s">
        <v>8612</v>
      </c>
      <c r="V150" s="17"/>
      <c r="W150" s="75" t="s">
        <v>7300</v>
      </c>
      <c r="X150" s="80"/>
      <c r="Y150" s="75" t="s">
        <v>7319</v>
      </c>
      <c r="Z150" s="15" t="s">
        <v>8613</v>
      </c>
      <c r="AA150" s="75"/>
      <c r="AB150" s="12" t="s">
        <v>7293</v>
      </c>
      <c r="AC150" s="12"/>
      <c r="AD150" s="75" t="s">
        <v>8614</v>
      </c>
      <c r="AE150" s="75" t="s">
        <v>8615</v>
      </c>
      <c r="AF150" s="17" t="s">
        <v>7323</v>
      </c>
      <c r="AG150" s="72">
        <v>2</v>
      </c>
      <c r="AH150" s="17"/>
      <c r="AI150" s="75" t="s">
        <v>7858</v>
      </c>
    </row>
    <row r="151" spans="1:35" ht="57.6" x14ac:dyDescent="0.3">
      <c r="A151" s="71" t="s">
        <v>7286</v>
      </c>
      <c r="B151" s="17" t="s">
        <v>8616</v>
      </c>
      <c r="C151" s="72" t="s">
        <v>7288</v>
      </c>
      <c r="D151" s="73" t="s">
        <v>8617</v>
      </c>
      <c r="E151" s="74" t="s">
        <v>7646</v>
      </c>
      <c r="F151" s="75" t="s">
        <v>8166</v>
      </c>
      <c r="G151" s="75" t="s">
        <v>6492</v>
      </c>
      <c r="H151" s="75" t="s">
        <v>7293</v>
      </c>
      <c r="I151" s="75" t="s">
        <v>7293</v>
      </c>
      <c r="J151" s="75" t="s">
        <v>8618</v>
      </c>
      <c r="K151" s="11" t="s">
        <v>6356</v>
      </c>
      <c r="L151" s="77" t="s">
        <v>7295</v>
      </c>
      <c r="M151" s="76">
        <v>44332</v>
      </c>
      <c r="N151" s="76"/>
      <c r="O151" s="75" t="s">
        <v>7923</v>
      </c>
      <c r="P151" s="17"/>
      <c r="Q151" s="76">
        <v>28417</v>
      </c>
      <c r="R151" s="78">
        <v>48.991780821917807</v>
      </c>
      <c r="S151" s="79" t="s">
        <v>8619</v>
      </c>
      <c r="T151" s="75" t="s">
        <v>7298</v>
      </c>
      <c r="U151" s="75" t="s">
        <v>8620</v>
      </c>
      <c r="V151" s="17"/>
      <c r="W151" s="75" t="s">
        <v>7300</v>
      </c>
      <c r="X151" s="80"/>
      <c r="Y151" s="75" t="s">
        <v>7319</v>
      </c>
      <c r="Z151" s="15" t="s">
        <v>8621</v>
      </c>
      <c r="AA151" s="75" t="s">
        <v>8621</v>
      </c>
      <c r="AB151" s="12" t="s">
        <v>8622</v>
      </c>
      <c r="AC151" s="12"/>
      <c r="AD151" s="75" t="s">
        <v>8623</v>
      </c>
      <c r="AE151" s="75" t="s">
        <v>8624</v>
      </c>
      <c r="AF151" s="17" t="s">
        <v>7323</v>
      </c>
      <c r="AG151" s="72">
        <v>2</v>
      </c>
      <c r="AH151" s="17"/>
      <c r="AI151" s="75" t="s">
        <v>7324</v>
      </c>
    </row>
    <row r="152" spans="1:35" x14ac:dyDescent="0.3">
      <c r="A152" s="71" t="s">
        <v>7286</v>
      </c>
      <c r="B152" s="17" t="s">
        <v>8625</v>
      </c>
      <c r="C152" s="72" t="s">
        <v>7150</v>
      </c>
      <c r="D152" s="81" t="s">
        <v>8626</v>
      </c>
      <c r="E152" s="74" t="s">
        <v>8627</v>
      </c>
      <c r="F152" s="75" t="s">
        <v>7329</v>
      </c>
      <c r="G152" s="75" t="s">
        <v>7330</v>
      </c>
      <c r="H152" s="75" t="s">
        <v>7452</v>
      </c>
      <c r="I152" s="75" t="s">
        <v>7453</v>
      </c>
      <c r="J152" s="75" t="s">
        <v>7509</v>
      </c>
      <c r="K152" s="11" t="s">
        <v>7510</v>
      </c>
      <c r="L152" s="77" t="s">
        <v>7456</v>
      </c>
      <c r="M152" s="76">
        <v>44342</v>
      </c>
      <c r="N152" s="76"/>
      <c r="O152" s="75" t="s">
        <v>7870</v>
      </c>
      <c r="P152" s="17"/>
      <c r="Q152" s="76">
        <v>33743</v>
      </c>
      <c r="R152" s="78">
        <v>34.4</v>
      </c>
      <c r="S152" s="79" t="s">
        <v>8628</v>
      </c>
      <c r="T152" s="75" t="s">
        <v>7298</v>
      </c>
      <c r="U152" s="75" t="s">
        <v>8629</v>
      </c>
      <c r="V152" s="17"/>
      <c r="W152" s="75" t="s">
        <v>7300</v>
      </c>
      <c r="X152" s="80"/>
      <c r="Y152" s="75" t="s">
        <v>7319</v>
      </c>
      <c r="Z152" s="15" t="s">
        <v>8630</v>
      </c>
      <c r="AA152" s="75"/>
      <c r="AB152" s="12" t="s">
        <v>7293</v>
      </c>
      <c r="AC152" s="12"/>
      <c r="AD152" s="75" t="s">
        <v>8631</v>
      </c>
      <c r="AE152" s="75" t="s">
        <v>8632</v>
      </c>
      <c r="AF152" s="17" t="s">
        <v>7323</v>
      </c>
      <c r="AG152" s="72">
        <v>1</v>
      </c>
      <c r="AH152" s="17"/>
      <c r="AI152" s="75" t="s">
        <v>7324</v>
      </c>
    </row>
    <row r="153" spans="1:35" ht="57.6" x14ac:dyDescent="0.3">
      <c r="A153" s="71" t="s">
        <v>7286</v>
      </c>
      <c r="B153" s="17" t="s">
        <v>8633</v>
      </c>
      <c r="C153" s="72" t="s">
        <v>7343</v>
      </c>
      <c r="D153" s="81" t="s">
        <v>8634</v>
      </c>
      <c r="E153" s="74" t="s">
        <v>7456</v>
      </c>
      <c r="F153" s="75" t="s">
        <v>7329</v>
      </c>
      <c r="G153" s="75" t="s">
        <v>7330</v>
      </c>
      <c r="H153" s="75" t="s">
        <v>7452</v>
      </c>
      <c r="I153" s="75" t="s">
        <v>7453</v>
      </c>
      <c r="J153" s="75" t="s">
        <v>8635</v>
      </c>
      <c r="K153" s="11" t="s">
        <v>8636</v>
      </c>
      <c r="L153" s="77" t="s">
        <v>7467</v>
      </c>
      <c r="M153" s="76">
        <v>44368</v>
      </c>
      <c r="N153" s="76"/>
      <c r="O153" s="75" t="s">
        <v>7870</v>
      </c>
      <c r="P153" s="17"/>
      <c r="Q153" s="76">
        <v>29759</v>
      </c>
      <c r="R153" s="78">
        <v>45.315068493150683</v>
      </c>
      <c r="S153" s="79" t="s">
        <v>8637</v>
      </c>
      <c r="T153" s="75" t="s">
        <v>7298</v>
      </c>
      <c r="U153" s="75" t="s">
        <v>8638</v>
      </c>
      <c r="V153" s="17"/>
      <c r="W153" s="75" t="s">
        <v>7300</v>
      </c>
      <c r="X153" s="80"/>
      <c r="Y153" s="75" t="s">
        <v>7319</v>
      </c>
      <c r="Z153" s="15" t="s">
        <v>8639</v>
      </c>
      <c r="AA153" s="75" t="s">
        <v>8639</v>
      </c>
      <c r="AB153" s="12" t="s">
        <v>8640</v>
      </c>
      <c r="AC153" s="12"/>
      <c r="AD153" s="75" t="s">
        <v>8641</v>
      </c>
      <c r="AE153" s="75" t="s">
        <v>8642</v>
      </c>
      <c r="AF153" s="17" t="s">
        <v>7323</v>
      </c>
      <c r="AG153" s="72">
        <v>2</v>
      </c>
      <c r="AH153" s="17"/>
      <c r="AI153" s="75" t="s">
        <v>7324</v>
      </c>
    </row>
    <row r="154" spans="1:35" x14ac:dyDescent="0.3">
      <c r="A154" s="71" t="s">
        <v>7286</v>
      </c>
      <c r="B154" s="17" t="s">
        <v>8643</v>
      </c>
      <c r="C154" s="72" t="s">
        <v>7150</v>
      </c>
      <c r="D154" s="81" t="s">
        <v>8644</v>
      </c>
      <c r="E154" s="74" t="s">
        <v>8645</v>
      </c>
      <c r="F154" s="75" t="s">
        <v>7293</v>
      </c>
      <c r="G154" s="75" t="s">
        <v>7293</v>
      </c>
      <c r="H154" s="75" t="s">
        <v>7311</v>
      </c>
      <c r="I154" s="75" t="s">
        <v>7312</v>
      </c>
      <c r="J154" s="75" t="s">
        <v>8517</v>
      </c>
      <c r="K154" s="11" t="s">
        <v>6341</v>
      </c>
      <c r="L154" s="77" t="s">
        <v>7335</v>
      </c>
      <c r="M154" s="76">
        <v>44378</v>
      </c>
      <c r="N154" s="76"/>
      <c r="O154" s="75" t="s">
        <v>7892</v>
      </c>
      <c r="P154" s="17"/>
      <c r="Q154" s="76">
        <v>31054</v>
      </c>
      <c r="R154" s="78">
        <v>41.767123287671232</v>
      </c>
      <c r="S154" s="79" t="s">
        <v>8646</v>
      </c>
      <c r="T154" s="75" t="s">
        <v>7298</v>
      </c>
      <c r="U154" s="75" t="s">
        <v>8647</v>
      </c>
      <c r="V154" s="17"/>
      <c r="W154" s="75" t="s">
        <v>7300</v>
      </c>
      <c r="X154" s="80"/>
      <c r="Y154" s="75" t="s">
        <v>7319</v>
      </c>
      <c r="Z154" s="15" t="s">
        <v>8648</v>
      </c>
      <c r="AA154" s="75"/>
      <c r="AB154" s="12" t="s">
        <v>7293</v>
      </c>
      <c r="AC154" s="12"/>
      <c r="AD154" s="75" t="s">
        <v>8649</v>
      </c>
      <c r="AE154" s="75" t="s">
        <v>8567</v>
      </c>
      <c r="AF154" s="17" t="s">
        <v>7323</v>
      </c>
      <c r="AG154" s="72">
        <v>2</v>
      </c>
      <c r="AH154" s="17"/>
      <c r="AI154" s="75" t="s">
        <v>7324</v>
      </c>
    </row>
    <row r="155" spans="1:35" ht="43.2" x14ac:dyDescent="0.3">
      <c r="A155" s="71" t="s">
        <v>7286</v>
      </c>
      <c r="B155" s="17" t="s">
        <v>8650</v>
      </c>
      <c r="C155" s="72" t="s">
        <v>7367</v>
      </c>
      <c r="D155" s="81" t="s">
        <v>8651</v>
      </c>
      <c r="E155" s="74" t="s">
        <v>8652</v>
      </c>
      <c r="F155" s="75" t="s">
        <v>7370</v>
      </c>
      <c r="G155" s="75" t="s">
        <v>7371</v>
      </c>
      <c r="H155" s="75" t="s">
        <v>7372</v>
      </c>
      <c r="I155" s="75" t="s">
        <v>7373</v>
      </c>
      <c r="J155" s="75" t="s">
        <v>8653</v>
      </c>
      <c r="K155" s="11" t="s">
        <v>8654</v>
      </c>
      <c r="L155" s="77" t="s">
        <v>7376</v>
      </c>
      <c r="M155" s="76">
        <v>44390</v>
      </c>
      <c r="N155" s="76"/>
      <c r="O155" s="75" t="s">
        <v>7892</v>
      </c>
      <c r="P155" s="17"/>
      <c r="Q155" s="76">
        <v>34872</v>
      </c>
      <c r="R155" s="78">
        <v>31.306849315068494</v>
      </c>
      <c r="S155" s="79" t="s">
        <v>8655</v>
      </c>
      <c r="T155" s="75" t="s">
        <v>7298</v>
      </c>
      <c r="U155" s="75" t="s">
        <v>8656</v>
      </c>
      <c r="V155" s="17"/>
      <c r="W155" s="75" t="s">
        <v>7300</v>
      </c>
      <c r="X155" s="80"/>
      <c r="Y155" s="75" t="s">
        <v>7319</v>
      </c>
      <c r="Z155" s="15" t="s">
        <v>8657</v>
      </c>
      <c r="AA155" s="75" t="s">
        <v>8657</v>
      </c>
      <c r="AB155" s="12" t="s">
        <v>8658</v>
      </c>
      <c r="AC155" s="12"/>
      <c r="AD155" s="75" t="s">
        <v>8659</v>
      </c>
      <c r="AE155" s="75" t="s">
        <v>8660</v>
      </c>
      <c r="AF155" s="17" t="s">
        <v>7306</v>
      </c>
      <c r="AG155" s="72">
        <v>0</v>
      </c>
      <c r="AH155" s="17"/>
      <c r="AI155" s="75" t="s">
        <v>7745</v>
      </c>
    </row>
    <row r="156" spans="1:35" x14ac:dyDescent="0.3">
      <c r="A156" s="71" t="s">
        <v>7286</v>
      </c>
      <c r="B156" s="17" t="s">
        <v>8661</v>
      </c>
      <c r="C156" s="72" t="s">
        <v>7367</v>
      </c>
      <c r="D156" s="81" t="s">
        <v>8662</v>
      </c>
      <c r="E156" s="74" t="s">
        <v>8663</v>
      </c>
      <c r="F156" s="75" t="s">
        <v>7329</v>
      </c>
      <c r="G156" s="75" t="s">
        <v>7330</v>
      </c>
      <c r="H156" s="11" t="s">
        <v>7358</v>
      </c>
      <c r="I156" s="75" t="s">
        <v>7359</v>
      </c>
      <c r="J156" s="75" t="s">
        <v>8517</v>
      </c>
      <c r="K156" s="11" t="s">
        <v>6341</v>
      </c>
      <c r="L156" s="77" t="s">
        <v>7360</v>
      </c>
      <c r="M156" s="76">
        <v>44391</v>
      </c>
      <c r="N156" s="76"/>
      <c r="O156" s="75" t="s">
        <v>7870</v>
      </c>
      <c r="P156" s="17"/>
      <c r="Q156" s="76">
        <v>32171</v>
      </c>
      <c r="R156" s="78">
        <v>38.706849315068496</v>
      </c>
      <c r="S156" s="79" t="s">
        <v>8664</v>
      </c>
      <c r="T156" s="75" t="s">
        <v>7298</v>
      </c>
      <c r="U156" s="75" t="s">
        <v>8665</v>
      </c>
      <c r="V156" s="17"/>
      <c r="W156" s="75" t="s">
        <v>7300</v>
      </c>
      <c r="X156" s="80"/>
      <c r="Y156" s="75" t="s">
        <v>7319</v>
      </c>
      <c r="Z156" s="15" t="s">
        <v>8666</v>
      </c>
      <c r="AA156" s="75"/>
      <c r="AB156" s="12" t="s">
        <v>7293</v>
      </c>
      <c r="AC156" s="12"/>
      <c r="AD156" s="75" t="s">
        <v>8667</v>
      </c>
      <c r="AE156" s="75" t="s">
        <v>8668</v>
      </c>
      <c r="AF156" s="17" t="s">
        <v>7306</v>
      </c>
      <c r="AG156" s="72">
        <v>0</v>
      </c>
      <c r="AH156" s="17"/>
      <c r="AI156" s="75" t="s">
        <v>7324</v>
      </c>
    </row>
    <row r="157" spans="1:35" ht="57.6" x14ac:dyDescent="0.3">
      <c r="A157" s="71" t="s">
        <v>7286</v>
      </c>
      <c r="B157" s="17" t="s">
        <v>8669</v>
      </c>
      <c r="C157" s="72" t="s">
        <v>7367</v>
      </c>
      <c r="D157" s="81" t="s">
        <v>8670</v>
      </c>
      <c r="E157" s="74" t="s">
        <v>8671</v>
      </c>
      <c r="F157" s="75" t="s">
        <v>8166</v>
      </c>
      <c r="G157" s="75" t="s">
        <v>6492</v>
      </c>
      <c r="H157" s="75" t="s">
        <v>7293</v>
      </c>
      <c r="I157" s="75" t="s">
        <v>7293</v>
      </c>
      <c r="J157" s="75" t="s">
        <v>8295</v>
      </c>
      <c r="K157" s="11" t="s">
        <v>6409</v>
      </c>
      <c r="L157" s="77" t="s">
        <v>7646</v>
      </c>
      <c r="M157" s="76">
        <v>44403</v>
      </c>
      <c r="N157" s="76"/>
      <c r="O157" s="75" t="s">
        <v>7870</v>
      </c>
      <c r="P157" s="17"/>
      <c r="Q157" s="76">
        <v>24704</v>
      </c>
      <c r="R157" s="78">
        <v>59.164383561643838</v>
      </c>
      <c r="S157" s="79" t="s">
        <v>8672</v>
      </c>
      <c r="T157" s="75" t="s">
        <v>7298</v>
      </c>
      <c r="U157" s="75" t="s">
        <v>8673</v>
      </c>
      <c r="V157" s="17"/>
      <c r="W157" s="75" t="s">
        <v>7300</v>
      </c>
      <c r="X157" s="80"/>
      <c r="Y157" s="75" t="s">
        <v>7319</v>
      </c>
      <c r="Z157" s="15" t="s">
        <v>8674</v>
      </c>
      <c r="AA157" s="75" t="s">
        <v>8675</v>
      </c>
      <c r="AB157" s="12" t="s">
        <v>8676</v>
      </c>
      <c r="AC157" s="12"/>
      <c r="AD157" s="75" t="s">
        <v>8677</v>
      </c>
      <c r="AE157" s="75"/>
      <c r="AF157" s="17" t="s">
        <v>7323</v>
      </c>
      <c r="AG157" s="72">
        <v>3</v>
      </c>
      <c r="AH157" s="17"/>
      <c r="AI157" s="75" t="s">
        <v>7324</v>
      </c>
    </row>
    <row r="158" spans="1:35" x14ac:dyDescent="0.3">
      <c r="A158" s="71" t="s">
        <v>7286</v>
      </c>
      <c r="B158" s="17" t="s">
        <v>8678</v>
      </c>
      <c r="C158" s="72" t="s">
        <v>7150</v>
      </c>
      <c r="D158" s="81" t="s">
        <v>8679</v>
      </c>
      <c r="E158" s="74" t="s">
        <v>1539</v>
      </c>
      <c r="F158" s="75" t="s">
        <v>7293</v>
      </c>
      <c r="G158" s="75" t="s">
        <v>7293</v>
      </c>
      <c r="H158" s="75" t="s">
        <v>7311</v>
      </c>
      <c r="I158" s="75" t="s">
        <v>7312</v>
      </c>
      <c r="J158" s="11" t="s">
        <v>7433</v>
      </c>
      <c r="K158" s="11" t="s">
        <v>7434</v>
      </c>
      <c r="L158" s="77" t="s">
        <v>7315</v>
      </c>
      <c r="M158" s="76">
        <v>44440</v>
      </c>
      <c r="N158" s="76"/>
      <c r="O158" s="75" t="s">
        <v>7870</v>
      </c>
      <c r="P158" s="17" t="s">
        <v>7422</v>
      </c>
      <c r="Q158" s="76">
        <v>28958</v>
      </c>
      <c r="R158" s="78">
        <v>47.509589041095893</v>
      </c>
      <c r="S158" s="79" t="s">
        <v>8680</v>
      </c>
      <c r="T158" s="75" t="s">
        <v>7298</v>
      </c>
      <c r="U158" s="75" t="s">
        <v>8681</v>
      </c>
      <c r="V158" s="17"/>
      <c r="W158" s="75" t="s">
        <v>7300</v>
      </c>
      <c r="X158" s="80"/>
      <c r="Y158" s="75" t="s">
        <v>7319</v>
      </c>
      <c r="Z158" s="15" t="s">
        <v>8682</v>
      </c>
      <c r="AA158" s="75"/>
      <c r="AB158" s="12" t="s">
        <v>7293</v>
      </c>
      <c r="AC158" s="12"/>
      <c r="AD158" s="75" t="s">
        <v>8683</v>
      </c>
      <c r="AE158" s="75" t="s">
        <v>8684</v>
      </c>
      <c r="AF158" s="17" t="s">
        <v>7323</v>
      </c>
      <c r="AG158" s="72">
        <v>2</v>
      </c>
      <c r="AH158" s="17"/>
      <c r="AI158" s="11" t="s">
        <v>7422</v>
      </c>
    </row>
    <row r="159" spans="1:35" x14ac:dyDescent="0.3">
      <c r="A159" s="71" t="s">
        <v>7286</v>
      </c>
      <c r="B159" s="17" t="s">
        <v>8685</v>
      </c>
      <c r="C159" s="72" t="s">
        <v>7150</v>
      </c>
      <c r="D159" s="81" t="s">
        <v>8686</v>
      </c>
      <c r="E159" s="74" t="s">
        <v>1462</v>
      </c>
      <c r="F159" s="75" t="s">
        <v>7293</v>
      </c>
      <c r="G159" s="75" t="s">
        <v>7293</v>
      </c>
      <c r="H159" s="75" t="s">
        <v>7311</v>
      </c>
      <c r="I159" s="75" t="s">
        <v>7312</v>
      </c>
      <c r="J159" s="75" t="s">
        <v>7313</v>
      </c>
      <c r="K159" s="11" t="s">
        <v>7314</v>
      </c>
      <c r="L159" s="77" t="s">
        <v>7315</v>
      </c>
      <c r="M159" s="76">
        <v>44440</v>
      </c>
      <c r="N159" s="76"/>
      <c r="O159" s="75" t="s">
        <v>7870</v>
      </c>
      <c r="P159" s="17" t="s">
        <v>7425</v>
      </c>
      <c r="Q159" s="76">
        <v>29639</v>
      </c>
      <c r="R159" s="78">
        <v>45.643835616438359</v>
      </c>
      <c r="S159" s="79" t="s">
        <v>8687</v>
      </c>
      <c r="T159" s="75" t="s">
        <v>7298</v>
      </c>
      <c r="U159" s="75" t="s">
        <v>8688</v>
      </c>
      <c r="V159" s="17"/>
      <c r="W159" s="75" t="s">
        <v>7300</v>
      </c>
      <c r="X159" s="80"/>
      <c r="Y159" s="75" t="s">
        <v>7319</v>
      </c>
      <c r="Z159" s="15" t="s">
        <v>8689</v>
      </c>
      <c r="AA159" s="75"/>
      <c r="AB159" s="12" t="s">
        <v>7293</v>
      </c>
      <c r="AC159" s="12"/>
      <c r="AD159" s="75" t="s">
        <v>8690</v>
      </c>
      <c r="AE159" s="75" t="s">
        <v>8691</v>
      </c>
      <c r="AF159" s="17" t="s">
        <v>7306</v>
      </c>
      <c r="AG159" s="72">
        <v>2</v>
      </c>
      <c r="AH159" s="17"/>
      <c r="AI159" s="75" t="s">
        <v>7425</v>
      </c>
    </row>
    <row r="160" spans="1:35" ht="57.6" x14ac:dyDescent="0.3">
      <c r="A160" s="71" t="s">
        <v>7286</v>
      </c>
      <c r="B160" s="17" t="s">
        <v>8692</v>
      </c>
      <c r="C160" s="72" t="s">
        <v>7326</v>
      </c>
      <c r="D160" s="81" t="s">
        <v>8693</v>
      </c>
      <c r="E160" s="74" t="s">
        <v>8694</v>
      </c>
      <c r="F160" s="75" t="s">
        <v>8166</v>
      </c>
      <c r="G160" s="75" t="s">
        <v>6492</v>
      </c>
      <c r="H160" s="75" t="s">
        <v>7293</v>
      </c>
      <c r="I160" s="75" t="s">
        <v>7293</v>
      </c>
      <c r="J160" s="75" t="s">
        <v>7333</v>
      </c>
      <c r="K160" s="11" t="s">
        <v>7334</v>
      </c>
      <c r="L160" s="77" t="s">
        <v>7646</v>
      </c>
      <c r="M160" s="76">
        <v>44456</v>
      </c>
      <c r="N160" s="76"/>
      <c r="O160" s="75" t="s">
        <v>7892</v>
      </c>
      <c r="P160" s="17"/>
      <c r="Q160" s="76">
        <v>23907</v>
      </c>
      <c r="R160" s="78">
        <v>61.347945205479455</v>
      </c>
      <c r="S160" s="79" t="s">
        <v>8695</v>
      </c>
      <c r="T160" s="75" t="s">
        <v>7298</v>
      </c>
      <c r="U160" s="75" t="s">
        <v>8696</v>
      </c>
      <c r="V160" s="17"/>
      <c r="W160" s="75" t="s">
        <v>7300</v>
      </c>
      <c r="X160" s="80"/>
      <c r="Y160" s="75" t="s">
        <v>7319</v>
      </c>
      <c r="Z160" s="15" t="s">
        <v>8697</v>
      </c>
      <c r="AA160" s="75" t="s">
        <v>8698</v>
      </c>
      <c r="AB160" s="12" t="s">
        <v>8699</v>
      </c>
      <c r="AC160" s="12"/>
      <c r="AD160" s="75" t="s">
        <v>8700</v>
      </c>
      <c r="AE160" s="75" t="s">
        <v>8701</v>
      </c>
      <c r="AF160" s="17" t="s">
        <v>7323</v>
      </c>
      <c r="AG160" s="72">
        <v>2</v>
      </c>
      <c r="AH160" s="17"/>
      <c r="AI160" s="75" t="s">
        <v>7324</v>
      </c>
    </row>
    <row r="161" spans="1:35" ht="43.2" x14ac:dyDescent="0.3">
      <c r="A161" s="71" t="s">
        <v>7286</v>
      </c>
      <c r="B161" s="17" t="s">
        <v>8702</v>
      </c>
      <c r="C161" s="72" t="s">
        <v>7367</v>
      </c>
      <c r="D161" s="81" t="s">
        <v>8703</v>
      </c>
      <c r="E161" s="74" t="s">
        <v>8704</v>
      </c>
      <c r="F161" s="75" t="s">
        <v>7291</v>
      </c>
      <c r="G161" s="75" t="s">
        <v>7292</v>
      </c>
      <c r="H161" s="75" t="s">
        <v>7814</v>
      </c>
      <c r="I161" s="75" t="s">
        <v>7815</v>
      </c>
      <c r="J161" s="75" t="s">
        <v>8131</v>
      </c>
      <c r="K161" s="11" t="s">
        <v>8132</v>
      </c>
      <c r="L161" s="77" t="s">
        <v>7818</v>
      </c>
      <c r="M161" s="76">
        <v>44462</v>
      </c>
      <c r="N161" s="76"/>
      <c r="O161" s="75" t="s">
        <v>7892</v>
      </c>
      <c r="P161" s="17"/>
      <c r="Q161" s="76">
        <v>32358</v>
      </c>
      <c r="R161" s="78">
        <v>38.194520547945203</v>
      </c>
      <c r="S161" s="79" t="s">
        <v>8705</v>
      </c>
      <c r="T161" s="75" t="s">
        <v>7298</v>
      </c>
      <c r="U161" s="75" t="s">
        <v>8706</v>
      </c>
      <c r="V161" s="17"/>
      <c r="W161" s="75" t="s">
        <v>7300</v>
      </c>
      <c r="X161" s="80" t="s">
        <v>7301</v>
      </c>
      <c r="Y161" s="75" t="s">
        <v>7319</v>
      </c>
      <c r="Z161" s="15" t="s">
        <v>8707</v>
      </c>
      <c r="AA161" s="75" t="s">
        <v>8707</v>
      </c>
      <c r="AB161" s="12" t="s">
        <v>8708</v>
      </c>
      <c r="AC161" s="12"/>
      <c r="AD161" s="75" t="s">
        <v>8709</v>
      </c>
      <c r="AE161" s="75" t="s">
        <v>8710</v>
      </c>
      <c r="AF161" s="17" t="s">
        <v>7323</v>
      </c>
      <c r="AG161" s="72">
        <v>2</v>
      </c>
      <c r="AH161" s="17"/>
      <c r="AI161" s="75" t="s">
        <v>8116</v>
      </c>
    </row>
    <row r="162" spans="1:35" x14ac:dyDescent="0.3">
      <c r="A162" s="71" t="s">
        <v>7286</v>
      </c>
      <c r="B162" s="17" t="s">
        <v>8711</v>
      </c>
      <c r="C162" s="72" t="s">
        <v>7150</v>
      </c>
      <c r="D162" s="81" t="s">
        <v>8712</v>
      </c>
      <c r="E162" s="74" t="s">
        <v>8713</v>
      </c>
      <c r="F162" s="75" t="s">
        <v>7293</v>
      </c>
      <c r="G162" s="75" t="s">
        <v>7293</v>
      </c>
      <c r="H162" s="75" t="s">
        <v>7311</v>
      </c>
      <c r="I162" s="75" t="s">
        <v>7312</v>
      </c>
      <c r="J162" s="75" t="s">
        <v>7313</v>
      </c>
      <c r="K162" s="11" t="s">
        <v>7314</v>
      </c>
      <c r="L162" s="77" t="s">
        <v>7315</v>
      </c>
      <c r="M162" s="76">
        <v>44481</v>
      </c>
      <c r="N162" s="76"/>
      <c r="O162" s="75" t="s">
        <v>7870</v>
      </c>
      <c r="P162" s="17" t="s">
        <v>7597</v>
      </c>
      <c r="Q162" s="76">
        <v>31989</v>
      </c>
      <c r="R162" s="78">
        <v>39.205479452054796</v>
      </c>
      <c r="S162" s="79" t="s">
        <v>8714</v>
      </c>
      <c r="T162" s="75" t="s">
        <v>7298</v>
      </c>
      <c r="U162" s="75" t="s">
        <v>8715</v>
      </c>
      <c r="V162" s="17"/>
      <c r="W162" s="75" t="s">
        <v>7300</v>
      </c>
      <c r="X162" s="80"/>
      <c r="Y162" s="75" t="s">
        <v>7319</v>
      </c>
      <c r="Z162" s="15" t="s">
        <v>8716</v>
      </c>
      <c r="AA162" s="75"/>
      <c r="AB162" s="12" t="s">
        <v>7293</v>
      </c>
      <c r="AC162" s="12"/>
      <c r="AD162" s="75" t="s">
        <v>8717</v>
      </c>
      <c r="AE162" s="75" t="s">
        <v>8718</v>
      </c>
      <c r="AF162" s="17" t="s">
        <v>7323</v>
      </c>
      <c r="AG162" s="72">
        <v>3</v>
      </c>
      <c r="AH162" s="17"/>
      <c r="AI162" s="75" t="s">
        <v>7597</v>
      </c>
    </row>
    <row r="163" spans="1:35" ht="57.6" x14ac:dyDescent="0.3">
      <c r="A163" s="71" t="s">
        <v>7286</v>
      </c>
      <c r="B163" s="17" t="s">
        <v>8719</v>
      </c>
      <c r="C163" s="72" t="s">
        <v>7326</v>
      </c>
      <c r="D163" s="81" t="s">
        <v>8720</v>
      </c>
      <c r="E163" s="74" t="s">
        <v>8721</v>
      </c>
      <c r="F163" s="75" t="s">
        <v>7329</v>
      </c>
      <c r="G163" s="75" t="s">
        <v>7330</v>
      </c>
      <c r="H163" s="75" t="s">
        <v>7405</v>
      </c>
      <c r="I163" s="75" t="s">
        <v>7406</v>
      </c>
      <c r="J163" s="75" t="s">
        <v>8722</v>
      </c>
      <c r="K163" s="11" t="s">
        <v>6542</v>
      </c>
      <c r="L163" s="77" t="s">
        <v>7409</v>
      </c>
      <c r="M163" s="76">
        <v>44487</v>
      </c>
      <c r="N163" s="76"/>
      <c r="O163" s="75" t="s">
        <v>7870</v>
      </c>
      <c r="P163" s="17"/>
      <c r="Q163" s="76">
        <v>31048</v>
      </c>
      <c r="R163" s="78">
        <v>41.783561643835618</v>
      </c>
      <c r="S163" s="79" t="s">
        <v>8723</v>
      </c>
      <c r="T163" s="75" t="s">
        <v>7298</v>
      </c>
      <c r="U163" s="75" t="s">
        <v>8724</v>
      </c>
      <c r="V163" s="17"/>
      <c r="W163" s="75" t="s">
        <v>7300</v>
      </c>
      <c r="X163" s="80"/>
      <c r="Y163" s="75" t="s">
        <v>7319</v>
      </c>
      <c r="Z163" s="15" t="s">
        <v>8725</v>
      </c>
      <c r="AA163" s="75"/>
      <c r="AB163" s="12" t="s">
        <v>8726</v>
      </c>
      <c r="AC163" s="12"/>
      <c r="AD163" s="75" t="s">
        <v>8727</v>
      </c>
      <c r="AE163" s="75" t="s">
        <v>8728</v>
      </c>
      <c r="AF163" s="17" t="s">
        <v>7323</v>
      </c>
      <c r="AG163" s="72">
        <v>2</v>
      </c>
      <c r="AH163" s="17"/>
      <c r="AI163" s="75" t="s">
        <v>7324</v>
      </c>
    </row>
    <row r="164" spans="1:35" x14ac:dyDescent="0.3">
      <c r="A164" s="71" t="s">
        <v>7286</v>
      </c>
      <c r="B164" s="17" t="s">
        <v>8729</v>
      </c>
      <c r="C164" s="72" t="s">
        <v>7367</v>
      </c>
      <c r="D164" s="81" t="s">
        <v>8730</v>
      </c>
      <c r="E164" s="74" t="s">
        <v>8731</v>
      </c>
      <c r="F164" s="75" t="s">
        <v>7329</v>
      </c>
      <c r="G164" s="75" t="s">
        <v>7330</v>
      </c>
      <c r="H164" s="75" t="s">
        <v>7331</v>
      </c>
      <c r="I164" s="75" t="s">
        <v>7332</v>
      </c>
      <c r="J164" s="75" t="s">
        <v>8141</v>
      </c>
      <c r="K164" s="11" t="s">
        <v>8142</v>
      </c>
      <c r="L164" s="77" t="s">
        <v>7335</v>
      </c>
      <c r="M164" s="76">
        <v>44487</v>
      </c>
      <c r="N164" s="76"/>
      <c r="O164" s="75" t="s">
        <v>7870</v>
      </c>
      <c r="P164" s="17"/>
      <c r="Q164" s="76">
        <v>28359</v>
      </c>
      <c r="R164" s="78">
        <v>49.150684931506852</v>
      </c>
      <c r="S164" s="79" t="s">
        <v>8732</v>
      </c>
      <c r="T164" s="75" t="s">
        <v>7298</v>
      </c>
      <c r="U164" s="75" t="s">
        <v>8733</v>
      </c>
      <c r="V164" s="17"/>
      <c r="W164" s="75" t="s">
        <v>7300</v>
      </c>
      <c r="X164" s="80"/>
      <c r="Y164" s="75" t="s">
        <v>7319</v>
      </c>
      <c r="Z164" s="15" t="s">
        <v>8734</v>
      </c>
      <c r="AA164" s="75"/>
      <c r="AB164" s="12" t="s">
        <v>7293</v>
      </c>
      <c r="AC164" s="12">
        <v>0</v>
      </c>
      <c r="AD164" s="75" t="s">
        <v>8735</v>
      </c>
      <c r="AE164" s="75" t="s">
        <v>8736</v>
      </c>
      <c r="AF164" s="17" t="s">
        <v>7323</v>
      </c>
      <c r="AG164" s="72">
        <v>3</v>
      </c>
      <c r="AH164" s="17"/>
      <c r="AI164" s="75" t="s">
        <v>7324</v>
      </c>
    </row>
    <row r="165" spans="1:35" x14ac:dyDescent="0.3">
      <c r="A165" s="71" t="s">
        <v>7286</v>
      </c>
      <c r="B165" s="17" t="s">
        <v>8737</v>
      </c>
      <c r="C165" s="72" t="s">
        <v>7150</v>
      </c>
      <c r="D165" s="81" t="s">
        <v>8738</v>
      </c>
      <c r="E165" s="74" t="s">
        <v>8739</v>
      </c>
      <c r="F165" s="75" t="s">
        <v>7293</v>
      </c>
      <c r="G165" s="75" t="s">
        <v>7293</v>
      </c>
      <c r="H165" s="75" t="s">
        <v>7311</v>
      </c>
      <c r="I165" s="75" t="s">
        <v>7312</v>
      </c>
      <c r="J165" s="11" t="s">
        <v>7433</v>
      </c>
      <c r="K165" s="11" t="s">
        <v>7434</v>
      </c>
      <c r="L165" s="77" t="s">
        <v>7315</v>
      </c>
      <c r="M165" s="76">
        <v>44495</v>
      </c>
      <c r="N165" s="76"/>
      <c r="O165" s="75" t="s">
        <v>7892</v>
      </c>
      <c r="P165" s="17" t="s">
        <v>7670</v>
      </c>
      <c r="Q165" s="76">
        <v>34918</v>
      </c>
      <c r="R165" s="78">
        <v>31.18082191780822</v>
      </c>
      <c r="S165" s="79" t="s">
        <v>8740</v>
      </c>
      <c r="T165" s="75" t="s">
        <v>7298</v>
      </c>
      <c r="U165" s="75" t="s">
        <v>8741</v>
      </c>
      <c r="V165" s="17"/>
      <c r="W165" s="75" t="s">
        <v>7300</v>
      </c>
      <c r="X165" s="80"/>
      <c r="Y165" s="75" t="s">
        <v>7319</v>
      </c>
      <c r="Z165" s="15" t="s">
        <v>8742</v>
      </c>
      <c r="AA165" s="75"/>
      <c r="AB165" s="12" t="s">
        <v>7293</v>
      </c>
      <c r="AC165" s="12"/>
      <c r="AD165" s="75" t="s">
        <v>8743</v>
      </c>
      <c r="AE165" s="75" t="s">
        <v>8744</v>
      </c>
      <c r="AF165" s="17" t="s">
        <v>7323</v>
      </c>
      <c r="AG165" s="72"/>
      <c r="AH165" s="17"/>
      <c r="AI165" s="75" t="s">
        <v>7670</v>
      </c>
    </row>
    <row r="166" spans="1:35" x14ac:dyDescent="0.3">
      <c r="A166" s="71" t="s">
        <v>7286</v>
      </c>
      <c r="B166" s="17" t="s">
        <v>8745</v>
      </c>
      <c r="C166" s="72" t="s">
        <v>7150</v>
      </c>
      <c r="D166" s="81" t="s">
        <v>8746</v>
      </c>
      <c r="E166" s="74" t="s">
        <v>1636</v>
      </c>
      <c r="F166" s="75" t="s">
        <v>7293</v>
      </c>
      <c r="G166" s="75" t="s">
        <v>7293</v>
      </c>
      <c r="H166" s="75" t="s">
        <v>7311</v>
      </c>
      <c r="I166" s="75" t="s">
        <v>7312</v>
      </c>
      <c r="J166" s="75" t="s">
        <v>7313</v>
      </c>
      <c r="K166" s="11" t="s">
        <v>7314</v>
      </c>
      <c r="L166" s="77" t="s">
        <v>7315</v>
      </c>
      <c r="M166" s="76">
        <v>44495</v>
      </c>
      <c r="N166" s="76"/>
      <c r="O166" s="75" t="s">
        <v>8747</v>
      </c>
      <c r="P166" s="17" t="s">
        <v>8748</v>
      </c>
      <c r="Q166" s="76">
        <v>32676</v>
      </c>
      <c r="R166" s="78">
        <v>37.323287671232876</v>
      </c>
      <c r="S166" s="79" t="s">
        <v>8749</v>
      </c>
      <c r="T166" s="75" t="s">
        <v>7298</v>
      </c>
      <c r="U166" s="75" t="s">
        <v>8750</v>
      </c>
      <c r="V166" s="17"/>
      <c r="W166" s="75" t="s">
        <v>7300</v>
      </c>
      <c r="X166" s="80"/>
      <c r="Y166" s="75" t="s">
        <v>7319</v>
      </c>
      <c r="Z166" s="15" t="s">
        <v>8751</v>
      </c>
      <c r="AA166" s="75"/>
      <c r="AB166" s="12" t="s">
        <v>7293</v>
      </c>
      <c r="AC166" s="12"/>
      <c r="AD166" s="75" t="s">
        <v>8752</v>
      </c>
      <c r="AE166" s="75" t="s">
        <v>8753</v>
      </c>
      <c r="AF166" s="17" t="s">
        <v>7323</v>
      </c>
      <c r="AG166" s="72">
        <v>2</v>
      </c>
      <c r="AH166" s="17"/>
      <c r="AI166" s="75" t="s">
        <v>7448</v>
      </c>
    </row>
    <row r="167" spans="1:35" x14ac:dyDescent="0.3">
      <c r="A167" s="71" t="s">
        <v>7286</v>
      </c>
      <c r="B167" s="17" t="s">
        <v>8754</v>
      </c>
      <c r="C167" s="72" t="s">
        <v>7367</v>
      </c>
      <c r="D167" s="81" t="s">
        <v>8755</v>
      </c>
      <c r="E167" s="74" t="s">
        <v>8756</v>
      </c>
      <c r="F167" s="75" t="s">
        <v>7329</v>
      </c>
      <c r="G167" s="75" t="s">
        <v>7330</v>
      </c>
      <c r="H167" s="11" t="s">
        <v>7358</v>
      </c>
      <c r="I167" s="75" t="s">
        <v>7359</v>
      </c>
      <c r="J167" s="75" t="s">
        <v>7388</v>
      </c>
      <c r="K167" s="11" t="s">
        <v>7389</v>
      </c>
      <c r="L167" s="77" t="s">
        <v>7360</v>
      </c>
      <c r="M167" s="76">
        <v>44502</v>
      </c>
      <c r="N167" s="76"/>
      <c r="O167" s="75" t="s">
        <v>7870</v>
      </c>
      <c r="P167" s="17"/>
      <c r="Q167" s="76">
        <v>34201</v>
      </c>
      <c r="R167" s="78">
        <v>33.145205479452052</v>
      </c>
      <c r="S167" s="79" t="s">
        <v>8757</v>
      </c>
      <c r="T167" s="75" t="s">
        <v>7298</v>
      </c>
      <c r="U167" s="75" t="s">
        <v>8758</v>
      </c>
      <c r="V167" s="17"/>
      <c r="W167" s="75" t="s">
        <v>7300</v>
      </c>
      <c r="X167" s="80"/>
      <c r="Y167" s="75" t="s">
        <v>7319</v>
      </c>
      <c r="Z167" s="15" t="s">
        <v>8759</v>
      </c>
      <c r="AA167" s="75"/>
      <c r="AB167" s="12" t="s">
        <v>7293</v>
      </c>
      <c r="AC167" s="12">
        <v>0</v>
      </c>
      <c r="AD167" s="75" t="s">
        <v>8760</v>
      </c>
      <c r="AE167" s="75" t="s">
        <v>8761</v>
      </c>
      <c r="AF167" s="17" t="s">
        <v>7323</v>
      </c>
      <c r="AG167" s="72">
        <v>0</v>
      </c>
      <c r="AH167" s="17"/>
      <c r="AI167" s="75" t="s">
        <v>7324</v>
      </c>
    </row>
    <row r="168" spans="1:35" ht="57.6" x14ac:dyDescent="0.3">
      <c r="A168" s="71" t="s">
        <v>7286</v>
      </c>
      <c r="B168" s="17" t="s">
        <v>8762</v>
      </c>
      <c r="C168" s="72" t="s">
        <v>7343</v>
      </c>
      <c r="D168" s="81" t="s">
        <v>8763</v>
      </c>
      <c r="E168" s="74" t="s">
        <v>7360</v>
      </c>
      <c r="F168" s="75" t="s">
        <v>7329</v>
      </c>
      <c r="G168" s="75" t="s">
        <v>7330</v>
      </c>
      <c r="H168" s="11" t="s">
        <v>7358</v>
      </c>
      <c r="I168" s="75" t="s">
        <v>7359</v>
      </c>
      <c r="J168" s="75" t="s">
        <v>8764</v>
      </c>
      <c r="K168" s="11" t="s">
        <v>8765</v>
      </c>
      <c r="L168" s="77" t="s">
        <v>7467</v>
      </c>
      <c r="M168" s="76">
        <v>44502</v>
      </c>
      <c r="N168" s="76"/>
      <c r="O168" s="75" t="s">
        <v>7870</v>
      </c>
      <c r="P168" s="17"/>
      <c r="Q168" s="76">
        <v>30982</v>
      </c>
      <c r="R168" s="78">
        <v>41.964383561643835</v>
      </c>
      <c r="S168" s="79" t="s">
        <v>8766</v>
      </c>
      <c r="T168" s="75" t="s">
        <v>7298</v>
      </c>
      <c r="U168" s="75" t="s">
        <v>8767</v>
      </c>
      <c r="V168" s="17"/>
      <c r="W168" s="75" t="s">
        <v>7300</v>
      </c>
      <c r="X168" s="80"/>
      <c r="Y168" s="75" t="s">
        <v>7319</v>
      </c>
      <c r="Z168" s="15" t="s">
        <v>8768</v>
      </c>
      <c r="AA168" s="75" t="s">
        <v>8768</v>
      </c>
      <c r="AB168" s="12" t="s">
        <v>8769</v>
      </c>
      <c r="AC168" s="12"/>
      <c r="AD168" s="75" t="s">
        <v>8770</v>
      </c>
      <c r="AE168" s="75"/>
      <c r="AF168" s="17" t="s">
        <v>7323</v>
      </c>
      <c r="AG168" s="72">
        <v>2</v>
      </c>
      <c r="AH168" s="17"/>
      <c r="AI168" s="75" t="s">
        <v>7324</v>
      </c>
    </row>
    <row r="169" spans="1:35" x14ac:dyDescent="0.3">
      <c r="A169" s="71" t="s">
        <v>7286</v>
      </c>
      <c r="B169" s="17" t="s">
        <v>8771</v>
      </c>
      <c r="C169" s="72" t="s">
        <v>7150</v>
      </c>
      <c r="D169" s="81" t="s">
        <v>8772</v>
      </c>
      <c r="E169" s="74" t="s">
        <v>1628</v>
      </c>
      <c r="F169" s="75" t="s">
        <v>7293</v>
      </c>
      <c r="G169" s="75" t="s">
        <v>7293</v>
      </c>
      <c r="H169" s="75" t="s">
        <v>7311</v>
      </c>
      <c r="I169" s="75" t="s">
        <v>7312</v>
      </c>
      <c r="J169" s="75" t="s">
        <v>7313</v>
      </c>
      <c r="K169" s="11" t="s">
        <v>7314</v>
      </c>
      <c r="L169" s="77" t="s">
        <v>7315</v>
      </c>
      <c r="M169" s="76">
        <v>44502</v>
      </c>
      <c r="N169" s="76"/>
      <c r="O169" s="75" t="s">
        <v>7870</v>
      </c>
      <c r="P169" s="17" t="s">
        <v>7316</v>
      </c>
      <c r="Q169" s="76">
        <v>30899</v>
      </c>
      <c r="R169" s="78">
        <v>42.19178082191781</v>
      </c>
      <c r="S169" s="79" t="s">
        <v>8773</v>
      </c>
      <c r="T169" s="75" t="s">
        <v>7298</v>
      </c>
      <c r="U169" s="75" t="s">
        <v>8774</v>
      </c>
      <c r="V169" s="17"/>
      <c r="W169" s="75" t="s">
        <v>7300</v>
      </c>
      <c r="X169" s="80"/>
      <c r="Y169" s="75" t="s">
        <v>7319</v>
      </c>
      <c r="Z169" s="15" t="s">
        <v>8775</v>
      </c>
      <c r="AA169" s="75"/>
      <c r="AB169" s="12" t="s">
        <v>7293</v>
      </c>
      <c r="AC169" s="12"/>
      <c r="AD169" s="75" t="s">
        <v>8776</v>
      </c>
      <c r="AE169" s="75" t="s">
        <v>8777</v>
      </c>
      <c r="AF169" s="17" t="s">
        <v>7323</v>
      </c>
      <c r="AG169" s="72">
        <v>1</v>
      </c>
      <c r="AH169" s="17"/>
      <c r="AI169" s="75" t="s">
        <v>8778</v>
      </c>
    </row>
    <row r="170" spans="1:35" ht="57.6" x14ac:dyDescent="0.3">
      <c r="A170" s="71" t="s">
        <v>7286</v>
      </c>
      <c r="B170" s="17" t="s">
        <v>8779</v>
      </c>
      <c r="C170" s="72" t="s">
        <v>7343</v>
      </c>
      <c r="D170" s="81" t="s">
        <v>8780</v>
      </c>
      <c r="E170" s="74" t="s">
        <v>7818</v>
      </c>
      <c r="F170" s="75" t="s">
        <v>7291</v>
      </c>
      <c r="G170" s="75" t="s">
        <v>7292</v>
      </c>
      <c r="H170" s="75" t="s">
        <v>7814</v>
      </c>
      <c r="I170" s="75" t="s">
        <v>7815</v>
      </c>
      <c r="J170" s="75" t="s">
        <v>7349</v>
      </c>
      <c r="K170" s="11" t="s">
        <v>6335</v>
      </c>
      <c r="L170" s="77" t="s">
        <v>7290</v>
      </c>
      <c r="M170" s="76">
        <v>44503</v>
      </c>
      <c r="N170" s="76"/>
      <c r="O170" s="75" t="s">
        <v>7892</v>
      </c>
      <c r="P170" s="17"/>
      <c r="Q170" s="76">
        <v>31938</v>
      </c>
      <c r="R170" s="78">
        <v>39.345205479452055</v>
      </c>
      <c r="S170" s="79" t="s">
        <v>8781</v>
      </c>
      <c r="T170" s="75" t="s">
        <v>7298</v>
      </c>
      <c r="U170" s="75" t="s">
        <v>8782</v>
      </c>
      <c r="V170" s="83">
        <v>48389</v>
      </c>
      <c r="W170" s="75" t="s">
        <v>7300</v>
      </c>
      <c r="X170" s="80"/>
      <c r="Y170" s="75" t="s">
        <v>7319</v>
      </c>
      <c r="Z170" s="15" t="s">
        <v>8783</v>
      </c>
      <c r="AA170" s="75" t="s">
        <v>8783</v>
      </c>
      <c r="AB170" s="12" t="s">
        <v>8784</v>
      </c>
      <c r="AC170" s="12"/>
      <c r="AD170" s="75" t="s">
        <v>8785</v>
      </c>
      <c r="AE170" s="75" t="s">
        <v>8786</v>
      </c>
      <c r="AF170" s="17" t="s">
        <v>7323</v>
      </c>
      <c r="AG170" s="72">
        <v>2</v>
      </c>
      <c r="AH170" s="17"/>
      <c r="AI170" s="75" t="s">
        <v>7307</v>
      </c>
    </row>
    <row r="171" spans="1:35" x14ac:dyDescent="0.3">
      <c r="A171" s="71" t="s">
        <v>7286</v>
      </c>
      <c r="B171" s="17" t="s">
        <v>8787</v>
      </c>
      <c r="C171" s="72" t="s">
        <v>7150</v>
      </c>
      <c r="D171" s="81" t="s">
        <v>8788</v>
      </c>
      <c r="E171" s="74" t="s">
        <v>1466</v>
      </c>
      <c r="F171" s="75" t="s">
        <v>7293</v>
      </c>
      <c r="G171" s="75" t="s">
        <v>7293</v>
      </c>
      <c r="H171" s="75" t="s">
        <v>7311</v>
      </c>
      <c r="I171" s="75" t="s">
        <v>7312</v>
      </c>
      <c r="J171" s="11" t="s">
        <v>7433</v>
      </c>
      <c r="K171" s="11" t="s">
        <v>7434</v>
      </c>
      <c r="L171" s="77" t="s">
        <v>7315</v>
      </c>
      <c r="M171" s="76">
        <v>44503</v>
      </c>
      <c r="N171" s="76"/>
      <c r="O171" s="75" t="s">
        <v>7892</v>
      </c>
      <c r="P171" s="17" t="s">
        <v>7425</v>
      </c>
      <c r="Q171" s="76">
        <v>35967</v>
      </c>
      <c r="R171" s="78">
        <v>28.306849315068494</v>
      </c>
      <c r="S171" s="79" t="s">
        <v>8789</v>
      </c>
      <c r="T171" s="75" t="s">
        <v>7298</v>
      </c>
      <c r="U171" s="75" t="s">
        <v>8790</v>
      </c>
      <c r="V171" s="17"/>
      <c r="W171" s="75" t="s">
        <v>7300</v>
      </c>
      <c r="X171" s="80"/>
      <c r="Y171" s="75" t="s">
        <v>7319</v>
      </c>
      <c r="Z171" s="15" t="s">
        <v>8791</v>
      </c>
      <c r="AA171" s="75"/>
      <c r="AB171" s="12" t="s">
        <v>7293</v>
      </c>
      <c r="AC171" s="12"/>
      <c r="AD171" s="75" t="s">
        <v>8792</v>
      </c>
      <c r="AE171" s="75" t="s">
        <v>8793</v>
      </c>
      <c r="AF171" s="17" t="s">
        <v>7306</v>
      </c>
      <c r="AG171" s="72">
        <v>0</v>
      </c>
      <c r="AH171" s="17"/>
      <c r="AI171" s="75" t="s">
        <v>7425</v>
      </c>
    </row>
    <row r="172" spans="1:35" x14ac:dyDescent="0.3">
      <c r="A172" s="71" t="s">
        <v>7286</v>
      </c>
      <c r="B172" s="17" t="s">
        <v>8794</v>
      </c>
      <c r="C172" s="72" t="s">
        <v>7150</v>
      </c>
      <c r="D172" s="81" t="s">
        <v>8795</v>
      </c>
      <c r="E172" s="74" t="s">
        <v>8796</v>
      </c>
      <c r="F172" s="75" t="s">
        <v>7329</v>
      </c>
      <c r="G172" s="75" t="s">
        <v>7330</v>
      </c>
      <c r="H172" s="75" t="s">
        <v>7405</v>
      </c>
      <c r="I172" s="75" t="s">
        <v>7406</v>
      </c>
      <c r="J172" s="75" t="s">
        <v>7407</v>
      </c>
      <c r="K172" s="11" t="s">
        <v>7408</v>
      </c>
      <c r="L172" s="77" t="s">
        <v>7409</v>
      </c>
      <c r="M172" s="76">
        <v>44505</v>
      </c>
      <c r="N172" s="76"/>
      <c r="O172" s="75" t="s">
        <v>7870</v>
      </c>
      <c r="P172" s="17"/>
      <c r="Q172" s="76">
        <v>34001</v>
      </c>
      <c r="R172" s="78">
        <v>33.69315068493151</v>
      </c>
      <c r="S172" s="79" t="s">
        <v>8797</v>
      </c>
      <c r="T172" s="75" t="s">
        <v>7298</v>
      </c>
      <c r="U172" s="75" t="s">
        <v>8798</v>
      </c>
      <c r="V172" s="17"/>
      <c r="W172" s="75" t="s">
        <v>7300</v>
      </c>
      <c r="X172" s="80"/>
      <c r="Y172" s="75" t="s">
        <v>7319</v>
      </c>
      <c r="Z172" s="15" t="s">
        <v>8799</v>
      </c>
      <c r="AA172" s="75"/>
      <c r="AB172" s="12" t="s">
        <v>7293</v>
      </c>
      <c r="AC172" s="12"/>
      <c r="AD172" s="75" t="s">
        <v>8800</v>
      </c>
      <c r="AE172" s="75" t="s">
        <v>8801</v>
      </c>
      <c r="AF172" s="17" t="s">
        <v>7306</v>
      </c>
      <c r="AG172" s="72">
        <v>0</v>
      </c>
      <c r="AH172" s="17"/>
      <c r="AI172" s="75" t="s">
        <v>7324</v>
      </c>
    </row>
    <row r="173" spans="1:35" x14ac:dyDescent="0.3">
      <c r="A173" s="71" t="s">
        <v>7286</v>
      </c>
      <c r="B173" s="17" t="s">
        <v>8802</v>
      </c>
      <c r="C173" s="72" t="s">
        <v>7150</v>
      </c>
      <c r="D173" s="81" t="s">
        <v>8803</v>
      </c>
      <c r="E173" s="74" t="s">
        <v>1637</v>
      </c>
      <c r="F173" s="75" t="s">
        <v>7293</v>
      </c>
      <c r="G173" s="75" t="s">
        <v>7293</v>
      </c>
      <c r="H173" s="75" t="s">
        <v>7311</v>
      </c>
      <c r="I173" s="75" t="s">
        <v>7312</v>
      </c>
      <c r="J173" s="75" t="s">
        <v>7433</v>
      </c>
      <c r="K173" s="11" t="s">
        <v>7434</v>
      </c>
      <c r="L173" s="77" t="s">
        <v>7315</v>
      </c>
      <c r="M173" s="76">
        <v>44510</v>
      </c>
      <c r="N173" s="76"/>
      <c r="O173" s="75" t="s">
        <v>8747</v>
      </c>
      <c r="P173" s="17" t="s">
        <v>8748</v>
      </c>
      <c r="Q173" s="76">
        <v>28956</v>
      </c>
      <c r="R173" s="78">
        <v>47.515068493150686</v>
      </c>
      <c r="S173" s="79" t="s">
        <v>8804</v>
      </c>
      <c r="T173" s="75" t="s">
        <v>7298</v>
      </c>
      <c r="U173" s="75" t="s">
        <v>8805</v>
      </c>
      <c r="V173" s="17"/>
      <c r="W173" s="75" t="s">
        <v>7300</v>
      </c>
      <c r="X173" s="80"/>
      <c r="Y173" s="75" t="s">
        <v>7319</v>
      </c>
      <c r="Z173" s="15" t="s">
        <v>8806</v>
      </c>
      <c r="AA173" s="75"/>
      <c r="AB173" s="12" t="s">
        <v>7293</v>
      </c>
      <c r="AC173" s="12"/>
      <c r="AD173" s="75" t="s">
        <v>8807</v>
      </c>
      <c r="AE173" s="75"/>
      <c r="AF173" s="17" t="s">
        <v>7323</v>
      </c>
      <c r="AG173" s="72">
        <v>2</v>
      </c>
      <c r="AH173" s="17"/>
      <c r="AI173" s="75" t="s">
        <v>7448</v>
      </c>
    </row>
    <row r="174" spans="1:35" ht="57.6" x14ac:dyDescent="0.3">
      <c r="A174" s="71" t="s">
        <v>7286</v>
      </c>
      <c r="B174" s="17" t="s">
        <v>8808</v>
      </c>
      <c r="C174" s="72" t="s">
        <v>7367</v>
      </c>
      <c r="D174" s="81" t="s">
        <v>8809</v>
      </c>
      <c r="E174" s="74" t="s">
        <v>8810</v>
      </c>
      <c r="F174" s="75" t="s">
        <v>7370</v>
      </c>
      <c r="G174" s="75" t="s">
        <v>7371</v>
      </c>
      <c r="H174" s="75" t="s">
        <v>8349</v>
      </c>
      <c r="I174" s="75" t="s">
        <v>8350</v>
      </c>
      <c r="J174" s="75" t="s">
        <v>8351</v>
      </c>
      <c r="K174" s="11" t="s">
        <v>8352</v>
      </c>
      <c r="L174" s="77" t="s">
        <v>2340</v>
      </c>
      <c r="M174" s="76">
        <v>44522</v>
      </c>
      <c r="N174" s="76"/>
      <c r="O174" s="75" t="s">
        <v>7870</v>
      </c>
      <c r="P174" s="17"/>
      <c r="Q174" s="76">
        <v>35809</v>
      </c>
      <c r="R174" s="78">
        <v>28.739726027397261</v>
      </c>
      <c r="S174" s="79" t="s">
        <v>8811</v>
      </c>
      <c r="T174" s="75" t="s">
        <v>7298</v>
      </c>
      <c r="U174" s="75" t="s">
        <v>8812</v>
      </c>
      <c r="V174" s="83">
        <v>48730</v>
      </c>
      <c r="W174" s="75" t="s">
        <v>7300</v>
      </c>
      <c r="X174" s="80"/>
      <c r="Y174" s="75" t="s">
        <v>7302</v>
      </c>
      <c r="Z174" s="15" t="s">
        <v>8813</v>
      </c>
      <c r="AA174" s="75" t="s">
        <v>8813</v>
      </c>
      <c r="AB174" s="12" t="s">
        <v>8814</v>
      </c>
      <c r="AC174" s="12"/>
      <c r="AD174" s="75" t="s">
        <v>8815</v>
      </c>
      <c r="AE174" s="75" t="s">
        <v>8816</v>
      </c>
      <c r="AF174" s="17" t="s">
        <v>7306</v>
      </c>
      <c r="AG174" s="72">
        <v>0</v>
      </c>
      <c r="AH174" s="17"/>
      <c r="AI174" s="75" t="s">
        <v>7745</v>
      </c>
    </row>
    <row r="175" spans="1:35" ht="43.2" x14ac:dyDescent="0.3">
      <c r="A175" s="71" t="s">
        <v>7286</v>
      </c>
      <c r="B175" s="17" t="s">
        <v>8817</v>
      </c>
      <c r="C175" s="72" t="s">
        <v>7343</v>
      </c>
      <c r="D175" s="81" t="s">
        <v>8818</v>
      </c>
      <c r="E175" s="74" t="s">
        <v>8819</v>
      </c>
      <c r="F175" s="75" t="s">
        <v>7293</v>
      </c>
      <c r="G175" s="75" t="s">
        <v>7293</v>
      </c>
      <c r="H175" s="75" t="s">
        <v>7311</v>
      </c>
      <c r="I175" s="75" t="s">
        <v>7312</v>
      </c>
      <c r="J175" s="75" t="s">
        <v>8820</v>
      </c>
      <c r="K175" s="11" t="s">
        <v>8821</v>
      </c>
      <c r="L175" s="77" t="s">
        <v>7315</v>
      </c>
      <c r="M175" s="76">
        <v>44523</v>
      </c>
      <c r="N175" s="76"/>
      <c r="O175" s="75" t="s">
        <v>7892</v>
      </c>
      <c r="P175" s="17" t="s">
        <v>8361</v>
      </c>
      <c r="Q175" s="76">
        <v>32076</v>
      </c>
      <c r="R175" s="78">
        <v>38.967123287671235</v>
      </c>
      <c r="S175" s="79" t="s">
        <v>8822</v>
      </c>
      <c r="T175" s="75" t="s">
        <v>7298</v>
      </c>
      <c r="U175" s="75" t="s">
        <v>8823</v>
      </c>
      <c r="V175" s="17"/>
      <c r="W175" s="75" t="s">
        <v>7300</v>
      </c>
      <c r="X175" s="80"/>
      <c r="Y175" s="75" t="s">
        <v>7319</v>
      </c>
      <c r="Z175" s="15" t="s">
        <v>8824</v>
      </c>
      <c r="AA175" s="75" t="s">
        <v>8824</v>
      </c>
      <c r="AB175" s="12" t="s">
        <v>8825</v>
      </c>
      <c r="AC175" s="12"/>
      <c r="AD175" s="75" t="s">
        <v>8826</v>
      </c>
      <c r="AE175" s="75"/>
      <c r="AF175" s="17" t="s">
        <v>7323</v>
      </c>
      <c r="AG175" s="72">
        <v>1</v>
      </c>
      <c r="AH175" s="17"/>
      <c r="AI175" s="11" t="s">
        <v>8361</v>
      </c>
    </row>
    <row r="176" spans="1:35" x14ac:dyDescent="0.3">
      <c r="A176" s="71" t="s">
        <v>7286</v>
      </c>
      <c r="B176" s="17" t="s">
        <v>8827</v>
      </c>
      <c r="C176" s="72" t="s">
        <v>7150</v>
      </c>
      <c r="D176" s="81" t="s">
        <v>8828</v>
      </c>
      <c r="E176" s="74" t="s">
        <v>1453</v>
      </c>
      <c r="F176" s="75" t="s">
        <v>7293</v>
      </c>
      <c r="G176" s="75" t="s">
        <v>7293</v>
      </c>
      <c r="H176" s="75" t="s">
        <v>7311</v>
      </c>
      <c r="I176" s="75" t="s">
        <v>7312</v>
      </c>
      <c r="J176" s="75" t="s">
        <v>7433</v>
      </c>
      <c r="K176" s="11" t="s">
        <v>7434</v>
      </c>
      <c r="L176" s="77" t="s">
        <v>7315</v>
      </c>
      <c r="M176" s="76">
        <v>44526</v>
      </c>
      <c r="N176" s="76"/>
      <c r="O176" s="75" t="s">
        <v>7870</v>
      </c>
      <c r="P176" s="17" t="s">
        <v>7316</v>
      </c>
      <c r="Q176" s="76">
        <v>26938</v>
      </c>
      <c r="R176" s="78">
        <v>53.043835616438358</v>
      </c>
      <c r="S176" s="79" t="s">
        <v>8829</v>
      </c>
      <c r="T176" s="75" t="s">
        <v>7298</v>
      </c>
      <c r="U176" s="75" t="s">
        <v>8830</v>
      </c>
      <c r="V176" s="17"/>
      <c r="W176" s="75" t="s">
        <v>7300</v>
      </c>
      <c r="X176" s="80"/>
      <c r="Y176" s="75" t="s">
        <v>7319</v>
      </c>
      <c r="Z176" s="15" t="s">
        <v>8831</v>
      </c>
      <c r="AA176" s="75"/>
      <c r="AB176" s="12" t="s">
        <v>7293</v>
      </c>
      <c r="AC176" s="12"/>
      <c r="AD176" s="75" t="s">
        <v>8832</v>
      </c>
      <c r="AE176" s="75" t="s">
        <v>8833</v>
      </c>
      <c r="AF176" s="17" t="s">
        <v>7323</v>
      </c>
      <c r="AG176" s="72">
        <v>2</v>
      </c>
      <c r="AH176" s="17"/>
      <c r="AI176" s="75" t="s">
        <v>7324</v>
      </c>
    </row>
    <row r="177" spans="1:35" x14ac:dyDescent="0.3">
      <c r="A177" s="71" t="s">
        <v>7286</v>
      </c>
      <c r="B177" s="17" t="s">
        <v>8834</v>
      </c>
      <c r="C177" s="72" t="s">
        <v>7150</v>
      </c>
      <c r="D177" s="81" t="s">
        <v>8835</v>
      </c>
      <c r="E177" s="74" t="s">
        <v>1436</v>
      </c>
      <c r="F177" s="75" t="s">
        <v>7293</v>
      </c>
      <c r="G177" s="75" t="s">
        <v>7293</v>
      </c>
      <c r="H177" s="75" t="s">
        <v>7311</v>
      </c>
      <c r="I177" s="75" t="s">
        <v>7312</v>
      </c>
      <c r="J177" s="75" t="s">
        <v>7313</v>
      </c>
      <c r="K177" s="11" t="s">
        <v>7314</v>
      </c>
      <c r="L177" s="77" t="s">
        <v>7315</v>
      </c>
      <c r="M177" s="76">
        <v>44531</v>
      </c>
      <c r="N177" s="76"/>
      <c r="O177" s="75" t="s">
        <v>7870</v>
      </c>
      <c r="P177" s="17" t="s">
        <v>7425</v>
      </c>
      <c r="Q177" s="76">
        <v>31608</v>
      </c>
      <c r="R177" s="78">
        <v>40.249315068493154</v>
      </c>
      <c r="S177" s="79" t="s">
        <v>8836</v>
      </c>
      <c r="T177" s="75" t="s">
        <v>7298</v>
      </c>
      <c r="U177" s="75" t="s">
        <v>8837</v>
      </c>
      <c r="V177" s="17"/>
      <c r="W177" s="75" t="s">
        <v>7300</v>
      </c>
      <c r="X177" s="80"/>
      <c r="Y177" s="75" t="s">
        <v>7319</v>
      </c>
      <c r="Z177" s="15" t="s">
        <v>8838</v>
      </c>
      <c r="AA177" s="75"/>
      <c r="AB177" s="12" t="s">
        <v>7293</v>
      </c>
      <c r="AC177" s="12"/>
      <c r="AD177" s="75" t="s">
        <v>8839</v>
      </c>
      <c r="AE177" s="75" t="s">
        <v>8840</v>
      </c>
      <c r="AF177" s="17" t="s">
        <v>7323</v>
      </c>
      <c r="AG177" s="72">
        <v>2</v>
      </c>
      <c r="AH177" s="17"/>
      <c r="AI177" s="75" t="s">
        <v>7425</v>
      </c>
    </row>
    <row r="178" spans="1:35" ht="57.6" x14ac:dyDescent="0.3">
      <c r="A178" s="71" t="s">
        <v>7286</v>
      </c>
      <c r="B178" s="17" t="s">
        <v>8841</v>
      </c>
      <c r="C178" s="72" t="s">
        <v>7367</v>
      </c>
      <c r="D178" s="81" t="s">
        <v>8842</v>
      </c>
      <c r="E178" s="74" t="s">
        <v>8843</v>
      </c>
      <c r="F178" s="75" t="s">
        <v>7293</v>
      </c>
      <c r="G178" s="75" t="s">
        <v>7293</v>
      </c>
      <c r="H178" s="75" t="s">
        <v>7933</v>
      </c>
      <c r="I178" s="75" t="s">
        <v>7934</v>
      </c>
      <c r="J178" s="75" t="s">
        <v>8844</v>
      </c>
      <c r="K178" s="11" t="s">
        <v>8845</v>
      </c>
      <c r="L178" s="77" t="s">
        <v>7937</v>
      </c>
      <c r="M178" s="76">
        <v>44531</v>
      </c>
      <c r="N178" s="76"/>
      <c r="O178" s="75" t="s">
        <v>7923</v>
      </c>
      <c r="P178" s="17"/>
      <c r="Q178" s="76">
        <v>36581</v>
      </c>
      <c r="R178" s="78">
        <v>26.624657534246577</v>
      </c>
      <c r="S178" s="79" t="s">
        <v>8846</v>
      </c>
      <c r="T178" s="75" t="s">
        <v>7298</v>
      </c>
      <c r="U178" s="75" t="s">
        <v>8847</v>
      </c>
      <c r="V178" s="17"/>
      <c r="W178" s="75" t="s">
        <v>7300</v>
      </c>
      <c r="X178" s="80"/>
      <c r="Y178" s="75" t="s">
        <v>7302</v>
      </c>
      <c r="Z178" s="15" t="s">
        <v>8848</v>
      </c>
      <c r="AA178" s="75" t="s">
        <v>8848</v>
      </c>
      <c r="AB178" s="12" t="s">
        <v>8849</v>
      </c>
      <c r="AC178" s="12"/>
      <c r="AD178" s="75" t="s">
        <v>8850</v>
      </c>
      <c r="AE178" s="75" t="s">
        <v>8851</v>
      </c>
      <c r="AF178" s="17" t="s">
        <v>7306</v>
      </c>
      <c r="AG178" s="72">
        <v>0</v>
      </c>
      <c r="AH178" s="17"/>
      <c r="AI178" s="75" t="s">
        <v>7307</v>
      </c>
    </row>
    <row r="179" spans="1:35" x14ac:dyDescent="0.3">
      <c r="A179" s="71" t="s">
        <v>7286</v>
      </c>
      <c r="B179" s="17" t="s">
        <v>8852</v>
      </c>
      <c r="C179" s="72" t="s">
        <v>7150</v>
      </c>
      <c r="D179" s="81" t="s">
        <v>8853</v>
      </c>
      <c r="E179" s="74" t="s">
        <v>1634</v>
      </c>
      <c r="F179" s="75" t="s">
        <v>7293</v>
      </c>
      <c r="G179" s="75" t="s">
        <v>7293</v>
      </c>
      <c r="H179" s="75" t="s">
        <v>7311</v>
      </c>
      <c r="I179" s="75" t="s">
        <v>7312</v>
      </c>
      <c r="J179" s="11" t="s">
        <v>7433</v>
      </c>
      <c r="K179" s="11" t="s">
        <v>7434</v>
      </c>
      <c r="L179" s="77" t="s">
        <v>7315</v>
      </c>
      <c r="M179" s="76">
        <v>44536</v>
      </c>
      <c r="N179" s="76"/>
      <c r="O179" s="75" t="s">
        <v>7870</v>
      </c>
      <c r="P179" s="17" t="s">
        <v>8748</v>
      </c>
      <c r="Q179" s="76">
        <v>35503</v>
      </c>
      <c r="R179" s="78">
        <v>29.578082191780823</v>
      </c>
      <c r="S179" s="79" t="s">
        <v>8854</v>
      </c>
      <c r="T179" s="75" t="s">
        <v>7298</v>
      </c>
      <c r="U179" s="75" t="s">
        <v>8855</v>
      </c>
      <c r="V179" s="17"/>
      <c r="W179" s="75" t="s">
        <v>7300</v>
      </c>
      <c r="X179" s="92"/>
      <c r="Y179" s="75" t="s">
        <v>7319</v>
      </c>
      <c r="Z179" s="15" t="s">
        <v>8856</v>
      </c>
      <c r="AA179" s="75"/>
      <c r="AB179" s="12" t="s">
        <v>7293</v>
      </c>
      <c r="AC179" s="12"/>
      <c r="AD179" s="75" t="s">
        <v>8857</v>
      </c>
      <c r="AE179" s="75" t="s">
        <v>8858</v>
      </c>
      <c r="AF179" s="17" t="s">
        <v>7306</v>
      </c>
      <c r="AG179" s="72">
        <v>0</v>
      </c>
      <c r="AH179" s="17"/>
      <c r="AI179" s="75" t="s">
        <v>7448</v>
      </c>
    </row>
    <row r="180" spans="1:35" x14ac:dyDescent="0.3">
      <c r="A180" s="71" t="s">
        <v>7286</v>
      </c>
      <c r="B180" s="17" t="s">
        <v>8859</v>
      </c>
      <c r="C180" s="72" t="s">
        <v>7150</v>
      </c>
      <c r="D180" s="81" t="s">
        <v>8860</v>
      </c>
      <c r="E180" s="74" t="s">
        <v>1632</v>
      </c>
      <c r="F180" s="75" t="s">
        <v>7293</v>
      </c>
      <c r="G180" s="75" t="s">
        <v>7293</v>
      </c>
      <c r="H180" s="75" t="s">
        <v>7311</v>
      </c>
      <c r="I180" s="75" t="s">
        <v>7312</v>
      </c>
      <c r="J180" s="75" t="s">
        <v>7313</v>
      </c>
      <c r="K180" s="11" t="s">
        <v>7314</v>
      </c>
      <c r="L180" s="77" t="s">
        <v>7315</v>
      </c>
      <c r="M180" s="76">
        <v>44536</v>
      </c>
      <c r="N180" s="76"/>
      <c r="O180" s="75" t="s">
        <v>7870</v>
      </c>
      <c r="P180" s="17" t="s">
        <v>8748</v>
      </c>
      <c r="Q180" s="76">
        <v>33174</v>
      </c>
      <c r="R180" s="78">
        <v>35.958904109589042</v>
      </c>
      <c r="S180" s="79" t="s">
        <v>8861</v>
      </c>
      <c r="T180" s="75" t="s">
        <v>7298</v>
      </c>
      <c r="U180" s="75" t="s">
        <v>8862</v>
      </c>
      <c r="V180" s="17"/>
      <c r="W180" s="75" t="s">
        <v>7300</v>
      </c>
      <c r="X180" s="92"/>
      <c r="Y180" s="75" t="s">
        <v>7319</v>
      </c>
      <c r="Z180" s="15" t="s">
        <v>8863</v>
      </c>
      <c r="AA180" s="75"/>
      <c r="AB180" s="12" t="s">
        <v>7293</v>
      </c>
      <c r="AC180" s="12"/>
      <c r="AD180" s="75" t="s">
        <v>8864</v>
      </c>
      <c r="AE180" s="75" t="s">
        <v>8865</v>
      </c>
      <c r="AF180" s="17" t="s">
        <v>7323</v>
      </c>
      <c r="AG180" s="72">
        <v>2</v>
      </c>
      <c r="AH180" s="17"/>
      <c r="AI180" s="75" t="s">
        <v>7448</v>
      </c>
    </row>
    <row r="181" spans="1:35" x14ac:dyDescent="0.3">
      <c r="A181" s="71" t="s">
        <v>7286</v>
      </c>
      <c r="B181" s="17" t="s">
        <v>8866</v>
      </c>
      <c r="C181" s="72" t="s">
        <v>7150</v>
      </c>
      <c r="D181" s="81" t="s">
        <v>8867</v>
      </c>
      <c r="E181" s="74" t="s">
        <v>1600</v>
      </c>
      <c r="F181" s="75" t="s">
        <v>7293</v>
      </c>
      <c r="G181" s="75" t="s">
        <v>7293</v>
      </c>
      <c r="H181" s="75" t="s">
        <v>7311</v>
      </c>
      <c r="I181" s="75" t="s">
        <v>7312</v>
      </c>
      <c r="J181" s="11" t="s">
        <v>7433</v>
      </c>
      <c r="K181" s="11" t="s">
        <v>7434</v>
      </c>
      <c r="L181" s="77" t="s">
        <v>7315</v>
      </c>
      <c r="M181" s="76">
        <v>44552</v>
      </c>
      <c r="N181" s="76"/>
      <c r="O181" s="75" t="s">
        <v>7870</v>
      </c>
      <c r="P181" s="17" t="s">
        <v>8361</v>
      </c>
      <c r="Q181" s="76">
        <v>34848</v>
      </c>
      <c r="R181" s="78">
        <v>31.372602739726027</v>
      </c>
      <c r="S181" s="79" t="s">
        <v>8868</v>
      </c>
      <c r="T181" s="75" t="s">
        <v>7298</v>
      </c>
      <c r="U181" s="75" t="s">
        <v>8869</v>
      </c>
      <c r="V181" s="17"/>
      <c r="W181" s="75" t="s">
        <v>7300</v>
      </c>
      <c r="X181" s="80"/>
      <c r="Y181" s="75" t="s">
        <v>7319</v>
      </c>
      <c r="Z181" s="15" t="s">
        <v>8870</v>
      </c>
      <c r="AA181" s="75"/>
      <c r="AB181" s="12" t="s">
        <v>7293</v>
      </c>
      <c r="AC181" s="12"/>
      <c r="AD181" s="75" t="s">
        <v>8871</v>
      </c>
      <c r="AE181" s="75" t="s">
        <v>8872</v>
      </c>
      <c r="AF181" s="17" t="s">
        <v>7306</v>
      </c>
      <c r="AG181" s="72">
        <v>0</v>
      </c>
      <c r="AH181" s="17"/>
      <c r="AI181" s="11" t="s">
        <v>8361</v>
      </c>
    </row>
    <row r="182" spans="1:35" x14ac:dyDescent="0.3">
      <c r="A182" s="71" t="s">
        <v>7286</v>
      </c>
      <c r="B182" s="17" t="s">
        <v>8873</v>
      </c>
      <c r="C182" s="72" t="s">
        <v>7150</v>
      </c>
      <c r="D182" s="81" t="s">
        <v>8874</v>
      </c>
      <c r="E182" s="74" t="s">
        <v>1599</v>
      </c>
      <c r="F182" s="75" t="s">
        <v>7293</v>
      </c>
      <c r="G182" s="75" t="s">
        <v>7293</v>
      </c>
      <c r="H182" s="75" t="s">
        <v>7311</v>
      </c>
      <c r="I182" s="75" t="s">
        <v>7312</v>
      </c>
      <c r="J182" s="75" t="s">
        <v>7313</v>
      </c>
      <c r="K182" s="11" t="s">
        <v>7314</v>
      </c>
      <c r="L182" s="77" t="s">
        <v>7315</v>
      </c>
      <c r="M182" s="76">
        <v>44552</v>
      </c>
      <c r="N182" s="76"/>
      <c r="O182" s="75" t="s">
        <v>7870</v>
      </c>
      <c r="P182" s="17" t="s">
        <v>8361</v>
      </c>
      <c r="Q182" s="76">
        <v>34510</v>
      </c>
      <c r="R182" s="78">
        <v>32.298630136986304</v>
      </c>
      <c r="S182" s="79" t="s">
        <v>8875</v>
      </c>
      <c r="T182" s="75" t="s">
        <v>7298</v>
      </c>
      <c r="U182" s="75" t="s">
        <v>8876</v>
      </c>
      <c r="V182" s="17"/>
      <c r="W182" s="75" t="s">
        <v>7300</v>
      </c>
      <c r="X182" s="80"/>
      <c r="Y182" s="75" t="s">
        <v>7319</v>
      </c>
      <c r="Z182" s="15" t="s">
        <v>8877</v>
      </c>
      <c r="AA182" s="75"/>
      <c r="AB182" s="12" t="s">
        <v>7293</v>
      </c>
      <c r="AC182" s="12"/>
      <c r="AD182" s="75" t="s">
        <v>8878</v>
      </c>
      <c r="AE182" s="75"/>
      <c r="AF182" s="17" t="s">
        <v>7323</v>
      </c>
      <c r="AG182" s="72">
        <v>2</v>
      </c>
      <c r="AH182" s="17"/>
      <c r="AI182" s="11" t="s">
        <v>8361</v>
      </c>
    </row>
    <row r="183" spans="1:35" ht="57.6" x14ac:dyDescent="0.3">
      <c r="A183" s="71" t="s">
        <v>7286</v>
      </c>
      <c r="B183" s="17" t="s">
        <v>8879</v>
      </c>
      <c r="C183" s="72" t="s">
        <v>7367</v>
      </c>
      <c r="D183" s="81" t="s">
        <v>8880</v>
      </c>
      <c r="E183" s="74" t="s">
        <v>8881</v>
      </c>
      <c r="F183" s="75" t="s">
        <v>7291</v>
      </c>
      <c r="G183" s="75" t="s">
        <v>7292</v>
      </c>
      <c r="H183" s="75" t="s">
        <v>7814</v>
      </c>
      <c r="I183" s="75" t="s">
        <v>7815</v>
      </c>
      <c r="J183" s="75" t="s">
        <v>8882</v>
      </c>
      <c r="K183" s="11" t="s">
        <v>8883</v>
      </c>
      <c r="L183" s="77" t="s">
        <v>7818</v>
      </c>
      <c r="M183" s="76">
        <v>44552</v>
      </c>
      <c r="N183" s="76"/>
      <c r="O183" s="75" t="s">
        <v>7892</v>
      </c>
      <c r="P183" s="17"/>
      <c r="Q183" s="76">
        <v>29434</v>
      </c>
      <c r="R183" s="78">
        <v>46.205479452054796</v>
      </c>
      <c r="S183" s="79" t="s">
        <v>8884</v>
      </c>
      <c r="T183" s="75" t="s">
        <v>7298</v>
      </c>
      <c r="U183" s="75" t="s">
        <v>8885</v>
      </c>
      <c r="V183" s="17"/>
      <c r="W183" s="75" t="s">
        <v>7300</v>
      </c>
      <c r="X183" s="80" t="s">
        <v>7301</v>
      </c>
      <c r="Y183" s="75" t="s">
        <v>7319</v>
      </c>
      <c r="Z183" s="15" t="s">
        <v>8886</v>
      </c>
      <c r="AA183" s="75" t="s">
        <v>8886</v>
      </c>
      <c r="AB183" s="12" t="s">
        <v>8887</v>
      </c>
      <c r="AC183" s="12"/>
      <c r="AD183" s="75" t="s">
        <v>8888</v>
      </c>
      <c r="AE183" s="75" t="s">
        <v>8889</v>
      </c>
      <c r="AF183" s="17" t="s">
        <v>7323</v>
      </c>
      <c r="AG183" s="72">
        <v>1</v>
      </c>
      <c r="AH183" s="17"/>
      <c r="AI183" s="75" t="s">
        <v>8890</v>
      </c>
    </row>
    <row r="184" spans="1:35" ht="57.6" x14ac:dyDescent="0.3">
      <c r="A184" s="71" t="s">
        <v>7286</v>
      </c>
      <c r="B184" s="17" t="s">
        <v>8891</v>
      </c>
      <c r="C184" s="17" t="s">
        <v>7367</v>
      </c>
      <c r="D184" s="81" t="s">
        <v>8892</v>
      </c>
      <c r="E184" s="74" t="s">
        <v>8893</v>
      </c>
      <c r="F184" s="75" t="s">
        <v>7291</v>
      </c>
      <c r="G184" s="75" t="s">
        <v>7292</v>
      </c>
      <c r="H184" s="75" t="s">
        <v>7814</v>
      </c>
      <c r="I184" s="75" t="s">
        <v>7815</v>
      </c>
      <c r="J184" s="75" t="s">
        <v>8517</v>
      </c>
      <c r="K184" s="11" t="s">
        <v>6341</v>
      </c>
      <c r="L184" s="77" t="s">
        <v>7818</v>
      </c>
      <c r="M184" s="76">
        <v>44552</v>
      </c>
      <c r="N184" s="76"/>
      <c r="O184" s="75" t="s">
        <v>7892</v>
      </c>
      <c r="P184" s="17"/>
      <c r="Q184" s="76">
        <v>29226</v>
      </c>
      <c r="R184" s="78">
        <v>46.775342465753425</v>
      </c>
      <c r="S184" s="79" t="s">
        <v>8894</v>
      </c>
      <c r="T184" s="75" t="s">
        <v>7298</v>
      </c>
      <c r="U184" s="75" t="s">
        <v>8895</v>
      </c>
      <c r="V184" s="17"/>
      <c r="W184" s="75" t="s">
        <v>7300</v>
      </c>
      <c r="X184" s="80"/>
      <c r="Y184" s="75" t="s">
        <v>7319</v>
      </c>
      <c r="Z184" s="15" t="s">
        <v>8896</v>
      </c>
      <c r="AA184" s="75" t="s">
        <v>8896</v>
      </c>
      <c r="AB184" s="12" t="s">
        <v>8897</v>
      </c>
      <c r="AC184" s="12"/>
      <c r="AD184" s="75" t="s">
        <v>8898</v>
      </c>
      <c r="AE184" s="75" t="s">
        <v>8899</v>
      </c>
      <c r="AF184" s="17" t="s">
        <v>7323</v>
      </c>
      <c r="AG184" s="72">
        <v>3</v>
      </c>
      <c r="AH184" s="17"/>
      <c r="AI184" s="75" t="s">
        <v>7448</v>
      </c>
    </row>
    <row r="185" spans="1:35" ht="57.6" x14ac:dyDescent="0.3">
      <c r="A185" s="71" t="s">
        <v>7286</v>
      </c>
      <c r="B185" s="17" t="s">
        <v>8900</v>
      </c>
      <c r="C185" s="72" t="s">
        <v>7367</v>
      </c>
      <c r="D185" s="81" t="s">
        <v>8901</v>
      </c>
      <c r="E185" s="74" t="s">
        <v>8902</v>
      </c>
      <c r="F185" s="75" t="s">
        <v>7370</v>
      </c>
      <c r="G185" s="75" t="s">
        <v>7371</v>
      </c>
      <c r="H185" s="75" t="s">
        <v>7372</v>
      </c>
      <c r="I185" s="75" t="s">
        <v>7373</v>
      </c>
      <c r="J185" s="75" t="s">
        <v>7532</v>
      </c>
      <c r="K185" s="11" t="s">
        <v>7533</v>
      </c>
      <c r="L185" s="77" t="s">
        <v>7376</v>
      </c>
      <c r="M185" s="76">
        <v>44552</v>
      </c>
      <c r="N185" s="76"/>
      <c r="O185" s="75" t="s">
        <v>7870</v>
      </c>
      <c r="P185" s="17"/>
      <c r="Q185" s="76">
        <v>35991</v>
      </c>
      <c r="R185" s="78">
        <v>28.241095890410961</v>
      </c>
      <c r="S185" s="79" t="s">
        <v>8903</v>
      </c>
      <c r="T185" s="75" t="s">
        <v>7298</v>
      </c>
      <c r="U185" s="75" t="s">
        <v>8904</v>
      </c>
      <c r="V185" s="17"/>
      <c r="W185" s="75" t="s">
        <v>7300</v>
      </c>
      <c r="X185" s="80"/>
      <c r="Y185" s="75" t="s">
        <v>7302</v>
      </c>
      <c r="Z185" s="15" t="s">
        <v>8905</v>
      </c>
      <c r="AA185" s="75" t="s">
        <v>8906</v>
      </c>
      <c r="AB185" s="12" t="s">
        <v>8907</v>
      </c>
      <c r="AC185" s="12"/>
      <c r="AD185" s="75" t="s">
        <v>8908</v>
      </c>
      <c r="AE185" s="75" t="s">
        <v>8909</v>
      </c>
      <c r="AF185" s="17" t="s">
        <v>7306</v>
      </c>
      <c r="AG185" s="72">
        <v>0</v>
      </c>
      <c r="AH185" s="17"/>
      <c r="AI185" s="11" t="s">
        <v>8361</v>
      </c>
    </row>
    <row r="186" spans="1:35" ht="57.6" x14ac:dyDescent="0.3">
      <c r="A186" s="71" t="s">
        <v>7286</v>
      </c>
      <c r="B186" s="72" t="s">
        <v>8910</v>
      </c>
      <c r="C186" s="72" t="s">
        <v>7367</v>
      </c>
      <c r="D186" s="81" t="s">
        <v>8911</v>
      </c>
      <c r="E186" s="74" t="s">
        <v>8912</v>
      </c>
      <c r="F186" s="75" t="s">
        <v>7329</v>
      </c>
      <c r="G186" s="75" t="s">
        <v>7330</v>
      </c>
      <c r="H186" s="75" t="s">
        <v>7331</v>
      </c>
      <c r="I186" s="75" t="s">
        <v>7332</v>
      </c>
      <c r="J186" s="75" t="s">
        <v>8167</v>
      </c>
      <c r="K186" s="11" t="s">
        <v>8913</v>
      </c>
      <c r="L186" s="77" t="s">
        <v>7335</v>
      </c>
      <c r="M186" s="76">
        <v>44566</v>
      </c>
      <c r="N186" s="76"/>
      <c r="O186" s="75" t="s">
        <v>7870</v>
      </c>
      <c r="P186" s="17"/>
      <c r="Q186" s="76">
        <v>30894</v>
      </c>
      <c r="R186" s="78">
        <v>42.205479452054796</v>
      </c>
      <c r="S186" s="79" t="s">
        <v>8914</v>
      </c>
      <c r="T186" s="75" t="s">
        <v>7298</v>
      </c>
      <c r="U186" s="79" t="s">
        <v>8915</v>
      </c>
      <c r="V186" s="85"/>
      <c r="W186" s="75" t="s">
        <v>7300</v>
      </c>
      <c r="X186" s="80"/>
      <c r="Y186" s="75" t="s">
        <v>7319</v>
      </c>
      <c r="Z186" s="15" t="s">
        <v>8916</v>
      </c>
      <c r="AA186" s="75"/>
      <c r="AB186" s="12" t="s">
        <v>8917</v>
      </c>
      <c r="AC186" s="12"/>
      <c r="AD186" s="91" t="s">
        <v>8918</v>
      </c>
      <c r="AE186" s="79" t="s">
        <v>8919</v>
      </c>
      <c r="AF186" s="17" t="s">
        <v>7323</v>
      </c>
      <c r="AG186" s="72">
        <v>2</v>
      </c>
      <c r="AH186" s="72"/>
      <c r="AI186" s="75" t="s">
        <v>7324</v>
      </c>
    </row>
    <row r="187" spans="1:35" x14ac:dyDescent="0.3">
      <c r="A187" s="71" t="s">
        <v>7286</v>
      </c>
      <c r="B187" s="72" t="s">
        <v>8920</v>
      </c>
      <c r="C187" s="72" t="s">
        <v>7150</v>
      </c>
      <c r="D187" s="81" t="s">
        <v>8921</v>
      </c>
      <c r="E187" s="74" t="s">
        <v>1572</v>
      </c>
      <c r="F187" s="75" t="s">
        <v>7293</v>
      </c>
      <c r="G187" s="75" t="s">
        <v>7293</v>
      </c>
      <c r="H187" s="75" t="s">
        <v>7311</v>
      </c>
      <c r="I187" s="75" t="s">
        <v>7312</v>
      </c>
      <c r="J187" s="75" t="s">
        <v>7313</v>
      </c>
      <c r="K187" s="11" t="s">
        <v>7314</v>
      </c>
      <c r="L187" s="77" t="s">
        <v>7315</v>
      </c>
      <c r="M187" s="76">
        <v>44575</v>
      </c>
      <c r="N187" s="76"/>
      <c r="O187" s="75" t="s">
        <v>7892</v>
      </c>
      <c r="P187" s="17" t="s">
        <v>8116</v>
      </c>
      <c r="Q187" s="76">
        <v>34602</v>
      </c>
      <c r="R187" s="78">
        <v>32.046575342465751</v>
      </c>
      <c r="S187" s="79" t="s">
        <v>8922</v>
      </c>
      <c r="T187" s="75" t="s">
        <v>7298</v>
      </c>
      <c r="U187" s="79" t="s">
        <v>8923</v>
      </c>
      <c r="V187" s="85"/>
      <c r="W187" s="75" t="s">
        <v>7300</v>
      </c>
      <c r="X187" s="80"/>
      <c r="Y187" s="75" t="s">
        <v>7319</v>
      </c>
      <c r="Z187" s="15" t="s">
        <v>8924</v>
      </c>
      <c r="AA187" s="75"/>
      <c r="AB187" s="12" t="s">
        <v>7293</v>
      </c>
      <c r="AC187" s="12"/>
      <c r="AD187" s="89" t="s">
        <v>8925</v>
      </c>
      <c r="AE187" s="79" t="s">
        <v>8926</v>
      </c>
      <c r="AF187" s="72" t="s">
        <v>7306</v>
      </c>
      <c r="AG187" s="72">
        <v>0</v>
      </c>
      <c r="AH187" s="72"/>
      <c r="AI187" s="75" t="s">
        <v>8116</v>
      </c>
    </row>
    <row r="188" spans="1:35" x14ac:dyDescent="0.3">
      <c r="A188" s="71" t="s">
        <v>7286</v>
      </c>
      <c r="B188" s="72" t="s">
        <v>8927</v>
      </c>
      <c r="C188" s="72" t="s">
        <v>7150</v>
      </c>
      <c r="D188" s="81" t="s">
        <v>8928</v>
      </c>
      <c r="E188" s="74" t="s">
        <v>1573</v>
      </c>
      <c r="F188" s="75" t="s">
        <v>7293</v>
      </c>
      <c r="G188" s="75" t="s">
        <v>7293</v>
      </c>
      <c r="H188" s="75" t="s">
        <v>7311</v>
      </c>
      <c r="I188" s="75" t="s">
        <v>7312</v>
      </c>
      <c r="J188" s="75" t="s">
        <v>7433</v>
      </c>
      <c r="K188" s="11" t="s">
        <v>7434</v>
      </c>
      <c r="L188" s="77" t="s">
        <v>7315</v>
      </c>
      <c r="M188" s="76">
        <v>44575</v>
      </c>
      <c r="N188" s="76"/>
      <c r="O188" s="75" t="s">
        <v>7892</v>
      </c>
      <c r="P188" s="17" t="s">
        <v>8116</v>
      </c>
      <c r="Q188" s="76">
        <v>33705</v>
      </c>
      <c r="R188" s="78">
        <v>34.504109589041093</v>
      </c>
      <c r="S188" s="79" t="s">
        <v>8929</v>
      </c>
      <c r="T188" s="75" t="s">
        <v>7298</v>
      </c>
      <c r="U188" s="75" t="s">
        <v>8930</v>
      </c>
      <c r="V188" s="17"/>
      <c r="W188" s="75" t="s">
        <v>7300</v>
      </c>
      <c r="X188" s="80"/>
      <c r="Y188" s="75" t="s">
        <v>7319</v>
      </c>
      <c r="Z188" s="15" t="s">
        <v>8931</v>
      </c>
      <c r="AA188" s="75"/>
      <c r="AB188" s="12" t="s">
        <v>7293</v>
      </c>
      <c r="AC188" s="12"/>
      <c r="AD188" s="75" t="s">
        <v>8932</v>
      </c>
      <c r="AE188" s="75" t="s">
        <v>8933</v>
      </c>
      <c r="AF188" s="17" t="s">
        <v>7306</v>
      </c>
      <c r="AG188" s="72">
        <v>0</v>
      </c>
      <c r="AH188" s="17"/>
      <c r="AI188" s="75" t="s">
        <v>8116</v>
      </c>
    </row>
    <row r="189" spans="1:35" x14ac:dyDescent="0.3">
      <c r="A189" s="71" t="s">
        <v>7286</v>
      </c>
      <c r="B189" s="72" t="s">
        <v>8934</v>
      </c>
      <c r="C189" s="72" t="s">
        <v>7150</v>
      </c>
      <c r="D189" s="81" t="s">
        <v>8935</v>
      </c>
      <c r="E189" s="74" t="s">
        <v>8936</v>
      </c>
      <c r="F189" s="75" t="s">
        <v>7329</v>
      </c>
      <c r="G189" s="75" t="s">
        <v>7330</v>
      </c>
      <c r="H189" s="75" t="s">
        <v>7331</v>
      </c>
      <c r="I189" s="75" t="s">
        <v>7332</v>
      </c>
      <c r="J189" s="75" t="s">
        <v>8202</v>
      </c>
      <c r="K189" s="11" t="s">
        <v>8203</v>
      </c>
      <c r="L189" s="77" t="s">
        <v>7335</v>
      </c>
      <c r="M189" s="76">
        <v>44586</v>
      </c>
      <c r="N189" s="76"/>
      <c r="O189" s="75" t="s">
        <v>7870</v>
      </c>
      <c r="P189" s="17"/>
      <c r="Q189" s="76">
        <v>24810</v>
      </c>
      <c r="R189" s="78">
        <v>58.873972602739727</v>
      </c>
      <c r="S189" s="79" t="s">
        <v>8937</v>
      </c>
      <c r="T189" s="75" t="s">
        <v>7298</v>
      </c>
      <c r="U189" s="75" t="s">
        <v>8938</v>
      </c>
      <c r="V189" s="17"/>
      <c r="W189" s="75" t="s">
        <v>7300</v>
      </c>
      <c r="X189" s="80"/>
      <c r="Y189" s="75" t="s">
        <v>7319</v>
      </c>
      <c r="Z189" s="15" t="s">
        <v>8939</v>
      </c>
      <c r="AA189" s="75"/>
      <c r="AB189" s="12" t="s">
        <v>7293</v>
      </c>
      <c r="AC189" s="12"/>
      <c r="AD189" s="75" t="s">
        <v>8940</v>
      </c>
      <c r="AE189" s="75" t="s">
        <v>8941</v>
      </c>
      <c r="AF189" s="17" t="s">
        <v>7323</v>
      </c>
      <c r="AG189" s="72">
        <v>2</v>
      </c>
      <c r="AH189" s="17"/>
      <c r="AI189" s="75" t="s">
        <v>7324</v>
      </c>
    </row>
    <row r="190" spans="1:35" ht="57.6" x14ac:dyDescent="0.3">
      <c r="A190" s="71" t="s">
        <v>7286</v>
      </c>
      <c r="B190" s="72" t="s">
        <v>8942</v>
      </c>
      <c r="C190" s="72" t="s">
        <v>7367</v>
      </c>
      <c r="D190" s="81" t="s">
        <v>8943</v>
      </c>
      <c r="E190" s="74" t="s">
        <v>8944</v>
      </c>
      <c r="F190" s="75" t="s">
        <v>7329</v>
      </c>
      <c r="G190" s="75" t="s">
        <v>7330</v>
      </c>
      <c r="H190" s="75" t="s">
        <v>7331</v>
      </c>
      <c r="I190" s="75" t="s">
        <v>7332</v>
      </c>
      <c r="J190" s="75" t="s">
        <v>8945</v>
      </c>
      <c r="K190" s="11" t="s">
        <v>8946</v>
      </c>
      <c r="L190" s="77" t="s">
        <v>7335</v>
      </c>
      <c r="M190" s="76">
        <v>44593</v>
      </c>
      <c r="N190" s="76"/>
      <c r="O190" s="75" t="s">
        <v>7870</v>
      </c>
      <c r="P190" s="17"/>
      <c r="Q190" s="76">
        <v>25292</v>
      </c>
      <c r="R190" s="78">
        <v>57.553424657534244</v>
      </c>
      <c r="S190" s="79" t="s">
        <v>8947</v>
      </c>
      <c r="T190" s="75" t="s">
        <v>7298</v>
      </c>
      <c r="U190" s="75" t="s">
        <v>8948</v>
      </c>
      <c r="V190" s="17"/>
      <c r="W190" s="75" t="s">
        <v>7300</v>
      </c>
      <c r="X190" s="80"/>
      <c r="Y190" s="75" t="s">
        <v>7319</v>
      </c>
      <c r="Z190" s="15" t="s">
        <v>8949</v>
      </c>
      <c r="AA190" s="75" t="s">
        <v>8950</v>
      </c>
      <c r="AB190" s="12" t="s">
        <v>8951</v>
      </c>
      <c r="AC190" s="12"/>
      <c r="AD190" s="75" t="s">
        <v>8952</v>
      </c>
      <c r="AE190" s="75" t="s">
        <v>8953</v>
      </c>
      <c r="AF190" s="17" t="s">
        <v>7323</v>
      </c>
      <c r="AG190" s="72">
        <v>3</v>
      </c>
      <c r="AH190" s="17"/>
      <c r="AI190" s="75" t="s">
        <v>7324</v>
      </c>
    </row>
    <row r="191" spans="1:35" x14ac:dyDescent="0.3">
      <c r="A191" s="71" t="s">
        <v>7286</v>
      </c>
      <c r="B191" s="72" t="s">
        <v>8954</v>
      </c>
      <c r="C191" s="72" t="s">
        <v>7150</v>
      </c>
      <c r="D191" s="81" t="s">
        <v>8955</v>
      </c>
      <c r="E191" s="74" t="s">
        <v>1540</v>
      </c>
      <c r="F191" s="75" t="s">
        <v>7293</v>
      </c>
      <c r="G191" s="75" t="s">
        <v>7293</v>
      </c>
      <c r="H191" s="75" t="s">
        <v>7311</v>
      </c>
      <c r="I191" s="75" t="s">
        <v>7312</v>
      </c>
      <c r="J191" s="11" t="s">
        <v>7433</v>
      </c>
      <c r="K191" s="11" t="s">
        <v>7434</v>
      </c>
      <c r="L191" s="77" t="s">
        <v>7315</v>
      </c>
      <c r="M191" s="76">
        <v>44595</v>
      </c>
      <c r="N191" s="76"/>
      <c r="O191" s="75" t="s">
        <v>7892</v>
      </c>
      <c r="P191" s="17" t="s">
        <v>7422</v>
      </c>
      <c r="Q191" s="76">
        <v>33902</v>
      </c>
      <c r="R191" s="78">
        <v>33.964383561643835</v>
      </c>
      <c r="S191" s="79" t="s">
        <v>8956</v>
      </c>
      <c r="T191" s="75" t="s">
        <v>7298</v>
      </c>
      <c r="U191" s="75" t="s">
        <v>8957</v>
      </c>
      <c r="V191" s="17"/>
      <c r="W191" s="75" t="s">
        <v>7300</v>
      </c>
      <c r="X191" s="80"/>
      <c r="Y191" s="75" t="s">
        <v>7319</v>
      </c>
      <c r="Z191" s="15" t="s">
        <v>8958</v>
      </c>
      <c r="AA191" s="75"/>
      <c r="AB191" s="12" t="s">
        <v>7293</v>
      </c>
      <c r="AC191" s="12"/>
      <c r="AD191" s="75" t="s">
        <v>8959</v>
      </c>
      <c r="AE191" s="75" t="s">
        <v>8960</v>
      </c>
      <c r="AF191" s="17" t="s">
        <v>7323</v>
      </c>
      <c r="AG191" s="72">
        <v>1</v>
      </c>
      <c r="AH191" s="17"/>
      <c r="AI191" s="75" t="s">
        <v>7422</v>
      </c>
    </row>
    <row r="192" spans="1:35" ht="43.2" x14ac:dyDescent="0.3">
      <c r="A192" s="71" t="s">
        <v>7286</v>
      </c>
      <c r="B192" s="72" t="s">
        <v>8961</v>
      </c>
      <c r="C192" s="17" t="s">
        <v>7343</v>
      </c>
      <c r="D192" s="81" t="s">
        <v>8962</v>
      </c>
      <c r="E192" s="74" t="s">
        <v>8963</v>
      </c>
      <c r="F192" s="75" t="s">
        <v>7293</v>
      </c>
      <c r="G192" s="75" t="s">
        <v>7293</v>
      </c>
      <c r="H192" s="75" t="s">
        <v>8964</v>
      </c>
      <c r="I192" s="75" t="s">
        <v>8965</v>
      </c>
      <c r="J192" s="75" t="s">
        <v>8966</v>
      </c>
      <c r="K192" s="11" t="s">
        <v>8967</v>
      </c>
      <c r="L192" s="77" t="s">
        <v>8968</v>
      </c>
      <c r="M192" s="76">
        <v>44610</v>
      </c>
      <c r="N192" s="76"/>
      <c r="O192" s="75" t="s">
        <v>7923</v>
      </c>
      <c r="P192" s="17"/>
      <c r="Q192" s="76">
        <v>34957</v>
      </c>
      <c r="R192" s="78">
        <v>31.073972602739726</v>
      </c>
      <c r="S192" s="79" t="s">
        <v>8969</v>
      </c>
      <c r="T192" s="75" t="s">
        <v>7298</v>
      </c>
      <c r="U192" s="75" t="s">
        <v>8970</v>
      </c>
      <c r="V192" s="17"/>
      <c r="W192" s="75" t="s">
        <v>7300</v>
      </c>
      <c r="X192" s="80"/>
      <c r="Y192" s="75" t="s">
        <v>7302</v>
      </c>
      <c r="Z192" s="15" t="s">
        <v>8971</v>
      </c>
      <c r="AA192" s="75" t="s">
        <v>8971</v>
      </c>
      <c r="AB192" s="12" t="s">
        <v>8972</v>
      </c>
      <c r="AC192" s="12"/>
      <c r="AD192" s="75" t="s">
        <v>8973</v>
      </c>
      <c r="AE192" s="75" t="s">
        <v>8974</v>
      </c>
      <c r="AF192" s="17" t="s">
        <v>7306</v>
      </c>
      <c r="AG192" s="72">
        <v>0</v>
      </c>
      <c r="AH192" s="17"/>
      <c r="AI192" s="75" t="s">
        <v>7307</v>
      </c>
    </row>
    <row r="193" spans="1:35" ht="43.2" x14ac:dyDescent="0.3">
      <c r="A193" s="71" t="s">
        <v>7286</v>
      </c>
      <c r="B193" s="72" t="s">
        <v>8975</v>
      </c>
      <c r="C193" s="93" t="s">
        <v>8976</v>
      </c>
      <c r="D193" s="73" t="s">
        <v>8977</v>
      </c>
      <c r="E193" s="74" t="s">
        <v>8575</v>
      </c>
      <c r="F193" s="75" t="s">
        <v>7293</v>
      </c>
      <c r="G193" s="75" t="s">
        <v>7293</v>
      </c>
      <c r="H193" s="75" t="s">
        <v>7293</v>
      </c>
      <c r="I193" s="75" t="s">
        <v>7293</v>
      </c>
      <c r="J193" s="75" t="s">
        <v>8978</v>
      </c>
      <c r="K193" s="11" t="s">
        <v>8979</v>
      </c>
      <c r="L193" s="77" t="s">
        <v>7295</v>
      </c>
      <c r="M193" s="76">
        <v>44613</v>
      </c>
      <c r="N193" s="76"/>
      <c r="O193" s="75" t="s">
        <v>7923</v>
      </c>
      <c r="P193" s="17"/>
      <c r="Q193" s="76">
        <v>34324</v>
      </c>
      <c r="R193" s="78">
        <v>32.80821917808219</v>
      </c>
      <c r="S193" s="79" t="s">
        <v>8980</v>
      </c>
      <c r="T193" s="75" t="s">
        <v>7298</v>
      </c>
      <c r="U193" s="75" t="s">
        <v>8981</v>
      </c>
      <c r="V193" s="17"/>
      <c r="W193" s="75" t="s">
        <v>7300</v>
      </c>
      <c r="X193" s="80"/>
      <c r="Y193" s="75" t="s">
        <v>7319</v>
      </c>
      <c r="Z193" s="15" t="s">
        <v>8982</v>
      </c>
      <c r="AA193" s="75" t="s">
        <v>8982</v>
      </c>
      <c r="AB193" s="12" t="s">
        <v>8983</v>
      </c>
      <c r="AC193" s="12"/>
      <c r="AD193" s="75" t="s">
        <v>8984</v>
      </c>
      <c r="AE193" s="75" t="s">
        <v>8984</v>
      </c>
      <c r="AF193" s="17" t="s">
        <v>7323</v>
      </c>
      <c r="AG193" s="72">
        <v>0</v>
      </c>
      <c r="AH193" s="17"/>
      <c r="AI193" s="75" t="s">
        <v>7307</v>
      </c>
    </row>
    <row r="194" spans="1:35" x14ac:dyDescent="0.3">
      <c r="A194" s="71" t="s">
        <v>7286</v>
      </c>
      <c r="B194" s="72" t="s">
        <v>8985</v>
      </c>
      <c r="C194" s="72" t="s">
        <v>7150</v>
      </c>
      <c r="D194" s="81" t="s">
        <v>8986</v>
      </c>
      <c r="E194" s="74" t="s">
        <v>8987</v>
      </c>
      <c r="F194" s="75" t="s">
        <v>7329</v>
      </c>
      <c r="G194" s="75" t="s">
        <v>7330</v>
      </c>
      <c r="H194" s="75" t="s">
        <v>7405</v>
      </c>
      <c r="I194" s="75" t="s">
        <v>7406</v>
      </c>
      <c r="J194" s="75" t="s">
        <v>7407</v>
      </c>
      <c r="K194" s="11" t="s">
        <v>7408</v>
      </c>
      <c r="L194" s="77" t="s">
        <v>7409</v>
      </c>
      <c r="M194" s="76">
        <v>44630</v>
      </c>
      <c r="N194" s="76"/>
      <c r="O194" s="75" t="s">
        <v>7870</v>
      </c>
      <c r="P194" s="17"/>
      <c r="Q194" s="76">
        <v>33629</v>
      </c>
      <c r="R194" s="78">
        <v>34.712328767123289</v>
      </c>
      <c r="S194" s="79" t="s">
        <v>8988</v>
      </c>
      <c r="T194" s="75" t="s">
        <v>7298</v>
      </c>
      <c r="U194" s="75" t="s">
        <v>8989</v>
      </c>
      <c r="V194" s="17"/>
      <c r="W194" s="75" t="s">
        <v>7300</v>
      </c>
      <c r="X194" s="80"/>
      <c r="Y194" s="75" t="s">
        <v>7319</v>
      </c>
      <c r="Z194" s="15" t="s">
        <v>8990</v>
      </c>
      <c r="AA194" s="75"/>
      <c r="AB194" s="12" t="s">
        <v>7293</v>
      </c>
      <c r="AC194" s="12"/>
      <c r="AD194" s="75" t="s">
        <v>8991</v>
      </c>
      <c r="AE194" s="75" t="s">
        <v>8992</v>
      </c>
      <c r="AF194" s="17" t="s">
        <v>7323</v>
      </c>
      <c r="AG194" s="72">
        <v>1</v>
      </c>
      <c r="AH194" s="17"/>
      <c r="AI194" s="75" t="s">
        <v>7324</v>
      </c>
    </row>
    <row r="195" spans="1:35" ht="57.6" x14ac:dyDescent="0.3">
      <c r="A195" s="71" t="s">
        <v>7286</v>
      </c>
      <c r="B195" s="72" t="s">
        <v>8993</v>
      </c>
      <c r="C195" s="72" t="s">
        <v>8994</v>
      </c>
      <c r="D195" s="81" t="s">
        <v>8995</v>
      </c>
      <c r="E195" s="74" t="s">
        <v>8996</v>
      </c>
      <c r="F195" s="75" t="s">
        <v>7293</v>
      </c>
      <c r="G195" s="75" t="s">
        <v>7293</v>
      </c>
      <c r="H195" s="75" t="s">
        <v>8997</v>
      </c>
      <c r="I195" s="75" t="s">
        <v>8998</v>
      </c>
      <c r="J195" s="75" t="s">
        <v>8999</v>
      </c>
      <c r="K195" s="11" t="s">
        <v>9000</v>
      </c>
      <c r="L195" s="77" t="s">
        <v>9001</v>
      </c>
      <c r="M195" s="76">
        <v>44676</v>
      </c>
      <c r="N195" s="76"/>
      <c r="O195" s="75" t="s">
        <v>7923</v>
      </c>
      <c r="P195" s="17"/>
      <c r="Q195" s="76">
        <v>34680</v>
      </c>
      <c r="R195" s="78">
        <v>31.832876712328765</v>
      </c>
      <c r="S195" s="79" t="s">
        <v>9002</v>
      </c>
      <c r="T195" s="75" t="s">
        <v>7298</v>
      </c>
      <c r="U195" s="75" t="s">
        <v>9003</v>
      </c>
      <c r="V195" s="17"/>
      <c r="W195" s="75" t="s">
        <v>7300</v>
      </c>
      <c r="X195" s="92"/>
      <c r="Y195" s="75" t="s">
        <v>7319</v>
      </c>
      <c r="Z195" s="15" t="s">
        <v>9004</v>
      </c>
      <c r="AA195" s="75"/>
      <c r="AB195" s="12" t="s">
        <v>9005</v>
      </c>
      <c r="AC195" s="12"/>
      <c r="AD195" s="75" t="s">
        <v>9006</v>
      </c>
      <c r="AE195" s="75" t="s">
        <v>9006</v>
      </c>
      <c r="AF195" s="17" t="s">
        <v>7306</v>
      </c>
      <c r="AG195" s="17">
        <v>0</v>
      </c>
      <c r="AH195" s="17"/>
      <c r="AI195" s="75" t="s">
        <v>7307</v>
      </c>
    </row>
    <row r="196" spans="1:35" ht="57.6" x14ac:dyDescent="0.3">
      <c r="A196" s="71" t="s">
        <v>7286</v>
      </c>
      <c r="B196" s="72" t="s">
        <v>9007</v>
      </c>
      <c r="C196" s="72" t="s">
        <v>8994</v>
      </c>
      <c r="D196" s="81" t="s">
        <v>9008</v>
      </c>
      <c r="E196" s="74" t="s">
        <v>9009</v>
      </c>
      <c r="F196" s="75" t="s">
        <v>7293</v>
      </c>
      <c r="G196" s="75" t="s">
        <v>7293</v>
      </c>
      <c r="H196" s="75" t="s">
        <v>8997</v>
      </c>
      <c r="I196" s="75" t="s">
        <v>8998</v>
      </c>
      <c r="J196" s="75" t="s">
        <v>9010</v>
      </c>
      <c r="K196" s="11" t="s">
        <v>9011</v>
      </c>
      <c r="L196" s="77" t="s">
        <v>9012</v>
      </c>
      <c r="M196" s="76">
        <v>44678</v>
      </c>
      <c r="N196" s="76"/>
      <c r="O196" s="75" t="s">
        <v>7923</v>
      </c>
      <c r="P196" s="17"/>
      <c r="Q196" s="76">
        <v>34082</v>
      </c>
      <c r="R196" s="78">
        <v>33.471232876712328</v>
      </c>
      <c r="S196" s="79" t="s">
        <v>9013</v>
      </c>
      <c r="T196" s="75" t="s">
        <v>7298</v>
      </c>
      <c r="U196" s="75" t="s">
        <v>9014</v>
      </c>
      <c r="V196" s="17"/>
      <c r="W196" s="75" t="s">
        <v>7300</v>
      </c>
      <c r="X196" s="92"/>
      <c r="Y196" s="75" t="s">
        <v>7319</v>
      </c>
      <c r="Z196" s="15" t="s">
        <v>9015</v>
      </c>
      <c r="AA196" s="75"/>
      <c r="AB196" s="12" t="s">
        <v>9016</v>
      </c>
      <c r="AC196" s="12"/>
      <c r="AD196" s="75" t="s">
        <v>9017</v>
      </c>
      <c r="AE196" s="75" t="s">
        <v>9017</v>
      </c>
      <c r="AF196" s="17" t="s">
        <v>7323</v>
      </c>
      <c r="AG196" s="17">
        <v>0</v>
      </c>
      <c r="AH196" s="17"/>
      <c r="AI196" s="75" t="s">
        <v>7307</v>
      </c>
    </row>
    <row r="197" spans="1:35" ht="43.2" x14ac:dyDescent="0.3">
      <c r="A197" s="71" t="s">
        <v>7286</v>
      </c>
      <c r="B197" s="72" t="s">
        <v>9018</v>
      </c>
      <c r="C197" s="72" t="s">
        <v>7288</v>
      </c>
      <c r="D197" s="73" t="s">
        <v>9019</v>
      </c>
      <c r="E197" s="74" t="s">
        <v>9020</v>
      </c>
      <c r="F197" s="75" t="s">
        <v>7293</v>
      </c>
      <c r="G197" s="75" t="s">
        <v>7293</v>
      </c>
      <c r="H197" s="75" t="s">
        <v>8997</v>
      </c>
      <c r="I197" s="75" t="s">
        <v>8998</v>
      </c>
      <c r="J197" s="75" t="s">
        <v>9021</v>
      </c>
      <c r="K197" s="11" t="s">
        <v>9022</v>
      </c>
      <c r="L197" s="77" t="s">
        <v>7295</v>
      </c>
      <c r="M197" s="76">
        <v>44685</v>
      </c>
      <c r="N197" s="76"/>
      <c r="O197" s="75" t="s">
        <v>7923</v>
      </c>
      <c r="P197" s="17"/>
      <c r="Q197" s="76">
        <v>28163</v>
      </c>
      <c r="R197" s="78">
        <v>49.68767123287671</v>
      </c>
      <c r="S197" s="79" t="s">
        <v>9023</v>
      </c>
      <c r="T197" s="75" t="s">
        <v>7298</v>
      </c>
      <c r="U197" s="75" t="s">
        <v>9024</v>
      </c>
      <c r="V197" s="83">
        <v>46425</v>
      </c>
      <c r="W197" s="75" t="s">
        <v>7300</v>
      </c>
      <c r="X197" s="80"/>
      <c r="Y197" s="75" t="s">
        <v>7319</v>
      </c>
      <c r="Z197" s="15" t="s">
        <v>9025</v>
      </c>
      <c r="AA197" s="75" t="s">
        <v>9025</v>
      </c>
      <c r="AB197" s="12" t="s">
        <v>9026</v>
      </c>
      <c r="AC197" s="12"/>
      <c r="AD197" s="75"/>
      <c r="AE197" s="75"/>
      <c r="AF197" s="17" t="s">
        <v>7323</v>
      </c>
      <c r="AG197" s="17">
        <v>2</v>
      </c>
      <c r="AH197" s="17"/>
      <c r="AI197" s="75" t="s">
        <v>7307</v>
      </c>
    </row>
    <row r="198" spans="1:35" x14ac:dyDescent="0.3">
      <c r="A198" s="71" t="s">
        <v>7286</v>
      </c>
      <c r="B198" s="72" t="s">
        <v>9027</v>
      </c>
      <c r="C198" s="72" t="s">
        <v>7150</v>
      </c>
      <c r="D198" s="81" t="s">
        <v>9028</v>
      </c>
      <c r="E198" s="74" t="s">
        <v>1474</v>
      </c>
      <c r="F198" s="75" t="s">
        <v>7293</v>
      </c>
      <c r="G198" s="75" t="s">
        <v>7293</v>
      </c>
      <c r="H198" s="75" t="s">
        <v>7311</v>
      </c>
      <c r="I198" s="75" t="s">
        <v>7312</v>
      </c>
      <c r="J198" s="75" t="s">
        <v>7313</v>
      </c>
      <c r="K198" s="11" t="s">
        <v>7314</v>
      </c>
      <c r="L198" s="77" t="s">
        <v>7315</v>
      </c>
      <c r="M198" s="76">
        <v>44693</v>
      </c>
      <c r="N198" s="76"/>
      <c r="O198" s="75" t="s">
        <v>7923</v>
      </c>
      <c r="P198" s="17" t="s">
        <v>7316</v>
      </c>
      <c r="Q198" s="76">
        <v>28643</v>
      </c>
      <c r="R198" s="78">
        <v>48.372602739726027</v>
      </c>
      <c r="S198" s="79" t="s">
        <v>9029</v>
      </c>
      <c r="T198" s="75" t="s">
        <v>7298</v>
      </c>
      <c r="U198" s="75" t="s">
        <v>9030</v>
      </c>
      <c r="V198" s="83">
        <v>47484</v>
      </c>
      <c r="W198" s="75" t="s">
        <v>7300</v>
      </c>
      <c r="X198" s="75"/>
      <c r="Y198" s="75" t="s">
        <v>7319</v>
      </c>
      <c r="Z198" s="15" t="s">
        <v>9031</v>
      </c>
      <c r="AA198" s="75"/>
      <c r="AB198" s="12" t="s">
        <v>7293</v>
      </c>
      <c r="AC198" s="12"/>
      <c r="AD198" s="75" t="s">
        <v>9032</v>
      </c>
      <c r="AE198" s="75" t="s">
        <v>9033</v>
      </c>
      <c r="AF198" s="17" t="s">
        <v>7323</v>
      </c>
      <c r="AG198" s="17">
        <v>2</v>
      </c>
      <c r="AH198" s="17"/>
      <c r="AI198" s="75" t="s">
        <v>7324</v>
      </c>
    </row>
    <row r="199" spans="1:35" ht="57.6" x14ac:dyDescent="0.3">
      <c r="A199" s="71" t="s">
        <v>7286</v>
      </c>
      <c r="B199" s="72" t="s">
        <v>9034</v>
      </c>
      <c r="C199" s="72" t="s">
        <v>7288</v>
      </c>
      <c r="D199" s="73" t="s">
        <v>9035</v>
      </c>
      <c r="E199" s="74" t="s">
        <v>7350</v>
      </c>
      <c r="F199" s="75" t="s">
        <v>7346</v>
      </c>
      <c r="G199" s="75" t="s">
        <v>6471</v>
      </c>
      <c r="H199" s="75" t="s">
        <v>7293</v>
      </c>
      <c r="I199" s="75" t="s">
        <v>7293</v>
      </c>
      <c r="J199" s="75" t="s">
        <v>8618</v>
      </c>
      <c r="K199" s="11" t="s">
        <v>6356</v>
      </c>
      <c r="L199" s="77" t="s">
        <v>8575</v>
      </c>
      <c r="M199" s="76">
        <v>44694</v>
      </c>
      <c r="N199" s="76"/>
      <c r="O199" s="75" t="s">
        <v>7923</v>
      </c>
      <c r="P199" s="17"/>
      <c r="Q199" s="76">
        <v>35596</v>
      </c>
      <c r="R199" s="78">
        <v>29.323287671232876</v>
      </c>
      <c r="S199" s="79" t="s">
        <v>9036</v>
      </c>
      <c r="T199" s="75" t="s">
        <v>7298</v>
      </c>
      <c r="U199" s="75" t="s">
        <v>9037</v>
      </c>
      <c r="V199" s="83">
        <v>48380</v>
      </c>
      <c r="W199" s="75" t="s">
        <v>7300</v>
      </c>
      <c r="X199" s="75"/>
      <c r="Y199" s="75" t="s">
        <v>7319</v>
      </c>
      <c r="Z199" s="15" t="s">
        <v>9038</v>
      </c>
      <c r="AA199" s="75"/>
      <c r="AB199" s="12" t="s">
        <v>9039</v>
      </c>
      <c r="AC199" s="12"/>
      <c r="AD199" s="75"/>
      <c r="AE199" s="75" t="s">
        <v>9040</v>
      </c>
      <c r="AF199" s="17" t="s">
        <v>7323</v>
      </c>
      <c r="AG199" s="17">
        <v>0</v>
      </c>
      <c r="AH199" s="17"/>
      <c r="AI199" s="75" t="s">
        <v>7307</v>
      </c>
    </row>
    <row r="200" spans="1:35" ht="43.2" x14ac:dyDescent="0.3">
      <c r="A200" s="34" t="s">
        <v>7286</v>
      </c>
      <c r="B200" s="72" t="s">
        <v>9041</v>
      </c>
      <c r="C200" s="17" t="s">
        <v>7343</v>
      </c>
      <c r="D200" s="81" t="s">
        <v>9042</v>
      </c>
      <c r="E200" s="74" t="s">
        <v>9043</v>
      </c>
      <c r="F200" s="75" t="s">
        <v>7293</v>
      </c>
      <c r="G200" s="75" t="s">
        <v>7293</v>
      </c>
      <c r="H200" s="75" t="s">
        <v>8964</v>
      </c>
      <c r="I200" s="75" t="s">
        <v>8965</v>
      </c>
      <c r="J200" s="75" t="s">
        <v>9044</v>
      </c>
      <c r="K200" s="11" t="s">
        <v>8967</v>
      </c>
      <c r="L200" s="77" t="s">
        <v>9045</v>
      </c>
      <c r="M200" s="76">
        <v>44694</v>
      </c>
      <c r="N200" s="76"/>
      <c r="O200" s="75" t="s">
        <v>7923</v>
      </c>
      <c r="P200" s="17"/>
      <c r="Q200" s="76">
        <v>33822</v>
      </c>
      <c r="R200" s="78">
        <v>34.183561643835617</v>
      </c>
      <c r="S200" s="79" t="s">
        <v>9046</v>
      </c>
      <c r="T200" s="75" t="s">
        <v>7298</v>
      </c>
      <c r="U200" s="75" t="s">
        <v>9047</v>
      </c>
      <c r="V200" s="83">
        <v>46605</v>
      </c>
      <c r="W200" s="75" t="s">
        <v>7300</v>
      </c>
      <c r="X200" s="75"/>
      <c r="Y200" s="75" t="s">
        <v>7319</v>
      </c>
      <c r="Z200" s="15" t="s">
        <v>9048</v>
      </c>
      <c r="AA200" s="75" t="s">
        <v>9048</v>
      </c>
      <c r="AB200" s="12" t="s">
        <v>9049</v>
      </c>
      <c r="AC200" s="12"/>
      <c r="AD200" s="75"/>
      <c r="AE200" s="75"/>
      <c r="AF200" s="17" t="s">
        <v>7323</v>
      </c>
      <c r="AG200" s="17">
        <v>1</v>
      </c>
      <c r="AH200" s="17"/>
      <c r="AI200" s="75" t="s">
        <v>7307</v>
      </c>
    </row>
    <row r="201" spans="1:35" ht="57.6" x14ac:dyDescent="0.3">
      <c r="A201" s="71" t="s">
        <v>7286</v>
      </c>
      <c r="B201" s="72" t="s">
        <v>9050</v>
      </c>
      <c r="C201" s="72" t="s">
        <v>7367</v>
      </c>
      <c r="D201" s="81" t="s">
        <v>9051</v>
      </c>
      <c r="E201" s="74" t="s">
        <v>9052</v>
      </c>
      <c r="F201" s="75" t="s">
        <v>7370</v>
      </c>
      <c r="G201" s="75" t="s">
        <v>7371</v>
      </c>
      <c r="H201" s="75" t="s">
        <v>7372</v>
      </c>
      <c r="I201" s="75" t="s">
        <v>7373</v>
      </c>
      <c r="J201" s="75" t="s">
        <v>8653</v>
      </c>
      <c r="K201" s="11" t="s">
        <v>8654</v>
      </c>
      <c r="L201" s="77" t="s">
        <v>7376</v>
      </c>
      <c r="M201" s="76">
        <v>44701</v>
      </c>
      <c r="N201" s="76"/>
      <c r="O201" s="75" t="s">
        <v>7870</v>
      </c>
      <c r="P201" s="17"/>
      <c r="Q201" s="76">
        <v>35104</v>
      </c>
      <c r="R201" s="78">
        <v>30.671232876712327</v>
      </c>
      <c r="S201" s="79" t="s">
        <v>9053</v>
      </c>
      <c r="T201" s="75" t="s">
        <v>7298</v>
      </c>
      <c r="U201" s="75" t="s">
        <v>9054</v>
      </c>
      <c r="V201" s="83">
        <v>47911</v>
      </c>
      <c r="W201" s="75" t="s">
        <v>7300</v>
      </c>
      <c r="X201" s="75"/>
      <c r="Y201" s="75" t="s">
        <v>7302</v>
      </c>
      <c r="Z201" s="15" t="s">
        <v>9055</v>
      </c>
      <c r="AA201" s="75" t="s">
        <v>9056</v>
      </c>
      <c r="AB201" s="12" t="s">
        <v>9057</v>
      </c>
      <c r="AC201" s="12"/>
      <c r="AD201" s="75" t="s">
        <v>9058</v>
      </c>
      <c r="AE201" s="75" t="s">
        <v>9059</v>
      </c>
      <c r="AF201" s="17"/>
      <c r="AG201" s="17"/>
      <c r="AH201" s="17"/>
      <c r="AI201" s="75" t="s">
        <v>7745</v>
      </c>
    </row>
    <row r="202" spans="1:35" ht="57.6" x14ac:dyDescent="0.3">
      <c r="A202" s="71" t="s">
        <v>7286</v>
      </c>
      <c r="B202" s="72" t="s">
        <v>9060</v>
      </c>
      <c r="C202" s="72" t="s">
        <v>7150</v>
      </c>
      <c r="D202" s="81" t="s">
        <v>9061</v>
      </c>
      <c r="E202" s="74" t="s">
        <v>9062</v>
      </c>
      <c r="F202" s="75" t="s">
        <v>7329</v>
      </c>
      <c r="G202" s="75" t="s">
        <v>7330</v>
      </c>
      <c r="H202" s="75" t="s">
        <v>7405</v>
      </c>
      <c r="I202" s="75" t="s">
        <v>7406</v>
      </c>
      <c r="J202" s="75" t="s">
        <v>7407</v>
      </c>
      <c r="K202" s="11" t="s">
        <v>7408</v>
      </c>
      <c r="L202" s="77" t="s">
        <v>7409</v>
      </c>
      <c r="M202" s="76">
        <v>44713</v>
      </c>
      <c r="N202" s="76"/>
      <c r="O202" s="75" t="s">
        <v>7870</v>
      </c>
      <c r="P202" s="17"/>
      <c r="Q202" s="76">
        <v>33283</v>
      </c>
      <c r="R202" s="78">
        <v>35.660273972602738</v>
      </c>
      <c r="S202" s="79" t="s">
        <v>9063</v>
      </c>
      <c r="T202" s="75" t="s">
        <v>7298</v>
      </c>
      <c r="U202" s="75" t="s">
        <v>9064</v>
      </c>
      <c r="V202" s="83">
        <v>47760</v>
      </c>
      <c r="W202" s="75" t="s">
        <v>7300</v>
      </c>
      <c r="X202" s="75"/>
      <c r="Y202" s="75" t="s">
        <v>7319</v>
      </c>
      <c r="Z202" s="15" t="s">
        <v>9065</v>
      </c>
      <c r="AA202" s="75"/>
      <c r="AB202" s="12" t="s">
        <v>7293</v>
      </c>
      <c r="AC202" s="12" t="s">
        <v>9066</v>
      </c>
      <c r="AD202" s="75" t="s">
        <v>9067</v>
      </c>
      <c r="AE202" s="75" t="s">
        <v>9068</v>
      </c>
      <c r="AF202" s="17" t="s">
        <v>7323</v>
      </c>
      <c r="AG202" s="17">
        <v>1</v>
      </c>
      <c r="AH202" s="17"/>
      <c r="AI202" s="75" t="s">
        <v>7324</v>
      </c>
    </row>
    <row r="203" spans="1:35" ht="57.6" x14ac:dyDescent="0.3">
      <c r="A203" s="71" t="s">
        <v>7286</v>
      </c>
      <c r="B203" s="72" t="s">
        <v>9069</v>
      </c>
      <c r="C203" s="72" t="s">
        <v>7367</v>
      </c>
      <c r="D203" s="81" t="s">
        <v>9070</v>
      </c>
      <c r="E203" s="74" t="s">
        <v>9071</v>
      </c>
      <c r="F203" s="75" t="s">
        <v>7291</v>
      </c>
      <c r="G203" s="75" t="s">
        <v>7292</v>
      </c>
      <c r="H203" s="75" t="s">
        <v>7814</v>
      </c>
      <c r="I203" s="75" t="s">
        <v>7815</v>
      </c>
      <c r="J203" s="75" t="s">
        <v>8295</v>
      </c>
      <c r="K203" s="11" t="s">
        <v>6353</v>
      </c>
      <c r="L203" s="77" t="s">
        <v>7818</v>
      </c>
      <c r="M203" s="76">
        <v>44719</v>
      </c>
      <c r="N203" s="76"/>
      <c r="O203" s="75" t="s">
        <v>7892</v>
      </c>
      <c r="P203" s="17"/>
      <c r="Q203" s="76">
        <v>35061</v>
      </c>
      <c r="R203" s="78">
        <v>30.789041095890411</v>
      </c>
      <c r="S203" s="79" t="s">
        <v>9072</v>
      </c>
      <c r="T203" s="75" t="s">
        <v>7298</v>
      </c>
      <c r="U203" s="75" t="s">
        <v>9073</v>
      </c>
      <c r="V203" s="83">
        <v>47845</v>
      </c>
      <c r="W203" s="75" t="s">
        <v>7300</v>
      </c>
      <c r="X203" s="75"/>
      <c r="Y203" s="75" t="s">
        <v>7319</v>
      </c>
      <c r="Z203" s="15" t="s">
        <v>9074</v>
      </c>
      <c r="AA203" s="75" t="s">
        <v>9075</v>
      </c>
      <c r="AB203" s="12" t="s">
        <v>9076</v>
      </c>
      <c r="AC203" s="12"/>
      <c r="AD203" s="75" t="s">
        <v>9077</v>
      </c>
      <c r="AE203" s="75" t="s">
        <v>9078</v>
      </c>
      <c r="AF203" s="17"/>
      <c r="AG203" s="17"/>
      <c r="AH203" s="17"/>
      <c r="AI203" s="11" t="s">
        <v>7597</v>
      </c>
    </row>
    <row r="204" spans="1:35" ht="72" x14ac:dyDescent="0.3">
      <c r="A204" s="71" t="s">
        <v>7286</v>
      </c>
      <c r="B204" s="72" t="s">
        <v>9079</v>
      </c>
      <c r="C204" s="72" t="s">
        <v>7343</v>
      </c>
      <c r="D204" s="81" t="s">
        <v>9080</v>
      </c>
      <c r="E204" s="74" t="s">
        <v>9081</v>
      </c>
      <c r="F204" s="75" t="s">
        <v>7346</v>
      </c>
      <c r="G204" s="75" t="s">
        <v>6471</v>
      </c>
      <c r="H204" s="21" t="s">
        <v>9082</v>
      </c>
      <c r="I204" s="75" t="s">
        <v>9083</v>
      </c>
      <c r="J204" s="75" t="s">
        <v>9084</v>
      </c>
      <c r="K204" s="11" t="s">
        <v>9085</v>
      </c>
      <c r="L204" s="77" t="s">
        <v>7350</v>
      </c>
      <c r="M204" s="76">
        <v>44726</v>
      </c>
      <c r="N204" s="76"/>
      <c r="O204" s="75" t="s">
        <v>7923</v>
      </c>
      <c r="P204" s="17"/>
      <c r="Q204" s="76">
        <v>34390</v>
      </c>
      <c r="R204" s="78">
        <v>32.627397260273973</v>
      </c>
      <c r="S204" s="79" t="s">
        <v>9086</v>
      </c>
      <c r="T204" s="75" t="s">
        <v>7298</v>
      </c>
      <c r="U204" s="75" t="s">
        <v>9087</v>
      </c>
      <c r="V204" s="83">
        <v>47207</v>
      </c>
      <c r="W204" s="75" t="s">
        <v>7300</v>
      </c>
      <c r="X204" s="75" t="s">
        <v>7301</v>
      </c>
      <c r="Y204" s="75" t="s">
        <v>7319</v>
      </c>
      <c r="Z204" s="15" t="s">
        <v>9088</v>
      </c>
      <c r="AA204" s="75" t="s">
        <v>9088</v>
      </c>
      <c r="AB204" s="12" t="s">
        <v>9089</v>
      </c>
      <c r="AC204" s="12"/>
      <c r="AD204" s="15" t="s">
        <v>9090</v>
      </c>
      <c r="AE204" s="75" t="s">
        <v>9090</v>
      </c>
      <c r="AF204" s="17"/>
      <c r="AG204" s="17"/>
      <c r="AH204" s="17"/>
      <c r="AI204" s="75" t="s">
        <v>7307</v>
      </c>
    </row>
    <row r="205" spans="1:35" ht="72" x14ac:dyDescent="0.3">
      <c r="A205" s="71" t="s">
        <v>7286</v>
      </c>
      <c r="B205" s="72" t="s">
        <v>9091</v>
      </c>
      <c r="C205" s="17" t="s">
        <v>7367</v>
      </c>
      <c r="D205" s="81" t="s">
        <v>9092</v>
      </c>
      <c r="E205" s="74" t="s">
        <v>9093</v>
      </c>
      <c r="F205" s="75" t="s">
        <v>7346</v>
      </c>
      <c r="G205" s="75" t="s">
        <v>6471</v>
      </c>
      <c r="H205" s="21" t="s">
        <v>9082</v>
      </c>
      <c r="I205" s="75" t="s">
        <v>9083</v>
      </c>
      <c r="J205" s="75" t="s">
        <v>9094</v>
      </c>
      <c r="K205" s="11" t="s">
        <v>9095</v>
      </c>
      <c r="L205" s="77" t="s">
        <v>9081</v>
      </c>
      <c r="M205" s="76">
        <v>44746</v>
      </c>
      <c r="N205" s="76"/>
      <c r="O205" s="75" t="s">
        <v>7923</v>
      </c>
      <c r="P205" s="17"/>
      <c r="Q205" s="76">
        <v>36889</v>
      </c>
      <c r="R205" s="78">
        <v>25.780821917808218</v>
      </c>
      <c r="S205" s="79" t="s">
        <v>9096</v>
      </c>
      <c r="T205" s="75" t="s">
        <v>7298</v>
      </c>
      <c r="U205" s="75" t="s">
        <v>9097</v>
      </c>
      <c r="V205" s="83">
        <v>47913</v>
      </c>
      <c r="W205" s="75" t="s">
        <v>7300</v>
      </c>
      <c r="X205" s="75" t="s">
        <v>7301</v>
      </c>
      <c r="Y205" s="75" t="s">
        <v>7302</v>
      </c>
      <c r="Z205" s="15" t="s">
        <v>9098</v>
      </c>
      <c r="AA205" s="75" t="s">
        <v>9098</v>
      </c>
      <c r="AB205" s="12" t="s">
        <v>9099</v>
      </c>
      <c r="AC205" s="12"/>
      <c r="AD205" s="15" t="s">
        <v>9100</v>
      </c>
      <c r="AE205" s="75" t="s">
        <v>9100</v>
      </c>
      <c r="AF205" s="17" t="s">
        <v>7306</v>
      </c>
      <c r="AG205" s="17">
        <v>0</v>
      </c>
      <c r="AH205" s="17"/>
      <c r="AI205" s="75" t="s">
        <v>7307</v>
      </c>
    </row>
    <row r="206" spans="1:35" ht="57.6" x14ac:dyDescent="0.3">
      <c r="A206" s="71" t="s">
        <v>7286</v>
      </c>
      <c r="B206" s="72" t="s">
        <v>9101</v>
      </c>
      <c r="C206" s="17" t="s">
        <v>7326</v>
      </c>
      <c r="D206" s="81" t="s">
        <v>9102</v>
      </c>
      <c r="E206" s="74" t="s">
        <v>9103</v>
      </c>
      <c r="F206" s="75" t="s">
        <v>7293</v>
      </c>
      <c r="G206" s="75" t="s">
        <v>7293</v>
      </c>
      <c r="H206" s="75" t="s">
        <v>7311</v>
      </c>
      <c r="I206" s="75" t="s">
        <v>7312</v>
      </c>
      <c r="J206" s="75" t="s">
        <v>9104</v>
      </c>
      <c r="K206" s="11" t="s">
        <v>9105</v>
      </c>
      <c r="L206" s="77" t="s">
        <v>7315</v>
      </c>
      <c r="M206" s="76">
        <v>44761</v>
      </c>
      <c r="N206" s="76"/>
      <c r="O206" s="75" t="s">
        <v>7892</v>
      </c>
      <c r="P206" s="17"/>
      <c r="Q206" s="76">
        <v>36178</v>
      </c>
      <c r="R206" s="78">
        <v>27.728767123287671</v>
      </c>
      <c r="S206" s="79" t="s">
        <v>9106</v>
      </c>
      <c r="T206" s="75" t="s">
        <v>7298</v>
      </c>
      <c r="U206" s="75" t="s">
        <v>9107</v>
      </c>
      <c r="V206" s="83">
        <v>48941</v>
      </c>
      <c r="W206" s="75" t="s">
        <v>7300</v>
      </c>
      <c r="X206" s="75" t="s">
        <v>7301</v>
      </c>
      <c r="Y206" s="75" t="s">
        <v>7319</v>
      </c>
      <c r="Z206" s="15" t="s">
        <v>9108</v>
      </c>
      <c r="AA206" s="75" t="s">
        <v>9109</v>
      </c>
      <c r="AB206" s="12" t="s">
        <v>9110</v>
      </c>
      <c r="AC206" s="12"/>
      <c r="AD206" s="15" t="s">
        <v>9111</v>
      </c>
      <c r="AE206" s="75" t="s">
        <v>9112</v>
      </c>
      <c r="AF206" s="17" t="s">
        <v>7306</v>
      </c>
      <c r="AG206" s="17"/>
      <c r="AH206" s="17"/>
      <c r="AI206" s="75" t="s">
        <v>7307</v>
      </c>
    </row>
    <row r="207" spans="1:35" ht="57.6" x14ac:dyDescent="0.3">
      <c r="A207" s="71" t="s">
        <v>7286</v>
      </c>
      <c r="B207" s="72" t="s">
        <v>9113</v>
      </c>
      <c r="C207" s="17" t="s">
        <v>7367</v>
      </c>
      <c r="D207" s="81" t="s">
        <v>9114</v>
      </c>
      <c r="E207" s="74" t="s">
        <v>2357</v>
      </c>
      <c r="F207" s="75" t="s">
        <v>7370</v>
      </c>
      <c r="G207" s="75" t="s">
        <v>7371</v>
      </c>
      <c r="H207" s="75" t="s">
        <v>7767</v>
      </c>
      <c r="I207" s="75" t="s">
        <v>7768</v>
      </c>
      <c r="J207" s="75" t="s">
        <v>9115</v>
      </c>
      <c r="K207" s="11" t="s">
        <v>9116</v>
      </c>
      <c r="L207" s="77" t="s">
        <v>7771</v>
      </c>
      <c r="M207" s="76">
        <v>44762</v>
      </c>
      <c r="N207" s="76"/>
      <c r="O207" s="75" t="s">
        <v>7870</v>
      </c>
      <c r="P207" s="17"/>
      <c r="Q207" s="76">
        <v>36525</v>
      </c>
      <c r="R207" s="78">
        <v>26.778082191780822</v>
      </c>
      <c r="S207" s="79" t="s">
        <v>9117</v>
      </c>
      <c r="T207" s="75" t="s">
        <v>7298</v>
      </c>
      <c r="U207" s="75" t="s">
        <v>9118</v>
      </c>
      <c r="V207" s="83">
        <v>48035</v>
      </c>
      <c r="W207" s="75" t="s">
        <v>7300</v>
      </c>
      <c r="X207" s="75" t="s">
        <v>7301</v>
      </c>
      <c r="Y207" s="75" t="s">
        <v>7319</v>
      </c>
      <c r="Z207" s="15" t="s">
        <v>9119</v>
      </c>
      <c r="AA207" s="75"/>
      <c r="AB207" s="12" t="s">
        <v>9120</v>
      </c>
      <c r="AC207" s="12"/>
      <c r="AD207" s="15" t="s">
        <v>9121</v>
      </c>
      <c r="AE207" s="75" t="s">
        <v>9122</v>
      </c>
      <c r="AF207" s="17" t="s">
        <v>7306</v>
      </c>
      <c r="AG207" s="17"/>
      <c r="AH207" s="17"/>
      <c r="AI207" s="75" t="s">
        <v>7745</v>
      </c>
    </row>
    <row r="208" spans="1:35" ht="57.6" x14ac:dyDescent="0.3">
      <c r="A208" s="34" t="s">
        <v>7286</v>
      </c>
      <c r="B208" s="72" t="s">
        <v>9123</v>
      </c>
      <c r="C208" s="17" t="s">
        <v>7367</v>
      </c>
      <c r="D208" s="81" t="s">
        <v>9124</v>
      </c>
      <c r="E208" s="74" t="s">
        <v>9125</v>
      </c>
      <c r="F208" s="75" t="s">
        <v>7370</v>
      </c>
      <c r="G208" s="75" t="s">
        <v>7371</v>
      </c>
      <c r="H208" s="75" t="s">
        <v>7372</v>
      </c>
      <c r="I208" s="75" t="s">
        <v>7373</v>
      </c>
      <c r="J208" s="75" t="s">
        <v>8653</v>
      </c>
      <c r="K208" s="11" t="s">
        <v>8654</v>
      </c>
      <c r="L208" s="77" t="s">
        <v>7376</v>
      </c>
      <c r="M208" s="76">
        <v>44763</v>
      </c>
      <c r="N208" s="76"/>
      <c r="O208" s="75" t="s">
        <v>7870</v>
      </c>
      <c r="P208" s="17"/>
      <c r="Q208" s="76">
        <v>34314</v>
      </c>
      <c r="R208" s="78">
        <v>32.835616438356162</v>
      </c>
      <c r="S208" s="79" t="s">
        <v>9126</v>
      </c>
      <c r="T208" s="75" t="s">
        <v>7298</v>
      </c>
      <c r="U208" s="75" t="s">
        <v>9127</v>
      </c>
      <c r="V208" s="83">
        <v>47132</v>
      </c>
      <c r="W208" s="75" t="s">
        <v>7300</v>
      </c>
      <c r="X208" s="75" t="s">
        <v>7301</v>
      </c>
      <c r="Y208" s="75" t="s">
        <v>7302</v>
      </c>
      <c r="Z208" s="15" t="s">
        <v>9128</v>
      </c>
      <c r="AA208" s="75"/>
      <c r="AB208" s="12" t="s">
        <v>9129</v>
      </c>
      <c r="AC208" s="12"/>
      <c r="AD208" s="15" t="s">
        <v>9130</v>
      </c>
      <c r="AE208" s="75" t="s">
        <v>9130</v>
      </c>
      <c r="AF208" s="17" t="s">
        <v>7306</v>
      </c>
      <c r="AG208" s="17"/>
      <c r="AH208" s="17"/>
      <c r="AI208" s="75" t="s">
        <v>7745</v>
      </c>
    </row>
    <row r="209" spans="1:35" ht="57.6" x14ac:dyDescent="0.3">
      <c r="A209" s="34" t="s">
        <v>7286</v>
      </c>
      <c r="B209" s="72" t="s">
        <v>9131</v>
      </c>
      <c r="C209" s="17" t="s">
        <v>7367</v>
      </c>
      <c r="D209" s="81" t="s">
        <v>9132</v>
      </c>
      <c r="E209" s="74" t="s">
        <v>9133</v>
      </c>
      <c r="F209" s="75" t="s">
        <v>7293</v>
      </c>
      <c r="G209" s="75" t="s">
        <v>7293</v>
      </c>
      <c r="H209" s="11" t="s">
        <v>7293</v>
      </c>
      <c r="I209" s="75" t="s">
        <v>7293</v>
      </c>
      <c r="J209" s="75" t="s">
        <v>8585</v>
      </c>
      <c r="K209" s="11" t="s">
        <v>9134</v>
      </c>
      <c r="L209" s="77" t="s">
        <v>7587</v>
      </c>
      <c r="M209" s="76">
        <v>44767</v>
      </c>
      <c r="N209" s="76"/>
      <c r="O209" s="75" t="s">
        <v>7923</v>
      </c>
      <c r="P209" s="17"/>
      <c r="Q209" s="76">
        <v>32545</v>
      </c>
      <c r="R209" s="78">
        <v>37.682191780821917</v>
      </c>
      <c r="S209" s="79" t="s">
        <v>9135</v>
      </c>
      <c r="T209" s="75" t="s">
        <v>7298</v>
      </c>
      <c r="U209" s="74" t="s">
        <v>9136</v>
      </c>
      <c r="V209" s="83">
        <v>49012</v>
      </c>
      <c r="W209" s="75" t="s">
        <v>7300</v>
      </c>
      <c r="X209" s="75" t="s">
        <v>7301</v>
      </c>
      <c r="Y209" s="75" t="s">
        <v>7302</v>
      </c>
      <c r="Z209" s="15" t="s">
        <v>9137</v>
      </c>
      <c r="AA209" s="75" t="s">
        <v>9137</v>
      </c>
      <c r="AB209" s="12" t="s">
        <v>9138</v>
      </c>
      <c r="AC209" s="12"/>
      <c r="AD209" s="15" t="s">
        <v>9139</v>
      </c>
      <c r="AE209" s="75" t="s">
        <v>9139</v>
      </c>
      <c r="AF209" s="17"/>
      <c r="AG209" s="17"/>
      <c r="AH209" s="17"/>
      <c r="AI209" s="75" t="s">
        <v>7307</v>
      </c>
    </row>
    <row r="210" spans="1:35" x14ac:dyDescent="0.3">
      <c r="A210" s="34" t="s">
        <v>7286</v>
      </c>
      <c r="B210" s="72" t="s">
        <v>9140</v>
      </c>
      <c r="C210" s="17" t="s">
        <v>7150</v>
      </c>
      <c r="D210" s="81" t="s">
        <v>9141</v>
      </c>
      <c r="E210" s="74" t="s">
        <v>1463</v>
      </c>
      <c r="F210" s="75" t="s">
        <v>7293</v>
      </c>
      <c r="G210" s="75" t="s">
        <v>7293</v>
      </c>
      <c r="H210" s="75" t="s">
        <v>7311</v>
      </c>
      <c r="I210" s="75" t="s">
        <v>7312</v>
      </c>
      <c r="J210" s="75" t="s">
        <v>7433</v>
      </c>
      <c r="K210" s="11" t="s">
        <v>7434</v>
      </c>
      <c r="L210" s="77" t="s">
        <v>7315</v>
      </c>
      <c r="M210" s="76">
        <v>44774</v>
      </c>
      <c r="N210" s="76"/>
      <c r="O210" s="75" t="s">
        <v>7870</v>
      </c>
      <c r="P210" s="17" t="s">
        <v>7425</v>
      </c>
      <c r="Q210" s="76">
        <v>36842</v>
      </c>
      <c r="R210" s="78">
        <v>25.909589041095892</v>
      </c>
      <c r="S210" s="79" t="s">
        <v>9142</v>
      </c>
      <c r="T210" s="75" t="s">
        <v>7298</v>
      </c>
      <c r="U210" s="75" t="s">
        <v>9143</v>
      </c>
      <c r="V210" s="83">
        <v>45973</v>
      </c>
      <c r="W210" s="75" t="s">
        <v>7300</v>
      </c>
      <c r="X210" s="75" t="s">
        <v>7301</v>
      </c>
      <c r="Y210" s="75" t="s">
        <v>7319</v>
      </c>
      <c r="Z210" s="15" t="s">
        <v>9144</v>
      </c>
      <c r="AA210" s="75"/>
      <c r="AB210" s="12" t="s">
        <v>7293</v>
      </c>
      <c r="AC210" s="12"/>
      <c r="AD210" s="15" t="s">
        <v>9145</v>
      </c>
      <c r="AE210" s="75" t="s">
        <v>9146</v>
      </c>
      <c r="AF210" s="17" t="s">
        <v>7306</v>
      </c>
      <c r="AG210" s="17"/>
      <c r="AH210" s="17"/>
      <c r="AI210" s="75" t="s">
        <v>7425</v>
      </c>
    </row>
    <row r="211" spans="1:35" x14ac:dyDescent="0.3">
      <c r="A211" s="34" t="s">
        <v>7286</v>
      </c>
      <c r="B211" s="72" t="s">
        <v>9147</v>
      </c>
      <c r="C211" s="17" t="s">
        <v>7150</v>
      </c>
      <c r="D211" s="81" t="s">
        <v>9148</v>
      </c>
      <c r="E211" s="74" t="s">
        <v>1443</v>
      </c>
      <c r="F211" s="75" t="s">
        <v>7293</v>
      </c>
      <c r="G211" s="75" t="s">
        <v>7293</v>
      </c>
      <c r="H211" s="75" t="s">
        <v>7311</v>
      </c>
      <c r="I211" s="75" t="s">
        <v>7312</v>
      </c>
      <c r="J211" s="75" t="s">
        <v>7433</v>
      </c>
      <c r="K211" s="11" t="s">
        <v>7434</v>
      </c>
      <c r="L211" s="77" t="s">
        <v>7315</v>
      </c>
      <c r="M211" s="76">
        <v>44774</v>
      </c>
      <c r="N211" s="76"/>
      <c r="O211" s="75" t="s">
        <v>7870</v>
      </c>
      <c r="P211" s="17" t="s">
        <v>7316</v>
      </c>
      <c r="Q211" s="76">
        <v>27935</v>
      </c>
      <c r="R211" s="78">
        <v>50.31232876712329</v>
      </c>
      <c r="S211" s="79" t="s">
        <v>9149</v>
      </c>
      <c r="T211" s="75" t="s">
        <v>7298</v>
      </c>
      <c r="U211" s="75" t="s">
        <v>9150</v>
      </c>
      <c r="V211" s="83">
        <v>47885</v>
      </c>
      <c r="W211" s="75" t="s">
        <v>7300</v>
      </c>
      <c r="X211" s="75" t="s">
        <v>7301</v>
      </c>
      <c r="Y211" s="75" t="s">
        <v>7319</v>
      </c>
      <c r="Z211" s="15" t="s">
        <v>9151</v>
      </c>
      <c r="AA211" s="75"/>
      <c r="AB211" s="12" t="s">
        <v>7293</v>
      </c>
      <c r="AC211" s="12"/>
      <c r="AD211" s="15" t="s">
        <v>9152</v>
      </c>
      <c r="AE211" s="75" t="s">
        <v>9153</v>
      </c>
      <c r="AF211" s="17" t="s">
        <v>7323</v>
      </c>
      <c r="AG211" s="17"/>
      <c r="AH211" s="17"/>
      <c r="AI211" s="75" t="s">
        <v>7324</v>
      </c>
    </row>
    <row r="212" spans="1:35" ht="57.6" x14ac:dyDescent="0.3">
      <c r="A212" s="34" t="s">
        <v>7286</v>
      </c>
      <c r="B212" s="72" t="s">
        <v>9154</v>
      </c>
      <c r="C212" s="17" t="s">
        <v>7343</v>
      </c>
      <c r="D212" s="81" t="s">
        <v>9155</v>
      </c>
      <c r="E212" s="74" t="s">
        <v>9156</v>
      </c>
      <c r="F212" s="75" t="s">
        <v>7293</v>
      </c>
      <c r="G212" s="75" t="s">
        <v>7293</v>
      </c>
      <c r="H212" s="75" t="s">
        <v>7293</v>
      </c>
      <c r="I212" s="75" t="s">
        <v>7293</v>
      </c>
      <c r="J212" s="75" t="s">
        <v>9157</v>
      </c>
      <c r="K212" s="11" t="s">
        <v>9158</v>
      </c>
      <c r="L212" s="77" t="s">
        <v>9159</v>
      </c>
      <c r="M212" s="76">
        <v>44774</v>
      </c>
      <c r="N212" s="76"/>
      <c r="O212" s="75" t="s">
        <v>7923</v>
      </c>
      <c r="P212" s="17"/>
      <c r="Q212" s="76">
        <v>32845</v>
      </c>
      <c r="R212" s="78">
        <v>36.860273972602741</v>
      </c>
      <c r="S212" s="79" t="s">
        <v>9160</v>
      </c>
      <c r="T212" s="75" t="s">
        <v>7298</v>
      </c>
      <c r="U212" s="75" t="s">
        <v>9161</v>
      </c>
      <c r="V212" s="83">
        <v>47195</v>
      </c>
      <c r="W212" s="75" t="s">
        <v>7300</v>
      </c>
      <c r="X212" s="75" t="s">
        <v>7301</v>
      </c>
      <c r="Y212" s="75" t="s">
        <v>7302</v>
      </c>
      <c r="Z212" s="15" t="s">
        <v>9162</v>
      </c>
      <c r="AA212" s="75" t="s">
        <v>9162</v>
      </c>
      <c r="AB212" s="12" t="s">
        <v>9163</v>
      </c>
      <c r="AC212" s="12"/>
      <c r="AD212" s="15" t="s">
        <v>9164</v>
      </c>
      <c r="AE212" s="75" t="s">
        <v>9164</v>
      </c>
      <c r="AF212" s="17"/>
      <c r="AG212" s="17"/>
      <c r="AH212" s="17"/>
      <c r="AI212" s="75" t="s">
        <v>7307</v>
      </c>
    </row>
    <row r="213" spans="1:35" ht="57.6" x14ac:dyDescent="0.3">
      <c r="A213" s="34" t="s">
        <v>7286</v>
      </c>
      <c r="B213" s="72" t="s">
        <v>9165</v>
      </c>
      <c r="C213" s="17" t="s">
        <v>7343</v>
      </c>
      <c r="D213" s="81" t="s">
        <v>9166</v>
      </c>
      <c r="E213" s="74" t="s">
        <v>9167</v>
      </c>
      <c r="F213" s="75" t="s">
        <v>7293</v>
      </c>
      <c r="G213" s="75" t="s">
        <v>7293</v>
      </c>
      <c r="H213" s="75" t="s">
        <v>8964</v>
      </c>
      <c r="I213" s="75" t="s">
        <v>8965</v>
      </c>
      <c r="J213" s="75" t="s">
        <v>9168</v>
      </c>
      <c r="K213" s="11" t="s">
        <v>8967</v>
      </c>
      <c r="L213" s="77" t="s">
        <v>8968</v>
      </c>
      <c r="M213" s="76">
        <v>44781</v>
      </c>
      <c r="N213" s="76"/>
      <c r="O213" s="75" t="s">
        <v>7923</v>
      </c>
      <c r="P213" s="17"/>
      <c r="Q213" s="76">
        <v>33610</v>
      </c>
      <c r="R213" s="78">
        <v>34.764383561643832</v>
      </c>
      <c r="S213" s="79" t="s">
        <v>9169</v>
      </c>
      <c r="T213" s="75" t="s">
        <v>7298</v>
      </c>
      <c r="U213" s="75" t="s">
        <v>9170</v>
      </c>
      <c r="V213" s="83">
        <v>47072</v>
      </c>
      <c r="W213" s="75" t="s">
        <v>7300</v>
      </c>
      <c r="X213" s="75" t="s">
        <v>7301</v>
      </c>
      <c r="Y213" s="75" t="s">
        <v>7319</v>
      </c>
      <c r="Z213" s="15" t="s">
        <v>9171</v>
      </c>
      <c r="AA213" s="75" t="s">
        <v>9171</v>
      </c>
      <c r="AB213" s="12" t="s">
        <v>9172</v>
      </c>
      <c r="AC213" s="12"/>
      <c r="AD213" s="15" t="s">
        <v>9173</v>
      </c>
      <c r="AE213" s="75" t="s">
        <v>9173</v>
      </c>
      <c r="AF213" s="17" t="s">
        <v>7306</v>
      </c>
      <c r="AG213" s="17"/>
      <c r="AH213" s="17"/>
      <c r="AI213" s="75" t="s">
        <v>7307</v>
      </c>
    </row>
    <row r="214" spans="1:35" ht="57.6" x14ac:dyDescent="0.3">
      <c r="A214" s="34" t="s">
        <v>7286</v>
      </c>
      <c r="B214" s="72" t="s">
        <v>9174</v>
      </c>
      <c r="C214" s="17" t="s">
        <v>7288</v>
      </c>
      <c r="D214" s="73" t="s">
        <v>9175</v>
      </c>
      <c r="E214" s="74" t="s">
        <v>9176</v>
      </c>
      <c r="F214" s="75" t="s">
        <v>7370</v>
      </c>
      <c r="G214" s="75" t="s">
        <v>7371</v>
      </c>
      <c r="H214" s="75" t="s">
        <v>7293</v>
      </c>
      <c r="I214" s="75" t="s">
        <v>7293</v>
      </c>
      <c r="J214" s="75" t="s">
        <v>9177</v>
      </c>
      <c r="K214" s="11" t="s">
        <v>9178</v>
      </c>
      <c r="L214" s="77" t="s">
        <v>7295</v>
      </c>
      <c r="M214" s="76">
        <v>44788</v>
      </c>
      <c r="N214" s="76"/>
      <c r="O214" s="75" t="s">
        <v>7923</v>
      </c>
      <c r="P214" s="17"/>
      <c r="Q214" s="76">
        <v>33324</v>
      </c>
      <c r="R214" s="78">
        <v>35.547945205479451</v>
      </c>
      <c r="S214" s="79" t="s">
        <v>9179</v>
      </c>
      <c r="T214" s="75" t="s">
        <v>7298</v>
      </c>
      <c r="U214" s="75" t="s">
        <v>9180</v>
      </c>
      <c r="V214" s="83">
        <v>46108</v>
      </c>
      <c r="W214" s="75" t="s">
        <v>7300</v>
      </c>
      <c r="X214" s="75" t="s">
        <v>7301</v>
      </c>
      <c r="Y214" s="75" t="s">
        <v>7302</v>
      </c>
      <c r="Z214" s="15" t="s">
        <v>9181</v>
      </c>
      <c r="AA214" s="75" t="s">
        <v>9181</v>
      </c>
      <c r="AB214" s="12" t="s">
        <v>9182</v>
      </c>
      <c r="AC214" s="12"/>
      <c r="AD214" s="15" t="s">
        <v>9183</v>
      </c>
      <c r="AE214" s="75"/>
      <c r="AF214" s="17"/>
      <c r="AG214" s="17"/>
      <c r="AH214" s="17"/>
      <c r="AI214" s="75" t="s">
        <v>7745</v>
      </c>
    </row>
    <row r="215" spans="1:35" x14ac:dyDescent="0.3">
      <c r="A215" s="34" t="s">
        <v>7286</v>
      </c>
      <c r="B215" s="72" t="s">
        <v>9184</v>
      </c>
      <c r="C215" s="17" t="s">
        <v>7150</v>
      </c>
      <c r="D215" s="81" t="s">
        <v>9185</v>
      </c>
      <c r="E215" s="94" t="s">
        <v>1401</v>
      </c>
      <c r="F215" s="75" t="s">
        <v>7293</v>
      </c>
      <c r="G215" s="75" t="s">
        <v>7293</v>
      </c>
      <c r="H215" s="75" t="s">
        <v>7311</v>
      </c>
      <c r="I215" s="75" t="s">
        <v>7312</v>
      </c>
      <c r="J215" s="75" t="s">
        <v>7433</v>
      </c>
      <c r="K215" s="11" t="s">
        <v>7434</v>
      </c>
      <c r="L215" s="77" t="s">
        <v>7315</v>
      </c>
      <c r="M215" s="76">
        <v>44816</v>
      </c>
      <c r="N215" s="76"/>
      <c r="O215" s="75" t="s">
        <v>7870</v>
      </c>
      <c r="P215" s="17" t="s">
        <v>7316</v>
      </c>
      <c r="Q215" s="76">
        <v>30025</v>
      </c>
      <c r="R215" s="78">
        <v>44.586301369863016</v>
      </c>
      <c r="S215" s="79" t="s">
        <v>9186</v>
      </c>
      <c r="T215" s="75" t="s">
        <v>7298</v>
      </c>
      <c r="U215" s="75" t="s">
        <v>9187</v>
      </c>
      <c r="V215" s="83">
        <v>47497</v>
      </c>
      <c r="W215" s="75" t="s">
        <v>7300</v>
      </c>
      <c r="X215" s="75"/>
      <c r="Y215" s="75" t="s">
        <v>7319</v>
      </c>
      <c r="Z215" s="15" t="s">
        <v>9188</v>
      </c>
      <c r="AA215" s="75"/>
      <c r="AB215" s="12" t="s">
        <v>7293</v>
      </c>
      <c r="AC215" s="12"/>
      <c r="AD215" s="15" t="s">
        <v>9189</v>
      </c>
      <c r="AE215" s="75" t="s">
        <v>9190</v>
      </c>
      <c r="AF215" s="17"/>
      <c r="AG215" s="17"/>
      <c r="AH215" s="17"/>
      <c r="AI215" s="75" t="s">
        <v>7324</v>
      </c>
    </row>
    <row r="216" spans="1:35" ht="57.6" x14ac:dyDescent="0.3">
      <c r="A216" s="34" t="s">
        <v>7286</v>
      </c>
      <c r="B216" s="72" t="s">
        <v>9191</v>
      </c>
      <c r="C216" s="17" t="s">
        <v>7343</v>
      </c>
      <c r="D216" s="81" t="s">
        <v>9192</v>
      </c>
      <c r="E216" s="94" t="s">
        <v>39</v>
      </c>
      <c r="F216" s="75" t="s">
        <v>7293</v>
      </c>
      <c r="G216" s="75" t="s">
        <v>7293</v>
      </c>
      <c r="H216" s="75" t="s">
        <v>8964</v>
      </c>
      <c r="I216" s="75" t="s">
        <v>8965</v>
      </c>
      <c r="J216" s="75" t="s">
        <v>9193</v>
      </c>
      <c r="K216" s="11" t="s">
        <v>9194</v>
      </c>
      <c r="L216" s="77" t="s">
        <v>9195</v>
      </c>
      <c r="M216" s="76">
        <v>44830</v>
      </c>
      <c r="N216" s="76"/>
      <c r="O216" s="75" t="s">
        <v>7923</v>
      </c>
      <c r="P216" s="17"/>
      <c r="Q216" s="76">
        <v>35057</v>
      </c>
      <c r="R216" s="78">
        <v>30.8</v>
      </c>
      <c r="S216" s="79" t="s">
        <v>9196</v>
      </c>
      <c r="T216" s="75" t="s">
        <v>7298</v>
      </c>
      <c r="U216" s="75" t="s">
        <v>9197</v>
      </c>
      <c r="V216" s="83">
        <v>48066</v>
      </c>
      <c r="W216" s="75" t="s">
        <v>7300</v>
      </c>
      <c r="X216" s="75" t="s">
        <v>7301</v>
      </c>
      <c r="Y216" s="75" t="s">
        <v>7319</v>
      </c>
      <c r="Z216" s="15" t="s">
        <v>9198</v>
      </c>
      <c r="AA216" s="75" t="s">
        <v>9198</v>
      </c>
      <c r="AB216" s="12" t="s">
        <v>9199</v>
      </c>
      <c r="AC216" s="12"/>
      <c r="AD216" s="15" t="s">
        <v>9200</v>
      </c>
      <c r="AE216" s="75" t="s">
        <v>9200</v>
      </c>
      <c r="AF216" s="17"/>
      <c r="AG216" s="17"/>
      <c r="AH216" s="17"/>
      <c r="AI216" s="75" t="s">
        <v>7307</v>
      </c>
    </row>
    <row r="217" spans="1:35" x14ac:dyDescent="0.3">
      <c r="A217" s="34" t="s">
        <v>7286</v>
      </c>
      <c r="B217" s="72" t="s">
        <v>9201</v>
      </c>
      <c r="C217" s="17" t="s">
        <v>7367</v>
      </c>
      <c r="D217" s="94" t="s">
        <v>9202</v>
      </c>
      <c r="E217" s="75" t="s">
        <v>9203</v>
      </c>
      <c r="F217" s="75" t="s">
        <v>7293</v>
      </c>
      <c r="G217" s="75" t="s">
        <v>7293</v>
      </c>
      <c r="H217" s="75" t="s">
        <v>7933</v>
      </c>
      <c r="I217" s="75" t="s">
        <v>7934</v>
      </c>
      <c r="J217" s="75" t="s">
        <v>8844</v>
      </c>
      <c r="K217" s="11" t="s">
        <v>8845</v>
      </c>
      <c r="L217" s="77" t="s">
        <v>7937</v>
      </c>
      <c r="M217" s="76">
        <v>44840</v>
      </c>
      <c r="N217" s="76"/>
      <c r="O217" s="75" t="s">
        <v>7870</v>
      </c>
      <c r="P217" s="17"/>
      <c r="Q217" s="95">
        <v>37522</v>
      </c>
      <c r="R217" s="78">
        <v>24.046575342465754</v>
      </c>
      <c r="S217" s="75" t="s">
        <v>9204</v>
      </c>
      <c r="T217" s="75" t="s">
        <v>7298</v>
      </c>
      <c r="U217" s="96" t="s">
        <v>9205</v>
      </c>
      <c r="V217" s="83">
        <v>47239</v>
      </c>
      <c r="W217" s="75" t="s">
        <v>7300</v>
      </c>
      <c r="X217" s="75" t="s">
        <v>7301</v>
      </c>
      <c r="Y217" s="15" t="s">
        <v>7302</v>
      </c>
      <c r="Z217" s="75" t="s">
        <v>9206</v>
      </c>
      <c r="AA217" s="12"/>
      <c r="AB217" s="15" t="s">
        <v>9207</v>
      </c>
      <c r="AC217" s="75" t="s">
        <v>9208</v>
      </c>
      <c r="AD217" s="77" t="s">
        <v>9209</v>
      </c>
      <c r="AE217" s="77" t="s">
        <v>9210</v>
      </c>
      <c r="AF217" s="75"/>
      <c r="AG217" s="75"/>
      <c r="AH217" s="17"/>
      <c r="AI217" s="75" t="s">
        <v>7307</v>
      </c>
    </row>
    <row r="218" spans="1:35" x14ac:dyDescent="0.3">
      <c r="A218" s="34" t="s">
        <v>7286</v>
      </c>
      <c r="B218" s="72" t="s">
        <v>9211</v>
      </c>
      <c r="C218" s="17" t="s">
        <v>7150</v>
      </c>
      <c r="D218" s="81" t="s">
        <v>9212</v>
      </c>
      <c r="E218" s="94" t="s">
        <v>1507</v>
      </c>
      <c r="F218" s="75" t="s">
        <v>7293</v>
      </c>
      <c r="G218" s="75" t="s">
        <v>7293</v>
      </c>
      <c r="H218" s="75" t="s">
        <v>7311</v>
      </c>
      <c r="I218" s="75" t="s">
        <v>7312</v>
      </c>
      <c r="J218" s="75" t="s">
        <v>7313</v>
      </c>
      <c r="K218" s="11" t="s">
        <v>7314</v>
      </c>
      <c r="L218" s="77" t="s">
        <v>7315</v>
      </c>
      <c r="M218" s="76">
        <v>44844</v>
      </c>
      <c r="N218" s="76"/>
      <c r="O218" s="75" t="s">
        <v>7892</v>
      </c>
      <c r="P218" s="17" t="s">
        <v>7670</v>
      </c>
      <c r="Q218" s="76">
        <v>28615</v>
      </c>
      <c r="R218" s="78">
        <v>48.449315068493149</v>
      </c>
      <c r="S218" s="79" t="s">
        <v>9213</v>
      </c>
      <c r="T218" s="75" t="s">
        <v>7298</v>
      </c>
      <c r="U218" s="75" t="s">
        <v>9214</v>
      </c>
      <c r="V218" s="83">
        <v>46878</v>
      </c>
      <c r="W218" s="75" t="s">
        <v>7300</v>
      </c>
      <c r="X218" s="75" t="s">
        <v>7301</v>
      </c>
      <c r="Y218" s="75" t="s">
        <v>7319</v>
      </c>
      <c r="Z218" s="15" t="s">
        <v>9215</v>
      </c>
      <c r="AA218" s="75"/>
      <c r="AB218" s="12" t="s">
        <v>7293</v>
      </c>
      <c r="AC218" s="12"/>
      <c r="AD218" s="15" t="s">
        <v>9216</v>
      </c>
      <c r="AE218" s="75" t="s">
        <v>9216</v>
      </c>
      <c r="AF218" s="17"/>
      <c r="AG218" s="17"/>
      <c r="AH218" s="17"/>
      <c r="AI218" s="75" t="s">
        <v>7670</v>
      </c>
    </row>
    <row r="219" spans="1:35" ht="57.6" x14ac:dyDescent="0.3">
      <c r="A219" s="34" t="s">
        <v>7286</v>
      </c>
      <c r="B219" s="72" t="s">
        <v>9217</v>
      </c>
      <c r="C219" s="17" t="s">
        <v>7343</v>
      </c>
      <c r="D219" s="81" t="s">
        <v>9218</v>
      </c>
      <c r="E219" s="94" t="s">
        <v>9219</v>
      </c>
      <c r="F219" s="75" t="s">
        <v>7293</v>
      </c>
      <c r="G219" s="75" t="s">
        <v>7293</v>
      </c>
      <c r="H219" s="75" t="s">
        <v>8964</v>
      </c>
      <c r="I219" s="75" t="s">
        <v>8965</v>
      </c>
      <c r="J219" s="75" t="s">
        <v>9168</v>
      </c>
      <c r="K219" s="11" t="s">
        <v>8967</v>
      </c>
      <c r="L219" s="77" t="s">
        <v>7162</v>
      </c>
      <c r="M219" s="76">
        <v>44860</v>
      </c>
      <c r="N219" s="76"/>
      <c r="O219" s="75" t="s">
        <v>7923</v>
      </c>
      <c r="P219" s="17"/>
      <c r="Q219" s="76">
        <v>37052</v>
      </c>
      <c r="R219" s="78">
        <v>25.334246575342465</v>
      </c>
      <c r="S219" s="79" t="s">
        <v>9220</v>
      </c>
      <c r="T219" s="75" t="s">
        <v>9221</v>
      </c>
      <c r="U219" s="94" t="s">
        <v>9222</v>
      </c>
      <c r="V219" s="83">
        <v>46310</v>
      </c>
      <c r="W219" s="75" t="s">
        <v>7300</v>
      </c>
      <c r="X219" s="75"/>
      <c r="Y219" s="75" t="s">
        <v>7319</v>
      </c>
      <c r="Z219" s="15" t="s">
        <v>9223</v>
      </c>
      <c r="AA219" s="75"/>
      <c r="AB219" s="12" t="s">
        <v>9224</v>
      </c>
      <c r="AC219" s="12"/>
      <c r="AD219" s="15" t="s">
        <v>9225</v>
      </c>
      <c r="AE219" s="15" t="s">
        <v>9225</v>
      </c>
      <c r="AF219" s="17" t="s">
        <v>7306</v>
      </c>
      <c r="AG219" s="17"/>
      <c r="AH219" s="17"/>
      <c r="AI219" s="75" t="s">
        <v>7307</v>
      </c>
    </row>
    <row r="220" spans="1:35" ht="57.6" x14ac:dyDescent="0.3">
      <c r="A220" s="34" t="s">
        <v>7286</v>
      </c>
      <c r="B220" s="72" t="s">
        <v>9226</v>
      </c>
      <c r="C220" s="17" t="s">
        <v>7367</v>
      </c>
      <c r="D220" s="81" t="s">
        <v>9227</v>
      </c>
      <c r="E220" s="94" t="s">
        <v>9228</v>
      </c>
      <c r="F220" s="75" t="s">
        <v>7293</v>
      </c>
      <c r="G220" s="75" t="s">
        <v>7293</v>
      </c>
      <c r="H220" s="75" t="s">
        <v>8964</v>
      </c>
      <c r="I220" s="75" t="s">
        <v>8965</v>
      </c>
      <c r="J220" s="75" t="s">
        <v>9229</v>
      </c>
      <c r="K220" s="11" t="s">
        <v>9230</v>
      </c>
      <c r="L220" s="77" t="s">
        <v>9231</v>
      </c>
      <c r="M220" s="76">
        <v>44866</v>
      </c>
      <c r="N220" s="76"/>
      <c r="O220" s="75" t="s">
        <v>7923</v>
      </c>
      <c r="P220" s="17"/>
      <c r="Q220" s="76">
        <v>33032</v>
      </c>
      <c r="R220" s="78">
        <v>36.347945205479455</v>
      </c>
      <c r="S220" s="79" t="s">
        <v>9232</v>
      </c>
      <c r="T220" s="75" t="s">
        <v>7298</v>
      </c>
      <c r="U220" s="75" t="s">
        <v>9233</v>
      </c>
      <c r="V220" s="83">
        <v>48497</v>
      </c>
      <c r="W220" s="75" t="s">
        <v>7300</v>
      </c>
      <c r="X220" s="75" t="s">
        <v>7301</v>
      </c>
      <c r="Y220" s="75" t="s">
        <v>7302</v>
      </c>
      <c r="Z220" s="15" t="s">
        <v>9234</v>
      </c>
      <c r="AA220" s="75" t="s">
        <v>9234</v>
      </c>
      <c r="AB220" s="12" t="s">
        <v>9235</v>
      </c>
      <c r="AC220" s="12"/>
      <c r="AD220" s="15" t="s">
        <v>9236</v>
      </c>
      <c r="AE220" s="75" t="s">
        <v>9236</v>
      </c>
      <c r="AF220" s="17"/>
      <c r="AG220" s="17"/>
      <c r="AH220" s="17"/>
      <c r="AI220" s="75" t="s">
        <v>7307</v>
      </c>
    </row>
    <row r="221" spans="1:35" ht="43.2" x14ac:dyDescent="0.3">
      <c r="A221" s="34" t="s">
        <v>7286</v>
      </c>
      <c r="B221" s="72" t="s">
        <v>9237</v>
      </c>
      <c r="C221" s="17" t="s">
        <v>7343</v>
      </c>
      <c r="D221" s="81" t="s">
        <v>9238</v>
      </c>
      <c r="E221" s="94" t="s">
        <v>9239</v>
      </c>
      <c r="F221" s="75" t="s">
        <v>7293</v>
      </c>
      <c r="G221" s="75" t="s">
        <v>7293</v>
      </c>
      <c r="H221" s="75" t="s">
        <v>7946</v>
      </c>
      <c r="I221" s="75" t="s">
        <v>9240</v>
      </c>
      <c r="J221" s="75" t="s">
        <v>9241</v>
      </c>
      <c r="K221" s="11" t="s">
        <v>9242</v>
      </c>
      <c r="L221" s="77" t="s">
        <v>9243</v>
      </c>
      <c r="M221" s="76">
        <v>44866</v>
      </c>
      <c r="N221" s="76"/>
      <c r="O221" s="75" t="s">
        <v>7923</v>
      </c>
      <c r="P221" s="17"/>
      <c r="Q221" s="76">
        <v>33755</v>
      </c>
      <c r="R221" s="78">
        <v>34.367123287671234</v>
      </c>
      <c r="S221" s="79" t="s">
        <v>9244</v>
      </c>
      <c r="T221" s="75" t="s">
        <v>7298</v>
      </c>
      <c r="U221" s="75" t="s">
        <v>9245</v>
      </c>
      <c r="V221" s="83">
        <v>48102</v>
      </c>
      <c r="W221" s="75" t="s">
        <v>7300</v>
      </c>
      <c r="X221" s="75" t="s">
        <v>7301</v>
      </c>
      <c r="Y221" s="75" t="s">
        <v>7319</v>
      </c>
      <c r="Z221" s="15" t="s">
        <v>9246</v>
      </c>
      <c r="AA221" s="75" t="s">
        <v>9246</v>
      </c>
      <c r="AB221" s="12" t="s">
        <v>9247</v>
      </c>
      <c r="AC221" s="12"/>
      <c r="AD221" s="15" t="s">
        <v>9248</v>
      </c>
      <c r="AE221" s="75" t="s">
        <v>9249</v>
      </c>
      <c r="AF221" s="17"/>
      <c r="AG221" s="17"/>
      <c r="AH221" s="17"/>
      <c r="AI221" s="75" t="s">
        <v>7307</v>
      </c>
    </row>
    <row r="222" spans="1:35" ht="57.6" x14ac:dyDescent="0.3">
      <c r="A222" s="34" t="s">
        <v>7286</v>
      </c>
      <c r="B222" s="72" t="s">
        <v>9250</v>
      </c>
      <c r="C222" s="17" t="s">
        <v>7367</v>
      </c>
      <c r="D222" s="81" t="s">
        <v>9251</v>
      </c>
      <c r="E222" s="77" t="s">
        <v>9252</v>
      </c>
      <c r="F222" s="75" t="s">
        <v>7293</v>
      </c>
      <c r="G222" s="75" t="s">
        <v>7293</v>
      </c>
      <c r="H222" s="75" t="s">
        <v>9253</v>
      </c>
      <c r="I222" s="75" t="s">
        <v>9254</v>
      </c>
      <c r="J222" s="75" t="s">
        <v>9255</v>
      </c>
      <c r="K222" s="11" t="s">
        <v>9256</v>
      </c>
      <c r="L222" s="77" t="s">
        <v>9257</v>
      </c>
      <c r="M222" s="76">
        <v>44866</v>
      </c>
      <c r="N222" s="76"/>
      <c r="O222" s="75" t="s">
        <v>7870</v>
      </c>
      <c r="P222" s="17"/>
      <c r="Q222" s="76">
        <v>30843</v>
      </c>
      <c r="R222" s="78">
        <v>42.345205479452055</v>
      </c>
      <c r="S222" s="79" t="s">
        <v>9258</v>
      </c>
      <c r="T222" s="75" t="s">
        <v>7298</v>
      </c>
      <c r="U222" s="75" t="s">
        <v>9259</v>
      </c>
      <c r="V222" s="83">
        <v>47465</v>
      </c>
      <c r="W222" s="75" t="s">
        <v>7300</v>
      </c>
      <c r="X222" s="75" t="s">
        <v>7301</v>
      </c>
      <c r="Y222" s="75" t="s">
        <v>7302</v>
      </c>
      <c r="Z222" s="15" t="s">
        <v>9260</v>
      </c>
      <c r="AA222" s="75"/>
      <c r="AB222" s="12" t="s">
        <v>9261</v>
      </c>
      <c r="AC222" s="12"/>
      <c r="AD222" s="15" t="s">
        <v>9262</v>
      </c>
      <c r="AE222" s="75" t="s">
        <v>9262</v>
      </c>
      <c r="AF222" s="17"/>
      <c r="AG222" s="17"/>
      <c r="AH222" s="17"/>
      <c r="AI222" s="75" t="s">
        <v>7307</v>
      </c>
    </row>
    <row r="223" spans="1:35" ht="43.2" x14ac:dyDescent="0.3">
      <c r="A223" s="34" t="s">
        <v>7286</v>
      </c>
      <c r="B223" s="72" t="s">
        <v>9263</v>
      </c>
      <c r="C223" s="17" t="s">
        <v>7367</v>
      </c>
      <c r="D223" s="81" t="s">
        <v>9264</v>
      </c>
      <c r="E223" s="94" t="s">
        <v>9265</v>
      </c>
      <c r="F223" s="75" t="s">
        <v>7329</v>
      </c>
      <c r="G223" s="75" t="s">
        <v>7330</v>
      </c>
      <c r="H223" s="75" t="s">
        <v>7630</v>
      </c>
      <c r="I223" s="75" t="s">
        <v>7631</v>
      </c>
      <c r="J223" s="11" t="s">
        <v>7575</v>
      </c>
      <c r="K223" s="11" t="s">
        <v>6408</v>
      </c>
      <c r="L223" s="77" t="s">
        <v>7632</v>
      </c>
      <c r="M223" s="76">
        <v>44867</v>
      </c>
      <c r="N223" s="76"/>
      <c r="O223" s="75" t="s">
        <v>7923</v>
      </c>
      <c r="P223" s="17"/>
      <c r="Q223" s="76">
        <v>29618</v>
      </c>
      <c r="R223" s="78">
        <v>45.701369863013696</v>
      </c>
      <c r="S223" s="79" t="s">
        <v>9266</v>
      </c>
      <c r="T223" s="75" t="s">
        <v>7298</v>
      </c>
      <c r="U223" s="75" t="s">
        <v>9267</v>
      </c>
      <c r="V223" s="83">
        <v>48187</v>
      </c>
      <c r="W223" s="75" t="s">
        <v>7300</v>
      </c>
      <c r="X223" s="75"/>
      <c r="Y223" s="75" t="s">
        <v>7319</v>
      </c>
      <c r="Z223" s="15" t="s">
        <v>9268</v>
      </c>
      <c r="AA223" s="75"/>
      <c r="AB223" s="12" t="s">
        <v>9269</v>
      </c>
      <c r="AC223" s="12"/>
      <c r="AD223" s="15" t="s">
        <v>9270</v>
      </c>
      <c r="AE223" s="75" t="s">
        <v>9270</v>
      </c>
      <c r="AF223" s="17"/>
      <c r="AG223" s="17"/>
      <c r="AH223" s="17"/>
      <c r="AI223" s="75" t="s">
        <v>7324</v>
      </c>
    </row>
    <row r="224" spans="1:35" ht="57.6" x14ac:dyDescent="0.3">
      <c r="A224" s="34" t="s">
        <v>7286</v>
      </c>
      <c r="B224" s="72" t="s">
        <v>9271</v>
      </c>
      <c r="C224" s="17" t="s">
        <v>7367</v>
      </c>
      <c r="D224" s="81" t="s">
        <v>9272</v>
      </c>
      <c r="E224" s="94" t="s">
        <v>9273</v>
      </c>
      <c r="F224" s="75" t="s">
        <v>7293</v>
      </c>
      <c r="G224" s="75" t="s">
        <v>7293</v>
      </c>
      <c r="H224" s="75" t="s">
        <v>8964</v>
      </c>
      <c r="I224" s="75" t="s">
        <v>8965</v>
      </c>
      <c r="J224" s="75" t="s">
        <v>9274</v>
      </c>
      <c r="K224" s="11" t="s">
        <v>9275</v>
      </c>
      <c r="L224" s="77" t="s">
        <v>9276</v>
      </c>
      <c r="M224" s="76">
        <v>44867</v>
      </c>
      <c r="N224" s="76"/>
      <c r="O224" s="75" t="s">
        <v>7870</v>
      </c>
      <c r="P224" s="17"/>
      <c r="Q224" s="76">
        <v>36811</v>
      </c>
      <c r="R224" s="78">
        <v>25.994520547945207</v>
      </c>
      <c r="S224" s="79" t="s">
        <v>9277</v>
      </c>
      <c r="T224" s="75" t="s">
        <v>7298</v>
      </c>
      <c r="U224" s="75" t="s">
        <v>9278</v>
      </c>
      <c r="V224" s="83">
        <v>49445</v>
      </c>
      <c r="W224" s="75" t="s">
        <v>7300</v>
      </c>
      <c r="X224" s="75" t="s">
        <v>7301</v>
      </c>
      <c r="Y224" s="75" t="s">
        <v>7302</v>
      </c>
      <c r="Z224" s="15" t="s">
        <v>9279</v>
      </c>
      <c r="AA224" s="75" t="s">
        <v>9279</v>
      </c>
      <c r="AB224" s="12" t="s">
        <v>9280</v>
      </c>
      <c r="AC224" s="12"/>
      <c r="AD224" s="15" t="s">
        <v>9281</v>
      </c>
      <c r="AE224" s="75" t="s">
        <v>9281</v>
      </c>
      <c r="AF224" s="17"/>
      <c r="AG224" s="17"/>
      <c r="AH224" s="17"/>
      <c r="AI224" s="75" t="s">
        <v>7307</v>
      </c>
    </row>
    <row r="225" spans="1:35" ht="57.6" x14ac:dyDescent="0.3">
      <c r="A225" s="34" t="s">
        <v>7286</v>
      </c>
      <c r="B225" s="72" t="s">
        <v>9282</v>
      </c>
      <c r="C225" s="17" t="s">
        <v>7367</v>
      </c>
      <c r="D225" s="81" t="s">
        <v>9283</v>
      </c>
      <c r="E225" s="94" t="s">
        <v>9284</v>
      </c>
      <c r="F225" s="75" t="s">
        <v>7329</v>
      </c>
      <c r="G225" s="75" t="s">
        <v>7330</v>
      </c>
      <c r="H225" s="75" t="s">
        <v>7452</v>
      </c>
      <c r="I225" s="75" t="s">
        <v>7453</v>
      </c>
      <c r="J225" s="75" t="s">
        <v>9285</v>
      </c>
      <c r="K225" s="11" t="s">
        <v>9286</v>
      </c>
      <c r="L225" s="77" t="s">
        <v>7456</v>
      </c>
      <c r="M225" s="76">
        <v>44890</v>
      </c>
      <c r="N225" s="76"/>
      <c r="O225" s="75" t="s">
        <v>7923</v>
      </c>
      <c r="P225" s="17"/>
      <c r="Q225" s="76">
        <v>28812</v>
      </c>
      <c r="R225" s="78">
        <v>47.909589041095892</v>
      </c>
      <c r="S225" s="79" t="s">
        <v>9287</v>
      </c>
      <c r="T225" s="75" t="s">
        <v>7298</v>
      </c>
      <c r="U225" s="75" t="s">
        <v>9288</v>
      </c>
      <c r="V225" s="83">
        <v>47345</v>
      </c>
      <c r="W225" s="75" t="s">
        <v>7300</v>
      </c>
      <c r="X225" s="75" t="s">
        <v>7301</v>
      </c>
      <c r="Y225" s="75" t="s">
        <v>7302</v>
      </c>
      <c r="Z225" s="15" t="s">
        <v>9289</v>
      </c>
      <c r="AA225" s="75"/>
      <c r="AB225" s="12" t="s">
        <v>9290</v>
      </c>
      <c r="AC225" s="12"/>
      <c r="AD225" s="15" t="s">
        <v>9291</v>
      </c>
      <c r="AE225" s="75" t="s">
        <v>9291</v>
      </c>
      <c r="AF225" s="17"/>
      <c r="AG225" s="17"/>
      <c r="AH225" s="17"/>
      <c r="AI225" s="75" t="s">
        <v>7307</v>
      </c>
    </row>
    <row r="226" spans="1:35" ht="57.6" x14ac:dyDescent="0.3">
      <c r="A226" s="34" t="s">
        <v>7286</v>
      </c>
      <c r="B226" s="72" t="s">
        <v>9292</v>
      </c>
      <c r="C226" s="17" t="s">
        <v>7150</v>
      </c>
      <c r="D226" s="81" t="s">
        <v>9293</v>
      </c>
      <c r="E226" s="94" t="s">
        <v>9294</v>
      </c>
      <c r="F226" s="75" t="s">
        <v>7329</v>
      </c>
      <c r="G226" s="75" t="s">
        <v>7330</v>
      </c>
      <c r="H226" s="75" t="s">
        <v>7405</v>
      </c>
      <c r="I226" s="75" t="s">
        <v>7406</v>
      </c>
      <c r="J226" s="75" t="s">
        <v>7407</v>
      </c>
      <c r="K226" s="11" t="s">
        <v>7408</v>
      </c>
      <c r="L226" s="77" t="s">
        <v>7409</v>
      </c>
      <c r="M226" s="76">
        <v>44907</v>
      </c>
      <c r="N226" s="76"/>
      <c r="O226" s="75" t="s">
        <v>7870</v>
      </c>
      <c r="P226" s="17"/>
      <c r="Q226" s="76">
        <v>32970</v>
      </c>
      <c r="R226" s="78">
        <v>36.517808219178079</v>
      </c>
      <c r="S226" s="79" t="s">
        <v>9295</v>
      </c>
      <c r="T226" s="75" t="s">
        <v>7298</v>
      </c>
      <c r="U226" s="75" t="s">
        <v>9296</v>
      </c>
      <c r="V226" s="83">
        <v>47827</v>
      </c>
      <c r="W226" s="75" t="s">
        <v>7300</v>
      </c>
      <c r="X226" s="75"/>
      <c r="Y226" s="75" t="s">
        <v>7319</v>
      </c>
      <c r="Z226" s="15" t="s">
        <v>9297</v>
      </c>
      <c r="AA226" s="75"/>
      <c r="AB226" s="12" t="s">
        <v>7293</v>
      </c>
      <c r="AC226" s="12" t="s">
        <v>9298</v>
      </c>
      <c r="AD226" s="15" t="s">
        <v>9299</v>
      </c>
      <c r="AE226" s="75" t="s">
        <v>9299</v>
      </c>
      <c r="AF226" s="17"/>
      <c r="AG226" s="17"/>
      <c r="AH226" s="17"/>
      <c r="AI226" s="75" t="s">
        <v>7324</v>
      </c>
    </row>
    <row r="227" spans="1:35" ht="57.6" x14ac:dyDescent="0.3">
      <c r="A227" s="34" t="s">
        <v>7286</v>
      </c>
      <c r="B227" s="72" t="s">
        <v>9300</v>
      </c>
      <c r="C227" s="17" t="s">
        <v>7150</v>
      </c>
      <c r="D227" s="81" t="s">
        <v>9301</v>
      </c>
      <c r="E227" s="94" t="s">
        <v>9302</v>
      </c>
      <c r="F227" s="75" t="s">
        <v>7329</v>
      </c>
      <c r="G227" s="75" t="s">
        <v>7330</v>
      </c>
      <c r="H227" s="75" t="s">
        <v>7405</v>
      </c>
      <c r="I227" s="75" t="s">
        <v>7406</v>
      </c>
      <c r="J227" s="75" t="s">
        <v>7407</v>
      </c>
      <c r="K227" s="11" t="s">
        <v>7408</v>
      </c>
      <c r="L227" s="77" t="s">
        <v>7409</v>
      </c>
      <c r="M227" s="76">
        <v>44907</v>
      </c>
      <c r="N227" s="76"/>
      <c r="O227" s="75" t="s">
        <v>7870</v>
      </c>
      <c r="P227" s="17"/>
      <c r="Q227" s="76">
        <v>32548</v>
      </c>
      <c r="R227" s="78">
        <v>37.673972602739724</v>
      </c>
      <c r="S227" s="79" t="s">
        <v>9303</v>
      </c>
      <c r="T227" s="75" t="s">
        <v>7298</v>
      </c>
      <c r="U227" s="94" t="s">
        <v>9304</v>
      </c>
      <c r="V227" s="83">
        <v>48993</v>
      </c>
      <c r="W227" s="75" t="s">
        <v>7300</v>
      </c>
      <c r="X227" s="75"/>
      <c r="Y227" s="75" t="s">
        <v>7319</v>
      </c>
      <c r="Z227" s="15" t="s">
        <v>9305</v>
      </c>
      <c r="AA227" s="75"/>
      <c r="AB227" s="12" t="s">
        <v>7293</v>
      </c>
      <c r="AC227" s="12" t="s">
        <v>9306</v>
      </c>
      <c r="AD227" s="15" t="s">
        <v>9307</v>
      </c>
      <c r="AE227" s="75" t="s">
        <v>9307</v>
      </c>
      <c r="AF227" s="17"/>
      <c r="AG227" s="17"/>
      <c r="AH227" s="17"/>
      <c r="AI227" s="75" t="s">
        <v>7324</v>
      </c>
    </row>
    <row r="228" spans="1:35" x14ac:dyDescent="0.3">
      <c r="A228" s="34" t="s">
        <v>7286</v>
      </c>
      <c r="B228" s="72" t="s">
        <v>9308</v>
      </c>
      <c r="C228" s="17" t="s">
        <v>7367</v>
      </c>
      <c r="D228" s="81" t="s">
        <v>9309</v>
      </c>
      <c r="E228" s="94" t="s">
        <v>9310</v>
      </c>
      <c r="F228" s="75" t="s">
        <v>7329</v>
      </c>
      <c r="G228" s="75" t="s">
        <v>7330</v>
      </c>
      <c r="H228" s="11" t="s">
        <v>7358</v>
      </c>
      <c r="I228" s="75" t="s">
        <v>7359</v>
      </c>
      <c r="J228" s="75" t="s">
        <v>7388</v>
      </c>
      <c r="K228" s="11" t="s">
        <v>7389</v>
      </c>
      <c r="L228" s="77" t="s">
        <v>7360</v>
      </c>
      <c r="M228" s="76">
        <v>44910</v>
      </c>
      <c r="N228" s="76"/>
      <c r="O228" s="75" t="s">
        <v>7870</v>
      </c>
      <c r="P228" s="17"/>
      <c r="Q228" s="76">
        <v>31044</v>
      </c>
      <c r="R228" s="78">
        <v>41.794520547945204</v>
      </c>
      <c r="S228" s="79" t="s">
        <v>9311</v>
      </c>
      <c r="T228" s="75" t="s">
        <v>9312</v>
      </c>
      <c r="U228" s="75" t="s">
        <v>9313</v>
      </c>
      <c r="V228" s="83">
        <v>46485</v>
      </c>
      <c r="W228" s="75" t="s">
        <v>7300</v>
      </c>
      <c r="X228" s="75"/>
      <c r="Y228" s="75" t="s">
        <v>7319</v>
      </c>
      <c r="Z228" s="15" t="s">
        <v>9314</v>
      </c>
      <c r="AA228" s="75"/>
      <c r="AB228" s="12" t="s">
        <v>7293</v>
      </c>
      <c r="AC228" s="12"/>
      <c r="AD228" s="15" t="s">
        <v>9315</v>
      </c>
      <c r="AE228" s="75" t="s">
        <v>9315</v>
      </c>
      <c r="AF228" s="17"/>
      <c r="AG228" s="17"/>
      <c r="AH228" s="17"/>
      <c r="AI228" s="75" t="s">
        <v>7324</v>
      </c>
    </row>
    <row r="229" spans="1:35" ht="43.2" x14ac:dyDescent="0.3">
      <c r="A229" s="34" t="s">
        <v>7286</v>
      </c>
      <c r="B229" s="72" t="s">
        <v>9316</v>
      </c>
      <c r="C229" s="17" t="s">
        <v>7367</v>
      </c>
      <c r="D229" s="81" t="s">
        <v>9317</v>
      </c>
      <c r="E229" s="94" t="s">
        <v>9318</v>
      </c>
      <c r="F229" s="75" t="s">
        <v>7370</v>
      </c>
      <c r="G229" s="75" t="s">
        <v>7371</v>
      </c>
      <c r="H229" s="75" t="s">
        <v>8349</v>
      </c>
      <c r="I229" s="75" t="s">
        <v>8350</v>
      </c>
      <c r="J229" s="75" t="s">
        <v>9319</v>
      </c>
      <c r="K229" s="11" t="s">
        <v>9320</v>
      </c>
      <c r="L229" s="77" t="s">
        <v>2340</v>
      </c>
      <c r="M229" s="76">
        <v>44910</v>
      </c>
      <c r="N229" s="76"/>
      <c r="O229" s="75" t="s">
        <v>7870</v>
      </c>
      <c r="P229" s="17"/>
      <c r="Q229" s="76">
        <v>34952</v>
      </c>
      <c r="R229" s="78">
        <v>31.087671232876712</v>
      </c>
      <c r="S229" s="79" t="s">
        <v>9321</v>
      </c>
      <c r="T229" s="75" t="s">
        <v>7298</v>
      </c>
      <c r="U229" s="75" t="s">
        <v>9322</v>
      </c>
      <c r="V229" s="83">
        <v>47750</v>
      </c>
      <c r="W229" s="75" t="s">
        <v>7300</v>
      </c>
      <c r="X229" s="75"/>
      <c r="Y229" s="75" t="s">
        <v>7319</v>
      </c>
      <c r="Z229" s="15" t="s">
        <v>9323</v>
      </c>
      <c r="AA229" s="75"/>
      <c r="AB229" s="12" t="s">
        <v>9324</v>
      </c>
      <c r="AC229" s="12"/>
      <c r="AD229" s="15" t="s">
        <v>9325</v>
      </c>
      <c r="AE229" s="75" t="s">
        <v>9326</v>
      </c>
      <c r="AF229" s="17"/>
      <c r="AG229" s="17"/>
      <c r="AH229" s="17"/>
      <c r="AI229" s="75" t="s">
        <v>7745</v>
      </c>
    </row>
    <row r="230" spans="1:35" ht="57.6" x14ac:dyDescent="0.3">
      <c r="A230" s="34" t="s">
        <v>7286</v>
      </c>
      <c r="B230" s="72" t="s">
        <v>9327</v>
      </c>
      <c r="C230" s="72" t="s">
        <v>7367</v>
      </c>
      <c r="D230" s="81" t="s">
        <v>9328</v>
      </c>
      <c r="E230" s="94" t="s">
        <v>9329</v>
      </c>
      <c r="F230" s="75" t="s">
        <v>7370</v>
      </c>
      <c r="G230" s="75" t="s">
        <v>7371</v>
      </c>
      <c r="H230" s="75" t="s">
        <v>7767</v>
      </c>
      <c r="I230" s="75" t="s">
        <v>7768</v>
      </c>
      <c r="J230" s="75" t="s">
        <v>7978</v>
      </c>
      <c r="K230" s="11" t="s">
        <v>7979</v>
      </c>
      <c r="L230" s="77" t="s">
        <v>7771</v>
      </c>
      <c r="M230" s="76">
        <v>44914</v>
      </c>
      <c r="N230" s="76"/>
      <c r="O230" s="75" t="s">
        <v>7870</v>
      </c>
      <c r="P230" s="17"/>
      <c r="Q230" s="76">
        <v>35281</v>
      </c>
      <c r="R230" s="78">
        <v>30.186301369863013</v>
      </c>
      <c r="S230" s="79" t="s">
        <v>9330</v>
      </c>
      <c r="T230" s="75" t="s">
        <v>7298</v>
      </c>
      <c r="U230" s="75" t="s">
        <v>9331</v>
      </c>
      <c r="V230" s="83">
        <v>48121</v>
      </c>
      <c r="W230" s="75" t="s">
        <v>7300</v>
      </c>
      <c r="X230" s="75"/>
      <c r="Y230" s="75" t="s">
        <v>7319</v>
      </c>
      <c r="Z230" s="15" t="s">
        <v>9332</v>
      </c>
      <c r="AA230" s="75"/>
      <c r="AB230" s="12" t="s">
        <v>9333</v>
      </c>
      <c r="AC230" s="12"/>
      <c r="AD230" s="15" t="s">
        <v>9334</v>
      </c>
      <c r="AE230" s="75" t="s">
        <v>9335</v>
      </c>
      <c r="AF230" s="17"/>
      <c r="AG230" s="17"/>
      <c r="AH230" s="17"/>
      <c r="AI230" s="75" t="s">
        <v>7745</v>
      </c>
    </row>
    <row r="231" spans="1:35" ht="43.2" x14ac:dyDescent="0.3">
      <c r="A231" s="34" t="s">
        <v>7286</v>
      </c>
      <c r="B231" s="72" t="s">
        <v>9336</v>
      </c>
      <c r="C231" s="17" t="s">
        <v>7367</v>
      </c>
      <c r="D231" s="81" t="s">
        <v>9337</v>
      </c>
      <c r="E231" s="94" t="s">
        <v>9338</v>
      </c>
      <c r="F231" s="75" t="s">
        <v>7329</v>
      </c>
      <c r="G231" s="75" t="s">
        <v>7330</v>
      </c>
      <c r="H231" s="75" t="s">
        <v>7452</v>
      </c>
      <c r="I231" s="75" t="s">
        <v>7453</v>
      </c>
      <c r="J231" s="75" t="s">
        <v>8517</v>
      </c>
      <c r="K231" s="11" t="s">
        <v>6341</v>
      </c>
      <c r="L231" s="77" t="s">
        <v>7456</v>
      </c>
      <c r="M231" s="76">
        <v>44916</v>
      </c>
      <c r="N231" s="76"/>
      <c r="O231" s="75" t="s">
        <v>7870</v>
      </c>
      <c r="P231" s="17"/>
      <c r="Q231" s="76">
        <v>32634</v>
      </c>
      <c r="R231" s="78">
        <v>37.438356164383563</v>
      </c>
      <c r="S231" s="79" t="s">
        <v>9339</v>
      </c>
      <c r="T231" s="75" t="s">
        <v>7298</v>
      </c>
      <c r="U231" s="75" t="s">
        <v>9340</v>
      </c>
      <c r="V231" s="83">
        <v>47125</v>
      </c>
      <c r="W231" s="75" t="s">
        <v>7300</v>
      </c>
      <c r="X231" s="75"/>
      <c r="Y231" s="75" t="s">
        <v>7319</v>
      </c>
      <c r="Z231" s="15" t="s">
        <v>9341</v>
      </c>
      <c r="AA231" s="75"/>
      <c r="AB231" s="12" t="s">
        <v>9342</v>
      </c>
      <c r="AC231" s="12"/>
      <c r="AD231" s="15" t="s">
        <v>9343</v>
      </c>
      <c r="AE231" s="75" t="s">
        <v>9344</v>
      </c>
      <c r="AF231" s="17"/>
      <c r="AG231" s="17"/>
      <c r="AH231" s="17"/>
      <c r="AI231" s="75" t="s">
        <v>7324</v>
      </c>
    </row>
    <row r="232" spans="1:35" ht="43.2" x14ac:dyDescent="0.3">
      <c r="A232" s="34" t="s">
        <v>7286</v>
      </c>
      <c r="B232" s="72" t="s">
        <v>9345</v>
      </c>
      <c r="C232" s="17" t="s">
        <v>7367</v>
      </c>
      <c r="D232" s="81" t="s">
        <v>9346</v>
      </c>
      <c r="E232" s="94" t="s">
        <v>9347</v>
      </c>
      <c r="F232" s="75" t="s">
        <v>7370</v>
      </c>
      <c r="G232" s="75" t="s">
        <v>7371</v>
      </c>
      <c r="H232" s="75" t="s">
        <v>8349</v>
      </c>
      <c r="I232" s="75" t="s">
        <v>8350</v>
      </c>
      <c r="J232" s="75" t="s">
        <v>9348</v>
      </c>
      <c r="K232" s="11" t="s">
        <v>9349</v>
      </c>
      <c r="L232" s="77" t="s">
        <v>2340</v>
      </c>
      <c r="M232" s="76">
        <v>44921</v>
      </c>
      <c r="N232" s="76"/>
      <c r="O232" s="75" t="s">
        <v>7870</v>
      </c>
      <c r="P232" s="17"/>
      <c r="Q232" s="76">
        <v>36463</v>
      </c>
      <c r="R232" s="78">
        <v>26.947945205479453</v>
      </c>
      <c r="S232" s="79" t="s">
        <v>9350</v>
      </c>
      <c r="T232" s="75" t="s">
        <v>7298</v>
      </c>
      <c r="U232" s="75" t="s">
        <v>9351</v>
      </c>
      <c r="V232" s="83">
        <v>49294</v>
      </c>
      <c r="W232" s="75" t="s">
        <v>7300</v>
      </c>
      <c r="X232" s="75"/>
      <c r="Y232" s="75" t="s">
        <v>7319</v>
      </c>
      <c r="Z232" s="15" t="s">
        <v>9352</v>
      </c>
      <c r="AA232" s="75"/>
      <c r="AB232" s="12" t="s">
        <v>9353</v>
      </c>
      <c r="AC232" s="12"/>
      <c r="AD232" s="15" t="s">
        <v>9354</v>
      </c>
      <c r="AE232" s="75" t="s">
        <v>9354</v>
      </c>
      <c r="AF232" s="17"/>
      <c r="AG232" s="17"/>
      <c r="AH232" s="17"/>
      <c r="AI232" s="75" t="s">
        <v>7745</v>
      </c>
    </row>
    <row r="233" spans="1:35" ht="57.6" x14ac:dyDescent="0.3">
      <c r="A233" s="34" t="s">
        <v>7286</v>
      </c>
      <c r="B233" s="72" t="s">
        <v>9355</v>
      </c>
      <c r="C233" s="17" t="s">
        <v>7288</v>
      </c>
      <c r="D233" s="73" t="s">
        <v>9356</v>
      </c>
      <c r="E233" s="94" t="s">
        <v>7680</v>
      </c>
      <c r="F233" s="75" t="s">
        <v>7674</v>
      </c>
      <c r="G233" s="75" t="s">
        <v>7675</v>
      </c>
      <c r="H233" s="75" t="s">
        <v>7293</v>
      </c>
      <c r="I233" s="75" t="s">
        <v>7293</v>
      </c>
      <c r="J233" s="75" t="s">
        <v>9357</v>
      </c>
      <c r="K233" s="11" t="s">
        <v>9358</v>
      </c>
      <c r="L233" s="77" t="s">
        <v>7295</v>
      </c>
      <c r="M233" s="76">
        <v>44931</v>
      </c>
      <c r="N233" s="76"/>
      <c r="O233" s="75" t="s">
        <v>7923</v>
      </c>
      <c r="P233" s="17"/>
      <c r="Q233" s="76">
        <v>28221</v>
      </c>
      <c r="R233" s="78">
        <v>49.528767123287672</v>
      </c>
      <c r="S233" s="79" t="s">
        <v>9359</v>
      </c>
      <c r="T233" s="75" t="s">
        <v>7298</v>
      </c>
      <c r="U233" s="75" t="s">
        <v>9360</v>
      </c>
      <c r="V233" s="83">
        <v>46483</v>
      </c>
      <c r="W233" s="75" t="s">
        <v>7300</v>
      </c>
      <c r="X233" s="75" t="s">
        <v>7301</v>
      </c>
      <c r="Y233" s="75" t="s">
        <v>7302</v>
      </c>
      <c r="Z233" s="15" t="s">
        <v>9361</v>
      </c>
      <c r="AA233" s="75"/>
      <c r="AB233" s="12" t="s">
        <v>9362</v>
      </c>
      <c r="AC233" s="12"/>
      <c r="AD233" s="15" t="s">
        <v>9363</v>
      </c>
      <c r="AE233" s="75" t="s">
        <v>9363</v>
      </c>
      <c r="AF233" s="17"/>
      <c r="AG233" s="17"/>
      <c r="AH233" s="17"/>
      <c r="AI233" s="75" t="s">
        <v>7307</v>
      </c>
    </row>
    <row r="234" spans="1:35" ht="57.6" x14ac:dyDescent="0.3">
      <c r="A234" s="34" t="s">
        <v>7286</v>
      </c>
      <c r="B234" s="72" t="s">
        <v>9364</v>
      </c>
      <c r="C234" s="17" t="s">
        <v>7367</v>
      </c>
      <c r="D234" s="81" t="s">
        <v>9365</v>
      </c>
      <c r="E234" s="94" t="s">
        <v>9366</v>
      </c>
      <c r="F234" s="75" t="s">
        <v>7370</v>
      </c>
      <c r="G234" s="75" t="s">
        <v>7371</v>
      </c>
      <c r="H234" s="75" t="s">
        <v>8349</v>
      </c>
      <c r="I234" s="75" t="s">
        <v>8350</v>
      </c>
      <c r="J234" s="75" t="s">
        <v>8351</v>
      </c>
      <c r="K234" s="11" t="s">
        <v>9367</v>
      </c>
      <c r="L234" s="77" t="s">
        <v>2340</v>
      </c>
      <c r="M234" s="76">
        <v>44932</v>
      </c>
      <c r="N234" s="76"/>
      <c r="O234" s="75" t="s">
        <v>7870</v>
      </c>
      <c r="P234" s="17"/>
      <c r="Q234" s="76">
        <v>36756</v>
      </c>
      <c r="R234" s="78">
        <v>26.145205479452056</v>
      </c>
      <c r="S234" s="79" t="s">
        <v>9368</v>
      </c>
      <c r="T234" s="75" t="s">
        <v>7298</v>
      </c>
      <c r="U234" s="75" t="s">
        <v>9369</v>
      </c>
      <c r="V234" s="83">
        <v>45887</v>
      </c>
      <c r="W234" s="75" t="s">
        <v>7300</v>
      </c>
      <c r="X234" s="75"/>
      <c r="Y234" s="75" t="s">
        <v>7302</v>
      </c>
      <c r="Z234" s="15" t="s">
        <v>9370</v>
      </c>
      <c r="AA234" s="75"/>
      <c r="AB234" s="12" t="s">
        <v>9371</v>
      </c>
      <c r="AC234" s="12"/>
      <c r="AD234" s="15" t="s">
        <v>9372</v>
      </c>
      <c r="AE234" s="75" t="s">
        <v>9373</v>
      </c>
      <c r="AF234" s="17"/>
      <c r="AG234" s="17"/>
      <c r="AH234" s="17"/>
      <c r="AI234" s="75" t="s">
        <v>7745</v>
      </c>
    </row>
    <row r="235" spans="1:35" x14ac:dyDescent="0.3">
      <c r="A235" s="34" t="s">
        <v>7286</v>
      </c>
      <c r="B235" s="72" t="s">
        <v>9374</v>
      </c>
      <c r="C235" s="17" t="s">
        <v>7150</v>
      </c>
      <c r="D235" s="81" t="s">
        <v>9375</v>
      </c>
      <c r="E235" s="94" t="s">
        <v>9376</v>
      </c>
      <c r="F235" s="75" t="s">
        <v>7293</v>
      </c>
      <c r="G235" s="75" t="s">
        <v>7293</v>
      </c>
      <c r="H235" s="75" t="s">
        <v>7311</v>
      </c>
      <c r="I235" s="75" t="s">
        <v>7312</v>
      </c>
      <c r="J235" s="75" t="s">
        <v>7313</v>
      </c>
      <c r="K235" s="11" t="s">
        <v>7314</v>
      </c>
      <c r="L235" s="77" t="s">
        <v>7315</v>
      </c>
      <c r="M235" s="76">
        <v>44935</v>
      </c>
      <c r="N235" s="76"/>
      <c r="O235" s="75" t="s">
        <v>7870</v>
      </c>
      <c r="P235" s="17" t="s">
        <v>7597</v>
      </c>
      <c r="Q235" s="76">
        <v>36564</v>
      </c>
      <c r="R235" s="78">
        <v>26.671232876712327</v>
      </c>
      <c r="S235" s="79" t="s">
        <v>9377</v>
      </c>
      <c r="T235" s="75" t="s">
        <v>7298</v>
      </c>
      <c r="U235" s="75" t="s">
        <v>9378</v>
      </c>
      <c r="V235" s="83">
        <v>47033</v>
      </c>
      <c r="W235" s="75" t="s">
        <v>7300</v>
      </c>
      <c r="X235" s="75"/>
      <c r="Y235" s="75" t="s">
        <v>7319</v>
      </c>
      <c r="Z235" s="15" t="s">
        <v>9379</v>
      </c>
      <c r="AA235" s="75"/>
      <c r="AB235" s="12" t="s">
        <v>7293</v>
      </c>
      <c r="AC235" s="12"/>
      <c r="AD235" s="15" t="s">
        <v>9380</v>
      </c>
      <c r="AE235" s="75" t="s">
        <v>9381</v>
      </c>
      <c r="AF235" s="17"/>
      <c r="AG235" s="17"/>
      <c r="AH235" s="17"/>
      <c r="AI235" s="75" t="s">
        <v>7597</v>
      </c>
    </row>
    <row r="236" spans="1:35" x14ac:dyDescent="0.3">
      <c r="A236" s="34" t="s">
        <v>7286</v>
      </c>
      <c r="B236" s="72" t="s">
        <v>9382</v>
      </c>
      <c r="C236" s="17" t="s">
        <v>7367</v>
      </c>
      <c r="D236" s="81" t="s">
        <v>9383</v>
      </c>
      <c r="E236" s="94" t="s">
        <v>9384</v>
      </c>
      <c r="F236" s="75" t="s">
        <v>7329</v>
      </c>
      <c r="G236" s="75" t="s">
        <v>7330</v>
      </c>
      <c r="H236" s="11" t="s">
        <v>7358</v>
      </c>
      <c r="I236" s="75" t="s">
        <v>7359</v>
      </c>
      <c r="J236" s="75" t="s">
        <v>7388</v>
      </c>
      <c r="K236" s="11" t="s">
        <v>7389</v>
      </c>
      <c r="L236" s="77" t="s">
        <v>7360</v>
      </c>
      <c r="M236" s="76">
        <v>44952</v>
      </c>
      <c r="N236" s="76"/>
      <c r="O236" s="75" t="s">
        <v>7870</v>
      </c>
      <c r="P236" s="17"/>
      <c r="Q236" s="76">
        <v>36254</v>
      </c>
      <c r="R236" s="78">
        <v>27.520547945205479</v>
      </c>
      <c r="S236" s="79" t="s">
        <v>9385</v>
      </c>
      <c r="T236" s="75" t="s">
        <v>7298</v>
      </c>
      <c r="U236" s="75" t="s">
        <v>9386</v>
      </c>
      <c r="V236" s="83">
        <v>49118</v>
      </c>
      <c r="W236" s="75" t="s">
        <v>7300</v>
      </c>
      <c r="X236" s="75"/>
      <c r="Y236" s="75" t="s">
        <v>7319</v>
      </c>
      <c r="Z236" s="15" t="s">
        <v>9387</v>
      </c>
      <c r="AA236" s="75"/>
      <c r="AB236" s="12" t="s">
        <v>7293</v>
      </c>
      <c r="AC236" s="12"/>
      <c r="AD236" s="15" t="s">
        <v>9388</v>
      </c>
      <c r="AE236" s="75" t="s">
        <v>9388</v>
      </c>
      <c r="AF236" s="17"/>
      <c r="AG236" s="17"/>
      <c r="AH236" s="17"/>
      <c r="AI236" s="75" t="s">
        <v>7324</v>
      </c>
    </row>
    <row r="237" spans="1:35" ht="57.6" x14ac:dyDescent="0.3">
      <c r="A237" s="34" t="s">
        <v>7286</v>
      </c>
      <c r="B237" s="72" t="s">
        <v>9389</v>
      </c>
      <c r="C237" s="17" t="s">
        <v>7367</v>
      </c>
      <c r="D237" s="81" t="s">
        <v>9390</v>
      </c>
      <c r="E237" s="94" t="s">
        <v>9391</v>
      </c>
      <c r="F237" s="75" t="s">
        <v>7674</v>
      </c>
      <c r="G237" s="75" t="s">
        <v>7675</v>
      </c>
      <c r="H237" s="75" t="s">
        <v>7676</v>
      </c>
      <c r="I237" s="75" t="s">
        <v>7677</v>
      </c>
      <c r="J237" s="75" t="s">
        <v>9392</v>
      </c>
      <c r="K237" s="11" t="s">
        <v>7788</v>
      </c>
      <c r="L237" s="77" t="s">
        <v>7673</v>
      </c>
      <c r="M237" s="76">
        <v>44970</v>
      </c>
      <c r="N237" s="76"/>
      <c r="O237" s="75" t="s">
        <v>7923</v>
      </c>
      <c r="P237" s="17"/>
      <c r="Q237" s="76">
        <v>31684</v>
      </c>
      <c r="R237" s="78">
        <v>40.041095890410958</v>
      </c>
      <c r="S237" s="79" t="s">
        <v>9393</v>
      </c>
      <c r="T237" s="75" t="s">
        <v>7298</v>
      </c>
      <c r="U237" s="75" t="s">
        <v>9394</v>
      </c>
      <c r="V237" s="83">
        <v>48148</v>
      </c>
      <c r="W237" s="75" t="s">
        <v>7300</v>
      </c>
      <c r="X237" s="75"/>
      <c r="Y237" s="75" t="s">
        <v>7302</v>
      </c>
      <c r="Z237" s="15" t="s">
        <v>9395</v>
      </c>
      <c r="AA237" s="75"/>
      <c r="AB237" s="12" t="s">
        <v>9396</v>
      </c>
      <c r="AC237" s="12"/>
      <c r="AD237" s="15" t="s">
        <v>9397</v>
      </c>
      <c r="AE237" s="75" t="s">
        <v>9397</v>
      </c>
      <c r="AF237" s="17" t="s">
        <v>7323</v>
      </c>
      <c r="AG237" s="17">
        <v>3</v>
      </c>
      <c r="AH237" s="17"/>
      <c r="AI237" s="75" t="s">
        <v>7307</v>
      </c>
    </row>
    <row r="238" spans="1:35" ht="43.2" x14ac:dyDescent="0.3">
      <c r="A238" s="34" t="s">
        <v>7286</v>
      </c>
      <c r="B238" s="72" t="s">
        <v>9398</v>
      </c>
      <c r="C238" s="17" t="s">
        <v>7367</v>
      </c>
      <c r="D238" s="81" t="s">
        <v>9399</v>
      </c>
      <c r="E238" s="94" t="s">
        <v>9400</v>
      </c>
      <c r="F238" s="75" t="s">
        <v>7293</v>
      </c>
      <c r="G238" s="75" t="s">
        <v>7293</v>
      </c>
      <c r="H238" s="75" t="s">
        <v>7946</v>
      </c>
      <c r="I238" s="75" t="s">
        <v>9240</v>
      </c>
      <c r="J238" s="75" t="s">
        <v>9401</v>
      </c>
      <c r="K238" s="11" t="s">
        <v>9402</v>
      </c>
      <c r="L238" s="77" t="s">
        <v>9403</v>
      </c>
      <c r="M238" s="76">
        <v>44977</v>
      </c>
      <c r="N238" s="76"/>
      <c r="O238" s="75" t="s">
        <v>7892</v>
      </c>
      <c r="P238" s="17"/>
      <c r="Q238" s="76">
        <v>38041</v>
      </c>
      <c r="R238" s="78">
        <v>22.624657534246577</v>
      </c>
      <c r="S238" s="79" t="s">
        <v>9404</v>
      </c>
      <c r="T238" s="75" t="s">
        <v>7298</v>
      </c>
      <c r="U238" s="75" t="s">
        <v>9405</v>
      </c>
      <c r="V238" s="83">
        <v>47538</v>
      </c>
      <c r="W238" s="75" t="s">
        <v>7300</v>
      </c>
      <c r="X238" s="75"/>
      <c r="Y238" s="75" t="s">
        <v>7319</v>
      </c>
      <c r="Z238" s="15" t="s">
        <v>9406</v>
      </c>
      <c r="AA238" s="75"/>
      <c r="AB238" s="12" t="s">
        <v>9407</v>
      </c>
      <c r="AC238" s="12"/>
      <c r="AD238" s="15" t="s">
        <v>9408</v>
      </c>
      <c r="AE238" s="75" t="s">
        <v>9408</v>
      </c>
      <c r="AF238" s="17"/>
      <c r="AG238" s="17"/>
      <c r="AH238" s="17"/>
      <c r="AI238" s="75" t="s">
        <v>7307</v>
      </c>
    </row>
    <row r="239" spans="1:35" x14ac:dyDescent="0.3">
      <c r="A239" s="34" t="s">
        <v>7286</v>
      </c>
      <c r="B239" s="72" t="s">
        <v>9409</v>
      </c>
      <c r="C239" s="17" t="s">
        <v>7150</v>
      </c>
      <c r="D239" s="81" t="s">
        <v>9410</v>
      </c>
      <c r="E239" s="94" t="s">
        <v>9411</v>
      </c>
      <c r="F239" s="75" t="s">
        <v>7329</v>
      </c>
      <c r="G239" s="75" t="s">
        <v>7330</v>
      </c>
      <c r="H239" s="75" t="s">
        <v>7331</v>
      </c>
      <c r="I239" s="75" t="s">
        <v>7332</v>
      </c>
      <c r="J239" s="75" t="s">
        <v>7749</v>
      </c>
      <c r="K239" s="11" t="s">
        <v>6403</v>
      </c>
      <c r="L239" s="77" t="s">
        <v>7335</v>
      </c>
      <c r="M239" s="76">
        <v>44977</v>
      </c>
      <c r="N239" s="76"/>
      <c r="O239" s="75" t="s">
        <v>7870</v>
      </c>
      <c r="P239" s="17"/>
      <c r="Q239" s="76">
        <v>31409</v>
      </c>
      <c r="R239" s="78">
        <v>40.794520547945204</v>
      </c>
      <c r="S239" s="79" t="s">
        <v>9412</v>
      </c>
      <c r="T239" s="75" t="s">
        <v>7298</v>
      </c>
      <c r="U239" s="75" t="s">
        <v>9413</v>
      </c>
      <c r="V239" s="76">
        <v>47881</v>
      </c>
      <c r="W239" s="75" t="s">
        <v>7300</v>
      </c>
      <c r="X239" s="75"/>
      <c r="Y239" s="75" t="s">
        <v>7319</v>
      </c>
      <c r="Z239" s="15" t="s">
        <v>9414</v>
      </c>
      <c r="AA239" s="75"/>
      <c r="AB239" s="12" t="s">
        <v>7293</v>
      </c>
      <c r="AC239" s="12"/>
      <c r="AD239" s="15" t="s">
        <v>9415</v>
      </c>
      <c r="AE239" s="75" t="s">
        <v>9416</v>
      </c>
      <c r="AF239" s="17"/>
      <c r="AG239" s="17"/>
      <c r="AH239" s="17"/>
      <c r="AI239" s="75" t="s">
        <v>7324</v>
      </c>
    </row>
    <row r="240" spans="1:35" x14ac:dyDescent="0.3">
      <c r="A240" s="34" t="s">
        <v>7286</v>
      </c>
      <c r="B240" s="72" t="s">
        <v>9417</v>
      </c>
      <c r="C240" s="17" t="s">
        <v>7150</v>
      </c>
      <c r="D240" s="81" t="s">
        <v>9418</v>
      </c>
      <c r="E240" s="94" t="s">
        <v>9419</v>
      </c>
      <c r="F240" s="75" t="s">
        <v>7329</v>
      </c>
      <c r="G240" s="75" t="s">
        <v>7330</v>
      </c>
      <c r="H240" s="75" t="s">
        <v>7405</v>
      </c>
      <c r="I240" s="75" t="s">
        <v>7406</v>
      </c>
      <c r="J240" s="75" t="s">
        <v>7407</v>
      </c>
      <c r="K240" s="11" t="s">
        <v>7408</v>
      </c>
      <c r="L240" s="77" t="s">
        <v>7409</v>
      </c>
      <c r="M240" s="76">
        <v>45000</v>
      </c>
      <c r="N240" s="76"/>
      <c r="O240" s="75" t="s">
        <v>7870</v>
      </c>
      <c r="P240" s="17"/>
      <c r="Q240" s="76">
        <v>35200</v>
      </c>
      <c r="R240" s="78">
        <v>30.408219178082192</v>
      </c>
      <c r="S240" s="79" t="s">
        <v>9420</v>
      </c>
      <c r="T240" s="75" t="s">
        <v>7298</v>
      </c>
      <c r="U240" s="75" t="s">
        <v>9421</v>
      </c>
      <c r="V240" s="83">
        <v>48011</v>
      </c>
      <c r="W240" s="75" t="s">
        <v>7300</v>
      </c>
      <c r="X240" s="75"/>
      <c r="Y240" s="75" t="s">
        <v>7319</v>
      </c>
      <c r="Z240" s="15" t="s">
        <v>9422</v>
      </c>
      <c r="AA240" s="75"/>
      <c r="AB240" s="12" t="s">
        <v>7293</v>
      </c>
      <c r="AC240" s="12"/>
      <c r="AD240" s="15" t="s">
        <v>9423</v>
      </c>
      <c r="AE240" s="75" t="s">
        <v>9423</v>
      </c>
      <c r="AF240" s="17"/>
      <c r="AG240" s="17"/>
      <c r="AH240" s="17"/>
      <c r="AI240" s="75" t="s">
        <v>8413</v>
      </c>
    </row>
    <row r="241" spans="1:35" ht="57.6" x14ac:dyDescent="0.3">
      <c r="A241" s="34" t="s">
        <v>7286</v>
      </c>
      <c r="B241" s="72" t="s">
        <v>9424</v>
      </c>
      <c r="C241" s="17" t="s">
        <v>7367</v>
      </c>
      <c r="D241" s="81" t="s">
        <v>9425</v>
      </c>
      <c r="E241" s="94" t="s">
        <v>9426</v>
      </c>
      <c r="F241" s="75" t="s">
        <v>7370</v>
      </c>
      <c r="G241" s="75" t="s">
        <v>7371</v>
      </c>
      <c r="H241" s="75" t="s">
        <v>7372</v>
      </c>
      <c r="I241" s="75" t="s">
        <v>7373</v>
      </c>
      <c r="J241" s="75" t="s">
        <v>8653</v>
      </c>
      <c r="K241" s="11" t="s">
        <v>8654</v>
      </c>
      <c r="L241" s="77" t="s">
        <v>7376</v>
      </c>
      <c r="M241" s="76">
        <v>45019</v>
      </c>
      <c r="N241" s="76"/>
      <c r="O241" s="75" t="s">
        <v>8747</v>
      </c>
      <c r="P241" s="17"/>
      <c r="Q241" s="76">
        <v>36339</v>
      </c>
      <c r="R241" s="78">
        <v>27.287671232876711</v>
      </c>
      <c r="S241" s="79" t="s">
        <v>9427</v>
      </c>
      <c r="T241" s="75" t="s">
        <v>7298</v>
      </c>
      <c r="U241" s="94" t="s">
        <v>9428</v>
      </c>
      <c r="V241" s="83">
        <v>49147</v>
      </c>
      <c r="W241" s="75" t="s">
        <v>7300</v>
      </c>
      <c r="X241" s="75"/>
      <c r="Y241" s="75" t="s">
        <v>7302</v>
      </c>
      <c r="Z241" s="15" t="s">
        <v>9429</v>
      </c>
      <c r="AA241" s="75"/>
      <c r="AB241" s="12" t="s">
        <v>9430</v>
      </c>
      <c r="AC241" s="12"/>
      <c r="AD241" s="15" t="s">
        <v>9431</v>
      </c>
      <c r="AE241" s="75" t="s">
        <v>9432</v>
      </c>
      <c r="AF241" s="17"/>
      <c r="AG241" s="17"/>
      <c r="AH241" s="17"/>
      <c r="AI241" s="75" t="s">
        <v>7745</v>
      </c>
    </row>
    <row r="242" spans="1:35" x14ac:dyDescent="0.3">
      <c r="A242" s="34" t="s">
        <v>7286</v>
      </c>
      <c r="B242" s="72" t="s">
        <v>9433</v>
      </c>
      <c r="C242" s="17" t="s">
        <v>7150</v>
      </c>
      <c r="D242" s="81" t="s">
        <v>9434</v>
      </c>
      <c r="E242" s="94" t="s">
        <v>9435</v>
      </c>
      <c r="F242" s="75" t="s">
        <v>7329</v>
      </c>
      <c r="G242" s="75" t="s">
        <v>7330</v>
      </c>
      <c r="H242" s="75" t="s">
        <v>7405</v>
      </c>
      <c r="I242" s="75" t="s">
        <v>7406</v>
      </c>
      <c r="J242" s="75" t="s">
        <v>7407</v>
      </c>
      <c r="K242" s="11" t="s">
        <v>7408</v>
      </c>
      <c r="L242" s="77" t="s">
        <v>7409</v>
      </c>
      <c r="M242" s="76">
        <v>45035</v>
      </c>
      <c r="N242" s="76"/>
      <c r="O242" s="75" t="s">
        <v>7870</v>
      </c>
      <c r="P242" s="17"/>
      <c r="Q242" s="76">
        <v>35277</v>
      </c>
      <c r="R242" s="78">
        <v>30.197260273972603</v>
      </c>
      <c r="S242" s="79" t="s">
        <v>9436</v>
      </c>
      <c r="T242" s="75" t="s">
        <v>7298</v>
      </c>
      <c r="U242" s="75" t="s">
        <v>9437</v>
      </c>
      <c r="V242" s="83">
        <v>47495</v>
      </c>
      <c r="W242" s="75" t="s">
        <v>7300</v>
      </c>
      <c r="X242" s="75"/>
      <c r="Y242" s="75" t="s">
        <v>7319</v>
      </c>
      <c r="Z242" s="15" t="s">
        <v>9438</v>
      </c>
      <c r="AA242" s="75"/>
      <c r="AB242" s="12" t="s">
        <v>7293</v>
      </c>
      <c r="AC242" s="12"/>
      <c r="AD242" s="15" t="s">
        <v>9439</v>
      </c>
      <c r="AE242" s="75" t="s">
        <v>9439</v>
      </c>
      <c r="AF242" s="17"/>
      <c r="AG242" s="17"/>
      <c r="AH242" s="17"/>
      <c r="AI242" s="75" t="s">
        <v>8116</v>
      </c>
    </row>
    <row r="243" spans="1:35" x14ac:dyDescent="0.3">
      <c r="A243" s="34" t="s">
        <v>7286</v>
      </c>
      <c r="B243" s="72" t="s">
        <v>9440</v>
      </c>
      <c r="C243" s="17" t="s">
        <v>7150</v>
      </c>
      <c r="D243" s="81" t="s">
        <v>9441</v>
      </c>
      <c r="E243" s="94" t="s">
        <v>1279</v>
      </c>
      <c r="F243" s="75" t="s">
        <v>7293</v>
      </c>
      <c r="G243" s="75" t="s">
        <v>7293</v>
      </c>
      <c r="H243" s="75" t="s">
        <v>7311</v>
      </c>
      <c r="I243" s="75" t="s">
        <v>7312</v>
      </c>
      <c r="J243" s="75" t="s">
        <v>7313</v>
      </c>
      <c r="K243" s="11" t="s">
        <v>7314</v>
      </c>
      <c r="L243" s="77" t="s">
        <v>7315</v>
      </c>
      <c r="M243" s="76">
        <v>45047</v>
      </c>
      <c r="N243" s="76"/>
      <c r="O243" s="75" t="s">
        <v>7870</v>
      </c>
      <c r="P243" s="17" t="s">
        <v>7524</v>
      </c>
      <c r="Q243" s="76">
        <v>30850</v>
      </c>
      <c r="R243" s="78">
        <v>42.326027397260276</v>
      </c>
      <c r="S243" s="79" t="s">
        <v>9442</v>
      </c>
      <c r="T243" s="75" t="s">
        <v>7298</v>
      </c>
      <c r="U243" s="75" t="s">
        <v>9443</v>
      </c>
      <c r="V243" s="83">
        <v>47332</v>
      </c>
      <c r="W243" s="75" t="s">
        <v>7300</v>
      </c>
      <c r="X243" s="75"/>
      <c r="Y243" s="75" t="s">
        <v>7319</v>
      </c>
      <c r="Z243" s="15" t="s">
        <v>9444</v>
      </c>
      <c r="AA243" s="75"/>
      <c r="AB243" s="12" t="s">
        <v>7293</v>
      </c>
      <c r="AC243" s="12"/>
      <c r="AD243" s="15" t="s">
        <v>9445</v>
      </c>
      <c r="AE243" s="75" t="s">
        <v>9445</v>
      </c>
      <c r="AF243" s="17"/>
      <c r="AG243" s="17"/>
      <c r="AH243" s="17"/>
      <c r="AI243" s="75" t="s">
        <v>7524</v>
      </c>
    </row>
    <row r="244" spans="1:35" x14ac:dyDescent="0.3">
      <c r="A244" s="34" t="s">
        <v>7286</v>
      </c>
      <c r="B244" s="72" t="s">
        <v>9446</v>
      </c>
      <c r="C244" s="17" t="s">
        <v>7150</v>
      </c>
      <c r="D244" s="81" t="s">
        <v>9447</v>
      </c>
      <c r="E244" s="94" t="s">
        <v>1459</v>
      </c>
      <c r="F244" s="75" t="s">
        <v>7293</v>
      </c>
      <c r="G244" s="75" t="s">
        <v>7293</v>
      </c>
      <c r="H244" s="75" t="s">
        <v>7311</v>
      </c>
      <c r="I244" s="75" t="s">
        <v>7312</v>
      </c>
      <c r="J244" s="75" t="s">
        <v>7313</v>
      </c>
      <c r="K244" s="11" t="s">
        <v>7314</v>
      </c>
      <c r="L244" s="77" t="s">
        <v>7315</v>
      </c>
      <c r="M244" s="76">
        <v>45047</v>
      </c>
      <c r="N244" s="76"/>
      <c r="O244" s="75" t="s">
        <v>7870</v>
      </c>
      <c r="P244" s="17" t="s">
        <v>7425</v>
      </c>
      <c r="Q244" s="76">
        <v>31296</v>
      </c>
      <c r="R244" s="78">
        <v>41.104109589041094</v>
      </c>
      <c r="S244" s="79" t="s">
        <v>9448</v>
      </c>
      <c r="T244" s="75" t="s">
        <v>7298</v>
      </c>
      <c r="U244" s="75" t="s">
        <v>9449</v>
      </c>
      <c r="V244" s="83">
        <v>47225</v>
      </c>
      <c r="W244" s="75" t="s">
        <v>7300</v>
      </c>
      <c r="X244" s="75"/>
      <c r="Y244" s="75" t="s">
        <v>7319</v>
      </c>
      <c r="Z244" s="15" t="s">
        <v>9450</v>
      </c>
      <c r="AA244" s="75"/>
      <c r="AB244" s="12" t="s">
        <v>7293</v>
      </c>
      <c r="AC244" s="12"/>
      <c r="AD244" s="15" t="s">
        <v>9451</v>
      </c>
      <c r="AE244" s="75" t="s">
        <v>9452</v>
      </c>
      <c r="AF244" s="17"/>
      <c r="AG244" s="17"/>
      <c r="AH244" s="17"/>
      <c r="AI244" s="75" t="s">
        <v>7425</v>
      </c>
    </row>
    <row r="245" spans="1:35" ht="57.6" x14ac:dyDescent="0.3">
      <c r="A245" s="34" t="s">
        <v>7286</v>
      </c>
      <c r="B245" s="72" t="s">
        <v>9453</v>
      </c>
      <c r="C245" s="17" t="s">
        <v>7343</v>
      </c>
      <c r="D245" s="81" t="s">
        <v>9454</v>
      </c>
      <c r="E245" s="94" t="s">
        <v>9455</v>
      </c>
      <c r="F245" s="11" t="s">
        <v>9456</v>
      </c>
      <c r="G245" s="11" t="s">
        <v>9457</v>
      </c>
      <c r="H245" s="75" t="s">
        <v>7293</v>
      </c>
      <c r="I245" s="75" t="s">
        <v>7293</v>
      </c>
      <c r="J245" s="75" t="s">
        <v>9458</v>
      </c>
      <c r="K245" s="11" t="s">
        <v>9459</v>
      </c>
      <c r="L245" s="77" t="s">
        <v>7295</v>
      </c>
      <c r="M245" s="76">
        <v>45047</v>
      </c>
      <c r="N245" s="76"/>
      <c r="O245" s="75" t="s">
        <v>7923</v>
      </c>
      <c r="P245" s="17"/>
      <c r="Q245" s="76">
        <v>33481</v>
      </c>
      <c r="R245" s="78">
        <v>35.11780821917808</v>
      </c>
      <c r="S245" s="79" t="s">
        <v>9460</v>
      </c>
      <c r="T245" s="75" t="s">
        <v>7298</v>
      </c>
      <c r="U245" s="75" t="s">
        <v>9461</v>
      </c>
      <c r="V245" s="83">
        <v>48033</v>
      </c>
      <c r="W245" s="75" t="s">
        <v>7300</v>
      </c>
      <c r="X245" s="75"/>
      <c r="Y245" s="75" t="s">
        <v>7319</v>
      </c>
      <c r="Z245" s="15" t="s">
        <v>9462</v>
      </c>
      <c r="AA245" s="75"/>
      <c r="AB245" s="12" t="s">
        <v>9463</v>
      </c>
      <c r="AC245" s="12"/>
      <c r="AD245" s="15" t="s">
        <v>9464</v>
      </c>
      <c r="AE245" s="75" t="s">
        <v>9464</v>
      </c>
      <c r="AF245" s="17"/>
      <c r="AG245" s="17"/>
      <c r="AH245" s="17"/>
      <c r="AI245" s="75" t="s">
        <v>7307</v>
      </c>
    </row>
    <row r="246" spans="1:35" x14ac:dyDescent="0.3">
      <c r="A246" s="34" t="s">
        <v>7286</v>
      </c>
      <c r="B246" s="72" t="s">
        <v>9465</v>
      </c>
      <c r="C246" s="17" t="s">
        <v>7150</v>
      </c>
      <c r="D246" s="81" t="s">
        <v>9466</v>
      </c>
      <c r="E246" s="94" t="s">
        <v>1458</v>
      </c>
      <c r="F246" s="75" t="s">
        <v>7293</v>
      </c>
      <c r="G246" s="75" t="s">
        <v>7293</v>
      </c>
      <c r="H246" s="75" t="s">
        <v>7311</v>
      </c>
      <c r="I246" s="75" t="s">
        <v>7312</v>
      </c>
      <c r="J246" s="11" t="s">
        <v>7433</v>
      </c>
      <c r="K246" s="11" t="s">
        <v>7434</v>
      </c>
      <c r="L246" s="77" t="s">
        <v>7315</v>
      </c>
      <c r="M246" s="76">
        <v>45047</v>
      </c>
      <c r="N246" s="76"/>
      <c r="O246" s="75" t="s">
        <v>7870</v>
      </c>
      <c r="P246" s="17" t="s">
        <v>7425</v>
      </c>
      <c r="Q246" s="76">
        <v>37441</v>
      </c>
      <c r="R246" s="78">
        <v>24.268493150684932</v>
      </c>
      <c r="S246" s="79" t="s">
        <v>9467</v>
      </c>
      <c r="T246" s="75" t="s">
        <v>7298</v>
      </c>
      <c r="U246" s="75" t="s">
        <v>9468</v>
      </c>
      <c r="V246" s="83">
        <v>47158</v>
      </c>
      <c r="W246" s="75" t="s">
        <v>7300</v>
      </c>
      <c r="X246" s="75"/>
      <c r="Y246" s="75" t="s">
        <v>7319</v>
      </c>
      <c r="Z246" s="15" t="s">
        <v>9469</v>
      </c>
      <c r="AA246" s="75"/>
      <c r="AB246" s="12" t="s">
        <v>7293</v>
      </c>
      <c r="AC246" s="12"/>
      <c r="AD246" s="15" t="s">
        <v>9470</v>
      </c>
      <c r="AE246" s="75" t="s">
        <v>9471</v>
      </c>
      <c r="AF246" s="17"/>
      <c r="AG246" s="17"/>
      <c r="AH246" s="17"/>
      <c r="AI246" s="75" t="s">
        <v>7425</v>
      </c>
    </row>
    <row r="247" spans="1:35" x14ac:dyDescent="0.3">
      <c r="A247" s="34" t="s">
        <v>7286</v>
      </c>
      <c r="B247" s="72" t="s">
        <v>9472</v>
      </c>
      <c r="C247" s="17" t="s">
        <v>7150</v>
      </c>
      <c r="D247" s="81" t="s">
        <v>9473</v>
      </c>
      <c r="E247" s="94" t="s">
        <v>9474</v>
      </c>
      <c r="F247" s="75" t="s">
        <v>7329</v>
      </c>
      <c r="G247" s="75" t="s">
        <v>7330</v>
      </c>
      <c r="H247" s="75" t="s">
        <v>7452</v>
      </c>
      <c r="I247" s="75" t="s">
        <v>7453</v>
      </c>
      <c r="J247" s="75" t="s">
        <v>7509</v>
      </c>
      <c r="K247" s="11" t="s">
        <v>7510</v>
      </c>
      <c r="L247" s="77" t="s">
        <v>7456</v>
      </c>
      <c r="M247" s="76">
        <v>45047</v>
      </c>
      <c r="N247" s="76"/>
      <c r="O247" s="75" t="s">
        <v>7870</v>
      </c>
      <c r="P247" s="17"/>
      <c r="Q247" s="76">
        <v>32264</v>
      </c>
      <c r="R247" s="78">
        <v>38.452054794520549</v>
      </c>
      <c r="S247" s="79" t="s">
        <v>9475</v>
      </c>
      <c r="T247" s="75" t="s">
        <v>7298</v>
      </c>
      <c r="U247" s="75" t="s">
        <v>9476</v>
      </c>
      <c r="V247" s="83">
        <v>48693</v>
      </c>
      <c r="W247" s="75" t="s">
        <v>7300</v>
      </c>
      <c r="X247" s="75"/>
      <c r="Y247" s="75" t="s">
        <v>7319</v>
      </c>
      <c r="Z247" s="15" t="s">
        <v>9477</v>
      </c>
      <c r="AA247" s="75"/>
      <c r="AB247" s="12" t="s">
        <v>7293</v>
      </c>
      <c r="AC247" s="12"/>
      <c r="AD247" s="15" t="s">
        <v>9478</v>
      </c>
      <c r="AE247" s="75" t="s">
        <v>9452</v>
      </c>
      <c r="AF247" s="17"/>
      <c r="AG247" s="17"/>
      <c r="AH247" s="17"/>
      <c r="AI247" s="75" t="s">
        <v>7324</v>
      </c>
    </row>
    <row r="248" spans="1:35" x14ac:dyDescent="0.3">
      <c r="A248" s="34" t="s">
        <v>7286</v>
      </c>
      <c r="B248" s="72" t="s">
        <v>9479</v>
      </c>
      <c r="C248" s="17" t="s">
        <v>7150</v>
      </c>
      <c r="D248" s="81" t="s">
        <v>9480</v>
      </c>
      <c r="E248" s="94" t="s">
        <v>1464</v>
      </c>
      <c r="F248" s="75" t="s">
        <v>7293</v>
      </c>
      <c r="G248" s="75" t="s">
        <v>7293</v>
      </c>
      <c r="H248" s="75" t="s">
        <v>7311</v>
      </c>
      <c r="I248" s="75" t="s">
        <v>7312</v>
      </c>
      <c r="J248" s="75" t="s">
        <v>7433</v>
      </c>
      <c r="K248" s="11" t="s">
        <v>7434</v>
      </c>
      <c r="L248" s="77" t="s">
        <v>7315</v>
      </c>
      <c r="M248" s="76">
        <v>45049</v>
      </c>
      <c r="N248" s="76"/>
      <c r="O248" s="75" t="s">
        <v>7870</v>
      </c>
      <c r="P248" s="17" t="s">
        <v>7425</v>
      </c>
      <c r="Q248" s="76">
        <v>36121</v>
      </c>
      <c r="R248" s="78">
        <v>27.884931506849316</v>
      </c>
      <c r="S248" s="79" t="s">
        <v>9481</v>
      </c>
      <c r="T248" s="75" t="s">
        <v>7298</v>
      </c>
      <c r="U248" s="94" t="s">
        <v>9482</v>
      </c>
      <c r="V248" s="83">
        <v>48916</v>
      </c>
      <c r="W248" s="75" t="s">
        <v>7300</v>
      </c>
      <c r="X248" s="75"/>
      <c r="Y248" s="75" t="s">
        <v>7319</v>
      </c>
      <c r="Z248" s="15" t="s">
        <v>9483</v>
      </c>
      <c r="AA248" s="75"/>
      <c r="AB248" s="12" t="s">
        <v>7293</v>
      </c>
      <c r="AC248" s="12"/>
      <c r="AD248" s="15" t="s">
        <v>9484</v>
      </c>
      <c r="AE248" s="75" t="s">
        <v>9485</v>
      </c>
      <c r="AF248" s="17"/>
      <c r="AG248" s="17"/>
      <c r="AH248" s="17"/>
      <c r="AI248" s="75" t="s">
        <v>7425</v>
      </c>
    </row>
    <row r="249" spans="1:35" x14ac:dyDescent="0.3">
      <c r="A249" s="34" t="s">
        <v>7286</v>
      </c>
      <c r="B249" s="72" t="s">
        <v>9486</v>
      </c>
      <c r="C249" s="17" t="s">
        <v>7150</v>
      </c>
      <c r="D249" s="81" t="s">
        <v>9487</v>
      </c>
      <c r="E249" s="94" t="s">
        <v>1442</v>
      </c>
      <c r="F249" s="75" t="s">
        <v>7293</v>
      </c>
      <c r="G249" s="75" t="s">
        <v>7293</v>
      </c>
      <c r="H249" s="75" t="s">
        <v>7311</v>
      </c>
      <c r="I249" s="75" t="s">
        <v>7312</v>
      </c>
      <c r="J249" s="75" t="s">
        <v>7313</v>
      </c>
      <c r="K249" s="11" t="s">
        <v>7314</v>
      </c>
      <c r="L249" s="77" t="s">
        <v>7315</v>
      </c>
      <c r="M249" s="76">
        <v>45049</v>
      </c>
      <c r="N249" s="76"/>
      <c r="O249" s="75" t="s">
        <v>7870</v>
      </c>
      <c r="P249" s="17" t="s">
        <v>7425</v>
      </c>
      <c r="Q249" s="76">
        <v>33688</v>
      </c>
      <c r="R249" s="78">
        <v>34.550684931506851</v>
      </c>
      <c r="S249" s="79" t="s">
        <v>9488</v>
      </c>
      <c r="T249" s="75" t="s">
        <v>7298</v>
      </c>
      <c r="U249" s="75" t="s">
        <v>9489</v>
      </c>
      <c r="V249" s="83">
        <v>48105</v>
      </c>
      <c r="W249" s="75" t="s">
        <v>7300</v>
      </c>
      <c r="X249" s="75"/>
      <c r="Y249" s="75" t="s">
        <v>7319</v>
      </c>
      <c r="Z249" s="15" t="s">
        <v>9490</v>
      </c>
      <c r="AA249" s="75"/>
      <c r="AB249" s="12" t="s">
        <v>7293</v>
      </c>
      <c r="AC249" s="12"/>
      <c r="AD249" s="15" t="s">
        <v>9491</v>
      </c>
      <c r="AE249" s="75" t="s">
        <v>9491</v>
      </c>
      <c r="AF249" s="17"/>
      <c r="AG249" s="17"/>
      <c r="AH249" s="17"/>
      <c r="AI249" s="75" t="s">
        <v>7425</v>
      </c>
    </row>
    <row r="250" spans="1:35" x14ac:dyDescent="0.3">
      <c r="A250" s="34" t="s">
        <v>7286</v>
      </c>
      <c r="B250" s="72" t="s">
        <v>9492</v>
      </c>
      <c r="C250" s="17" t="s">
        <v>7150</v>
      </c>
      <c r="D250" s="81" t="s">
        <v>9493</v>
      </c>
      <c r="E250" s="94" t="s">
        <v>1404</v>
      </c>
      <c r="F250" s="75" t="s">
        <v>7293</v>
      </c>
      <c r="G250" s="75" t="s">
        <v>7293</v>
      </c>
      <c r="H250" s="75" t="s">
        <v>7311</v>
      </c>
      <c r="I250" s="75" t="s">
        <v>7312</v>
      </c>
      <c r="J250" s="11" t="s">
        <v>7433</v>
      </c>
      <c r="K250" s="11" t="s">
        <v>7434</v>
      </c>
      <c r="L250" s="77" t="s">
        <v>7315</v>
      </c>
      <c r="M250" s="76">
        <v>45049</v>
      </c>
      <c r="N250" s="76"/>
      <c r="O250" s="75" t="s">
        <v>7870</v>
      </c>
      <c r="P250" s="17" t="s">
        <v>7316</v>
      </c>
      <c r="Q250" s="76">
        <v>33271</v>
      </c>
      <c r="R250" s="78">
        <v>35.69315068493151</v>
      </c>
      <c r="S250" s="79" t="s">
        <v>9494</v>
      </c>
      <c r="T250" s="75" t="s">
        <v>7298</v>
      </c>
      <c r="U250" s="75" t="s">
        <v>9495</v>
      </c>
      <c r="V250" s="83">
        <v>46055</v>
      </c>
      <c r="W250" s="75" t="s">
        <v>7300</v>
      </c>
      <c r="X250" s="75"/>
      <c r="Y250" s="75" t="s">
        <v>7319</v>
      </c>
      <c r="Z250" s="15" t="s">
        <v>9496</v>
      </c>
      <c r="AA250" s="75"/>
      <c r="AB250" s="12" t="s">
        <v>7293</v>
      </c>
      <c r="AC250" s="12"/>
      <c r="AD250" s="15" t="s">
        <v>9497</v>
      </c>
      <c r="AE250" s="75" t="s">
        <v>9498</v>
      </c>
      <c r="AF250" s="17"/>
      <c r="AG250" s="17"/>
      <c r="AH250" s="17"/>
      <c r="AI250" s="75" t="s">
        <v>7324</v>
      </c>
    </row>
    <row r="251" spans="1:35" ht="57.6" x14ac:dyDescent="0.3">
      <c r="A251" s="34" t="s">
        <v>7286</v>
      </c>
      <c r="B251" s="72" t="s">
        <v>9499</v>
      </c>
      <c r="C251" s="17" t="s">
        <v>7367</v>
      </c>
      <c r="D251" s="81" t="s">
        <v>9500</v>
      </c>
      <c r="E251" s="94" t="s">
        <v>9501</v>
      </c>
      <c r="F251" s="75" t="s">
        <v>7293</v>
      </c>
      <c r="G251" s="75" t="s">
        <v>7293</v>
      </c>
      <c r="H251" s="75" t="s">
        <v>7293</v>
      </c>
      <c r="I251" s="75" t="s">
        <v>7293</v>
      </c>
      <c r="J251" s="75" t="s">
        <v>9502</v>
      </c>
      <c r="K251" s="11" t="s">
        <v>9503</v>
      </c>
      <c r="L251" s="77" t="s">
        <v>9159</v>
      </c>
      <c r="M251" s="76">
        <v>45054</v>
      </c>
      <c r="N251" s="76"/>
      <c r="O251" s="75" t="s">
        <v>7923</v>
      </c>
      <c r="P251" s="17"/>
      <c r="Q251" s="76">
        <v>34252</v>
      </c>
      <c r="R251" s="78">
        <v>33.005479452054793</v>
      </c>
      <c r="S251" s="79" t="s">
        <v>9504</v>
      </c>
      <c r="T251" s="75" t="s">
        <v>7298</v>
      </c>
      <c r="U251" s="75" t="s">
        <v>9505</v>
      </c>
      <c r="V251" s="83">
        <v>47070</v>
      </c>
      <c r="W251" s="75" t="s">
        <v>7300</v>
      </c>
      <c r="X251" s="75"/>
      <c r="Y251" s="75" t="s">
        <v>7302</v>
      </c>
      <c r="Z251" s="15" t="s">
        <v>9506</v>
      </c>
      <c r="AA251" s="75"/>
      <c r="AB251" s="12" t="s">
        <v>9507</v>
      </c>
      <c r="AC251" s="12"/>
      <c r="AD251" s="15" t="s">
        <v>9508</v>
      </c>
      <c r="AE251" s="75" t="s">
        <v>9509</v>
      </c>
      <c r="AF251" s="17"/>
      <c r="AG251" s="17"/>
      <c r="AH251" s="17"/>
      <c r="AI251" s="75" t="s">
        <v>7307</v>
      </c>
    </row>
    <row r="252" spans="1:35" ht="57.6" x14ac:dyDescent="0.3">
      <c r="A252" s="34" t="s">
        <v>7286</v>
      </c>
      <c r="B252" s="72" t="s">
        <v>9510</v>
      </c>
      <c r="C252" s="17" t="s">
        <v>7367</v>
      </c>
      <c r="D252" s="81" t="s">
        <v>9511</v>
      </c>
      <c r="E252" s="94" t="s">
        <v>9512</v>
      </c>
      <c r="F252" s="75" t="s">
        <v>7329</v>
      </c>
      <c r="G252" s="75" t="s">
        <v>7330</v>
      </c>
      <c r="H252" s="11" t="s">
        <v>7358</v>
      </c>
      <c r="I252" s="75" t="s">
        <v>7359</v>
      </c>
      <c r="J252" s="75" t="s">
        <v>7388</v>
      </c>
      <c r="K252" s="11" t="s">
        <v>7389</v>
      </c>
      <c r="L252" s="77" t="s">
        <v>7360</v>
      </c>
      <c r="M252" s="76">
        <v>45058</v>
      </c>
      <c r="N252" s="76"/>
      <c r="O252" s="75" t="s">
        <v>7870</v>
      </c>
      <c r="P252" s="17"/>
      <c r="Q252" s="76">
        <v>37771</v>
      </c>
      <c r="R252" s="78">
        <v>23.364383561643837</v>
      </c>
      <c r="S252" s="79" t="s">
        <v>9513</v>
      </c>
      <c r="T252" s="75" t="s">
        <v>7298</v>
      </c>
      <c r="U252" s="75" t="s">
        <v>9514</v>
      </c>
      <c r="V252" s="83">
        <v>47259</v>
      </c>
      <c r="W252" s="75" t="s">
        <v>7300</v>
      </c>
      <c r="X252" s="75"/>
      <c r="Y252" s="75" t="s">
        <v>7319</v>
      </c>
      <c r="Z252" s="15" t="s">
        <v>9515</v>
      </c>
      <c r="AA252" s="75"/>
      <c r="AB252" s="12" t="s">
        <v>9516</v>
      </c>
      <c r="AC252" s="12"/>
      <c r="AD252" s="15" t="s">
        <v>9517</v>
      </c>
      <c r="AE252" s="75" t="s">
        <v>9517</v>
      </c>
      <c r="AF252" s="17"/>
      <c r="AG252" s="17"/>
      <c r="AH252" s="17"/>
      <c r="AI252" s="75" t="s">
        <v>7324</v>
      </c>
    </row>
    <row r="253" spans="1:35" x14ac:dyDescent="0.3">
      <c r="A253" s="34" t="s">
        <v>7286</v>
      </c>
      <c r="B253" s="72" t="s">
        <v>9518</v>
      </c>
      <c r="C253" s="17" t="s">
        <v>7150</v>
      </c>
      <c r="D253" s="81" t="s">
        <v>9519</v>
      </c>
      <c r="E253" s="94" t="s">
        <v>1266</v>
      </c>
      <c r="F253" s="75" t="s">
        <v>7293</v>
      </c>
      <c r="G253" s="75" t="s">
        <v>7293</v>
      </c>
      <c r="H253" s="75" t="s">
        <v>7311</v>
      </c>
      <c r="I253" s="75" t="s">
        <v>7312</v>
      </c>
      <c r="J253" s="75" t="s">
        <v>7433</v>
      </c>
      <c r="K253" s="11" t="s">
        <v>7434</v>
      </c>
      <c r="L253" s="77" t="s">
        <v>7315</v>
      </c>
      <c r="M253" s="76">
        <v>45062</v>
      </c>
      <c r="N253" s="76"/>
      <c r="O253" s="75" t="s">
        <v>7870</v>
      </c>
      <c r="P253" s="17" t="s">
        <v>8413</v>
      </c>
      <c r="Q253" s="76">
        <v>35551</v>
      </c>
      <c r="R253" s="78">
        <v>29.446575342465753</v>
      </c>
      <c r="S253" s="79" t="s">
        <v>9520</v>
      </c>
      <c r="T253" s="75" t="s">
        <v>7298</v>
      </c>
      <c r="U253" s="75" t="s">
        <v>9521</v>
      </c>
      <c r="V253" s="83">
        <v>48352</v>
      </c>
      <c r="W253" s="75" t="s">
        <v>7300</v>
      </c>
      <c r="X253" s="75"/>
      <c r="Y253" s="75" t="s">
        <v>7319</v>
      </c>
      <c r="Z253" s="15" t="s">
        <v>9522</v>
      </c>
      <c r="AA253" s="75"/>
      <c r="AB253" s="12" t="s">
        <v>7293</v>
      </c>
      <c r="AC253" s="12"/>
      <c r="AD253" s="15" t="s">
        <v>9523</v>
      </c>
      <c r="AE253" s="75" t="s">
        <v>9523</v>
      </c>
      <c r="AF253" s="17"/>
      <c r="AG253" s="17"/>
      <c r="AH253" s="17"/>
      <c r="AI253" s="75" t="s">
        <v>8413</v>
      </c>
    </row>
    <row r="254" spans="1:35" x14ac:dyDescent="0.3">
      <c r="A254" s="34" t="s">
        <v>7286</v>
      </c>
      <c r="B254" s="72" t="s">
        <v>9524</v>
      </c>
      <c r="C254" s="17" t="s">
        <v>7150</v>
      </c>
      <c r="D254" s="81" t="s">
        <v>9525</v>
      </c>
      <c r="E254" s="94" t="s">
        <v>1574</v>
      </c>
      <c r="F254" s="75" t="s">
        <v>7293</v>
      </c>
      <c r="G254" s="75" t="s">
        <v>7293</v>
      </c>
      <c r="H254" s="75" t="s">
        <v>7311</v>
      </c>
      <c r="I254" s="75" t="s">
        <v>7312</v>
      </c>
      <c r="J254" s="75" t="s">
        <v>7433</v>
      </c>
      <c r="K254" s="11" t="s">
        <v>7434</v>
      </c>
      <c r="L254" s="77" t="s">
        <v>7315</v>
      </c>
      <c r="M254" s="76">
        <v>45062</v>
      </c>
      <c r="N254" s="76"/>
      <c r="O254" s="75" t="s">
        <v>7870</v>
      </c>
      <c r="P254" s="17" t="s">
        <v>8116</v>
      </c>
      <c r="Q254" s="76">
        <v>34465</v>
      </c>
      <c r="R254" s="78">
        <v>32.421917808219177</v>
      </c>
      <c r="S254" s="79" t="s">
        <v>9526</v>
      </c>
      <c r="T254" s="75" t="s">
        <v>7298</v>
      </c>
      <c r="U254" s="75" t="s">
        <v>9527</v>
      </c>
      <c r="V254" s="83">
        <v>47349</v>
      </c>
      <c r="W254" s="75" t="s">
        <v>7300</v>
      </c>
      <c r="X254" s="75"/>
      <c r="Y254" s="75" t="s">
        <v>7319</v>
      </c>
      <c r="Z254" s="15" t="s">
        <v>9528</v>
      </c>
      <c r="AA254" s="75"/>
      <c r="AB254" s="12" t="s">
        <v>7293</v>
      </c>
      <c r="AC254" s="12"/>
      <c r="AD254" s="15" t="s">
        <v>9529</v>
      </c>
      <c r="AE254" s="75" t="s">
        <v>9529</v>
      </c>
      <c r="AF254" s="17"/>
      <c r="AG254" s="17"/>
      <c r="AH254" s="17"/>
      <c r="AI254" s="75" t="s">
        <v>8116</v>
      </c>
    </row>
    <row r="255" spans="1:35" x14ac:dyDescent="0.3">
      <c r="A255" s="34" t="s">
        <v>7286</v>
      </c>
      <c r="B255" s="72" t="s">
        <v>9530</v>
      </c>
      <c r="C255" s="17" t="s">
        <v>7150</v>
      </c>
      <c r="D255" s="81" t="s">
        <v>9531</v>
      </c>
      <c r="E255" s="94" t="s">
        <v>1270</v>
      </c>
      <c r="F255" s="75" t="s">
        <v>7293</v>
      </c>
      <c r="G255" s="75" t="s">
        <v>7293</v>
      </c>
      <c r="H255" s="75" t="s">
        <v>7311</v>
      </c>
      <c r="I255" s="75" t="s">
        <v>7312</v>
      </c>
      <c r="J255" s="75" t="s">
        <v>7313</v>
      </c>
      <c r="K255" s="11" t="s">
        <v>7314</v>
      </c>
      <c r="L255" s="77" t="s">
        <v>7315</v>
      </c>
      <c r="M255" s="76">
        <v>45062</v>
      </c>
      <c r="N255" s="76"/>
      <c r="O255" s="75" t="s">
        <v>7870</v>
      </c>
      <c r="P255" s="17" t="s">
        <v>8413</v>
      </c>
      <c r="Q255" s="76">
        <v>32390</v>
      </c>
      <c r="R255" s="78">
        <v>38.106849315068494</v>
      </c>
      <c r="S255" s="79" t="s">
        <v>9532</v>
      </c>
      <c r="T255" s="75" t="s">
        <v>7298</v>
      </c>
      <c r="U255" s="94" t="s">
        <v>9533</v>
      </c>
      <c r="V255" s="83">
        <v>48832</v>
      </c>
      <c r="W255" s="75" t="s">
        <v>7300</v>
      </c>
      <c r="X255" s="75"/>
      <c r="Y255" s="75" t="s">
        <v>7319</v>
      </c>
      <c r="Z255" s="15" t="s">
        <v>9534</v>
      </c>
      <c r="AA255" s="75"/>
      <c r="AB255" s="12" t="s">
        <v>7293</v>
      </c>
      <c r="AC255" s="12"/>
      <c r="AD255" s="15" t="s">
        <v>9535</v>
      </c>
      <c r="AE255" s="75" t="s">
        <v>9535</v>
      </c>
      <c r="AF255" s="17"/>
      <c r="AG255" s="17"/>
      <c r="AH255" s="17"/>
      <c r="AI255" s="75" t="s">
        <v>8413</v>
      </c>
    </row>
    <row r="256" spans="1:35" x14ac:dyDescent="0.3">
      <c r="A256" s="34" t="s">
        <v>7286</v>
      </c>
      <c r="B256" s="72" t="s">
        <v>9536</v>
      </c>
      <c r="C256" s="17" t="s">
        <v>7150</v>
      </c>
      <c r="D256" s="81" t="s">
        <v>9537</v>
      </c>
      <c r="E256" s="94" t="s">
        <v>9538</v>
      </c>
      <c r="F256" s="75" t="s">
        <v>7293</v>
      </c>
      <c r="G256" s="75" t="s">
        <v>7293</v>
      </c>
      <c r="H256" s="75" t="s">
        <v>7293</v>
      </c>
      <c r="I256" s="75" t="s">
        <v>7293</v>
      </c>
      <c r="J256" s="75" t="s">
        <v>7542</v>
      </c>
      <c r="K256" s="11" t="s">
        <v>6401</v>
      </c>
      <c r="L256" s="77" t="s">
        <v>7543</v>
      </c>
      <c r="M256" s="76">
        <v>45062</v>
      </c>
      <c r="N256" s="76"/>
      <c r="O256" s="75" t="s">
        <v>7870</v>
      </c>
      <c r="P256" s="17"/>
      <c r="Q256" s="76">
        <v>30614</v>
      </c>
      <c r="R256" s="78">
        <v>42.972602739726028</v>
      </c>
      <c r="S256" s="79" t="s">
        <v>9539</v>
      </c>
      <c r="T256" s="75" t="s">
        <v>7298</v>
      </c>
      <c r="U256" s="75" t="s">
        <v>9540</v>
      </c>
      <c r="V256" s="83">
        <v>47381</v>
      </c>
      <c r="W256" s="75" t="s">
        <v>7300</v>
      </c>
      <c r="X256" s="75"/>
      <c r="Y256" s="75" t="s">
        <v>7302</v>
      </c>
      <c r="Z256" s="15" t="s">
        <v>9541</v>
      </c>
      <c r="AA256" s="75"/>
      <c r="AB256" s="12" t="s">
        <v>7293</v>
      </c>
      <c r="AC256" s="12"/>
      <c r="AD256" s="15" t="s">
        <v>9542</v>
      </c>
      <c r="AE256" s="75" t="s">
        <v>9542</v>
      </c>
      <c r="AF256" s="17"/>
      <c r="AG256" s="17"/>
      <c r="AH256" s="17"/>
      <c r="AI256" s="75" t="s">
        <v>8413</v>
      </c>
    </row>
    <row r="257" spans="1:35" x14ac:dyDescent="0.3">
      <c r="A257" s="34" t="s">
        <v>7286</v>
      </c>
      <c r="B257" s="72" t="s">
        <v>9543</v>
      </c>
      <c r="C257" s="17" t="s">
        <v>7150</v>
      </c>
      <c r="D257" s="81" t="s">
        <v>9544</v>
      </c>
      <c r="E257" s="94" t="s">
        <v>1504</v>
      </c>
      <c r="F257" s="75" t="s">
        <v>7293</v>
      </c>
      <c r="G257" s="75" t="s">
        <v>7293</v>
      </c>
      <c r="H257" s="75" t="s">
        <v>7311</v>
      </c>
      <c r="I257" s="75" t="s">
        <v>7312</v>
      </c>
      <c r="J257" s="75" t="s">
        <v>7313</v>
      </c>
      <c r="K257" s="11" t="s">
        <v>7314</v>
      </c>
      <c r="L257" s="77" t="s">
        <v>7315</v>
      </c>
      <c r="M257" s="76">
        <v>45065</v>
      </c>
      <c r="N257" s="76"/>
      <c r="O257" s="75" t="s">
        <v>7870</v>
      </c>
      <c r="P257" s="17" t="s">
        <v>8413</v>
      </c>
      <c r="Q257" s="76">
        <v>31025</v>
      </c>
      <c r="R257" s="78">
        <v>41.846575342465755</v>
      </c>
      <c r="S257" s="79" t="s">
        <v>9545</v>
      </c>
      <c r="T257" s="75" t="s">
        <v>7298</v>
      </c>
      <c r="U257" s="75" t="s">
        <v>9546</v>
      </c>
      <c r="V257" s="83">
        <v>47471</v>
      </c>
      <c r="W257" s="75" t="s">
        <v>7300</v>
      </c>
      <c r="X257" s="75"/>
      <c r="Y257" s="75" t="s">
        <v>7319</v>
      </c>
      <c r="Z257" s="15" t="s">
        <v>9547</v>
      </c>
      <c r="AA257" s="75"/>
      <c r="AB257" s="12" t="s">
        <v>7293</v>
      </c>
      <c r="AC257" s="12"/>
      <c r="AD257" s="15" t="s">
        <v>9548</v>
      </c>
      <c r="AE257" s="75" t="s">
        <v>9548</v>
      </c>
      <c r="AF257" s="17"/>
      <c r="AG257" s="17"/>
      <c r="AH257" s="17"/>
      <c r="AI257" s="75" t="s">
        <v>8413</v>
      </c>
    </row>
    <row r="258" spans="1:35" ht="43.2" x14ac:dyDescent="0.3">
      <c r="A258" s="34" t="s">
        <v>7286</v>
      </c>
      <c r="B258" s="72" t="s">
        <v>9549</v>
      </c>
      <c r="C258" s="17" t="s">
        <v>7367</v>
      </c>
      <c r="D258" s="81" t="s">
        <v>9550</v>
      </c>
      <c r="E258" s="94" t="s">
        <v>9551</v>
      </c>
      <c r="F258" s="75" t="s">
        <v>7370</v>
      </c>
      <c r="G258" s="75" t="s">
        <v>7371</v>
      </c>
      <c r="H258" s="75" t="s">
        <v>7372</v>
      </c>
      <c r="I258" s="75" t="s">
        <v>7373</v>
      </c>
      <c r="J258" s="75" t="s">
        <v>8653</v>
      </c>
      <c r="K258" s="11" t="s">
        <v>8654</v>
      </c>
      <c r="L258" s="77" t="s">
        <v>7376</v>
      </c>
      <c r="M258" s="76">
        <v>45068</v>
      </c>
      <c r="N258" s="76"/>
      <c r="O258" s="75" t="s">
        <v>9552</v>
      </c>
      <c r="P258" s="17"/>
      <c r="Q258" s="76">
        <v>36560</v>
      </c>
      <c r="R258" s="78">
        <v>26.682191780821917</v>
      </c>
      <c r="S258" s="79" t="s">
        <v>9553</v>
      </c>
      <c r="T258" s="75" t="s">
        <v>7298</v>
      </c>
      <c r="U258" s="75" t="s">
        <v>9554</v>
      </c>
      <c r="V258" s="83">
        <v>45692</v>
      </c>
      <c r="W258" s="75" t="s">
        <v>7300</v>
      </c>
      <c r="X258" s="75"/>
      <c r="Y258" s="75" t="s">
        <v>7319</v>
      </c>
      <c r="Z258" s="15" t="s">
        <v>9555</v>
      </c>
      <c r="AA258" s="75"/>
      <c r="AB258" s="12" t="s">
        <v>9556</v>
      </c>
      <c r="AC258" s="12"/>
      <c r="AD258" s="15" t="s">
        <v>9557</v>
      </c>
      <c r="AE258" s="75" t="s">
        <v>9558</v>
      </c>
      <c r="AF258" s="17"/>
      <c r="AG258" s="17"/>
      <c r="AH258" s="17"/>
      <c r="AI258" s="75" t="s">
        <v>7745</v>
      </c>
    </row>
    <row r="259" spans="1:35" x14ac:dyDescent="0.3">
      <c r="A259" s="34" t="s">
        <v>7286</v>
      </c>
      <c r="B259" s="72" t="s">
        <v>9559</v>
      </c>
      <c r="C259" s="17" t="s">
        <v>7150</v>
      </c>
      <c r="D259" s="81" t="s">
        <v>9560</v>
      </c>
      <c r="E259" s="94" t="s">
        <v>1541</v>
      </c>
      <c r="F259" s="75" t="s">
        <v>7293</v>
      </c>
      <c r="G259" s="75" t="s">
        <v>7293</v>
      </c>
      <c r="H259" s="75" t="s">
        <v>7311</v>
      </c>
      <c r="I259" s="75" t="s">
        <v>7312</v>
      </c>
      <c r="J259" s="75" t="s">
        <v>7433</v>
      </c>
      <c r="K259" s="11" t="s">
        <v>7434</v>
      </c>
      <c r="L259" s="77" t="s">
        <v>7315</v>
      </c>
      <c r="M259" s="76">
        <v>45071</v>
      </c>
      <c r="N259" s="76"/>
      <c r="O259" s="75" t="s">
        <v>7870</v>
      </c>
      <c r="P259" s="17" t="s">
        <v>7422</v>
      </c>
      <c r="Q259" s="76">
        <v>37629</v>
      </c>
      <c r="R259" s="78">
        <v>23.753424657534246</v>
      </c>
      <c r="S259" s="79" t="s">
        <v>9561</v>
      </c>
      <c r="T259" s="75" t="s">
        <v>7298</v>
      </c>
      <c r="U259" s="75" t="s">
        <v>9562</v>
      </c>
      <c r="V259" s="83">
        <v>47224</v>
      </c>
      <c r="W259" s="75" t="s">
        <v>7300</v>
      </c>
      <c r="X259" s="75"/>
      <c r="Y259" s="75" t="s">
        <v>7319</v>
      </c>
      <c r="Z259" s="15" t="s">
        <v>9563</v>
      </c>
      <c r="AA259" s="75"/>
      <c r="AB259" s="12" t="s">
        <v>7293</v>
      </c>
      <c r="AC259" s="12"/>
      <c r="AD259" s="15" t="s">
        <v>9564</v>
      </c>
      <c r="AE259" s="75" t="s">
        <v>9564</v>
      </c>
      <c r="AF259" s="17"/>
      <c r="AG259" s="17"/>
      <c r="AH259" s="17"/>
      <c r="AI259" s="75" t="s">
        <v>7422</v>
      </c>
    </row>
    <row r="260" spans="1:35" ht="43.2" x14ac:dyDescent="0.3">
      <c r="A260" s="34" t="s">
        <v>7286</v>
      </c>
      <c r="B260" s="72" t="s">
        <v>9565</v>
      </c>
      <c r="C260" s="17" t="s">
        <v>7367</v>
      </c>
      <c r="D260" s="81" t="s">
        <v>9566</v>
      </c>
      <c r="E260" s="94" t="s">
        <v>9567</v>
      </c>
      <c r="F260" s="75" t="s">
        <v>7293</v>
      </c>
      <c r="G260" s="75" t="s">
        <v>7293</v>
      </c>
      <c r="H260" s="75" t="s">
        <v>7946</v>
      </c>
      <c r="I260" s="75" t="s">
        <v>7947</v>
      </c>
      <c r="J260" s="75" t="s">
        <v>8338</v>
      </c>
      <c r="K260" s="11" t="s">
        <v>8339</v>
      </c>
      <c r="L260" s="77" t="s">
        <v>7950</v>
      </c>
      <c r="M260" s="76">
        <v>45071</v>
      </c>
      <c r="N260" s="76"/>
      <c r="O260" s="75" t="s">
        <v>7892</v>
      </c>
      <c r="P260" s="17"/>
      <c r="Q260" s="76">
        <v>36569</v>
      </c>
      <c r="R260" s="78">
        <v>26.657534246575342</v>
      </c>
      <c r="S260" s="79" t="s">
        <v>9568</v>
      </c>
      <c r="T260" s="75" t="s">
        <v>7298</v>
      </c>
      <c r="U260" s="75" t="s">
        <v>9569</v>
      </c>
      <c r="V260" s="83">
        <v>45701</v>
      </c>
      <c r="W260" s="75" t="s">
        <v>7300</v>
      </c>
      <c r="X260" s="75"/>
      <c r="Y260" s="75" t="s">
        <v>7319</v>
      </c>
      <c r="Z260" s="15" t="s">
        <v>9570</v>
      </c>
      <c r="AA260" s="75"/>
      <c r="AB260" s="12" t="s">
        <v>9571</v>
      </c>
      <c r="AC260" s="12"/>
      <c r="AD260" s="15" t="s">
        <v>9572</v>
      </c>
      <c r="AE260" s="75" t="s">
        <v>9572</v>
      </c>
      <c r="AF260" s="17"/>
      <c r="AG260" s="17"/>
      <c r="AH260" s="17"/>
      <c r="AI260" s="75" t="s">
        <v>7307</v>
      </c>
    </row>
    <row r="261" spans="1:35" ht="57.6" x14ac:dyDescent="0.3">
      <c r="A261" s="34" t="s">
        <v>7286</v>
      </c>
      <c r="B261" s="72" t="s">
        <v>9573</v>
      </c>
      <c r="C261" s="17" t="s">
        <v>7367</v>
      </c>
      <c r="D261" s="81" t="s">
        <v>9574</v>
      </c>
      <c r="E261" s="94" t="s">
        <v>9575</v>
      </c>
      <c r="F261" s="75" t="s">
        <v>7346</v>
      </c>
      <c r="G261" s="75" t="s">
        <v>6471</v>
      </c>
      <c r="H261" s="11" t="s">
        <v>9576</v>
      </c>
      <c r="I261" s="75" t="s">
        <v>9577</v>
      </c>
      <c r="J261" s="75" t="s">
        <v>9578</v>
      </c>
      <c r="K261" s="11" t="s">
        <v>9579</v>
      </c>
      <c r="L261" s="77" t="s">
        <v>9580</v>
      </c>
      <c r="M261" s="76">
        <v>45071</v>
      </c>
      <c r="N261" s="76"/>
      <c r="O261" s="75" t="s">
        <v>7892</v>
      </c>
      <c r="P261" s="17"/>
      <c r="Q261" s="76">
        <v>37521</v>
      </c>
      <c r="R261" s="78">
        <v>24.049315068493151</v>
      </c>
      <c r="S261" s="79" t="s">
        <v>9581</v>
      </c>
      <c r="T261" s="75" t="s">
        <v>7298</v>
      </c>
      <c r="U261" s="75" t="s">
        <v>9582</v>
      </c>
      <c r="V261" s="83">
        <v>47378</v>
      </c>
      <c r="W261" s="75" t="s">
        <v>7300</v>
      </c>
      <c r="X261" s="75"/>
      <c r="Y261" s="75" t="s">
        <v>7319</v>
      </c>
      <c r="Z261" s="15" t="s">
        <v>9583</v>
      </c>
      <c r="AA261" s="75"/>
      <c r="AB261" s="12" t="s">
        <v>9584</v>
      </c>
      <c r="AC261" s="12"/>
      <c r="AD261" s="15" t="s">
        <v>9585</v>
      </c>
      <c r="AE261" s="75" t="s">
        <v>9585</v>
      </c>
      <c r="AF261" s="17"/>
      <c r="AG261" s="17"/>
      <c r="AH261" s="17"/>
      <c r="AI261" s="75" t="s">
        <v>7307</v>
      </c>
    </row>
    <row r="262" spans="1:35" ht="57.6" x14ac:dyDescent="0.3">
      <c r="A262" s="34" t="s">
        <v>7286</v>
      </c>
      <c r="B262" s="72" t="s">
        <v>9586</v>
      </c>
      <c r="C262" s="17" t="s">
        <v>7367</v>
      </c>
      <c r="D262" s="81" t="s">
        <v>9587</v>
      </c>
      <c r="E262" s="94" t="s">
        <v>9588</v>
      </c>
      <c r="F262" s="75" t="s">
        <v>7293</v>
      </c>
      <c r="G262" s="75" t="s">
        <v>7293</v>
      </c>
      <c r="H262" s="75" t="s">
        <v>7946</v>
      </c>
      <c r="I262" s="75" t="s">
        <v>7947</v>
      </c>
      <c r="J262" s="75" t="s">
        <v>9589</v>
      </c>
      <c r="K262" s="11" t="s">
        <v>9590</v>
      </c>
      <c r="L262" s="77" t="s">
        <v>9403</v>
      </c>
      <c r="M262" s="76">
        <v>45078</v>
      </c>
      <c r="N262" s="76"/>
      <c r="O262" s="75" t="s">
        <v>7892</v>
      </c>
      <c r="P262" s="17"/>
      <c r="Q262" s="76">
        <v>34196</v>
      </c>
      <c r="R262" s="78">
        <v>33.158904109589038</v>
      </c>
      <c r="S262" s="79" t="s">
        <v>9591</v>
      </c>
      <c r="T262" s="75" t="s">
        <v>7298</v>
      </c>
      <c r="U262" s="75" t="s">
        <v>9592</v>
      </c>
      <c r="V262" s="83">
        <v>47478</v>
      </c>
      <c r="W262" s="75" t="s">
        <v>7300</v>
      </c>
      <c r="X262" s="75"/>
      <c r="Y262" s="75" t="s">
        <v>7319</v>
      </c>
      <c r="Z262" s="15" t="s">
        <v>9593</v>
      </c>
      <c r="AA262" s="75"/>
      <c r="AB262" s="12" t="s">
        <v>9594</v>
      </c>
      <c r="AC262" s="12"/>
      <c r="AD262" s="15" t="s">
        <v>9595</v>
      </c>
      <c r="AE262" s="75" t="s">
        <v>9595</v>
      </c>
      <c r="AF262" s="17"/>
      <c r="AG262" s="17"/>
      <c r="AH262" s="17"/>
      <c r="AI262" s="75" t="s">
        <v>7307</v>
      </c>
    </row>
    <row r="263" spans="1:35" x14ac:dyDescent="0.3">
      <c r="A263" s="34" t="s">
        <v>7286</v>
      </c>
      <c r="B263" s="72" t="s">
        <v>9596</v>
      </c>
      <c r="C263" s="17" t="s">
        <v>7367</v>
      </c>
      <c r="D263" s="81" t="s">
        <v>9597</v>
      </c>
      <c r="E263" s="94" t="s">
        <v>9598</v>
      </c>
      <c r="F263" s="75" t="s">
        <v>7293</v>
      </c>
      <c r="G263" s="75" t="s">
        <v>7293</v>
      </c>
      <c r="H263" s="75" t="s">
        <v>7311</v>
      </c>
      <c r="I263" s="75" t="s">
        <v>7312</v>
      </c>
      <c r="J263" s="75" t="s">
        <v>9599</v>
      </c>
      <c r="K263" s="11" t="s">
        <v>9600</v>
      </c>
      <c r="L263" s="77" t="s">
        <v>7335</v>
      </c>
      <c r="M263" s="76">
        <v>45078</v>
      </c>
      <c r="N263" s="76"/>
      <c r="O263" s="75" t="s">
        <v>7892</v>
      </c>
      <c r="P263" s="17"/>
      <c r="Q263" s="76">
        <v>31647</v>
      </c>
      <c r="R263" s="78">
        <v>40.142465753424659</v>
      </c>
      <c r="S263" s="79" t="s">
        <v>9601</v>
      </c>
      <c r="T263" s="75" t="s">
        <v>7298</v>
      </c>
      <c r="U263" s="75" t="s">
        <v>9602</v>
      </c>
      <c r="V263" s="83">
        <v>48153</v>
      </c>
      <c r="W263" s="75" t="s">
        <v>7300</v>
      </c>
      <c r="X263" s="75"/>
      <c r="Y263" s="75" t="s">
        <v>7319</v>
      </c>
      <c r="Z263" s="15" t="s">
        <v>9603</v>
      </c>
      <c r="AA263" s="75"/>
      <c r="AB263" s="16" t="s">
        <v>9604</v>
      </c>
      <c r="AC263" s="12"/>
      <c r="AD263" s="15" t="s">
        <v>9605</v>
      </c>
      <c r="AE263" s="75" t="s">
        <v>9605</v>
      </c>
      <c r="AF263" s="17"/>
      <c r="AG263" s="17"/>
      <c r="AH263" s="17"/>
      <c r="AI263" s="75" t="s">
        <v>7324</v>
      </c>
    </row>
    <row r="264" spans="1:35" x14ac:dyDescent="0.3">
      <c r="A264" s="34" t="s">
        <v>7286</v>
      </c>
      <c r="B264" s="72" t="s">
        <v>9606</v>
      </c>
      <c r="C264" s="17" t="s">
        <v>7150</v>
      </c>
      <c r="D264" s="81" t="s">
        <v>9607</v>
      </c>
      <c r="E264" s="94" t="s">
        <v>1465</v>
      </c>
      <c r="F264" s="75" t="s">
        <v>7293</v>
      </c>
      <c r="G264" s="75" t="s">
        <v>7293</v>
      </c>
      <c r="H264" s="75" t="s">
        <v>7311</v>
      </c>
      <c r="I264" s="75" t="s">
        <v>7312</v>
      </c>
      <c r="J264" s="75" t="s">
        <v>7433</v>
      </c>
      <c r="K264" s="11" t="s">
        <v>7434</v>
      </c>
      <c r="L264" s="77" t="s">
        <v>7315</v>
      </c>
      <c r="M264" s="76">
        <v>45089</v>
      </c>
      <c r="N264" s="76"/>
      <c r="O264" s="75" t="s">
        <v>7870</v>
      </c>
      <c r="P264" s="17" t="s">
        <v>7425</v>
      </c>
      <c r="Q264" s="76">
        <v>29505</v>
      </c>
      <c r="R264" s="78">
        <v>46.010958904109586</v>
      </c>
      <c r="S264" s="79" t="s">
        <v>9608</v>
      </c>
      <c r="T264" s="75" t="s">
        <v>7298</v>
      </c>
      <c r="U264" s="75" t="s">
        <v>9609</v>
      </c>
      <c r="V264" s="83">
        <v>47767</v>
      </c>
      <c r="W264" s="75" t="s">
        <v>7300</v>
      </c>
      <c r="X264" s="75"/>
      <c r="Y264" s="75" t="s">
        <v>7319</v>
      </c>
      <c r="Z264" s="15" t="s">
        <v>9610</v>
      </c>
      <c r="AA264" s="75"/>
      <c r="AB264" s="12" t="s">
        <v>7293</v>
      </c>
      <c r="AC264" s="12"/>
      <c r="AD264" s="15" t="s">
        <v>9611</v>
      </c>
      <c r="AE264" s="75" t="s">
        <v>9612</v>
      </c>
      <c r="AF264" s="17"/>
      <c r="AG264" s="17"/>
      <c r="AH264" s="17"/>
      <c r="AI264" s="75" t="s">
        <v>7425</v>
      </c>
    </row>
    <row r="265" spans="1:35" ht="57.6" x14ac:dyDescent="0.3">
      <c r="A265" s="34" t="s">
        <v>7286</v>
      </c>
      <c r="B265" s="72" t="s">
        <v>9613</v>
      </c>
      <c r="C265" s="17" t="s">
        <v>7343</v>
      </c>
      <c r="D265" s="81" t="s">
        <v>9614</v>
      </c>
      <c r="E265" s="94" t="s">
        <v>9615</v>
      </c>
      <c r="F265" s="75" t="s">
        <v>7293</v>
      </c>
      <c r="G265" s="75" t="s">
        <v>7293</v>
      </c>
      <c r="H265" s="75" t="s">
        <v>7933</v>
      </c>
      <c r="I265" s="75" t="s">
        <v>7934</v>
      </c>
      <c r="J265" s="75" t="s">
        <v>9616</v>
      </c>
      <c r="K265" s="11" t="s">
        <v>9617</v>
      </c>
      <c r="L265" s="77" t="s">
        <v>7295</v>
      </c>
      <c r="M265" s="76">
        <v>45089</v>
      </c>
      <c r="N265" s="76"/>
      <c r="O265" s="75" t="s">
        <v>7923</v>
      </c>
      <c r="P265" s="17"/>
      <c r="Q265" s="76">
        <v>32300</v>
      </c>
      <c r="R265" s="78">
        <v>38.353424657534248</v>
      </c>
      <c r="S265" s="79" t="s">
        <v>9618</v>
      </c>
      <c r="T265" s="75" t="s">
        <v>7298</v>
      </c>
      <c r="U265" s="75" t="s">
        <v>9619</v>
      </c>
      <c r="V265" s="83">
        <v>48459</v>
      </c>
      <c r="W265" s="75" t="s">
        <v>7300</v>
      </c>
      <c r="X265" s="75"/>
      <c r="Y265" s="75" t="s">
        <v>7319</v>
      </c>
      <c r="Z265" s="15" t="s">
        <v>9620</v>
      </c>
      <c r="AA265" s="75"/>
      <c r="AB265" s="12" t="s">
        <v>9621</v>
      </c>
      <c r="AC265" s="12"/>
      <c r="AD265" s="15" t="s">
        <v>9622</v>
      </c>
      <c r="AE265" s="75" t="s">
        <v>9623</v>
      </c>
      <c r="AF265" s="17"/>
      <c r="AG265" s="17"/>
      <c r="AH265" s="17"/>
      <c r="AI265" s="75" t="s">
        <v>7307</v>
      </c>
    </row>
    <row r="266" spans="1:35" x14ac:dyDescent="0.3">
      <c r="A266" s="34" t="s">
        <v>7286</v>
      </c>
      <c r="B266" s="72" t="s">
        <v>9624</v>
      </c>
      <c r="C266" s="17" t="s">
        <v>7150</v>
      </c>
      <c r="D266" s="81" t="s">
        <v>9625</v>
      </c>
      <c r="E266" s="94" t="s">
        <v>9626</v>
      </c>
      <c r="F266" s="75" t="s">
        <v>7293</v>
      </c>
      <c r="G266" s="75" t="s">
        <v>7293</v>
      </c>
      <c r="H266" s="75" t="s">
        <v>7311</v>
      </c>
      <c r="I266" s="75" t="s">
        <v>7312</v>
      </c>
      <c r="J266" s="11" t="s">
        <v>7433</v>
      </c>
      <c r="K266" s="11" t="s">
        <v>7434</v>
      </c>
      <c r="L266" s="77" t="s">
        <v>7315</v>
      </c>
      <c r="M266" s="76">
        <v>45089</v>
      </c>
      <c r="N266" s="76"/>
      <c r="O266" s="75" t="s">
        <v>7870</v>
      </c>
      <c r="P266" s="17" t="s">
        <v>7425</v>
      </c>
      <c r="Q266" s="76">
        <v>30894</v>
      </c>
      <c r="R266" s="78">
        <v>42.205479452054796</v>
      </c>
      <c r="S266" s="79" t="s">
        <v>9627</v>
      </c>
      <c r="T266" s="75" t="s">
        <v>7298</v>
      </c>
      <c r="U266" s="75" t="s">
        <v>9628</v>
      </c>
      <c r="V266" s="83">
        <v>47455</v>
      </c>
      <c r="W266" s="75" t="s">
        <v>7300</v>
      </c>
      <c r="X266" s="75"/>
      <c r="Y266" s="75" t="s">
        <v>7319</v>
      </c>
      <c r="Z266" s="15" t="s">
        <v>9629</v>
      </c>
      <c r="AA266" s="75"/>
      <c r="AB266" s="12" t="s">
        <v>7293</v>
      </c>
      <c r="AC266" s="12"/>
      <c r="AD266" s="15" t="s">
        <v>9630</v>
      </c>
      <c r="AE266" s="75" t="s">
        <v>9630</v>
      </c>
      <c r="AF266" s="17"/>
      <c r="AG266" s="17"/>
      <c r="AH266" s="17"/>
      <c r="AI266" s="75" t="s">
        <v>7425</v>
      </c>
    </row>
    <row r="267" spans="1:35" x14ac:dyDescent="0.3">
      <c r="A267" s="34" t="s">
        <v>7286</v>
      </c>
      <c r="B267" s="72" t="s">
        <v>9631</v>
      </c>
      <c r="C267" s="17" t="s">
        <v>7326</v>
      </c>
      <c r="D267" s="81" t="s">
        <v>9632</v>
      </c>
      <c r="E267" s="94" t="s">
        <v>9633</v>
      </c>
      <c r="F267" s="75" t="s">
        <v>7293</v>
      </c>
      <c r="G267" s="75" t="s">
        <v>7293</v>
      </c>
      <c r="H267" s="75" t="s">
        <v>7311</v>
      </c>
      <c r="I267" s="75" t="s">
        <v>7312</v>
      </c>
      <c r="J267" s="75" t="s">
        <v>7498</v>
      </c>
      <c r="K267" s="11" t="s">
        <v>7499</v>
      </c>
      <c r="L267" s="77" t="s">
        <v>7315</v>
      </c>
      <c r="M267" s="76">
        <v>45091</v>
      </c>
      <c r="N267" s="76"/>
      <c r="O267" s="75" t="s">
        <v>7870</v>
      </c>
      <c r="P267" s="17"/>
      <c r="Q267" s="76">
        <v>36161</v>
      </c>
      <c r="R267" s="78">
        <v>27.775342465753425</v>
      </c>
      <c r="S267" s="79" t="s">
        <v>9634</v>
      </c>
      <c r="T267" s="75" t="s">
        <v>7298</v>
      </c>
      <c r="U267" s="75" t="s">
        <v>9635</v>
      </c>
      <c r="V267" s="83">
        <v>47755</v>
      </c>
      <c r="W267" s="75" t="s">
        <v>7300</v>
      </c>
      <c r="X267" s="75"/>
      <c r="Y267" s="75" t="s">
        <v>7319</v>
      </c>
      <c r="Z267" s="15" t="s">
        <v>9636</v>
      </c>
      <c r="AA267" s="75"/>
      <c r="AB267" s="16" t="s">
        <v>9637</v>
      </c>
      <c r="AC267" s="12"/>
      <c r="AD267" s="15" t="s">
        <v>9638</v>
      </c>
      <c r="AE267" s="75" t="s">
        <v>9638</v>
      </c>
      <c r="AF267" s="17"/>
      <c r="AG267" s="17"/>
      <c r="AH267" s="17"/>
      <c r="AI267" s="75" t="s">
        <v>8413</v>
      </c>
    </row>
    <row r="268" spans="1:35" x14ac:dyDescent="0.3">
      <c r="A268" s="34" t="s">
        <v>7286</v>
      </c>
      <c r="B268" s="72" t="s">
        <v>9639</v>
      </c>
      <c r="C268" s="17" t="s">
        <v>7150</v>
      </c>
      <c r="D268" s="81" t="s">
        <v>9640</v>
      </c>
      <c r="E268" s="94" t="s">
        <v>1455</v>
      </c>
      <c r="F268" s="75" t="s">
        <v>7293</v>
      </c>
      <c r="G268" s="75" t="s">
        <v>7293</v>
      </c>
      <c r="H268" s="75" t="s">
        <v>7311</v>
      </c>
      <c r="I268" s="75" t="s">
        <v>7312</v>
      </c>
      <c r="J268" s="75" t="s">
        <v>7313</v>
      </c>
      <c r="K268" s="11" t="s">
        <v>7314</v>
      </c>
      <c r="L268" s="77" t="s">
        <v>7315</v>
      </c>
      <c r="M268" s="76">
        <v>45091</v>
      </c>
      <c r="N268" s="76"/>
      <c r="O268" s="75" t="s">
        <v>7870</v>
      </c>
      <c r="P268" s="17" t="s">
        <v>7316</v>
      </c>
      <c r="Q268" s="76">
        <v>32673</v>
      </c>
      <c r="R268" s="78">
        <v>37.331506849315069</v>
      </c>
      <c r="S268" s="79" t="s">
        <v>9641</v>
      </c>
      <c r="T268" s="75" t="s">
        <v>7298</v>
      </c>
      <c r="U268" s="94" t="s">
        <v>9642</v>
      </c>
      <c r="V268" s="83">
        <v>49145</v>
      </c>
      <c r="W268" s="75" t="s">
        <v>7300</v>
      </c>
      <c r="X268" s="75"/>
      <c r="Y268" s="75" t="s">
        <v>7319</v>
      </c>
      <c r="Z268" s="15" t="s">
        <v>9643</v>
      </c>
      <c r="AA268" s="75"/>
      <c r="AB268" s="12" t="s">
        <v>7293</v>
      </c>
      <c r="AC268" s="12"/>
      <c r="AD268" s="15" t="s">
        <v>9644</v>
      </c>
      <c r="AE268" s="75" t="s">
        <v>9645</v>
      </c>
      <c r="AF268" s="17"/>
      <c r="AG268" s="17"/>
      <c r="AH268" s="17"/>
      <c r="AI268" s="75" t="s">
        <v>7324</v>
      </c>
    </row>
    <row r="269" spans="1:35" x14ac:dyDescent="0.3">
      <c r="A269" s="34" t="s">
        <v>7384</v>
      </c>
      <c r="B269" s="72" t="s">
        <v>9646</v>
      </c>
      <c r="C269" s="17" t="s">
        <v>7150</v>
      </c>
      <c r="D269" s="81" t="s">
        <v>9647</v>
      </c>
      <c r="E269" s="94" t="s">
        <v>9648</v>
      </c>
      <c r="F269" s="75" t="s">
        <v>7293</v>
      </c>
      <c r="G269" s="75" t="s">
        <v>7293</v>
      </c>
      <c r="H269" s="75" t="s">
        <v>7311</v>
      </c>
      <c r="I269" s="75" t="s">
        <v>7312</v>
      </c>
      <c r="J269" s="75" t="s">
        <v>7313</v>
      </c>
      <c r="K269" s="11" t="s">
        <v>7314</v>
      </c>
      <c r="L269" s="77" t="s">
        <v>7315</v>
      </c>
      <c r="M269" s="76">
        <v>45099</v>
      </c>
      <c r="N269" s="76"/>
      <c r="O269" s="75" t="s">
        <v>7870</v>
      </c>
      <c r="P269" s="17" t="s">
        <v>8361</v>
      </c>
      <c r="Q269" s="76">
        <v>30773</v>
      </c>
      <c r="R269" s="78">
        <v>42.536986301369865</v>
      </c>
      <c r="S269" s="79" t="s">
        <v>9649</v>
      </c>
      <c r="T269" s="75" t="s">
        <v>7298</v>
      </c>
      <c r="U269" s="75" t="s">
        <v>9650</v>
      </c>
      <c r="V269" s="83">
        <v>47211</v>
      </c>
      <c r="W269" s="75" t="s">
        <v>7300</v>
      </c>
      <c r="X269" s="75"/>
      <c r="Y269" s="75" t="s">
        <v>7319</v>
      </c>
      <c r="Z269" s="15" t="s">
        <v>9651</v>
      </c>
      <c r="AA269" s="75"/>
      <c r="AB269" s="12" t="s">
        <v>7293</v>
      </c>
      <c r="AC269" s="12"/>
      <c r="AD269" s="15" t="s">
        <v>9652</v>
      </c>
      <c r="AE269" s="75" t="s">
        <v>9652</v>
      </c>
      <c r="AF269" s="17"/>
      <c r="AG269" s="17"/>
      <c r="AH269" s="17"/>
      <c r="AI269" s="11" t="s">
        <v>8361</v>
      </c>
    </row>
    <row r="270" spans="1:35" x14ac:dyDescent="0.3">
      <c r="A270" s="34" t="s">
        <v>7286</v>
      </c>
      <c r="B270" s="72" t="s">
        <v>9653</v>
      </c>
      <c r="C270" s="17" t="s">
        <v>7150</v>
      </c>
      <c r="D270" s="81" t="s">
        <v>9654</v>
      </c>
      <c r="E270" s="94" t="s">
        <v>1596</v>
      </c>
      <c r="F270" s="75" t="s">
        <v>7293</v>
      </c>
      <c r="G270" s="75" t="s">
        <v>7293</v>
      </c>
      <c r="H270" s="75" t="s">
        <v>7311</v>
      </c>
      <c r="I270" s="75" t="s">
        <v>7312</v>
      </c>
      <c r="J270" s="11" t="s">
        <v>7433</v>
      </c>
      <c r="K270" s="11" t="s">
        <v>7434</v>
      </c>
      <c r="L270" s="77" t="s">
        <v>7315</v>
      </c>
      <c r="M270" s="76">
        <v>45110</v>
      </c>
      <c r="N270" s="76"/>
      <c r="O270" s="75" t="s">
        <v>7870</v>
      </c>
      <c r="P270" s="17" t="s">
        <v>7524</v>
      </c>
      <c r="Q270" s="76">
        <v>35938</v>
      </c>
      <c r="R270" s="78">
        <v>28.386301369863013</v>
      </c>
      <c r="S270" s="79" t="s">
        <v>9655</v>
      </c>
      <c r="T270" s="75" t="s">
        <v>7298</v>
      </c>
      <c r="U270" s="75" t="s">
        <v>9656</v>
      </c>
      <c r="V270" s="83">
        <v>48078</v>
      </c>
      <c r="W270" s="75" t="s">
        <v>7300</v>
      </c>
      <c r="X270" s="75"/>
      <c r="Y270" s="75" t="s">
        <v>7319</v>
      </c>
      <c r="Z270" s="15" t="s">
        <v>9657</v>
      </c>
      <c r="AA270" s="75"/>
      <c r="AB270" s="12" t="s">
        <v>7293</v>
      </c>
      <c r="AC270" s="12"/>
      <c r="AD270" s="15" t="s">
        <v>9658</v>
      </c>
      <c r="AE270" s="75" t="s">
        <v>9658</v>
      </c>
      <c r="AF270" s="17"/>
      <c r="AG270" s="17"/>
      <c r="AH270" s="17"/>
      <c r="AI270" s="11" t="s">
        <v>7524</v>
      </c>
    </row>
    <row r="271" spans="1:35" ht="57.6" x14ac:dyDescent="0.3">
      <c r="A271" s="34" t="s">
        <v>7286</v>
      </c>
      <c r="B271" s="72" t="s">
        <v>9659</v>
      </c>
      <c r="C271" s="17" t="s">
        <v>7367</v>
      </c>
      <c r="D271" s="81" t="s">
        <v>9660</v>
      </c>
      <c r="E271" s="94" t="s">
        <v>9661</v>
      </c>
      <c r="F271" s="75" t="s">
        <v>7370</v>
      </c>
      <c r="G271" s="75" t="s">
        <v>7371</v>
      </c>
      <c r="H271" s="75" t="s">
        <v>7372</v>
      </c>
      <c r="I271" s="75" t="s">
        <v>7373</v>
      </c>
      <c r="J271" s="75" t="s">
        <v>9662</v>
      </c>
      <c r="K271" s="11" t="s">
        <v>9663</v>
      </c>
      <c r="L271" s="77" t="s">
        <v>7376</v>
      </c>
      <c r="M271" s="76">
        <v>45110</v>
      </c>
      <c r="N271" s="76"/>
      <c r="O271" s="75" t="s">
        <v>8747</v>
      </c>
      <c r="P271" s="17"/>
      <c r="Q271" s="76">
        <v>36433</v>
      </c>
      <c r="R271" s="78">
        <v>27.030136986301368</v>
      </c>
      <c r="S271" s="79" t="s">
        <v>9664</v>
      </c>
      <c r="T271" s="75" t="s">
        <v>7298</v>
      </c>
      <c r="U271" s="75" t="s">
        <v>9665</v>
      </c>
      <c r="V271" s="83">
        <v>47192</v>
      </c>
      <c r="W271" s="75" t="s">
        <v>7300</v>
      </c>
      <c r="X271" s="75"/>
      <c r="Y271" s="75" t="s">
        <v>7302</v>
      </c>
      <c r="Z271" s="15" t="s">
        <v>9666</v>
      </c>
      <c r="AA271" s="75"/>
      <c r="AB271" s="12" t="s">
        <v>9667</v>
      </c>
      <c r="AC271" s="12"/>
      <c r="AD271" s="15" t="s">
        <v>9668</v>
      </c>
      <c r="AE271" s="75" t="s">
        <v>9669</v>
      </c>
      <c r="AF271" s="17"/>
      <c r="AG271" s="17"/>
      <c r="AH271" s="17"/>
      <c r="AI271" s="75" t="s">
        <v>7745</v>
      </c>
    </row>
    <row r="272" spans="1:35" x14ac:dyDescent="0.3">
      <c r="A272" s="34" t="s">
        <v>7286</v>
      </c>
      <c r="B272" s="72" t="s">
        <v>9670</v>
      </c>
      <c r="C272" s="17" t="s">
        <v>7150</v>
      </c>
      <c r="D272" s="81" t="s">
        <v>9671</v>
      </c>
      <c r="E272" s="94" t="s">
        <v>1638</v>
      </c>
      <c r="F272" s="75" t="s">
        <v>7293</v>
      </c>
      <c r="G272" s="75" t="s">
        <v>7293</v>
      </c>
      <c r="H272" s="75" t="s">
        <v>7311</v>
      </c>
      <c r="I272" s="75" t="s">
        <v>7312</v>
      </c>
      <c r="J272" s="75" t="s">
        <v>7313</v>
      </c>
      <c r="K272" s="11" t="s">
        <v>7314</v>
      </c>
      <c r="L272" s="77" t="s">
        <v>7315</v>
      </c>
      <c r="M272" s="76">
        <v>45113</v>
      </c>
      <c r="N272" s="76"/>
      <c r="O272" s="75" t="s">
        <v>8747</v>
      </c>
      <c r="P272" s="17" t="s">
        <v>8748</v>
      </c>
      <c r="Q272" s="76">
        <v>34336</v>
      </c>
      <c r="R272" s="78">
        <v>32.775342465753425</v>
      </c>
      <c r="S272" s="79" t="s">
        <v>9672</v>
      </c>
      <c r="T272" s="75" t="s">
        <v>7298</v>
      </c>
      <c r="U272" s="75" t="s">
        <v>9673</v>
      </c>
      <c r="V272" s="83">
        <v>47769</v>
      </c>
      <c r="W272" s="75" t="s">
        <v>7300</v>
      </c>
      <c r="X272" s="75"/>
      <c r="Y272" s="75" t="s">
        <v>7319</v>
      </c>
      <c r="Z272" s="15" t="s">
        <v>9674</v>
      </c>
      <c r="AA272" s="75"/>
      <c r="AB272" s="12" t="s">
        <v>7293</v>
      </c>
      <c r="AC272" s="12"/>
      <c r="AD272" s="15" t="s">
        <v>9675</v>
      </c>
      <c r="AE272" s="75" t="s">
        <v>9675</v>
      </c>
      <c r="AF272" s="17"/>
      <c r="AG272" s="17"/>
      <c r="AH272" s="17"/>
      <c r="AI272" s="75" t="s">
        <v>7448</v>
      </c>
    </row>
    <row r="273" spans="1:35" ht="43.2" x14ac:dyDescent="0.3">
      <c r="A273" s="34" t="s">
        <v>7286</v>
      </c>
      <c r="B273" s="72" t="s">
        <v>9676</v>
      </c>
      <c r="C273" s="17" t="s">
        <v>7367</v>
      </c>
      <c r="D273" s="81" t="s">
        <v>9677</v>
      </c>
      <c r="E273" s="94" t="s">
        <v>9678</v>
      </c>
      <c r="F273" s="75" t="s">
        <v>7370</v>
      </c>
      <c r="G273" s="75" t="s">
        <v>7371</v>
      </c>
      <c r="H273" s="75" t="s">
        <v>7372</v>
      </c>
      <c r="I273" s="75" t="s">
        <v>7373</v>
      </c>
      <c r="J273" s="75" t="s">
        <v>8653</v>
      </c>
      <c r="K273" s="11" t="s">
        <v>8654</v>
      </c>
      <c r="L273" s="77" t="s">
        <v>7376</v>
      </c>
      <c r="M273" s="76">
        <v>45113</v>
      </c>
      <c r="N273" s="76"/>
      <c r="O273" s="75" t="s">
        <v>8747</v>
      </c>
      <c r="P273" s="17"/>
      <c r="Q273" s="76">
        <v>37400</v>
      </c>
      <c r="R273" s="78">
        <v>24.38082191780822</v>
      </c>
      <c r="S273" s="79" t="s">
        <v>9679</v>
      </c>
      <c r="T273" s="75" t="s">
        <v>7298</v>
      </c>
      <c r="U273" s="75" t="s">
        <v>9680</v>
      </c>
      <c r="V273" s="83">
        <v>46531</v>
      </c>
      <c r="W273" s="75" t="s">
        <v>7300</v>
      </c>
      <c r="X273" s="75"/>
      <c r="Y273" s="75" t="s">
        <v>7319</v>
      </c>
      <c r="Z273" s="15" t="s">
        <v>9681</v>
      </c>
      <c r="AA273" s="75"/>
      <c r="AB273" s="12" t="s">
        <v>9682</v>
      </c>
      <c r="AC273" s="12"/>
      <c r="AD273" s="15" t="s">
        <v>9683</v>
      </c>
      <c r="AE273" s="75" t="s">
        <v>9684</v>
      </c>
      <c r="AF273" s="17"/>
      <c r="AG273" s="17"/>
      <c r="AH273" s="17"/>
      <c r="AI273" s="75" t="s">
        <v>7745</v>
      </c>
    </row>
    <row r="274" spans="1:35" x14ac:dyDescent="0.3">
      <c r="A274" s="34" t="s">
        <v>7286</v>
      </c>
      <c r="B274" s="72" t="s">
        <v>9685</v>
      </c>
      <c r="C274" s="17" t="s">
        <v>7150</v>
      </c>
      <c r="D274" s="81" t="s">
        <v>9686</v>
      </c>
      <c r="E274" s="94" t="s">
        <v>9687</v>
      </c>
      <c r="F274" s="75" t="s">
        <v>7293</v>
      </c>
      <c r="G274" s="75" t="s">
        <v>7293</v>
      </c>
      <c r="H274" s="75" t="s">
        <v>7311</v>
      </c>
      <c r="I274" s="75" t="s">
        <v>7312</v>
      </c>
      <c r="J274" s="75" t="s">
        <v>7433</v>
      </c>
      <c r="K274" s="11" t="s">
        <v>7434</v>
      </c>
      <c r="L274" s="77" t="s">
        <v>7315</v>
      </c>
      <c r="M274" s="76">
        <v>45120</v>
      </c>
      <c r="N274" s="76"/>
      <c r="O274" s="75" t="s">
        <v>7870</v>
      </c>
      <c r="P274" s="17" t="s">
        <v>7524</v>
      </c>
      <c r="Q274" s="76">
        <v>36233</v>
      </c>
      <c r="R274" s="78">
        <v>27.578082191780823</v>
      </c>
      <c r="S274" s="79" t="s">
        <v>9688</v>
      </c>
      <c r="T274" s="75" t="s">
        <v>7298</v>
      </c>
      <c r="U274" s="94" t="s">
        <v>9689</v>
      </c>
      <c r="V274" s="83">
        <v>49043</v>
      </c>
      <c r="W274" s="75" t="s">
        <v>7300</v>
      </c>
      <c r="X274" s="75"/>
      <c r="Y274" s="75" t="s">
        <v>7319</v>
      </c>
      <c r="Z274" s="15" t="s">
        <v>9690</v>
      </c>
      <c r="AA274" s="75"/>
      <c r="AB274" s="12" t="s">
        <v>7293</v>
      </c>
      <c r="AC274" s="12"/>
      <c r="AD274" s="15" t="s">
        <v>9691</v>
      </c>
      <c r="AE274" s="75" t="s">
        <v>9691</v>
      </c>
      <c r="AF274" s="17"/>
      <c r="AG274" s="17"/>
      <c r="AH274" s="17"/>
      <c r="AI274" s="75" t="s">
        <v>7524</v>
      </c>
    </row>
    <row r="275" spans="1:35" x14ac:dyDescent="0.3">
      <c r="A275" s="34" t="s">
        <v>7286</v>
      </c>
      <c r="B275" s="72" t="s">
        <v>9692</v>
      </c>
      <c r="C275" s="17" t="s">
        <v>7150</v>
      </c>
      <c r="D275" s="81" t="s">
        <v>9693</v>
      </c>
      <c r="E275" s="94" t="s">
        <v>9694</v>
      </c>
      <c r="F275" s="75" t="s">
        <v>7329</v>
      </c>
      <c r="G275" s="75" t="s">
        <v>7330</v>
      </c>
      <c r="H275" s="75" t="s">
        <v>7331</v>
      </c>
      <c r="I275" s="75" t="s">
        <v>7332</v>
      </c>
      <c r="J275" s="75" t="s">
        <v>7749</v>
      </c>
      <c r="K275" s="11" t="s">
        <v>6403</v>
      </c>
      <c r="L275" s="77" t="s">
        <v>7335</v>
      </c>
      <c r="M275" s="76">
        <v>45120</v>
      </c>
      <c r="N275" s="76"/>
      <c r="O275" s="75" t="s">
        <v>7870</v>
      </c>
      <c r="P275" s="17"/>
      <c r="Q275" s="76">
        <v>32038</v>
      </c>
      <c r="R275" s="78">
        <v>39.07123287671233</v>
      </c>
      <c r="S275" s="79" t="s">
        <v>9695</v>
      </c>
      <c r="T275" s="75" t="s">
        <v>7298</v>
      </c>
      <c r="U275" s="75" t="s">
        <v>9696</v>
      </c>
      <c r="V275" s="83">
        <v>48467</v>
      </c>
      <c r="W275" s="75" t="s">
        <v>7300</v>
      </c>
      <c r="X275" s="75"/>
      <c r="Y275" s="75" t="s">
        <v>7319</v>
      </c>
      <c r="Z275" s="15" t="s">
        <v>9697</v>
      </c>
      <c r="AA275" s="75"/>
      <c r="AB275" s="12" t="s">
        <v>7293</v>
      </c>
      <c r="AC275" s="12"/>
      <c r="AD275" s="15" t="s">
        <v>9698</v>
      </c>
      <c r="AE275" s="75" t="s">
        <v>9699</v>
      </c>
      <c r="AF275" s="17"/>
      <c r="AG275" s="17"/>
      <c r="AH275" s="17"/>
      <c r="AI275" s="75" t="s">
        <v>7858</v>
      </c>
    </row>
    <row r="276" spans="1:35" x14ac:dyDescent="0.3">
      <c r="A276" s="34" t="s">
        <v>7286</v>
      </c>
      <c r="B276" s="17" t="s">
        <v>9700</v>
      </c>
      <c r="C276" s="17" t="s">
        <v>7150</v>
      </c>
      <c r="D276" s="81" t="s">
        <v>9701</v>
      </c>
      <c r="E276" s="94" t="s">
        <v>9702</v>
      </c>
      <c r="F276" s="75" t="s">
        <v>7329</v>
      </c>
      <c r="G276" s="75" t="s">
        <v>7330</v>
      </c>
      <c r="H276" s="75" t="s">
        <v>7405</v>
      </c>
      <c r="I276" s="75" t="s">
        <v>7406</v>
      </c>
      <c r="J276" s="75" t="s">
        <v>7407</v>
      </c>
      <c r="K276" s="11" t="s">
        <v>7408</v>
      </c>
      <c r="L276" s="77" t="s">
        <v>7409</v>
      </c>
      <c r="M276" s="76">
        <v>45124</v>
      </c>
      <c r="N276" s="76"/>
      <c r="O276" s="75" t="s">
        <v>7870</v>
      </c>
      <c r="P276" s="17"/>
      <c r="Q276" s="76">
        <v>33199</v>
      </c>
      <c r="R276" s="78">
        <v>35.890410958904113</v>
      </c>
      <c r="S276" s="79" t="s">
        <v>9703</v>
      </c>
      <c r="T276" s="75" t="s">
        <v>7298</v>
      </c>
      <c r="U276" s="75" t="s">
        <v>9704</v>
      </c>
      <c r="V276" s="83">
        <v>47523</v>
      </c>
      <c r="W276" s="75" t="s">
        <v>7300</v>
      </c>
      <c r="X276" s="75"/>
      <c r="Y276" s="75" t="s">
        <v>7319</v>
      </c>
      <c r="Z276" s="15" t="s">
        <v>9705</v>
      </c>
      <c r="AA276" s="75"/>
      <c r="AB276" s="12" t="s">
        <v>7293</v>
      </c>
      <c r="AC276" s="12"/>
      <c r="AD276" s="15" t="s">
        <v>9706</v>
      </c>
      <c r="AE276" s="75" t="s">
        <v>9707</v>
      </c>
      <c r="AF276" s="17"/>
      <c r="AG276" s="17"/>
      <c r="AH276" s="17"/>
      <c r="AI276" s="75" t="s">
        <v>7422</v>
      </c>
    </row>
    <row r="277" spans="1:35" ht="57.6" x14ac:dyDescent="0.3">
      <c r="A277" s="34" t="s">
        <v>7286</v>
      </c>
      <c r="B277" s="17" t="s">
        <v>9708</v>
      </c>
      <c r="C277" s="17" t="s">
        <v>7367</v>
      </c>
      <c r="D277" s="81" t="s">
        <v>9709</v>
      </c>
      <c r="E277" s="94" t="s">
        <v>9710</v>
      </c>
      <c r="F277" s="75" t="s">
        <v>7370</v>
      </c>
      <c r="G277" s="75" t="s">
        <v>7371</v>
      </c>
      <c r="H277" s="75" t="s">
        <v>8349</v>
      </c>
      <c r="I277" s="75" t="s">
        <v>8350</v>
      </c>
      <c r="J277" s="75" t="s">
        <v>9319</v>
      </c>
      <c r="K277" s="11" t="s">
        <v>9320</v>
      </c>
      <c r="L277" s="77" t="s">
        <v>2340</v>
      </c>
      <c r="M277" s="76">
        <v>45124</v>
      </c>
      <c r="N277" s="76"/>
      <c r="O277" s="75" t="s">
        <v>7892</v>
      </c>
      <c r="P277" s="17"/>
      <c r="Q277" s="76">
        <v>33379</v>
      </c>
      <c r="R277" s="78">
        <v>35.397260273972606</v>
      </c>
      <c r="S277" s="79" t="s">
        <v>9711</v>
      </c>
      <c r="T277" s="75" t="s">
        <v>7298</v>
      </c>
      <c r="U277" s="75" t="s">
        <v>9712</v>
      </c>
      <c r="V277" s="83">
        <v>47882</v>
      </c>
      <c r="W277" s="75" t="s">
        <v>7300</v>
      </c>
      <c r="X277" s="75"/>
      <c r="Y277" s="75" t="s">
        <v>7319</v>
      </c>
      <c r="Z277" s="15" t="s">
        <v>9713</v>
      </c>
      <c r="AA277" s="75"/>
      <c r="AB277" s="12" t="s">
        <v>9714</v>
      </c>
      <c r="AC277" s="12"/>
      <c r="AD277" s="15" t="s">
        <v>9715</v>
      </c>
      <c r="AE277" s="75" t="s">
        <v>9715</v>
      </c>
      <c r="AF277" s="17"/>
      <c r="AG277" s="17"/>
      <c r="AH277" s="17"/>
      <c r="AI277" s="75" t="s">
        <v>7745</v>
      </c>
    </row>
    <row r="278" spans="1:35" x14ac:dyDescent="0.3">
      <c r="A278" s="34" t="s">
        <v>7286</v>
      </c>
      <c r="B278" s="72" t="s">
        <v>9716</v>
      </c>
      <c r="C278" s="17" t="s">
        <v>7150</v>
      </c>
      <c r="D278" s="81" t="s">
        <v>9717</v>
      </c>
      <c r="E278" s="94" t="s">
        <v>9718</v>
      </c>
      <c r="F278" s="75" t="s">
        <v>7329</v>
      </c>
      <c r="G278" s="75" t="s">
        <v>7330</v>
      </c>
      <c r="H278" s="75" t="s">
        <v>7452</v>
      </c>
      <c r="I278" s="75" t="s">
        <v>7453</v>
      </c>
      <c r="J278" s="75" t="s">
        <v>7509</v>
      </c>
      <c r="K278" s="11" t="s">
        <v>7510</v>
      </c>
      <c r="L278" s="77" t="s">
        <v>7456</v>
      </c>
      <c r="M278" s="76">
        <v>45127</v>
      </c>
      <c r="N278" s="76"/>
      <c r="O278" s="75" t="s">
        <v>7870</v>
      </c>
      <c r="P278" s="17"/>
      <c r="Q278" s="76">
        <v>37237</v>
      </c>
      <c r="R278" s="78">
        <v>24.827397260273973</v>
      </c>
      <c r="S278" s="79" t="s">
        <v>9719</v>
      </c>
      <c r="T278" s="75" t="s">
        <v>7298</v>
      </c>
      <c r="U278" s="75" t="s">
        <v>9720</v>
      </c>
      <c r="V278" s="83">
        <v>47557</v>
      </c>
      <c r="W278" s="75" t="s">
        <v>7300</v>
      </c>
      <c r="X278" s="75"/>
      <c r="Y278" s="75" t="s">
        <v>7319</v>
      </c>
      <c r="Z278" s="15" t="s">
        <v>9721</v>
      </c>
      <c r="AA278" s="75"/>
      <c r="AB278" s="12" t="s">
        <v>7293</v>
      </c>
      <c r="AC278" s="12"/>
      <c r="AD278" s="15" t="s">
        <v>9722</v>
      </c>
      <c r="AE278" s="75" t="s">
        <v>9723</v>
      </c>
      <c r="AF278" s="17"/>
      <c r="AG278" s="17"/>
      <c r="AH278" s="17"/>
      <c r="AI278" s="75" t="s">
        <v>7324</v>
      </c>
    </row>
    <row r="279" spans="1:35" x14ac:dyDescent="0.3">
      <c r="A279" s="34" t="s">
        <v>7286</v>
      </c>
      <c r="B279" s="72" t="s">
        <v>9724</v>
      </c>
      <c r="C279" s="17" t="s">
        <v>7150</v>
      </c>
      <c r="D279" s="81" t="s">
        <v>9725</v>
      </c>
      <c r="E279" s="94" t="s">
        <v>1575</v>
      </c>
      <c r="F279" s="75" t="s">
        <v>7293</v>
      </c>
      <c r="G279" s="75" t="s">
        <v>7293</v>
      </c>
      <c r="H279" s="75" t="s">
        <v>7311</v>
      </c>
      <c r="I279" s="75" t="s">
        <v>7312</v>
      </c>
      <c r="J279" s="75" t="s">
        <v>7433</v>
      </c>
      <c r="K279" s="11" t="s">
        <v>7434</v>
      </c>
      <c r="L279" s="77" t="s">
        <v>7315</v>
      </c>
      <c r="M279" s="76">
        <v>45131</v>
      </c>
      <c r="N279" s="76"/>
      <c r="O279" s="75" t="s">
        <v>7870</v>
      </c>
      <c r="P279" s="17" t="s">
        <v>8116</v>
      </c>
      <c r="Q279" s="76">
        <v>37285</v>
      </c>
      <c r="R279" s="78">
        <v>24.695890410958903</v>
      </c>
      <c r="S279" s="79" t="s">
        <v>9726</v>
      </c>
      <c r="T279" s="75" t="s">
        <v>7298</v>
      </c>
      <c r="U279" s="75" t="s">
        <v>9727</v>
      </c>
      <c r="V279" s="83">
        <v>47143</v>
      </c>
      <c r="W279" s="75" t="s">
        <v>7300</v>
      </c>
      <c r="X279" s="75"/>
      <c r="Y279" s="75" t="s">
        <v>7319</v>
      </c>
      <c r="Z279" s="15" t="s">
        <v>9728</v>
      </c>
      <c r="AA279" s="75"/>
      <c r="AB279" s="12" t="s">
        <v>7293</v>
      </c>
      <c r="AC279" s="12"/>
      <c r="AD279" s="15" t="s">
        <v>9729</v>
      </c>
      <c r="AE279" s="75" t="s">
        <v>9729</v>
      </c>
      <c r="AF279" s="17"/>
      <c r="AG279" s="17"/>
      <c r="AH279" s="17"/>
      <c r="AI279" s="75" t="s">
        <v>8116</v>
      </c>
    </row>
    <row r="280" spans="1:35" x14ac:dyDescent="0.3">
      <c r="A280" s="34" t="s">
        <v>7286</v>
      </c>
      <c r="B280" s="72" t="s">
        <v>9730</v>
      </c>
      <c r="C280" s="17" t="s">
        <v>7150</v>
      </c>
      <c r="D280" s="81" t="s">
        <v>9731</v>
      </c>
      <c r="E280" s="94" t="s">
        <v>1286</v>
      </c>
      <c r="F280" s="75" t="s">
        <v>7293</v>
      </c>
      <c r="G280" s="75" t="s">
        <v>7293</v>
      </c>
      <c r="H280" s="75" t="s">
        <v>7311</v>
      </c>
      <c r="I280" s="75" t="s">
        <v>7312</v>
      </c>
      <c r="J280" s="11" t="s">
        <v>7433</v>
      </c>
      <c r="K280" s="11" t="s">
        <v>7434</v>
      </c>
      <c r="L280" s="77" t="s">
        <v>7315</v>
      </c>
      <c r="M280" s="76">
        <v>45131</v>
      </c>
      <c r="N280" s="76"/>
      <c r="O280" s="75" t="s">
        <v>7870</v>
      </c>
      <c r="P280" s="17" t="s">
        <v>8116</v>
      </c>
      <c r="Q280" s="76">
        <v>34881</v>
      </c>
      <c r="R280" s="78">
        <v>31.282191780821918</v>
      </c>
      <c r="S280" s="79" t="s">
        <v>9732</v>
      </c>
      <c r="T280" s="75" t="s">
        <v>7298</v>
      </c>
      <c r="U280" s="75" t="s">
        <v>9733</v>
      </c>
      <c r="V280" s="83">
        <v>47699</v>
      </c>
      <c r="W280" s="75" t="s">
        <v>7300</v>
      </c>
      <c r="X280" s="75"/>
      <c r="Y280" s="75" t="s">
        <v>7319</v>
      </c>
      <c r="Z280" s="15" t="s">
        <v>9734</v>
      </c>
      <c r="AA280" s="75"/>
      <c r="AB280" s="12" t="s">
        <v>7293</v>
      </c>
      <c r="AC280" s="12"/>
      <c r="AD280" s="15" t="s">
        <v>9735</v>
      </c>
      <c r="AE280" s="75" t="s">
        <v>9735</v>
      </c>
      <c r="AF280" s="17"/>
      <c r="AG280" s="17"/>
      <c r="AH280" s="17"/>
      <c r="AI280" s="75" t="s">
        <v>8116</v>
      </c>
    </row>
    <row r="281" spans="1:35" ht="57.6" x14ac:dyDescent="0.3">
      <c r="A281" s="34" t="s">
        <v>7286</v>
      </c>
      <c r="B281" s="72" t="s">
        <v>9736</v>
      </c>
      <c r="C281" s="17" t="s">
        <v>7367</v>
      </c>
      <c r="D281" s="81" t="s">
        <v>9737</v>
      </c>
      <c r="E281" s="94" t="s">
        <v>9738</v>
      </c>
      <c r="F281" s="75" t="s">
        <v>7291</v>
      </c>
      <c r="G281" s="75" t="s">
        <v>7292</v>
      </c>
      <c r="H281" s="75" t="s">
        <v>7814</v>
      </c>
      <c r="I281" s="75" t="s">
        <v>7815</v>
      </c>
      <c r="J281" s="75" t="s">
        <v>8517</v>
      </c>
      <c r="K281" s="11" t="s">
        <v>6341</v>
      </c>
      <c r="L281" s="77" t="s">
        <v>7818</v>
      </c>
      <c r="M281" s="76">
        <v>45131</v>
      </c>
      <c r="N281" s="76"/>
      <c r="O281" s="75" t="s">
        <v>8747</v>
      </c>
      <c r="P281" s="17"/>
      <c r="Q281" s="76">
        <v>34668</v>
      </c>
      <c r="R281" s="78">
        <v>31.865753424657534</v>
      </c>
      <c r="S281" s="79" t="s">
        <v>9739</v>
      </c>
      <c r="T281" s="75" t="s">
        <v>7298</v>
      </c>
      <c r="U281" s="75" t="s">
        <v>9740</v>
      </c>
      <c r="V281" s="83">
        <v>47460</v>
      </c>
      <c r="W281" s="75" t="s">
        <v>7300</v>
      </c>
      <c r="X281" s="75"/>
      <c r="Y281" s="75" t="s">
        <v>7319</v>
      </c>
      <c r="Z281" s="15" t="s">
        <v>9741</v>
      </c>
      <c r="AA281" s="75"/>
      <c r="AB281" s="12" t="s">
        <v>9742</v>
      </c>
      <c r="AC281" s="12"/>
      <c r="AD281" s="15" t="s">
        <v>9743</v>
      </c>
      <c r="AE281" s="75" t="s">
        <v>9743</v>
      </c>
      <c r="AF281" s="17"/>
      <c r="AG281" s="17"/>
      <c r="AH281" s="17"/>
      <c r="AI281" s="75" t="s">
        <v>7448</v>
      </c>
    </row>
    <row r="282" spans="1:35" ht="57.6" x14ac:dyDescent="0.3">
      <c r="A282" s="34" t="s">
        <v>7286</v>
      </c>
      <c r="B282" s="72" t="s">
        <v>9744</v>
      </c>
      <c r="C282" s="17" t="s">
        <v>7367</v>
      </c>
      <c r="D282" s="81" t="s">
        <v>9745</v>
      </c>
      <c r="E282" s="94" t="s">
        <v>9746</v>
      </c>
      <c r="F282" s="75" t="s">
        <v>7329</v>
      </c>
      <c r="G282" s="75" t="s">
        <v>7330</v>
      </c>
      <c r="H282" s="75" t="s">
        <v>7630</v>
      </c>
      <c r="I282" s="75" t="s">
        <v>7631</v>
      </c>
      <c r="J282" s="75" t="s">
        <v>7575</v>
      </c>
      <c r="K282" s="11" t="s">
        <v>6408</v>
      </c>
      <c r="L282" s="77" t="s">
        <v>7632</v>
      </c>
      <c r="M282" s="76">
        <v>45131</v>
      </c>
      <c r="N282" s="76"/>
      <c r="O282" s="75" t="s">
        <v>7870</v>
      </c>
      <c r="P282" s="17"/>
      <c r="Q282" s="76">
        <v>37526</v>
      </c>
      <c r="R282" s="78">
        <v>24.035616438356165</v>
      </c>
      <c r="S282" s="79" t="s">
        <v>9747</v>
      </c>
      <c r="T282" s="75" t="s">
        <v>7298</v>
      </c>
      <c r="U282" s="75" t="s">
        <v>9748</v>
      </c>
      <c r="V282" s="83">
        <v>47087</v>
      </c>
      <c r="W282" s="75" t="s">
        <v>7300</v>
      </c>
      <c r="X282" s="75"/>
      <c r="Y282" s="75" t="s">
        <v>7319</v>
      </c>
      <c r="Z282" s="15" t="s">
        <v>9749</v>
      </c>
      <c r="AA282" s="75"/>
      <c r="AB282" s="12" t="s">
        <v>9750</v>
      </c>
      <c r="AC282" s="12"/>
      <c r="AD282" s="15" t="s">
        <v>9751</v>
      </c>
      <c r="AE282" s="75" t="s">
        <v>9751</v>
      </c>
      <c r="AF282" s="17"/>
      <c r="AG282" s="17"/>
      <c r="AH282" s="17"/>
      <c r="AI282" s="75" t="s">
        <v>7324</v>
      </c>
    </row>
    <row r="283" spans="1:35" ht="57.6" x14ac:dyDescent="0.3">
      <c r="A283" s="34" t="s">
        <v>7286</v>
      </c>
      <c r="B283" s="72" t="s">
        <v>9752</v>
      </c>
      <c r="C283" s="17" t="s">
        <v>7367</v>
      </c>
      <c r="D283" s="81" t="s">
        <v>9753</v>
      </c>
      <c r="E283" s="94" t="s">
        <v>9754</v>
      </c>
      <c r="F283" s="75" t="s">
        <v>7293</v>
      </c>
      <c r="G283" s="75" t="s">
        <v>7293</v>
      </c>
      <c r="H283" s="75" t="s">
        <v>7933</v>
      </c>
      <c r="I283" s="75" t="s">
        <v>7934</v>
      </c>
      <c r="J283" s="75" t="s">
        <v>8844</v>
      </c>
      <c r="K283" s="11" t="s">
        <v>8845</v>
      </c>
      <c r="L283" s="77" t="s">
        <v>7937</v>
      </c>
      <c r="M283" s="76">
        <v>45139</v>
      </c>
      <c r="N283" s="76"/>
      <c r="O283" s="75" t="s">
        <v>7892</v>
      </c>
      <c r="P283" s="17"/>
      <c r="Q283" s="76">
        <v>35644</v>
      </c>
      <c r="R283" s="78">
        <v>29.19178082191781</v>
      </c>
      <c r="S283" s="79" t="s">
        <v>9755</v>
      </c>
      <c r="T283" s="75" t="s">
        <v>7298</v>
      </c>
      <c r="U283" s="75" t="s">
        <v>9756</v>
      </c>
      <c r="V283" s="83">
        <v>48423</v>
      </c>
      <c r="W283" s="75" t="s">
        <v>7300</v>
      </c>
      <c r="X283" s="75"/>
      <c r="Y283" s="75" t="s">
        <v>7302</v>
      </c>
      <c r="Z283" s="15" t="s">
        <v>9757</v>
      </c>
      <c r="AA283" s="75"/>
      <c r="AB283" s="12" t="s">
        <v>9758</v>
      </c>
      <c r="AC283" s="12"/>
      <c r="AD283" s="15" t="s">
        <v>9759</v>
      </c>
      <c r="AE283" s="75" t="s">
        <v>9759</v>
      </c>
      <c r="AF283" s="17"/>
      <c r="AG283" s="17"/>
      <c r="AH283" s="17"/>
      <c r="AI283" s="75" t="s">
        <v>7307</v>
      </c>
    </row>
    <row r="284" spans="1:35" ht="43.2" x14ac:dyDescent="0.3">
      <c r="A284" s="34" t="s">
        <v>7286</v>
      </c>
      <c r="B284" s="72" t="s">
        <v>9760</v>
      </c>
      <c r="C284" s="17" t="s">
        <v>7367</v>
      </c>
      <c r="D284" s="81" t="s">
        <v>9761</v>
      </c>
      <c r="E284" s="94" t="s">
        <v>9762</v>
      </c>
      <c r="F284" s="75" t="s">
        <v>7346</v>
      </c>
      <c r="G284" s="75" t="s">
        <v>6471</v>
      </c>
      <c r="H284" s="75" t="s">
        <v>7347</v>
      </c>
      <c r="I284" s="75" t="s">
        <v>7348</v>
      </c>
      <c r="J284" s="75" t="s">
        <v>9763</v>
      </c>
      <c r="K284" s="11" t="s">
        <v>9764</v>
      </c>
      <c r="L284" s="77" t="s">
        <v>7345</v>
      </c>
      <c r="M284" s="76">
        <v>45141</v>
      </c>
      <c r="N284" s="76"/>
      <c r="O284" s="75" t="s">
        <v>7923</v>
      </c>
      <c r="P284" s="17"/>
      <c r="Q284" s="76">
        <v>37610</v>
      </c>
      <c r="R284" s="78">
        <v>23.805479452054794</v>
      </c>
      <c r="S284" s="79" t="s">
        <v>9765</v>
      </c>
      <c r="T284" s="75" t="s">
        <v>7298</v>
      </c>
      <c r="U284" s="75" t="s">
        <v>9766</v>
      </c>
      <c r="V284" s="83">
        <v>47201</v>
      </c>
      <c r="W284" s="75" t="s">
        <v>7300</v>
      </c>
      <c r="X284" s="75"/>
      <c r="Y284" s="75" t="s">
        <v>7319</v>
      </c>
      <c r="Z284" s="15" t="s">
        <v>9767</v>
      </c>
      <c r="AA284" s="75"/>
      <c r="AB284" s="12" t="s">
        <v>9768</v>
      </c>
      <c r="AC284" s="12"/>
      <c r="AD284" s="15" t="s">
        <v>9769</v>
      </c>
      <c r="AE284" s="75" t="s">
        <v>9769</v>
      </c>
      <c r="AF284" s="17"/>
      <c r="AG284" s="17"/>
      <c r="AH284" s="17"/>
      <c r="AI284" s="75" t="s">
        <v>7307</v>
      </c>
    </row>
    <row r="285" spans="1:35" ht="72" x14ac:dyDescent="0.3">
      <c r="A285" s="34" t="s">
        <v>7286</v>
      </c>
      <c r="B285" s="72" t="s">
        <v>9770</v>
      </c>
      <c r="C285" s="17" t="s">
        <v>7367</v>
      </c>
      <c r="D285" s="81" t="s">
        <v>9771</v>
      </c>
      <c r="E285" s="94" t="s">
        <v>9772</v>
      </c>
      <c r="F285" s="75" t="s">
        <v>7346</v>
      </c>
      <c r="G285" s="75" t="s">
        <v>6471</v>
      </c>
      <c r="H285" s="21" t="s">
        <v>9082</v>
      </c>
      <c r="I285" s="75" t="s">
        <v>9083</v>
      </c>
      <c r="J285" s="75" t="s">
        <v>8295</v>
      </c>
      <c r="K285" s="11" t="s">
        <v>6353</v>
      </c>
      <c r="L285" s="77" t="s">
        <v>9081</v>
      </c>
      <c r="M285" s="76">
        <v>45145</v>
      </c>
      <c r="N285" s="76"/>
      <c r="O285" s="75" t="s">
        <v>7923</v>
      </c>
      <c r="P285" s="17"/>
      <c r="Q285" s="76">
        <v>36297</v>
      </c>
      <c r="R285" s="78">
        <v>27.402739726027399</v>
      </c>
      <c r="S285" s="79" t="s">
        <v>9773</v>
      </c>
      <c r="T285" s="75" t="s">
        <v>7298</v>
      </c>
      <c r="U285" s="75" t="s">
        <v>9774</v>
      </c>
      <c r="V285" s="83">
        <v>48792</v>
      </c>
      <c r="W285" s="75" t="s">
        <v>7300</v>
      </c>
      <c r="X285" s="75"/>
      <c r="Y285" s="75" t="s">
        <v>7319</v>
      </c>
      <c r="Z285" s="15" t="s">
        <v>9775</v>
      </c>
      <c r="AA285" s="75"/>
      <c r="AB285" s="12" t="s">
        <v>9776</v>
      </c>
      <c r="AC285" s="12"/>
      <c r="AD285" s="15" t="s">
        <v>9777</v>
      </c>
      <c r="AE285" s="75" t="s">
        <v>9778</v>
      </c>
      <c r="AF285" s="17"/>
      <c r="AG285" s="17"/>
      <c r="AH285" s="17"/>
      <c r="AI285" s="75" t="s">
        <v>7307</v>
      </c>
    </row>
    <row r="286" spans="1:35" x14ac:dyDescent="0.3">
      <c r="A286" s="34" t="s">
        <v>7286</v>
      </c>
      <c r="B286" s="72" t="s">
        <v>9779</v>
      </c>
      <c r="C286" s="17" t="s">
        <v>7150</v>
      </c>
      <c r="D286" s="81" t="s">
        <v>9780</v>
      </c>
      <c r="E286" s="94" t="s">
        <v>1534</v>
      </c>
      <c r="F286" s="75" t="s">
        <v>7293</v>
      </c>
      <c r="G286" s="75" t="s">
        <v>7293</v>
      </c>
      <c r="H286" s="75" t="s">
        <v>7311</v>
      </c>
      <c r="I286" s="75" t="s">
        <v>7312</v>
      </c>
      <c r="J286" s="75" t="s">
        <v>7433</v>
      </c>
      <c r="K286" s="11" t="s">
        <v>7434</v>
      </c>
      <c r="L286" s="77" t="s">
        <v>7315</v>
      </c>
      <c r="M286" s="76">
        <v>45148</v>
      </c>
      <c r="N286" s="76"/>
      <c r="O286" s="75" t="s">
        <v>7870</v>
      </c>
      <c r="P286" s="17" t="s">
        <v>7422</v>
      </c>
      <c r="Q286" s="76">
        <v>35575</v>
      </c>
      <c r="R286" s="78">
        <v>29.38082191780822</v>
      </c>
      <c r="S286" s="79" t="s">
        <v>9781</v>
      </c>
      <c r="T286" s="75" t="s">
        <v>7298</v>
      </c>
      <c r="U286" s="75" t="s">
        <v>9782</v>
      </c>
      <c r="V286" s="83">
        <v>48372</v>
      </c>
      <c r="W286" s="75" t="s">
        <v>7300</v>
      </c>
      <c r="X286" s="75"/>
      <c r="Y286" s="75" t="s">
        <v>7319</v>
      </c>
      <c r="Z286" s="15" t="s">
        <v>9783</v>
      </c>
      <c r="AA286" s="75"/>
      <c r="AB286" s="12" t="s">
        <v>7293</v>
      </c>
      <c r="AC286" s="12"/>
      <c r="AD286" s="15" t="s">
        <v>9784</v>
      </c>
      <c r="AE286" s="75" t="s">
        <v>9785</v>
      </c>
      <c r="AF286" s="17"/>
      <c r="AG286" s="17"/>
      <c r="AH286" s="17"/>
      <c r="AI286" s="75" t="s">
        <v>7422</v>
      </c>
    </row>
    <row r="287" spans="1:35" x14ac:dyDescent="0.3">
      <c r="A287" s="34" t="s">
        <v>7286</v>
      </c>
      <c r="B287" s="72" t="s">
        <v>9786</v>
      </c>
      <c r="C287" s="17" t="s">
        <v>7150</v>
      </c>
      <c r="D287" s="81" t="s">
        <v>9787</v>
      </c>
      <c r="E287" s="94" t="s">
        <v>9788</v>
      </c>
      <c r="F287" s="75" t="s">
        <v>7293</v>
      </c>
      <c r="G287" s="75" t="s">
        <v>7293</v>
      </c>
      <c r="H287" s="75" t="s">
        <v>7293</v>
      </c>
      <c r="I287" s="75" t="s">
        <v>7293</v>
      </c>
      <c r="J287" s="75" t="s">
        <v>7542</v>
      </c>
      <c r="K287" s="11" t="s">
        <v>6401</v>
      </c>
      <c r="L287" s="77" t="s">
        <v>7543</v>
      </c>
      <c r="M287" s="76">
        <v>45148</v>
      </c>
      <c r="N287" s="76"/>
      <c r="O287" s="75" t="s">
        <v>7870</v>
      </c>
      <c r="P287" s="17"/>
      <c r="Q287" s="76">
        <v>24847</v>
      </c>
      <c r="R287" s="78">
        <v>58.772602739726025</v>
      </c>
      <c r="S287" s="79" t="s">
        <v>9789</v>
      </c>
      <c r="T287" s="75" t="s">
        <v>7298</v>
      </c>
      <c r="U287" s="75" t="s">
        <v>9790</v>
      </c>
      <c r="V287" s="83" t="s">
        <v>7296</v>
      </c>
      <c r="W287" s="75" t="s">
        <v>7300</v>
      </c>
      <c r="X287" s="75"/>
      <c r="Y287" s="75" t="s">
        <v>7302</v>
      </c>
      <c r="Z287" s="15" t="s">
        <v>9791</v>
      </c>
      <c r="AA287" s="75"/>
      <c r="AB287" s="12" t="s">
        <v>7293</v>
      </c>
      <c r="AC287" s="12"/>
      <c r="AD287" s="15" t="s">
        <v>9792</v>
      </c>
      <c r="AE287" s="75" t="s">
        <v>9792</v>
      </c>
      <c r="AF287" s="17"/>
      <c r="AG287" s="17"/>
      <c r="AH287" s="17"/>
      <c r="AI287" s="75" t="s">
        <v>7448</v>
      </c>
    </row>
    <row r="288" spans="1:35" x14ac:dyDescent="0.3">
      <c r="A288" s="34" t="s">
        <v>7286</v>
      </c>
      <c r="B288" s="81" t="s">
        <v>9793</v>
      </c>
      <c r="C288" s="17" t="s">
        <v>7150</v>
      </c>
      <c r="D288" s="81" t="s">
        <v>9794</v>
      </c>
      <c r="E288" s="94" t="s">
        <v>9795</v>
      </c>
      <c r="F288" s="75" t="s">
        <v>7329</v>
      </c>
      <c r="G288" s="75" t="s">
        <v>7330</v>
      </c>
      <c r="H288" s="75" t="s">
        <v>7331</v>
      </c>
      <c r="I288" s="75" t="s">
        <v>7332</v>
      </c>
      <c r="J288" s="75" t="s">
        <v>9796</v>
      </c>
      <c r="K288" s="11" t="s">
        <v>9797</v>
      </c>
      <c r="L288" s="77" t="s">
        <v>7335</v>
      </c>
      <c r="M288" s="76">
        <v>45149</v>
      </c>
      <c r="N288" s="76"/>
      <c r="O288" s="75" t="s">
        <v>7870</v>
      </c>
      <c r="P288" s="17"/>
      <c r="Q288" s="76">
        <v>29534</v>
      </c>
      <c r="R288" s="78">
        <v>45.93150684931507</v>
      </c>
      <c r="S288" s="79" t="s">
        <v>9798</v>
      </c>
      <c r="T288" s="75" t="s">
        <v>7298</v>
      </c>
      <c r="U288" s="75" t="s">
        <v>9799</v>
      </c>
      <c r="V288" s="83">
        <v>47796</v>
      </c>
      <c r="W288" s="75" t="s">
        <v>7300</v>
      </c>
      <c r="X288" s="75"/>
      <c r="Y288" s="75" t="s">
        <v>7319</v>
      </c>
      <c r="Z288" s="15" t="s">
        <v>9800</v>
      </c>
      <c r="AA288" s="75"/>
      <c r="AB288" s="12" t="s">
        <v>7293</v>
      </c>
      <c r="AC288" s="12"/>
      <c r="AD288" s="15" t="s">
        <v>9801</v>
      </c>
      <c r="AE288" s="75" t="s">
        <v>9802</v>
      </c>
      <c r="AF288" s="17"/>
      <c r="AG288" s="17"/>
      <c r="AH288" s="83"/>
      <c r="AI288" s="75" t="s">
        <v>7307</v>
      </c>
    </row>
    <row r="289" spans="1:35" ht="57.6" x14ac:dyDescent="0.3">
      <c r="A289" s="34" t="s">
        <v>7286</v>
      </c>
      <c r="B289" s="72" t="s">
        <v>9803</v>
      </c>
      <c r="C289" s="17" t="s">
        <v>7367</v>
      </c>
      <c r="D289" s="81" t="s">
        <v>9804</v>
      </c>
      <c r="E289" s="94" t="s">
        <v>9805</v>
      </c>
      <c r="F289" s="75" t="s">
        <v>7291</v>
      </c>
      <c r="G289" s="75" t="s">
        <v>7292</v>
      </c>
      <c r="H289" s="75" t="s">
        <v>7814</v>
      </c>
      <c r="I289" s="75" t="s">
        <v>7815</v>
      </c>
      <c r="J289" s="75" t="s">
        <v>7575</v>
      </c>
      <c r="K289" s="11" t="s">
        <v>6340</v>
      </c>
      <c r="L289" s="77" t="s">
        <v>7818</v>
      </c>
      <c r="M289" s="76">
        <v>45152</v>
      </c>
      <c r="N289" s="76"/>
      <c r="O289" s="75" t="s">
        <v>7870</v>
      </c>
      <c r="P289" s="17"/>
      <c r="Q289" s="76">
        <v>32254</v>
      </c>
      <c r="R289" s="78">
        <v>38.479452054794521</v>
      </c>
      <c r="S289" s="79" t="s">
        <v>9806</v>
      </c>
      <c r="T289" s="75" t="s">
        <v>7298</v>
      </c>
      <c r="U289" s="75" t="s">
        <v>9807</v>
      </c>
      <c r="V289" s="83">
        <v>48624</v>
      </c>
      <c r="W289" s="75" t="s">
        <v>7300</v>
      </c>
      <c r="X289" s="75"/>
      <c r="Y289" s="75" t="s">
        <v>7319</v>
      </c>
      <c r="Z289" s="15" t="s">
        <v>9808</v>
      </c>
      <c r="AA289" s="75"/>
      <c r="AB289" s="12" t="s">
        <v>9809</v>
      </c>
      <c r="AC289" s="12"/>
      <c r="AD289" s="15" t="s">
        <v>9810</v>
      </c>
      <c r="AE289" s="75" t="s">
        <v>9810</v>
      </c>
      <c r="AF289" s="17"/>
      <c r="AG289" s="17"/>
      <c r="AH289" s="17"/>
      <c r="AI289" s="75" t="s">
        <v>7307</v>
      </c>
    </row>
    <row r="290" spans="1:35" ht="57.6" x14ac:dyDescent="0.3">
      <c r="A290" s="34" t="s">
        <v>7286</v>
      </c>
      <c r="B290" s="72" t="s">
        <v>9811</v>
      </c>
      <c r="C290" s="17" t="s">
        <v>7367</v>
      </c>
      <c r="D290" s="81" t="s">
        <v>9812</v>
      </c>
      <c r="E290" s="94" t="s">
        <v>9813</v>
      </c>
      <c r="F290" s="75" t="s">
        <v>7293</v>
      </c>
      <c r="G290" s="75" t="s">
        <v>7293</v>
      </c>
      <c r="H290" s="75" t="s">
        <v>7933</v>
      </c>
      <c r="I290" s="75" t="s">
        <v>7934</v>
      </c>
      <c r="J290" s="75" t="s">
        <v>9814</v>
      </c>
      <c r="K290" s="11" t="s">
        <v>9815</v>
      </c>
      <c r="L290" s="77" t="s">
        <v>7937</v>
      </c>
      <c r="M290" s="76">
        <v>45155</v>
      </c>
      <c r="N290" s="76"/>
      <c r="O290" s="75" t="s">
        <v>7870</v>
      </c>
      <c r="P290" s="17"/>
      <c r="Q290" s="76">
        <v>38128</v>
      </c>
      <c r="R290" s="78">
        <v>22.386301369863013</v>
      </c>
      <c r="S290" s="79" t="s">
        <v>9816</v>
      </c>
      <c r="T290" s="75" t="s">
        <v>7298</v>
      </c>
      <c r="U290" s="75" t="s">
        <v>9817</v>
      </c>
      <c r="V290" s="83">
        <v>47408</v>
      </c>
      <c r="W290" s="75" t="s">
        <v>7300</v>
      </c>
      <c r="X290" s="75"/>
      <c r="Y290" s="75" t="s">
        <v>7302</v>
      </c>
      <c r="Z290" s="15" t="s">
        <v>9818</v>
      </c>
      <c r="AA290" s="75"/>
      <c r="AB290" s="12" t="s">
        <v>9819</v>
      </c>
      <c r="AC290" s="12"/>
      <c r="AD290" s="15" t="s">
        <v>9820</v>
      </c>
      <c r="AE290" s="75" t="s">
        <v>9820</v>
      </c>
      <c r="AF290" s="17"/>
      <c r="AG290" s="17"/>
      <c r="AH290" s="17"/>
      <c r="AI290" s="75" t="s">
        <v>7307</v>
      </c>
    </row>
    <row r="291" spans="1:35" ht="57.6" x14ac:dyDescent="0.3">
      <c r="A291" s="34" t="s">
        <v>7286</v>
      </c>
      <c r="B291" s="72" t="s">
        <v>9821</v>
      </c>
      <c r="C291" s="17" t="s">
        <v>7343</v>
      </c>
      <c r="D291" s="81" t="s">
        <v>9822</v>
      </c>
      <c r="E291" s="94" t="s">
        <v>7467</v>
      </c>
      <c r="F291" s="75" t="s">
        <v>7329</v>
      </c>
      <c r="G291" s="75" t="s">
        <v>7330</v>
      </c>
      <c r="H291" s="75" t="s">
        <v>7293</v>
      </c>
      <c r="I291" s="75" t="s">
        <v>7293</v>
      </c>
      <c r="J291" s="75" t="s">
        <v>9823</v>
      </c>
      <c r="K291" s="11" t="s">
        <v>6336</v>
      </c>
      <c r="L291" s="77" t="s">
        <v>7295</v>
      </c>
      <c r="M291" s="76">
        <v>45166</v>
      </c>
      <c r="N291" s="76"/>
      <c r="O291" s="75" t="s">
        <v>7923</v>
      </c>
      <c r="P291" s="17"/>
      <c r="Q291" s="76">
        <v>31032</v>
      </c>
      <c r="R291" s="78">
        <v>41.827397260273976</v>
      </c>
      <c r="S291" s="79" t="s">
        <v>9824</v>
      </c>
      <c r="T291" s="75" t="s">
        <v>7298</v>
      </c>
      <c r="U291" s="75" t="s">
        <v>9825</v>
      </c>
      <c r="V291" s="83">
        <v>47475</v>
      </c>
      <c r="W291" s="75" t="s">
        <v>7300</v>
      </c>
      <c r="X291" s="75"/>
      <c r="Y291" s="75" t="s">
        <v>7319</v>
      </c>
      <c r="Z291" s="15" t="s">
        <v>9826</v>
      </c>
      <c r="AA291" s="75"/>
      <c r="AB291" s="12" t="s">
        <v>9827</v>
      </c>
      <c r="AC291" s="12"/>
      <c r="AD291" s="15" t="s">
        <v>9828</v>
      </c>
      <c r="AE291" s="75" t="s">
        <v>9828</v>
      </c>
      <c r="AF291" s="17"/>
      <c r="AG291" s="17"/>
      <c r="AH291" s="17"/>
      <c r="AI291" s="75" t="s">
        <v>7324</v>
      </c>
    </row>
    <row r="292" spans="1:35" ht="57.6" x14ac:dyDescent="0.3">
      <c r="A292" s="34" t="s">
        <v>7286</v>
      </c>
      <c r="B292" s="72" t="s">
        <v>9829</v>
      </c>
      <c r="C292" s="17" t="s">
        <v>7367</v>
      </c>
      <c r="D292" s="81" t="s">
        <v>9830</v>
      </c>
      <c r="E292" s="94" t="s">
        <v>9831</v>
      </c>
      <c r="F292" s="75" t="s">
        <v>7370</v>
      </c>
      <c r="G292" s="75" t="s">
        <v>7371</v>
      </c>
      <c r="H292" s="75" t="s">
        <v>9832</v>
      </c>
      <c r="I292" s="75" t="s">
        <v>9833</v>
      </c>
      <c r="J292" s="75" t="s">
        <v>9834</v>
      </c>
      <c r="K292" s="11" t="s">
        <v>9835</v>
      </c>
      <c r="L292" s="77" t="s">
        <v>9836</v>
      </c>
      <c r="M292" s="76">
        <v>45170</v>
      </c>
      <c r="N292" s="76"/>
      <c r="O292" s="75" t="s">
        <v>8747</v>
      </c>
      <c r="P292" s="17"/>
      <c r="Q292" s="76">
        <v>37140</v>
      </c>
      <c r="R292" s="78">
        <v>25.093150684931508</v>
      </c>
      <c r="S292" s="79" t="s">
        <v>9837</v>
      </c>
      <c r="T292" s="75" t="s">
        <v>7298</v>
      </c>
      <c r="U292" s="75" t="s">
        <v>9838</v>
      </c>
      <c r="V292" s="83">
        <v>46271</v>
      </c>
      <c r="W292" s="75" t="s">
        <v>7300</v>
      </c>
      <c r="X292" s="75"/>
      <c r="Y292" s="75" t="s">
        <v>7302</v>
      </c>
      <c r="Z292" s="15" t="s">
        <v>9839</v>
      </c>
      <c r="AA292" s="75"/>
      <c r="AB292" s="12" t="s">
        <v>9840</v>
      </c>
      <c r="AC292" s="12"/>
      <c r="AD292" s="15" t="s">
        <v>9841</v>
      </c>
      <c r="AE292" s="75" t="s">
        <v>9841</v>
      </c>
      <c r="AF292" s="17"/>
      <c r="AG292" s="17"/>
      <c r="AH292" s="17"/>
      <c r="AI292" s="75" t="s">
        <v>7745</v>
      </c>
    </row>
    <row r="293" spans="1:35" ht="57.6" x14ac:dyDescent="0.3">
      <c r="A293" s="34" t="s">
        <v>7286</v>
      </c>
      <c r="B293" s="72" t="s">
        <v>9842</v>
      </c>
      <c r="C293" s="17" t="s">
        <v>7367</v>
      </c>
      <c r="D293" s="81" t="s">
        <v>9843</v>
      </c>
      <c r="E293" s="94" t="s">
        <v>9844</v>
      </c>
      <c r="F293" s="75" t="s">
        <v>7370</v>
      </c>
      <c r="G293" s="75" t="s">
        <v>7371</v>
      </c>
      <c r="H293" s="75" t="s">
        <v>9832</v>
      </c>
      <c r="I293" s="75" t="s">
        <v>9833</v>
      </c>
      <c r="J293" s="75" t="s">
        <v>9834</v>
      </c>
      <c r="K293" s="11" t="s">
        <v>9835</v>
      </c>
      <c r="L293" s="77" t="s">
        <v>9836</v>
      </c>
      <c r="M293" s="76">
        <v>45170</v>
      </c>
      <c r="N293" s="76"/>
      <c r="O293" s="75" t="s">
        <v>8747</v>
      </c>
      <c r="P293" s="17"/>
      <c r="Q293" s="76">
        <v>36639</v>
      </c>
      <c r="R293" s="78">
        <v>26.465753424657535</v>
      </c>
      <c r="S293" s="79" t="s">
        <v>9845</v>
      </c>
      <c r="T293" s="75" t="s">
        <v>7298</v>
      </c>
      <c r="U293" s="75" t="s">
        <v>9846</v>
      </c>
      <c r="V293" s="83">
        <v>45770</v>
      </c>
      <c r="W293" s="75" t="s">
        <v>7300</v>
      </c>
      <c r="X293" s="75"/>
      <c r="Y293" s="75" t="s">
        <v>7319</v>
      </c>
      <c r="Z293" s="15" t="s">
        <v>9847</v>
      </c>
      <c r="AA293" s="75"/>
      <c r="AB293" s="12" t="s">
        <v>9848</v>
      </c>
      <c r="AC293" s="12"/>
      <c r="AD293" s="15" t="s">
        <v>9849</v>
      </c>
      <c r="AE293" s="75" t="s">
        <v>9849</v>
      </c>
      <c r="AF293" s="17"/>
      <c r="AG293" s="17"/>
      <c r="AH293" s="17"/>
      <c r="AI293" s="75" t="s">
        <v>7745</v>
      </c>
    </row>
    <row r="294" spans="1:35" ht="57.6" x14ac:dyDescent="0.3">
      <c r="A294" s="34" t="s">
        <v>7286</v>
      </c>
      <c r="B294" s="72" t="s">
        <v>9850</v>
      </c>
      <c r="C294" s="17" t="s">
        <v>7326</v>
      </c>
      <c r="D294" s="81" t="s">
        <v>9851</v>
      </c>
      <c r="E294" s="94" t="s">
        <v>9836</v>
      </c>
      <c r="F294" s="75" t="s">
        <v>7370</v>
      </c>
      <c r="G294" s="75" t="s">
        <v>7371</v>
      </c>
      <c r="H294" s="75" t="s">
        <v>9832</v>
      </c>
      <c r="I294" s="75" t="s">
        <v>9833</v>
      </c>
      <c r="J294" s="75" t="s">
        <v>9852</v>
      </c>
      <c r="K294" s="11" t="s">
        <v>9853</v>
      </c>
      <c r="L294" s="77" t="s">
        <v>9176</v>
      </c>
      <c r="M294" s="76">
        <v>45170</v>
      </c>
      <c r="N294" s="76"/>
      <c r="O294" s="75" t="s">
        <v>7923</v>
      </c>
      <c r="P294" s="17"/>
      <c r="Q294" s="76">
        <v>36595</v>
      </c>
      <c r="R294" s="78">
        <v>26.586301369863012</v>
      </c>
      <c r="S294" s="79" t="s">
        <v>9854</v>
      </c>
      <c r="T294" s="75" t="s">
        <v>7298</v>
      </c>
      <c r="U294" s="75" t="s">
        <v>9855</v>
      </c>
      <c r="V294" s="83">
        <v>48091</v>
      </c>
      <c r="W294" s="75" t="s">
        <v>7300</v>
      </c>
      <c r="X294" s="75"/>
      <c r="Y294" s="75" t="s">
        <v>7319</v>
      </c>
      <c r="Z294" s="15" t="s">
        <v>9856</v>
      </c>
      <c r="AA294" s="75"/>
      <c r="AB294" s="12" t="s">
        <v>9857</v>
      </c>
      <c r="AC294" s="12"/>
      <c r="AD294" s="15" t="s">
        <v>9858</v>
      </c>
      <c r="AE294" s="75" t="s">
        <v>9859</v>
      </c>
      <c r="AF294" s="17"/>
      <c r="AG294" s="17"/>
      <c r="AH294" s="17"/>
      <c r="AI294" s="75" t="s">
        <v>7745</v>
      </c>
    </row>
    <row r="295" spans="1:35" ht="57.6" x14ac:dyDescent="0.3">
      <c r="A295" s="34" t="s">
        <v>7286</v>
      </c>
      <c r="B295" s="72" t="s">
        <v>9860</v>
      </c>
      <c r="C295" s="17" t="s">
        <v>7367</v>
      </c>
      <c r="D295" s="81" t="s">
        <v>9861</v>
      </c>
      <c r="E295" s="94" t="s">
        <v>9862</v>
      </c>
      <c r="F295" s="75" t="s">
        <v>7370</v>
      </c>
      <c r="G295" s="75" t="s">
        <v>7371</v>
      </c>
      <c r="H295" s="75" t="s">
        <v>9832</v>
      </c>
      <c r="I295" s="75" t="s">
        <v>9833</v>
      </c>
      <c r="J295" s="75" t="s">
        <v>9834</v>
      </c>
      <c r="K295" s="11" t="s">
        <v>9835</v>
      </c>
      <c r="L295" s="77" t="s">
        <v>9836</v>
      </c>
      <c r="M295" s="76">
        <v>45170</v>
      </c>
      <c r="N295" s="76"/>
      <c r="O295" s="75" t="s">
        <v>8747</v>
      </c>
      <c r="P295" s="17"/>
      <c r="Q295" s="76">
        <v>36562</v>
      </c>
      <c r="R295" s="78">
        <v>26.676712328767124</v>
      </c>
      <c r="S295" s="79" t="s">
        <v>9863</v>
      </c>
      <c r="T295" s="75" t="s">
        <v>7298</v>
      </c>
      <c r="U295" s="75" t="s">
        <v>9864</v>
      </c>
      <c r="V295" s="83">
        <v>45694</v>
      </c>
      <c r="W295" s="75" t="s">
        <v>7300</v>
      </c>
      <c r="X295" s="75"/>
      <c r="Y295" s="75" t="s">
        <v>7302</v>
      </c>
      <c r="Z295" s="15" t="s">
        <v>9865</v>
      </c>
      <c r="AA295" s="75"/>
      <c r="AB295" s="12" t="s">
        <v>9866</v>
      </c>
      <c r="AC295" s="12"/>
      <c r="AD295" s="15" t="s">
        <v>9867</v>
      </c>
      <c r="AE295" s="75" t="s">
        <v>9867</v>
      </c>
      <c r="AF295" s="17"/>
      <c r="AG295" s="17"/>
      <c r="AH295" s="17"/>
      <c r="AI295" s="75" t="s">
        <v>7745</v>
      </c>
    </row>
    <row r="296" spans="1:35" ht="57.6" x14ac:dyDescent="0.3">
      <c r="A296" s="34" t="s">
        <v>7286</v>
      </c>
      <c r="B296" s="72" t="s">
        <v>9868</v>
      </c>
      <c r="C296" s="17" t="s">
        <v>7367</v>
      </c>
      <c r="D296" s="81" t="s">
        <v>9869</v>
      </c>
      <c r="E296" s="94" t="s">
        <v>9870</v>
      </c>
      <c r="F296" s="75" t="s">
        <v>7370</v>
      </c>
      <c r="G296" s="75" t="s">
        <v>7371</v>
      </c>
      <c r="H296" s="75" t="s">
        <v>9832</v>
      </c>
      <c r="I296" s="75" t="s">
        <v>9833</v>
      </c>
      <c r="J296" s="75" t="s">
        <v>9834</v>
      </c>
      <c r="K296" s="11" t="s">
        <v>9835</v>
      </c>
      <c r="L296" s="77" t="s">
        <v>9836</v>
      </c>
      <c r="M296" s="76">
        <v>45170</v>
      </c>
      <c r="N296" s="76"/>
      <c r="O296" s="75" t="s">
        <v>8747</v>
      </c>
      <c r="P296" s="17"/>
      <c r="Q296" s="76">
        <v>33518</v>
      </c>
      <c r="R296" s="78">
        <v>35.016438356164386</v>
      </c>
      <c r="S296" s="79" t="s">
        <v>9871</v>
      </c>
      <c r="T296" s="75" t="s">
        <v>7298</v>
      </c>
      <c r="U296" s="75" t="s">
        <v>9872</v>
      </c>
      <c r="V296" s="83">
        <v>47173</v>
      </c>
      <c r="W296" s="75" t="s">
        <v>7300</v>
      </c>
      <c r="X296" s="75"/>
      <c r="Y296" s="75" t="s">
        <v>7319</v>
      </c>
      <c r="Z296" s="15" t="s">
        <v>9873</v>
      </c>
      <c r="AA296" s="75"/>
      <c r="AB296" s="12" t="s">
        <v>9874</v>
      </c>
      <c r="AC296" s="12"/>
      <c r="AD296" s="15" t="s">
        <v>9875</v>
      </c>
      <c r="AE296" s="75" t="s">
        <v>9875</v>
      </c>
      <c r="AF296" s="17"/>
      <c r="AG296" s="17"/>
      <c r="AH296" s="17"/>
      <c r="AI296" s="75" t="s">
        <v>7745</v>
      </c>
    </row>
    <row r="297" spans="1:35" x14ac:dyDescent="0.3">
      <c r="A297" s="34" t="s">
        <v>7286</v>
      </c>
      <c r="B297" s="72" t="s">
        <v>9876</v>
      </c>
      <c r="C297" s="17" t="s">
        <v>7150</v>
      </c>
      <c r="D297" s="81" t="s">
        <v>9877</v>
      </c>
      <c r="E297" s="94" t="s">
        <v>1267</v>
      </c>
      <c r="F297" s="75" t="s">
        <v>7293</v>
      </c>
      <c r="G297" s="75" t="s">
        <v>7293</v>
      </c>
      <c r="H297" s="75" t="s">
        <v>7311</v>
      </c>
      <c r="I297" s="75" t="s">
        <v>7312</v>
      </c>
      <c r="J297" s="75" t="s">
        <v>7313</v>
      </c>
      <c r="K297" s="11" t="s">
        <v>7314</v>
      </c>
      <c r="L297" s="77" t="s">
        <v>7315</v>
      </c>
      <c r="M297" s="76">
        <v>45173</v>
      </c>
      <c r="N297" s="76"/>
      <c r="O297" s="75" t="s">
        <v>7870</v>
      </c>
      <c r="P297" s="17" t="s">
        <v>8413</v>
      </c>
      <c r="Q297" s="76">
        <v>36310</v>
      </c>
      <c r="R297" s="78">
        <v>27.367123287671234</v>
      </c>
      <c r="S297" s="79" t="s">
        <v>9878</v>
      </c>
      <c r="T297" s="75" t="s">
        <v>7298</v>
      </c>
      <c r="U297" s="75" t="s">
        <v>9879</v>
      </c>
      <c r="V297" s="83">
        <v>48661</v>
      </c>
      <c r="W297" s="75" t="s">
        <v>7300</v>
      </c>
      <c r="X297" s="75"/>
      <c r="Y297" s="75" t="s">
        <v>7319</v>
      </c>
      <c r="Z297" s="15" t="s">
        <v>9880</v>
      </c>
      <c r="AA297" s="75"/>
      <c r="AB297" s="12" t="s">
        <v>7293</v>
      </c>
      <c r="AC297" s="12"/>
      <c r="AD297" s="15" t="s">
        <v>9881</v>
      </c>
      <c r="AE297" s="75" t="s">
        <v>9881</v>
      </c>
      <c r="AF297" s="17"/>
      <c r="AG297" s="17"/>
      <c r="AH297" s="17"/>
      <c r="AI297" s="75" t="s">
        <v>8413</v>
      </c>
    </row>
    <row r="298" spans="1:35" ht="57.6" x14ac:dyDescent="0.3">
      <c r="A298" s="34" t="s">
        <v>7286</v>
      </c>
      <c r="B298" s="72" t="s">
        <v>9882</v>
      </c>
      <c r="C298" s="17" t="s">
        <v>7367</v>
      </c>
      <c r="D298" s="81" t="s">
        <v>9883</v>
      </c>
      <c r="E298" s="94" t="s">
        <v>9884</v>
      </c>
      <c r="F298" s="75" t="s">
        <v>7674</v>
      </c>
      <c r="G298" s="75" t="s">
        <v>7675</v>
      </c>
      <c r="H298" s="75" t="s">
        <v>7676</v>
      </c>
      <c r="I298" s="75" t="s">
        <v>7677</v>
      </c>
      <c r="J298" s="75" t="s">
        <v>8321</v>
      </c>
      <c r="K298" s="11" t="s">
        <v>8322</v>
      </c>
      <c r="L298" s="77" t="s">
        <v>7673</v>
      </c>
      <c r="M298" s="76">
        <v>45173</v>
      </c>
      <c r="N298" s="76"/>
      <c r="O298" s="75" t="s">
        <v>7923</v>
      </c>
      <c r="P298" s="17"/>
      <c r="Q298" s="76">
        <v>33817</v>
      </c>
      <c r="R298" s="78">
        <v>34.197260273972603</v>
      </c>
      <c r="S298" s="79" t="s">
        <v>9885</v>
      </c>
      <c r="T298" s="75" t="s">
        <v>7298</v>
      </c>
      <c r="U298" s="75" t="s">
        <v>9886</v>
      </c>
      <c r="V298" s="83">
        <v>46600</v>
      </c>
      <c r="W298" s="75" t="s">
        <v>7300</v>
      </c>
      <c r="X298" s="75"/>
      <c r="Y298" s="75" t="s">
        <v>7302</v>
      </c>
      <c r="Z298" s="15" t="s">
        <v>9887</v>
      </c>
      <c r="AA298" s="75"/>
      <c r="AB298" s="12" t="s">
        <v>9888</v>
      </c>
      <c r="AC298" s="12"/>
      <c r="AD298" s="15" t="s">
        <v>9889</v>
      </c>
      <c r="AE298" s="75" t="s">
        <v>9890</v>
      </c>
      <c r="AF298" s="17"/>
      <c r="AG298" s="17"/>
      <c r="AH298" s="17"/>
      <c r="AI298" s="75" t="s">
        <v>7307</v>
      </c>
    </row>
    <row r="299" spans="1:35" x14ac:dyDescent="0.3">
      <c r="A299" s="34" t="s">
        <v>7286</v>
      </c>
      <c r="B299" s="72" t="s">
        <v>9891</v>
      </c>
      <c r="C299" s="17" t="s">
        <v>7150</v>
      </c>
      <c r="D299" s="81" t="s">
        <v>9892</v>
      </c>
      <c r="E299" s="94" t="s">
        <v>1433</v>
      </c>
      <c r="F299" s="75" t="s">
        <v>7293</v>
      </c>
      <c r="G299" s="75" t="s">
        <v>7293</v>
      </c>
      <c r="H299" s="75" t="s">
        <v>7311</v>
      </c>
      <c r="I299" s="75" t="s">
        <v>7312</v>
      </c>
      <c r="J299" s="75" t="s">
        <v>7433</v>
      </c>
      <c r="K299" s="11" t="s">
        <v>7434</v>
      </c>
      <c r="L299" s="77" t="s">
        <v>7315</v>
      </c>
      <c r="M299" s="76">
        <v>45173</v>
      </c>
      <c r="N299" s="76"/>
      <c r="O299" s="75" t="s">
        <v>7870</v>
      </c>
      <c r="P299" s="17" t="s">
        <v>7425</v>
      </c>
      <c r="Q299" s="76">
        <v>36846</v>
      </c>
      <c r="R299" s="78">
        <v>25.898630136986302</v>
      </c>
      <c r="S299" s="79" t="s">
        <v>9893</v>
      </c>
      <c r="T299" s="75" t="s">
        <v>7298</v>
      </c>
      <c r="U299" s="75" t="s">
        <v>9894</v>
      </c>
      <c r="V299" s="83">
        <v>45977</v>
      </c>
      <c r="W299" s="75" t="s">
        <v>7300</v>
      </c>
      <c r="X299" s="75"/>
      <c r="Y299" s="75" t="s">
        <v>7319</v>
      </c>
      <c r="Z299" s="15" t="s">
        <v>9895</v>
      </c>
      <c r="AA299" s="75"/>
      <c r="AB299" s="12" t="s">
        <v>7293</v>
      </c>
      <c r="AC299" s="12"/>
      <c r="AD299" s="15" t="s">
        <v>9896</v>
      </c>
      <c r="AE299" s="75" t="s">
        <v>9897</v>
      </c>
      <c r="AF299" s="17"/>
      <c r="AG299" s="17"/>
      <c r="AH299" s="17"/>
      <c r="AI299" s="75" t="s">
        <v>7425</v>
      </c>
    </row>
    <row r="300" spans="1:35" ht="72" x14ac:dyDescent="0.3">
      <c r="A300" s="34" t="s">
        <v>7286</v>
      </c>
      <c r="B300" s="72" t="s">
        <v>9898</v>
      </c>
      <c r="C300" s="17" t="s">
        <v>7367</v>
      </c>
      <c r="D300" s="81" t="s">
        <v>9899</v>
      </c>
      <c r="E300" s="94" t="s">
        <v>9900</v>
      </c>
      <c r="F300" s="75" t="s">
        <v>7370</v>
      </c>
      <c r="G300" s="75" t="s">
        <v>7371</v>
      </c>
      <c r="H300" s="75" t="s">
        <v>7372</v>
      </c>
      <c r="I300" s="75" t="s">
        <v>7373</v>
      </c>
      <c r="J300" s="75" t="s">
        <v>9901</v>
      </c>
      <c r="K300" s="11" t="s">
        <v>9902</v>
      </c>
      <c r="L300" s="77" t="s">
        <v>7376</v>
      </c>
      <c r="M300" s="76">
        <v>45173</v>
      </c>
      <c r="N300" s="76"/>
      <c r="O300" s="75" t="s">
        <v>7870</v>
      </c>
      <c r="P300" s="17"/>
      <c r="Q300" s="76">
        <v>37552</v>
      </c>
      <c r="R300" s="78">
        <v>23.964383561643835</v>
      </c>
      <c r="S300" s="79" t="s">
        <v>9903</v>
      </c>
      <c r="T300" s="75" t="s">
        <v>7298</v>
      </c>
      <c r="U300" s="75" t="s">
        <v>9904</v>
      </c>
      <c r="V300" s="83">
        <v>47529</v>
      </c>
      <c r="W300" s="75" t="s">
        <v>7300</v>
      </c>
      <c r="X300" s="75"/>
      <c r="Y300" s="75" t="s">
        <v>7302</v>
      </c>
      <c r="Z300" s="15" t="s">
        <v>9905</v>
      </c>
      <c r="AA300" s="75"/>
      <c r="AB300" s="12" t="s">
        <v>9906</v>
      </c>
      <c r="AC300" s="12"/>
      <c r="AD300" s="15" t="s">
        <v>9907</v>
      </c>
      <c r="AE300" s="75" t="s">
        <v>9908</v>
      </c>
      <c r="AF300" s="17"/>
      <c r="AG300" s="17"/>
      <c r="AH300" s="17"/>
      <c r="AI300" s="75" t="s">
        <v>7745</v>
      </c>
    </row>
    <row r="301" spans="1:35" ht="57.6" x14ac:dyDescent="0.3">
      <c r="A301" s="34" t="s">
        <v>7286</v>
      </c>
      <c r="B301" s="72" t="s">
        <v>9909</v>
      </c>
      <c r="C301" s="17" t="s">
        <v>7367</v>
      </c>
      <c r="D301" s="81" t="s">
        <v>9910</v>
      </c>
      <c r="E301" s="94" t="s">
        <v>9911</v>
      </c>
      <c r="F301" s="75" t="s">
        <v>7370</v>
      </c>
      <c r="G301" s="75" t="s">
        <v>7371</v>
      </c>
      <c r="H301" s="75" t="s">
        <v>9832</v>
      </c>
      <c r="I301" s="75" t="s">
        <v>9833</v>
      </c>
      <c r="J301" s="75" t="s">
        <v>9834</v>
      </c>
      <c r="K301" s="11" t="s">
        <v>9835</v>
      </c>
      <c r="L301" s="77" t="s">
        <v>9836</v>
      </c>
      <c r="M301" s="76">
        <v>45176</v>
      </c>
      <c r="N301" s="76"/>
      <c r="O301" s="75" t="s">
        <v>8747</v>
      </c>
      <c r="P301" s="17"/>
      <c r="Q301" s="76">
        <v>37467</v>
      </c>
      <c r="R301" s="78">
        <v>24.197260273972603</v>
      </c>
      <c r="S301" s="79" t="s">
        <v>9912</v>
      </c>
      <c r="T301" s="75" t="s">
        <v>7298</v>
      </c>
      <c r="U301" s="75" t="s">
        <v>9913</v>
      </c>
      <c r="V301" s="83">
        <v>47933</v>
      </c>
      <c r="W301" s="75" t="s">
        <v>7300</v>
      </c>
      <c r="X301" s="75"/>
      <c r="Y301" s="75" t="s">
        <v>7302</v>
      </c>
      <c r="Z301" s="15" t="s">
        <v>9914</v>
      </c>
      <c r="AA301" s="75"/>
      <c r="AB301" s="12" t="s">
        <v>9915</v>
      </c>
      <c r="AC301" s="12"/>
      <c r="AD301" s="15" t="s">
        <v>9916</v>
      </c>
      <c r="AE301" s="75" t="s">
        <v>9917</v>
      </c>
      <c r="AF301" s="17"/>
      <c r="AG301" s="17"/>
      <c r="AH301" s="17"/>
      <c r="AI301" s="75" t="s">
        <v>7745</v>
      </c>
    </row>
    <row r="302" spans="1:35" x14ac:dyDescent="0.3">
      <c r="A302" s="34" t="s">
        <v>7286</v>
      </c>
      <c r="B302" s="72" t="s">
        <v>9918</v>
      </c>
      <c r="C302" s="17" t="s">
        <v>7150</v>
      </c>
      <c r="D302" s="81" t="s">
        <v>9919</v>
      </c>
      <c r="E302" s="94" t="s">
        <v>9920</v>
      </c>
      <c r="F302" s="75" t="s">
        <v>7329</v>
      </c>
      <c r="G302" s="75" t="s">
        <v>7330</v>
      </c>
      <c r="H302" s="75" t="s">
        <v>7405</v>
      </c>
      <c r="I302" s="75" t="s">
        <v>7406</v>
      </c>
      <c r="J302" s="75" t="s">
        <v>7407</v>
      </c>
      <c r="K302" s="11" t="s">
        <v>7408</v>
      </c>
      <c r="L302" s="77" t="s">
        <v>7409</v>
      </c>
      <c r="M302" s="76">
        <v>45181</v>
      </c>
      <c r="N302" s="76"/>
      <c r="O302" s="75" t="s">
        <v>7870</v>
      </c>
      <c r="P302" s="17"/>
      <c r="Q302" s="76">
        <v>37285</v>
      </c>
      <c r="R302" s="78">
        <v>24.695890410958903</v>
      </c>
      <c r="S302" s="79" t="s">
        <v>9921</v>
      </c>
      <c r="T302" s="75" t="s">
        <v>7298</v>
      </c>
      <c r="U302" s="75" t="s">
        <v>9922</v>
      </c>
      <c r="V302" s="83">
        <v>46416</v>
      </c>
      <c r="W302" s="75" t="s">
        <v>7300</v>
      </c>
      <c r="X302" s="75"/>
      <c r="Y302" s="75" t="s">
        <v>7319</v>
      </c>
      <c r="Z302" s="15" t="s">
        <v>9923</v>
      </c>
      <c r="AA302" s="75"/>
      <c r="AB302" s="12" t="s">
        <v>7293</v>
      </c>
      <c r="AC302" s="12"/>
      <c r="AD302" s="15" t="s">
        <v>9924</v>
      </c>
      <c r="AE302" s="75" t="s">
        <v>9924</v>
      </c>
      <c r="AF302" s="17"/>
      <c r="AG302" s="17"/>
      <c r="AH302" s="17"/>
      <c r="AI302" s="75" t="s">
        <v>7324</v>
      </c>
    </row>
    <row r="303" spans="1:35" ht="43.2" x14ac:dyDescent="0.3">
      <c r="A303" s="34" t="s">
        <v>7286</v>
      </c>
      <c r="B303" s="72" t="s">
        <v>9925</v>
      </c>
      <c r="C303" s="17" t="s">
        <v>7367</v>
      </c>
      <c r="D303" s="81" t="s">
        <v>9926</v>
      </c>
      <c r="E303" s="94" t="s">
        <v>9927</v>
      </c>
      <c r="F303" s="75" t="s">
        <v>7293</v>
      </c>
      <c r="G303" s="75" t="s">
        <v>7293</v>
      </c>
      <c r="H303" s="11" t="s">
        <v>7293</v>
      </c>
      <c r="I303" s="75" t="s">
        <v>7293</v>
      </c>
      <c r="J303" s="75" t="s">
        <v>8585</v>
      </c>
      <c r="K303" s="11" t="s">
        <v>8586</v>
      </c>
      <c r="L303" s="77" t="s">
        <v>7587</v>
      </c>
      <c r="M303" s="76">
        <v>45181</v>
      </c>
      <c r="N303" s="76"/>
      <c r="O303" s="75" t="s">
        <v>7923</v>
      </c>
      <c r="P303" s="17"/>
      <c r="Q303" s="76">
        <v>34835</v>
      </c>
      <c r="R303" s="78">
        <v>31.408219178082192</v>
      </c>
      <c r="S303" s="79" t="s">
        <v>9928</v>
      </c>
      <c r="T303" s="75" t="s">
        <v>7298</v>
      </c>
      <c r="U303" s="75" t="s">
        <v>9929</v>
      </c>
      <c r="V303" s="83">
        <v>47676</v>
      </c>
      <c r="W303" s="75" t="s">
        <v>7300</v>
      </c>
      <c r="X303" s="75"/>
      <c r="Y303" s="75" t="s">
        <v>7302</v>
      </c>
      <c r="Z303" s="15" t="s">
        <v>9930</v>
      </c>
      <c r="AA303" s="75"/>
      <c r="AB303" s="12" t="s">
        <v>9931</v>
      </c>
      <c r="AC303" s="12" t="s">
        <v>9932</v>
      </c>
      <c r="AD303" s="15" t="s">
        <v>9933</v>
      </c>
      <c r="AE303" s="75" t="s">
        <v>9934</v>
      </c>
      <c r="AF303" s="17"/>
      <c r="AG303" s="17"/>
      <c r="AH303" s="34"/>
      <c r="AI303" s="75" t="s">
        <v>7307</v>
      </c>
    </row>
    <row r="304" spans="1:35" ht="57.6" x14ac:dyDescent="0.3">
      <c r="A304" s="34" t="s">
        <v>7286</v>
      </c>
      <c r="B304" s="72" t="s">
        <v>9935</v>
      </c>
      <c r="C304" s="17" t="s">
        <v>7367</v>
      </c>
      <c r="D304" s="81" t="s">
        <v>9936</v>
      </c>
      <c r="E304" s="94" t="s">
        <v>9937</v>
      </c>
      <c r="F304" s="75" t="s">
        <v>7293</v>
      </c>
      <c r="G304" s="75" t="s">
        <v>7293</v>
      </c>
      <c r="H304" s="75" t="s">
        <v>7933</v>
      </c>
      <c r="I304" s="75" t="s">
        <v>7934</v>
      </c>
      <c r="J304" s="75" t="s">
        <v>9814</v>
      </c>
      <c r="K304" s="11" t="s">
        <v>9815</v>
      </c>
      <c r="L304" s="77" t="s">
        <v>7937</v>
      </c>
      <c r="M304" s="76">
        <v>45181</v>
      </c>
      <c r="N304" s="76"/>
      <c r="O304" s="75" t="s">
        <v>8747</v>
      </c>
      <c r="P304" s="17"/>
      <c r="Q304" s="76">
        <v>37344</v>
      </c>
      <c r="R304" s="78">
        <v>24.534246575342465</v>
      </c>
      <c r="S304" s="79" t="s">
        <v>9938</v>
      </c>
      <c r="T304" s="75" t="s">
        <v>7298</v>
      </c>
      <c r="U304" s="75" t="s">
        <v>9939</v>
      </c>
      <c r="V304" s="83">
        <v>47376</v>
      </c>
      <c r="W304" s="75" t="s">
        <v>7300</v>
      </c>
      <c r="X304" s="75"/>
      <c r="Y304" s="75" t="s">
        <v>7302</v>
      </c>
      <c r="Z304" s="15" t="s">
        <v>9940</v>
      </c>
      <c r="AA304" s="75"/>
      <c r="AB304" s="12" t="s">
        <v>7537</v>
      </c>
      <c r="AC304" s="12" t="s">
        <v>9941</v>
      </c>
      <c r="AD304" s="15" t="s">
        <v>9942</v>
      </c>
      <c r="AE304" s="75" t="s">
        <v>9942</v>
      </c>
      <c r="AF304" s="17"/>
      <c r="AG304" s="17"/>
      <c r="AH304" s="17"/>
      <c r="AI304" s="75" t="s">
        <v>7307</v>
      </c>
    </row>
    <row r="305" spans="1:35" x14ac:dyDescent="0.3">
      <c r="A305" s="34" t="s">
        <v>7286</v>
      </c>
      <c r="B305" s="72" t="s">
        <v>9943</v>
      </c>
      <c r="C305" s="17" t="s">
        <v>7150</v>
      </c>
      <c r="D305" s="81" t="s">
        <v>9944</v>
      </c>
      <c r="E305" s="94" t="s">
        <v>1268</v>
      </c>
      <c r="F305" s="75" t="s">
        <v>7293</v>
      </c>
      <c r="G305" s="75" t="s">
        <v>7293</v>
      </c>
      <c r="H305" s="75" t="s">
        <v>7311</v>
      </c>
      <c r="I305" s="75" t="s">
        <v>7312</v>
      </c>
      <c r="J305" s="11" t="s">
        <v>7433</v>
      </c>
      <c r="K305" s="11" t="s">
        <v>7434</v>
      </c>
      <c r="L305" s="77" t="s">
        <v>7315</v>
      </c>
      <c r="M305" s="76">
        <v>45183</v>
      </c>
      <c r="N305" s="76"/>
      <c r="O305" s="75" t="s">
        <v>7870</v>
      </c>
      <c r="P305" s="17" t="s">
        <v>8413</v>
      </c>
      <c r="Q305" s="76">
        <v>35682</v>
      </c>
      <c r="R305" s="78">
        <v>29.087671232876712</v>
      </c>
      <c r="S305" s="79" t="s">
        <v>9945</v>
      </c>
      <c r="T305" s="75" t="s">
        <v>7298</v>
      </c>
      <c r="U305" s="75" t="s">
        <v>9946</v>
      </c>
      <c r="V305" s="83">
        <v>47738</v>
      </c>
      <c r="W305" s="75" t="s">
        <v>7300</v>
      </c>
      <c r="X305" s="75"/>
      <c r="Y305" s="75" t="s">
        <v>7319</v>
      </c>
      <c r="Z305" s="15" t="s">
        <v>9947</v>
      </c>
      <c r="AA305" s="75"/>
      <c r="AB305" s="12" t="s">
        <v>7293</v>
      </c>
      <c r="AC305" s="12"/>
      <c r="AD305" s="15" t="s">
        <v>9948</v>
      </c>
      <c r="AE305" s="75" t="s">
        <v>9948</v>
      </c>
      <c r="AF305" s="17"/>
      <c r="AG305" s="17"/>
      <c r="AH305" s="17"/>
      <c r="AI305" s="75" t="s">
        <v>8413</v>
      </c>
    </row>
    <row r="306" spans="1:35" x14ac:dyDescent="0.3">
      <c r="A306" s="34" t="s">
        <v>7286</v>
      </c>
      <c r="B306" s="72" t="s">
        <v>9949</v>
      </c>
      <c r="C306" s="17" t="s">
        <v>7150</v>
      </c>
      <c r="D306" s="81" t="s">
        <v>9950</v>
      </c>
      <c r="E306" s="94" t="s">
        <v>1626</v>
      </c>
      <c r="F306" s="75" t="s">
        <v>7293</v>
      </c>
      <c r="G306" s="75" t="s">
        <v>7293</v>
      </c>
      <c r="H306" s="75" t="s">
        <v>7311</v>
      </c>
      <c r="I306" s="75" t="s">
        <v>7312</v>
      </c>
      <c r="J306" s="75" t="s">
        <v>7313</v>
      </c>
      <c r="K306" s="11" t="s">
        <v>7314</v>
      </c>
      <c r="L306" s="77" t="s">
        <v>7315</v>
      </c>
      <c r="M306" s="76">
        <v>45190</v>
      </c>
      <c r="N306" s="76"/>
      <c r="O306" s="75" t="s">
        <v>7870</v>
      </c>
      <c r="P306" s="17" t="s">
        <v>7858</v>
      </c>
      <c r="Q306" s="76">
        <v>32056</v>
      </c>
      <c r="R306" s="78">
        <v>39.021917808219179</v>
      </c>
      <c r="S306" s="79" t="s">
        <v>9951</v>
      </c>
      <c r="T306" s="75" t="s">
        <v>7298</v>
      </c>
      <c r="U306" s="75" t="s">
        <v>9952</v>
      </c>
      <c r="V306" s="83">
        <v>48545</v>
      </c>
      <c r="W306" s="75" t="s">
        <v>7300</v>
      </c>
      <c r="X306" s="75"/>
      <c r="Y306" s="75" t="s">
        <v>7319</v>
      </c>
      <c r="Z306" s="15" t="s">
        <v>9953</v>
      </c>
      <c r="AA306" s="75"/>
      <c r="AB306" s="12" t="s">
        <v>7293</v>
      </c>
      <c r="AC306" s="12"/>
      <c r="AD306" s="15" t="s">
        <v>9954</v>
      </c>
      <c r="AE306" s="75" t="s">
        <v>9954</v>
      </c>
      <c r="AF306" s="17"/>
      <c r="AG306" s="17"/>
      <c r="AH306" s="17"/>
      <c r="AI306" s="75" t="s">
        <v>7858</v>
      </c>
    </row>
    <row r="307" spans="1:35" ht="57.6" x14ac:dyDescent="0.3">
      <c r="A307" s="34" t="s">
        <v>7286</v>
      </c>
      <c r="B307" s="72" t="s">
        <v>9955</v>
      </c>
      <c r="C307" s="17" t="s">
        <v>7343</v>
      </c>
      <c r="D307" s="81" t="s">
        <v>9956</v>
      </c>
      <c r="E307" s="94" t="s">
        <v>7587</v>
      </c>
      <c r="F307" s="75" t="s">
        <v>7293</v>
      </c>
      <c r="G307" s="75" t="s">
        <v>7293</v>
      </c>
      <c r="H307" s="11" t="s">
        <v>7293</v>
      </c>
      <c r="I307" s="75" t="s">
        <v>7293</v>
      </c>
      <c r="J307" s="75" t="s">
        <v>9957</v>
      </c>
      <c r="K307" s="11" t="s">
        <v>9958</v>
      </c>
      <c r="L307" s="77" t="s">
        <v>9959</v>
      </c>
      <c r="M307" s="76">
        <v>45201</v>
      </c>
      <c r="N307" s="76"/>
      <c r="O307" s="75" t="s">
        <v>7923</v>
      </c>
      <c r="P307" s="17"/>
      <c r="Q307" s="76">
        <v>33201</v>
      </c>
      <c r="R307" s="78">
        <v>35.884931506849313</v>
      </c>
      <c r="S307" s="79" t="s">
        <v>9960</v>
      </c>
      <c r="T307" s="75" t="s">
        <v>7298</v>
      </c>
      <c r="U307" s="75" t="s">
        <v>9961</v>
      </c>
      <c r="V307" s="83">
        <v>45985</v>
      </c>
      <c r="W307" s="75" t="s">
        <v>7300</v>
      </c>
      <c r="X307" s="75"/>
      <c r="Y307" s="75" t="s">
        <v>7319</v>
      </c>
      <c r="Z307" s="15" t="s">
        <v>9962</v>
      </c>
      <c r="AA307" s="75"/>
      <c r="AB307" s="12" t="s">
        <v>9963</v>
      </c>
      <c r="AC307" s="12"/>
      <c r="AD307" s="15" t="s">
        <v>9964</v>
      </c>
      <c r="AE307" s="75" t="s">
        <v>9965</v>
      </c>
      <c r="AF307" s="17"/>
      <c r="AG307" s="17"/>
      <c r="AH307" s="17"/>
      <c r="AI307" s="75" t="s">
        <v>7307</v>
      </c>
    </row>
    <row r="308" spans="1:35" ht="57.6" x14ac:dyDescent="0.3">
      <c r="A308" s="34" t="s">
        <v>7286</v>
      </c>
      <c r="B308" s="72" t="s">
        <v>9966</v>
      </c>
      <c r="C308" s="17" t="s">
        <v>7367</v>
      </c>
      <c r="D308" s="81" t="s">
        <v>9967</v>
      </c>
      <c r="E308" s="94" t="s">
        <v>9968</v>
      </c>
      <c r="F308" s="75" t="s">
        <v>7370</v>
      </c>
      <c r="G308" s="75" t="s">
        <v>7371</v>
      </c>
      <c r="H308" s="75" t="s">
        <v>7372</v>
      </c>
      <c r="I308" s="75" t="s">
        <v>7373</v>
      </c>
      <c r="J308" s="75" t="s">
        <v>9901</v>
      </c>
      <c r="K308" s="11" t="s">
        <v>9902</v>
      </c>
      <c r="L308" s="77" t="s">
        <v>7376</v>
      </c>
      <c r="M308" s="76">
        <v>45201</v>
      </c>
      <c r="N308" s="76"/>
      <c r="O308" s="75" t="s">
        <v>8747</v>
      </c>
      <c r="P308" s="17"/>
      <c r="Q308" s="76">
        <v>37287</v>
      </c>
      <c r="R308" s="78">
        <v>24.69041095890411</v>
      </c>
      <c r="S308" s="79" t="s">
        <v>9969</v>
      </c>
      <c r="T308" s="75" t="s">
        <v>7298</v>
      </c>
      <c r="U308" s="75" t="s">
        <v>9970</v>
      </c>
      <c r="V308" s="83">
        <v>46418</v>
      </c>
      <c r="W308" s="75" t="s">
        <v>7300</v>
      </c>
      <c r="X308" s="75"/>
      <c r="Y308" s="75" t="s">
        <v>7302</v>
      </c>
      <c r="Z308" s="15" t="s">
        <v>9971</v>
      </c>
      <c r="AA308" s="75"/>
      <c r="AB308" s="12" t="s">
        <v>9972</v>
      </c>
      <c r="AC308" s="12"/>
      <c r="AD308" s="15" t="s">
        <v>9973</v>
      </c>
      <c r="AE308" s="75" t="s">
        <v>9973</v>
      </c>
      <c r="AF308" s="17"/>
      <c r="AG308" s="17"/>
      <c r="AH308" s="17"/>
      <c r="AI308" s="75" t="s">
        <v>7745</v>
      </c>
    </row>
    <row r="309" spans="1:35" ht="43.2" x14ac:dyDescent="0.3">
      <c r="A309" s="34" t="s">
        <v>7286</v>
      </c>
      <c r="B309" s="72" t="s">
        <v>9974</v>
      </c>
      <c r="C309" s="17" t="s">
        <v>7367</v>
      </c>
      <c r="D309" s="81" t="s">
        <v>9975</v>
      </c>
      <c r="E309" s="94" t="s">
        <v>9976</v>
      </c>
      <c r="F309" s="75" t="s">
        <v>7370</v>
      </c>
      <c r="G309" s="75" t="s">
        <v>7371</v>
      </c>
      <c r="H309" s="75" t="s">
        <v>7767</v>
      </c>
      <c r="I309" s="75" t="s">
        <v>7768</v>
      </c>
      <c r="J309" s="75" t="s">
        <v>7978</v>
      </c>
      <c r="K309" s="11" t="s">
        <v>7979</v>
      </c>
      <c r="L309" s="77" t="s">
        <v>7771</v>
      </c>
      <c r="M309" s="76">
        <v>45201</v>
      </c>
      <c r="N309" s="76"/>
      <c r="O309" s="75" t="s">
        <v>7870</v>
      </c>
      <c r="P309" s="17"/>
      <c r="Q309" s="76">
        <v>35071</v>
      </c>
      <c r="R309" s="78">
        <v>30.761643835616439</v>
      </c>
      <c r="S309" s="79" t="s">
        <v>9977</v>
      </c>
      <c r="T309" s="75" t="s">
        <v>7298</v>
      </c>
      <c r="U309" s="75" t="s">
        <v>9978</v>
      </c>
      <c r="V309" s="83">
        <v>47957</v>
      </c>
      <c r="W309" s="75" t="s">
        <v>7300</v>
      </c>
      <c r="X309" s="75"/>
      <c r="Y309" s="75" t="s">
        <v>7319</v>
      </c>
      <c r="Z309" s="15" t="s">
        <v>9979</v>
      </c>
      <c r="AA309" s="75"/>
      <c r="AB309" s="12" t="s">
        <v>9980</v>
      </c>
      <c r="AC309" s="12"/>
      <c r="AD309" s="15" t="s">
        <v>9981</v>
      </c>
      <c r="AE309" s="75" t="s">
        <v>9982</v>
      </c>
      <c r="AF309" s="17"/>
      <c r="AG309" s="17"/>
      <c r="AH309" s="17"/>
      <c r="AI309" s="75" t="s">
        <v>7745</v>
      </c>
    </row>
    <row r="310" spans="1:35" ht="57.6" x14ac:dyDescent="0.3">
      <c r="A310" s="34" t="s">
        <v>7286</v>
      </c>
      <c r="B310" s="72" t="s">
        <v>9983</v>
      </c>
      <c r="C310" s="17" t="s">
        <v>7367</v>
      </c>
      <c r="D310" s="81" t="s">
        <v>9984</v>
      </c>
      <c r="E310" s="94" t="s">
        <v>9985</v>
      </c>
      <c r="F310" s="75" t="s">
        <v>7370</v>
      </c>
      <c r="G310" s="75" t="s">
        <v>7371</v>
      </c>
      <c r="H310" s="75" t="s">
        <v>9832</v>
      </c>
      <c r="I310" s="75" t="s">
        <v>9833</v>
      </c>
      <c r="J310" s="75" t="s">
        <v>7575</v>
      </c>
      <c r="K310" s="11" t="s">
        <v>6340</v>
      </c>
      <c r="L310" s="77" t="s">
        <v>9836</v>
      </c>
      <c r="M310" s="76">
        <v>45211</v>
      </c>
      <c r="N310" s="76"/>
      <c r="O310" s="75" t="s">
        <v>8747</v>
      </c>
      <c r="P310" s="17"/>
      <c r="Q310" s="76">
        <v>33031</v>
      </c>
      <c r="R310" s="78">
        <v>36.350684931506848</v>
      </c>
      <c r="S310" s="79" t="s">
        <v>9986</v>
      </c>
      <c r="T310" s="75" t="s">
        <v>7298</v>
      </c>
      <c r="U310" s="75" t="s">
        <v>9987</v>
      </c>
      <c r="V310" s="83">
        <v>47939</v>
      </c>
      <c r="W310" s="75" t="s">
        <v>7300</v>
      </c>
      <c r="X310" s="75"/>
      <c r="Y310" s="75" t="s">
        <v>7302</v>
      </c>
      <c r="Z310" s="15" t="s">
        <v>9988</v>
      </c>
      <c r="AA310" s="75"/>
      <c r="AB310" s="12" t="s">
        <v>9989</v>
      </c>
      <c r="AC310" s="12"/>
      <c r="AD310" s="15" t="s">
        <v>9990</v>
      </c>
      <c r="AE310" s="75" t="s">
        <v>9990</v>
      </c>
      <c r="AF310" s="17"/>
      <c r="AG310" s="17"/>
      <c r="AH310" s="17"/>
      <c r="AI310" s="75" t="s">
        <v>7745</v>
      </c>
    </row>
    <row r="311" spans="1:35" x14ac:dyDescent="0.3">
      <c r="A311" s="34" t="s">
        <v>7286</v>
      </c>
      <c r="B311" s="72" t="s">
        <v>9991</v>
      </c>
      <c r="C311" s="17" t="s">
        <v>7150</v>
      </c>
      <c r="D311" s="81" t="s">
        <v>9992</v>
      </c>
      <c r="E311" s="94" t="s">
        <v>9993</v>
      </c>
      <c r="F311" s="75" t="s">
        <v>7329</v>
      </c>
      <c r="G311" s="75" t="s">
        <v>7330</v>
      </c>
      <c r="H311" s="75" t="s">
        <v>7405</v>
      </c>
      <c r="I311" s="75" t="s">
        <v>7406</v>
      </c>
      <c r="J311" s="75" t="s">
        <v>7407</v>
      </c>
      <c r="K311" s="11" t="s">
        <v>7408</v>
      </c>
      <c r="L311" s="77" t="s">
        <v>7409</v>
      </c>
      <c r="M311" s="76">
        <v>45215</v>
      </c>
      <c r="N311" s="76"/>
      <c r="O311" s="75" t="s">
        <v>7870</v>
      </c>
      <c r="P311" s="17"/>
      <c r="Q311" s="76">
        <v>33563</v>
      </c>
      <c r="R311" s="78">
        <v>34.893150684931506</v>
      </c>
      <c r="S311" s="79" t="s">
        <v>9994</v>
      </c>
      <c r="T311" s="75" t="s">
        <v>7298</v>
      </c>
      <c r="U311" s="75" t="s">
        <v>9995</v>
      </c>
      <c r="V311" s="83">
        <v>47474</v>
      </c>
      <c r="W311" s="75" t="s">
        <v>7300</v>
      </c>
      <c r="X311" s="75"/>
      <c r="Y311" s="75" t="s">
        <v>7319</v>
      </c>
      <c r="Z311" s="15" t="s">
        <v>9996</v>
      </c>
      <c r="AA311" s="75"/>
      <c r="AB311" s="12" t="s">
        <v>7293</v>
      </c>
      <c r="AC311" s="12"/>
      <c r="AD311" s="15" t="s">
        <v>9997</v>
      </c>
      <c r="AE311" s="75" t="s">
        <v>9997</v>
      </c>
      <c r="AF311" s="17"/>
      <c r="AG311" s="17"/>
      <c r="AH311" s="17"/>
      <c r="AI311" s="75" t="s">
        <v>7448</v>
      </c>
    </row>
    <row r="312" spans="1:35" ht="57.6" x14ac:dyDescent="0.3">
      <c r="A312" s="34" t="s">
        <v>7286</v>
      </c>
      <c r="B312" s="72" t="s">
        <v>9998</v>
      </c>
      <c r="C312" s="17" t="s">
        <v>7343</v>
      </c>
      <c r="D312" s="81" t="s">
        <v>9999</v>
      </c>
      <c r="E312" s="94" t="s">
        <v>10000</v>
      </c>
      <c r="F312" s="75" t="s">
        <v>7293</v>
      </c>
      <c r="G312" s="75" t="s">
        <v>7293</v>
      </c>
      <c r="H312" s="75" t="s">
        <v>8997</v>
      </c>
      <c r="I312" s="75" t="s">
        <v>8998</v>
      </c>
      <c r="J312" s="75" t="s">
        <v>8966</v>
      </c>
      <c r="K312" s="11" t="s">
        <v>8967</v>
      </c>
      <c r="L312" s="77" t="s">
        <v>10001</v>
      </c>
      <c r="M312" s="76">
        <v>45215</v>
      </c>
      <c r="N312" s="76"/>
      <c r="O312" s="75" t="s">
        <v>7923</v>
      </c>
      <c r="P312" s="17"/>
      <c r="Q312" s="76">
        <v>34643</v>
      </c>
      <c r="R312" s="78">
        <v>31.934246575342467</v>
      </c>
      <c r="S312" s="79" t="s">
        <v>10002</v>
      </c>
      <c r="T312" s="75" t="s">
        <v>7298</v>
      </c>
      <c r="U312" s="75" t="s">
        <v>10003</v>
      </c>
      <c r="V312" s="83">
        <v>47460</v>
      </c>
      <c r="W312" s="75" t="s">
        <v>7300</v>
      </c>
      <c r="X312" s="75"/>
      <c r="Y312" s="75" t="s">
        <v>7319</v>
      </c>
      <c r="Z312" s="15" t="s">
        <v>10004</v>
      </c>
      <c r="AA312" s="75"/>
      <c r="AB312" s="12" t="s">
        <v>10005</v>
      </c>
      <c r="AC312" s="12"/>
      <c r="AD312" s="15" t="s">
        <v>10006</v>
      </c>
      <c r="AE312" s="75" t="s">
        <v>10006</v>
      </c>
      <c r="AF312" s="17"/>
      <c r="AG312" s="17"/>
      <c r="AH312" s="17"/>
      <c r="AI312" s="75" t="s">
        <v>7307</v>
      </c>
    </row>
    <row r="313" spans="1:35" x14ac:dyDescent="0.3">
      <c r="A313" s="34" t="s">
        <v>7286</v>
      </c>
      <c r="B313" s="72" t="s">
        <v>10007</v>
      </c>
      <c r="C313" s="17" t="s">
        <v>7150</v>
      </c>
      <c r="D313" s="81" t="s">
        <v>10008</v>
      </c>
      <c r="E313" s="94" t="s">
        <v>1598</v>
      </c>
      <c r="F313" s="75" t="s">
        <v>7293</v>
      </c>
      <c r="G313" s="75" t="s">
        <v>7293</v>
      </c>
      <c r="H313" s="75" t="s">
        <v>7311</v>
      </c>
      <c r="I313" s="75" t="s">
        <v>7312</v>
      </c>
      <c r="J313" s="11" t="s">
        <v>7433</v>
      </c>
      <c r="K313" s="11" t="s">
        <v>7434</v>
      </c>
      <c r="L313" s="77" t="s">
        <v>7315</v>
      </c>
      <c r="M313" s="76">
        <v>45218</v>
      </c>
      <c r="N313" s="76"/>
      <c r="O313" s="75" t="s">
        <v>7870</v>
      </c>
      <c r="P313" s="17" t="s">
        <v>8361</v>
      </c>
      <c r="Q313" s="76">
        <v>36997</v>
      </c>
      <c r="R313" s="78">
        <v>25.484931506849314</v>
      </c>
      <c r="S313" s="79" t="s">
        <v>10009</v>
      </c>
      <c r="T313" s="75" t="s">
        <v>7298</v>
      </c>
      <c r="U313" s="75" t="s">
        <v>10010</v>
      </c>
      <c r="V313" s="83">
        <v>47923</v>
      </c>
      <c r="W313" s="75" t="s">
        <v>7300</v>
      </c>
      <c r="X313" s="75"/>
      <c r="Y313" s="75" t="s">
        <v>7319</v>
      </c>
      <c r="Z313" s="15" t="s">
        <v>10011</v>
      </c>
      <c r="AA313" s="75"/>
      <c r="AB313" s="12" t="s">
        <v>7293</v>
      </c>
      <c r="AC313" s="12"/>
      <c r="AD313" s="15" t="s">
        <v>10012</v>
      </c>
      <c r="AE313" s="75" t="s">
        <v>10013</v>
      </c>
      <c r="AF313" s="17"/>
      <c r="AG313" s="17"/>
      <c r="AH313" s="17"/>
      <c r="AI313" s="11" t="s">
        <v>8361</v>
      </c>
    </row>
    <row r="314" spans="1:35" x14ac:dyDescent="0.3">
      <c r="A314" s="34" t="s">
        <v>7286</v>
      </c>
      <c r="B314" s="72" t="s">
        <v>10014</v>
      </c>
      <c r="C314" s="17" t="s">
        <v>7150</v>
      </c>
      <c r="D314" s="81" t="s">
        <v>10015</v>
      </c>
      <c r="E314" s="94" t="s">
        <v>10016</v>
      </c>
      <c r="F314" s="75" t="s">
        <v>7329</v>
      </c>
      <c r="G314" s="75" t="s">
        <v>7330</v>
      </c>
      <c r="H314" s="75" t="s">
        <v>7405</v>
      </c>
      <c r="I314" s="75" t="s">
        <v>7406</v>
      </c>
      <c r="J314" s="75" t="s">
        <v>7407</v>
      </c>
      <c r="K314" s="11" t="s">
        <v>7408</v>
      </c>
      <c r="L314" s="77" t="s">
        <v>7409</v>
      </c>
      <c r="M314" s="76">
        <v>45222</v>
      </c>
      <c r="N314" s="76"/>
      <c r="O314" s="75" t="s">
        <v>7870</v>
      </c>
      <c r="P314" s="17"/>
      <c r="Q314" s="76">
        <v>30867</v>
      </c>
      <c r="R314" s="78">
        <v>42.279452054794518</v>
      </c>
      <c r="S314" s="79" t="s">
        <v>10017</v>
      </c>
      <c r="T314" s="75" t="s">
        <v>7298</v>
      </c>
      <c r="U314" s="75" t="s">
        <v>10018</v>
      </c>
      <c r="V314" s="83">
        <v>47315</v>
      </c>
      <c r="W314" s="75" t="s">
        <v>7300</v>
      </c>
      <c r="X314" s="75"/>
      <c r="Y314" s="75" t="s">
        <v>7319</v>
      </c>
      <c r="Z314" s="15" t="s">
        <v>10019</v>
      </c>
      <c r="AA314" s="75"/>
      <c r="AB314" s="12" t="s">
        <v>7293</v>
      </c>
      <c r="AC314" s="12"/>
      <c r="AD314" s="15" t="s">
        <v>10020</v>
      </c>
      <c r="AE314" s="75" t="s">
        <v>10021</v>
      </c>
      <c r="AF314" s="17"/>
      <c r="AG314" s="17"/>
      <c r="AH314" s="17"/>
      <c r="AI314" s="75" t="s">
        <v>8890</v>
      </c>
    </row>
    <row r="315" spans="1:35" ht="57.6" x14ac:dyDescent="0.3">
      <c r="A315" s="34" t="s">
        <v>7286</v>
      </c>
      <c r="B315" s="72" t="s">
        <v>10022</v>
      </c>
      <c r="C315" s="17" t="s">
        <v>7367</v>
      </c>
      <c r="D315" s="81" t="s">
        <v>10023</v>
      </c>
      <c r="E315" s="94" t="s">
        <v>10024</v>
      </c>
      <c r="F315" s="75" t="s">
        <v>7329</v>
      </c>
      <c r="G315" s="75" t="s">
        <v>7330</v>
      </c>
      <c r="H315" s="75" t="s">
        <v>7452</v>
      </c>
      <c r="I315" s="75" t="s">
        <v>7453</v>
      </c>
      <c r="J315" s="75" t="s">
        <v>7575</v>
      </c>
      <c r="K315" s="11" t="s">
        <v>6340</v>
      </c>
      <c r="L315" s="77" t="s">
        <v>7456</v>
      </c>
      <c r="M315" s="76">
        <v>45222</v>
      </c>
      <c r="N315" s="76"/>
      <c r="O315" s="75" t="s">
        <v>7870</v>
      </c>
      <c r="P315" s="17"/>
      <c r="Q315" s="76">
        <v>28738</v>
      </c>
      <c r="R315" s="78">
        <v>48.112328767123287</v>
      </c>
      <c r="S315" s="79" t="s">
        <v>10025</v>
      </c>
      <c r="T315" s="75" t="s">
        <v>7298</v>
      </c>
      <c r="U315" s="75" t="s">
        <v>10026</v>
      </c>
      <c r="V315" s="83">
        <v>47519</v>
      </c>
      <c r="W315" s="75" t="s">
        <v>7300</v>
      </c>
      <c r="X315" s="75"/>
      <c r="Y315" s="75" t="s">
        <v>7319</v>
      </c>
      <c r="Z315" s="15" t="s">
        <v>10027</v>
      </c>
      <c r="AA315" s="75"/>
      <c r="AB315" s="12" t="s">
        <v>10028</v>
      </c>
      <c r="AC315" s="12"/>
      <c r="AD315" s="15" t="s">
        <v>10029</v>
      </c>
      <c r="AE315" s="75" t="s">
        <v>10029</v>
      </c>
      <c r="AF315" s="17"/>
      <c r="AG315" s="17"/>
      <c r="AH315" s="17"/>
      <c r="AI315" s="75" t="s">
        <v>7324</v>
      </c>
    </row>
    <row r="316" spans="1:35" x14ac:dyDescent="0.3">
      <c r="A316" s="34" t="s">
        <v>7286</v>
      </c>
      <c r="B316" s="72" t="s">
        <v>10030</v>
      </c>
      <c r="C316" s="17" t="s">
        <v>7150</v>
      </c>
      <c r="D316" s="81" t="s">
        <v>10031</v>
      </c>
      <c r="E316" s="94" t="s">
        <v>1269</v>
      </c>
      <c r="F316" s="75" t="s">
        <v>7293</v>
      </c>
      <c r="G316" s="75" t="s">
        <v>7293</v>
      </c>
      <c r="H316" s="75" t="s">
        <v>7311</v>
      </c>
      <c r="I316" s="75" t="s">
        <v>7312</v>
      </c>
      <c r="J316" s="11" t="s">
        <v>7433</v>
      </c>
      <c r="K316" s="11" t="s">
        <v>7434</v>
      </c>
      <c r="L316" s="77" t="s">
        <v>7315</v>
      </c>
      <c r="M316" s="76">
        <v>45225</v>
      </c>
      <c r="N316" s="76"/>
      <c r="O316" s="75" t="s">
        <v>7870</v>
      </c>
      <c r="P316" s="17" t="s">
        <v>8413</v>
      </c>
      <c r="Q316" s="76">
        <v>35105</v>
      </c>
      <c r="R316" s="78">
        <v>30.668493150684931</v>
      </c>
      <c r="S316" s="79" t="s">
        <v>10032</v>
      </c>
      <c r="T316" s="75" t="s">
        <v>7298</v>
      </c>
      <c r="U316" s="75" t="s">
        <v>10033</v>
      </c>
      <c r="V316" s="83">
        <v>48846</v>
      </c>
      <c r="W316" s="75" t="s">
        <v>7300</v>
      </c>
      <c r="X316" s="75"/>
      <c r="Y316" s="75" t="s">
        <v>7319</v>
      </c>
      <c r="Z316" s="15" t="s">
        <v>10034</v>
      </c>
      <c r="AA316" s="75"/>
      <c r="AB316" s="12" t="s">
        <v>7293</v>
      </c>
      <c r="AC316" s="12"/>
      <c r="AD316" s="15" t="s">
        <v>10035</v>
      </c>
      <c r="AE316" s="75" t="s">
        <v>10035</v>
      </c>
      <c r="AF316" s="17"/>
      <c r="AG316" s="17"/>
      <c r="AH316" s="17"/>
      <c r="AI316" s="75" t="s">
        <v>8413</v>
      </c>
    </row>
    <row r="317" spans="1:35" ht="57.6" x14ac:dyDescent="0.3">
      <c r="A317" s="34" t="s">
        <v>7286</v>
      </c>
      <c r="B317" s="72" t="s">
        <v>10036</v>
      </c>
      <c r="C317" s="17" t="s">
        <v>7367</v>
      </c>
      <c r="D317" s="81" t="s">
        <v>10037</v>
      </c>
      <c r="E317" s="94" t="s">
        <v>10038</v>
      </c>
      <c r="F317" s="75" t="s">
        <v>7329</v>
      </c>
      <c r="G317" s="75" t="s">
        <v>7330</v>
      </c>
      <c r="H317" s="75" t="s">
        <v>7331</v>
      </c>
      <c r="I317" s="75" t="s">
        <v>7332</v>
      </c>
      <c r="J317" s="75" t="s">
        <v>10039</v>
      </c>
      <c r="K317" s="11" t="s">
        <v>10040</v>
      </c>
      <c r="L317" s="77" t="s">
        <v>7335</v>
      </c>
      <c r="M317" s="76">
        <v>45225</v>
      </c>
      <c r="N317" s="76"/>
      <c r="O317" s="75" t="s">
        <v>7870</v>
      </c>
      <c r="P317" s="17"/>
      <c r="Q317" s="76">
        <v>28733</v>
      </c>
      <c r="R317" s="78">
        <v>48.126027397260273</v>
      </c>
      <c r="S317" s="79" t="s">
        <v>10041</v>
      </c>
      <c r="T317" s="75" t="s">
        <v>7298</v>
      </c>
      <c r="U317" s="75" t="s">
        <v>10042</v>
      </c>
      <c r="V317" s="83">
        <v>46996</v>
      </c>
      <c r="W317" s="75" t="s">
        <v>7300</v>
      </c>
      <c r="X317" s="75"/>
      <c r="Y317" s="75" t="s">
        <v>7319</v>
      </c>
      <c r="Z317" s="15" t="s">
        <v>10043</v>
      </c>
      <c r="AA317" s="75"/>
      <c r="AB317" s="12" t="s">
        <v>10044</v>
      </c>
      <c r="AC317" s="12"/>
      <c r="AD317" s="15" t="s">
        <v>10045</v>
      </c>
      <c r="AE317" s="75" t="s">
        <v>10046</v>
      </c>
      <c r="AF317" s="17"/>
      <c r="AG317" s="17"/>
      <c r="AH317" s="17"/>
      <c r="AI317" s="75" t="s">
        <v>7324</v>
      </c>
    </row>
    <row r="318" spans="1:35" x14ac:dyDescent="0.3">
      <c r="A318" s="34" t="s">
        <v>7286</v>
      </c>
      <c r="B318" s="72" t="s">
        <v>10047</v>
      </c>
      <c r="C318" s="17" t="s">
        <v>7150</v>
      </c>
      <c r="D318" s="81" t="s">
        <v>10048</v>
      </c>
      <c r="E318" s="94" t="s">
        <v>1633</v>
      </c>
      <c r="F318" s="75" t="s">
        <v>7293</v>
      </c>
      <c r="G318" s="75" t="s">
        <v>7293</v>
      </c>
      <c r="H318" s="75" t="s">
        <v>7311</v>
      </c>
      <c r="I318" s="75" t="s">
        <v>7312</v>
      </c>
      <c r="J318" s="75" t="s">
        <v>7433</v>
      </c>
      <c r="K318" s="11" t="s">
        <v>7434</v>
      </c>
      <c r="L318" s="77" t="s">
        <v>7315</v>
      </c>
      <c r="M318" s="76">
        <v>45231</v>
      </c>
      <c r="N318" s="76"/>
      <c r="O318" s="75" t="s">
        <v>8747</v>
      </c>
      <c r="P318" s="17" t="s">
        <v>8748</v>
      </c>
      <c r="Q318" s="76">
        <v>36334</v>
      </c>
      <c r="R318" s="78">
        <v>27.301369863013697</v>
      </c>
      <c r="S318" s="79" t="s">
        <v>10049</v>
      </c>
      <c r="T318" s="75" t="s">
        <v>7298</v>
      </c>
      <c r="U318" s="75" t="s">
        <v>10050</v>
      </c>
      <c r="V318" s="83">
        <v>47954</v>
      </c>
      <c r="W318" s="75" t="s">
        <v>7300</v>
      </c>
      <c r="X318" s="75"/>
      <c r="Y318" s="75" t="s">
        <v>7319</v>
      </c>
      <c r="Z318" s="15" t="s">
        <v>10051</v>
      </c>
      <c r="AA318" s="97">
        <v>994102419373</v>
      </c>
      <c r="AB318" s="12" t="s">
        <v>7293</v>
      </c>
      <c r="AC318" s="12"/>
      <c r="AD318" s="15" t="s">
        <v>10052</v>
      </c>
      <c r="AE318" s="75" t="s">
        <v>10053</v>
      </c>
      <c r="AF318" s="17"/>
      <c r="AG318" s="17"/>
      <c r="AH318" s="17"/>
      <c r="AI318" s="75" t="s">
        <v>7448</v>
      </c>
    </row>
    <row r="319" spans="1:35" x14ac:dyDescent="0.3">
      <c r="A319" s="34" t="s">
        <v>7286</v>
      </c>
      <c r="B319" s="72" t="s">
        <v>10054</v>
      </c>
      <c r="C319" s="17" t="s">
        <v>7367</v>
      </c>
      <c r="D319" s="81" t="s">
        <v>10055</v>
      </c>
      <c r="E319" s="94" t="s">
        <v>10056</v>
      </c>
      <c r="F319" s="75" t="s">
        <v>7293</v>
      </c>
      <c r="G319" s="75" t="s">
        <v>7293</v>
      </c>
      <c r="H319" s="75" t="s">
        <v>7946</v>
      </c>
      <c r="I319" s="75" t="s">
        <v>7947</v>
      </c>
      <c r="J319" s="75" t="s">
        <v>10057</v>
      </c>
      <c r="K319" s="11" t="s">
        <v>10058</v>
      </c>
      <c r="L319" s="77" t="s">
        <v>7950</v>
      </c>
      <c r="M319" s="76">
        <v>45232</v>
      </c>
      <c r="N319" s="76"/>
      <c r="O319" s="75" t="s">
        <v>7923</v>
      </c>
      <c r="P319" s="17"/>
      <c r="Q319" s="76">
        <v>31316</v>
      </c>
      <c r="R319" s="78">
        <v>41.049315068493151</v>
      </c>
      <c r="S319" s="79" t="s">
        <v>10059</v>
      </c>
      <c r="T319" s="75" t="s">
        <v>7298</v>
      </c>
      <c r="U319" s="75" t="s">
        <v>10060</v>
      </c>
      <c r="V319" s="83">
        <v>47777</v>
      </c>
      <c r="W319" s="75" t="s">
        <v>7300</v>
      </c>
      <c r="X319" s="75"/>
      <c r="Y319" s="75" t="s">
        <v>7319</v>
      </c>
      <c r="Z319" s="15" t="s">
        <v>10061</v>
      </c>
      <c r="AA319" s="75"/>
      <c r="AB319" s="16" t="s">
        <v>10062</v>
      </c>
      <c r="AC319" s="12"/>
      <c r="AD319" s="15" t="s">
        <v>10063</v>
      </c>
      <c r="AE319" s="75" t="s">
        <v>10064</v>
      </c>
      <c r="AF319" s="17"/>
      <c r="AG319" s="17"/>
      <c r="AH319" s="17"/>
      <c r="AI319" s="75" t="s">
        <v>7307</v>
      </c>
    </row>
    <row r="320" spans="1:35" x14ac:dyDescent="0.3">
      <c r="A320" s="34" t="s">
        <v>7286</v>
      </c>
      <c r="B320" s="72" t="s">
        <v>10065</v>
      </c>
      <c r="C320" s="17" t="s">
        <v>7150</v>
      </c>
      <c r="D320" s="81" t="s">
        <v>10066</v>
      </c>
      <c r="E320" s="94" t="s">
        <v>10067</v>
      </c>
      <c r="F320" s="75" t="s">
        <v>7329</v>
      </c>
      <c r="G320" s="75" t="s">
        <v>7330</v>
      </c>
      <c r="H320" s="75" t="s">
        <v>7452</v>
      </c>
      <c r="I320" s="75" t="s">
        <v>7453</v>
      </c>
      <c r="J320" s="75" t="s">
        <v>7509</v>
      </c>
      <c r="K320" s="11" t="s">
        <v>7510</v>
      </c>
      <c r="L320" s="77" t="s">
        <v>7456</v>
      </c>
      <c r="M320" s="76">
        <v>45236</v>
      </c>
      <c r="N320" s="76"/>
      <c r="O320" s="75" t="s">
        <v>7870</v>
      </c>
      <c r="P320" s="17"/>
      <c r="Q320" s="76">
        <v>35020</v>
      </c>
      <c r="R320" s="78">
        <v>30.901369863013699</v>
      </c>
      <c r="S320" s="79" t="s">
        <v>10068</v>
      </c>
      <c r="T320" s="75" t="s">
        <v>7298</v>
      </c>
      <c r="U320" s="75" t="s">
        <v>10069</v>
      </c>
      <c r="V320" s="83">
        <v>47135</v>
      </c>
      <c r="W320" s="75" t="s">
        <v>7300</v>
      </c>
      <c r="X320" s="75"/>
      <c r="Y320" s="75" t="s">
        <v>7319</v>
      </c>
      <c r="Z320" s="15" t="s">
        <v>10070</v>
      </c>
      <c r="AA320" s="75"/>
      <c r="AB320" s="12" t="s">
        <v>7293</v>
      </c>
      <c r="AC320" s="12"/>
      <c r="AD320" s="15" t="s">
        <v>10071</v>
      </c>
      <c r="AE320" s="75" t="s">
        <v>10071</v>
      </c>
      <c r="AF320" s="17"/>
      <c r="AG320" s="17"/>
      <c r="AH320" s="17"/>
      <c r="AI320" s="75" t="s">
        <v>7324</v>
      </c>
    </row>
    <row r="321" spans="1:35" x14ac:dyDescent="0.3">
      <c r="A321" s="34" t="s">
        <v>7286</v>
      </c>
      <c r="B321" s="72" t="s">
        <v>10072</v>
      </c>
      <c r="C321" s="17" t="s">
        <v>7150</v>
      </c>
      <c r="D321" s="81" t="s">
        <v>10073</v>
      </c>
      <c r="E321" s="94" t="s">
        <v>10074</v>
      </c>
      <c r="F321" s="75" t="s">
        <v>7329</v>
      </c>
      <c r="G321" s="75" t="s">
        <v>7330</v>
      </c>
      <c r="H321" s="75" t="s">
        <v>7331</v>
      </c>
      <c r="I321" s="75" t="s">
        <v>7332</v>
      </c>
      <c r="J321" s="75" t="s">
        <v>7749</v>
      </c>
      <c r="K321" s="11" t="s">
        <v>6403</v>
      </c>
      <c r="L321" s="77" t="s">
        <v>7335</v>
      </c>
      <c r="M321" s="76">
        <v>45236</v>
      </c>
      <c r="N321" s="76"/>
      <c r="O321" s="75" t="s">
        <v>7870</v>
      </c>
      <c r="P321" s="17"/>
      <c r="Q321" s="76">
        <v>29578</v>
      </c>
      <c r="R321" s="78">
        <v>45.81095890410959</v>
      </c>
      <c r="S321" s="79" t="s">
        <v>10075</v>
      </c>
      <c r="T321" s="75" t="s">
        <v>7298</v>
      </c>
      <c r="U321" s="75" t="s">
        <v>10076</v>
      </c>
      <c r="V321" s="83">
        <v>48730</v>
      </c>
      <c r="W321" s="75" t="s">
        <v>7300</v>
      </c>
      <c r="X321" s="75"/>
      <c r="Y321" s="75" t="s">
        <v>7319</v>
      </c>
      <c r="Z321" s="15" t="s">
        <v>10077</v>
      </c>
      <c r="AA321" s="75"/>
      <c r="AB321" s="12" t="s">
        <v>7293</v>
      </c>
      <c r="AC321" s="12"/>
      <c r="AD321" s="15" t="s">
        <v>10078</v>
      </c>
      <c r="AE321" s="75" t="s">
        <v>10078</v>
      </c>
      <c r="AF321" s="17"/>
      <c r="AG321" s="17"/>
      <c r="AH321" s="17"/>
      <c r="AI321" s="75" t="s">
        <v>7324</v>
      </c>
    </row>
    <row r="322" spans="1:35" x14ac:dyDescent="0.3">
      <c r="A322" s="34" t="s">
        <v>7286</v>
      </c>
      <c r="B322" s="72" t="s">
        <v>10079</v>
      </c>
      <c r="C322" s="17" t="s">
        <v>7150</v>
      </c>
      <c r="D322" s="81" t="s">
        <v>10080</v>
      </c>
      <c r="E322" s="94" t="s">
        <v>10081</v>
      </c>
      <c r="F322" s="75" t="s">
        <v>7329</v>
      </c>
      <c r="G322" s="75" t="s">
        <v>7330</v>
      </c>
      <c r="H322" s="75" t="s">
        <v>7405</v>
      </c>
      <c r="I322" s="75" t="s">
        <v>7406</v>
      </c>
      <c r="J322" s="75" t="s">
        <v>7407</v>
      </c>
      <c r="K322" s="11" t="s">
        <v>7408</v>
      </c>
      <c r="L322" s="77" t="s">
        <v>7409</v>
      </c>
      <c r="M322" s="76">
        <v>45243</v>
      </c>
      <c r="N322" s="76"/>
      <c r="O322" s="75" t="s">
        <v>7870</v>
      </c>
      <c r="P322" s="17"/>
      <c r="Q322" s="76">
        <v>32456</v>
      </c>
      <c r="R322" s="78">
        <v>37.926027397260277</v>
      </c>
      <c r="S322" s="79" t="s">
        <v>10082</v>
      </c>
      <c r="T322" s="75" t="s">
        <v>7298</v>
      </c>
      <c r="U322" s="75" t="s">
        <v>10083</v>
      </c>
      <c r="V322" s="83">
        <v>48741</v>
      </c>
      <c r="W322" s="75" t="s">
        <v>7300</v>
      </c>
      <c r="X322" s="75"/>
      <c r="Y322" s="75" t="s">
        <v>7319</v>
      </c>
      <c r="Z322" s="15" t="s">
        <v>10084</v>
      </c>
      <c r="AA322" s="15" t="s">
        <v>10085</v>
      </c>
      <c r="AB322" s="12" t="s">
        <v>7293</v>
      </c>
      <c r="AC322" s="12"/>
      <c r="AD322" s="15" t="s">
        <v>10086</v>
      </c>
      <c r="AE322" s="75" t="s">
        <v>10086</v>
      </c>
      <c r="AF322" s="17"/>
      <c r="AG322" s="17"/>
      <c r="AH322" s="17"/>
      <c r="AI322" s="75" t="s">
        <v>7324</v>
      </c>
    </row>
    <row r="323" spans="1:35" ht="57.6" x14ac:dyDescent="0.3">
      <c r="A323" s="34" t="s">
        <v>7286</v>
      </c>
      <c r="B323" s="72" t="s">
        <v>10087</v>
      </c>
      <c r="C323" s="17" t="s">
        <v>7343</v>
      </c>
      <c r="D323" s="81" t="s">
        <v>10088</v>
      </c>
      <c r="E323" s="94" t="s">
        <v>10089</v>
      </c>
      <c r="F323" s="75" t="s">
        <v>7293</v>
      </c>
      <c r="G323" s="75" t="s">
        <v>7293</v>
      </c>
      <c r="H323" s="75" t="s">
        <v>8964</v>
      </c>
      <c r="I323" s="75" t="s">
        <v>8965</v>
      </c>
      <c r="J323" s="75" t="s">
        <v>9168</v>
      </c>
      <c r="K323" s="11" t="s">
        <v>8967</v>
      </c>
      <c r="L323" s="77" t="s">
        <v>8968</v>
      </c>
      <c r="M323" s="76">
        <v>45243</v>
      </c>
      <c r="N323" s="76"/>
      <c r="O323" s="75" t="s">
        <v>7923</v>
      </c>
      <c r="P323" s="17"/>
      <c r="Q323" s="76">
        <v>33988</v>
      </c>
      <c r="R323" s="78">
        <v>33.728767123287675</v>
      </c>
      <c r="S323" s="79" t="s">
        <v>10090</v>
      </c>
      <c r="T323" s="75" t="s">
        <v>9221</v>
      </c>
      <c r="U323" s="75" t="s">
        <v>10091</v>
      </c>
      <c r="V323" s="83">
        <v>45987</v>
      </c>
      <c r="W323" s="75" t="s">
        <v>7300</v>
      </c>
      <c r="X323" s="75"/>
      <c r="Y323" s="75" t="s">
        <v>7319</v>
      </c>
      <c r="Z323" s="15" t="s">
        <v>10092</v>
      </c>
      <c r="AA323" s="75"/>
      <c r="AB323" s="12" t="s">
        <v>10093</v>
      </c>
      <c r="AC323" s="12"/>
      <c r="AD323" s="15" t="s">
        <v>10094</v>
      </c>
      <c r="AE323" s="75" t="s">
        <v>10094</v>
      </c>
      <c r="AF323" s="17"/>
      <c r="AG323" s="17"/>
      <c r="AH323" s="17"/>
      <c r="AI323" s="75" t="s">
        <v>7307</v>
      </c>
    </row>
    <row r="324" spans="1:35" x14ac:dyDescent="0.3">
      <c r="A324" s="34" t="s">
        <v>7286</v>
      </c>
      <c r="B324" s="72" t="s">
        <v>10095</v>
      </c>
      <c r="C324" s="17" t="s">
        <v>7367</v>
      </c>
      <c r="D324" s="81" t="s">
        <v>10096</v>
      </c>
      <c r="E324" s="94" t="s">
        <v>10097</v>
      </c>
      <c r="F324" s="75" t="s">
        <v>7293</v>
      </c>
      <c r="G324" s="75" t="s">
        <v>7293</v>
      </c>
      <c r="H324" s="75" t="s">
        <v>7293</v>
      </c>
      <c r="I324" s="75" t="s">
        <v>7293</v>
      </c>
      <c r="J324" s="75" t="s">
        <v>10098</v>
      </c>
      <c r="K324" s="11" t="s">
        <v>10099</v>
      </c>
      <c r="L324" s="77" t="s">
        <v>10100</v>
      </c>
      <c r="M324" s="76">
        <v>45243</v>
      </c>
      <c r="N324" s="76"/>
      <c r="O324" s="75" t="s">
        <v>7870</v>
      </c>
      <c r="P324" s="17"/>
      <c r="Q324" s="76">
        <v>34530</v>
      </c>
      <c r="R324" s="78">
        <v>32.243835616438353</v>
      </c>
      <c r="S324" s="79" t="s">
        <v>10101</v>
      </c>
      <c r="T324" s="75" t="s">
        <v>7298</v>
      </c>
      <c r="U324" s="75" t="s">
        <v>10102</v>
      </c>
      <c r="V324" s="83">
        <v>48075</v>
      </c>
      <c r="W324" s="75" t="s">
        <v>7300</v>
      </c>
      <c r="X324" s="75"/>
      <c r="Y324" s="75" t="s">
        <v>7302</v>
      </c>
      <c r="Z324" s="15" t="s">
        <v>10103</v>
      </c>
      <c r="AA324" s="75"/>
      <c r="AB324" s="16" t="s">
        <v>10104</v>
      </c>
      <c r="AC324" s="12"/>
      <c r="AD324" s="15" t="s">
        <v>10105</v>
      </c>
      <c r="AE324" s="75" t="s">
        <v>10105</v>
      </c>
      <c r="AF324" s="17"/>
      <c r="AG324" s="17"/>
      <c r="AH324" s="17"/>
      <c r="AI324" s="75" t="s">
        <v>7745</v>
      </c>
    </row>
    <row r="325" spans="1:35" ht="57.6" x14ac:dyDescent="0.3">
      <c r="A325" s="34" t="s">
        <v>7286</v>
      </c>
      <c r="B325" s="72" t="s">
        <v>10106</v>
      </c>
      <c r="C325" s="72" t="s">
        <v>7367</v>
      </c>
      <c r="D325" s="81" t="s">
        <v>10107</v>
      </c>
      <c r="E325" s="94" t="s">
        <v>10108</v>
      </c>
      <c r="F325" s="75" t="s">
        <v>7291</v>
      </c>
      <c r="G325" s="75" t="s">
        <v>7292</v>
      </c>
      <c r="H325" s="75" t="s">
        <v>7814</v>
      </c>
      <c r="I325" s="75" t="s">
        <v>7815</v>
      </c>
      <c r="J325" s="75" t="s">
        <v>8517</v>
      </c>
      <c r="K325" s="11" t="s">
        <v>6341</v>
      </c>
      <c r="L325" s="77" t="s">
        <v>7818</v>
      </c>
      <c r="M325" s="76">
        <v>45246</v>
      </c>
      <c r="N325" s="76"/>
      <c r="O325" s="75" t="s">
        <v>7892</v>
      </c>
      <c r="P325" s="17"/>
      <c r="Q325" s="76">
        <v>34028</v>
      </c>
      <c r="R325" s="78">
        <v>33.61917808219178</v>
      </c>
      <c r="S325" s="79" t="s">
        <v>10109</v>
      </c>
      <c r="T325" s="75" t="s">
        <v>7298</v>
      </c>
      <c r="U325" s="75" t="s">
        <v>10110</v>
      </c>
      <c r="V325" s="83">
        <v>48835</v>
      </c>
      <c r="W325" s="75" t="s">
        <v>7300</v>
      </c>
      <c r="X325" s="75"/>
      <c r="Y325" s="75" t="s">
        <v>7319</v>
      </c>
      <c r="Z325" s="15" t="s">
        <v>10111</v>
      </c>
      <c r="AA325" s="75"/>
      <c r="AB325" s="12" t="s">
        <v>10112</v>
      </c>
      <c r="AC325" s="12"/>
      <c r="AD325" s="15" t="s">
        <v>10113</v>
      </c>
      <c r="AE325" s="75" t="s">
        <v>10114</v>
      </c>
      <c r="AF325" s="17"/>
      <c r="AG325" s="17"/>
      <c r="AH325" s="17"/>
      <c r="AI325" s="75" t="s">
        <v>7307</v>
      </c>
    </row>
    <row r="326" spans="1:35" x14ac:dyDescent="0.3">
      <c r="A326" s="34" t="s">
        <v>7286</v>
      </c>
      <c r="B326" s="72" t="s">
        <v>10115</v>
      </c>
      <c r="C326" s="17" t="s">
        <v>7150</v>
      </c>
      <c r="D326" s="81" t="s">
        <v>10116</v>
      </c>
      <c r="E326" s="94" t="s">
        <v>10117</v>
      </c>
      <c r="F326" s="75" t="s">
        <v>7293</v>
      </c>
      <c r="G326" s="75" t="s">
        <v>7293</v>
      </c>
      <c r="H326" s="75" t="s">
        <v>7311</v>
      </c>
      <c r="I326" s="75" t="s">
        <v>7312</v>
      </c>
      <c r="J326" s="75" t="s">
        <v>7433</v>
      </c>
      <c r="K326" s="11" t="s">
        <v>7434</v>
      </c>
      <c r="L326" s="77" t="s">
        <v>7315</v>
      </c>
      <c r="M326" s="76">
        <v>45253</v>
      </c>
      <c r="N326" s="76"/>
      <c r="O326" s="75" t="s">
        <v>7870</v>
      </c>
      <c r="P326" s="17" t="s">
        <v>8413</v>
      </c>
      <c r="Q326" s="76">
        <v>30591</v>
      </c>
      <c r="R326" s="78">
        <v>43.035616438356165</v>
      </c>
      <c r="S326" s="79" t="s">
        <v>10118</v>
      </c>
      <c r="T326" s="75" t="s">
        <v>7298</v>
      </c>
      <c r="U326" s="75" t="s">
        <v>10119</v>
      </c>
      <c r="V326" s="83">
        <v>47066</v>
      </c>
      <c r="W326" s="75" t="s">
        <v>7300</v>
      </c>
      <c r="X326" s="75"/>
      <c r="Y326" s="75" t="s">
        <v>7319</v>
      </c>
      <c r="Z326" s="15" t="s">
        <v>10120</v>
      </c>
      <c r="AA326" s="75"/>
      <c r="AB326" s="12" t="s">
        <v>7293</v>
      </c>
      <c r="AC326" s="12"/>
      <c r="AD326" s="15" t="s">
        <v>10121</v>
      </c>
      <c r="AE326" s="75" t="s">
        <v>10121</v>
      </c>
      <c r="AF326" s="17"/>
      <c r="AG326" s="17"/>
      <c r="AH326" s="17"/>
      <c r="AI326" s="75" t="s">
        <v>8413</v>
      </c>
    </row>
    <row r="327" spans="1:35" ht="57.6" x14ac:dyDescent="0.3">
      <c r="A327" s="34" t="s">
        <v>7286</v>
      </c>
      <c r="B327" s="72" t="s">
        <v>10122</v>
      </c>
      <c r="C327" s="17" t="s">
        <v>7367</v>
      </c>
      <c r="D327" s="81" t="s">
        <v>10123</v>
      </c>
      <c r="E327" s="94" t="s">
        <v>10124</v>
      </c>
      <c r="F327" s="75" t="s">
        <v>7329</v>
      </c>
      <c r="G327" s="75" t="s">
        <v>7330</v>
      </c>
      <c r="H327" s="75" t="s">
        <v>7630</v>
      </c>
      <c r="I327" s="75" t="s">
        <v>7631</v>
      </c>
      <c r="J327" s="75" t="s">
        <v>7575</v>
      </c>
      <c r="K327" s="11" t="s">
        <v>6408</v>
      </c>
      <c r="L327" s="77" t="s">
        <v>7632</v>
      </c>
      <c r="M327" s="76">
        <v>45257</v>
      </c>
      <c r="N327" s="76"/>
      <c r="O327" s="75" t="s">
        <v>7870</v>
      </c>
      <c r="P327" s="17"/>
      <c r="Q327" s="76">
        <v>30032</v>
      </c>
      <c r="R327" s="78">
        <v>44.56712328767123</v>
      </c>
      <c r="S327" s="79" t="s">
        <v>10125</v>
      </c>
      <c r="T327" s="75" t="s">
        <v>7298</v>
      </c>
      <c r="U327" s="75" t="s">
        <v>10126</v>
      </c>
      <c r="V327" s="83">
        <v>47884</v>
      </c>
      <c r="W327" s="75" t="s">
        <v>7300</v>
      </c>
      <c r="X327" s="75"/>
      <c r="Y327" s="75" t="s">
        <v>7319</v>
      </c>
      <c r="Z327" s="15" t="s">
        <v>10127</v>
      </c>
      <c r="AA327" s="75"/>
      <c r="AB327" s="12" t="s">
        <v>10128</v>
      </c>
      <c r="AC327" s="12"/>
      <c r="AD327" s="15" t="s">
        <v>10129</v>
      </c>
      <c r="AE327" s="75" t="s">
        <v>10129</v>
      </c>
      <c r="AF327" s="17"/>
      <c r="AG327" s="17"/>
      <c r="AH327" s="17"/>
      <c r="AI327" s="75" t="s">
        <v>7324</v>
      </c>
    </row>
    <row r="328" spans="1:35" ht="57.6" x14ac:dyDescent="0.3">
      <c r="A328" s="34" t="s">
        <v>7286</v>
      </c>
      <c r="B328" s="72" t="s">
        <v>10130</v>
      </c>
      <c r="C328" s="17" t="s">
        <v>7343</v>
      </c>
      <c r="D328" s="81" t="s">
        <v>10131</v>
      </c>
      <c r="E328" s="94" t="s">
        <v>10132</v>
      </c>
      <c r="F328" s="75" t="s">
        <v>7293</v>
      </c>
      <c r="G328" s="75" t="s">
        <v>7293</v>
      </c>
      <c r="H328" s="75" t="s">
        <v>8997</v>
      </c>
      <c r="I328" s="75" t="s">
        <v>8998</v>
      </c>
      <c r="J328" s="75" t="s">
        <v>10133</v>
      </c>
      <c r="K328" s="11" t="s">
        <v>10134</v>
      </c>
      <c r="L328" s="77" t="s">
        <v>10001</v>
      </c>
      <c r="M328" s="76">
        <v>45261</v>
      </c>
      <c r="N328" s="76"/>
      <c r="O328" s="75" t="s">
        <v>7923</v>
      </c>
      <c r="P328" s="17"/>
      <c r="Q328" s="76">
        <v>32995</v>
      </c>
      <c r="R328" s="78">
        <v>36.449315068493149</v>
      </c>
      <c r="S328" s="79" t="s">
        <v>10135</v>
      </c>
      <c r="T328" s="75" t="s">
        <v>7298</v>
      </c>
      <c r="U328" s="94" t="s">
        <v>10136</v>
      </c>
      <c r="V328" s="83">
        <v>45779</v>
      </c>
      <c r="W328" s="75" t="s">
        <v>7300</v>
      </c>
      <c r="X328" s="75"/>
      <c r="Y328" s="75" t="s">
        <v>7319</v>
      </c>
      <c r="Z328" s="15" t="s">
        <v>10137</v>
      </c>
      <c r="AA328" s="75"/>
      <c r="AB328" s="12" t="s">
        <v>10138</v>
      </c>
      <c r="AC328" s="12"/>
      <c r="AD328" s="15" t="s">
        <v>10139</v>
      </c>
      <c r="AE328" s="75" t="s">
        <v>10140</v>
      </c>
      <c r="AF328" s="17"/>
      <c r="AG328" s="17"/>
      <c r="AH328" s="17"/>
      <c r="AI328" s="75" t="s">
        <v>7307</v>
      </c>
    </row>
    <row r="329" spans="1:35" ht="57.6" x14ac:dyDescent="0.3">
      <c r="A329" s="34" t="s">
        <v>7286</v>
      </c>
      <c r="B329" s="72" t="s">
        <v>10141</v>
      </c>
      <c r="C329" s="17" t="s">
        <v>7367</v>
      </c>
      <c r="D329" s="81" t="s">
        <v>10142</v>
      </c>
      <c r="E329" s="94" t="s">
        <v>10143</v>
      </c>
      <c r="F329" s="75" t="s">
        <v>7370</v>
      </c>
      <c r="G329" s="75" t="s">
        <v>7371</v>
      </c>
      <c r="H329" s="75" t="s">
        <v>7767</v>
      </c>
      <c r="I329" s="75" t="s">
        <v>7768</v>
      </c>
      <c r="J329" s="75" t="s">
        <v>10144</v>
      </c>
      <c r="K329" s="11" t="s">
        <v>10145</v>
      </c>
      <c r="L329" s="77" t="s">
        <v>7771</v>
      </c>
      <c r="M329" s="76">
        <v>45261</v>
      </c>
      <c r="N329" s="76"/>
      <c r="O329" s="75" t="s">
        <v>8747</v>
      </c>
      <c r="P329" s="17"/>
      <c r="Q329" s="76">
        <v>37505</v>
      </c>
      <c r="R329" s="78">
        <v>24.093150684931508</v>
      </c>
      <c r="S329" s="79" t="s">
        <v>10146</v>
      </c>
      <c r="T329" s="75" t="s">
        <v>7298</v>
      </c>
      <c r="U329" s="75" t="s">
        <v>10147</v>
      </c>
      <c r="V329" s="83">
        <v>48246</v>
      </c>
      <c r="W329" s="75" t="s">
        <v>7300</v>
      </c>
      <c r="X329" s="75"/>
      <c r="Y329" s="75" t="s">
        <v>7302</v>
      </c>
      <c r="Z329" s="15" t="s">
        <v>10148</v>
      </c>
      <c r="AA329" s="75"/>
      <c r="AB329" s="12" t="s">
        <v>10149</v>
      </c>
      <c r="AC329" s="12"/>
      <c r="AD329" s="15" t="s">
        <v>10150</v>
      </c>
      <c r="AE329" s="75" t="s">
        <v>10151</v>
      </c>
      <c r="AF329" s="17"/>
      <c r="AG329" s="17"/>
      <c r="AH329" s="83"/>
      <c r="AI329" s="75" t="s">
        <v>7745</v>
      </c>
    </row>
    <row r="330" spans="1:35" ht="43.2" x14ac:dyDescent="0.3">
      <c r="A330" s="34" t="s">
        <v>7286</v>
      </c>
      <c r="B330" s="72" t="s">
        <v>10152</v>
      </c>
      <c r="C330" s="17" t="s">
        <v>7367</v>
      </c>
      <c r="D330" s="81" t="s">
        <v>10153</v>
      </c>
      <c r="E330" s="94" t="s">
        <v>10154</v>
      </c>
      <c r="F330" s="75" t="s">
        <v>7293</v>
      </c>
      <c r="G330" s="75" t="s">
        <v>7293</v>
      </c>
      <c r="H330" s="75" t="s">
        <v>8964</v>
      </c>
      <c r="I330" s="75" t="s">
        <v>8965</v>
      </c>
      <c r="J330" s="75" t="s">
        <v>8517</v>
      </c>
      <c r="K330" s="11" t="s">
        <v>6341</v>
      </c>
      <c r="L330" s="77" t="s">
        <v>7950</v>
      </c>
      <c r="M330" s="76">
        <v>45264</v>
      </c>
      <c r="N330" s="76"/>
      <c r="O330" s="75" t="s">
        <v>8747</v>
      </c>
      <c r="P330" s="17"/>
      <c r="Q330" s="76">
        <v>36436</v>
      </c>
      <c r="R330" s="78">
        <v>27.021917808219179</v>
      </c>
      <c r="S330" s="79" t="s">
        <v>10155</v>
      </c>
      <c r="T330" s="75" t="s">
        <v>7298</v>
      </c>
      <c r="U330" s="75" t="s">
        <v>10156</v>
      </c>
      <c r="V330" s="83">
        <v>47926</v>
      </c>
      <c r="W330" s="75" t="s">
        <v>7300</v>
      </c>
      <c r="X330" s="75"/>
      <c r="Y330" s="75" t="s">
        <v>7302</v>
      </c>
      <c r="Z330" s="15" t="s">
        <v>10157</v>
      </c>
      <c r="AA330" s="75"/>
      <c r="AB330" s="12" t="s">
        <v>10158</v>
      </c>
      <c r="AC330" s="12"/>
      <c r="AD330" s="15" t="s">
        <v>10159</v>
      </c>
      <c r="AE330" s="75" t="s">
        <v>10159</v>
      </c>
      <c r="AF330" s="17"/>
      <c r="AG330" s="17"/>
      <c r="AH330" s="17"/>
      <c r="AI330" s="75" t="s">
        <v>7307</v>
      </c>
    </row>
    <row r="331" spans="1:35" ht="57.6" x14ac:dyDescent="0.3">
      <c r="A331" s="34" t="s">
        <v>7286</v>
      </c>
      <c r="B331" s="72" t="s">
        <v>10160</v>
      </c>
      <c r="C331" s="17" t="s">
        <v>7367</v>
      </c>
      <c r="D331" s="81" t="s">
        <v>10161</v>
      </c>
      <c r="E331" s="94" t="s">
        <v>10162</v>
      </c>
      <c r="F331" s="75" t="s">
        <v>7674</v>
      </c>
      <c r="G331" s="75" t="s">
        <v>7675</v>
      </c>
      <c r="H331" s="75" t="s">
        <v>7676</v>
      </c>
      <c r="I331" s="75" t="s">
        <v>7677</v>
      </c>
      <c r="J331" s="75" t="s">
        <v>8517</v>
      </c>
      <c r="K331" s="11" t="s">
        <v>6341</v>
      </c>
      <c r="L331" s="77" t="s">
        <v>7673</v>
      </c>
      <c r="M331" s="76">
        <v>45264</v>
      </c>
      <c r="N331" s="76"/>
      <c r="O331" s="75" t="s">
        <v>7870</v>
      </c>
      <c r="P331" s="17"/>
      <c r="Q331" s="76">
        <v>32764</v>
      </c>
      <c r="R331" s="78">
        <v>37.082191780821915</v>
      </c>
      <c r="S331" s="79" t="s">
        <v>10163</v>
      </c>
      <c r="T331" s="75" t="s">
        <v>7298</v>
      </c>
      <c r="U331" s="94" t="s">
        <v>10164</v>
      </c>
      <c r="V331" s="83">
        <v>49234</v>
      </c>
      <c r="W331" s="75" t="s">
        <v>7300</v>
      </c>
      <c r="X331" s="75"/>
      <c r="Y331" s="75" t="s">
        <v>7302</v>
      </c>
      <c r="Z331" s="15" t="s">
        <v>10165</v>
      </c>
      <c r="AA331" s="75"/>
      <c r="AB331" s="12" t="s">
        <v>10166</v>
      </c>
      <c r="AC331" s="12"/>
      <c r="AD331" s="15" t="s">
        <v>10167</v>
      </c>
      <c r="AE331" s="75" t="s">
        <v>10167</v>
      </c>
      <c r="AF331" s="17"/>
      <c r="AG331" s="17"/>
      <c r="AH331" s="83"/>
      <c r="AI331" s="75" t="s">
        <v>7307</v>
      </c>
    </row>
    <row r="332" spans="1:35" ht="57.6" x14ac:dyDescent="0.3">
      <c r="A332" s="34" t="s">
        <v>7286</v>
      </c>
      <c r="B332" s="72" t="s">
        <v>10168</v>
      </c>
      <c r="C332" s="17" t="s">
        <v>7343</v>
      </c>
      <c r="D332" s="81" t="s">
        <v>10169</v>
      </c>
      <c r="E332" s="94" t="s">
        <v>191</v>
      </c>
      <c r="F332" s="75" t="s">
        <v>7293</v>
      </c>
      <c r="G332" s="75" t="s">
        <v>7293</v>
      </c>
      <c r="H332" s="11" t="s">
        <v>10170</v>
      </c>
      <c r="I332" s="75" t="s">
        <v>10171</v>
      </c>
      <c r="J332" s="75" t="s">
        <v>7349</v>
      </c>
      <c r="K332" s="11" t="s">
        <v>6335</v>
      </c>
      <c r="L332" s="77" t="s">
        <v>7295</v>
      </c>
      <c r="M332" s="76">
        <v>45278</v>
      </c>
      <c r="N332" s="76"/>
      <c r="O332" s="75" t="s">
        <v>7923</v>
      </c>
      <c r="P332" s="17"/>
      <c r="Q332" s="76">
        <v>34429</v>
      </c>
      <c r="R332" s="78">
        <v>32.520547945205479</v>
      </c>
      <c r="S332" s="79" t="s">
        <v>10172</v>
      </c>
      <c r="T332" s="75" t="s">
        <v>7298</v>
      </c>
      <c r="U332" s="75" t="s">
        <v>10173</v>
      </c>
      <c r="V332" s="83">
        <v>47227</v>
      </c>
      <c r="W332" s="75" t="s">
        <v>7300</v>
      </c>
      <c r="X332" s="75"/>
      <c r="Y332" s="75" t="s">
        <v>7319</v>
      </c>
      <c r="Z332" s="15" t="s">
        <v>10174</v>
      </c>
      <c r="AA332" s="75"/>
      <c r="AB332" s="12" t="s">
        <v>10175</v>
      </c>
      <c r="AC332" s="12"/>
      <c r="AD332" s="15" t="s">
        <v>10176</v>
      </c>
      <c r="AE332" s="75" t="s">
        <v>10177</v>
      </c>
      <c r="AF332" s="17"/>
      <c r="AG332" s="17"/>
      <c r="AH332" s="17"/>
      <c r="AI332" s="75" t="s">
        <v>7307</v>
      </c>
    </row>
    <row r="333" spans="1:35" ht="57.6" x14ac:dyDescent="0.3">
      <c r="A333" s="34" t="s">
        <v>7286</v>
      </c>
      <c r="B333" s="72" t="s">
        <v>10178</v>
      </c>
      <c r="C333" s="17" t="s">
        <v>7367</v>
      </c>
      <c r="D333" s="81" t="s">
        <v>10179</v>
      </c>
      <c r="E333" s="94" t="s">
        <v>10180</v>
      </c>
      <c r="F333" s="75" t="s">
        <v>7370</v>
      </c>
      <c r="G333" s="75" t="s">
        <v>7371</v>
      </c>
      <c r="H333" s="75" t="s">
        <v>7767</v>
      </c>
      <c r="I333" s="75" t="s">
        <v>7768</v>
      </c>
      <c r="J333" s="75" t="s">
        <v>10144</v>
      </c>
      <c r="K333" s="11" t="s">
        <v>10145</v>
      </c>
      <c r="L333" s="77" t="s">
        <v>7771</v>
      </c>
      <c r="M333" s="76">
        <v>45298</v>
      </c>
      <c r="N333" s="76"/>
      <c r="O333" s="75" t="s">
        <v>8747</v>
      </c>
      <c r="P333" s="17"/>
      <c r="Q333" s="76">
        <v>38017</v>
      </c>
      <c r="R333" s="78">
        <v>22.69041095890411</v>
      </c>
      <c r="S333" s="79" t="s">
        <v>10181</v>
      </c>
      <c r="T333" s="75" t="s">
        <v>7298</v>
      </c>
      <c r="U333" s="75" t="s">
        <v>10182</v>
      </c>
      <c r="V333" s="83">
        <v>47468</v>
      </c>
      <c r="W333" s="75" t="s">
        <v>7300</v>
      </c>
      <c r="X333" s="75"/>
      <c r="Y333" s="75" t="s">
        <v>7302</v>
      </c>
      <c r="Z333" s="15" t="s">
        <v>10183</v>
      </c>
      <c r="AA333" s="75"/>
      <c r="AB333" s="12" t="s">
        <v>10184</v>
      </c>
      <c r="AC333" s="12"/>
      <c r="AD333" s="15" t="s">
        <v>10185</v>
      </c>
      <c r="AE333" s="75" t="s">
        <v>10186</v>
      </c>
      <c r="AF333" s="17"/>
      <c r="AG333" s="17"/>
      <c r="AH333" s="17"/>
      <c r="AI333" s="75" t="s">
        <v>7745</v>
      </c>
    </row>
    <row r="334" spans="1:35" ht="57.6" x14ac:dyDescent="0.3">
      <c r="A334" s="34" t="s">
        <v>7286</v>
      </c>
      <c r="B334" s="72" t="s">
        <v>10187</v>
      </c>
      <c r="C334" s="17" t="s">
        <v>7343</v>
      </c>
      <c r="D334" s="81" t="s">
        <v>10188</v>
      </c>
      <c r="E334" s="94" t="s">
        <v>10189</v>
      </c>
      <c r="F334" s="75" t="s">
        <v>10190</v>
      </c>
      <c r="G334" s="75" t="s">
        <v>6421</v>
      </c>
      <c r="H334" s="75" t="s">
        <v>7293</v>
      </c>
      <c r="I334" s="75" t="s">
        <v>7293</v>
      </c>
      <c r="J334" s="75" t="s">
        <v>10191</v>
      </c>
      <c r="K334" s="11" t="s">
        <v>10192</v>
      </c>
      <c r="L334" s="77" t="s">
        <v>10193</v>
      </c>
      <c r="M334" s="76">
        <v>45299</v>
      </c>
      <c r="N334" s="76"/>
      <c r="O334" s="75" t="s">
        <v>7923</v>
      </c>
      <c r="P334" s="17"/>
      <c r="Q334" s="76">
        <v>33021</v>
      </c>
      <c r="R334" s="78">
        <v>36.37808219178082</v>
      </c>
      <c r="S334" s="79" t="s">
        <v>10194</v>
      </c>
      <c r="T334" s="75" t="s">
        <v>7298</v>
      </c>
      <c r="U334" s="75" t="s">
        <v>10195</v>
      </c>
      <c r="V334" s="83">
        <v>47237</v>
      </c>
      <c r="W334" s="75" t="s">
        <v>7300</v>
      </c>
      <c r="X334" s="75"/>
      <c r="Y334" s="75" t="s">
        <v>7302</v>
      </c>
      <c r="Z334" s="15" t="s">
        <v>10196</v>
      </c>
      <c r="AA334" s="75"/>
      <c r="AB334" s="12" t="s">
        <v>10197</v>
      </c>
      <c r="AC334" s="12"/>
      <c r="AD334" s="15" t="s">
        <v>10198</v>
      </c>
      <c r="AE334" s="75" t="s">
        <v>10199</v>
      </c>
      <c r="AF334" s="17"/>
      <c r="AG334" s="17"/>
      <c r="AH334" s="17"/>
      <c r="AI334" s="75" t="s">
        <v>7307</v>
      </c>
    </row>
    <row r="335" spans="1:35" x14ac:dyDescent="0.3">
      <c r="A335" s="34" t="s">
        <v>7286</v>
      </c>
      <c r="B335" s="72" t="s">
        <v>10200</v>
      </c>
      <c r="C335" s="17" t="s">
        <v>7150</v>
      </c>
      <c r="D335" s="81" t="s">
        <v>10201</v>
      </c>
      <c r="E335" s="94" t="s">
        <v>10202</v>
      </c>
      <c r="F335" s="75" t="s">
        <v>7293</v>
      </c>
      <c r="G335" s="75" t="s">
        <v>7293</v>
      </c>
      <c r="H335" s="75" t="s">
        <v>7311</v>
      </c>
      <c r="I335" s="75" t="s">
        <v>7312</v>
      </c>
      <c r="J335" s="75" t="s">
        <v>7313</v>
      </c>
      <c r="K335" s="11" t="s">
        <v>7314</v>
      </c>
      <c r="L335" s="77" t="s">
        <v>7315</v>
      </c>
      <c r="M335" s="76">
        <v>45309</v>
      </c>
      <c r="N335" s="76"/>
      <c r="O335" s="75" t="s">
        <v>7870</v>
      </c>
      <c r="P335" s="17" t="s">
        <v>7316</v>
      </c>
      <c r="Q335" s="76">
        <v>36748</v>
      </c>
      <c r="R335" s="78">
        <v>26.167123287671235</v>
      </c>
      <c r="S335" s="79" t="s">
        <v>10203</v>
      </c>
      <c r="T335" s="75" t="s">
        <v>7298</v>
      </c>
      <c r="U335" s="75" t="s">
        <v>10204</v>
      </c>
      <c r="V335" s="83">
        <v>45879</v>
      </c>
      <c r="W335" s="75" t="s">
        <v>7300</v>
      </c>
      <c r="X335" s="75"/>
      <c r="Y335" s="75" t="s">
        <v>7319</v>
      </c>
      <c r="Z335" s="15" t="s">
        <v>10205</v>
      </c>
      <c r="AA335" s="75"/>
      <c r="AB335" s="12" t="s">
        <v>7293</v>
      </c>
      <c r="AC335" s="12"/>
      <c r="AD335" s="15" t="s">
        <v>10206</v>
      </c>
      <c r="AE335" s="75" t="s">
        <v>10206</v>
      </c>
      <c r="AF335" s="17"/>
      <c r="AG335" s="17"/>
      <c r="AH335" s="17"/>
      <c r="AI335" s="75" t="s">
        <v>7324</v>
      </c>
    </row>
    <row r="336" spans="1:35" x14ac:dyDescent="0.3">
      <c r="A336" s="34" t="s">
        <v>7286</v>
      </c>
      <c r="B336" s="72" t="s">
        <v>10207</v>
      </c>
      <c r="C336" s="17" t="s">
        <v>7367</v>
      </c>
      <c r="D336" s="81" t="s">
        <v>10208</v>
      </c>
      <c r="E336" s="94" t="s">
        <v>10209</v>
      </c>
      <c r="F336" s="75" t="s">
        <v>7329</v>
      </c>
      <c r="G336" s="75" t="s">
        <v>7330</v>
      </c>
      <c r="H336" s="75" t="s">
        <v>7630</v>
      </c>
      <c r="I336" s="75" t="s">
        <v>7631</v>
      </c>
      <c r="J336" s="75" t="s">
        <v>8517</v>
      </c>
      <c r="K336" s="11" t="s">
        <v>6341</v>
      </c>
      <c r="L336" s="77" t="s">
        <v>7632</v>
      </c>
      <c r="M336" s="76">
        <v>45309</v>
      </c>
      <c r="N336" s="76"/>
      <c r="O336" s="75" t="s">
        <v>7870</v>
      </c>
      <c r="P336" s="17"/>
      <c r="Q336" s="76">
        <v>35825</v>
      </c>
      <c r="R336" s="78">
        <v>28.695890410958903</v>
      </c>
      <c r="S336" s="79" t="s">
        <v>10210</v>
      </c>
      <c r="T336" s="75" t="s">
        <v>7298</v>
      </c>
      <c r="U336" s="75" t="s">
        <v>10211</v>
      </c>
      <c r="V336" s="83">
        <v>47308</v>
      </c>
      <c r="W336" s="75" t="s">
        <v>7300</v>
      </c>
      <c r="X336" s="75"/>
      <c r="Y336" s="75" t="s">
        <v>7319</v>
      </c>
      <c r="Z336" s="15" t="s">
        <v>10212</v>
      </c>
      <c r="AA336" s="75"/>
      <c r="AB336" s="16" t="s">
        <v>10213</v>
      </c>
      <c r="AC336" s="12"/>
      <c r="AD336" s="15" t="s">
        <v>10214</v>
      </c>
      <c r="AE336" s="75" t="s">
        <v>10215</v>
      </c>
      <c r="AF336" s="17"/>
      <c r="AG336" s="17"/>
      <c r="AH336" s="17"/>
      <c r="AI336" s="75" t="s">
        <v>7324</v>
      </c>
    </row>
    <row r="337" spans="1:35" ht="43.2" x14ac:dyDescent="0.3">
      <c r="A337" s="34" t="s">
        <v>7286</v>
      </c>
      <c r="B337" s="72" t="s">
        <v>10216</v>
      </c>
      <c r="C337" s="17" t="s">
        <v>8994</v>
      </c>
      <c r="D337" s="81" t="s">
        <v>10217</v>
      </c>
      <c r="E337" s="94" t="s">
        <v>10218</v>
      </c>
      <c r="F337" s="75" t="s">
        <v>7293</v>
      </c>
      <c r="G337" s="75" t="s">
        <v>7293</v>
      </c>
      <c r="H337" s="75" t="s">
        <v>8964</v>
      </c>
      <c r="I337" s="75" t="s">
        <v>8965</v>
      </c>
      <c r="J337" s="75" t="s">
        <v>10219</v>
      </c>
      <c r="K337" s="11" t="s">
        <v>10220</v>
      </c>
      <c r="L337" s="77" t="s">
        <v>10221</v>
      </c>
      <c r="M337" s="76">
        <v>45313</v>
      </c>
      <c r="N337" s="76"/>
      <c r="O337" s="75" t="s">
        <v>7923</v>
      </c>
      <c r="P337" s="17"/>
      <c r="Q337" s="76">
        <v>37446</v>
      </c>
      <c r="R337" s="78">
        <v>24.254794520547946</v>
      </c>
      <c r="S337" s="79" t="s">
        <v>10222</v>
      </c>
      <c r="T337" s="75" t="s">
        <v>7298</v>
      </c>
      <c r="U337" s="75" t="s">
        <v>10223</v>
      </c>
      <c r="V337" s="83">
        <v>47026</v>
      </c>
      <c r="W337" s="75" t="s">
        <v>7300</v>
      </c>
      <c r="X337" s="75"/>
      <c r="Y337" s="75" t="s">
        <v>7319</v>
      </c>
      <c r="Z337" s="15" t="s">
        <v>10224</v>
      </c>
      <c r="AA337" s="75"/>
      <c r="AB337" s="16" t="s">
        <v>10225</v>
      </c>
      <c r="AC337" s="12" t="s">
        <v>10226</v>
      </c>
      <c r="AD337" s="15" t="s">
        <v>10227</v>
      </c>
      <c r="AE337" s="75" t="s">
        <v>10227</v>
      </c>
      <c r="AF337" s="17"/>
      <c r="AG337" s="17"/>
      <c r="AH337" s="17"/>
      <c r="AI337" s="75" t="s">
        <v>10228</v>
      </c>
    </row>
    <row r="338" spans="1:35" ht="43.2" x14ac:dyDescent="0.3">
      <c r="A338" s="34" t="s">
        <v>7286</v>
      </c>
      <c r="B338" s="72" t="s">
        <v>10229</v>
      </c>
      <c r="C338" s="17" t="s">
        <v>7367</v>
      </c>
      <c r="D338" s="81" t="s">
        <v>10230</v>
      </c>
      <c r="E338" s="94" t="s">
        <v>10231</v>
      </c>
      <c r="F338" s="75" t="s">
        <v>7291</v>
      </c>
      <c r="G338" s="75" t="s">
        <v>7292</v>
      </c>
      <c r="H338" s="75" t="s">
        <v>7908</v>
      </c>
      <c r="I338" s="75" t="s">
        <v>7909</v>
      </c>
      <c r="J338" s="75" t="s">
        <v>8517</v>
      </c>
      <c r="K338" s="11" t="s">
        <v>6341</v>
      </c>
      <c r="L338" s="77" t="s">
        <v>7907</v>
      </c>
      <c r="M338" s="76">
        <v>45314</v>
      </c>
      <c r="N338" s="76"/>
      <c r="O338" s="75" t="s">
        <v>7892</v>
      </c>
      <c r="P338" s="17"/>
      <c r="Q338" s="76">
        <v>38834</v>
      </c>
      <c r="R338" s="78">
        <v>20.452054794520549</v>
      </c>
      <c r="S338" s="79" t="s">
        <v>10232</v>
      </c>
      <c r="T338" s="75" t="s">
        <v>7298</v>
      </c>
      <c r="U338" s="75" t="s">
        <v>10233</v>
      </c>
      <c r="V338" s="83">
        <v>48867</v>
      </c>
      <c r="W338" s="75" t="s">
        <v>7300</v>
      </c>
      <c r="X338" s="75"/>
      <c r="Y338" s="75" t="s">
        <v>7302</v>
      </c>
      <c r="Z338" s="15" t="s">
        <v>10234</v>
      </c>
      <c r="AA338" s="75"/>
      <c r="AB338" s="12" t="s">
        <v>10235</v>
      </c>
      <c r="AC338" s="12" t="s">
        <v>10236</v>
      </c>
      <c r="AD338" s="15" t="s">
        <v>10237</v>
      </c>
      <c r="AE338" s="75" t="s">
        <v>10237</v>
      </c>
      <c r="AF338" s="17"/>
      <c r="AG338" s="17"/>
      <c r="AH338" s="17"/>
      <c r="AI338" s="75" t="s">
        <v>7307</v>
      </c>
    </row>
    <row r="339" spans="1:35" ht="43.2" x14ac:dyDescent="0.3">
      <c r="A339" s="34" t="s">
        <v>7286</v>
      </c>
      <c r="B339" s="72" t="s">
        <v>10238</v>
      </c>
      <c r="C339" s="17" t="s">
        <v>7150</v>
      </c>
      <c r="D339" s="81" t="s">
        <v>10239</v>
      </c>
      <c r="E339" s="94" t="s">
        <v>1602</v>
      </c>
      <c r="F339" s="75" t="s">
        <v>7293</v>
      </c>
      <c r="G339" s="75" t="s">
        <v>7293</v>
      </c>
      <c r="H339" s="75" t="s">
        <v>7311</v>
      </c>
      <c r="I339" s="75" t="s">
        <v>7312</v>
      </c>
      <c r="J339" s="75" t="s">
        <v>7433</v>
      </c>
      <c r="K339" s="11" t="s">
        <v>7434</v>
      </c>
      <c r="L339" s="77" t="s">
        <v>7315</v>
      </c>
      <c r="M339" s="76">
        <v>45316</v>
      </c>
      <c r="N339" s="76"/>
      <c r="O339" s="75" t="s">
        <v>7870</v>
      </c>
      <c r="P339" s="17" t="s">
        <v>8361</v>
      </c>
      <c r="Q339" s="76">
        <v>37707</v>
      </c>
      <c r="R339" s="78">
        <v>23.539726027397261</v>
      </c>
      <c r="S339" s="79" t="s">
        <v>10240</v>
      </c>
      <c r="T339" s="75" t="s">
        <v>7298</v>
      </c>
      <c r="U339" s="75" t="s">
        <v>10241</v>
      </c>
      <c r="V339" s="83">
        <v>47225</v>
      </c>
      <c r="W339" s="75" t="s">
        <v>7300</v>
      </c>
      <c r="X339" s="75"/>
      <c r="Y339" s="75" t="s">
        <v>7319</v>
      </c>
      <c r="Z339" s="15" t="s">
        <v>10242</v>
      </c>
      <c r="AA339" s="75"/>
      <c r="AB339" s="12" t="s">
        <v>7293</v>
      </c>
      <c r="AC339" s="12" t="s">
        <v>10243</v>
      </c>
      <c r="AD339" s="15" t="s">
        <v>10244</v>
      </c>
      <c r="AE339" s="75" t="s">
        <v>10245</v>
      </c>
      <c r="AF339" s="17"/>
      <c r="AG339" s="17"/>
      <c r="AH339" s="17"/>
      <c r="AI339" s="11" t="s">
        <v>8361</v>
      </c>
    </row>
    <row r="340" spans="1:35" x14ac:dyDescent="0.3">
      <c r="A340" s="34" t="s">
        <v>7286</v>
      </c>
      <c r="B340" s="72" t="s">
        <v>10246</v>
      </c>
      <c r="C340" s="17" t="s">
        <v>7150</v>
      </c>
      <c r="D340" s="81" t="s">
        <v>10247</v>
      </c>
      <c r="E340" s="94" t="s">
        <v>1509</v>
      </c>
      <c r="F340" s="75" t="s">
        <v>7293</v>
      </c>
      <c r="G340" s="75" t="s">
        <v>7293</v>
      </c>
      <c r="H340" s="75" t="s">
        <v>7311</v>
      </c>
      <c r="I340" s="75" t="s">
        <v>7312</v>
      </c>
      <c r="J340" s="75" t="s">
        <v>7313</v>
      </c>
      <c r="K340" s="11" t="s">
        <v>7314</v>
      </c>
      <c r="L340" s="77" t="s">
        <v>7315</v>
      </c>
      <c r="M340" s="76">
        <v>45316</v>
      </c>
      <c r="N340" s="76"/>
      <c r="O340" s="75" t="s">
        <v>8747</v>
      </c>
      <c r="P340" s="17" t="s">
        <v>7670</v>
      </c>
      <c r="Q340" s="76">
        <v>35220</v>
      </c>
      <c r="R340" s="78">
        <v>30.353424657534248</v>
      </c>
      <c r="S340" s="79" t="s">
        <v>10248</v>
      </c>
      <c r="T340" s="75" t="s">
        <v>7298</v>
      </c>
      <c r="U340" s="75" t="s">
        <v>10249</v>
      </c>
      <c r="V340" s="83">
        <v>47327</v>
      </c>
      <c r="W340" s="75" t="s">
        <v>7300</v>
      </c>
      <c r="X340" s="75"/>
      <c r="Y340" s="75" t="s">
        <v>7319</v>
      </c>
      <c r="Z340" s="15" t="s">
        <v>10250</v>
      </c>
      <c r="AA340" s="75"/>
      <c r="AB340" s="12" t="s">
        <v>7293</v>
      </c>
      <c r="AC340" s="12"/>
      <c r="AD340" s="15" t="s">
        <v>10251</v>
      </c>
      <c r="AE340" s="75" t="s">
        <v>10252</v>
      </c>
      <c r="AF340" s="17"/>
      <c r="AG340" s="17"/>
      <c r="AH340" s="17"/>
      <c r="AI340" s="75" t="s">
        <v>7670</v>
      </c>
    </row>
    <row r="341" spans="1:35" x14ac:dyDescent="0.3">
      <c r="A341" s="34" t="s">
        <v>7286</v>
      </c>
      <c r="B341" s="72" t="s">
        <v>10253</v>
      </c>
      <c r="C341" s="17" t="s">
        <v>7150</v>
      </c>
      <c r="D341" s="81" t="s">
        <v>10254</v>
      </c>
      <c r="E341" s="94" t="s">
        <v>1398</v>
      </c>
      <c r="F341" s="75" t="s">
        <v>7293</v>
      </c>
      <c r="G341" s="75" t="s">
        <v>7293</v>
      </c>
      <c r="H341" s="75" t="s">
        <v>7311</v>
      </c>
      <c r="I341" s="75" t="s">
        <v>7312</v>
      </c>
      <c r="J341" s="75" t="s">
        <v>7433</v>
      </c>
      <c r="K341" s="11" t="s">
        <v>7434</v>
      </c>
      <c r="L341" s="77" t="s">
        <v>7315</v>
      </c>
      <c r="M341" s="76">
        <v>45316</v>
      </c>
      <c r="N341" s="76"/>
      <c r="O341" s="75" t="s">
        <v>7870</v>
      </c>
      <c r="P341" s="17" t="s">
        <v>7316</v>
      </c>
      <c r="Q341" s="76">
        <v>33021</v>
      </c>
      <c r="R341" s="78">
        <v>36.37808219178082</v>
      </c>
      <c r="S341" s="79" t="s">
        <v>10255</v>
      </c>
      <c r="T341" s="75" t="s">
        <v>7298</v>
      </c>
      <c r="U341" s="75" t="s">
        <v>10256</v>
      </c>
      <c r="V341" s="83">
        <v>48100</v>
      </c>
      <c r="W341" s="75" t="s">
        <v>7300</v>
      </c>
      <c r="X341" s="75"/>
      <c r="Y341" s="75" t="s">
        <v>7319</v>
      </c>
      <c r="Z341" s="15" t="s">
        <v>10257</v>
      </c>
      <c r="AA341" s="75"/>
      <c r="AB341" s="12" t="s">
        <v>7293</v>
      </c>
      <c r="AC341" s="12"/>
      <c r="AD341" s="15" t="s">
        <v>10258</v>
      </c>
      <c r="AE341" s="75" t="s">
        <v>10259</v>
      </c>
      <c r="AF341" s="17"/>
      <c r="AG341" s="17"/>
      <c r="AH341" s="17"/>
      <c r="AI341" s="75" t="s">
        <v>7324</v>
      </c>
    </row>
    <row r="342" spans="1:35" ht="43.2" x14ac:dyDescent="0.3">
      <c r="A342" s="34" t="s">
        <v>7286</v>
      </c>
      <c r="B342" s="72" t="s">
        <v>10260</v>
      </c>
      <c r="C342" s="17" t="s">
        <v>8994</v>
      </c>
      <c r="D342" s="81" t="s">
        <v>10261</v>
      </c>
      <c r="E342" s="94" t="s">
        <v>10262</v>
      </c>
      <c r="F342" s="75" t="s">
        <v>7293</v>
      </c>
      <c r="G342" s="75" t="s">
        <v>7293</v>
      </c>
      <c r="H342" s="75" t="s">
        <v>8964</v>
      </c>
      <c r="I342" s="75" t="s">
        <v>8965</v>
      </c>
      <c r="J342" s="75" t="s">
        <v>9010</v>
      </c>
      <c r="K342" s="11" t="s">
        <v>9011</v>
      </c>
      <c r="L342" s="77" t="s">
        <v>9001</v>
      </c>
      <c r="M342" s="76">
        <v>45323</v>
      </c>
      <c r="N342" s="76"/>
      <c r="O342" s="75" t="s">
        <v>7923</v>
      </c>
      <c r="P342" s="17"/>
      <c r="Q342" s="76">
        <v>36838</v>
      </c>
      <c r="R342" s="78">
        <v>25.920547945205481</v>
      </c>
      <c r="S342" s="79" t="s">
        <v>10263</v>
      </c>
      <c r="T342" s="75" t="s">
        <v>7298</v>
      </c>
      <c r="U342" s="75" t="s">
        <v>10264</v>
      </c>
      <c r="V342" s="83">
        <v>47125</v>
      </c>
      <c r="W342" s="75" t="s">
        <v>7300</v>
      </c>
      <c r="X342" s="75" t="s">
        <v>7301</v>
      </c>
      <c r="Y342" s="75" t="s">
        <v>7319</v>
      </c>
      <c r="Z342" s="15" t="s">
        <v>10265</v>
      </c>
      <c r="AA342" s="75"/>
      <c r="AB342" s="12" t="s">
        <v>10266</v>
      </c>
      <c r="AC342" s="12" t="s">
        <v>10267</v>
      </c>
      <c r="AD342" s="15" t="s">
        <v>10268</v>
      </c>
      <c r="AE342" s="75" t="s">
        <v>10269</v>
      </c>
      <c r="AF342" s="17"/>
      <c r="AG342" s="17"/>
      <c r="AH342" s="83"/>
      <c r="AI342" s="75" t="s">
        <v>7307</v>
      </c>
    </row>
    <row r="343" spans="1:35" x14ac:dyDescent="0.3">
      <c r="A343" s="34" t="s">
        <v>7286</v>
      </c>
      <c r="B343" s="72" t="s">
        <v>10270</v>
      </c>
      <c r="C343" s="17" t="s">
        <v>7367</v>
      </c>
      <c r="D343" s="81" t="s">
        <v>10271</v>
      </c>
      <c r="E343" s="94" t="s">
        <v>10272</v>
      </c>
      <c r="F343" s="75" t="s">
        <v>7370</v>
      </c>
      <c r="G343" s="75" t="s">
        <v>7371</v>
      </c>
      <c r="H343" s="75" t="s">
        <v>8349</v>
      </c>
      <c r="I343" s="75" t="s">
        <v>8350</v>
      </c>
      <c r="J343" s="75" t="s">
        <v>10273</v>
      </c>
      <c r="K343" s="11" t="s">
        <v>10274</v>
      </c>
      <c r="L343" s="77" t="s">
        <v>2340</v>
      </c>
      <c r="M343" s="76">
        <v>45323</v>
      </c>
      <c r="N343" s="76"/>
      <c r="O343" s="75" t="s">
        <v>8747</v>
      </c>
      <c r="P343" s="17"/>
      <c r="Q343" s="98">
        <v>38068</v>
      </c>
      <c r="R343" s="78">
        <v>22.550684931506851</v>
      </c>
      <c r="S343" s="75" t="s">
        <v>10275</v>
      </c>
      <c r="T343" s="75" t="s">
        <v>7298</v>
      </c>
      <c r="U343" s="75" t="s">
        <v>10276</v>
      </c>
      <c r="V343" s="83">
        <v>48273</v>
      </c>
      <c r="W343" s="99" t="s">
        <v>7300</v>
      </c>
      <c r="X343" s="17" t="s">
        <v>10277</v>
      </c>
      <c r="Y343" s="75" t="s">
        <v>7302</v>
      </c>
      <c r="Z343" s="75" t="s">
        <v>10278</v>
      </c>
      <c r="AA343" s="75"/>
      <c r="AB343" s="16" t="s">
        <v>10279</v>
      </c>
      <c r="AC343" s="17" t="s">
        <v>10280</v>
      </c>
      <c r="AD343" s="75" t="s">
        <v>10281</v>
      </c>
      <c r="AE343" s="75" t="s">
        <v>10282</v>
      </c>
      <c r="AF343" s="75"/>
      <c r="AG343" s="76"/>
      <c r="AH343" s="17"/>
      <c r="AI343" s="75" t="s">
        <v>7745</v>
      </c>
    </row>
    <row r="344" spans="1:35" ht="57.6" x14ac:dyDescent="0.3">
      <c r="A344" s="34" t="s">
        <v>7286</v>
      </c>
      <c r="B344" s="72" t="s">
        <v>10283</v>
      </c>
      <c r="C344" s="17" t="s">
        <v>7367</v>
      </c>
      <c r="D344" s="81" t="s">
        <v>10284</v>
      </c>
      <c r="E344" s="94" t="s">
        <v>10285</v>
      </c>
      <c r="F344" s="75" t="s">
        <v>7370</v>
      </c>
      <c r="G344" s="75" t="s">
        <v>7371</v>
      </c>
      <c r="H344" s="75" t="s">
        <v>7372</v>
      </c>
      <c r="I344" s="75" t="s">
        <v>7373</v>
      </c>
      <c r="J344" s="75" t="s">
        <v>9662</v>
      </c>
      <c r="K344" s="11" t="s">
        <v>9663</v>
      </c>
      <c r="L344" s="77" t="s">
        <v>7376</v>
      </c>
      <c r="M344" s="76">
        <v>45323</v>
      </c>
      <c r="N344" s="76"/>
      <c r="O344" s="75" t="s">
        <v>8747</v>
      </c>
      <c r="P344" s="17"/>
      <c r="Q344" s="76">
        <v>37675</v>
      </c>
      <c r="R344" s="78">
        <v>23.627397260273973</v>
      </c>
      <c r="S344" s="79" t="s">
        <v>10286</v>
      </c>
      <c r="T344" s="75" t="s">
        <v>7298</v>
      </c>
      <c r="U344" s="75" t="s">
        <v>10287</v>
      </c>
      <c r="V344" s="83">
        <v>47266</v>
      </c>
      <c r="W344" s="77" t="s">
        <v>7300</v>
      </c>
      <c r="X344" s="75" t="s">
        <v>10277</v>
      </c>
      <c r="Y344" s="75" t="s">
        <v>7302</v>
      </c>
      <c r="Z344" s="15" t="s">
        <v>10288</v>
      </c>
      <c r="AA344" s="75"/>
      <c r="AB344" s="12" t="s">
        <v>10289</v>
      </c>
      <c r="AC344" s="12" t="s">
        <v>10290</v>
      </c>
      <c r="AD344" s="15" t="s">
        <v>10291</v>
      </c>
      <c r="AE344" s="75" t="s">
        <v>10292</v>
      </c>
      <c r="AF344" s="17"/>
      <c r="AG344" s="17"/>
      <c r="AH344" s="17"/>
      <c r="AI344" s="75" t="s">
        <v>7745</v>
      </c>
    </row>
    <row r="345" spans="1:35" x14ac:dyDescent="0.3">
      <c r="A345" s="34" t="s">
        <v>7286</v>
      </c>
      <c r="B345" s="72" t="s">
        <v>10293</v>
      </c>
      <c r="C345" s="17" t="s">
        <v>7367</v>
      </c>
      <c r="D345" s="81" t="s">
        <v>10294</v>
      </c>
      <c r="E345" s="75" t="s">
        <v>10295</v>
      </c>
      <c r="F345" s="75" t="s">
        <v>7293</v>
      </c>
      <c r="G345" s="75" t="s">
        <v>7293</v>
      </c>
      <c r="H345" s="75" t="s">
        <v>7933</v>
      </c>
      <c r="I345" s="75" t="s">
        <v>7934</v>
      </c>
      <c r="J345" s="75" t="s">
        <v>9814</v>
      </c>
      <c r="K345" s="11" t="s">
        <v>9815</v>
      </c>
      <c r="L345" s="77" t="s">
        <v>7937</v>
      </c>
      <c r="M345" s="76">
        <v>45323</v>
      </c>
      <c r="N345" s="76"/>
      <c r="O345" s="75" t="s">
        <v>8747</v>
      </c>
      <c r="P345" s="17"/>
      <c r="Q345" s="98">
        <v>37642</v>
      </c>
      <c r="R345" s="78">
        <v>23.717808219178082</v>
      </c>
      <c r="S345" s="75" t="s">
        <v>10296</v>
      </c>
      <c r="T345" s="75" t="s">
        <v>7298</v>
      </c>
      <c r="U345" s="75" t="s">
        <v>10297</v>
      </c>
      <c r="V345" s="83">
        <v>48371</v>
      </c>
      <c r="W345" s="99" t="s">
        <v>7300</v>
      </c>
      <c r="X345" s="17" t="s">
        <v>10277</v>
      </c>
      <c r="Y345" s="75" t="s">
        <v>7302</v>
      </c>
      <c r="Z345" s="75" t="s">
        <v>10298</v>
      </c>
      <c r="AA345" s="75"/>
      <c r="AB345" s="16" t="s">
        <v>10299</v>
      </c>
      <c r="AC345" s="17" t="s">
        <v>10300</v>
      </c>
      <c r="AD345" s="75" t="s">
        <v>10301</v>
      </c>
      <c r="AE345" s="75" t="s">
        <v>10302</v>
      </c>
      <c r="AF345" s="75"/>
      <c r="AG345" s="76"/>
      <c r="AH345" s="17"/>
      <c r="AI345" s="75" t="s">
        <v>7307</v>
      </c>
    </row>
    <row r="346" spans="1:35" ht="57.6" x14ac:dyDescent="0.3">
      <c r="A346" s="34" t="s">
        <v>7286</v>
      </c>
      <c r="B346" s="72" t="s">
        <v>10303</v>
      </c>
      <c r="C346" s="17" t="s">
        <v>8994</v>
      </c>
      <c r="D346" s="81" t="s">
        <v>10304</v>
      </c>
      <c r="E346" s="94" t="s">
        <v>10305</v>
      </c>
      <c r="F346" s="75" t="s">
        <v>7293</v>
      </c>
      <c r="G346" s="75" t="s">
        <v>7293</v>
      </c>
      <c r="H346" s="75" t="s">
        <v>8964</v>
      </c>
      <c r="I346" s="75" t="s">
        <v>8965</v>
      </c>
      <c r="J346" s="75" t="s">
        <v>10306</v>
      </c>
      <c r="K346" s="11" t="s">
        <v>10307</v>
      </c>
      <c r="L346" s="77" t="s">
        <v>10308</v>
      </c>
      <c r="M346" s="76">
        <v>45328</v>
      </c>
      <c r="N346" s="76"/>
      <c r="O346" s="75" t="s">
        <v>7923</v>
      </c>
      <c r="P346" s="17"/>
      <c r="Q346" s="76">
        <v>36096</v>
      </c>
      <c r="R346" s="78">
        <v>27.953424657534246</v>
      </c>
      <c r="S346" s="79" t="s">
        <v>10309</v>
      </c>
      <c r="T346" s="75" t="s">
        <v>7298</v>
      </c>
      <c r="U346" s="75" t="s">
        <v>10310</v>
      </c>
      <c r="V346" s="83">
        <v>48292</v>
      </c>
      <c r="W346" s="75" t="s">
        <v>7300</v>
      </c>
      <c r="X346" s="75" t="s">
        <v>7301</v>
      </c>
      <c r="Y346" s="75" t="s">
        <v>7319</v>
      </c>
      <c r="Z346" s="15" t="s">
        <v>10311</v>
      </c>
      <c r="AA346" s="75"/>
      <c r="AB346" s="12" t="s">
        <v>10312</v>
      </c>
      <c r="AC346" s="12" t="s">
        <v>10313</v>
      </c>
      <c r="AD346" s="15" t="s">
        <v>10314</v>
      </c>
      <c r="AE346" s="75" t="s">
        <v>10315</v>
      </c>
      <c r="AF346" s="17"/>
      <c r="AG346" s="17"/>
      <c r="AH346" s="17"/>
      <c r="AI346" s="75" t="s">
        <v>7307</v>
      </c>
    </row>
    <row r="347" spans="1:35" ht="57.6" x14ac:dyDescent="0.3">
      <c r="A347" s="34" t="s">
        <v>7286</v>
      </c>
      <c r="B347" s="72" t="s">
        <v>10316</v>
      </c>
      <c r="C347" s="17" t="s">
        <v>7367</v>
      </c>
      <c r="D347" s="81" t="s">
        <v>10317</v>
      </c>
      <c r="E347" s="94" t="s">
        <v>10318</v>
      </c>
      <c r="F347" s="75" t="s">
        <v>7370</v>
      </c>
      <c r="G347" s="75" t="s">
        <v>7371</v>
      </c>
      <c r="H347" s="75" t="s">
        <v>9832</v>
      </c>
      <c r="I347" s="75" t="s">
        <v>9833</v>
      </c>
      <c r="J347" s="75" t="s">
        <v>9834</v>
      </c>
      <c r="K347" s="11" t="s">
        <v>9835</v>
      </c>
      <c r="L347" s="77" t="s">
        <v>9836</v>
      </c>
      <c r="M347" s="76">
        <v>45330</v>
      </c>
      <c r="N347" s="76"/>
      <c r="O347" s="75" t="s">
        <v>8747</v>
      </c>
      <c r="P347" s="17"/>
      <c r="Q347" s="76">
        <v>35640</v>
      </c>
      <c r="R347" s="78">
        <v>29.202739726027396</v>
      </c>
      <c r="S347" s="79" t="s">
        <v>10319</v>
      </c>
      <c r="T347" s="75" t="s">
        <v>7298</v>
      </c>
      <c r="U347" s="75" t="s">
        <v>10320</v>
      </c>
      <c r="V347" s="83">
        <v>48616</v>
      </c>
      <c r="W347" s="75" t="s">
        <v>7300</v>
      </c>
      <c r="X347" s="75" t="s">
        <v>7301</v>
      </c>
      <c r="Y347" s="75" t="s">
        <v>7319</v>
      </c>
      <c r="Z347" s="15" t="s">
        <v>10321</v>
      </c>
      <c r="AA347" s="75"/>
      <c r="AB347" s="12" t="s">
        <v>10322</v>
      </c>
      <c r="AC347" s="12" t="s">
        <v>10323</v>
      </c>
      <c r="AD347" s="15" t="s">
        <v>10324</v>
      </c>
      <c r="AE347" s="75" t="s">
        <v>10324</v>
      </c>
      <c r="AF347" s="17"/>
      <c r="AG347" s="17"/>
      <c r="AH347" s="17"/>
      <c r="AI347" s="75" t="s">
        <v>7745</v>
      </c>
    </row>
    <row r="348" spans="1:35" x14ac:dyDescent="0.3">
      <c r="A348" s="34" t="s">
        <v>7286</v>
      </c>
      <c r="B348" s="72" t="s">
        <v>10325</v>
      </c>
      <c r="C348" s="17" t="s">
        <v>7150</v>
      </c>
      <c r="D348" s="81" t="s">
        <v>10326</v>
      </c>
      <c r="E348" s="94" t="s">
        <v>10327</v>
      </c>
      <c r="F348" s="75" t="s">
        <v>7329</v>
      </c>
      <c r="G348" s="75" t="s">
        <v>7330</v>
      </c>
      <c r="H348" s="75" t="s">
        <v>7405</v>
      </c>
      <c r="I348" s="75" t="s">
        <v>7406</v>
      </c>
      <c r="J348" s="75" t="s">
        <v>7407</v>
      </c>
      <c r="K348" s="11" t="s">
        <v>7408</v>
      </c>
      <c r="L348" s="77" t="s">
        <v>7409</v>
      </c>
      <c r="M348" s="76">
        <v>45334</v>
      </c>
      <c r="N348" s="76"/>
      <c r="O348" s="75" t="s">
        <v>7870</v>
      </c>
      <c r="P348" s="17"/>
      <c r="Q348" s="76">
        <v>34635</v>
      </c>
      <c r="R348" s="78">
        <v>31.956164383561642</v>
      </c>
      <c r="S348" s="79" t="s">
        <v>10328</v>
      </c>
      <c r="T348" s="75" t="s">
        <v>7298</v>
      </c>
      <c r="U348" s="75" t="s">
        <v>10329</v>
      </c>
      <c r="V348" s="83">
        <v>47026</v>
      </c>
      <c r="W348" s="75" t="s">
        <v>7300</v>
      </c>
      <c r="X348" s="75"/>
      <c r="Y348" s="75" t="s">
        <v>7319</v>
      </c>
      <c r="Z348" s="15" t="s">
        <v>10330</v>
      </c>
      <c r="AA348" s="75"/>
      <c r="AB348" s="12" t="s">
        <v>7293</v>
      </c>
      <c r="AC348" s="12"/>
      <c r="AD348" s="15" t="s">
        <v>10331</v>
      </c>
      <c r="AE348" s="75" t="s">
        <v>10331</v>
      </c>
      <c r="AF348" s="17"/>
      <c r="AG348" s="17"/>
      <c r="AH348" s="17"/>
      <c r="AI348" s="75" t="s">
        <v>7324</v>
      </c>
    </row>
    <row r="349" spans="1:35" x14ac:dyDescent="0.3">
      <c r="A349" s="34" t="s">
        <v>7286</v>
      </c>
      <c r="B349" s="72" t="s">
        <v>10332</v>
      </c>
      <c r="C349" s="17" t="s">
        <v>7150</v>
      </c>
      <c r="D349" s="81" t="s">
        <v>10333</v>
      </c>
      <c r="E349" s="94" t="s">
        <v>1408</v>
      </c>
      <c r="F349" s="75" t="s">
        <v>7293</v>
      </c>
      <c r="G349" s="75" t="s">
        <v>7293</v>
      </c>
      <c r="H349" s="75" t="s">
        <v>7311</v>
      </c>
      <c r="I349" s="75" t="s">
        <v>7312</v>
      </c>
      <c r="J349" s="75" t="s">
        <v>7433</v>
      </c>
      <c r="K349" s="11" t="s">
        <v>7434</v>
      </c>
      <c r="L349" s="77" t="s">
        <v>7315</v>
      </c>
      <c r="M349" s="76">
        <v>45334</v>
      </c>
      <c r="N349" s="76"/>
      <c r="O349" s="75" t="s">
        <v>7870</v>
      </c>
      <c r="P349" s="17" t="s">
        <v>7316</v>
      </c>
      <c r="Q349" s="76">
        <v>34688</v>
      </c>
      <c r="R349" s="78">
        <v>31.81095890410959</v>
      </c>
      <c r="S349" s="79" t="s">
        <v>10334</v>
      </c>
      <c r="T349" s="75" t="s">
        <v>7298</v>
      </c>
      <c r="U349" s="75" t="s">
        <v>10335</v>
      </c>
      <c r="V349" s="83">
        <v>47507</v>
      </c>
      <c r="W349" s="75" t="s">
        <v>7300</v>
      </c>
      <c r="X349" s="75" t="s">
        <v>10336</v>
      </c>
      <c r="Y349" s="75" t="s">
        <v>7319</v>
      </c>
      <c r="Z349" s="15" t="s">
        <v>10337</v>
      </c>
      <c r="AA349" s="75"/>
      <c r="AB349" s="12" t="s">
        <v>7293</v>
      </c>
      <c r="AC349" s="12"/>
      <c r="AD349" s="15" t="s">
        <v>10338</v>
      </c>
      <c r="AE349" s="75" t="s">
        <v>10338</v>
      </c>
      <c r="AF349" s="17"/>
      <c r="AG349" s="17"/>
      <c r="AH349" s="17"/>
      <c r="AI349" s="75" t="s">
        <v>7324</v>
      </c>
    </row>
    <row r="350" spans="1:35" ht="57.6" x14ac:dyDescent="0.3">
      <c r="A350" s="34" t="s">
        <v>7286</v>
      </c>
      <c r="B350" s="72" t="s">
        <v>10339</v>
      </c>
      <c r="C350" s="17" t="s">
        <v>7367</v>
      </c>
      <c r="D350" s="81" t="s">
        <v>10340</v>
      </c>
      <c r="E350" s="94" t="s">
        <v>10341</v>
      </c>
      <c r="F350" s="75" t="s">
        <v>7329</v>
      </c>
      <c r="G350" s="75" t="s">
        <v>7330</v>
      </c>
      <c r="H350" s="75" t="s">
        <v>7630</v>
      </c>
      <c r="I350" s="75" t="s">
        <v>7631</v>
      </c>
      <c r="J350" s="75" t="s">
        <v>8517</v>
      </c>
      <c r="K350" s="11" t="s">
        <v>6341</v>
      </c>
      <c r="L350" s="77" t="s">
        <v>7632</v>
      </c>
      <c r="M350" s="76">
        <v>45334</v>
      </c>
      <c r="N350" s="76"/>
      <c r="O350" s="75" t="s">
        <v>7870</v>
      </c>
      <c r="P350" s="17"/>
      <c r="Q350" s="76">
        <v>25782</v>
      </c>
      <c r="R350" s="78">
        <v>56.210958904109589</v>
      </c>
      <c r="S350" s="79" t="s">
        <v>10342</v>
      </c>
      <c r="T350" s="75" t="s">
        <v>7298</v>
      </c>
      <c r="U350" s="75" t="s">
        <v>10343</v>
      </c>
      <c r="V350" s="83">
        <v>47686</v>
      </c>
      <c r="W350" s="75" t="s">
        <v>7300</v>
      </c>
      <c r="X350" s="75"/>
      <c r="Y350" s="75" t="s">
        <v>7319</v>
      </c>
      <c r="Z350" s="15" t="s">
        <v>10344</v>
      </c>
      <c r="AA350" s="75"/>
      <c r="AB350" s="12" t="s">
        <v>10345</v>
      </c>
      <c r="AC350" s="12"/>
      <c r="AD350" s="15" t="s">
        <v>10346</v>
      </c>
      <c r="AE350" s="75" t="s">
        <v>10347</v>
      </c>
      <c r="AF350" s="17"/>
      <c r="AG350" s="17"/>
      <c r="AH350" s="17"/>
      <c r="AI350" s="75" t="s">
        <v>7324</v>
      </c>
    </row>
    <row r="351" spans="1:35" ht="57.6" x14ac:dyDescent="0.3">
      <c r="A351" s="34" t="s">
        <v>7286</v>
      </c>
      <c r="B351" s="72" t="s">
        <v>10348</v>
      </c>
      <c r="C351" s="17" t="s">
        <v>7367</v>
      </c>
      <c r="D351" s="81" t="s">
        <v>10349</v>
      </c>
      <c r="E351" s="94" t="s">
        <v>10350</v>
      </c>
      <c r="F351" s="75" t="s">
        <v>7293</v>
      </c>
      <c r="G351" s="75" t="s">
        <v>7293</v>
      </c>
      <c r="H351" s="75" t="s">
        <v>7311</v>
      </c>
      <c r="I351" s="75" t="s">
        <v>7312</v>
      </c>
      <c r="J351" s="75" t="s">
        <v>10351</v>
      </c>
      <c r="K351" s="11" t="s">
        <v>10352</v>
      </c>
      <c r="L351" s="77" t="s">
        <v>7315</v>
      </c>
      <c r="M351" s="76">
        <v>45337</v>
      </c>
      <c r="N351" s="76"/>
      <c r="O351" s="75" t="s">
        <v>7892</v>
      </c>
      <c r="P351" s="17"/>
      <c r="Q351" s="76">
        <v>28943</v>
      </c>
      <c r="R351" s="78">
        <v>47.550684931506851</v>
      </c>
      <c r="S351" s="79" t="s">
        <v>10353</v>
      </c>
      <c r="T351" s="75" t="s">
        <v>7298</v>
      </c>
      <c r="U351" s="75" t="s">
        <v>10354</v>
      </c>
      <c r="V351" s="83">
        <v>48972</v>
      </c>
      <c r="W351" s="75" t="s">
        <v>7300</v>
      </c>
      <c r="X351" s="75" t="s">
        <v>7301</v>
      </c>
      <c r="Y351" s="75" t="s">
        <v>7319</v>
      </c>
      <c r="Z351" s="15" t="s">
        <v>10355</v>
      </c>
      <c r="AA351" s="75"/>
      <c r="AB351" s="12" t="s">
        <v>10356</v>
      </c>
      <c r="AC351" s="12"/>
      <c r="AD351" s="15" t="s">
        <v>10357</v>
      </c>
      <c r="AE351" s="75" t="s">
        <v>10358</v>
      </c>
      <c r="AF351" s="17"/>
      <c r="AG351" s="17"/>
      <c r="AH351" s="17"/>
      <c r="AI351" s="11" t="s">
        <v>7425</v>
      </c>
    </row>
    <row r="352" spans="1:35" ht="57.6" x14ac:dyDescent="0.3">
      <c r="A352" s="34" t="s">
        <v>7286</v>
      </c>
      <c r="B352" s="72" t="s">
        <v>10359</v>
      </c>
      <c r="C352" s="17" t="s">
        <v>7150</v>
      </c>
      <c r="D352" s="81" t="s">
        <v>10360</v>
      </c>
      <c r="E352" s="94" t="s">
        <v>10361</v>
      </c>
      <c r="F352" s="75" t="s">
        <v>7329</v>
      </c>
      <c r="G352" s="75" t="s">
        <v>7330</v>
      </c>
      <c r="H352" s="75" t="s">
        <v>7405</v>
      </c>
      <c r="I352" s="75" t="s">
        <v>7406</v>
      </c>
      <c r="J352" s="75" t="s">
        <v>7407</v>
      </c>
      <c r="K352" s="11" t="s">
        <v>7408</v>
      </c>
      <c r="L352" s="77" t="s">
        <v>7409</v>
      </c>
      <c r="M352" s="76">
        <v>45352</v>
      </c>
      <c r="N352" s="76"/>
      <c r="O352" s="75" t="s">
        <v>7870</v>
      </c>
      <c r="P352" s="17"/>
      <c r="Q352" s="76">
        <v>34801</v>
      </c>
      <c r="R352" s="78">
        <v>31.5013698630137</v>
      </c>
      <c r="S352" s="79" t="s">
        <v>10362</v>
      </c>
      <c r="T352" s="75" t="s">
        <v>7298</v>
      </c>
      <c r="U352" s="75" t="s">
        <v>10363</v>
      </c>
      <c r="V352" s="83">
        <v>47556</v>
      </c>
      <c r="W352" s="75" t="s">
        <v>7300</v>
      </c>
      <c r="X352" s="75" t="s">
        <v>10364</v>
      </c>
      <c r="Y352" s="75" t="s">
        <v>7319</v>
      </c>
      <c r="Z352" s="15" t="s">
        <v>10365</v>
      </c>
      <c r="AA352" s="75"/>
      <c r="AB352" s="12" t="s">
        <v>7293</v>
      </c>
      <c r="AC352" s="12" t="s">
        <v>10366</v>
      </c>
      <c r="AD352" s="15" t="s">
        <v>10367</v>
      </c>
      <c r="AE352" s="75" t="s">
        <v>10367</v>
      </c>
      <c r="AF352" s="17"/>
      <c r="AG352" s="17"/>
      <c r="AH352" s="17"/>
      <c r="AI352" s="75" t="s">
        <v>7324</v>
      </c>
    </row>
    <row r="353" spans="1:35" ht="57.6" x14ac:dyDescent="0.3">
      <c r="A353" s="34" t="s">
        <v>7286</v>
      </c>
      <c r="B353" s="72" t="s">
        <v>10368</v>
      </c>
      <c r="C353" s="17" t="s">
        <v>7367</v>
      </c>
      <c r="D353" s="81" t="s">
        <v>10369</v>
      </c>
      <c r="E353" s="94" t="s">
        <v>10370</v>
      </c>
      <c r="F353" s="75" t="s">
        <v>7370</v>
      </c>
      <c r="G353" s="75" t="s">
        <v>7371</v>
      </c>
      <c r="H353" s="75" t="s">
        <v>9832</v>
      </c>
      <c r="I353" s="75" t="s">
        <v>9833</v>
      </c>
      <c r="J353" s="75" t="s">
        <v>9834</v>
      </c>
      <c r="K353" s="11" t="s">
        <v>9835</v>
      </c>
      <c r="L353" s="77" t="s">
        <v>9836</v>
      </c>
      <c r="M353" s="76">
        <v>45355</v>
      </c>
      <c r="N353" s="76"/>
      <c r="O353" s="75" t="s">
        <v>8747</v>
      </c>
      <c r="P353" s="17"/>
      <c r="Q353" s="76">
        <v>36470</v>
      </c>
      <c r="R353" s="78">
        <v>26.92876712328767</v>
      </c>
      <c r="S353" s="79" t="s">
        <v>10371</v>
      </c>
      <c r="T353" s="75" t="s">
        <v>7298</v>
      </c>
      <c r="U353" s="75" t="s">
        <v>10372</v>
      </c>
      <c r="V353" s="83">
        <v>45602</v>
      </c>
      <c r="W353" s="75" t="s">
        <v>7300</v>
      </c>
      <c r="X353" s="75" t="s">
        <v>8547</v>
      </c>
      <c r="Y353" s="75" t="s">
        <v>7302</v>
      </c>
      <c r="Z353" s="15" t="s">
        <v>10373</v>
      </c>
      <c r="AA353" s="75"/>
      <c r="AB353" s="12" t="s">
        <v>10374</v>
      </c>
      <c r="AC353" s="12" t="s">
        <v>10375</v>
      </c>
      <c r="AD353" s="15" t="s">
        <v>10376</v>
      </c>
      <c r="AE353" s="75" t="s">
        <v>10377</v>
      </c>
      <c r="AF353" s="17"/>
      <c r="AG353" s="17"/>
      <c r="AH353" s="17"/>
      <c r="AI353" s="75" t="s">
        <v>7745</v>
      </c>
    </row>
    <row r="354" spans="1:35" ht="43.2" x14ac:dyDescent="0.3">
      <c r="A354" s="34" t="s">
        <v>7286</v>
      </c>
      <c r="B354" s="72" t="s">
        <v>10378</v>
      </c>
      <c r="C354" s="17" t="s">
        <v>7367</v>
      </c>
      <c r="D354" s="81" t="s">
        <v>10379</v>
      </c>
      <c r="E354" s="94" t="s">
        <v>10380</v>
      </c>
      <c r="F354" s="75" t="s">
        <v>7370</v>
      </c>
      <c r="G354" s="75" t="s">
        <v>7371</v>
      </c>
      <c r="H354" s="75" t="s">
        <v>9832</v>
      </c>
      <c r="I354" s="75" t="s">
        <v>9833</v>
      </c>
      <c r="J354" s="75" t="s">
        <v>9834</v>
      </c>
      <c r="K354" s="11" t="s">
        <v>9835</v>
      </c>
      <c r="L354" s="77" t="s">
        <v>9836</v>
      </c>
      <c r="M354" s="76">
        <v>45355</v>
      </c>
      <c r="N354" s="76"/>
      <c r="O354" s="75" t="s">
        <v>8747</v>
      </c>
      <c r="P354" s="17"/>
      <c r="Q354" s="76">
        <v>35780</v>
      </c>
      <c r="R354" s="78">
        <v>28.81917808219178</v>
      </c>
      <c r="S354" s="79" t="s">
        <v>10381</v>
      </c>
      <c r="T354" s="75" t="s">
        <v>7298</v>
      </c>
      <c r="U354" s="75" t="s">
        <v>10382</v>
      </c>
      <c r="V354" s="83">
        <v>48579</v>
      </c>
      <c r="W354" s="75" t="s">
        <v>7300</v>
      </c>
      <c r="X354" s="75" t="s">
        <v>7301</v>
      </c>
      <c r="Y354" s="75" t="s">
        <v>7319</v>
      </c>
      <c r="Z354" s="15" t="s">
        <v>10383</v>
      </c>
      <c r="AA354" s="75"/>
      <c r="AB354" s="12" t="s">
        <v>10384</v>
      </c>
      <c r="AC354" s="12" t="s">
        <v>10385</v>
      </c>
      <c r="AD354" s="15" t="s">
        <v>10386</v>
      </c>
      <c r="AE354" s="75" t="s">
        <v>10387</v>
      </c>
      <c r="AF354" s="17"/>
      <c r="AG354" s="17"/>
      <c r="AH354" s="17"/>
      <c r="AI354" s="75" t="s">
        <v>7745</v>
      </c>
    </row>
    <row r="355" spans="1:35" ht="57.6" x14ac:dyDescent="0.3">
      <c r="A355" s="34" t="s">
        <v>7286</v>
      </c>
      <c r="B355" s="72" t="s">
        <v>10388</v>
      </c>
      <c r="C355" s="17" t="s">
        <v>7367</v>
      </c>
      <c r="D355" s="81" t="s">
        <v>10389</v>
      </c>
      <c r="E355" s="94" t="s">
        <v>10390</v>
      </c>
      <c r="F355" s="75" t="s">
        <v>7370</v>
      </c>
      <c r="G355" s="75" t="s">
        <v>7371</v>
      </c>
      <c r="H355" s="75" t="s">
        <v>9832</v>
      </c>
      <c r="I355" s="75" t="s">
        <v>9833</v>
      </c>
      <c r="J355" s="75" t="s">
        <v>9834</v>
      </c>
      <c r="K355" s="11" t="s">
        <v>9835</v>
      </c>
      <c r="L355" s="77" t="s">
        <v>9836</v>
      </c>
      <c r="M355" s="76">
        <v>45355</v>
      </c>
      <c r="N355" s="76"/>
      <c r="O355" s="75" t="s">
        <v>8747</v>
      </c>
      <c r="P355" s="17"/>
      <c r="Q355" s="76">
        <v>34270</v>
      </c>
      <c r="R355" s="78">
        <v>32.956164383561642</v>
      </c>
      <c r="S355" s="79" t="s">
        <v>10391</v>
      </c>
      <c r="T355" s="75" t="s">
        <v>7298</v>
      </c>
      <c r="U355" s="75" t="s">
        <v>10392</v>
      </c>
      <c r="V355" s="83">
        <v>47302</v>
      </c>
      <c r="W355" s="75" t="s">
        <v>7300</v>
      </c>
      <c r="X355" s="75" t="s">
        <v>10336</v>
      </c>
      <c r="Y355" s="75" t="s">
        <v>7319</v>
      </c>
      <c r="Z355" s="15" t="s">
        <v>10393</v>
      </c>
      <c r="AA355" s="75"/>
      <c r="AB355" s="12" t="s">
        <v>10394</v>
      </c>
      <c r="AC355" s="12" t="s">
        <v>10395</v>
      </c>
      <c r="AD355" s="15" t="s">
        <v>10396</v>
      </c>
      <c r="AE355" s="75" t="s">
        <v>10397</v>
      </c>
      <c r="AF355" s="17"/>
      <c r="AG355" s="17"/>
      <c r="AH355" s="17"/>
      <c r="AI355" s="75" t="s">
        <v>7745</v>
      </c>
    </row>
    <row r="356" spans="1:35" x14ac:dyDescent="0.3">
      <c r="A356" s="34" t="s">
        <v>7286</v>
      </c>
      <c r="B356" s="72" t="s">
        <v>10398</v>
      </c>
      <c r="C356" s="17" t="s">
        <v>7150</v>
      </c>
      <c r="D356" s="81" t="s">
        <v>10399</v>
      </c>
      <c r="E356" s="94" t="s">
        <v>1603</v>
      </c>
      <c r="F356" s="75" t="s">
        <v>7293</v>
      </c>
      <c r="G356" s="75" t="s">
        <v>7293</v>
      </c>
      <c r="H356" s="75" t="s">
        <v>7311</v>
      </c>
      <c r="I356" s="75" t="s">
        <v>7312</v>
      </c>
      <c r="J356" s="75" t="s">
        <v>7433</v>
      </c>
      <c r="K356" s="11" t="s">
        <v>7434</v>
      </c>
      <c r="L356" s="77" t="s">
        <v>7315</v>
      </c>
      <c r="M356" s="76">
        <v>45369</v>
      </c>
      <c r="N356" s="76"/>
      <c r="O356" s="75" t="s">
        <v>7870</v>
      </c>
      <c r="P356" s="17" t="s">
        <v>8361</v>
      </c>
      <c r="Q356" s="76">
        <v>33399</v>
      </c>
      <c r="R356" s="78">
        <v>35.342465753424655</v>
      </c>
      <c r="S356" s="79" t="s">
        <v>10400</v>
      </c>
      <c r="T356" s="75" t="s">
        <v>7298</v>
      </c>
      <c r="U356" s="75" t="s">
        <v>10401</v>
      </c>
      <c r="V356" s="83">
        <v>48114</v>
      </c>
      <c r="W356" s="75" t="s">
        <v>7300</v>
      </c>
      <c r="X356" s="75" t="s">
        <v>10336</v>
      </c>
      <c r="Y356" s="75" t="s">
        <v>7319</v>
      </c>
      <c r="Z356" s="15" t="s">
        <v>10402</v>
      </c>
      <c r="AA356" s="75"/>
      <c r="AB356" s="12" t="s">
        <v>7293</v>
      </c>
      <c r="AC356" s="11"/>
      <c r="AD356" s="15" t="s">
        <v>10403</v>
      </c>
      <c r="AE356" s="75" t="s">
        <v>10403</v>
      </c>
      <c r="AF356" s="17"/>
      <c r="AG356" s="17"/>
      <c r="AH356" s="17"/>
      <c r="AI356" s="11" t="s">
        <v>8361</v>
      </c>
    </row>
    <row r="357" spans="1:35" x14ac:dyDescent="0.3">
      <c r="A357" s="34" t="s">
        <v>7286</v>
      </c>
      <c r="B357" s="72" t="s">
        <v>10404</v>
      </c>
      <c r="C357" s="17" t="s">
        <v>7150</v>
      </c>
      <c r="D357" s="81" t="s">
        <v>10405</v>
      </c>
      <c r="E357" s="94" t="s">
        <v>10406</v>
      </c>
      <c r="F357" s="75" t="s">
        <v>7329</v>
      </c>
      <c r="G357" s="75" t="s">
        <v>7330</v>
      </c>
      <c r="H357" s="75" t="s">
        <v>7405</v>
      </c>
      <c r="I357" s="75" t="s">
        <v>7406</v>
      </c>
      <c r="J357" s="75" t="s">
        <v>7407</v>
      </c>
      <c r="K357" s="11" t="s">
        <v>7408</v>
      </c>
      <c r="L357" s="77" t="s">
        <v>7409</v>
      </c>
      <c r="M357" s="76">
        <v>45390</v>
      </c>
      <c r="N357" s="76"/>
      <c r="O357" s="75" t="s">
        <v>7870</v>
      </c>
      <c r="P357" s="17"/>
      <c r="Q357" s="76">
        <v>28226</v>
      </c>
      <c r="R357" s="78">
        <v>49.515068493150686</v>
      </c>
      <c r="S357" s="79" t="s">
        <v>10407</v>
      </c>
      <c r="T357" s="75" t="s">
        <v>7298</v>
      </c>
      <c r="U357" s="75" t="s">
        <v>10408</v>
      </c>
      <c r="V357" s="83">
        <v>47624</v>
      </c>
      <c r="W357" s="75" t="s">
        <v>7300</v>
      </c>
      <c r="X357" s="75" t="s">
        <v>10336</v>
      </c>
      <c r="Y357" s="75" t="s">
        <v>7319</v>
      </c>
      <c r="Z357" s="15" t="s">
        <v>10409</v>
      </c>
      <c r="AA357" s="75"/>
      <c r="AB357" s="12" t="s">
        <v>7293</v>
      </c>
      <c r="AC357" s="11"/>
      <c r="AD357" s="15" t="s">
        <v>10410</v>
      </c>
      <c r="AE357" s="75" t="s">
        <v>10410</v>
      </c>
      <c r="AF357" s="17"/>
      <c r="AG357" s="17"/>
      <c r="AH357" s="17"/>
      <c r="AI357" s="75" t="s">
        <v>8413</v>
      </c>
    </row>
    <row r="358" spans="1:35" ht="57.6" x14ac:dyDescent="0.3">
      <c r="A358" s="34" t="s">
        <v>7286</v>
      </c>
      <c r="B358" s="72" t="s">
        <v>10411</v>
      </c>
      <c r="C358" s="17" t="s">
        <v>7367</v>
      </c>
      <c r="D358" s="81" t="s">
        <v>10412</v>
      </c>
      <c r="E358" s="94" t="s">
        <v>10413</v>
      </c>
      <c r="F358" s="75" t="s">
        <v>7293</v>
      </c>
      <c r="G358" s="75" t="s">
        <v>7293</v>
      </c>
      <c r="H358" s="75" t="s">
        <v>8997</v>
      </c>
      <c r="I358" s="75" t="s">
        <v>8998</v>
      </c>
      <c r="J358" s="75" t="s">
        <v>10414</v>
      </c>
      <c r="K358" s="11" t="s">
        <v>10415</v>
      </c>
      <c r="L358" s="77" t="s">
        <v>10416</v>
      </c>
      <c r="M358" s="76">
        <v>45397</v>
      </c>
      <c r="N358" s="76"/>
      <c r="O358" s="75" t="s">
        <v>7923</v>
      </c>
      <c r="P358" s="17"/>
      <c r="Q358" s="76">
        <v>35048</v>
      </c>
      <c r="R358" s="78">
        <v>30.824657534246576</v>
      </c>
      <c r="S358" s="79" t="s">
        <v>10417</v>
      </c>
      <c r="T358" s="75" t="s">
        <v>7298</v>
      </c>
      <c r="U358" s="75" t="s">
        <v>10418</v>
      </c>
      <c r="V358" s="83">
        <v>47375</v>
      </c>
      <c r="W358" s="75" t="s">
        <v>7300</v>
      </c>
      <c r="X358" s="75" t="s">
        <v>10419</v>
      </c>
      <c r="Y358" s="75" t="s">
        <v>7302</v>
      </c>
      <c r="Z358" s="15" t="s">
        <v>10420</v>
      </c>
      <c r="AA358" s="75"/>
      <c r="AB358" s="12" t="s">
        <v>10421</v>
      </c>
      <c r="AC358" s="11" t="s">
        <v>10422</v>
      </c>
      <c r="AD358" s="15" t="s">
        <v>10423</v>
      </c>
      <c r="AE358" s="75" t="s">
        <v>10423</v>
      </c>
      <c r="AF358" s="17"/>
      <c r="AG358" s="17"/>
      <c r="AH358" s="17"/>
      <c r="AI358" s="75" t="s">
        <v>7307</v>
      </c>
    </row>
    <row r="359" spans="1:35" ht="43.2" x14ac:dyDescent="0.3">
      <c r="A359" s="34" t="s">
        <v>7286</v>
      </c>
      <c r="B359" s="72" t="s">
        <v>10424</v>
      </c>
      <c r="C359" s="17" t="s">
        <v>7367</v>
      </c>
      <c r="D359" s="81" t="s">
        <v>10425</v>
      </c>
      <c r="E359" s="94" t="s">
        <v>10426</v>
      </c>
      <c r="F359" s="75" t="s">
        <v>7370</v>
      </c>
      <c r="G359" s="75" t="s">
        <v>7371</v>
      </c>
      <c r="H359" s="75" t="s">
        <v>9832</v>
      </c>
      <c r="I359" s="75" t="s">
        <v>9833</v>
      </c>
      <c r="J359" s="75" t="s">
        <v>9834</v>
      </c>
      <c r="K359" s="11" t="s">
        <v>9835</v>
      </c>
      <c r="L359" s="77" t="s">
        <v>9836</v>
      </c>
      <c r="M359" s="76">
        <v>45397</v>
      </c>
      <c r="N359" s="76"/>
      <c r="O359" s="75" t="s">
        <v>8747</v>
      </c>
      <c r="P359" s="17"/>
      <c r="Q359" s="76">
        <v>32047</v>
      </c>
      <c r="R359" s="78">
        <v>39.046575342465751</v>
      </c>
      <c r="S359" s="79" t="s">
        <v>10427</v>
      </c>
      <c r="T359" s="75" t="s">
        <v>7298</v>
      </c>
      <c r="U359" s="75" t="s">
        <v>10428</v>
      </c>
      <c r="V359" s="83">
        <v>48282</v>
      </c>
      <c r="W359" s="75" t="s">
        <v>7300</v>
      </c>
      <c r="X359" s="75" t="s">
        <v>7301</v>
      </c>
      <c r="Y359" s="75" t="s">
        <v>7302</v>
      </c>
      <c r="Z359" s="15" t="s">
        <v>10429</v>
      </c>
      <c r="AA359" s="75"/>
      <c r="AB359" s="12" t="s">
        <v>10430</v>
      </c>
      <c r="AC359" s="11" t="s">
        <v>10431</v>
      </c>
      <c r="AD359" s="15" t="s">
        <v>10432</v>
      </c>
      <c r="AE359" s="75" t="s">
        <v>10432</v>
      </c>
      <c r="AF359" s="17"/>
      <c r="AG359" s="17"/>
      <c r="AH359" s="17"/>
      <c r="AI359" s="75" t="s">
        <v>7745</v>
      </c>
    </row>
    <row r="360" spans="1:35" ht="57.6" x14ac:dyDescent="0.3">
      <c r="A360" s="34" t="s">
        <v>7286</v>
      </c>
      <c r="B360" s="72" t="s">
        <v>10433</v>
      </c>
      <c r="C360" s="17" t="s">
        <v>7367</v>
      </c>
      <c r="D360" s="81" t="s">
        <v>10434</v>
      </c>
      <c r="E360" s="94" t="s">
        <v>10435</v>
      </c>
      <c r="F360" s="75" t="s">
        <v>7291</v>
      </c>
      <c r="G360" s="75" t="s">
        <v>7292</v>
      </c>
      <c r="H360" s="75" t="s">
        <v>7814</v>
      </c>
      <c r="I360" s="75" t="s">
        <v>7815</v>
      </c>
      <c r="J360" s="75" t="s">
        <v>10436</v>
      </c>
      <c r="K360" s="11" t="s">
        <v>10437</v>
      </c>
      <c r="L360" s="77" t="s">
        <v>7818</v>
      </c>
      <c r="M360" s="76">
        <v>45425</v>
      </c>
      <c r="N360" s="76"/>
      <c r="O360" s="75" t="s">
        <v>7870</v>
      </c>
      <c r="P360" s="17"/>
      <c r="Q360" s="76">
        <v>33388</v>
      </c>
      <c r="R360" s="78">
        <v>35.372602739726027</v>
      </c>
      <c r="S360" s="79" t="s">
        <v>10438</v>
      </c>
      <c r="T360" s="75" t="s">
        <v>7298</v>
      </c>
      <c r="U360" s="75" t="s">
        <v>10439</v>
      </c>
      <c r="V360" s="83">
        <v>48127</v>
      </c>
      <c r="W360" s="75" t="s">
        <v>7300</v>
      </c>
      <c r="X360" s="75" t="s">
        <v>7301</v>
      </c>
      <c r="Y360" s="75" t="s">
        <v>7319</v>
      </c>
      <c r="Z360" s="15" t="s">
        <v>10440</v>
      </c>
      <c r="AA360" s="75"/>
      <c r="AB360" s="12" t="s">
        <v>10441</v>
      </c>
      <c r="AC360" s="11" t="s">
        <v>10442</v>
      </c>
      <c r="AD360" s="15" t="s">
        <v>10443</v>
      </c>
      <c r="AE360" s="75" t="s">
        <v>10444</v>
      </c>
      <c r="AF360" s="17"/>
      <c r="AG360" s="17"/>
      <c r="AH360" s="17"/>
      <c r="AI360" s="75" t="s">
        <v>8116</v>
      </c>
    </row>
    <row r="361" spans="1:35" x14ac:dyDescent="0.3">
      <c r="A361" s="34" t="s">
        <v>7286</v>
      </c>
      <c r="B361" s="72" t="s">
        <v>10445</v>
      </c>
      <c r="C361" s="17" t="s">
        <v>7367</v>
      </c>
      <c r="D361" s="81" t="s">
        <v>10446</v>
      </c>
      <c r="E361" s="94" t="s">
        <v>10447</v>
      </c>
      <c r="F361" s="75" t="s">
        <v>7329</v>
      </c>
      <c r="G361" s="75" t="s">
        <v>7330</v>
      </c>
      <c r="H361" s="11" t="s">
        <v>7358</v>
      </c>
      <c r="I361" s="75" t="s">
        <v>7359</v>
      </c>
      <c r="J361" s="75" t="s">
        <v>7388</v>
      </c>
      <c r="K361" s="11" t="s">
        <v>7389</v>
      </c>
      <c r="L361" s="77" t="s">
        <v>7360</v>
      </c>
      <c r="M361" s="76">
        <v>45425</v>
      </c>
      <c r="N361" s="76"/>
      <c r="O361" s="75" t="s">
        <v>7870</v>
      </c>
      <c r="P361" s="17"/>
      <c r="Q361" s="76">
        <v>36278</v>
      </c>
      <c r="R361" s="78">
        <v>27.454794520547946</v>
      </c>
      <c r="S361" s="79" t="s">
        <v>10448</v>
      </c>
      <c r="T361" s="75" t="s">
        <v>7298</v>
      </c>
      <c r="U361" s="75" t="s">
        <v>10449</v>
      </c>
      <c r="V361" s="83">
        <v>47912</v>
      </c>
      <c r="W361" s="75" t="s">
        <v>7300</v>
      </c>
      <c r="X361" s="75" t="s">
        <v>7301</v>
      </c>
      <c r="Y361" s="75" t="s">
        <v>7319</v>
      </c>
      <c r="Z361" s="15" t="s">
        <v>10450</v>
      </c>
      <c r="AA361" s="75"/>
      <c r="AB361" s="12" t="s">
        <v>7293</v>
      </c>
      <c r="AC361" s="11" t="s">
        <v>10451</v>
      </c>
      <c r="AD361" s="15" t="s">
        <v>10452</v>
      </c>
      <c r="AE361" s="75" t="s">
        <v>10453</v>
      </c>
      <c r="AF361" s="17"/>
      <c r="AG361" s="17"/>
      <c r="AH361" s="17"/>
      <c r="AI361" s="75" t="s">
        <v>7324</v>
      </c>
    </row>
    <row r="362" spans="1:35" ht="57.6" x14ac:dyDescent="0.3">
      <c r="A362" s="34" t="s">
        <v>7286</v>
      </c>
      <c r="B362" s="72" t="s">
        <v>10454</v>
      </c>
      <c r="C362" s="17" t="s">
        <v>7367</v>
      </c>
      <c r="D362" s="81" t="s">
        <v>10455</v>
      </c>
      <c r="E362" s="94" t="s">
        <v>10456</v>
      </c>
      <c r="F362" s="75" t="s">
        <v>7293</v>
      </c>
      <c r="G362" s="75" t="s">
        <v>7293</v>
      </c>
      <c r="H362" s="75" t="s">
        <v>7933</v>
      </c>
      <c r="I362" s="75" t="s">
        <v>7934</v>
      </c>
      <c r="J362" s="75" t="s">
        <v>9814</v>
      </c>
      <c r="K362" s="11" t="s">
        <v>9815</v>
      </c>
      <c r="L362" s="77" t="s">
        <v>7937</v>
      </c>
      <c r="M362" s="76">
        <v>45428</v>
      </c>
      <c r="N362" s="76"/>
      <c r="O362" s="75" t="s">
        <v>8747</v>
      </c>
      <c r="P362" s="17"/>
      <c r="Q362" s="76">
        <v>37832</v>
      </c>
      <c r="R362" s="78">
        <v>23.197260273972603</v>
      </c>
      <c r="S362" s="79" t="s">
        <v>10457</v>
      </c>
      <c r="T362" s="75" t="s">
        <v>7298</v>
      </c>
      <c r="U362" s="75" t="s">
        <v>10458</v>
      </c>
      <c r="V362" s="83">
        <v>47375</v>
      </c>
      <c r="W362" s="75" t="s">
        <v>7300</v>
      </c>
      <c r="X362" s="75" t="s">
        <v>7301</v>
      </c>
      <c r="Y362" s="75" t="s">
        <v>7319</v>
      </c>
      <c r="Z362" s="15" t="s">
        <v>10459</v>
      </c>
      <c r="AA362" s="75"/>
      <c r="AB362" s="12" t="s">
        <v>10460</v>
      </c>
      <c r="AC362" s="11" t="s">
        <v>10461</v>
      </c>
      <c r="AD362" s="15" t="s">
        <v>10462</v>
      </c>
      <c r="AE362" s="75" t="s">
        <v>10463</v>
      </c>
      <c r="AF362" s="17"/>
      <c r="AG362" s="17"/>
      <c r="AH362" s="17"/>
      <c r="AI362" s="75" t="s">
        <v>7307</v>
      </c>
    </row>
    <row r="363" spans="1:35" ht="57.6" x14ac:dyDescent="0.3">
      <c r="A363" s="34" t="s">
        <v>7286</v>
      </c>
      <c r="B363" s="72" t="s">
        <v>10464</v>
      </c>
      <c r="C363" s="17" t="s">
        <v>7367</v>
      </c>
      <c r="D363" s="81" t="s">
        <v>10465</v>
      </c>
      <c r="E363" s="94" t="s">
        <v>10466</v>
      </c>
      <c r="F363" s="75" t="s">
        <v>7370</v>
      </c>
      <c r="G363" s="75" t="s">
        <v>7371</v>
      </c>
      <c r="H363" s="75" t="s">
        <v>7372</v>
      </c>
      <c r="I363" s="75" t="s">
        <v>7373</v>
      </c>
      <c r="J363" s="75" t="s">
        <v>8653</v>
      </c>
      <c r="K363" s="11" t="s">
        <v>8654</v>
      </c>
      <c r="L363" s="77" t="s">
        <v>7376</v>
      </c>
      <c r="M363" s="76">
        <v>45428</v>
      </c>
      <c r="N363" s="76"/>
      <c r="O363" s="75" t="s">
        <v>8747</v>
      </c>
      <c r="P363" s="17"/>
      <c r="Q363" s="76">
        <v>37792</v>
      </c>
      <c r="R363" s="78">
        <v>23.306849315068494</v>
      </c>
      <c r="S363" s="79" t="s">
        <v>10467</v>
      </c>
      <c r="T363" s="75" t="s">
        <v>7298</v>
      </c>
      <c r="U363" s="75" t="s">
        <v>10468</v>
      </c>
      <c r="V363" s="83">
        <v>47301</v>
      </c>
      <c r="W363" s="75" t="s">
        <v>7300</v>
      </c>
      <c r="X363" s="75" t="s">
        <v>7301</v>
      </c>
      <c r="Y363" s="75" t="s">
        <v>7319</v>
      </c>
      <c r="Z363" s="15" t="s">
        <v>10469</v>
      </c>
      <c r="AA363" s="75"/>
      <c r="AB363" s="12" t="s">
        <v>10470</v>
      </c>
      <c r="AC363" s="11" t="s">
        <v>10471</v>
      </c>
      <c r="AD363" s="15" t="s">
        <v>10472</v>
      </c>
      <c r="AE363" s="75" t="s">
        <v>10473</v>
      </c>
      <c r="AF363" s="17"/>
      <c r="AG363" s="17"/>
      <c r="AH363" s="34"/>
      <c r="AI363" s="75" t="s">
        <v>7745</v>
      </c>
    </row>
    <row r="364" spans="1:35" ht="57.6" x14ac:dyDescent="0.3">
      <c r="A364" s="34" t="s">
        <v>7286</v>
      </c>
      <c r="B364" s="72" t="s">
        <v>10474</v>
      </c>
      <c r="C364" s="17" t="s">
        <v>7367</v>
      </c>
      <c r="D364" s="81" t="s">
        <v>10475</v>
      </c>
      <c r="E364" s="94" t="s">
        <v>10476</v>
      </c>
      <c r="F364" s="75" t="s">
        <v>7370</v>
      </c>
      <c r="G364" s="75" t="s">
        <v>7371</v>
      </c>
      <c r="H364" s="75" t="s">
        <v>7372</v>
      </c>
      <c r="I364" s="75" t="s">
        <v>7373</v>
      </c>
      <c r="J364" s="75" t="s">
        <v>8653</v>
      </c>
      <c r="K364" s="11" t="s">
        <v>8654</v>
      </c>
      <c r="L364" s="77" t="s">
        <v>7376</v>
      </c>
      <c r="M364" s="76">
        <v>45428</v>
      </c>
      <c r="N364" s="76"/>
      <c r="O364" s="75" t="s">
        <v>8747</v>
      </c>
      <c r="P364" s="17"/>
      <c r="Q364" s="76">
        <v>37581</v>
      </c>
      <c r="R364" s="78">
        <v>23.884931506849316</v>
      </c>
      <c r="S364" s="79" t="s">
        <v>10477</v>
      </c>
      <c r="T364" s="75" t="s">
        <v>7298</v>
      </c>
      <c r="U364" s="75" t="s">
        <v>10478</v>
      </c>
      <c r="V364" s="83">
        <v>47083</v>
      </c>
      <c r="W364" s="75" t="s">
        <v>7300</v>
      </c>
      <c r="X364" s="75" t="s">
        <v>7301</v>
      </c>
      <c r="Y364" s="75" t="s">
        <v>7319</v>
      </c>
      <c r="Z364" s="15" t="s">
        <v>10479</v>
      </c>
      <c r="AA364" s="75"/>
      <c r="AB364" s="12" t="s">
        <v>10480</v>
      </c>
      <c r="AC364" s="11" t="s">
        <v>10481</v>
      </c>
      <c r="AD364" s="15" t="s">
        <v>10482</v>
      </c>
      <c r="AE364" s="75" t="s">
        <v>10483</v>
      </c>
      <c r="AF364" s="17"/>
      <c r="AG364" s="17"/>
      <c r="AH364" s="34"/>
      <c r="AI364" s="75" t="s">
        <v>7745</v>
      </c>
    </row>
    <row r="365" spans="1:35" ht="57.6" x14ac:dyDescent="0.3">
      <c r="A365" s="34" t="s">
        <v>7286</v>
      </c>
      <c r="B365" s="72" t="s">
        <v>10484</v>
      </c>
      <c r="C365" s="17" t="s">
        <v>7367</v>
      </c>
      <c r="D365" s="81" t="s">
        <v>10485</v>
      </c>
      <c r="E365" s="94" t="s">
        <v>10486</v>
      </c>
      <c r="F365" s="75" t="s">
        <v>7370</v>
      </c>
      <c r="G365" s="75" t="s">
        <v>7371</v>
      </c>
      <c r="H365" s="75" t="s">
        <v>7372</v>
      </c>
      <c r="I365" s="75" t="s">
        <v>7373</v>
      </c>
      <c r="J365" s="75" t="s">
        <v>8653</v>
      </c>
      <c r="K365" s="11" t="s">
        <v>8654</v>
      </c>
      <c r="L365" s="77" t="s">
        <v>7376</v>
      </c>
      <c r="M365" s="76">
        <v>45428</v>
      </c>
      <c r="N365" s="76"/>
      <c r="O365" s="75" t="s">
        <v>8747</v>
      </c>
      <c r="P365" s="17"/>
      <c r="Q365" s="76">
        <v>37058</v>
      </c>
      <c r="R365" s="78">
        <v>25.317808219178083</v>
      </c>
      <c r="S365" s="79" t="s">
        <v>10487</v>
      </c>
      <c r="T365" s="75" t="s">
        <v>7298</v>
      </c>
      <c r="U365" s="75" t="s">
        <v>10488</v>
      </c>
      <c r="V365" s="83">
        <v>46189</v>
      </c>
      <c r="W365" s="75" t="s">
        <v>7300</v>
      </c>
      <c r="X365" s="75" t="s">
        <v>7301</v>
      </c>
      <c r="Y365" s="100" t="s">
        <v>7302</v>
      </c>
      <c r="Z365" s="15" t="s">
        <v>10489</v>
      </c>
      <c r="AA365" s="75"/>
      <c r="AB365" s="12" t="s">
        <v>10490</v>
      </c>
      <c r="AC365" s="11" t="s">
        <v>10491</v>
      </c>
      <c r="AD365" s="15" t="s">
        <v>10492</v>
      </c>
      <c r="AE365" s="75" t="s">
        <v>10493</v>
      </c>
      <c r="AF365" s="17"/>
      <c r="AG365" s="17"/>
      <c r="AH365" s="34"/>
      <c r="AI365" s="75" t="s">
        <v>7745</v>
      </c>
    </row>
    <row r="366" spans="1:35" ht="57.6" x14ac:dyDescent="0.3">
      <c r="A366" s="34" t="s">
        <v>7286</v>
      </c>
      <c r="B366" s="72" t="s">
        <v>10494</v>
      </c>
      <c r="C366" s="17" t="s">
        <v>7367</v>
      </c>
      <c r="D366" s="81" t="s">
        <v>10495</v>
      </c>
      <c r="E366" s="94" t="s">
        <v>10496</v>
      </c>
      <c r="F366" s="75" t="s">
        <v>7370</v>
      </c>
      <c r="G366" s="75" t="s">
        <v>7371</v>
      </c>
      <c r="H366" s="75" t="s">
        <v>7372</v>
      </c>
      <c r="I366" s="75" t="s">
        <v>7373</v>
      </c>
      <c r="J366" s="75" t="s">
        <v>8653</v>
      </c>
      <c r="K366" s="11" t="s">
        <v>8654</v>
      </c>
      <c r="L366" s="77" t="s">
        <v>7376</v>
      </c>
      <c r="M366" s="76">
        <v>45428</v>
      </c>
      <c r="N366" s="76"/>
      <c r="O366" s="75" t="s">
        <v>8747</v>
      </c>
      <c r="P366" s="17"/>
      <c r="Q366" s="76">
        <v>36363</v>
      </c>
      <c r="R366" s="78">
        <v>27.221917808219178</v>
      </c>
      <c r="S366" s="79" t="s">
        <v>10497</v>
      </c>
      <c r="T366" s="75" t="s">
        <v>7298</v>
      </c>
      <c r="U366" s="75" t="s">
        <v>10498</v>
      </c>
      <c r="V366" s="83">
        <v>48182</v>
      </c>
      <c r="W366" s="75" t="s">
        <v>7300</v>
      </c>
      <c r="X366" s="75" t="s">
        <v>10419</v>
      </c>
      <c r="Y366" s="75" t="s">
        <v>7319</v>
      </c>
      <c r="Z366" s="15" t="s">
        <v>10499</v>
      </c>
      <c r="AA366" s="75"/>
      <c r="AB366" s="12" t="s">
        <v>10500</v>
      </c>
      <c r="AC366" s="11" t="s">
        <v>10501</v>
      </c>
      <c r="AD366" s="15" t="s">
        <v>10502</v>
      </c>
      <c r="AE366" s="75" t="s">
        <v>10502</v>
      </c>
      <c r="AF366" s="17"/>
      <c r="AG366" s="17"/>
      <c r="AH366" s="34"/>
      <c r="AI366" s="75" t="s">
        <v>7745</v>
      </c>
    </row>
    <row r="367" spans="1:35" ht="57.6" x14ac:dyDescent="0.3">
      <c r="A367" s="34" t="s">
        <v>7286</v>
      </c>
      <c r="B367" s="72" t="s">
        <v>10503</v>
      </c>
      <c r="C367" s="17" t="s">
        <v>7367</v>
      </c>
      <c r="D367" s="81" t="s">
        <v>10504</v>
      </c>
      <c r="E367" s="94" t="s">
        <v>10505</v>
      </c>
      <c r="F367" s="75" t="s">
        <v>7370</v>
      </c>
      <c r="G367" s="75" t="s">
        <v>7371</v>
      </c>
      <c r="H367" s="75" t="s">
        <v>8349</v>
      </c>
      <c r="I367" s="75" t="s">
        <v>8350</v>
      </c>
      <c r="J367" s="75" t="s">
        <v>10506</v>
      </c>
      <c r="K367" s="11" t="s">
        <v>10507</v>
      </c>
      <c r="L367" s="77" t="s">
        <v>2340</v>
      </c>
      <c r="M367" s="76">
        <v>45428</v>
      </c>
      <c r="N367" s="76"/>
      <c r="O367" s="75" t="s">
        <v>8747</v>
      </c>
      <c r="P367" s="17"/>
      <c r="Q367" s="76">
        <v>36054</v>
      </c>
      <c r="R367" s="78">
        <v>28.068493150684933</v>
      </c>
      <c r="S367" s="79" t="s">
        <v>10508</v>
      </c>
      <c r="T367" s="75" t="s">
        <v>7298</v>
      </c>
      <c r="U367" s="75" t="s">
        <v>10509</v>
      </c>
      <c r="V367" s="83">
        <v>48853</v>
      </c>
      <c r="W367" s="75" t="s">
        <v>7300</v>
      </c>
      <c r="X367" s="75" t="s">
        <v>7301</v>
      </c>
      <c r="Y367" s="75" t="s">
        <v>7319</v>
      </c>
      <c r="Z367" s="15" t="s">
        <v>10510</v>
      </c>
      <c r="AA367" s="75"/>
      <c r="AB367" s="12" t="s">
        <v>10511</v>
      </c>
      <c r="AC367" s="11" t="s">
        <v>10512</v>
      </c>
      <c r="AD367" s="15" t="s">
        <v>10513</v>
      </c>
      <c r="AE367" s="75" t="s">
        <v>10513</v>
      </c>
      <c r="AF367" s="17"/>
      <c r="AG367" s="17"/>
      <c r="AH367" s="34"/>
      <c r="AI367" s="75" t="s">
        <v>7745</v>
      </c>
    </row>
    <row r="368" spans="1:35" x14ac:dyDescent="0.3">
      <c r="A368" s="34" t="s">
        <v>7286</v>
      </c>
      <c r="B368" s="72" t="s">
        <v>10514</v>
      </c>
      <c r="C368" s="17" t="s">
        <v>7367</v>
      </c>
      <c r="D368" s="81" t="s">
        <v>10515</v>
      </c>
      <c r="E368" s="75" t="s">
        <v>10516</v>
      </c>
      <c r="F368" s="75" t="s">
        <v>7293</v>
      </c>
      <c r="G368" s="75" t="s">
        <v>7293</v>
      </c>
      <c r="H368" s="75" t="s">
        <v>7946</v>
      </c>
      <c r="I368" s="75" t="s">
        <v>7947</v>
      </c>
      <c r="J368" s="75" t="s">
        <v>10517</v>
      </c>
      <c r="K368" s="11" t="s">
        <v>10518</v>
      </c>
      <c r="L368" s="77" t="s">
        <v>10519</v>
      </c>
      <c r="M368" s="76">
        <v>45432</v>
      </c>
      <c r="N368" s="76"/>
      <c r="O368" s="75" t="s">
        <v>7923</v>
      </c>
      <c r="P368" s="17"/>
      <c r="Q368" s="98">
        <v>35827</v>
      </c>
      <c r="R368" s="78">
        <v>28.69041095890411</v>
      </c>
      <c r="S368" s="75" t="s">
        <v>10520</v>
      </c>
      <c r="T368" s="75" t="s">
        <v>7298</v>
      </c>
      <c r="U368" s="96" t="s">
        <v>10521</v>
      </c>
      <c r="V368" s="83">
        <v>48327</v>
      </c>
      <c r="W368" s="75" t="s">
        <v>7300</v>
      </c>
      <c r="X368" s="75" t="s">
        <v>10522</v>
      </c>
      <c r="Y368" s="15" t="s">
        <v>7319</v>
      </c>
      <c r="Z368" s="75" t="s">
        <v>10523</v>
      </c>
      <c r="AA368" s="12"/>
      <c r="AB368" s="15" t="s">
        <v>10524</v>
      </c>
      <c r="AC368" s="75" t="s">
        <v>10525</v>
      </c>
      <c r="AD368" s="17" t="s">
        <v>10526</v>
      </c>
      <c r="AE368" s="17" t="s">
        <v>10526</v>
      </c>
      <c r="AF368" s="17"/>
      <c r="AG368" s="75"/>
      <c r="AH368" s="17"/>
      <c r="AI368" s="75" t="s">
        <v>7307</v>
      </c>
    </row>
    <row r="369" spans="1:35" ht="72" x14ac:dyDescent="0.3">
      <c r="A369" s="34" t="s">
        <v>7286</v>
      </c>
      <c r="B369" s="72" t="s">
        <v>10527</v>
      </c>
      <c r="C369" s="17" t="s">
        <v>7150</v>
      </c>
      <c r="D369" s="81" t="s">
        <v>10528</v>
      </c>
      <c r="E369" s="94" t="s">
        <v>10529</v>
      </c>
      <c r="F369" s="75" t="s">
        <v>7329</v>
      </c>
      <c r="G369" s="75" t="s">
        <v>7330</v>
      </c>
      <c r="H369" s="75" t="s">
        <v>7405</v>
      </c>
      <c r="I369" s="75" t="s">
        <v>7406</v>
      </c>
      <c r="J369" s="75" t="s">
        <v>7407</v>
      </c>
      <c r="K369" s="11" t="s">
        <v>7408</v>
      </c>
      <c r="L369" s="77" t="s">
        <v>7409</v>
      </c>
      <c r="M369" s="76">
        <v>45446</v>
      </c>
      <c r="N369" s="76"/>
      <c r="O369" s="75" t="s">
        <v>7870</v>
      </c>
      <c r="P369" s="17"/>
      <c r="Q369" s="76">
        <v>37046</v>
      </c>
      <c r="R369" s="78">
        <v>25.350684931506848</v>
      </c>
      <c r="S369" s="79" t="s">
        <v>10530</v>
      </c>
      <c r="T369" s="75" t="s">
        <v>7298</v>
      </c>
      <c r="U369" s="75" t="s">
        <v>10531</v>
      </c>
      <c r="V369" s="83">
        <v>46177</v>
      </c>
      <c r="W369" s="75" t="s">
        <v>7300</v>
      </c>
      <c r="X369" s="75" t="s">
        <v>7301</v>
      </c>
      <c r="Y369" s="75" t="s">
        <v>7319</v>
      </c>
      <c r="Z369" s="15" t="s">
        <v>10532</v>
      </c>
      <c r="AA369" s="75"/>
      <c r="AB369" s="12" t="s">
        <v>10533</v>
      </c>
      <c r="AC369" s="11" t="s">
        <v>10534</v>
      </c>
      <c r="AD369" s="15" t="s">
        <v>10535</v>
      </c>
      <c r="AE369" s="75" t="s">
        <v>10536</v>
      </c>
      <c r="AF369" s="17"/>
      <c r="AG369" s="17"/>
      <c r="AH369" s="17"/>
      <c r="AI369" s="75" t="s">
        <v>7324</v>
      </c>
    </row>
    <row r="370" spans="1:35" ht="57.6" x14ac:dyDescent="0.3">
      <c r="A370" s="34" t="s">
        <v>7286</v>
      </c>
      <c r="B370" s="72" t="s">
        <v>10537</v>
      </c>
      <c r="C370" s="17" t="s">
        <v>7367</v>
      </c>
      <c r="D370" s="81" t="s">
        <v>10538</v>
      </c>
      <c r="E370" s="94" t="s">
        <v>10539</v>
      </c>
      <c r="F370" s="75" t="s">
        <v>7329</v>
      </c>
      <c r="G370" s="75" t="s">
        <v>7330</v>
      </c>
      <c r="H370" s="75" t="s">
        <v>7630</v>
      </c>
      <c r="I370" s="75" t="s">
        <v>7631</v>
      </c>
      <c r="J370" s="75" t="s">
        <v>8517</v>
      </c>
      <c r="K370" s="11" t="s">
        <v>6341</v>
      </c>
      <c r="L370" s="77" t="s">
        <v>7632</v>
      </c>
      <c r="M370" s="76">
        <v>45446</v>
      </c>
      <c r="N370" s="76"/>
      <c r="O370" s="75" t="s">
        <v>7870</v>
      </c>
      <c r="P370" s="17"/>
      <c r="Q370" s="76">
        <v>36719</v>
      </c>
      <c r="R370" s="78">
        <v>26.246575342465754</v>
      </c>
      <c r="S370" s="79" t="s">
        <v>10540</v>
      </c>
      <c r="T370" s="75" t="s">
        <v>7298</v>
      </c>
      <c r="U370" s="75" t="s">
        <v>10541</v>
      </c>
      <c r="V370" s="83">
        <v>47318</v>
      </c>
      <c r="W370" s="75" t="s">
        <v>7300</v>
      </c>
      <c r="X370" s="75" t="s">
        <v>7301</v>
      </c>
      <c r="Y370" s="75" t="s">
        <v>7319</v>
      </c>
      <c r="Z370" s="15" t="s">
        <v>10542</v>
      </c>
      <c r="AA370" s="75"/>
      <c r="AB370" s="12" t="s">
        <v>10543</v>
      </c>
      <c r="AC370" s="11" t="s">
        <v>10544</v>
      </c>
      <c r="AD370" s="15" t="s">
        <v>10545</v>
      </c>
      <c r="AE370" s="75" t="s">
        <v>10546</v>
      </c>
      <c r="AF370" s="17"/>
      <c r="AG370" s="17"/>
      <c r="AH370" s="17"/>
      <c r="AI370" s="75" t="s">
        <v>7324</v>
      </c>
    </row>
    <row r="371" spans="1:35" x14ac:dyDescent="0.3">
      <c r="A371" s="34" t="s">
        <v>7286</v>
      </c>
      <c r="B371" s="72" t="s">
        <v>10547</v>
      </c>
      <c r="C371" s="17" t="s">
        <v>7150</v>
      </c>
      <c r="D371" s="81" t="s">
        <v>10548</v>
      </c>
      <c r="E371" s="94" t="s">
        <v>1411</v>
      </c>
      <c r="F371" s="75" t="s">
        <v>7293</v>
      </c>
      <c r="G371" s="75" t="s">
        <v>7293</v>
      </c>
      <c r="H371" s="75" t="s">
        <v>7311</v>
      </c>
      <c r="I371" s="75" t="s">
        <v>7312</v>
      </c>
      <c r="J371" s="75" t="s">
        <v>7313</v>
      </c>
      <c r="K371" s="11" t="s">
        <v>7314</v>
      </c>
      <c r="L371" s="77" t="s">
        <v>7315</v>
      </c>
      <c r="M371" s="76">
        <v>45446</v>
      </c>
      <c r="N371" s="76"/>
      <c r="O371" s="75" t="s">
        <v>7870</v>
      </c>
      <c r="P371" s="17" t="s">
        <v>7316</v>
      </c>
      <c r="Q371" s="76">
        <v>31232</v>
      </c>
      <c r="R371" s="78">
        <v>41.279452054794518</v>
      </c>
      <c r="S371" s="79" t="s">
        <v>10549</v>
      </c>
      <c r="T371" s="75" t="s">
        <v>7298</v>
      </c>
      <c r="U371" s="75" t="s">
        <v>10550</v>
      </c>
      <c r="V371" s="83">
        <v>47710</v>
      </c>
      <c r="W371" s="75" t="s">
        <v>7300</v>
      </c>
      <c r="X371" s="75" t="s">
        <v>7301</v>
      </c>
      <c r="Y371" s="75" t="s">
        <v>7319</v>
      </c>
      <c r="Z371" s="15" t="s">
        <v>10551</v>
      </c>
      <c r="AA371" s="75"/>
      <c r="AB371" s="12" t="s">
        <v>7293</v>
      </c>
      <c r="AC371" s="11"/>
      <c r="AD371" s="15" t="s">
        <v>10552</v>
      </c>
      <c r="AE371" s="75" t="s">
        <v>10553</v>
      </c>
      <c r="AF371" s="17"/>
      <c r="AG371" s="17"/>
      <c r="AH371" s="17"/>
      <c r="AI371" s="75" t="s">
        <v>7324</v>
      </c>
    </row>
    <row r="372" spans="1:35" x14ac:dyDescent="0.3">
      <c r="A372" s="34" t="s">
        <v>7286</v>
      </c>
      <c r="B372" s="72" t="s">
        <v>10554</v>
      </c>
      <c r="C372" s="17" t="s">
        <v>7150</v>
      </c>
      <c r="D372" s="81" t="s">
        <v>10555</v>
      </c>
      <c r="E372" s="94" t="s">
        <v>1471</v>
      </c>
      <c r="F372" s="75" t="s">
        <v>7293</v>
      </c>
      <c r="G372" s="75" t="s">
        <v>7293</v>
      </c>
      <c r="H372" s="75" t="s">
        <v>7311</v>
      </c>
      <c r="I372" s="75" t="s">
        <v>7312</v>
      </c>
      <c r="J372" s="75" t="s">
        <v>7433</v>
      </c>
      <c r="K372" s="11" t="s">
        <v>7434</v>
      </c>
      <c r="L372" s="77" t="s">
        <v>7315</v>
      </c>
      <c r="M372" s="76">
        <v>45446</v>
      </c>
      <c r="N372" s="76"/>
      <c r="O372" s="75" t="s">
        <v>7870</v>
      </c>
      <c r="P372" s="17" t="s">
        <v>7425</v>
      </c>
      <c r="Q372" s="76">
        <v>28719</v>
      </c>
      <c r="R372" s="78">
        <v>48.164383561643838</v>
      </c>
      <c r="S372" s="79" t="s">
        <v>10556</v>
      </c>
      <c r="T372" s="75" t="s">
        <v>7298</v>
      </c>
      <c r="U372" s="75" t="s">
        <v>10557</v>
      </c>
      <c r="V372" s="83">
        <v>46982</v>
      </c>
      <c r="W372" s="75" t="s">
        <v>7300</v>
      </c>
      <c r="X372" s="75" t="s">
        <v>7301</v>
      </c>
      <c r="Y372" s="75" t="s">
        <v>7319</v>
      </c>
      <c r="Z372" s="15" t="s">
        <v>10558</v>
      </c>
      <c r="AA372" s="75"/>
      <c r="AB372" s="12" t="s">
        <v>7293</v>
      </c>
      <c r="AC372" s="11"/>
      <c r="AD372" s="15" t="s">
        <v>10559</v>
      </c>
      <c r="AE372" s="75" t="s">
        <v>10560</v>
      </c>
      <c r="AF372" s="17"/>
      <c r="AG372" s="17"/>
      <c r="AH372" s="17"/>
      <c r="AI372" s="75" t="s">
        <v>7425</v>
      </c>
    </row>
    <row r="373" spans="1:35" ht="72" x14ac:dyDescent="0.3">
      <c r="A373" s="34" t="s">
        <v>7286</v>
      </c>
      <c r="B373" s="72" t="s">
        <v>10561</v>
      </c>
      <c r="C373" s="17" t="s">
        <v>7367</v>
      </c>
      <c r="D373" s="81" t="s">
        <v>10562</v>
      </c>
      <c r="E373" s="94" t="s">
        <v>10563</v>
      </c>
      <c r="F373" s="75" t="s">
        <v>7346</v>
      </c>
      <c r="G373" s="75" t="s">
        <v>6471</v>
      </c>
      <c r="H373" s="21" t="s">
        <v>9082</v>
      </c>
      <c r="I373" s="75" t="s">
        <v>9083</v>
      </c>
      <c r="J373" s="75" t="s">
        <v>10564</v>
      </c>
      <c r="K373" s="11" t="s">
        <v>10565</v>
      </c>
      <c r="L373" s="77" t="s">
        <v>9081</v>
      </c>
      <c r="M373" s="76">
        <v>45446</v>
      </c>
      <c r="N373" s="76"/>
      <c r="O373" s="75" t="s">
        <v>7923</v>
      </c>
      <c r="P373" s="17"/>
      <c r="Q373" s="76">
        <v>34455</v>
      </c>
      <c r="R373" s="78">
        <v>32.449315068493149</v>
      </c>
      <c r="S373" s="79" t="s">
        <v>10566</v>
      </c>
      <c r="T373" s="75" t="s">
        <v>7298</v>
      </c>
      <c r="U373" s="75" t="s">
        <v>10567</v>
      </c>
      <c r="V373" s="83">
        <v>47253</v>
      </c>
      <c r="W373" s="75" t="s">
        <v>7300</v>
      </c>
      <c r="X373" s="75" t="s">
        <v>7301</v>
      </c>
      <c r="Y373" s="75" t="s">
        <v>7302</v>
      </c>
      <c r="Z373" s="15" t="s">
        <v>10568</v>
      </c>
      <c r="AA373" s="75"/>
      <c r="AB373" s="12" t="s">
        <v>10569</v>
      </c>
      <c r="AC373" s="11" t="s">
        <v>10570</v>
      </c>
      <c r="AD373" s="15" t="s">
        <v>10571</v>
      </c>
      <c r="AE373" s="75" t="s">
        <v>10572</v>
      </c>
      <c r="AF373" s="17"/>
      <c r="AG373" s="17"/>
      <c r="AH373" s="17"/>
      <c r="AI373" s="75" t="s">
        <v>7307</v>
      </c>
    </row>
    <row r="374" spans="1:35" ht="57.6" x14ac:dyDescent="0.3">
      <c r="A374" s="34" t="s">
        <v>7286</v>
      </c>
      <c r="B374" s="72" t="s">
        <v>10573</v>
      </c>
      <c r="C374" s="17" t="s">
        <v>7343</v>
      </c>
      <c r="D374" s="81" t="s">
        <v>10574</v>
      </c>
      <c r="E374" s="94" t="s">
        <v>10575</v>
      </c>
      <c r="F374" s="75" t="s">
        <v>10576</v>
      </c>
      <c r="G374" s="75" t="s">
        <v>7218</v>
      </c>
      <c r="H374" s="75" t="s">
        <v>7293</v>
      </c>
      <c r="I374" s="75" t="s">
        <v>7293</v>
      </c>
      <c r="J374" s="75" t="s">
        <v>10577</v>
      </c>
      <c r="K374" s="11" t="s">
        <v>10578</v>
      </c>
      <c r="L374" s="77" t="s">
        <v>7293</v>
      </c>
      <c r="M374" s="76">
        <v>45448</v>
      </c>
      <c r="N374" s="76"/>
      <c r="O374" s="75" t="s">
        <v>10579</v>
      </c>
      <c r="P374" s="17"/>
      <c r="Q374" s="76">
        <v>32668</v>
      </c>
      <c r="R374" s="78">
        <v>37.345205479452055</v>
      </c>
      <c r="S374" s="79" t="s">
        <v>10580</v>
      </c>
      <c r="T374" s="75" t="s">
        <v>7298</v>
      </c>
      <c r="U374" s="75" t="s">
        <v>10581</v>
      </c>
      <c r="V374" s="83">
        <v>47489</v>
      </c>
      <c r="W374" s="75" t="s">
        <v>7953</v>
      </c>
      <c r="X374" s="75" t="s">
        <v>7301</v>
      </c>
      <c r="Y374" s="75" t="s">
        <v>7302</v>
      </c>
      <c r="Z374" s="15" t="s">
        <v>10582</v>
      </c>
      <c r="AA374" s="75"/>
      <c r="AB374" s="12" t="s">
        <v>10583</v>
      </c>
      <c r="AC374" s="11"/>
      <c r="AD374" s="15" t="s">
        <v>10584</v>
      </c>
      <c r="AE374" s="75" t="s">
        <v>10584</v>
      </c>
      <c r="AF374" s="17"/>
      <c r="AG374" s="17"/>
      <c r="AH374" s="17"/>
      <c r="AI374" s="75" t="s">
        <v>10585</v>
      </c>
    </row>
    <row r="375" spans="1:35" ht="57.6" x14ac:dyDescent="0.3">
      <c r="A375" s="34" t="s">
        <v>7286</v>
      </c>
      <c r="B375" s="72" t="s">
        <v>10586</v>
      </c>
      <c r="C375" s="17" t="s">
        <v>7367</v>
      </c>
      <c r="D375" s="81" t="s">
        <v>10587</v>
      </c>
      <c r="E375" s="94" t="s">
        <v>10588</v>
      </c>
      <c r="F375" s="75" t="s">
        <v>7293</v>
      </c>
      <c r="G375" s="75" t="s">
        <v>7293</v>
      </c>
      <c r="H375" s="11" t="s">
        <v>7293</v>
      </c>
      <c r="I375" s="75" t="s">
        <v>7293</v>
      </c>
      <c r="J375" s="75" t="s">
        <v>7585</v>
      </c>
      <c r="K375" s="11" t="s">
        <v>7586</v>
      </c>
      <c r="L375" s="77" t="s">
        <v>7587</v>
      </c>
      <c r="M375" s="76">
        <v>45453</v>
      </c>
      <c r="N375" s="76"/>
      <c r="O375" s="75" t="s">
        <v>7923</v>
      </c>
      <c r="P375" s="17"/>
      <c r="Q375" s="76">
        <v>36190</v>
      </c>
      <c r="R375" s="78">
        <v>27.695890410958903</v>
      </c>
      <c r="S375" s="79" t="s">
        <v>10589</v>
      </c>
      <c r="T375" s="75" t="s">
        <v>7298</v>
      </c>
      <c r="U375" s="75" t="s">
        <v>10590</v>
      </c>
      <c r="V375" s="83">
        <v>47771</v>
      </c>
      <c r="W375" s="75" t="s">
        <v>7300</v>
      </c>
      <c r="X375" s="75" t="s">
        <v>7301</v>
      </c>
      <c r="Y375" s="75" t="s">
        <v>7302</v>
      </c>
      <c r="Z375" s="15" t="s">
        <v>10591</v>
      </c>
      <c r="AA375" s="75"/>
      <c r="AB375" s="12" t="s">
        <v>10592</v>
      </c>
      <c r="AC375" s="11" t="s">
        <v>10593</v>
      </c>
      <c r="AD375" s="15" t="s">
        <v>10594</v>
      </c>
      <c r="AE375" s="75" t="s">
        <v>10595</v>
      </c>
      <c r="AF375" s="17"/>
      <c r="AG375" s="17"/>
      <c r="AH375" s="17"/>
      <c r="AI375" s="75" t="s">
        <v>7307</v>
      </c>
    </row>
    <row r="376" spans="1:35" ht="57.6" x14ac:dyDescent="0.3">
      <c r="A376" s="34" t="s">
        <v>7286</v>
      </c>
      <c r="B376" s="72" t="s">
        <v>10596</v>
      </c>
      <c r="C376" s="17" t="s">
        <v>7367</v>
      </c>
      <c r="D376" s="81" t="s">
        <v>10597</v>
      </c>
      <c r="E376" s="94" t="s">
        <v>118</v>
      </c>
      <c r="F376" s="75" t="s">
        <v>10576</v>
      </c>
      <c r="G376" s="75" t="s">
        <v>7218</v>
      </c>
      <c r="H376" s="75" t="s">
        <v>7293</v>
      </c>
      <c r="I376" s="75" t="s">
        <v>7293</v>
      </c>
      <c r="J376" s="75" t="s">
        <v>10598</v>
      </c>
      <c r="K376" s="11" t="s">
        <v>10599</v>
      </c>
      <c r="L376" s="77" t="s">
        <v>10575</v>
      </c>
      <c r="M376" s="76">
        <v>45457</v>
      </c>
      <c r="N376" s="76"/>
      <c r="O376" s="75" t="s">
        <v>10579</v>
      </c>
      <c r="P376" s="17"/>
      <c r="Q376" s="76">
        <v>31869</v>
      </c>
      <c r="R376" s="78">
        <v>39.534246575342465</v>
      </c>
      <c r="S376" s="79" t="s">
        <v>10600</v>
      </c>
      <c r="T376" s="75" t="s">
        <v>7298</v>
      </c>
      <c r="U376" s="75" t="s">
        <v>10601</v>
      </c>
      <c r="V376" s="83">
        <v>47234</v>
      </c>
      <c r="W376" s="75" t="s">
        <v>7953</v>
      </c>
      <c r="X376" s="75" t="s">
        <v>10419</v>
      </c>
      <c r="Y376" s="75" t="s">
        <v>7319</v>
      </c>
      <c r="Z376" s="15" t="s">
        <v>10602</v>
      </c>
      <c r="AA376" s="75"/>
      <c r="AB376" s="13" t="s">
        <v>10603</v>
      </c>
      <c r="AC376" s="11" t="s">
        <v>10604</v>
      </c>
      <c r="AD376" s="15" t="s">
        <v>10605</v>
      </c>
      <c r="AE376" s="75" t="s">
        <v>10606</v>
      </c>
      <c r="AF376" s="17"/>
      <c r="AG376" s="17"/>
      <c r="AH376" s="17"/>
      <c r="AI376" s="75" t="s">
        <v>10585</v>
      </c>
    </row>
    <row r="377" spans="1:35" x14ac:dyDescent="0.3">
      <c r="A377" s="34" t="s">
        <v>7286</v>
      </c>
      <c r="B377" s="72" t="s">
        <v>10607</v>
      </c>
      <c r="C377" s="17" t="s">
        <v>7150</v>
      </c>
      <c r="D377" s="81" t="s">
        <v>10608</v>
      </c>
      <c r="E377" s="74" t="s">
        <v>1676</v>
      </c>
      <c r="F377" s="75" t="s">
        <v>7293</v>
      </c>
      <c r="G377" s="75" t="s">
        <v>7293</v>
      </c>
      <c r="H377" s="75" t="s">
        <v>7311</v>
      </c>
      <c r="I377" s="75" t="s">
        <v>7312</v>
      </c>
      <c r="J377" s="75" t="s">
        <v>7313</v>
      </c>
      <c r="K377" s="11" t="s">
        <v>7314</v>
      </c>
      <c r="L377" s="77" t="s">
        <v>7315</v>
      </c>
      <c r="M377" s="98">
        <v>45474</v>
      </c>
      <c r="N377" s="76"/>
      <c r="O377" s="75" t="s">
        <v>7870</v>
      </c>
      <c r="P377" s="17" t="s">
        <v>10609</v>
      </c>
      <c r="Q377" s="98">
        <v>27800</v>
      </c>
      <c r="R377" s="78">
        <v>50</v>
      </c>
      <c r="S377" s="101" t="s">
        <v>10610</v>
      </c>
      <c r="T377" s="75" t="s">
        <v>7298</v>
      </c>
      <c r="U377" s="11" t="s">
        <v>10611</v>
      </c>
      <c r="V377" s="102">
        <v>49726</v>
      </c>
      <c r="W377" s="75" t="s">
        <v>7300</v>
      </c>
      <c r="X377" s="11" t="s">
        <v>10336</v>
      </c>
      <c r="Y377" s="75" t="s">
        <v>7319</v>
      </c>
      <c r="Z377" s="15" t="s">
        <v>10612</v>
      </c>
      <c r="AA377" s="11"/>
      <c r="AB377" s="12" t="s">
        <v>7293</v>
      </c>
      <c r="AC377" s="11"/>
      <c r="AD377" s="15" t="s">
        <v>10613</v>
      </c>
      <c r="AE377" s="15" t="s">
        <v>10614</v>
      </c>
      <c r="AF377" s="34"/>
      <c r="AG377" s="34"/>
      <c r="AH377" s="34"/>
      <c r="AI377" s="75" t="s">
        <v>10609</v>
      </c>
    </row>
    <row r="378" spans="1:35" x14ac:dyDescent="0.3">
      <c r="A378" s="34" t="s">
        <v>7286</v>
      </c>
      <c r="B378" s="72" t="s">
        <v>10615</v>
      </c>
      <c r="C378" s="34" t="s">
        <v>7150</v>
      </c>
      <c r="D378" s="81" t="s">
        <v>10616</v>
      </c>
      <c r="E378" s="74" t="s">
        <v>1283</v>
      </c>
      <c r="F378" s="75" t="s">
        <v>7293</v>
      </c>
      <c r="G378" s="75" t="s">
        <v>7293</v>
      </c>
      <c r="H378" s="75" t="s">
        <v>7311</v>
      </c>
      <c r="I378" s="75" t="s">
        <v>7312</v>
      </c>
      <c r="J378" s="11" t="s">
        <v>7433</v>
      </c>
      <c r="K378" s="11" t="s">
        <v>7434</v>
      </c>
      <c r="L378" s="77" t="s">
        <v>7315</v>
      </c>
      <c r="M378" s="98">
        <v>45474</v>
      </c>
      <c r="N378" s="76"/>
      <c r="O378" s="75" t="s">
        <v>7870</v>
      </c>
      <c r="P378" s="17" t="s">
        <v>10609</v>
      </c>
      <c r="Q378" s="98">
        <v>35497</v>
      </c>
      <c r="R378" s="78">
        <v>29.594520547945205</v>
      </c>
      <c r="S378" s="101" t="s">
        <v>10617</v>
      </c>
      <c r="T378" s="75" t="s">
        <v>7298</v>
      </c>
      <c r="U378" s="11" t="s">
        <v>10618</v>
      </c>
      <c r="V378" s="102">
        <v>48271</v>
      </c>
      <c r="W378" s="75" t="s">
        <v>7300</v>
      </c>
      <c r="X378" s="11" t="s">
        <v>10336</v>
      </c>
      <c r="Y378" s="75" t="s">
        <v>7319</v>
      </c>
      <c r="Z378" s="15" t="s">
        <v>10619</v>
      </c>
      <c r="AA378" s="11"/>
      <c r="AB378" s="12" t="s">
        <v>7293</v>
      </c>
      <c r="AC378" s="11"/>
      <c r="AD378" s="15" t="s">
        <v>10620</v>
      </c>
      <c r="AE378" s="15" t="s">
        <v>10620</v>
      </c>
      <c r="AF378" s="34"/>
      <c r="AG378" s="34"/>
      <c r="AH378" s="34"/>
      <c r="AI378" s="75" t="s">
        <v>10609</v>
      </c>
    </row>
    <row r="379" spans="1:35" x14ac:dyDescent="0.3">
      <c r="A379" s="34" t="s">
        <v>7286</v>
      </c>
      <c r="B379" s="72" t="s">
        <v>10621</v>
      </c>
      <c r="C379" s="34" t="s">
        <v>7150</v>
      </c>
      <c r="D379" s="81" t="s">
        <v>10622</v>
      </c>
      <c r="E379" s="74" t="s">
        <v>1679</v>
      </c>
      <c r="F379" s="75" t="s">
        <v>7293</v>
      </c>
      <c r="G379" s="75" t="s">
        <v>7293</v>
      </c>
      <c r="H379" s="75" t="s">
        <v>7311</v>
      </c>
      <c r="I379" s="75" t="s">
        <v>7312</v>
      </c>
      <c r="J379" s="75" t="s">
        <v>7313</v>
      </c>
      <c r="K379" s="11" t="s">
        <v>7314</v>
      </c>
      <c r="L379" s="77" t="s">
        <v>7315</v>
      </c>
      <c r="M379" s="98">
        <v>45474</v>
      </c>
      <c r="N379" s="76"/>
      <c r="O379" s="75" t="s">
        <v>7870</v>
      </c>
      <c r="P379" s="17" t="s">
        <v>10609</v>
      </c>
      <c r="Q379" s="98">
        <v>33150</v>
      </c>
      <c r="R379" s="78">
        <v>36.024657534246572</v>
      </c>
      <c r="S379" s="101" t="s">
        <v>10623</v>
      </c>
      <c r="T379" s="75" t="s">
        <v>7298</v>
      </c>
      <c r="U379" s="11" t="s">
        <v>10624</v>
      </c>
      <c r="V379" s="102">
        <v>47255</v>
      </c>
      <c r="W379" s="75" t="s">
        <v>7300</v>
      </c>
      <c r="X379" s="11" t="s">
        <v>10336</v>
      </c>
      <c r="Y379" s="75" t="s">
        <v>7319</v>
      </c>
      <c r="Z379" s="15" t="s">
        <v>10625</v>
      </c>
      <c r="AA379" s="11"/>
      <c r="AB379" s="12" t="s">
        <v>7293</v>
      </c>
      <c r="AC379" s="11"/>
      <c r="AD379" s="15" t="s">
        <v>10626</v>
      </c>
      <c r="AE379" s="15" t="s">
        <v>10626</v>
      </c>
      <c r="AF379" s="34"/>
      <c r="AG379" s="34"/>
      <c r="AH379" s="34"/>
      <c r="AI379" s="11" t="s">
        <v>10609</v>
      </c>
    </row>
    <row r="380" spans="1:35" x14ac:dyDescent="0.3">
      <c r="A380" s="34" t="s">
        <v>7286</v>
      </c>
      <c r="B380" s="72" t="s">
        <v>10627</v>
      </c>
      <c r="C380" s="34" t="s">
        <v>7150</v>
      </c>
      <c r="D380" s="81" t="s">
        <v>10628</v>
      </c>
      <c r="E380" s="74" t="s">
        <v>1677</v>
      </c>
      <c r="F380" s="75" t="s">
        <v>7293</v>
      </c>
      <c r="G380" s="75" t="s">
        <v>7293</v>
      </c>
      <c r="H380" s="75" t="s">
        <v>7311</v>
      </c>
      <c r="I380" s="75" t="s">
        <v>7312</v>
      </c>
      <c r="J380" s="75" t="s">
        <v>7433</v>
      </c>
      <c r="K380" s="11" t="s">
        <v>7434</v>
      </c>
      <c r="L380" s="77" t="s">
        <v>7315</v>
      </c>
      <c r="M380" s="98">
        <v>45474</v>
      </c>
      <c r="N380" s="76"/>
      <c r="O380" s="75" t="s">
        <v>7870</v>
      </c>
      <c r="P380" s="17" t="s">
        <v>10609</v>
      </c>
      <c r="Q380" s="98">
        <v>30818</v>
      </c>
      <c r="R380" s="78">
        <v>42.413698630136984</v>
      </c>
      <c r="S380" s="101" t="s">
        <v>10629</v>
      </c>
      <c r="T380" s="75" t="s">
        <v>7298</v>
      </c>
      <c r="U380" s="11" t="s">
        <v>10630</v>
      </c>
      <c r="V380" s="102">
        <v>47306</v>
      </c>
      <c r="W380" s="75" t="s">
        <v>7300</v>
      </c>
      <c r="X380" s="11" t="s">
        <v>10336</v>
      </c>
      <c r="Y380" s="75" t="s">
        <v>7319</v>
      </c>
      <c r="Z380" s="15" t="s">
        <v>10631</v>
      </c>
      <c r="AA380" s="11"/>
      <c r="AB380" s="12" t="s">
        <v>7293</v>
      </c>
      <c r="AC380" s="11"/>
      <c r="AD380" s="15" t="s">
        <v>10632</v>
      </c>
      <c r="AE380" s="15" t="s">
        <v>10632</v>
      </c>
      <c r="AF380" s="34"/>
      <c r="AG380" s="34"/>
      <c r="AH380" s="34"/>
      <c r="AI380" s="11" t="s">
        <v>10609</v>
      </c>
    </row>
    <row r="381" spans="1:35" x14ac:dyDescent="0.3">
      <c r="A381" s="34" t="s">
        <v>7286</v>
      </c>
      <c r="B381" s="72" t="s">
        <v>10633</v>
      </c>
      <c r="C381" s="34" t="s">
        <v>7150</v>
      </c>
      <c r="D381" s="81" t="s">
        <v>10634</v>
      </c>
      <c r="E381" s="74" t="s">
        <v>10635</v>
      </c>
      <c r="F381" s="75" t="s">
        <v>7293</v>
      </c>
      <c r="G381" s="75" t="s">
        <v>7293</v>
      </c>
      <c r="H381" s="75" t="s">
        <v>7293</v>
      </c>
      <c r="I381" s="75" t="s">
        <v>7293</v>
      </c>
      <c r="J381" s="75" t="s">
        <v>7542</v>
      </c>
      <c r="K381" s="11" t="s">
        <v>6401</v>
      </c>
      <c r="L381" s="77" t="s">
        <v>7543</v>
      </c>
      <c r="M381" s="98">
        <v>45474</v>
      </c>
      <c r="N381" s="76"/>
      <c r="O381" s="75" t="s">
        <v>7870</v>
      </c>
      <c r="P381" s="17"/>
      <c r="Q381" s="98">
        <v>26355</v>
      </c>
      <c r="R381" s="78">
        <v>54.641095890410959</v>
      </c>
      <c r="S381" s="101" t="s">
        <v>10636</v>
      </c>
      <c r="T381" s="75" t="s">
        <v>7298</v>
      </c>
      <c r="U381" s="11" t="s">
        <v>10637</v>
      </c>
      <c r="V381" s="102">
        <v>48290</v>
      </c>
      <c r="W381" s="75" t="s">
        <v>7300</v>
      </c>
      <c r="X381" s="11" t="s">
        <v>10336</v>
      </c>
      <c r="Y381" s="75" t="s">
        <v>7302</v>
      </c>
      <c r="Z381" s="15" t="s">
        <v>10638</v>
      </c>
      <c r="AA381" s="11"/>
      <c r="AB381" s="12" t="s">
        <v>7293</v>
      </c>
      <c r="AC381" s="11"/>
      <c r="AD381" s="15" t="s">
        <v>10639</v>
      </c>
      <c r="AE381" s="15" t="s">
        <v>10639</v>
      </c>
      <c r="AF381" s="34"/>
      <c r="AG381" s="34"/>
      <c r="AH381" s="34"/>
      <c r="AI381" s="75" t="s">
        <v>8890</v>
      </c>
    </row>
    <row r="382" spans="1:35" ht="57.6" x14ac:dyDescent="0.3">
      <c r="A382" s="34" t="s">
        <v>7286</v>
      </c>
      <c r="B382" s="72" t="s">
        <v>10640</v>
      </c>
      <c r="C382" s="17" t="s">
        <v>7150</v>
      </c>
      <c r="D382" s="81" t="s">
        <v>10641</v>
      </c>
      <c r="E382" s="74" t="s">
        <v>10642</v>
      </c>
      <c r="F382" s="75" t="s">
        <v>7329</v>
      </c>
      <c r="G382" s="75" t="s">
        <v>7330</v>
      </c>
      <c r="H382" s="75" t="s">
        <v>7405</v>
      </c>
      <c r="I382" s="75" t="s">
        <v>7406</v>
      </c>
      <c r="J382" s="75" t="s">
        <v>7407</v>
      </c>
      <c r="K382" s="11" t="s">
        <v>7408</v>
      </c>
      <c r="L382" s="77" t="s">
        <v>7409</v>
      </c>
      <c r="M382" s="98">
        <v>45474</v>
      </c>
      <c r="N382" s="76"/>
      <c r="O382" s="75" t="s">
        <v>7870</v>
      </c>
      <c r="P382" s="17"/>
      <c r="Q382" s="98">
        <v>34104</v>
      </c>
      <c r="R382" s="78">
        <v>33.410958904109592</v>
      </c>
      <c r="S382" s="101" t="s">
        <v>10643</v>
      </c>
      <c r="T382" s="75" t="s">
        <v>7298</v>
      </c>
      <c r="U382" s="11" t="s">
        <v>10644</v>
      </c>
      <c r="V382" s="102">
        <v>46888</v>
      </c>
      <c r="W382" s="75" t="s">
        <v>7300</v>
      </c>
      <c r="X382" s="75" t="s">
        <v>10336</v>
      </c>
      <c r="Y382" s="75" t="s">
        <v>7319</v>
      </c>
      <c r="Z382" s="15" t="s">
        <v>10645</v>
      </c>
      <c r="AA382" s="11"/>
      <c r="AB382" s="12" t="s">
        <v>10646</v>
      </c>
      <c r="AC382" s="11"/>
      <c r="AD382" s="15" t="s">
        <v>10647</v>
      </c>
      <c r="AE382" s="75" t="s">
        <v>10648</v>
      </c>
      <c r="AF382" s="34"/>
      <c r="AG382" s="34"/>
      <c r="AH382" s="34"/>
      <c r="AI382" s="75" t="s">
        <v>7324</v>
      </c>
    </row>
    <row r="383" spans="1:35" ht="72" x14ac:dyDescent="0.3">
      <c r="A383" s="34" t="s">
        <v>7286</v>
      </c>
      <c r="B383" s="72" t="s">
        <v>10649</v>
      </c>
      <c r="C383" s="17" t="s">
        <v>7367</v>
      </c>
      <c r="D383" s="81" t="s">
        <v>10650</v>
      </c>
      <c r="E383" s="11" t="s">
        <v>10651</v>
      </c>
      <c r="F383" s="75" t="s">
        <v>7346</v>
      </c>
      <c r="G383" s="75" t="s">
        <v>6471</v>
      </c>
      <c r="H383" s="21" t="s">
        <v>9082</v>
      </c>
      <c r="I383" s="75" t="s">
        <v>9083</v>
      </c>
      <c r="J383" s="75" t="s">
        <v>9578</v>
      </c>
      <c r="K383" s="11" t="s">
        <v>9579</v>
      </c>
      <c r="L383" s="77" t="s">
        <v>9081</v>
      </c>
      <c r="M383" s="98">
        <v>45474</v>
      </c>
      <c r="N383" s="76"/>
      <c r="O383" s="75" t="s">
        <v>7923</v>
      </c>
      <c r="P383" s="17"/>
      <c r="Q383" s="98">
        <v>37582</v>
      </c>
      <c r="R383" s="78">
        <v>23.882191780821916</v>
      </c>
      <c r="S383" s="101" t="s">
        <v>10652</v>
      </c>
      <c r="T383" s="75" t="s">
        <v>7298</v>
      </c>
      <c r="U383" s="11" t="s">
        <v>10653</v>
      </c>
      <c r="V383" s="102">
        <v>47111</v>
      </c>
      <c r="W383" s="75" t="s">
        <v>7300</v>
      </c>
      <c r="X383" s="11" t="s">
        <v>7301</v>
      </c>
      <c r="Y383" s="75" t="s">
        <v>7302</v>
      </c>
      <c r="Z383" s="15" t="s">
        <v>10654</v>
      </c>
      <c r="AA383" s="11"/>
      <c r="AB383" s="13" t="s">
        <v>10655</v>
      </c>
      <c r="AC383" s="11" t="s">
        <v>10656</v>
      </c>
      <c r="AD383" s="75" t="s">
        <v>10657</v>
      </c>
      <c r="AE383" s="75" t="s">
        <v>10657</v>
      </c>
      <c r="AF383" s="34"/>
      <c r="AG383" s="34"/>
      <c r="AH383" s="34"/>
      <c r="AI383" s="75" t="s">
        <v>7307</v>
      </c>
    </row>
    <row r="384" spans="1:35" x14ac:dyDescent="0.3">
      <c r="A384" s="34" t="s">
        <v>7286</v>
      </c>
      <c r="B384" s="72" t="s">
        <v>10658</v>
      </c>
      <c r="C384" s="34" t="s">
        <v>7150</v>
      </c>
      <c r="D384" s="81" t="s">
        <v>10659</v>
      </c>
      <c r="E384" s="74" t="s">
        <v>1678</v>
      </c>
      <c r="F384" s="75" t="s">
        <v>7293</v>
      </c>
      <c r="G384" s="75" t="s">
        <v>7293</v>
      </c>
      <c r="H384" s="75" t="s">
        <v>7311</v>
      </c>
      <c r="I384" s="75" t="s">
        <v>7312</v>
      </c>
      <c r="J384" s="75" t="s">
        <v>7433</v>
      </c>
      <c r="K384" s="11" t="s">
        <v>7434</v>
      </c>
      <c r="L384" s="77" t="s">
        <v>7315</v>
      </c>
      <c r="M384" s="98">
        <v>45477</v>
      </c>
      <c r="N384" s="76"/>
      <c r="O384" s="75" t="s">
        <v>7870</v>
      </c>
      <c r="P384" s="17" t="s">
        <v>10609</v>
      </c>
      <c r="Q384" s="98">
        <v>34652</v>
      </c>
      <c r="R384" s="78">
        <v>31.909589041095892</v>
      </c>
      <c r="S384" s="101" t="s">
        <v>10660</v>
      </c>
      <c r="T384" s="75" t="s">
        <v>7298</v>
      </c>
      <c r="U384" s="11" t="s">
        <v>10661</v>
      </c>
      <c r="V384" s="102">
        <v>47485</v>
      </c>
      <c r="W384" s="75" t="s">
        <v>7300</v>
      </c>
      <c r="X384" s="11" t="s">
        <v>7301</v>
      </c>
      <c r="Y384" s="75" t="s">
        <v>7319</v>
      </c>
      <c r="Z384" s="103" t="s">
        <v>10662</v>
      </c>
      <c r="AA384" s="11"/>
      <c r="AB384" s="12" t="s">
        <v>7293</v>
      </c>
      <c r="AC384" s="104"/>
      <c r="AD384" s="15" t="s">
        <v>10663</v>
      </c>
      <c r="AE384" s="15" t="s">
        <v>10663</v>
      </c>
      <c r="AF384" s="34"/>
      <c r="AG384" s="34"/>
      <c r="AH384" s="34"/>
      <c r="AI384" s="75" t="s">
        <v>10609</v>
      </c>
    </row>
    <row r="385" spans="1:35" x14ac:dyDescent="0.3">
      <c r="A385" s="34" t="s">
        <v>7286</v>
      </c>
      <c r="B385" s="72" t="s">
        <v>10664</v>
      </c>
      <c r="C385" s="34" t="s">
        <v>7150</v>
      </c>
      <c r="D385" s="81" t="s">
        <v>10665</v>
      </c>
      <c r="E385" s="74" t="s">
        <v>10666</v>
      </c>
      <c r="F385" s="75" t="s">
        <v>7329</v>
      </c>
      <c r="G385" s="75" t="s">
        <v>7330</v>
      </c>
      <c r="H385" s="75" t="s">
        <v>7405</v>
      </c>
      <c r="I385" s="75" t="s">
        <v>7406</v>
      </c>
      <c r="J385" s="75" t="s">
        <v>7407</v>
      </c>
      <c r="K385" s="11" t="s">
        <v>7408</v>
      </c>
      <c r="L385" s="77" t="s">
        <v>7409</v>
      </c>
      <c r="M385" s="98">
        <v>45477</v>
      </c>
      <c r="N385" s="76"/>
      <c r="O385" s="75" t="s">
        <v>7870</v>
      </c>
      <c r="P385" s="17"/>
      <c r="Q385" s="98">
        <v>32033</v>
      </c>
      <c r="R385" s="78">
        <v>39.084931506849315</v>
      </c>
      <c r="S385" s="101" t="s">
        <v>10667</v>
      </c>
      <c r="T385" s="75" t="s">
        <v>7298</v>
      </c>
      <c r="U385" s="11" t="s">
        <v>10668</v>
      </c>
      <c r="V385" s="102">
        <v>47620</v>
      </c>
      <c r="W385" s="75" t="s">
        <v>7300</v>
      </c>
      <c r="X385" s="11" t="s">
        <v>10336</v>
      </c>
      <c r="Y385" s="11" t="s">
        <v>7319</v>
      </c>
      <c r="Z385" s="103" t="s">
        <v>10669</v>
      </c>
      <c r="AA385" s="11"/>
      <c r="AB385" s="12" t="s">
        <v>7293</v>
      </c>
      <c r="AC385" s="104"/>
      <c r="AD385" s="15" t="s">
        <v>10670</v>
      </c>
      <c r="AE385" s="15" t="s">
        <v>10670</v>
      </c>
      <c r="AF385" s="34"/>
      <c r="AG385" s="34"/>
      <c r="AH385" s="34"/>
      <c r="AI385" s="11" t="s">
        <v>8361</v>
      </c>
    </row>
    <row r="386" spans="1:35" x14ac:dyDescent="0.3">
      <c r="A386" s="34" t="s">
        <v>7286</v>
      </c>
      <c r="B386" s="72" t="s">
        <v>10671</v>
      </c>
      <c r="C386" s="34" t="s">
        <v>7367</v>
      </c>
      <c r="D386" s="81" t="s">
        <v>10672</v>
      </c>
      <c r="E386" s="74" t="s">
        <v>10673</v>
      </c>
      <c r="F386" s="75" t="s">
        <v>7370</v>
      </c>
      <c r="G386" s="75" t="s">
        <v>7371</v>
      </c>
      <c r="H386" s="75" t="s">
        <v>7372</v>
      </c>
      <c r="I386" s="75" t="s">
        <v>7373</v>
      </c>
      <c r="J386" s="75" t="s">
        <v>9662</v>
      </c>
      <c r="K386" s="11" t="s">
        <v>9663</v>
      </c>
      <c r="L386" s="77" t="s">
        <v>7376</v>
      </c>
      <c r="M386" s="98">
        <v>45488</v>
      </c>
      <c r="N386" s="76"/>
      <c r="O386" s="75" t="s">
        <v>8747</v>
      </c>
      <c r="P386" s="17"/>
      <c r="Q386" s="98">
        <v>37222</v>
      </c>
      <c r="R386" s="78">
        <v>24.86849315068493</v>
      </c>
      <c r="S386" s="101" t="s">
        <v>10674</v>
      </c>
      <c r="T386" s="75" t="s">
        <v>7298</v>
      </c>
      <c r="U386" s="11" t="s">
        <v>10675</v>
      </c>
      <c r="V386" s="102">
        <v>47348</v>
      </c>
      <c r="W386" s="75" t="s">
        <v>7300</v>
      </c>
      <c r="X386" s="11" t="s">
        <v>7301</v>
      </c>
      <c r="Y386" s="11" t="s">
        <v>7302</v>
      </c>
      <c r="Z386" s="103" t="s">
        <v>10676</v>
      </c>
      <c r="AA386" s="11"/>
      <c r="AB386" s="18" t="s">
        <v>10677</v>
      </c>
      <c r="AC386" s="104"/>
      <c r="AD386" s="15" t="s">
        <v>10678</v>
      </c>
      <c r="AE386" s="15" t="s">
        <v>10678</v>
      </c>
      <c r="AF386" s="34"/>
      <c r="AG386" s="34"/>
      <c r="AH386" s="34"/>
      <c r="AI386" s="75" t="s">
        <v>7745</v>
      </c>
    </row>
    <row r="387" spans="1:35" ht="57.6" x14ac:dyDescent="0.3">
      <c r="A387" s="34" t="s">
        <v>7286</v>
      </c>
      <c r="B387" s="72" t="s">
        <v>10679</v>
      </c>
      <c r="C387" s="34" t="s">
        <v>7367</v>
      </c>
      <c r="D387" s="81" t="s">
        <v>10680</v>
      </c>
      <c r="E387" s="74" t="s">
        <v>10681</v>
      </c>
      <c r="F387" s="75" t="s">
        <v>7370</v>
      </c>
      <c r="G387" s="75" t="s">
        <v>7371</v>
      </c>
      <c r="H387" s="75" t="s">
        <v>7372</v>
      </c>
      <c r="I387" s="75" t="s">
        <v>7373</v>
      </c>
      <c r="J387" s="75" t="s">
        <v>10682</v>
      </c>
      <c r="K387" s="11" t="s">
        <v>10683</v>
      </c>
      <c r="L387" s="77" t="s">
        <v>7376</v>
      </c>
      <c r="M387" s="98">
        <v>45488</v>
      </c>
      <c r="N387" s="76"/>
      <c r="O387" s="75" t="s">
        <v>8747</v>
      </c>
      <c r="P387" s="17"/>
      <c r="Q387" s="98">
        <v>36193</v>
      </c>
      <c r="R387" s="78">
        <v>27.687671232876713</v>
      </c>
      <c r="S387" s="101" t="s">
        <v>10684</v>
      </c>
      <c r="T387" s="75" t="s">
        <v>7298</v>
      </c>
      <c r="U387" s="11" t="s">
        <v>10685</v>
      </c>
      <c r="V387" s="102">
        <v>48941</v>
      </c>
      <c r="W387" s="75" t="s">
        <v>7300</v>
      </c>
      <c r="X387" s="11" t="s">
        <v>7301</v>
      </c>
      <c r="Y387" s="103" t="s">
        <v>7302</v>
      </c>
      <c r="Z387" s="103" t="s">
        <v>10686</v>
      </c>
      <c r="AA387" s="11"/>
      <c r="AB387" s="18" t="s">
        <v>10687</v>
      </c>
      <c r="AC387" s="13" t="s">
        <v>10688</v>
      </c>
      <c r="AD387" s="15" t="s">
        <v>10689</v>
      </c>
      <c r="AE387" s="15" t="s">
        <v>10689</v>
      </c>
      <c r="AF387" s="34"/>
      <c r="AG387" s="34"/>
      <c r="AH387" s="34"/>
      <c r="AI387" s="75" t="s">
        <v>7745</v>
      </c>
    </row>
    <row r="388" spans="1:35" x14ac:dyDescent="0.3">
      <c r="A388" s="34" t="s">
        <v>7286</v>
      </c>
      <c r="B388" s="72" t="s">
        <v>10690</v>
      </c>
      <c r="C388" s="34" t="s">
        <v>7367</v>
      </c>
      <c r="D388" s="81" t="s">
        <v>10691</v>
      </c>
      <c r="E388" s="74" t="s">
        <v>10692</v>
      </c>
      <c r="F388" s="75" t="s">
        <v>7370</v>
      </c>
      <c r="G388" s="75" t="s">
        <v>7371</v>
      </c>
      <c r="H388" s="75" t="s">
        <v>9832</v>
      </c>
      <c r="I388" s="75" t="s">
        <v>9833</v>
      </c>
      <c r="J388" s="75" t="s">
        <v>9834</v>
      </c>
      <c r="K388" s="11" t="s">
        <v>9835</v>
      </c>
      <c r="L388" s="77" t="s">
        <v>9836</v>
      </c>
      <c r="M388" s="98">
        <v>45488</v>
      </c>
      <c r="N388" s="76"/>
      <c r="O388" s="75" t="s">
        <v>8747</v>
      </c>
      <c r="P388" s="17"/>
      <c r="Q388" s="98">
        <v>33684</v>
      </c>
      <c r="R388" s="78">
        <v>34.561643835616437</v>
      </c>
      <c r="S388" s="101" t="s">
        <v>10693</v>
      </c>
      <c r="T388" s="75" t="s">
        <v>7298</v>
      </c>
      <c r="U388" s="11" t="s">
        <v>10694</v>
      </c>
      <c r="V388" s="102">
        <v>47428</v>
      </c>
      <c r="W388" s="75" t="s">
        <v>7300</v>
      </c>
      <c r="X388" s="75" t="s">
        <v>7301</v>
      </c>
      <c r="Y388" s="75" t="s">
        <v>7302</v>
      </c>
      <c r="Z388" s="103" t="s">
        <v>10695</v>
      </c>
      <c r="AA388" s="11"/>
      <c r="AB388" s="18" t="s">
        <v>10696</v>
      </c>
      <c r="AC388" s="16" t="s">
        <v>10697</v>
      </c>
      <c r="AD388" s="15" t="s">
        <v>10698</v>
      </c>
      <c r="AE388" s="15" t="s">
        <v>10698</v>
      </c>
      <c r="AF388" s="34"/>
      <c r="AG388" s="34"/>
      <c r="AH388" s="34"/>
      <c r="AI388" s="75" t="s">
        <v>7745</v>
      </c>
    </row>
    <row r="389" spans="1:35" x14ac:dyDescent="0.3">
      <c r="A389" s="34" t="s">
        <v>7286</v>
      </c>
      <c r="B389" s="72" t="s">
        <v>10699</v>
      </c>
      <c r="C389" s="71" t="s">
        <v>7367</v>
      </c>
      <c r="D389" s="81" t="s">
        <v>10700</v>
      </c>
      <c r="E389" s="74" t="s">
        <v>10701</v>
      </c>
      <c r="F389" s="75" t="s">
        <v>7370</v>
      </c>
      <c r="G389" s="75" t="s">
        <v>7371</v>
      </c>
      <c r="H389" s="75" t="s">
        <v>7372</v>
      </c>
      <c r="I389" s="75" t="s">
        <v>7373</v>
      </c>
      <c r="J389" s="75" t="s">
        <v>9662</v>
      </c>
      <c r="K389" s="11" t="s">
        <v>9663</v>
      </c>
      <c r="L389" s="77" t="s">
        <v>7376</v>
      </c>
      <c r="M389" s="98">
        <v>45505</v>
      </c>
      <c r="N389" s="76"/>
      <c r="O389" s="75" t="s">
        <v>8747</v>
      </c>
      <c r="P389" s="17"/>
      <c r="Q389" s="98">
        <v>38320</v>
      </c>
      <c r="R389" s="78">
        <v>21.860273972602741</v>
      </c>
      <c r="S389" s="101" t="s">
        <v>10702</v>
      </c>
      <c r="T389" s="75" t="s">
        <v>7298</v>
      </c>
      <c r="U389" s="11" t="s">
        <v>10703</v>
      </c>
      <c r="V389" s="102">
        <v>47844</v>
      </c>
      <c r="W389" s="75" t="s">
        <v>7300</v>
      </c>
      <c r="X389" s="11" t="s">
        <v>7301</v>
      </c>
      <c r="Y389" s="11" t="s">
        <v>7302</v>
      </c>
      <c r="Z389" s="103" t="s">
        <v>10704</v>
      </c>
      <c r="AA389" s="11"/>
      <c r="AB389" s="18" t="s">
        <v>10705</v>
      </c>
      <c r="AC389" s="18" t="s">
        <v>10706</v>
      </c>
      <c r="AD389" s="11" t="s">
        <v>10707</v>
      </c>
      <c r="AE389" s="11" t="s">
        <v>10708</v>
      </c>
      <c r="AF389" s="34"/>
      <c r="AG389" s="34"/>
      <c r="AH389" s="34"/>
      <c r="AI389" s="75" t="s">
        <v>7745</v>
      </c>
    </row>
    <row r="390" spans="1:35" x14ac:dyDescent="0.3">
      <c r="A390" s="34" t="s">
        <v>7286</v>
      </c>
      <c r="B390" s="72" t="s">
        <v>10709</v>
      </c>
      <c r="C390" s="71" t="s">
        <v>7367</v>
      </c>
      <c r="D390" s="81" t="s">
        <v>10710</v>
      </c>
      <c r="E390" s="74" t="s">
        <v>10711</v>
      </c>
      <c r="F390" s="75" t="s">
        <v>7370</v>
      </c>
      <c r="G390" s="75" t="s">
        <v>7371</v>
      </c>
      <c r="H390" s="75" t="s">
        <v>7372</v>
      </c>
      <c r="I390" s="75" t="s">
        <v>7373</v>
      </c>
      <c r="J390" s="75" t="s">
        <v>8653</v>
      </c>
      <c r="K390" s="11" t="s">
        <v>8654</v>
      </c>
      <c r="L390" s="77" t="s">
        <v>7376</v>
      </c>
      <c r="M390" s="98">
        <v>45505</v>
      </c>
      <c r="N390" s="76"/>
      <c r="O390" s="75" t="s">
        <v>8747</v>
      </c>
      <c r="P390" s="17"/>
      <c r="Q390" s="98">
        <v>37937</v>
      </c>
      <c r="R390" s="78">
        <v>22.909589041095892</v>
      </c>
      <c r="S390" s="101" t="s">
        <v>10712</v>
      </c>
      <c r="T390" s="75" t="s">
        <v>7298</v>
      </c>
      <c r="U390" s="11" t="s">
        <v>10713</v>
      </c>
      <c r="V390" s="102">
        <v>47503</v>
      </c>
      <c r="W390" s="75" t="s">
        <v>7300</v>
      </c>
      <c r="X390" s="11" t="s">
        <v>7301</v>
      </c>
      <c r="Y390" s="11" t="s">
        <v>7319</v>
      </c>
      <c r="Z390" s="103" t="s">
        <v>10714</v>
      </c>
      <c r="AA390" s="11"/>
      <c r="AB390" s="18" t="s">
        <v>10715</v>
      </c>
      <c r="AC390" s="18" t="s">
        <v>10716</v>
      </c>
      <c r="AD390" s="11" t="s">
        <v>10717</v>
      </c>
      <c r="AE390" s="11" t="s">
        <v>10718</v>
      </c>
      <c r="AF390" s="34"/>
      <c r="AG390" s="34"/>
      <c r="AH390" s="34"/>
      <c r="AI390" s="75" t="s">
        <v>7745</v>
      </c>
    </row>
    <row r="391" spans="1:35" x14ac:dyDescent="0.3">
      <c r="A391" s="34" t="s">
        <v>7286</v>
      </c>
      <c r="B391" s="72" t="s">
        <v>10719</v>
      </c>
      <c r="C391" s="71" t="s">
        <v>7367</v>
      </c>
      <c r="D391" s="81" t="s">
        <v>10720</v>
      </c>
      <c r="E391" s="74" t="s">
        <v>10721</v>
      </c>
      <c r="F391" s="75" t="s">
        <v>7370</v>
      </c>
      <c r="G391" s="75" t="s">
        <v>7371</v>
      </c>
      <c r="H391" s="75" t="s">
        <v>7372</v>
      </c>
      <c r="I391" s="75" t="s">
        <v>7373</v>
      </c>
      <c r="J391" s="75" t="s">
        <v>8653</v>
      </c>
      <c r="K391" s="11" t="s">
        <v>8654</v>
      </c>
      <c r="L391" s="77" t="s">
        <v>7376</v>
      </c>
      <c r="M391" s="98">
        <v>45505</v>
      </c>
      <c r="N391" s="76"/>
      <c r="O391" s="75" t="s">
        <v>8747</v>
      </c>
      <c r="P391" s="17"/>
      <c r="Q391" s="98">
        <v>37718</v>
      </c>
      <c r="R391" s="78">
        <v>23.509589041095889</v>
      </c>
      <c r="S391" s="101" t="s">
        <v>10722</v>
      </c>
      <c r="T391" s="75" t="s">
        <v>7298</v>
      </c>
      <c r="U391" s="11" t="s">
        <v>10723</v>
      </c>
      <c r="V391" s="102">
        <v>47431</v>
      </c>
      <c r="W391" s="75" t="s">
        <v>7300</v>
      </c>
      <c r="X391" s="11" t="s">
        <v>10419</v>
      </c>
      <c r="Y391" s="103" t="s">
        <v>10724</v>
      </c>
      <c r="Z391" s="103" t="s">
        <v>10725</v>
      </c>
      <c r="AA391" s="11"/>
      <c r="AB391" s="18" t="s">
        <v>10726</v>
      </c>
      <c r="AC391" s="16" t="s">
        <v>10727</v>
      </c>
      <c r="AD391" s="11" t="s">
        <v>10728</v>
      </c>
      <c r="AE391" s="11" t="s">
        <v>10728</v>
      </c>
      <c r="AF391" s="34"/>
      <c r="AG391" s="34"/>
      <c r="AH391" s="34"/>
      <c r="AI391" s="75" t="s">
        <v>7745</v>
      </c>
    </row>
    <row r="392" spans="1:35" x14ac:dyDescent="0.3">
      <c r="A392" s="34" t="s">
        <v>7286</v>
      </c>
      <c r="B392" s="72" t="s">
        <v>10729</v>
      </c>
      <c r="C392" s="71" t="s">
        <v>7367</v>
      </c>
      <c r="D392" s="81" t="s">
        <v>10730</v>
      </c>
      <c r="E392" s="74" t="s">
        <v>10731</v>
      </c>
      <c r="F392" s="75" t="s">
        <v>7370</v>
      </c>
      <c r="G392" s="75" t="s">
        <v>7371</v>
      </c>
      <c r="H392" s="75" t="s">
        <v>7372</v>
      </c>
      <c r="I392" s="75" t="s">
        <v>7373</v>
      </c>
      <c r="J392" s="75" t="s">
        <v>9662</v>
      </c>
      <c r="K392" s="11" t="s">
        <v>9663</v>
      </c>
      <c r="L392" s="77" t="s">
        <v>7376</v>
      </c>
      <c r="M392" s="98">
        <v>45505</v>
      </c>
      <c r="N392" s="76"/>
      <c r="O392" s="75" t="s">
        <v>8747</v>
      </c>
      <c r="P392" s="17"/>
      <c r="Q392" s="98">
        <v>36288</v>
      </c>
      <c r="R392" s="78">
        <v>27.427397260273974</v>
      </c>
      <c r="S392" s="101" t="s">
        <v>10732</v>
      </c>
      <c r="T392" s="75" t="s">
        <v>7298</v>
      </c>
      <c r="U392" s="11" t="s">
        <v>10733</v>
      </c>
      <c r="V392" s="102">
        <v>49082</v>
      </c>
      <c r="W392" s="75" t="s">
        <v>7300</v>
      </c>
      <c r="X392" s="11" t="s">
        <v>7301</v>
      </c>
      <c r="Y392" s="11" t="s">
        <v>7319</v>
      </c>
      <c r="Z392" s="103" t="s">
        <v>10734</v>
      </c>
      <c r="AA392" s="11"/>
      <c r="AB392" s="18" t="s">
        <v>10735</v>
      </c>
      <c r="AC392" s="18" t="s">
        <v>10736</v>
      </c>
      <c r="AD392" s="11" t="s">
        <v>10737</v>
      </c>
      <c r="AE392" s="11" t="s">
        <v>10738</v>
      </c>
      <c r="AF392" s="34"/>
      <c r="AG392" s="34"/>
      <c r="AH392" s="34"/>
      <c r="AI392" s="75" t="s">
        <v>7745</v>
      </c>
    </row>
    <row r="393" spans="1:35" x14ac:dyDescent="0.3">
      <c r="A393" s="34" t="s">
        <v>7286</v>
      </c>
      <c r="B393" s="72" t="s">
        <v>10739</v>
      </c>
      <c r="C393" s="71" t="s">
        <v>7367</v>
      </c>
      <c r="D393" s="81" t="s">
        <v>10740</v>
      </c>
      <c r="E393" s="74" t="s">
        <v>10741</v>
      </c>
      <c r="F393" s="75" t="s">
        <v>7370</v>
      </c>
      <c r="G393" s="75" t="s">
        <v>7371</v>
      </c>
      <c r="H393" s="75" t="s">
        <v>9832</v>
      </c>
      <c r="I393" s="75" t="s">
        <v>9833</v>
      </c>
      <c r="J393" s="75" t="s">
        <v>9834</v>
      </c>
      <c r="K393" s="11" t="s">
        <v>9835</v>
      </c>
      <c r="L393" s="77" t="s">
        <v>9836</v>
      </c>
      <c r="M393" s="98">
        <v>45505</v>
      </c>
      <c r="N393" s="76"/>
      <c r="O393" s="75" t="s">
        <v>8747</v>
      </c>
      <c r="P393" s="17"/>
      <c r="Q393" s="98">
        <v>35261</v>
      </c>
      <c r="R393" s="78">
        <v>30.241095890410961</v>
      </c>
      <c r="S393" s="101" t="s">
        <v>10742</v>
      </c>
      <c r="T393" s="75" t="s">
        <v>7298</v>
      </c>
      <c r="U393" s="11" t="s">
        <v>10743</v>
      </c>
      <c r="V393" s="102">
        <v>47873</v>
      </c>
      <c r="W393" s="75" t="s">
        <v>7300</v>
      </c>
      <c r="X393" s="11" t="s">
        <v>10419</v>
      </c>
      <c r="Y393" s="103" t="s">
        <v>10744</v>
      </c>
      <c r="Z393" s="103" t="s">
        <v>10745</v>
      </c>
      <c r="AA393" s="11"/>
      <c r="AB393" s="18" t="s">
        <v>10746</v>
      </c>
      <c r="AC393" s="16" t="s">
        <v>10747</v>
      </c>
      <c r="AD393" s="11" t="s">
        <v>10748</v>
      </c>
      <c r="AE393" s="11" t="s">
        <v>10749</v>
      </c>
      <c r="AF393" s="34"/>
      <c r="AG393" s="34"/>
      <c r="AH393" s="34"/>
      <c r="AI393" s="75" t="s">
        <v>7745</v>
      </c>
    </row>
    <row r="394" spans="1:35" x14ac:dyDescent="0.3">
      <c r="A394" s="34" t="s">
        <v>7286</v>
      </c>
      <c r="B394" s="72" t="s">
        <v>10750</v>
      </c>
      <c r="C394" s="17" t="s">
        <v>7343</v>
      </c>
      <c r="D394" s="81" t="s">
        <v>10751</v>
      </c>
      <c r="E394" s="74" t="s">
        <v>2340</v>
      </c>
      <c r="F394" s="75" t="s">
        <v>7370</v>
      </c>
      <c r="G394" s="75" t="s">
        <v>7371</v>
      </c>
      <c r="H394" s="75" t="s">
        <v>8349</v>
      </c>
      <c r="I394" s="75" t="s">
        <v>8350</v>
      </c>
      <c r="J394" s="11" t="s">
        <v>10752</v>
      </c>
      <c r="K394" s="11" t="s">
        <v>10753</v>
      </c>
      <c r="L394" s="77" t="s">
        <v>9176</v>
      </c>
      <c r="M394" s="98">
        <v>45505</v>
      </c>
      <c r="N394" s="76"/>
      <c r="O394" s="75" t="s">
        <v>7892</v>
      </c>
      <c r="P394" s="17"/>
      <c r="Q394" s="98">
        <v>33392</v>
      </c>
      <c r="R394" s="78">
        <v>35.361643835616441</v>
      </c>
      <c r="S394" s="101" t="s">
        <v>10754</v>
      </c>
      <c r="T394" s="75" t="s">
        <v>7298</v>
      </c>
      <c r="U394" s="11" t="s">
        <v>10755</v>
      </c>
      <c r="V394" s="102">
        <v>47497</v>
      </c>
      <c r="W394" s="75" t="s">
        <v>7300</v>
      </c>
      <c r="X394" s="11" t="s">
        <v>10336</v>
      </c>
      <c r="Y394" s="11" t="s">
        <v>7319</v>
      </c>
      <c r="Z394" s="103" t="s">
        <v>10756</v>
      </c>
      <c r="AA394" s="11"/>
      <c r="AB394" s="18" t="s">
        <v>10757</v>
      </c>
      <c r="AC394" s="16" t="s">
        <v>10758</v>
      </c>
      <c r="AD394" s="11" t="s">
        <v>10759</v>
      </c>
      <c r="AE394" s="11" t="s">
        <v>10760</v>
      </c>
      <c r="AF394" s="34"/>
      <c r="AG394" s="34"/>
      <c r="AH394" s="34"/>
      <c r="AI394" s="75" t="s">
        <v>7745</v>
      </c>
    </row>
    <row r="395" spans="1:35" x14ac:dyDescent="0.3">
      <c r="A395" s="71" t="s">
        <v>7286</v>
      </c>
      <c r="B395" s="72" t="s">
        <v>10761</v>
      </c>
      <c r="C395" s="105" t="s">
        <v>7367</v>
      </c>
      <c r="D395" s="81" t="s">
        <v>10762</v>
      </c>
      <c r="E395" s="74" t="s">
        <v>10763</v>
      </c>
      <c r="F395" s="75" t="s">
        <v>7291</v>
      </c>
      <c r="G395" s="75" t="s">
        <v>7292</v>
      </c>
      <c r="H395" s="75" t="s">
        <v>7814</v>
      </c>
      <c r="I395" s="75" t="s">
        <v>7815</v>
      </c>
      <c r="J395" s="75" t="s">
        <v>7575</v>
      </c>
      <c r="K395" s="11" t="s">
        <v>6340</v>
      </c>
      <c r="L395" s="77" t="s">
        <v>7818</v>
      </c>
      <c r="M395" s="98">
        <v>45512</v>
      </c>
      <c r="N395" s="76"/>
      <c r="O395" s="75" t="s">
        <v>7923</v>
      </c>
      <c r="P395" s="17"/>
      <c r="Q395" s="98">
        <v>36573</v>
      </c>
      <c r="R395" s="78">
        <v>26.646575342465752</v>
      </c>
      <c r="S395" s="106" t="s">
        <v>10764</v>
      </c>
      <c r="T395" s="82" t="s">
        <v>7298</v>
      </c>
      <c r="U395" s="82" t="s">
        <v>10765</v>
      </c>
      <c r="V395" s="102">
        <v>48563</v>
      </c>
      <c r="W395" s="82" t="s">
        <v>7300</v>
      </c>
      <c r="X395" s="11" t="s">
        <v>7301</v>
      </c>
      <c r="Y395" s="82" t="s">
        <v>7319</v>
      </c>
      <c r="Z395" s="103" t="s">
        <v>10766</v>
      </c>
      <c r="AA395" s="11"/>
      <c r="AB395" s="18" t="s">
        <v>10767</v>
      </c>
      <c r="AC395" s="104"/>
      <c r="AD395" s="82" t="s">
        <v>10768</v>
      </c>
      <c r="AE395" s="82" t="s">
        <v>10769</v>
      </c>
      <c r="AF395" s="71"/>
      <c r="AG395" s="34"/>
      <c r="AH395" s="34"/>
      <c r="AI395" s="75" t="s">
        <v>7307</v>
      </c>
    </row>
    <row r="396" spans="1:35" x14ac:dyDescent="0.3">
      <c r="A396" s="34" t="s">
        <v>7286</v>
      </c>
      <c r="B396" s="72" t="s">
        <v>10770</v>
      </c>
      <c r="C396" s="34" t="s">
        <v>7150</v>
      </c>
      <c r="D396" s="81" t="s">
        <v>10771</v>
      </c>
      <c r="E396" s="74" t="s">
        <v>1467</v>
      </c>
      <c r="F396" s="75" t="s">
        <v>7293</v>
      </c>
      <c r="G396" s="75" t="s">
        <v>7293</v>
      </c>
      <c r="H396" s="75" t="s">
        <v>7311</v>
      </c>
      <c r="I396" s="75" t="s">
        <v>7312</v>
      </c>
      <c r="J396" s="75" t="s">
        <v>7313</v>
      </c>
      <c r="K396" s="11" t="s">
        <v>7314</v>
      </c>
      <c r="L396" s="77" t="s">
        <v>7315</v>
      </c>
      <c r="M396" s="98">
        <v>45512</v>
      </c>
      <c r="N396" s="76"/>
      <c r="O396" s="75" t="s">
        <v>7870</v>
      </c>
      <c r="P396" s="17" t="s">
        <v>7425</v>
      </c>
      <c r="Q396" s="98">
        <v>36332</v>
      </c>
      <c r="R396" s="78">
        <v>27.306849315068494</v>
      </c>
      <c r="S396" s="101" t="s">
        <v>10772</v>
      </c>
      <c r="T396" s="75" t="s">
        <v>7298</v>
      </c>
      <c r="U396" s="11" t="s">
        <v>10773</v>
      </c>
      <c r="V396" s="102">
        <v>48695</v>
      </c>
      <c r="W396" s="75" t="s">
        <v>7300</v>
      </c>
      <c r="X396" s="11" t="s">
        <v>7301</v>
      </c>
      <c r="Y396" s="75" t="s">
        <v>7319</v>
      </c>
      <c r="Z396" s="15" t="s">
        <v>10774</v>
      </c>
      <c r="AA396" s="11"/>
      <c r="AB396" s="18" t="s">
        <v>7293</v>
      </c>
      <c r="AC396" s="104"/>
      <c r="AD396" s="11" t="s">
        <v>10775</v>
      </c>
      <c r="AE396" s="11" t="s">
        <v>10776</v>
      </c>
      <c r="AF396" s="34"/>
      <c r="AG396" s="34"/>
      <c r="AH396" s="34"/>
      <c r="AI396" s="75" t="s">
        <v>7425</v>
      </c>
    </row>
    <row r="397" spans="1:35" x14ac:dyDescent="0.3">
      <c r="A397" s="34" t="s">
        <v>7286</v>
      </c>
      <c r="B397" s="72" t="s">
        <v>10777</v>
      </c>
      <c r="C397" s="71" t="s">
        <v>7150</v>
      </c>
      <c r="D397" s="81" t="s">
        <v>10778</v>
      </c>
      <c r="E397" s="74" t="s">
        <v>1409</v>
      </c>
      <c r="F397" s="75" t="s">
        <v>7293</v>
      </c>
      <c r="G397" s="75" t="s">
        <v>7293</v>
      </c>
      <c r="H397" s="75" t="s">
        <v>7311</v>
      </c>
      <c r="I397" s="75" t="s">
        <v>7312</v>
      </c>
      <c r="J397" s="75" t="s">
        <v>7433</v>
      </c>
      <c r="K397" s="11" t="s">
        <v>7434</v>
      </c>
      <c r="L397" s="77" t="s">
        <v>7315</v>
      </c>
      <c r="M397" s="98">
        <v>45516</v>
      </c>
      <c r="N397" s="76"/>
      <c r="O397" s="75" t="s">
        <v>7870</v>
      </c>
      <c r="P397" s="17" t="s">
        <v>7316</v>
      </c>
      <c r="Q397" s="98">
        <v>30595</v>
      </c>
      <c r="R397" s="78">
        <v>43.024657534246572</v>
      </c>
      <c r="S397" s="101" t="s">
        <v>10779</v>
      </c>
      <c r="T397" s="75" t="s">
        <v>7298</v>
      </c>
      <c r="U397" s="11" t="s">
        <v>10780</v>
      </c>
      <c r="V397" s="102">
        <v>47155</v>
      </c>
      <c r="W397" s="75" t="s">
        <v>7300</v>
      </c>
      <c r="X397" s="11" t="s">
        <v>7301</v>
      </c>
      <c r="Y397" s="75" t="s">
        <v>7319</v>
      </c>
      <c r="Z397" s="103" t="s">
        <v>10781</v>
      </c>
      <c r="AA397" s="11"/>
      <c r="AB397" s="18" t="s">
        <v>7293</v>
      </c>
      <c r="AC397" s="16"/>
      <c r="AD397" s="11" t="s">
        <v>10782</v>
      </c>
      <c r="AE397" s="11" t="s">
        <v>10783</v>
      </c>
      <c r="AF397" s="34"/>
      <c r="AG397" s="34"/>
      <c r="AH397" s="34"/>
      <c r="AI397" s="75" t="s">
        <v>7324</v>
      </c>
    </row>
    <row r="398" spans="1:35" x14ac:dyDescent="0.3">
      <c r="A398" s="34" t="s">
        <v>7286</v>
      </c>
      <c r="B398" s="72" t="s">
        <v>10784</v>
      </c>
      <c r="C398" s="71" t="s">
        <v>7367</v>
      </c>
      <c r="D398" s="81" t="s">
        <v>10785</v>
      </c>
      <c r="E398" s="74" t="s">
        <v>10786</v>
      </c>
      <c r="F398" s="75" t="s">
        <v>7370</v>
      </c>
      <c r="G398" s="75" t="s">
        <v>7371</v>
      </c>
      <c r="H398" s="75" t="s">
        <v>9832</v>
      </c>
      <c r="I398" s="75" t="s">
        <v>9833</v>
      </c>
      <c r="J398" s="75" t="s">
        <v>9834</v>
      </c>
      <c r="K398" s="11" t="s">
        <v>9835</v>
      </c>
      <c r="L398" s="77" t="s">
        <v>9836</v>
      </c>
      <c r="M398" s="98">
        <v>45523</v>
      </c>
      <c r="N398" s="76"/>
      <c r="O398" s="75" t="s">
        <v>8747</v>
      </c>
      <c r="P398" s="17"/>
      <c r="Q398" s="98">
        <v>36943</v>
      </c>
      <c r="R398" s="78">
        <v>25.632876712328766</v>
      </c>
      <c r="S398" s="101" t="s">
        <v>10787</v>
      </c>
      <c r="T398" s="75" t="s">
        <v>7298</v>
      </c>
      <c r="U398" s="11" t="s">
        <v>10788</v>
      </c>
      <c r="V398" s="102">
        <v>47505</v>
      </c>
      <c r="W398" s="75" t="s">
        <v>7300</v>
      </c>
      <c r="X398" s="11" t="s">
        <v>7301</v>
      </c>
      <c r="Y398" s="11" t="s">
        <v>7319</v>
      </c>
      <c r="Z398" s="103" t="s">
        <v>10789</v>
      </c>
      <c r="AA398" s="11"/>
      <c r="AB398" s="18" t="s">
        <v>10790</v>
      </c>
      <c r="AC398" s="104"/>
      <c r="AD398" s="11" t="s">
        <v>10791</v>
      </c>
      <c r="AE398" s="11" t="s">
        <v>10792</v>
      </c>
      <c r="AF398" s="34"/>
      <c r="AG398" s="34"/>
      <c r="AH398" s="34"/>
      <c r="AI398" s="75" t="s">
        <v>7745</v>
      </c>
    </row>
    <row r="399" spans="1:35" x14ac:dyDescent="0.3">
      <c r="A399" s="34" t="s">
        <v>7286</v>
      </c>
      <c r="B399" s="72" t="s">
        <v>10793</v>
      </c>
      <c r="C399" s="71" t="s">
        <v>7150</v>
      </c>
      <c r="D399" s="81" t="s">
        <v>10794</v>
      </c>
      <c r="E399" s="74" t="s">
        <v>10795</v>
      </c>
      <c r="F399" s="75" t="s">
        <v>7329</v>
      </c>
      <c r="G399" s="75" t="s">
        <v>7330</v>
      </c>
      <c r="H399" s="75" t="s">
        <v>7405</v>
      </c>
      <c r="I399" s="75" t="s">
        <v>7406</v>
      </c>
      <c r="J399" s="75" t="s">
        <v>7407</v>
      </c>
      <c r="K399" s="11" t="s">
        <v>7408</v>
      </c>
      <c r="L399" s="77" t="s">
        <v>7409</v>
      </c>
      <c r="M399" s="98">
        <v>45524</v>
      </c>
      <c r="N399" s="76"/>
      <c r="O399" s="75" t="s">
        <v>7870</v>
      </c>
      <c r="P399" s="17"/>
      <c r="Q399" s="98">
        <v>32992</v>
      </c>
      <c r="R399" s="78">
        <v>36.457534246575342</v>
      </c>
      <c r="S399" s="101" t="s">
        <v>10796</v>
      </c>
      <c r="T399" s="75" t="s">
        <v>7298</v>
      </c>
      <c r="U399" s="11" t="s">
        <v>10797</v>
      </c>
      <c r="V399" s="102">
        <v>48299</v>
      </c>
      <c r="W399" s="75" t="s">
        <v>7300</v>
      </c>
      <c r="X399" s="11" t="s">
        <v>7301</v>
      </c>
      <c r="Y399" s="11" t="s">
        <v>7319</v>
      </c>
      <c r="Z399" s="103" t="s">
        <v>10798</v>
      </c>
      <c r="AA399" s="11"/>
      <c r="AB399" s="18" t="s">
        <v>7293</v>
      </c>
      <c r="AC399" s="104"/>
      <c r="AD399" s="11" t="s">
        <v>10799</v>
      </c>
      <c r="AE399" s="11" t="s">
        <v>10799</v>
      </c>
      <c r="AF399" s="34"/>
      <c r="AG399" s="34"/>
      <c r="AH399" s="34"/>
      <c r="AI399" s="75" t="s">
        <v>10800</v>
      </c>
    </row>
    <row r="400" spans="1:35" x14ac:dyDescent="0.3">
      <c r="A400" s="34" t="s">
        <v>7286</v>
      </c>
      <c r="B400" s="72" t="s">
        <v>10801</v>
      </c>
      <c r="C400" s="17" t="s">
        <v>7343</v>
      </c>
      <c r="D400" s="81" t="s">
        <v>10802</v>
      </c>
      <c r="E400" s="74" t="s">
        <v>10803</v>
      </c>
      <c r="F400" s="75" t="s">
        <v>7674</v>
      </c>
      <c r="G400" s="75" t="s">
        <v>7675</v>
      </c>
      <c r="H400" s="11" t="s">
        <v>10804</v>
      </c>
      <c r="I400" s="75" t="s">
        <v>10805</v>
      </c>
      <c r="J400" s="75" t="s">
        <v>10806</v>
      </c>
      <c r="K400" s="11" t="s">
        <v>10807</v>
      </c>
      <c r="L400" s="77" t="s">
        <v>7680</v>
      </c>
      <c r="M400" s="98">
        <v>45526</v>
      </c>
      <c r="N400" s="76"/>
      <c r="O400" s="75" t="s">
        <v>7923</v>
      </c>
      <c r="P400" s="17"/>
      <c r="Q400" s="98">
        <v>33519</v>
      </c>
      <c r="R400" s="78">
        <v>35.013698630136986</v>
      </c>
      <c r="S400" s="101" t="s">
        <v>10808</v>
      </c>
      <c r="T400" s="75" t="s">
        <v>7298</v>
      </c>
      <c r="U400" s="11" t="s">
        <v>10809</v>
      </c>
      <c r="V400" s="102">
        <v>48289</v>
      </c>
      <c r="W400" s="75" t="s">
        <v>7300</v>
      </c>
      <c r="X400" s="75" t="s">
        <v>10419</v>
      </c>
      <c r="Y400" s="75" t="s">
        <v>7302</v>
      </c>
      <c r="Z400" s="103" t="s">
        <v>10810</v>
      </c>
      <c r="AA400" s="11"/>
      <c r="AB400" s="18" t="s">
        <v>10811</v>
      </c>
      <c r="AC400" s="16" t="s">
        <v>10812</v>
      </c>
      <c r="AD400" s="11" t="s">
        <v>10813</v>
      </c>
      <c r="AE400" s="11" t="s">
        <v>10813</v>
      </c>
      <c r="AF400" s="34"/>
      <c r="AG400" s="34"/>
      <c r="AH400" s="34"/>
      <c r="AI400" s="75" t="s">
        <v>7307</v>
      </c>
    </row>
    <row r="401" spans="1:35" x14ac:dyDescent="0.3">
      <c r="A401" s="34" t="s">
        <v>7286</v>
      </c>
      <c r="B401" s="72" t="s">
        <v>10814</v>
      </c>
      <c r="C401" s="17" t="s">
        <v>7367</v>
      </c>
      <c r="D401" s="81" t="s">
        <v>10815</v>
      </c>
      <c r="E401" s="74" t="s">
        <v>10816</v>
      </c>
      <c r="F401" s="75" t="s">
        <v>7293</v>
      </c>
      <c r="G401" s="75" t="s">
        <v>7293</v>
      </c>
      <c r="H401" s="75" t="s">
        <v>7946</v>
      </c>
      <c r="I401" s="75" t="s">
        <v>9240</v>
      </c>
      <c r="J401" s="75" t="s">
        <v>10817</v>
      </c>
      <c r="K401" s="11" t="s">
        <v>10818</v>
      </c>
      <c r="L401" s="77" t="s">
        <v>9403</v>
      </c>
      <c r="M401" s="98">
        <v>45526</v>
      </c>
      <c r="N401" s="76"/>
      <c r="O401" s="75" t="s">
        <v>7892</v>
      </c>
      <c r="P401" s="17"/>
      <c r="Q401" s="98">
        <v>38651</v>
      </c>
      <c r="R401" s="78">
        <v>20.953424657534246</v>
      </c>
      <c r="S401" s="101" t="s">
        <v>10819</v>
      </c>
      <c r="T401" s="75" t="s">
        <v>7298</v>
      </c>
      <c r="U401" s="11" t="s">
        <v>10820</v>
      </c>
      <c r="V401" s="102">
        <v>48275</v>
      </c>
      <c r="W401" s="75" t="s">
        <v>7300</v>
      </c>
      <c r="X401" s="11"/>
      <c r="Y401" s="75" t="s">
        <v>10821</v>
      </c>
      <c r="Z401" s="103" t="s">
        <v>10822</v>
      </c>
      <c r="AA401" s="11"/>
      <c r="AB401" s="18" t="s">
        <v>10823</v>
      </c>
      <c r="AC401" s="104"/>
      <c r="AD401" s="11" t="s">
        <v>10824</v>
      </c>
      <c r="AE401" s="11" t="s">
        <v>10825</v>
      </c>
      <c r="AF401" s="34"/>
      <c r="AG401" s="34"/>
      <c r="AH401" s="34"/>
      <c r="AI401" s="75" t="s">
        <v>7307</v>
      </c>
    </row>
    <row r="402" spans="1:35" x14ac:dyDescent="0.3">
      <c r="A402" s="34" t="s">
        <v>7286</v>
      </c>
      <c r="B402" s="72" t="s">
        <v>10826</v>
      </c>
      <c r="C402" s="17" t="s">
        <v>7367</v>
      </c>
      <c r="D402" s="81" t="s">
        <v>10827</v>
      </c>
      <c r="E402" s="74" t="s">
        <v>10828</v>
      </c>
      <c r="F402" s="75" t="s">
        <v>7293</v>
      </c>
      <c r="G402" s="75" t="s">
        <v>7293</v>
      </c>
      <c r="H402" s="75" t="s">
        <v>9253</v>
      </c>
      <c r="I402" s="75" t="s">
        <v>9254</v>
      </c>
      <c r="J402" s="75" t="s">
        <v>10829</v>
      </c>
      <c r="K402" s="11" t="s">
        <v>10830</v>
      </c>
      <c r="L402" s="77" t="s">
        <v>9257</v>
      </c>
      <c r="M402" s="98">
        <v>45526</v>
      </c>
      <c r="N402" s="76"/>
      <c r="O402" s="75" t="s">
        <v>7923</v>
      </c>
      <c r="P402" s="17"/>
      <c r="Q402" s="98">
        <v>34393</v>
      </c>
      <c r="R402" s="78">
        <v>32.61917808219178</v>
      </c>
      <c r="S402" s="101" t="s">
        <v>10831</v>
      </c>
      <c r="T402" s="75" t="s">
        <v>7298</v>
      </c>
      <c r="U402" s="11" t="s">
        <v>10832</v>
      </c>
      <c r="V402" s="102">
        <v>47219</v>
      </c>
      <c r="W402" s="75" t="s">
        <v>7300</v>
      </c>
      <c r="X402" s="11"/>
      <c r="Y402" s="11" t="s">
        <v>7319</v>
      </c>
      <c r="Z402" s="103" t="s">
        <v>10833</v>
      </c>
      <c r="AA402" s="11"/>
      <c r="AB402" s="18" t="s">
        <v>10834</v>
      </c>
      <c r="AC402" s="16" t="s">
        <v>10835</v>
      </c>
      <c r="AD402" s="11" t="s">
        <v>10836</v>
      </c>
      <c r="AE402" s="11" t="s">
        <v>10837</v>
      </c>
      <c r="AF402" s="34"/>
      <c r="AG402" s="34"/>
      <c r="AH402" s="34"/>
      <c r="AI402" s="75" t="s">
        <v>7307</v>
      </c>
    </row>
    <row r="403" spans="1:35" x14ac:dyDescent="0.3">
      <c r="A403" s="34" t="s">
        <v>7286</v>
      </c>
      <c r="B403" s="72" t="s">
        <v>10838</v>
      </c>
      <c r="C403" s="17" t="s">
        <v>7150</v>
      </c>
      <c r="D403" s="81" t="s">
        <v>10839</v>
      </c>
      <c r="E403" s="74" t="s">
        <v>10840</v>
      </c>
      <c r="F403" s="75" t="s">
        <v>7329</v>
      </c>
      <c r="G403" s="75" t="s">
        <v>7330</v>
      </c>
      <c r="H403" s="75" t="s">
        <v>7405</v>
      </c>
      <c r="I403" s="75" t="s">
        <v>7406</v>
      </c>
      <c r="J403" s="75" t="s">
        <v>7407</v>
      </c>
      <c r="K403" s="11" t="s">
        <v>7408</v>
      </c>
      <c r="L403" s="77" t="s">
        <v>7409</v>
      </c>
      <c r="M403" s="98">
        <v>45540</v>
      </c>
      <c r="N403" s="76"/>
      <c r="O403" s="75" t="s">
        <v>7870</v>
      </c>
      <c r="P403" s="17"/>
      <c r="Q403" s="98">
        <v>34729</v>
      </c>
      <c r="R403" s="78">
        <v>31.698630136986303</v>
      </c>
      <c r="S403" s="101" t="s">
        <v>10841</v>
      </c>
      <c r="T403" s="75" t="s">
        <v>7298</v>
      </c>
      <c r="U403" s="11" t="s">
        <v>10842</v>
      </c>
      <c r="V403" s="102">
        <v>47517</v>
      </c>
      <c r="W403" s="75" t="s">
        <v>7300</v>
      </c>
      <c r="X403" s="11" t="s">
        <v>7301</v>
      </c>
      <c r="Y403" s="75" t="s">
        <v>7319</v>
      </c>
      <c r="Z403" s="103" t="s">
        <v>10843</v>
      </c>
      <c r="AA403" s="11"/>
      <c r="AB403" s="18" t="s">
        <v>7293</v>
      </c>
      <c r="AC403" s="16" t="s">
        <v>10844</v>
      </c>
      <c r="AD403" s="11" t="s">
        <v>10845</v>
      </c>
      <c r="AE403" s="11" t="s">
        <v>10846</v>
      </c>
      <c r="AF403" s="34"/>
      <c r="AG403" s="34"/>
      <c r="AH403" s="34"/>
      <c r="AI403" s="75" t="s">
        <v>7324</v>
      </c>
    </row>
    <row r="404" spans="1:35" x14ac:dyDescent="0.3">
      <c r="A404" s="34" t="s">
        <v>7286</v>
      </c>
      <c r="B404" s="72" t="s">
        <v>10847</v>
      </c>
      <c r="C404" s="17" t="s">
        <v>7326</v>
      </c>
      <c r="D404" s="81" t="s">
        <v>10848</v>
      </c>
      <c r="E404" s="74" t="s">
        <v>10849</v>
      </c>
      <c r="F404" s="75" t="s">
        <v>7293</v>
      </c>
      <c r="G404" s="75" t="s">
        <v>7293</v>
      </c>
      <c r="H404" s="75" t="s">
        <v>8997</v>
      </c>
      <c r="I404" s="75" t="s">
        <v>8998</v>
      </c>
      <c r="J404" s="75" t="s">
        <v>10850</v>
      </c>
      <c r="K404" s="11" t="s">
        <v>10851</v>
      </c>
      <c r="L404" s="77" t="s">
        <v>10001</v>
      </c>
      <c r="M404" s="98">
        <v>45540</v>
      </c>
      <c r="N404" s="76"/>
      <c r="O404" s="75" t="s">
        <v>7923</v>
      </c>
      <c r="P404" s="17"/>
      <c r="Q404" s="98">
        <v>27557</v>
      </c>
      <c r="R404" s="78">
        <v>51.347945205479455</v>
      </c>
      <c r="S404" s="101" t="s">
        <v>10852</v>
      </c>
      <c r="T404" s="75" t="s">
        <v>7298</v>
      </c>
      <c r="U404" s="11" t="s">
        <v>10853</v>
      </c>
      <c r="V404" s="102">
        <v>48400</v>
      </c>
      <c r="W404" s="75" t="s">
        <v>7300</v>
      </c>
      <c r="X404" s="11" t="s">
        <v>10419</v>
      </c>
      <c r="Y404" s="11" t="s">
        <v>7302</v>
      </c>
      <c r="Z404" s="103" t="s">
        <v>10854</v>
      </c>
      <c r="AA404" s="11"/>
      <c r="AB404" s="18" t="s">
        <v>10855</v>
      </c>
      <c r="AC404" s="16" t="s">
        <v>10856</v>
      </c>
      <c r="AD404" s="11" t="s">
        <v>10857</v>
      </c>
      <c r="AE404" s="11" t="s">
        <v>10857</v>
      </c>
      <c r="AF404" s="34"/>
      <c r="AG404" s="34"/>
      <c r="AH404" s="34"/>
      <c r="AI404" s="75" t="s">
        <v>7307</v>
      </c>
    </row>
    <row r="405" spans="1:35" x14ac:dyDescent="0.3">
      <c r="A405" s="34" t="s">
        <v>10858</v>
      </c>
      <c r="B405" s="72" t="s">
        <v>10859</v>
      </c>
      <c r="C405" s="17" t="s">
        <v>7367</v>
      </c>
      <c r="D405" s="81" t="s">
        <v>10860</v>
      </c>
      <c r="E405" s="74" t="s">
        <v>10861</v>
      </c>
      <c r="F405" s="75" t="s">
        <v>7370</v>
      </c>
      <c r="G405" s="75" t="s">
        <v>7371</v>
      </c>
      <c r="H405" s="75" t="s">
        <v>9832</v>
      </c>
      <c r="I405" s="75" t="s">
        <v>9833</v>
      </c>
      <c r="J405" s="75" t="s">
        <v>10862</v>
      </c>
      <c r="K405" s="11" t="s">
        <v>10863</v>
      </c>
      <c r="L405" s="77" t="s">
        <v>9836</v>
      </c>
      <c r="M405" s="98">
        <v>45547</v>
      </c>
      <c r="N405" s="76"/>
      <c r="O405" s="75" t="s">
        <v>8747</v>
      </c>
      <c r="P405" s="17"/>
      <c r="Q405" s="98">
        <v>38321</v>
      </c>
      <c r="R405" s="78">
        <v>21.857534246575341</v>
      </c>
      <c r="S405" s="101" t="s">
        <v>10864</v>
      </c>
      <c r="T405" s="75" t="s">
        <v>7298</v>
      </c>
      <c r="U405" s="11" t="s">
        <v>10865</v>
      </c>
      <c r="V405" s="102">
        <v>47883</v>
      </c>
      <c r="W405" s="75" t="s">
        <v>7300</v>
      </c>
      <c r="X405" s="11" t="s">
        <v>10336</v>
      </c>
      <c r="Y405" s="103" t="s">
        <v>7302</v>
      </c>
      <c r="Z405" s="103" t="s">
        <v>10866</v>
      </c>
      <c r="AA405" s="11"/>
      <c r="AB405" s="18" t="s">
        <v>10867</v>
      </c>
      <c r="AC405" s="16" t="s">
        <v>10868</v>
      </c>
      <c r="AD405" s="11" t="s">
        <v>10869</v>
      </c>
      <c r="AE405" s="11" t="s">
        <v>10870</v>
      </c>
      <c r="AF405" s="34"/>
      <c r="AG405" s="34"/>
      <c r="AH405" s="34"/>
      <c r="AI405" s="75" t="s">
        <v>7745</v>
      </c>
    </row>
    <row r="406" spans="1:35" x14ac:dyDescent="0.3">
      <c r="A406" s="34" t="s">
        <v>7286</v>
      </c>
      <c r="B406" s="72" t="s">
        <v>10871</v>
      </c>
      <c r="C406" s="17" t="s">
        <v>7326</v>
      </c>
      <c r="D406" s="81" t="s">
        <v>10872</v>
      </c>
      <c r="E406" s="74" t="s">
        <v>10873</v>
      </c>
      <c r="F406" s="75" t="s">
        <v>7370</v>
      </c>
      <c r="G406" s="75" t="s">
        <v>7371</v>
      </c>
      <c r="H406" s="75" t="s">
        <v>7372</v>
      </c>
      <c r="I406" s="75" t="s">
        <v>7373</v>
      </c>
      <c r="J406" s="75" t="s">
        <v>10874</v>
      </c>
      <c r="K406" s="11" t="s">
        <v>10875</v>
      </c>
      <c r="L406" s="77" t="s">
        <v>7376</v>
      </c>
      <c r="M406" s="98">
        <v>45551</v>
      </c>
      <c r="N406" s="76"/>
      <c r="O406" s="75" t="s">
        <v>7923</v>
      </c>
      <c r="P406" s="17"/>
      <c r="Q406" s="98">
        <v>33560</v>
      </c>
      <c r="R406" s="78">
        <v>34.901369863013699</v>
      </c>
      <c r="S406" s="101" t="s">
        <v>10876</v>
      </c>
      <c r="T406" s="75" t="s">
        <v>7298</v>
      </c>
      <c r="U406" s="11" t="s">
        <v>10877</v>
      </c>
      <c r="V406" s="102">
        <v>46344</v>
      </c>
      <c r="W406" s="75" t="s">
        <v>7300</v>
      </c>
      <c r="X406" s="11" t="s">
        <v>10419</v>
      </c>
      <c r="Y406" s="75" t="s">
        <v>7319</v>
      </c>
      <c r="Z406" s="103" t="s">
        <v>10878</v>
      </c>
      <c r="AA406" s="11"/>
      <c r="AB406" s="18" t="s">
        <v>10879</v>
      </c>
      <c r="AC406" s="16" t="s">
        <v>10880</v>
      </c>
      <c r="AD406" s="11" t="s">
        <v>10881</v>
      </c>
      <c r="AE406" s="11" t="s">
        <v>10881</v>
      </c>
      <c r="AF406" s="34"/>
      <c r="AG406" s="34"/>
      <c r="AH406" s="34"/>
      <c r="AI406" s="75" t="s">
        <v>7745</v>
      </c>
    </row>
    <row r="407" spans="1:35" x14ac:dyDescent="0.3">
      <c r="A407" s="34" t="s">
        <v>7286</v>
      </c>
      <c r="B407" s="72" t="s">
        <v>10882</v>
      </c>
      <c r="C407" s="34" t="s">
        <v>7367</v>
      </c>
      <c r="D407" s="81" t="s">
        <v>10883</v>
      </c>
      <c r="E407" s="74" t="s">
        <v>10884</v>
      </c>
      <c r="F407" s="75" t="s">
        <v>8166</v>
      </c>
      <c r="G407" s="75" t="s">
        <v>6492</v>
      </c>
      <c r="H407" s="11" t="s">
        <v>7293</v>
      </c>
      <c r="I407" s="75" t="s">
        <v>7293</v>
      </c>
      <c r="J407" s="75" t="s">
        <v>8517</v>
      </c>
      <c r="K407" s="11" t="s">
        <v>6341</v>
      </c>
      <c r="L407" s="77" t="s">
        <v>7646</v>
      </c>
      <c r="M407" s="98">
        <v>45554</v>
      </c>
      <c r="N407" s="76"/>
      <c r="O407" s="75" t="s">
        <v>7870</v>
      </c>
      <c r="P407" s="17"/>
      <c r="Q407" s="98">
        <v>27998</v>
      </c>
      <c r="R407" s="78">
        <v>50.139726027397259</v>
      </c>
      <c r="S407" s="101" t="s">
        <v>10885</v>
      </c>
      <c r="T407" s="75" t="s">
        <v>7298</v>
      </c>
      <c r="U407" s="11" t="s">
        <v>10886</v>
      </c>
      <c r="V407" s="102">
        <v>48483</v>
      </c>
      <c r="W407" s="75" t="s">
        <v>7300</v>
      </c>
      <c r="X407" s="11" t="s">
        <v>7301</v>
      </c>
      <c r="Y407" s="11" t="s">
        <v>7319</v>
      </c>
      <c r="Z407" s="103" t="s">
        <v>10887</v>
      </c>
      <c r="AA407" s="11"/>
      <c r="AB407" s="18" t="s">
        <v>7293</v>
      </c>
      <c r="AC407" s="16" t="s">
        <v>10888</v>
      </c>
      <c r="AD407" s="11" t="s">
        <v>10889</v>
      </c>
      <c r="AE407" s="11" t="s">
        <v>10890</v>
      </c>
      <c r="AF407" s="34"/>
      <c r="AG407" s="34"/>
      <c r="AH407" s="34"/>
      <c r="AI407" s="75" t="s">
        <v>7324</v>
      </c>
    </row>
    <row r="408" spans="1:35" x14ac:dyDescent="0.3">
      <c r="A408" s="34" t="s">
        <v>7286</v>
      </c>
      <c r="B408" s="72" t="s">
        <v>10891</v>
      </c>
      <c r="C408" s="17" t="s">
        <v>7343</v>
      </c>
      <c r="D408" s="81" t="s">
        <v>10892</v>
      </c>
      <c r="E408" s="74" t="s">
        <v>7771</v>
      </c>
      <c r="F408" s="75" t="s">
        <v>7370</v>
      </c>
      <c r="G408" s="75" t="s">
        <v>7371</v>
      </c>
      <c r="H408" s="75" t="s">
        <v>7767</v>
      </c>
      <c r="I408" s="75" t="s">
        <v>7768</v>
      </c>
      <c r="J408" s="75" t="s">
        <v>10893</v>
      </c>
      <c r="K408" s="11" t="s">
        <v>10894</v>
      </c>
      <c r="L408" s="77" t="s">
        <v>9176</v>
      </c>
      <c r="M408" s="98">
        <v>45554</v>
      </c>
      <c r="N408" s="76"/>
      <c r="O408" s="75" t="s">
        <v>7923</v>
      </c>
      <c r="P408" s="17"/>
      <c r="Q408" s="98">
        <v>32495</v>
      </c>
      <c r="R408" s="78">
        <v>37.819178082191783</v>
      </c>
      <c r="S408" s="101" t="s">
        <v>10895</v>
      </c>
      <c r="T408" s="75" t="s">
        <v>7298</v>
      </c>
      <c r="U408" s="11" t="s">
        <v>10896</v>
      </c>
      <c r="V408" s="102">
        <v>47220</v>
      </c>
      <c r="W408" s="75" t="s">
        <v>7300</v>
      </c>
      <c r="X408" s="75" t="s">
        <v>7301</v>
      </c>
      <c r="Y408" s="11" t="s">
        <v>7319</v>
      </c>
      <c r="Z408" s="103" t="s">
        <v>10897</v>
      </c>
      <c r="AA408" s="11"/>
      <c r="AB408" s="18" t="s">
        <v>10898</v>
      </c>
      <c r="AC408" s="16" t="s">
        <v>10899</v>
      </c>
      <c r="AD408" s="11" t="s">
        <v>10900</v>
      </c>
      <c r="AE408" s="11" t="s">
        <v>10900</v>
      </c>
      <c r="AF408" s="34"/>
      <c r="AG408" s="34"/>
      <c r="AH408" s="34"/>
      <c r="AI408" s="75" t="s">
        <v>7745</v>
      </c>
    </row>
    <row r="409" spans="1:35" x14ac:dyDescent="0.3">
      <c r="A409" s="34" t="s">
        <v>7286</v>
      </c>
      <c r="B409" s="72" t="s">
        <v>10901</v>
      </c>
      <c r="C409" s="34" t="s">
        <v>7150</v>
      </c>
      <c r="D409" s="81" t="s">
        <v>10902</v>
      </c>
      <c r="E409" s="74" t="s">
        <v>10903</v>
      </c>
      <c r="F409" s="75" t="s">
        <v>7293</v>
      </c>
      <c r="G409" s="75" t="s">
        <v>7293</v>
      </c>
      <c r="H409" s="75" t="s">
        <v>7311</v>
      </c>
      <c r="I409" s="75" t="s">
        <v>7312</v>
      </c>
      <c r="J409" s="75" t="s">
        <v>7433</v>
      </c>
      <c r="K409" s="11" t="s">
        <v>7434</v>
      </c>
      <c r="L409" s="77" t="s">
        <v>7315</v>
      </c>
      <c r="M409" s="98">
        <v>45558</v>
      </c>
      <c r="N409" s="76"/>
      <c r="O409" s="75" t="s">
        <v>7870</v>
      </c>
      <c r="P409" s="17" t="s">
        <v>8748</v>
      </c>
      <c r="Q409" s="98">
        <v>38017</v>
      </c>
      <c r="R409" s="78">
        <v>22.69041095890411</v>
      </c>
      <c r="S409" s="101" t="s">
        <v>10904</v>
      </c>
      <c r="T409" s="75" t="s">
        <v>7298</v>
      </c>
      <c r="U409" s="11" t="s">
        <v>10905</v>
      </c>
      <c r="V409" s="102">
        <v>47926</v>
      </c>
      <c r="W409" s="75" t="s">
        <v>7300</v>
      </c>
      <c r="X409" s="11" t="s">
        <v>10336</v>
      </c>
      <c r="Y409" s="75" t="s">
        <v>7319</v>
      </c>
      <c r="Z409" s="103" t="s">
        <v>10906</v>
      </c>
      <c r="AA409" s="107">
        <v>994102419374</v>
      </c>
      <c r="AB409" s="18" t="s">
        <v>7293</v>
      </c>
      <c r="AC409" s="104"/>
      <c r="AD409" s="11" t="s">
        <v>10907</v>
      </c>
      <c r="AE409" s="11" t="s">
        <v>10908</v>
      </c>
      <c r="AF409" s="34"/>
      <c r="AG409" s="34"/>
      <c r="AH409" s="34"/>
      <c r="AI409" s="75" t="s">
        <v>7448</v>
      </c>
    </row>
    <row r="410" spans="1:35" x14ac:dyDescent="0.3">
      <c r="A410" s="34" t="s">
        <v>7286</v>
      </c>
      <c r="B410" s="72" t="s">
        <v>10909</v>
      </c>
      <c r="C410" s="34" t="s">
        <v>7367</v>
      </c>
      <c r="D410" s="81" t="s">
        <v>10910</v>
      </c>
      <c r="E410" s="74" t="s">
        <v>10911</v>
      </c>
      <c r="F410" s="75" t="s">
        <v>7291</v>
      </c>
      <c r="G410" s="75" t="s">
        <v>7292</v>
      </c>
      <c r="H410" s="75" t="s">
        <v>7814</v>
      </c>
      <c r="I410" s="75" t="s">
        <v>7815</v>
      </c>
      <c r="J410" s="75" t="s">
        <v>7575</v>
      </c>
      <c r="K410" s="11" t="s">
        <v>6340</v>
      </c>
      <c r="L410" s="77" t="s">
        <v>7818</v>
      </c>
      <c r="M410" s="98">
        <v>45558</v>
      </c>
      <c r="N410" s="76"/>
      <c r="O410" s="75" t="s">
        <v>7870</v>
      </c>
      <c r="P410" s="17"/>
      <c r="Q410" s="98">
        <v>32358</v>
      </c>
      <c r="R410" s="78">
        <v>38.194520547945203</v>
      </c>
      <c r="S410" s="101" t="s">
        <v>10912</v>
      </c>
      <c r="T410" s="75" t="s">
        <v>7298</v>
      </c>
      <c r="U410" s="11" t="s">
        <v>10913</v>
      </c>
      <c r="V410" s="102">
        <v>47150</v>
      </c>
      <c r="W410" s="75" t="s">
        <v>7300</v>
      </c>
      <c r="X410" s="11" t="s">
        <v>7301</v>
      </c>
      <c r="Y410" s="75" t="s">
        <v>7319</v>
      </c>
      <c r="Z410" s="103" t="s">
        <v>10914</v>
      </c>
      <c r="AA410" s="11"/>
      <c r="AB410" s="18" t="s">
        <v>10915</v>
      </c>
      <c r="AC410" s="104"/>
      <c r="AD410" s="11" t="s">
        <v>10916</v>
      </c>
      <c r="AE410" s="11" t="s">
        <v>10917</v>
      </c>
      <c r="AF410" s="34"/>
      <c r="AG410" s="34"/>
      <c r="AH410" s="34"/>
      <c r="AI410" s="75" t="s">
        <v>7307</v>
      </c>
    </row>
    <row r="411" spans="1:35" x14ac:dyDescent="0.3">
      <c r="A411" s="34" t="s">
        <v>7286</v>
      </c>
      <c r="B411" s="72" t="s">
        <v>10918</v>
      </c>
      <c r="C411" s="34" t="s">
        <v>7367</v>
      </c>
      <c r="D411" s="81" t="s">
        <v>10919</v>
      </c>
      <c r="E411" s="74" t="s">
        <v>10920</v>
      </c>
      <c r="F411" s="75" t="s">
        <v>7329</v>
      </c>
      <c r="G411" s="75" t="s">
        <v>7330</v>
      </c>
      <c r="H411" s="11" t="s">
        <v>7358</v>
      </c>
      <c r="I411" s="75" t="s">
        <v>7359</v>
      </c>
      <c r="J411" s="75" t="s">
        <v>7388</v>
      </c>
      <c r="K411" s="11" t="s">
        <v>7389</v>
      </c>
      <c r="L411" s="77" t="s">
        <v>7360</v>
      </c>
      <c r="M411" s="98">
        <v>45558</v>
      </c>
      <c r="N411" s="76"/>
      <c r="O411" s="75" t="s">
        <v>7870</v>
      </c>
      <c r="P411" s="17"/>
      <c r="Q411" s="98">
        <v>37142</v>
      </c>
      <c r="R411" s="78">
        <v>25.087671232876712</v>
      </c>
      <c r="S411" s="101" t="s">
        <v>10921</v>
      </c>
      <c r="T411" s="75" t="s">
        <v>7298</v>
      </c>
      <c r="U411" s="11" t="s">
        <v>10922</v>
      </c>
      <c r="V411" s="102">
        <v>46273</v>
      </c>
      <c r="W411" s="75" t="s">
        <v>7300</v>
      </c>
      <c r="X411" s="11" t="s">
        <v>10923</v>
      </c>
      <c r="Y411" s="75" t="s">
        <v>7319</v>
      </c>
      <c r="Z411" s="103" t="s">
        <v>10924</v>
      </c>
      <c r="AA411" s="11"/>
      <c r="AB411" s="18" t="s">
        <v>7293</v>
      </c>
      <c r="AC411" s="104"/>
      <c r="AD411" s="11" t="s">
        <v>10925</v>
      </c>
      <c r="AE411" s="11" t="s">
        <v>10925</v>
      </c>
      <c r="AF411" s="34"/>
      <c r="AG411" s="34"/>
      <c r="AH411" s="34"/>
      <c r="AI411" s="75" t="s">
        <v>7324</v>
      </c>
    </row>
    <row r="412" spans="1:35" x14ac:dyDescent="0.3">
      <c r="A412" s="34" t="s">
        <v>7286</v>
      </c>
      <c r="B412" s="72" t="s">
        <v>10926</v>
      </c>
      <c r="C412" s="34" t="s">
        <v>7367</v>
      </c>
      <c r="D412" s="81" t="s">
        <v>10927</v>
      </c>
      <c r="E412" s="74" t="s">
        <v>10928</v>
      </c>
      <c r="F412" s="75" t="s">
        <v>7674</v>
      </c>
      <c r="G412" s="75" t="s">
        <v>7675</v>
      </c>
      <c r="H412" s="11" t="s">
        <v>10804</v>
      </c>
      <c r="I412" s="75" t="s">
        <v>10805</v>
      </c>
      <c r="J412" s="75" t="s">
        <v>10929</v>
      </c>
      <c r="K412" s="11" t="s">
        <v>10930</v>
      </c>
      <c r="L412" s="77" t="s">
        <v>10803</v>
      </c>
      <c r="M412" s="98">
        <v>45558</v>
      </c>
      <c r="N412" s="76"/>
      <c r="O412" s="75" t="s">
        <v>7870</v>
      </c>
      <c r="P412" s="17"/>
      <c r="Q412" s="98">
        <v>36999</v>
      </c>
      <c r="R412" s="78">
        <v>25.479452054794521</v>
      </c>
      <c r="S412" s="101" t="s">
        <v>10931</v>
      </c>
      <c r="T412" s="75" t="s">
        <v>7298</v>
      </c>
      <c r="U412" s="11" t="s">
        <v>10932</v>
      </c>
      <c r="V412" s="102">
        <v>48574</v>
      </c>
      <c r="W412" s="75" t="s">
        <v>7300</v>
      </c>
      <c r="X412" s="11" t="s">
        <v>7301</v>
      </c>
      <c r="Y412" s="75" t="s">
        <v>7302</v>
      </c>
      <c r="Z412" s="103" t="s">
        <v>10933</v>
      </c>
      <c r="AA412" s="11"/>
      <c r="AB412" s="18" t="s">
        <v>10934</v>
      </c>
      <c r="AC412" s="18" t="s">
        <v>10935</v>
      </c>
      <c r="AD412" s="11" t="s">
        <v>10936</v>
      </c>
      <c r="AE412" s="11" t="s">
        <v>10936</v>
      </c>
      <c r="AF412" s="34"/>
      <c r="AG412" s="34"/>
      <c r="AH412" s="34"/>
      <c r="AI412" s="75" t="s">
        <v>7307</v>
      </c>
    </row>
    <row r="413" spans="1:35" x14ac:dyDescent="0.3">
      <c r="A413" s="34" t="s">
        <v>7286</v>
      </c>
      <c r="B413" s="72" t="s">
        <v>10937</v>
      </c>
      <c r="C413" s="17" t="s">
        <v>7343</v>
      </c>
      <c r="D413" s="81" t="s">
        <v>10938</v>
      </c>
      <c r="E413" s="74" t="s">
        <v>7376</v>
      </c>
      <c r="F413" s="75" t="s">
        <v>7370</v>
      </c>
      <c r="G413" s="75" t="s">
        <v>7371</v>
      </c>
      <c r="H413" s="11" t="s">
        <v>7293</v>
      </c>
      <c r="I413" s="75" t="s">
        <v>7293</v>
      </c>
      <c r="J413" s="75" t="s">
        <v>10939</v>
      </c>
      <c r="K413" s="11" t="s">
        <v>10940</v>
      </c>
      <c r="L413" s="77" t="s">
        <v>9176</v>
      </c>
      <c r="M413" s="98">
        <v>45558</v>
      </c>
      <c r="N413" s="76"/>
      <c r="O413" s="75" t="s">
        <v>7892</v>
      </c>
      <c r="P413" s="17"/>
      <c r="Q413" s="98">
        <v>34858</v>
      </c>
      <c r="R413" s="78">
        <v>31.345205479452055</v>
      </c>
      <c r="S413" s="101" t="s">
        <v>10941</v>
      </c>
      <c r="T413" s="75" t="s">
        <v>7298</v>
      </c>
      <c r="U413" s="11" t="s">
        <v>10942</v>
      </c>
      <c r="V413" s="102">
        <v>47723</v>
      </c>
      <c r="W413" s="75" t="s">
        <v>7300</v>
      </c>
      <c r="X413" s="75" t="s">
        <v>7301</v>
      </c>
      <c r="Y413" s="11" t="s">
        <v>7319</v>
      </c>
      <c r="Z413" s="103" t="s">
        <v>10943</v>
      </c>
      <c r="AA413" s="11"/>
      <c r="AB413" s="18" t="s">
        <v>10944</v>
      </c>
      <c r="AC413" s="16" t="s">
        <v>10945</v>
      </c>
      <c r="AD413" s="11" t="s">
        <v>10946</v>
      </c>
      <c r="AE413" s="11" t="s">
        <v>10947</v>
      </c>
      <c r="AF413" s="34"/>
      <c r="AG413" s="34"/>
      <c r="AH413" s="34"/>
      <c r="AI413" s="75" t="s">
        <v>7745</v>
      </c>
    </row>
    <row r="414" spans="1:35" ht="43.2" x14ac:dyDescent="0.3">
      <c r="A414" s="34" t="s">
        <v>7286</v>
      </c>
      <c r="B414" s="72" t="s">
        <v>10948</v>
      </c>
      <c r="C414" s="17" t="s">
        <v>7367</v>
      </c>
      <c r="D414" s="81" t="s">
        <v>10949</v>
      </c>
      <c r="E414" s="74" t="s">
        <v>10950</v>
      </c>
      <c r="F414" s="75" t="s">
        <v>7293</v>
      </c>
      <c r="G414" s="75" t="s">
        <v>7293</v>
      </c>
      <c r="H414" s="75" t="s">
        <v>7946</v>
      </c>
      <c r="I414" s="75" t="s">
        <v>7947</v>
      </c>
      <c r="J414" s="75" t="s">
        <v>9401</v>
      </c>
      <c r="K414" s="11" t="s">
        <v>9402</v>
      </c>
      <c r="L414" s="77" t="s">
        <v>9403</v>
      </c>
      <c r="M414" s="98">
        <v>45568</v>
      </c>
      <c r="N414" s="76"/>
      <c r="O414" s="75" t="s">
        <v>7923</v>
      </c>
      <c r="P414" s="17"/>
      <c r="Q414" s="98">
        <v>34319</v>
      </c>
      <c r="R414" s="78">
        <v>32.821917808219176</v>
      </c>
      <c r="S414" s="101" t="s">
        <v>10951</v>
      </c>
      <c r="T414" s="75" t="s">
        <v>7298</v>
      </c>
      <c r="U414" s="11" t="s">
        <v>10952</v>
      </c>
      <c r="V414" s="102">
        <v>47093</v>
      </c>
      <c r="W414" s="75" t="s">
        <v>7300</v>
      </c>
      <c r="X414" s="11" t="s">
        <v>7301</v>
      </c>
      <c r="Y414" s="11" t="s">
        <v>7319</v>
      </c>
      <c r="Z414" s="103" t="s">
        <v>10953</v>
      </c>
      <c r="AA414" s="11"/>
      <c r="AB414" s="18" t="s">
        <v>10954</v>
      </c>
      <c r="AC414" s="13" t="s">
        <v>10955</v>
      </c>
      <c r="AD414" s="11" t="s">
        <v>10956</v>
      </c>
      <c r="AE414" s="11" t="s">
        <v>10957</v>
      </c>
      <c r="AF414" s="34"/>
      <c r="AG414" s="34"/>
      <c r="AH414" s="34"/>
      <c r="AI414" s="75" t="s">
        <v>7307</v>
      </c>
    </row>
    <row r="415" spans="1:35" x14ac:dyDescent="0.3">
      <c r="A415" s="34" t="s">
        <v>7286</v>
      </c>
      <c r="B415" s="72" t="s">
        <v>10958</v>
      </c>
      <c r="C415" s="17" t="s">
        <v>7150</v>
      </c>
      <c r="D415" s="81" t="s">
        <v>10959</v>
      </c>
      <c r="E415" s="74" t="s">
        <v>1604</v>
      </c>
      <c r="F415" s="75" t="s">
        <v>7293</v>
      </c>
      <c r="G415" s="75" t="s">
        <v>7293</v>
      </c>
      <c r="H415" s="75" t="s">
        <v>7311</v>
      </c>
      <c r="I415" s="75" t="s">
        <v>7312</v>
      </c>
      <c r="J415" s="75" t="s">
        <v>7433</v>
      </c>
      <c r="K415" s="11" t="s">
        <v>7434</v>
      </c>
      <c r="L415" s="77" t="s">
        <v>7315</v>
      </c>
      <c r="M415" s="98">
        <v>45572</v>
      </c>
      <c r="N415" s="76"/>
      <c r="O415" s="75" t="s">
        <v>7923</v>
      </c>
      <c r="P415" s="17" t="s">
        <v>8361</v>
      </c>
      <c r="Q415" s="98">
        <v>35784</v>
      </c>
      <c r="R415" s="78">
        <v>28.80821917808219</v>
      </c>
      <c r="S415" s="101" t="s">
        <v>10960</v>
      </c>
      <c r="T415" s="75" t="s">
        <v>7298</v>
      </c>
      <c r="U415" s="11" t="s">
        <v>10961</v>
      </c>
      <c r="V415" s="102">
        <v>47936</v>
      </c>
      <c r="W415" s="75" t="s">
        <v>7300</v>
      </c>
      <c r="X415" s="11" t="s">
        <v>10336</v>
      </c>
      <c r="Y415" s="75" t="s">
        <v>7319</v>
      </c>
      <c r="Z415" s="103" t="s">
        <v>10962</v>
      </c>
      <c r="AA415" s="11"/>
      <c r="AB415" s="18" t="s">
        <v>7293</v>
      </c>
      <c r="AC415" s="18"/>
      <c r="AD415" s="65" t="s">
        <v>10963</v>
      </c>
      <c r="AE415" s="65" t="s">
        <v>10963</v>
      </c>
      <c r="AF415" s="34"/>
      <c r="AG415" s="34"/>
      <c r="AH415" s="34"/>
      <c r="AI415" s="11" t="s">
        <v>8361</v>
      </c>
    </row>
    <row r="416" spans="1:35" x14ac:dyDescent="0.3">
      <c r="A416" s="34" t="s">
        <v>7286</v>
      </c>
      <c r="B416" s="72" t="s">
        <v>10964</v>
      </c>
      <c r="C416" s="17" t="s">
        <v>7367</v>
      </c>
      <c r="D416" s="81" t="s">
        <v>10965</v>
      </c>
      <c r="E416" s="74" t="s">
        <v>10966</v>
      </c>
      <c r="F416" s="75" t="s">
        <v>7370</v>
      </c>
      <c r="G416" s="75" t="s">
        <v>7371</v>
      </c>
      <c r="H416" s="75" t="s">
        <v>7372</v>
      </c>
      <c r="I416" s="75" t="s">
        <v>7373</v>
      </c>
      <c r="J416" s="75" t="s">
        <v>8653</v>
      </c>
      <c r="K416" s="11" t="s">
        <v>8654</v>
      </c>
      <c r="L416" s="77" t="s">
        <v>7376</v>
      </c>
      <c r="M416" s="98">
        <v>45572</v>
      </c>
      <c r="N416" s="76"/>
      <c r="O416" s="75" t="s">
        <v>8747</v>
      </c>
      <c r="P416" s="17"/>
      <c r="Q416" s="98">
        <v>37437</v>
      </c>
      <c r="R416" s="78">
        <v>24.279452054794522</v>
      </c>
      <c r="S416" s="101" t="s">
        <v>10967</v>
      </c>
      <c r="T416" s="75" t="s">
        <v>7298</v>
      </c>
      <c r="U416" s="11" t="s">
        <v>10968</v>
      </c>
      <c r="V416" s="102">
        <v>46568</v>
      </c>
      <c r="W416" s="75" t="s">
        <v>7300</v>
      </c>
      <c r="X416" s="11" t="s">
        <v>7301</v>
      </c>
      <c r="Y416" s="75" t="s">
        <v>7302</v>
      </c>
      <c r="Z416" s="103" t="s">
        <v>10969</v>
      </c>
      <c r="AA416" s="11"/>
      <c r="AB416" s="18" t="s">
        <v>10970</v>
      </c>
      <c r="AC416" s="18" t="s">
        <v>10971</v>
      </c>
      <c r="AD416" s="65" t="s">
        <v>10972</v>
      </c>
      <c r="AE416" s="65" t="s">
        <v>10972</v>
      </c>
      <c r="AF416" s="34"/>
      <c r="AG416" s="34"/>
      <c r="AH416" s="34"/>
      <c r="AI416" s="75" t="s">
        <v>7745</v>
      </c>
    </row>
    <row r="417" spans="1:35" x14ac:dyDescent="0.3">
      <c r="A417" s="34" t="s">
        <v>7286</v>
      </c>
      <c r="B417" s="72" t="s">
        <v>10973</v>
      </c>
      <c r="C417" s="17" t="s">
        <v>7367</v>
      </c>
      <c r="D417" s="81" t="s">
        <v>10974</v>
      </c>
      <c r="E417" s="74" t="s">
        <v>10975</v>
      </c>
      <c r="F417" s="75" t="s">
        <v>7329</v>
      </c>
      <c r="G417" s="75" t="s">
        <v>7330</v>
      </c>
      <c r="H417" s="75" t="s">
        <v>7452</v>
      </c>
      <c r="I417" s="75" t="s">
        <v>7453</v>
      </c>
      <c r="J417" s="75" t="s">
        <v>7575</v>
      </c>
      <c r="K417" s="11" t="s">
        <v>6340</v>
      </c>
      <c r="L417" s="77" t="s">
        <v>7456</v>
      </c>
      <c r="M417" s="98">
        <v>45572</v>
      </c>
      <c r="N417" s="76"/>
      <c r="O417" s="75" t="s">
        <v>7870</v>
      </c>
      <c r="P417" s="17"/>
      <c r="Q417" s="98">
        <v>30186</v>
      </c>
      <c r="R417" s="78">
        <v>44.145205479452052</v>
      </c>
      <c r="S417" s="101" t="s">
        <v>10976</v>
      </c>
      <c r="T417" s="75" t="s">
        <v>7298</v>
      </c>
      <c r="U417" s="11" t="s">
        <v>10977</v>
      </c>
      <c r="V417" s="102">
        <v>47887</v>
      </c>
      <c r="W417" s="75" t="s">
        <v>7300</v>
      </c>
      <c r="X417" s="11" t="s">
        <v>7301</v>
      </c>
      <c r="Y417" s="75" t="s">
        <v>7319</v>
      </c>
      <c r="Z417" s="103" t="s">
        <v>10978</v>
      </c>
      <c r="AA417" s="11"/>
      <c r="AB417" s="18" t="s">
        <v>10979</v>
      </c>
      <c r="AC417" s="18"/>
      <c r="AD417" s="65" t="s">
        <v>10980</v>
      </c>
      <c r="AE417" s="11" t="s">
        <v>10981</v>
      </c>
      <c r="AF417" s="34"/>
      <c r="AG417" s="34"/>
      <c r="AH417" s="34"/>
      <c r="AI417" s="75" t="s">
        <v>7324</v>
      </c>
    </row>
    <row r="418" spans="1:35" ht="57.6" x14ac:dyDescent="0.3">
      <c r="A418" s="34" t="s">
        <v>7286</v>
      </c>
      <c r="B418" s="72" t="s">
        <v>10982</v>
      </c>
      <c r="C418" s="17" t="s">
        <v>7150</v>
      </c>
      <c r="D418" s="81" t="s">
        <v>10983</v>
      </c>
      <c r="E418" s="75" t="s">
        <v>1680</v>
      </c>
      <c r="F418" s="75" t="s">
        <v>7293</v>
      </c>
      <c r="G418" s="75" t="s">
        <v>7293</v>
      </c>
      <c r="H418" s="75" t="s">
        <v>7311</v>
      </c>
      <c r="I418" s="75" t="s">
        <v>7312</v>
      </c>
      <c r="J418" s="75" t="s">
        <v>7313</v>
      </c>
      <c r="K418" s="11" t="s">
        <v>7314</v>
      </c>
      <c r="L418" s="77" t="s">
        <v>7315</v>
      </c>
      <c r="M418" s="76">
        <v>45573</v>
      </c>
      <c r="N418" s="76"/>
      <c r="O418" s="75" t="s">
        <v>7870</v>
      </c>
      <c r="P418" s="17" t="s">
        <v>10609</v>
      </c>
      <c r="Q418" s="76">
        <v>32196</v>
      </c>
      <c r="R418" s="78">
        <v>38.638356164383559</v>
      </c>
      <c r="S418" s="75" t="s">
        <v>10984</v>
      </c>
      <c r="T418" s="75" t="s">
        <v>7298</v>
      </c>
      <c r="U418" s="96" t="s">
        <v>10985</v>
      </c>
      <c r="V418" s="83">
        <v>48833</v>
      </c>
      <c r="W418" s="75" t="s">
        <v>7300</v>
      </c>
      <c r="X418" s="75" t="s">
        <v>7301</v>
      </c>
      <c r="Y418" s="75" t="s">
        <v>7319</v>
      </c>
      <c r="Z418" s="15" t="s">
        <v>10986</v>
      </c>
      <c r="AA418" s="12"/>
      <c r="AB418" s="18" t="s">
        <v>7293</v>
      </c>
      <c r="AC418" s="13" t="s">
        <v>10987</v>
      </c>
      <c r="AD418" s="108" t="s">
        <v>10988</v>
      </c>
      <c r="AE418" s="108" t="s">
        <v>10988</v>
      </c>
      <c r="AF418" s="17"/>
      <c r="AG418" s="75"/>
      <c r="AH418" s="17"/>
      <c r="AI418" s="75" t="s">
        <v>10609</v>
      </c>
    </row>
    <row r="419" spans="1:35" ht="86.4" x14ac:dyDescent="0.3">
      <c r="A419" s="34" t="s">
        <v>7286</v>
      </c>
      <c r="B419" s="72" t="s">
        <v>10989</v>
      </c>
      <c r="C419" s="17" t="s">
        <v>7367</v>
      </c>
      <c r="D419" s="81" t="s">
        <v>10990</v>
      </c>
      <c r="E419" s="75" t="s">
        <v>10991</v>
      </c>
      <c r="F419" s="75" t="s">
        <v>7329</v>
      </c>
      <c r="G419" s="75" t="s">
        <v>7330</v>
      </c>
      <c r="H419" s="75" t="s">
        <v>7405</v>
      </c>
      <c r="I419" s="75" t="s">
        <v>7406</v>
      </c>
      <c r="J419" s="75" t="s">
        <v>10992</v>
      </c>
      <c r="K419" s="11" t="s">
        <v>10993</v>
      </c>
      <c r="L419" s="77" t="s">
        <v>7409</v>
      </c>
      <c r="M419" s="76">
        <v>45579</v>
      </c>
      <c r="N419" s="76"/>
      <c r="O419" s="75" t="s">
        <v>7870</v>
      </c>
      <c r="P419" s="17"/>
      <c r="Q419" s="76">
        <v>33716</v>
      </c>
      <c r="R419" s="78">
        <v>34.473972602739728</v>
      </c>
      <c r="S419" s="75" t="s">
        <v>10994</v>
      </c>
      <c r="T419" s="75" t="s">
        <v>7298</v>
      </c>
      <c r="U419" s="96" t="s">
        <v>10995</v>
      </c>
      <c r="V419" s="83">
        <v>46499</v>
      </c>
      <c r="W419" s="75" t="s">
        <v>7300</v>
      </c>
      <c r="X419" s="75" t="s">
        <v>7301</v>
      </c>
      <c r="Y419" s="75" t="s">
        <v>7319</v>
      </c>
      <c r="Z419" s="15" t="s">
        <v>10996</v>
      </c>
      <c r="AA419" s="12"/>
      <c r="AB419" s="18" t="s">
        <v>10997</v>
      </c>
      <c r="AC419" s="109"/>
      <c r="AD419" s="108" t="s">
        <v>10998</v>
      </c>
      <c r="AE419" s="108" t="s">
        <v>10999</v>
      </c>
      <c r="AF419" s="17"/>
      <c r="AG419" s="75"/>
      <c r="AH419" s="17"/>
      <c r="AI419" s="75" t="s">
        <v>7324</v>
      </c>
    </row>
    <row r="420" spans="1:35" x14ac:dyDescent="0.3">
      <c r="A420" s="34" t="s">
        <v>7286</v>
      </c>
      <c r="B420" s="72" t="s">
        <v>11000</v>
      </c>
      <c r="C420" s="34" t="s">
        <v>7367</v>
      </c>
      <c r="D420" s="81" t="s">
        <v>11001</v>
      </c>
      <c r="E420" s="74" t="s">
        <v>11002</v>
      </c>
      <c r="F420" s="75" t="s">
        <v>7329</v>
      </c>
      <c r="G420" s="75" t="s">
        <v>7330</v>
      </c>
      <c r="H420" s="75" t="s">
        <v>7405</v>
      </c>
      <c r="I420" s="75" t="s">
        <v>7406</v>
      </c>
      <c r="J420" s="75" t="s">
        <v>11003</v>
      </c>
      <c r="K420" s="11" t="s">
        <v>11004</v>
      </c>
      <c r="L420" s="77" t="s">
        <v>7409</v>
      </c>
      <c r="M420" s="76">
        <v>45589</v>
      </c>
      <c r="N420" s="76"/>
      <c r="O420" s="75" t="s">
        <v>7923</v>
      </c>
      <c r="P420" s="17"/>
      <c r="Q420" s="98">
        <v>35843</v>
      </c>
      <c r="R420" s="78">
        <v>28.646575342465752</v>
      </c>
      <c r="S420" s="101" t="s">
        <v>11005</v>
      </c>
      <c r="T420" s="74" t="s">
        <v>7298</v>
      </c>
      <c r="U420" s="11" t="s">
        <v>11006</v>
      </c>
      <c r="V420" s="102">
        <v>48629</v>
      </c>
      <c r="W420" s="11" t="s">
        <v>7300</v>
      </c>
      <c r="X420" s="11" t="s">
        <v>7301</v>
      </c>
      <c r="Y420" s="11" t="s">
        <v>7319</v>
      </c>
      <c r="Z420" s="103" t="s">
        <v>11007</v>
      </c>
      <c r="AA420" s="11"/>
      <c r="AB420" s="18" t="s">
        <v>11008</v>
      </c>
      <c r="AC420" s="18" t="s">
        <v>11009</v>
      </c>
      <c r="AD420" s="11" t="s">
        <v>11010</v>
      </c>
      <c r="AE420" s="11" t="s">
        <v>11010</v>
      </c>
      <c r="AF420" s="34"/>
      <c r="AG420" s="34"/>
      <c r="AH420" s="34"/>
      <c r="AI420" s="75" t="s">
        <v>7324</v>
      </c>
    </row>
    <row r="421" spans="1:35" x14ac:dyDescent="0.3">
      <c r="A421" s="34" t="s">
        <v>7286</v>
      </c>
      <c r="B421" s="72" t="s">
        <v>11011</v>
      </c>
      <c r="C421" s="17" t="s">
        <v>7367</v>
      </c>
      <c r="D421" s="81" t="s">
        <v>11012</v>
      </c>
      <c r="E421" s="75" t="s">
        <v>11013</v>
      </c>
      <c r="F421" s="75" t="s">
        <v>10190</v>
      </c>
      <c r="G421" s="75" t="s">
        <v>6421</v>
      </c>
      <c r="H421" s="75" t="s">
        <v>11014</v>
      </c>
      <c r="I421" s="75" t="s">
        <v>6424</v>
      </c>
      <c r="J421" s="75" t="s">
        <v>8517</v>
      </c>
      <c r="K421" s="11" t="s">
        <v>6341</v>
      </c>
      <c r="L421" s="77" t="s">
        <v>10193</v>
      </c>
      <c r="M421" s="76">
        <v>45589</v>
      </c>
      <c r="N421" s="76"/>
      <c r="O421" s="75" t="s">
        <v>7923</v>
      </c>
      <c r="P421" s="17"/>
      <c r="Q421" s="98">
        <v>37716</v>
      </c>
      <c r="R421" s="78">
        <v>23.515068493150686</v>
      </c>
      <c r="S421" s="75" t="s">
        <v>11015</v>
      </c>
      <c r="T421" s="75" t="s">
        <v>7298</v>
      </c>
      <c r="U421" s="110" t="s">
        <v>11016</v>
      </c>
      <c r="V421" s="83">
        <v>47339</v>
      </c>
      <c r="W421" s="75" t="s">
        <v>7300</v>
      </c>
      <c r="X421" s="75" t="s">
        <v>10419</v>
      </c>
      <c r="Y421" s="75" t="s">
        <v>7302</v>
      </c>
      <c r="Z421" s="103" t="s">
        <v>11017</v>
      </c>
      <c r="AA421" s="16"/>
      <c r="AB421" s="18" t="s">
        <v>11018</v>
      </c>
      <c r="AC421" s="16" t="s">
        <v>11019</v>
      </c>
      <c r="AD421" s="11" t="s">
        <v>11020</v>
      </c>
      <c r="AE421" s="11" t="s">
        <v>11020</v>
      </c>
      <c r="AF421" s="34"/>
      <c r="AG421" s="75"/>
      <c r="AH421" s="17"/>
      <c r="AI421" s="75" t="s">
        <v>7307</v>
      </c>
    </row>
    <row r="422" spans="1:35" x14ac:dyDescent="0.3">
      <c r="A422" s="34" t="s">
        <v>7286</v>
      </c>
      <c r="B422" s="72" t="s">
        <v>11021</v>
      </c>
      <c r="C422" s="34" t="s">
        <v>7367</v>
      </c>
      <c r="D422" s="81" t="s">
        <v>11022</v>
      </c>
      <c r="E422" s="74" t="s">
        <v>154</v>
      </c>
      <c r="F422" s="75" t="s">
        <v>7293</v>
      </c>
      <c r="G422" s="75" t="s">
        <v>7293</v>
      </c>
      <c r="H422" s="11" t="s">
        <v>10170</v>
      </c>
      <c r="I422" s="75" t="s">
        <v>10171</v>
      </c>
      <c r="J422" s="75" t="s">
        <v>11023</v>
      </c>
      <c r="K422" s="11" t="s">
        <v>11024</v>
      </c>
      <c r="L422" s="77" t="s">
        <v>191</v>
      </c>
      <c r="M422" s="98">
        <v>45593</v>
      </c>
      <c r="N422" s="76"/>
      <c r="O422" s="75" t="s">
        <v>7923</v>
      </c>
      <c r="P422" s="17"/>
      <c r="Q422" s="98">
        <v>36834</v>
      </c>
      <c r="R422" s="78">
        <v>25.931506849315067</v>
      </c>
      <c r="S422" s="101" t="s">
        <v>11025</v>
      </c>
      <c r="T422" s="75" t="s">
        <v>7298</v>
      </c>
      <c r="U422" s="11" t="s">
        <v>11026</v>
      </c>
      <c r="V422" s="102">
        <v>49159</v>
      </c>
      <c r="W422" s="75" t="s">
        <v>7300</v>
      </c>
      <c r="X422" s="11" t="s">
        <v>10419</v>
      </c>
      <c r="Y422" s="11" t="s">
        <v>7302</v>
      </c>
      <c r="Z422" s="103" t="s">
        <v>11027</v>
      </c>
      <c r="AA422" s="11"/>
      <c r="AB422" s="18" t="s">
        <v>11028</v>
      </c>
      <c r="AC422" s="18" t="s">
        <v>11029</v>
      </c>
      <c r="AD422" s="11" t="s">
        <v>11030</v>
      </c>
      <c r="AE422" s="11" t="s">
        <v>11031</v>
      </c>
      <c r="AF422" s="34"/>
      <c r="AG422" s="34"/>
      <c r="AH422" s="34"/>
      <c r="AI422" s="75" t="s">
        <v>7307</v>
      </c>
    </row>
    <row r="423" spans="1:35" x14ac:dyDescent="0.3">
      <c r="A423" s="34" t="s">
        <v>7286</v>
      </c>
      <c r="B423" s="72" t="s">
        <v>11032</v>
      </c>
      <c r="C423" s="34" t="s">
        <v>7367</v>
      </c>
      <c r="D423" s="81" t="s">
        <v>11033</v>
      </c>
      <c r="E423" s="74" t="s">
        <v>11034</v>
      </c>
      <c r="F423" s="75" t="s">
        <v>7293</v>
      </c>
      <c r="G423" s="75" t="s">
        <v>7293</v>
      </c>
      <c r="H423" s="11" t="s">
        <v>7293</v>
      </c>
      <c r="I423" s="75" t="s">
        <v>7293</v>
      </c>
      <c r="J423" s="75" t="s">
        <v>7585</v>
      </c>
      <c r="K423" s="11" t="s">
        <v>7586</v>
      </c>
      <c r="L423" s="77" t="s">
        <v>7587</v>
      </c>
      <c r="M423" s="98">
        <v>45593</v>
      </c>
      <c r="N423" s="76"/>
      <c r="O423" s="75" t="s">
        <v>7923</v>
      </c>
      <c r="P423" s="17"/>
      <c r="Q423" s="98">
        <v>35732</v>
      </c>
      <c r="R423" s="78">
        <v>28.950684931506849</v>
      </c>
      <c r="S423" s="101" t="s">
        <v>11035</v>
      </c>
      <c r="T423" s="75" t="s">
        <v>7298</v>
      </c>
      <c r="U423" s="11" t="s">
        <v>11036</v>
      </c>
      <c r="V423" s="102">
        <v>48550</v>
      </c>
      <c r="W423" s="75" t="s">
        <v>7300</v>
      </c>
      <c r="X423" s="11" t="s">
        <v>10419</v>
      </c>
      <c r="Y423" s="75" t="s">
        <v>7302</v>
      </c>
      <c r="Z423" s="103" t="s">
        <v>11037</v>
      </c>
      <c r="AA423" s="11"/>
      <c r="AB423" s="18" t="s">
        <v>11038</v>
      </c>
      <c r="AC423" s="16" t="s">
        <v>11039</v>
      </c>
      <c r="AD423" s="11" t="s">
        <v>11040</v>
      </c>
      <c r="AE423" s="11" t="s">
        <v>11041</v>
      </c>
      <c r="AF423" s="34"/>
      <c r="AG423" s="34"/>
      <c r="AH423" s="34"/>
      <c r="AI423" s="75" t="s">
        <v>7307</v>
      </c>
    </row>
    <row r="424" spans="1:35" x14ac:dyDescent="0.3">
      <c r="A424" s="34" t="s">
        <v>7286</v>
      </c>
      <c r="B424" s="72" t="s">
        <v>11042</v>
      </c>
      <c r="C424" s="34" t="s">
        <v>7150</v>
      </c>
      <c r="D424" s="81" t="s">
        <v>11043</v>
      </c>
      <c r="E424" s="74" t="s">
        <v>11044</v>
      </c>
      <c r="F424" s="75" t="s">
        <v>7329</v>
      </c>
      <c r="G424" s="75" t="s">
        <v>7330</v>
      </c>
      <c r="H424" s="75" t="s">
        <v>7405</v>
      </c>
      <c r="I424" s="75" t="s">
        <v>7406</v>
      </c>
      <c r="J424" s="75" t="s">
        <v>7407</v>
      </c>
      <c r="K424" s="11" t="s">
        <v>7408</v>
      </c>
      <c r="L424" s="77" t="s">
        <v>7409</v>
      </c>
      <c r="M424" s="98">
        <v>45600</v>
      </c>
      <c r="N424" s="76"/>
      <c r="O424" s="75" t="s">
        <v>7870</v>
      </c>
      <c r="P424" s="17"/>
      <c r="Q424" s="98">
        <v>36270</v>
      </c>
      <c r="R424" s="78">
        <v>27.476712328767125</v>
      </c>
      <c r="S424" s="101" t="s">
        <v>11045</v>
      </c>
      <c r="T424" s="75" t="s">
        <v>7298</v>
      </c>
      <c r="U424" s="11" t="s">
        <v>11046</v>
      </c>
      <c r="V424" s="102">
        <v>49083</v>
      </c>
      <c r="W424" s="75" t="s">
        <v>7300</v>
      </c>
      <c r="X424" s="11" t="s">
        <v>10336</v>
      </c>
      <c r="Y424" s="11" t="s">
        <v>7319</v>
      </c>
      <c r="Z424" s="103" t="s">
        <v>11047</v>
      </c>
      <c r="AA424" s="11"/>
      <c r="AB424" s="18" t="s">
        <v>7293</v>
      </c>
      <c r="AC424" s="104"/>
      <c r="AD424" s="11" t="s">
        <v>11048</v>
      </c>
      <c r="AE424" s="11" t="s">
        <v>11049</v>
      </c>
      <c r="AF424" s="34"/>
      <c r="AG424" s="34"/>
      <c r="AH424" s="34"/>
      <c r="AI424" s="75" t="s">
        <v>7324</v>
      </c>
    </row>
    <row r="425" spans="1:35" x14ac:dyDescent="0.3">
      <c r="A425" s="34" t="s">
        <v>7286</v>
      </c>
      <c r="B425" s="72" t="s">
        <v>11050</v>
      </c>
      <c r="C425" s="34" t="s">
        <v>7150</v>
      </c>
      <c r="D425" s="81" t="s">
        <v>11051</v>
      </c>
      <c r="E425" s="74" t="s">
        <v>11052</v>
      </c>
      <c r="F425" s="75" t="s">
        <v>7293</v>
      </c>
      <c r="G425" s="75" t="s">
        <v>7293</v>
      </c>
      <c r="H425" s="75" t="s">
        <v>7311</v>
      </c>
      <c r="I425" s="75" t="s">
        <v>7312</v>
      </c>
      <c r="J425" s="75" t="s">
        <v>7433</v>
      </c>
      <c r="K425" s="11" t="s">
        <v>7434</v>
      </c>
      <c r="L425" s="77" t="s">
        <v>7315</v>
      </c>
      <c r="M425" s="98">
        <v>45600</v>
      </c>
      <c r="N425" s="76"/>
      <c r="O425" s="75" t="s">
        <v>7870</v>
      </c>
      <c r="P425" s="17" t="s">
        <v>7316</v>
      </c>
      <c r="Q425" s="98">
        <v>35815</v>
      </c>
      <c r="R425" s="78">
        <v>28.723287671232878</v>
      </c>
      <c r="S425" s="101" t="s">
        <v>11053</v>
      </c>
      <c r="T425" s="75" t="s">
        <v>7298</v>
      </c>
      <c r="U425" s="11" t="s">
        <v>11054</v>
      </c>
      <c r="V425" s="102">
        <v>47936</v>
      </c>
      <c r="W425" s="75" t="s">
        <v>7300</v>
      </c>
      <c r="X425" s="11" t="s">
        <v>10336</v>
      </c>
      <c r="Y425" s="11" t="s">
        <v>7319</v>
      </c>
      <c r="Z425" s="103" t="s">
        <v>11055</v>
      </c>
      <c r="AA425" s="11"/>
      <c r="AB425" s="18" t="s">
        <v>7293</v>
      </c>
      <c r="AC425" s="16" t="s">
        <v>11056</v>
      </c>
      <c r="AD425" s="11" t="s">
        <v>11057</v>
      </c>
      <c r="AE425" s="11" t="s">
        <v>11057</v>
      </c>
      <c r="AF425" s="34"/>
      <c r="AG425" s="34"/>
      <c r="AH425" s="34"/>
      <c r="AI425" s="75" t="s">
        <v>7324</v>
      </c>
    </row>
    <row r="426" spans="1:35" x14ac:dyDescent="0.3">
      <c r="A426" s="34" t="s">
        <v>7286</v>
      </c>
      <c r="B426" s="72" t="s">
        <v>11058</v>
      </c>
      <c r="C426" s="34" t="s">
        <v>7367</v>
      </c>
      <c r="D426" s="81" t="s">
        <v>11059</v>
      </c>
      <c r="E426" s="74" t="s">
        <v>11060</v>
      </c>
      <c r="F426" s="75" t="s">
        <v>7291</v>
      </c>
      <c r="G426" s="75" t="s">
        <v>7292</v>
      </c>
      <c r="H426" s="11" t="s">
        <v>11061</v>
      </c>
      <c r="I426" s="75" t="s">
        <v>11062</v>
      </c>
      <c r="J426" s="75" t="s">
        <v>11063</v>
      </c>
      <c r="K426" s="11" t="s">
        <v>6353</v>
      </c>
      <c r="L426" s="77" t="s">
        <v>7290</v>
      </c>
      <c r="M426" s="98">
        <v>45601</v>
      </c>
      <c r="N426" s="76"/>
      <c r="O426" s="75" t="s">
        <v>7923</v>
      </c>
      <c r="P426" s="17"/>
      <c r="Q426" s="98">
        <v>33368</v>
      </c>
      <c r="R426" s="78">
        <v>35.42739726027397</v>
      </c>
      <c r="S426" s="101" t="s">
        <v>11064</v>
      </c>
      <c r="T426" s="75" t="s">
        <v>7298</v>
      </c>
      <c r="U426" s="11" t="s">
        <v>11065</v>
      </c>
      <c r="V426" s="102">
        <v>48935</v>
      </c>
      <c r="W426" s="75" t="s">
        <v>7300</v>
      </c>
      <c r="X426" s="11" t="s">
        <v>7301</v>
      </c>
      <c r="Y426" s="75" t="s">
        <v>7302</v>
      </c>
      <c r="Z426" s="111" t="s">
        <v>11066</v>
      </c>
      <c r="AA426" s="11"/>
      <c r="AB426" s="18" t="s">
        <v>11067</v>
      </c>
      <c r="AC426" s="16" t="s">
        <v>11068</v>
      </c>
      <c r="AD426" s="11" t="s">
        <v>11069</v>
      </c>
      <c r="AE426" s="11" t="s">
        <v>11069</v>
      </c>
      <c r="AF426" s="34"/>
      <c r="AG426" s="34"/>
      <c r="AH426" s="34"/>
      <c r="AI426" s="75" t="s">
        <v>7307</v>
      </c>
    </row>
    <row r="427" spans="1:35" x14ac:dyDescent="0.3">
      <c r="A427" s="34" t="s">
        <v>7384</v>
      </c>
      <c r="B427" s="72" t="s">
        <v>11070</v>
      </c>
      <c r="C427" s="34" t="s">
        <v>7150</v>
      </c>
      <c r="D427" s="81" t="s">
        <v>11071</v>
      </c>
      <c r="E427" s="74" t="s">
        <v>11072</v>
      </c>
      <c r="F427" s="75" t="s">
        <v>7293</v>
      </c>
      <c r="G427" s="75" t="s">
        <v>7293</v>
      </c>
      <c r="H427" s="75" t="s">
        <v>7311</v>
      </c>
      <c r="I427" s="75" t="s">
        <v>7312</v>
      </c>
      <c r="J427" s="11" t="s">
        <v>7433</v>
      </c>
      <c r="K427" s="11" t="s">
        <v>7434</v>
      </c>
      <c r="L427" s="77" t="s">
        <v>7315</v>
      </c>
      <c r="M427" s="98">
        <v>45601</v>
      </c>
      <c r="N427" s="76"/>
      <c r="O427" s="75" t="s">
        <v>7870</v>
      </c>
      <c r="P427" s="17" t="s">
        <v>7425</v>
      </c>
      <c r="Q427" s="98">
        <v>32785</v>
      </c>
      <c r="R427" s="78">
        <v>37.024657534246572</v>
      </c>
      <c r="S427" s="101" t="s">
        <v>11073</v>
      </c>
      <c r="T427" s="75" t="s">
        <v>7298</v>
      </c>
      <c r="U427" s="11" t="s">
        <v>11074</v>
      </c>
      <c r="V427" s="102">
        <v>45569</v>
      </c>
      <c r="W427" s="75" t="s">
        <v>7300</v>
      </c>
      <c r="X427" s="11" t="s">
        <v>10336</v>
      </c>
      <c r="Y427" s="75" t="s">
        <v>7319</v>
      </c>
      <c r="Z427" s="111" t="s">
        <v>11075</v>
      </c>
      <c r="AA427" s="11"/>
      <c r="AB427" s="18" t="s">
        <v>7293</v>
      </c>
      <c r="AC427" s="16"/>
      <c r="AD427" s="11" t="s">
        <v>11076</v>
      </c>
      <c r="AE427" s="11" t="s">
        <v>11077</v>
      </c>
      <c r="AF427" s="34"/>
      <c r="AG427" s="34"/>
      <c r="AH427" s="34"/>
      <c r="AI427" s="75" t="s">
        <v>7425</v>
      </c>
    </row>
    <row r="428" spans="1:35" x14ac:dyDescent="0.3">
      <c r="A428" s="34" t="s">
        <v>7286</v>
      </c>
      <c r="B428" s="72" t="s">
        <v>11078</v>
      </c>
      <c r="C428" s="34" t="s">
        <v>7150</v>
      </c>
      <c r="D428" s="81" t="s">
        <v>11079</v>
      </c>
      <c r="E428" s="74" t="s">
        <v>1288</v>
      </c>
      <c r="F428" s="75" t="s">
        <v>7293</v>
      </c>
      <c r="G428" s="75" t="s">
        <v>7293</v>
      </c>
      <c r="H428" s="75" t="s">
        <v>7311</v>
      </c>
      <c r="I428" s="75" t="s">
        <v>7312</v>
      </c>
      <c r="J428" s="11" t="s">
        <v>7433</v>
      </c>
      <c r="K428" s="11" t="s">
        <v>7434</v>
      </c>
      <c r="L428" s="77" t="s">
        <v>7315</v>
      </c>
      <c r="M428" s="98">
        <v>45602</v>
      </c>
      <c r="N428" s="76"/>
      <c r="O428" s="75" t="s">
        <v>7870</v>
      </c>
      <c r="P428" s="17" t="s">
        <v>7670</v>
      </c>
      <c r="Q428" s="98">
        <v>35934</v>
      </c>
      <c r="R428" s="78">
        <v>28.397260273972602</v>
      </c>
      <c r="S428" s="101" t="s">
        <v>11080</v>
      </c>
      <c r="T428" s="75" t="s">
        <v>7298</v>
      </c>
      <c r="U428" s="11" t="s">
        <v>11081</v>
      </c>
      <c r="V428" s="102">
        <v>48731</v>
      </c>
      <c r="W428" s="75" t="s">
        <v>7300</v>
      </c>
      <c r="X428" s="11" t="s">
        <v>10336</v>
      </c>
      <c r="Y428" s="11" t="s">
        <v>7319</v>
      </c>
      <c r="Z428" s="111" t="s">
        <v>11082</v>
      </c>
      <c r="AA428" s="11"/>
      <c r="AB428" s="18" t="s">
        <v>7293</v>
      </c>
      <c r="AC428" s="16"/>
      <c r="AD428" s="11" t="s">
        <v>11083</v>
      </c>
      <c r="AE428" s="11" t="s">
        <v>11084</v>
      </c>
      <c r="AF428" s="34"/>
      <c r="AG428" s="34"/>
      <c r="AH428" s="34"/>
      <c r="AI428" s="75" t="s">
        <v>7670</v>
      </c>
    </row>
    <row r="429" spans="1:35" x14ac:dyDescent="0.3">
      <c r="A429" s="34" t="s">
        <v>7286</v>
      </c>
      <c r="B429" s="72" t="s">
        <v>11085</v>
      </c>
      <c r="C429" s="34" t="s">
        <v>7150</v>
      </c>
      <c r="D429" s="81" t="s">
        <v>11086</v>
      </c>
      <c r="E429" s="74" t="s">
        <v>11087</v>
      </c>
      <c r="F429" s="75" t="s">
        <v>7329</v>
      </c>
      <c r="G429" s="75" t="s">
        <v>7330</v>
      </c>
      <c r="H429" s="75" t="s">
        <v>7405</v>
      </c>
      <c r="I429" s="75" t="s">
        <v>7406</v>
      </c>
      <c r="J429" s="75" t="s">
        <v>11088</v>
      </c>
      <c r="K429" s="11" t="s">
        <v>6411</v>
      </c>
      <c r="L429" s="77" t="s">
        <v>7409</v>
      </c>
      <c r="M429" s="98">
        <v>45621</v>
      </c>
      <c r="N429" s="76"/>
      <c r="O429" s="75" t="s">
        <v>7870</v>
      </c>
      <c r="P429" s="17"/>
      <c r="Q429" s="98">
        <v>38103</v>
      </c>
      <c r="R429" s="78">
        <v>22.454794520547946</v>
      </c>
      <c r="S429" s="101" t="s">
        <v>11089</v>
      </c>
      <c r="T429" s="75" t="s">
        <v>7298</v>
      </c>
      <c r="U429" s="11" t="s">
        <v>11090</v>
      </c>
      <c r="V429" s="102">
        <v>47247</v>
      </c>
      <c r="W429" s="75" t="s">
        <v>7300</v>
      </c>
      <c r="X429" s="11" t="s">
        <v>10336</v>
      </c>
      <c r="Y429" s="15" t="s">
        <v>10821</v>
      </c>
      <c r="Z429" s="103" t="s">
        <v>11091</v>
      </c>
      <c r="AA429" s="11"/>
      <c r="AB429" s="18" t="s">
        <v>7293</v>
      </c>
      <c r="AC429" s="16" t="s">
        <v>11092</v>
      </c>
      <c r="AD429" s="11" t="s">
        <v>11093</v>
      </c>
      <c r="AE429" s="11" t="s">
        <v>11093</v>
      </c>
      <c r="AF429" s="34"/>
      <c r="AG429" s="34"/>
      <c r="AH429" s="34"/>
      <c r="AI429" s="11" t="s">
        <v>8361</v>
      </c>
    </row>
    <row r="430" spans="1:35" x14ac:dyDescent="0.3">
      <c r="A430" s="34" t="s">
        <v>7286</v>
      </c>
      <c r="B430" s="72" t="s">
        <v>11094</v>
      </c>
      <c r="C430" s="34" t="s">
        <v>7367</v>
      </c>
      <c r="D430" s="81" t="s">
        <v>11095</v>
      </c>
      <c r="E430" s="74" t="s">
        <v>11096</v>
      </c>
      <c r="F430" s="75" t="s">
        <v>7370</v>
      </c>
      <c r="G430" s="75" t="s">
        <v>7371</v>
      </c>
      <c r="H430" s="75" t="s">
        <v>9832</v>
      </c>
      <c r="I430" s="75" t="s">
        <v>9833</v>
      </c>
      <c r="J430" s="75" t="s">
        <v>10862</v>
      </c>
      <c r="K430" s="11" t="s">
        <v>10863</v>
      </c>
      <c r="L430" s="77" t="s">
        <v>9836</v>
      </c>
      <c r="M430" s="98">
        <v>45621</v>
      </c>
      <c r="N430" s="76"/>
      <c r="O430" s="75" t="s">
        <v>8747</v>
      </c>
      <c r="P430" s="17"/>
      <c r="Q430" s="98">
        <v>35821</v>
      </c>
      <c r="R430" s="78">
        <v>28.706849315068492</v>
      </c>
      <c r="S430" s="101" t="s">
        <v>11097</v>
      </c>
      <c r="T430" s="75" t="s">
        <v>7298</v>
      </c>
      <c r="U430" s="11" t="s">
        <v>11098</v>
      </c>
      <c r="V430" s="102">
        <v>48771</v>
      </c>
      <c r="W430" s="75" t="s">
        <v>7300</v>
      </c>
      <c r="X430" s="11" t="s">
        <v>7301</v>
      </c>
      <c r="Y430" s="15" t="s">
        <v>10821</v>
      </c>
      <c r="Z430" s="103" t="s">
        <v>11099</v>
      </c>
      <c r="AA430" s="11"/>
      <c r="AB430" s="18" t="s">
        <v>11100</v>
      </c>
      <c r="AC430" s="16" t="s">
        <v>11101</v>
      </c>
      <c r="AD430" s="11" t="s">
        <v>11102</v>
      </c>
      <c r="AE430" s="11" t="s">
        <v>11102</v>
      </c>
      <c r="AF430" s="34"/>
      <c r="AG430" s="34"/>
      <c r="AH430" s="34"/>
      <c r="AI430" s="75" t="s">
        <v>7745</v>
      </c>
    </row>
    <row r="431" spans="1:35" x14ac:dyDescent="0.3">
      <c r="A431" s="34" t="s">
        <v>7286</v>
      </c>
      <c r="B431" s="72" t="s">
        <v>11103</v>
      </c>
      <c r="C431" s="34" t="s">
        <v>7150</v>
      </c>
      <c r="D431" s="81" t="s">
        <v>11104</v>
      </c>
      <c r="E431" s="74" t="s">
        <v>1405</v>
      </c>
      <c r="F431" s="75" t="s">
        <v>7293</v>
      </c>
      <c r="G431" s="75" t="s">
        <v>7293</v>
      </c>
      <c r="H431" s="75" t="s">
        <v>7311</v>
      </c>
      <c r="I431" s="75" t="s">
        <v>7312</v>
      </c>
      <c r="J431" s="11" t="s">
        <v>7433</v>
      </c>
      <c r="K431" s="11" t="s">
        <v>7434</v>
      </c>
      <c r="L431" s="77" t="s">
        <v>7315</v>
      </c>
      <c r="M431" s="98">
        <v>45622</v>
      </c>
      <c r="N431" s="76"/>
      <c r="O431" s="75" t="s">
        <v>7870</v>
      </c>
      <c r="P431" s="17" t="s">
        <v>7316</v>
      </c>
      <c r="Q431" s="98">
        <v>31495</v>
      </c>
      <c r="R431" s="78">
        <v>40.558904109589044</v>
      </c>
      <c r="S431" s="101" t="s">
        <v>11105</v>
      </c>
      <c r="T431" s="75" t="s">
        <v>7298</v>
      </c>
      <c r="U431" s="11" t="s">
        <v>11106</v>
      </c>
      <c r="V431" s="102">
        <v>48072</v>
      </c>
      <c r="W431" s="75" t="s">
        <v>7300</v>
      </c>
      <c r="X431" s="11" t="s">
        <v>10336</v>
      </c>
      <c r="Y431" s="15" t="s">
        <v>10821</v>
      </c>
      <c r="Z431" s="103" t="s">
        <v>11107</v>
      </c>
      <c r="AA431" s="11"/>
      <c r="AB431" s="18" t="s">
        <v>7293</v>
      </c>
      <c r="AC431" s="18" t="s">
        <v>11108</v>
      </c>
      <c r="AD431" s="11" t="s">
        <v>11109</v>
      </c>
      <c r="AE431" s="11" t="s">
        <v>11109</v>
      </c>
      <c r="AF431" s="34"/>
      <c r="AG431" s="34"/>
      <c r="AH431" s="34"/>
      <c r="AI431" s="75" t="s">
        <v>7324</v>
      </c>
    </row>
    <row r="432" spans="1:35" x14ac:dyDescent="0.3">
      <c r="A432" s="34" t="s">
        <v>7286</v>
      </c>
      <c r="B432" s="72" t="s">
        <v>11110</v>
      </c>
      <c r="C432" s="34" t="s">
        <v>7367</v>
      </c>
      <c r="D432" s="81" t="s">
        <v>11111</v>
      </c>
      <c r="E432" s="74" t="s">
        <v>11112</v>
      </c>
      <c r="F432" s="75" t="s">
        <v>7370</v>
      </c>
      <c r="G432" s="75" t="s">
        <v>7371</v>
      </c>
      <c r="H432" s="75" t="s">
        <v>7372</v>
      </c>
      <c r="I432" s="75" t="s">
        <v>7373</v>
      </c>
      <c r="J432" s="75" t="s">
        <v>11113</v>
      </c>
      <c r="K432" s="11" t="s">
        <v>6348</v>
      </c>
      <c r="L432" s="77" t="s">
        <v>7376</v>
      </c>
      <c r="M432" s="98">
        <v>45628</v>
      </c>
      <c r="N432" s="76"/>
      <c r="O432" s="75" t="s">
        <v>8747</v>
      </c>
      <c r="P432" s="17"/>
      <c r="Q432" s="98">
        <v>37561</v>
      </c>
      <c r="R432" s="78">
        <v>23.93972602739726</v>
      </c>
      <c r="S432" s="101" t="s">
        <v>11114</v>
      </c>
      <c r="T432" s="75" t="s">
        <v>7298</v>
      </c>
      <c r="U432" s="11" t="s">
        <v>11115</v>
      </c>
      <c r="V432" s="102">
        <v>47334</v>
      </c>
      <c r="W432" s="75" t="s">
        <v>7300</v>
      </c>
      <c r="X432" s="11" t="s">
        <v>7301</v>
      </c>
      <c r="Y432" s="15" t="s">
        <v>7302</v>
      </c>
      <c r="Z432" s="103" t="s">
        <v>11116</v>
      </c>
      <c r="AA432" s="11"/>
      <c r="AB432" s="18" t="s">
        <v>11117</v>
      </c>
      <c r="AC432" s="16" t="s">
        <v>11118</v>
      </c>
      <c r="AD432" s="11" t="s">
        <v>11119</v>
      </c>
      <c r="AE432" s="11" t="s">
        <v>11119</v>
      </c>
      <c r="AF432" s="34"/>
      <c r="AG432" s="34"/>
      <c r="AH432" s="34"/>
      <c r="AI432" s="75" t="s">
        <v>7745</v>
      </c>
    </row>
    <row r="433" spans="1:35" x14ac:dyDescent="0.3">
      <c r="A433" s="34" t="s">
        <v>7286</v>
      </c>
      <c r="B433" s="72" t="s">
        <v>11120</v>
      </c>
      <c r="C433" s="34" t="s">
        <v>7367</v>
      </c>
      <c r="D433" s="81" t="s">
        <v>11121</v>
      </c>
      <c r="E433" s="74" t="s">
        <v>11122</v>
      </c>
      <c r="F433" s="75" t="s">
        <v>7370</v>
      </c>
      <c r="G433" s="75" t="s">
        <v>7371</v>
      </c>
      <c r="H433" s="75" t="s">
        <v>7372</v>
      </c>
      <c r="I433" s="75" t="s">
        <v>7373</v>
      </c>
      <c r="J433" s="75" t="s">
        <v>9662</v>
      </c>
      <c r="K433" s="11" t="s">
        <v>9663</v>
      </c>
      <c r="L433" s="77" t="s">
        <v>7376</v>
      </c>
      <c r="M433" s="98">
        <v>45628</v>
      </c>
      <c r="N433" s="76"/>
      <c r="O433" s="75" t="s">
        <v>8747</v>
      </c>
      <c r="P433" s="17"/>
      <c r="Q433" s="98">
        <v>35609</v>
      </c>
      <c r="R433" s="78">
        <v>29.287671232876711</v>
      </c>
      <c r="S433" s="101" t="s">
        <v>11123</v>
      </c>
      <c r="T433" s="75" t="s">
        <v>7298</v>
      </c>
      <c r="U433" s="11" t="s">
        <v>11124</v>
      </c>
      <c r="V433" s="102">
        <v>47905</v>
      </c>
      <c r="W433" s="75" t="s">
        <v>7300</v>
      </c>
      <c r="X433" s="11" t="s">
        <v>7301</v>
      </c>
      <c r="Y433" s="15" t="s">
        <v>7302</v>
      </c>
      <c r="Z433" s="103" t="s">
        <v>11125</v>
      </c>
      <c r="AA433" s="11"/>
      <c r="AB433" s="18" t="s">
        <v>11126</v>
      </c>
      <c r="AC433" s="16" t="s">
        <v>11127</v>
      </c>
      <c r="AD433" s="11" t="s">
        <v>11128</v>
      </c>
      <c r="AE433" s="11" t="s">
        <v>11129</v>
      </c>
      <c r="AF433" s="34"/>
      <c r="AG433" s="34"/>
      <c r="AH433" s="34"/>
      <c r="AI433" s="75" t="s">
        <v>7745</v>
      </c>
    </row>
    <row r="434" spans="1:35" x14ac:dyDescent="0.3">
      <c r="A434" s="34" t="s">
        <v>7286</v>
      </c>
      <c r="B434" s="72" t="s">
        <v>11130</v>
      </c>
      <c r="C434" s="34" t="s">
        <v>7367</v>
      </c>
      <c r="D434" s="81" t="s">
        <v>11131</v>
      </c>
      <c r="E434" s="74" t="s">
        <v>11132</v>
      </c>
      <c r="F434" s="75" t="s">
        <v>7370</v>
      </c>
      <c r="G434" s="75" t="s">
        <v>7371</v>
      </c>
      <c r="H434" s="75" t="s">
        <v>7372</v>
      </c>
      <c r="I434" s="75" t="s">
        <v>7373</v>
      </c>
      <c r="J434" s="75" t="s">
        <v>9662</v>
      </c>
      <c r="K434" s="11" t="s">
        <v>9663</v>
      </c>
      <c r="L434" s="77" t="s">
        <v>7376</v>
      </c>
      <c r="M434" s="98">
        <v>45628</v>
      </c>
      <c r="N434" s="76"/>
      <c r="O434" s="75" t="s">
        <v>8747</v>
      </c>
      <c r="P434" s="17"/>
      <c r="Q434" s="98">
        <v>35491</v>
      </c>
      <c r="R434" s="78">
        <v>29.610958904109587</v>
      </c>
      <c r="S434" s="101" t="s">
        <v>11133</v>
      </c>
      <c r="T434" s="75" t="s">
        <v>7298</v>
      </c>
      <c r="U434" s="11" t="s">
        <v>11134</v>
      </c>
      <c r="V434" s="102">
        <v>49692</v>
      </c>
      <c r="W434" s="75" t="s">
        <v>7300</v>
      </c>
      <c r="X434" s="11" t="s">
        <v>10419</v>
      </c>
      <c r="Y434" s="75" t="s">
        <v>7302</v>
      </c>
      <c r="Z434" s="103" t="s">
        <v>11135</v>
      </c>
      <c r="AA434" s="11"/>
      <c r="AB434" s="18" t="s">
        <v>11136</v>
      </c>
      <c r="AC434" s="16" t="s">
        <v>11137</v>
      </c>
      <c r="AD434" s="11" t="s">
        <v>11138</v>
      </c>
      <c r="AE434" s="11" t="s">
        <v>11139</v>
      </c>
      <c r="AF434" s="34"/>
      <c r="AG434" s="34"/>
      <c r="AH434" s="34"/>
      <c r="AI434" s="75" t="s">
        <v>7745</v>
      </c>
    </row>
    <row r="435" spans="1:35" x14ac:dyDescent="0.3">
      <c r="A435" s="34" t="s">
        <v>7286</v>
      </c>
      <c r="B435" s="72" t="s">
        <v>11140</v>
      </c>
      <c r="C435" s="34" t="s">
        <v>7150</v>
      </c>
      <c r="D435" s="81" t="s">
        <v>11141</v>
      </c>
      <c r="E435" s="74" t="s">
        <v>11142</v>
      </c>
      <c r="F435" s="75" t="s">
        <v>7329</v>
      </c>
      <c r="G435" s="75" t="s">
        <v>7330</v>
      </c>
      <c r="H435" s="75" t="s">
        <v>7405</v>
      </c>
      <c r="I435" s="75" t="s">
        <v>7406</v>
      </c>
      <c r="J435" s="75" t="s">
        <v>11088</v>
      </c>
      <c r="K435" s="11" t="s">
        <v>6411</v>
      </c>
      <c r="L435" s="77" t="s">
        <v>7409</v>
      </c>
      <c r="M435" s="98">
        <v>45635</v>
      </c>
      <c r="N435" s="76"/>
      <c r="O435" s="75" t="s">
        <v>7870</v>
      </c>
      <c r="P435" s="17"/>
      <c r="Q435" s="98">
        <v>34807</v>
      </c>
      <c r="R435" s="78">
        <v>31.484931506849314</v>
      </c>
      <c r="S435" s="101" t="s">
        <v>11143</v>
      </c>
      <c r="T435" s="75" t="s">
        <v>7298</v>
      </c>
      <c r="U435" s="11" t="s">
        <v>11144</v>
      </c>
      <c r="V435" s="102">
        <v>47606</v>
      </c>
      <c r="W435" s="75" t="s">
        <v>7300</v>
      </c>
      <c r="X435" s="11" t="s">
        <v>10336</v>
      </c>
      <c r="Y435" s="11" t="s">
        <v>7319</v>
      </c>
      <c r="Z435" s="103" t="s">
        <v>11145</v>
      </c>
      <c r="AA435" s="11"/>
      <c r="AB435" s="18" t="s">
        <v>7293</v>
      </c>
      <c r="AC435" s="104"/>
      <c r="AD435" s="11" t="s">
        <v>11146</v>
      </c>
      <c r="AE435" s="11" t="s">
        <v>11146</v>
      </c>
      <c r="AF435" s="34"/>
      <c r="AG435" s="34"/>
      <c r="AH435" s="34"/>
      <c r="AI435" s="75" t="s">
        <v>8413</v>
      </c>
    </row>
    <row r="436" spans="1:35" x14ac:dyDescent="0.3">
      <c r="A436" s="34" t="s">
        <v>7286</v>
      </c>
      <c r="B436" s="72" t="s">
        <v>11147</v>
      </c>
      <c r="C436" s="34" t="s">
        <v>7367</v>
      </c>
      <c r="D436" s="81" t="s">
        <v>11148</v>
      </c>
      <c r="E436" s="74" t="s">
        <v>9580</v>
      </c>
      <c r="F436" s="75" t="s">
        <v>7346</v>
      </c>
      <c r="G436" s="75" t="s">
        <v>6471</v>
      </c>
      <c r="H436" s="11" t="s">
        <v>9576</v>
      </c>
      <c r="I436" s="75" t="s">
        <v>9577</v>
      </c>
      <c r="J436" s="75" t="s">
        <v>11149</v>
      </c>
      <c r="K436" s="11" t="s">
        <v>11150</v>
      </c>
      <c r="L436" s="77" t="s">
        <v>7350</v>
      </c>
      <c r="M436" s="98">
        <v>45635</v>
      </c>
      <c r="N436" s="76"/>
      <c r="O436" s="75" t="s">
        <v>7923</v>
      </c>
      <c r="P436" s="17"/>
      <c r="Q436" s="98">
        <v>35431</v>
      </c>
      <c r="R436" s="78">
        <v>29.775342465753425</v>
      </c>
      <c r="S436" s="101" t="s">
        <v>11151</v>
      </c>
      <c r="T436" s="75" t="s">
        <v>7298</v>
      </c>
      <c r="U436" s="11" t="s">
        <v>11152</v>
      </c>
      <c r="V436" s="102">
        <v>48240</v>
      </c>
      <c r="W436" s="75" t="s">
        <v>7300</v>
      </c>
      <c r="X436" s="11" t="s">
        <v>7301</v>
      </c>
      <c r="Y436" s="11" t="s">
        <v>7319</v>
      </c>
      <c r="Z436" s="103" t="s">
        <v>11153</v>
      </c>
      <c r="AA436" s="11"/>
      <c r="AB436" s="18" t="s">
        <v>11154</v>
      </c>
      <c r="AC436" s="104"/>
      <c r="AD436" s="11" t="s">
        <v>11155</v>
      </c>
      <c r="AE436" s="11" t="s">
        <v>11155</v>
      </c>
      <c r="AF436" s="34"/>
      <c r="AG436" s="34"/>
      <c r="AH436" s="34"/>
      <c r="AI436" s="75" t="s">
        <v>7307</v>
      </c>
    </row>
    <row r="437" spans="1:35" x14ac:dyDescent="0.3">
      <c r="A437" s="34" t="s">
        <v>7286</v>
      </c>
      <c r="B437" s="72" t="s">
        <v>11156</v>
      </c>
      <c r="C437" s="34" t="s">
        <v>7150</v>
      </c>
      <c r="D437" s="81" t="s">
        <v>11157</v>
      </c>
      <c r="E437" s="74" t="s">
        <v>1508</v>
      </c>
      <c r="F437" s="75" t="s">
        <v>7293</v>
      </c>
      <c r="G437" s="75" t="s">
        <v>7293</v>
      </c>
      <c r="H437" s="75" t="s">
        <v>7311</v>
      </c>
      <c r="I437" s="75" t="s">
        <v>7312</v>
      </c>
      <c r="J437" s="75" t="s">
        <v>7433</v>
      </c>
      <c r="K437" s="11" t="s">
        <v>7434</v>
      </c>
      <c r="L437" s="77" t="s">
        <v>7315</v>
      </c>
      <c r="M437" s="98">
        <v>45645</v>
      </c>
      <c r="N437" s="76"/>
      <c r="O437" s="75" t="s">
        <v>7870</v>
      </c>
      <c r="P437" s="17" t="s">
        <v>7670</v>
      </c>
      <c r="Q437" s="98">
        <v>35673</v>
      </c>
      <c r="R437" s="78">
        <v>29.112328767123287</v>
      </c>
      <c r="S437" s="101" t="s">
        <v>11158</v>
      </c>
      <c r="T437" s="75" t="s">
        <v>7298</v>
      </c>
      <c r="U437" s="11" t="s">
        <v>11159</v>
      </c>
      <c r="V437" s="102">
        <v>48720</v>
      </c>
      <c r="W437" s="75" t="s">
        <v>7300</v>
      </c>
      <c r="X437" s="11" t="s">
        <v>10336</v>
      </c>
      <c r="Y437" s="100" t="s">
        <v>7319</v>
      </c>
      <c r="Z437" s="103" t="s">
        <v>11160</v>
      </c>
      <c r="AA437" s="11"/>
      <c r="AB437" s="18" t="s">
        <v>7293</v>
      </c>
      <c r="AC437" s="104"/>
      <c r="AD437" s="11" t="s">
        <v>11161</v>
      </c>
      <c r="AE437" s="11" t="s">
        <v>11161</v>
      </c>
      <c r="AF437" s="34"/>
      <c r="AG437" s="34"/>
      <c r="AH437" s="34"/>
      <c r="AI437" s="75" t="s">
        <v>7670</v>
      </c>
    </row>
    <row r="438" spans="1:35" x14ac:dyDescent="0.3">
      <c r="A438" s="34" t="s">
        <v>7286</v>
      </c>
      <c r="B438" s="72" t="s">
        <v>11162</v>
      </c>
      <c r="C438" s="34" t="s">
        <v>7326</v>
      </c>
      <c r="D438" s="81" t="s">
        <v>11163</v>
      </c>
      <c r="E438" s="74" t="s">
        <v>11164</v>
      </c>
      <c r="F438" s="75" t="s">
        <v>7370</v>
      </c>
      <c r="G438" s="75" t="s">
        <v>7371</v>
      </c>
      <c r="H438" s="75" t="s">
        <v>7372</v>
      </c>
      <c r="I438" s="75" t="s">
        <v>7373</v>
      </c>
      <c r="J438" s="75" t="s">
        <v>10874</v>
      </c>
      <c r="K438" s="11" t="s">
        <v>10875</v>
      </c>
      <c r="L438" s="77" t="s">
        <v>7376</v>
      </c>
      <c r="M438" s="98">
        <v>45649</v>
      </c>
      <c r="N438" s="76"/>
      <c r="O438" s="75" t="s">
        <v>11165</v>
      </c>
      <c r="P438" s="17"/>
      <c r="Q438" s="98">
        <v>36566</v>
      </c>
      <c r="R438" s="78">
        <v>26.665753424657535</v>
      </c>
      <c r="S438" s="101" t="s">
        <v>11166</v>
      </c>
      <c r="T438" s="75" t="s">
        <v>7298</v>
      </c>
      <c r="U438" s="11" t="s">
        <v>11167</v>
      </c>
      <c r="V438" s="102">
        <v>45698</v>
      </c>
      <c r="W438" s="75" t="s">
        <v>7300</v>
      </c>
      <c r="X438" s="11" t="s">
        <v>7301</v>
      </c>
      <c r="Y438" s="11" t="s">
        <v>7302</v>
      </c>
      <c r="Z438" s="103" t="s">
        <v>11168</v>
      </c>
      <c r="AA438" s="11"/>
      <c r="AB438" s="18" t="s">
        <v>11169</v>
      </c>
      <c r="AC438" s="18" t="s">
        <v>11170</v>
      </c>
      <c r="AD438" s="11" t="s">
        <v>11171</v>
      </c>
      <c r="AE438" s="11" t="s">
        <v>11171</v>
      </c>
      <c r="AF438" s="34"/>
      <c r="AG438" s="34"/>
      <c r="AH438" s="34"/>
      <c r="AI438" s="75" t="s">
        <v>7745</v>
      </c>
    </row>
    <row r="439" spans="1:35" x14ac:dyDescent="0.3">
      <c r="A439" s="34" t="s">
        <v>7286</v>
      </c>
      <c r="B439" s="72" t="s">
        <v>11172</v>
      </c>
      <c r="C439" s="34" t="s">
        <v>7367</v>
      </c>
      <c r="D439" s="81" t="s">
        <v>11173</v>
      </c>
      <c r="E439" s="74" t="s">
        <v>11174</v>
      </c>
      <c r="F439" s="75" t="s">
        <v>7293</v>
      </c>
      <c r="G439" s="75" t="s">
        <v>7293</v>
      </c>
      <c r="H439" s="75" t="s">
        <v>9253</v>
      </c>
      <c r="I439" s="75" t="s">
        <v>9254</v>
      </c>
      <c r="J439" s="75" t="s">
        <v>11175</v>
      </c>
      <c r="K439" s="11" t="s">
        <v>11176</v>
      </c>
      <c r="L439" s="77" t="s">
        <v>9257</v>
      </c>
      <c r="M439" s="98">
        <v>45649</v>
      </c>
      <c r="N439" s="76"/>
      <c r="O439" s="75" t="s">
        <v>7923</v>
      </c>
      <c r="P439" s="17"/>
      <c r="Q439" s="98">
        <v>30140</v>
      </c>
      <c r="R439" s="78">
        <v>44.271232876712325</v>
      </c>
      <c r="S439" s="101" t="s">
        <v>11177</v>
      </c>
      <c r="T439" s="75" t="s">
        <v>7298</v>
      </c>
      <c r="U439" s="11" t="s">
        <v>11178</v>
      </c>
      <c r="V439" s="102">
        <v>48403</v>
      </c>
      <c r="W439" s="75" t="s">
        <v>7300</v>
      </c>
      <c r="X439" s="11" t="s">
        <v>7301</v>
      </c>
      <c r="Y439" s="100" t="s">
        <v>7319</v>
      </c>
      <c r="Z439" s="103" t="s">
        <v>11179</v>
      </c>
      <c r="AA439" s="11"/>
      <c r="AB439" s="18" t="s">
        <v>11180</v>
      </c>
      <c r="AC439" s="16" t="s">
        <v>11181</v>
      </c>
      <c r="AD439" s="11" t="s">
        <v>11182</v>
      </c>
      <c r="AE439" s="11" t="s">
        <v>11182</v>
      </c>
      <c r="AF439" s="34"/>
      <c r="AG439" s="34"/>
      <c r="AH439" s="34"/>
      <c r="AI439" s="75" t="s">
        <v>7307</v>
      </c>
    </row>
    <row r="440" spans="1:35" x14ac:dyDescent="0.3">
      <c r="A440" s="34" t="s">
        <v>7286</v>
      </c>
      <c r="B440" s="72" t="s">
        <v>11183</v>
      </c>
      <c r="C440" s="34" t="s">
        <v>7150</v>
      </c>
      <c r="D440" s="81" t="s">
        <v>11184</v>
      </c>
      <c r="E440" s="74" t="s">
        <v>1469</v>
      </c>
      <c r="F440" s="75" t="s">
        <v>7293</v>
      </c>
      <c r="G440" s="75" t="s">
        <v>7293</v>
      </c>
      <c r="H440" s="75" t="s">
        <v>7311</v>
      </c>
      <c r="I440" s="75" t="s">
        <v>7312</v>
      </c>
      <c r="J440" s="75" t="s">
        <v>7433</v>
      </c>
      <c r="K440" s="11" t="s">
        <v>7434</v>
      </c>
      <c r="L440" s="77" t="s">
        <v>7315</v>
      </c>
      <c r="M440" s="98">
        <v>45652</v>
      </c>
      <c r="N440" s="76"/>
      <c r="O440" s="75" t="s">
        <v>7870</v>
      </c>
      <c r="P440" s="17" t="s">
        <v>7425</v>
      </c>
      <c r="Q440" s="98">
        <v>35616</v>
      </c>
      <c r="R440" s="78">
        <v>29.268493150684932</v>
      </c>
      <c r="S440" s="101" t="s">
        <v>11185</v>
      </c>
      <c r="T440" s="75" t="s">
        <v>7298</v>
      </c>
      <c r="U440" s="11" t="s">
        <v>11186</v>
      </c>
      <c r="V440" s="102">
        <v>48410</v>
      </c>
      <c r="W440" s="75" t="s">
        <v>7300</v>
      </c>
      <c r="X440" s="11" t="s">
        <v>7301</v>
      </c>
      <c r="Y440" s="11" t="s">
        <v>7319</v>
      </c>
      <c r="Z440" s="103" t="s">
        <v>11187</v>
      </c>
      <c r="AA440" s="11"/>
      <c r="AB440" s="18" t="s">
        <v>7293</v>
      </c>
      <c r="AC440" s="18"/>
      <c r="AD440" s="11" t="s">
        <v>11188</v>
      </c>
      <c r="AE440" s="11" t="s">
        <v>11189</v>
      </c>
      <c r="AF440" s="34"/>
      <c r="AG440" s="34"/>
      <c r="AH440" s="34"/>
      <c r="AI440" s="75" t="s">
        <v>7425</v>
      </c>
    </row>
    <row r="441" spans="1:35" x14ac:dyDescent="0.3">
      <c r="A441" s="34" t="s">
        <v>7286</v>
      </c>
      <c r="B441" s="72" t="s">
        <v>11190</v>
      </c>
      <c r="C441" s="34" t="s">
        <v>7367</v>
      </c>
      <c r="D441" s="81" t="s">
        <v>11191</v>
      </c>
      <c r="E441" s="74" t="s">
        <v>11192</v>
      </c>
      <c r="F441" s="75" t="s">
        <v>7370</v>
      </c>
      <c r="G441" s="75" t="s">
        <v>7371</v>
      </c>
      <c r="H441" s="75" t="s">
        <v>7372</v>
      </c>
      <c r="I441" s="75" t="s">
        <v>7373</v>
      </c>
      <c r="J441" s="75" t="s">
        <v>10682</v>
      </c>
      <c r="K441" s="11" t="s">
        <v>11193</v>
      </c>
      <c r="L441" s="77" t="s">
        <v>7376</v>
      </c>
      <c r="M441" s="98">
        <v>45663</v>
      </c>
      <c r="N441" s="76"/>
      <c r="O441" s="75" t="s">
        <v>8747</v>
      </c>
      <c r="P441" s="17"/>
      <c r="Q441" s="98">
        <v>37163</v>
      </c>
      <c r="R441" s="78">
        <v>25.030136986301368</v>
      </c>
      <c r="S441" s="101" t="s">
        <v>11194</v>
      </c>
      <c r="T441" s="75" t="s">
        <v>7298</v>
      </c>
      <c r="U441" s="11" t="s">
        <v>11195</v>
      </c>
      <c r="V441" s="102">
        <v>46294</v>
      </c>
      <c r="W441" s="75" t="s">
        <v>7300</v>
      </c>
      <c r="X441" s="11" t="s">
        <v>7301</v>
      </c>
      <c r="Y441" s="11" t="s">
        <v>7302</v>
      </c>
      <c r="Z441" s="103" t="s">
        <v>11196</v>
      </c>
      <c r="AA441" s="11"/>
      <c r="AB441" s="18" t="s">
        <v>11197</v>
      </c>
      <c r="AC441" s="18" t="s">
        <v>11198</v>
      </c>
      <c r="AD441" s="11" t="s">
        <v>11199</v>
      </c>
      <c r="AE441" s="11" t="s">
        <v>11200</v>
      </c>
      <c r="AF441" s="34"/>
      <c r="AG441" s="34"/>
      <c r="AH441" s="34"/>
      <c r="AI441" s="75" t="s">
        <v>7745</v>
      </c>
    </row>
    <row r="442" spans="1:35" x14ac:dyDescent="0.3">
      <c r="A442" s="34" t="s">
        <v>7286</v>
      </c>
      <c r="B442" s="72" t="s">
        <v>11201</v>
      </c>
      <c r="C442" s="34" t="s">
        <v>7367</v>
      </c>
      <c r="D442" s="81" t="s">
        <v>11202</v>
      </c>
      <c r="E442" s="74" t="s">
        <v>11203</v>
      </c>
      <c r="F442" s="75" t="s">
        <v>7370</v>
      </c>
      <c r="G442" s="75" t="s">
        <v>7371</v>
      </c>
      <c r="H442" s="75" t="s">
        <v>9832</v>
      </c>
      <c r="I442" s="75" t="s">
        <v>9833</v>
      </c>
      <c r="J442" s="75" t="s">
        <v>9834</v>
      </c>
      <c r="K442" s="11" t="s">
        <v>9835</v>
      </c>
      <c r="L442" s="77" t="s">
        <v>9836</v>
      </c>
      <c r="M442" s="98">
        <v>45663</v>
      </c>
      <c r="N442" s="76"/>
      <c r="O442" s="75" t="s">
        <v>8747</v>
      </c>
      <c r="P442" s="17"/>
      <c r="Q442" s="98">
        <v>35020</v>
      </c>
      <c r="R442" s="78">
        <v>30.901369863013699</v>
      </c>
      <c r="S442" s="11" t="s">
        <v>11204</v>
      </c>
      <c r="T442" s="75" t="s">
        <v>7298</v>
      </c>
      <c r="U442" s="11" t="s">
        <v>11205</v>
      </c>
      <c r="V442" s="102">
        <v>47768</v>
      </c>
      <c r="W442" s="75" t="s">
        <v>7300</v>
      </c>
      <c r="X442" s="11" t="s">
        <v>7301</v>
      </c>
      <c r="Y442" s="11" t="s">
        <v>7319</v>
      </c>
      <c r="Z442" s="103" t="s">
        <v>11206</v>
      </c>
      <c r="AA442" s="11"/>
      <c r="AB442" s="18" t="s">
        <v>11207</v>
      </c>
      <c r="AC442" s="16" t="s">
        <v>11208</v>
      </c>
      <c r="AD442" s="11" t="s">
        <v>11209</v>
      </c>
      <c r="AE442" s="11" t="s">
        <v>11209</v>
      </c>
      <c r="AF442" s="34"/>
      <c r="AG442" s="34"/>
      <c r="AH442" s="34"/>
      <c r="AI442" s="75" t="s">
        <v>7745</v>
      </c>
    </row>
    <row r="443" spans="1:35" x14ac:dyDescent="0.3">
      <c r="A443" s="34" t="s">
        <v>7286</v>
      </c>
      <c r="B443" s="72" t="s">
        <v>11210</v>
      </c>
      <c r="C443" s="34" t="s">
        <v>7367</v>
      </c>
      <c r="D443" s="81" t="s">
        <v>11211</v>
      </c>
      <c r="E443" s="74" t="s">
        <v>11212</v>
      </c>
      <c r="F443" s="75" t="s">
        <v>7293</v>
      </c>
      <c r="G443" s="75" t="s">
        <v>7293</v>
      </c>
      <c r="H443" s="11" t="s">
        <v>7293</v>
      </c>
      <c r="I443" s="75" t="s">
        <v>7293</v>
      </c>
      <c r="J443" s="75" t="s">
        <v>11213</v>
      </c>
      <c r="K443" s="11" t="s">
        <v>11214</v>
      </c>
      <c r="L443" s="77" t="s">
        <v>7587</v>
      </c>
      <c r="M443" s="98">
        <v>45666</v>
      </c>
      <c r="N443" s="76"/>
      <c r="O443" s="75" t="s">
        <v>7870</v>
      </c>
      <c r="P443" s="17"/>
      <c r="Q443" s="98">
        <v>36205</v>
      </c>
      <c r="R443" s="78">
        <v>27.654794520547945</v>
      </c>
      <c r="S443" s="101" t="s">
        <v>11215</v>
      </c>
      <c r="T443" s="75" t="s">
        <v>7298</v>
      </c>
      <c r="U443" s="11" t="s">
        <v>11216</v>
      </c>
      <c r="V443" s="102">
        <v>48851</v>
      </c>
      <c r="W443" s="75" t="s">
        <v>7300</v>
      </c>
      <c r="X443" s="11" t="s">
        <v>10419</v>
      </c>
      <c r="Y443" s="75" t="s">
        <v>7302</v>
      </c>
      <c r="Z443" s="103" t="s">
        <v>11217</v>
      </c>
      <c r="AA443" s="11"/>
      <c r="AB443" s="18" t="s">
        <v>11218</v>
      </c>
      <c r="AC443" s="16" t="s">
        <v>11219</v>
      </c>
      <c r="AD443" s="11" t="s">
        <v>11220</v>
      </c>
      <c r="AE443" s="11" t="s">
        <v>11221</v>
      </c>
      <c r="AF443" s="34"/>
      <c r="AG443" s="34"/>
      <c r="AH443" s="34"/>
      <c r="AI443" s="75" t="s">
        <v>7307</v>
      </c>
    </row>
    <row r="444" spans="1:35" x14ac:dyDescent="0.3">
      <c r="A444" s="34" t="s">
        <v>7286</v>
      </c>
      <c r="B444" s="72" t="s">
        <v>11222</v>
      </c>
      <c r="C444" s="34" t="s">
        <v>8994</v>
      </c>
      <c r="D444" s="81" t="s">
        <v>11223</v>
      </c>
      <c r="E444" s="74" t="s">
        <v>11224</v>
      </c>
      <c r="F444" s="75" t="s">
        <v>7293</v>
      </c>
      <c r="G444" s="75" t="s">
        <v>7293</v>
      </c>
      <c r="H444" s="75" t="s">
        <v>8997</v>
      </c>
      <c r="I444" s="75" t="s">
        <v>8998</v>
      </c>
      <c r="J444" s="75" t="s">
        <v>11225</v>
      </c>
      <c r="K444" s="11" t="s">
        <v>11226</v>
      </c>
      <c r="L444" s="77" t="s">
        <v>11227</v>
      </c>
      <c r="M444" s="98">
        <v>45673</v>
      </c>
      <c r="N444" s="76"/>
      <c r="O444" s="75" t="s">
        <v>7923</v>
      </c>
      <c r="P444" s="17"/>
      <c r="Q444" s="98">
        <v>29846</v>
      </c>
      <c r="R444" s="78">
        <v>45.076712328767123</v>
      </c>
      <c r="S444" s="101" t="s">
        <v>11228</v>
      </c>
      <c r="T444" s="75" t="s">
        <v>7298</v>
      </c>
      <c r="U444" s="11" t="s">
        <v>11229</v>
      </c>
      <c r="V444" s="102">
        <v>48265</v>
      </c>
      <c r="W444" s="75" t="s">
        <v>7300</v>
      </c>
      <c r="X444" s="11" t="s">
        <v>10419</v>
      </c>
      <c r="Y444" s="11" t="s">
        <v>7319</v>
      </c>
      <c r="Z444" s="103" t="s">
        <v>11230</v>
      </c>
      <c r="AA444" s="11"/>
      <c r="AB444" s="18" t="s">
        <v>11231</v>
      </c>
      <c r="AC444" s="16" t="s">
        <v>11232</v>
      </c>
      <c r="AD444" s="11" t="s">
        <v>11233</v>
      </c>
      <c r="AE444" s="11" t="s">
        <v>11233</v>
      </c>
      <c r="AF444" s="34"/>
      <c r="AG444" s="34"/>
      <c r="AH444" s="34"/>
      <c r="AI444" s="75" t="s">
        <v>7307</v>
      </c>
    </row>
    <row r="445" spans="1:35" x14ac:dyDescent="0.3">
      <c r="A445" s="34" t="s">
        <v>7286</v>
      </c>
      <c r="B445" s="72" t="s">
        <v>11234</v>
      </c>
      <c r="C445" s="34" t="s">
        <v>7150</v>
      </c>
      <c r="D445" s="81" t="s">
        <v>11235</v>
      </c>
      <c r="E445" s="75" t="s">
        <v>1410</v>
      </c>
      <c r="F445" s="75" t="s">
        <v>7293</v>
      </c>
      <c r="G445" s="75" t="s">
        <v>7293</v>
      </c>
      <c r="H445" s="75" t="s">
        <v>7311</v>
      </c>
      <c r="I445" s="75" t="s">
        <v>7312</v>
      </c>
      <c r="J445" s="75" t="s">
        <v>7313</v>
      </c>
      <c r="K445" s="11" t="s">
        <v>7314</v>
      </c>
      <c r="L445" s="77" t="s">
        <v>7315</v>
      </c>
      <c r="M445" s="76">
        <v>45678</v>
      </c>
      <c r="N445" s="76"/>
      <c r="O445" s="75" t="s">
        <v>7870</v>
      </c>
      <c r="P445" s="17" t="s">
        <v>7316</v>
      </c>
      <c r="Q445" s="98">
        <v>32068</v>
      </c>
      <c r="R445" s="78">
        <v>38.989041095890414</v>
      </c>
      <c r="S445" s="11" t="s">
        <v>11236</v>
      </c>
      <c r="T445" s="75" t="s">
        <v>7298</v>
      </c>
      <c r="U445" s="75" t="s">
        <v>11237</v>
      </c>
      <c r="V445" s="102">
        <v>48510</v>
      </c>
      <c r="W445" s="75" t="s">
        <v>7300</v>
      </c>
      <c r="X445" s="11" t="s">
        <v>10336</v>
      </c>
      <c r="Y445" s="11" t="s">
        <v>7319</v>
      </c>
      <c r="Z445" s="103" t="s">
        <v>11238</v>
      </c>
      <c r="AA445" s="13"/>
      <c r="AB445" s="18" t="s">
        <v>7293</v>
      </c>
      <c r="AC445" s="11"/>
      <c r="AD445" s="11" t="s">
        <v>11239</v>
      </c>
      <c r="AE445" s="11" t="s">
        <v>11239</v>
      </c>
      <c r="AF445" s="34"/>
      <c r="AG445" s="75"/>
      <c r="AH445" s="17"/>
      <c r="AI445" s="75" t="s">
        <v>7324</v>
      </c>
    </row>
    <row r="446" spans="1:35" ht="57.6" x14ac:dyDescent="0.3">
      <c r="A446" s="34" t="s">
        <v>7286</v>
      </c>
      <c r="B446" s="72" t="s">
        <v>11240</v>
      </c>
      <c r="C446" s="34" t="s">
        <v>7150</v>
      </c>
      <c r="D446" s="81" t="s">
        <v>11241</v>
      </c>
      <c r="E446" s="75" t="s">
        <v>1460</v>
      </c>
      <c r="F446" s="75" t="s">
        <v>7293</v>
      </c>
      <c r="G446" s="75" t="s">
        <v>7293</v>
      </c>
      <c r="H446" s="75" t="s">
        <v>7311</v>
      </c>
      <c r="I446" s="75" t="s">
        <v>7312</v>
      </c>
      <c r="J446" s="75" t="s">
        <v>7433</v>
      </c>
      <c r="K446" s="11" t="s">
        <v>7434</v>
      </c>
      <c r="L446" s="77" t="s">
        <v>7315</v>
      </c>
      <c r="M446" s="76">
        <v>45681</v>
      </c>
      <c r="N446" s="76"/>
      <c r="O446" s="75" t="s">
        <v>7870</v>
      </c>
      <c r="P446" s="17" t="s">
        <v>7425</v>
      </c>
      <c r="Q446" s="98">
        <v>35835</v>
      </c>
      <c r="R446" s="78">
        <v>28.668493150684931</v>
      </c>
      <c r="S446" s="11" t="s">
        <v>11242</v>
      </c>
      <c r="T446" s="75" t="s">
        <v>7298</v>
      </c>
      <c r="U446" s="75" t="s">
        <v>11243</v>
      </c>
      <c r="V446" s="102">
        <v>49009</v>
      </c>
      <c r="W446" s="75" t="s">
        <v>7300</v>
      </c>
      <c r="X446" s="11" t="s">
        <v>7301</v>
      </c>
      <c r="Y446" s="11" t="s">
        <v>7319</v>
      </c>
      <c r="Z446" s="103" t="s">
        <v>11244</v>
      </c>
      <c r="AA446" s="13"/>
      <c r="AB446" s="18" t="s">
        <v>7293</v>
      </c>
      <c r="AC446" s="13" t="s">
        <v>11245</v>
      </c>
      <c r="AD446" s="11" t="s">
        <v>11246</v>
      </c>
      <c r="AE446" s="11" t="s">
        <v>11247</v>
      </c>
      <c r="AF446" s="34"/>
      <c r="AG446" s="75"/>
      <c r="AH446" s="17"/>
      <c r="AI446" s="75" t="s">
        <v>7425</v>
      </c>
    </row>
    <row r="447" spans="1:35" x14ac:dyDescent="0.3">
      <c r="A447" s="34" t="s">
        <v>7286</v>
      </c>
      <c r="B447" s="72" t="s">
        <v>11248</v>
      </c>
      <c r="C447" s="34" t="s">
        <v>7150</v>
      </c>
      <c r="D447" s="81" t="s">
        <v>11249</v>
      </c>
      <c r="E447" s="11" t="s">
        <v>11250</v>
      </c>
      <c r="F447" s="75" t="s">
        <v>7329</v>
      </c>
      <c r="G447" s="75" t="s">
        <v>7330</v>
      </c>
      <c r="H447" s="75" t="s">
        <v>7452</v>
      </c>
      <c r="I447" s="75" t="s">
        <v>7453</v>
      </c>
      <c r="J447" s="75" t="s">
        <v>7509</v>
      </c>
      <c r="K447" s="11" t="s">
        <v>7510</v>
      </c>
      <c r="L447" s="77" t="s">
        <v>7456</v>
      </c>
      <c r="M447" s="76">
        <v>45685</v>
      </c>
      <c r="N447" s="76"/>
      <c r="O447" s="75" t="s">
        <v>7870</v>
      </c>
      <c r="P447" s="17"/>
      <c r="Q447" s="98">
        <v>30859</v>
      </c>
      <c r="R447" s="78">
        <v>42.301369863013697</v>
      </c>
      <c r="S447" s="75" t="s">
        <v>11251</v>
      </c>
      <c r="T447" s="75" t="s">
        <v>7298</v>
      </c>
      <c r="U447" s="110" t="s">
        <v>11252</v>
      </c>
      <c r="V447" s="83">
        <v>47458</v>
      </c>
      <c r="W447" s="75" t="s">
        <v>7300</v>
      </c>
      <c r="X447" s="11" t="s">
        <v>10336</v>
      </c>
      <c r="Y447" s="11" t="s">
        <v>7319</v>
      </c>
      <c r="Z447" s="103" t="s">
        <v>11253</v>
      </c>
      <c r="AA447" s="11"/>
      <c r="AB447" s="18" t="s">
        <v>7293</v>
      </c>
      <c r="AC447" s="11"/>
      <c r="AD447" s="11" t="s">
        <v>11254</v>
      </c>
      <c r="AE447" s="11" t="s">
        <v>11255</v>
      </c>
      <c r="AF447" s="75"/>
      <c r="AG447" s="75"/>
      <c r="AH447" s="17"/>
      <c r="AI447" s="75" t="s">
        <v>7324</v>
      </c>
    </row>
    <row r="448" spans="1:35" x14ac:dyDescent="0.3">
      <c r="A448" s="34" t="s">
        <v>7286</v>
      </c>
      <c r="B448" s="72" t="s">
        <v>11256</v>
      </c>
      <c r="C448" s="34" t="s">
        <v>7150</v>
      </c>
      <c r="D448" s="81" t="s">
        <v>11257</v>
      </c>
      <c r="E448" s="11" t="s">
        <v>1639</v>
      </c>
      <c r="F448" s="75" t="s">
        <v>7293</v>
      </c>
      <c r="G448" s="75" t="s">
        <v>7293</v>
      </c>
      <c r="H448" s="75" t="s">
        <v>7311</v>
      </c>
      <c r="I448" s="75" t="s">
        <v>7312</v>
      </c>
      <c r="J448" s="11" t="s">
        <v>7433</v>
      </c>
      <c r="K448" s="11" t="s">
        <v>7434</v>
      </c>
      <c r="L448" s="77" t="s">
        <v>7315</v>
      </c>
      <c r="M448" s="76">
        <v>45691</v>
      </c>
      <c r="N448" s="76"/>
      <c r="O448" s="75" t="s">
        <v>7870</v>
      </c>
      <c r="P448" s="17" t="s">
        <v>8748</v>
      </c>
      <c r="Q448" s="98">
        <v>37083</v>
      </c>
      <c r="R448" s="78">
        <v>25.24931506849315</v>
      </c>
      <c r="S448" s="75" t="s">
        <v>11258</v>
      </c>
      <c r="T448" s="75" t="s">
        <v>7298</v>
      </c>
      <c r="U448" s="110" t="s">
        <v>11259</v>
      </c>
      <c r="V448" s="83">
        <v>48966</v>
      </c>
      <c r="W448" s="75" t="s">
        <v>7300</v>
      </c>
      <c r="X448" s="11" t="s">
        <v>7301</v>
      </c>
      <c r="Y448" s="100" t="s">
        <v>7319</v>
      </c>
      <c r="Z448" s="103" t="s">
        <v>11260</v>
      </c>
      <c r="AA448" s="11"/>
      <c r="AB448" s="18" t="s">
        <v>7293</v>
      </c>
      <c r="AC448" s="11"/>
      <c r="AD448" s="11" t="s">
        <v>11261</v>
      </c>
      <c r="AE448" s="11" t="s">
        <v>11262</v>
      </c>
      <c r="AF448" s="75"/>
      <c r="AG448" s="75"/>
      <c r="AH448" s="17"/>
      <c r="AI448" s="75" t="s">
        <v>7448</v>
      </c>
    </row>
    <row r="449" spans="1:35" x14ac:dyDescent="0.3">
      <c r="A449" s="34" t="s">
        <v>7286</v>
      </c>
      <c r="B449" s="72" t="s">
        <v>11263</v>
      </c>
      <c r="C449" s="34" t="s">
        <v>7150</v>
      </c>
      <c r="D449" s="81" t="s">
        <v>11264</v>
      </c>
      <c r="E449" s="11" t="s">
        <v>11265</v>
      </c>
      <c r="F449" s="75" t="s">
        <v>7293</v>
      </c>
      <c r="G449" s="75" t="s">
        <v>7293</v>
      </c>
      <c r="H449" s="75" t="s">
        <v>7311</v>
      </c>
      <c r="I449" s="75" t="s">
        <v>7312</v>
      </c>
      <c r="J449" s="75" t="s">
        <v>7433</v>
      </c>
      <c r="K449" s="11" t="s">
        <v>7434</v>
      </c>
      <c r="L449" s="77" t="s">
        <v>7315</v>
      </c>
      <c r="M449" s="76">
        <v>45691</v>
      </c>
      <c r="N449" s="76"/>
      <c r="O449" s="75" t="s">
        <v>7870</v>
      </c>
      <c r="P449" s="17" t="s">
        <v>7597</v>
      </c>
      <c r="Q449" s="98">
        <v>37973</v>
      </c>
      <c r="R449" s="78">
        <v>22.81095890410959</v>
      </c>
      <c r="S449" s="75" t="s">
        <v>11266</v>
      </c>
      <c r="T449" s="75" t="s">
        <v>7298</v>
      </c>
      <c r="U449" s="110" t="s">
        <v>11267</v>
      </c>
      <c r="V449" s="83">
        <v>48172</v>
      </c>
      <c r="W449" s="75" t="s">
        <v>7300</v>
      </c>
      <c r="X449" s="11" t="s">
        <v>10336</v>
      </c>
      <c r="Y449" s="11" t="s">
        <v>7319</v>
      </c>
      <c r="Z449" s="103" t="s">
        <v>11268</v>
      </c>
      <c r="AA449" s="11"/>
      <c r="AB449" s="18" t="s">
        <v>7293</v>
      </c>
      <c r="AC449" s="11"/>
      <c r="AD449" s="11" t="s">
        <v>11269</v>
      </c>
      <c r="AE449" s="11" t="s">
        <v>11270</v>
      </c>
      <c r="AF449" s="75"/>
      <c r="AG449" s="75"/>
      <c r="AH449" s="17"/>
      <c r="AI449" s="75" t="s">
        <v>7597</v>
      </c>
    </row>
    <row r="450" spans="1:35" x14ac:dyDescent="0.3">
      <c r="A450" s="34" t="s">
        <v>7286</v>
      </c>
      <c r="B450" s="72" t="s">
        <v>11271</v>
      </c>
      <c r="C450" s="34" t="s">
        <v>7150</v>
      </c>
      <c r="D450" s="81" t="s">
        <v>11272</v>
      </c>
      <c r="E450" s="11" t="s">
        <v>11273</v>
      </c>
      <c r="F450" s="75" t="s">
        <v>7329</v>
      </c>
      <c r="G450" s="75" t="s">
        <v>7330</v>
      </c>
      <c r="H450" s="75" t="s">
        <v>7452</v>
      </c>
      <c r="I450" s="75" t="s">
        <v>7453</v>
      </c>
      <c r="J450" s="75" t="s">
        <v>7509</v>
      </c>
      <c r="K450" s="11" t="s">
        <v>7510</v>
      </c>
      <c r="L450" s="77" t="s">
        <v>7456</v>
      </c>
      <c r="M450" s="76">
        <v>45691</v>
      </c>
      <c r="N450" s="76"/>
      <c r="O450" s="75" t="s">
        <v>7870</v>
      </c>
      <c r="P450" s="17"/>
      <c r="Q450" s="98">
        <v>31712</v>
      </c>
      <c r="R450" s="78">
        <v>39.964383561643835</v>
      </c>
      <c r="S450" s="75" t="s">
        <v>11274</v>
      </c>
      <c r="T450" s="75" t="s">
        <v>7298</v>
      </c>
      <c r="U450" s="110" t="s">
        <v>11275</v>
      </c>
      <c r="V450" s="83">
        <v>49722</v>
      </c>
      <c r="W450" s="75" t="s">
        <v>7300</v>
      </c>
      <c r="X450" s="11" t="s">
        <v>10336</v>
      </c>
      <c r="Y450" s="11" t="s">
        <v>7319</v>
      </c>
      <c r="Z450" s="103" t="s">
        <v>11276</v>
      </c>
      <c r="AA450" s="11"/>
      <c r="AB450" s="18" t="s">
        <v>7293</v>
      </c>
      <c r="AC450" s="16" t="s">
        <v>11277</v>
      </c>
      <c r="AD450" s="11" t="s">
        <v>11278</v>
      </c>
      <c r="AE450" s="11" t="s">
        <v>11279</v>
      </c>
      <c r="AF450" s="75"/>
      <c r="AG450" s="75"/>
      <c r="AH450" s="17"/>
      <c r="AI450" s="11" t="s">
        <v>8361</v>
      </c>
    </row>
    <row r="451" spans="1:35" x14ac:dyDescent="0.3">
      <c r="A451" s="34" t="s">
        <v>10858</v>
      </c>
      <c r="B451" s="72" t="s">
        <v>11280</v>
      </c>
      <c r="C451" s="34" t="s">
        <v>7367</v>
      </c>
      <c r="D451" s="81" t="s">
        <v>11281</v>
      </c>
      <c r="E451" s="11" t="s">
        <v>11282</v>
      </c>
      <c r="F451" s="75" t="s">
        <v>7370</v>
      </c>
      <c r="G451" s="75" t="s">
        <v>7371</v>
      </c>
      <c r="H451" s="75" t="s">
        <v>7372</v>
      </c>
      <c r="I451" s="75" t="s">
        <v>7373</v>
      </c>
      <c r="J451" s="75" t="s">
        <v>11113</v>
      </c>
      <c r="K451" s="11" t="s">
        <v>6348</v>
      </c>
      <c r="L451" s="77" t="s">
        <v>7376</v>
      </c>
      <c r="M451" s="76">
        <v>45698</v>
      </c>
      <c r="N451" s="76"/>
      <c r="O451" s="75" t="s">
        <v>8747</v>
      </c>
      <c r="P451" s="17"/>
      <c r="Q451" s="98">
        <v>37172</v>
      </c>
      <c r="R451" s="78">
        <v>25.005479452054793</v>
      </c>
      <c r="S451" s="75" t="s">
        <v>11283</v>
      </c>
      <c r="T451" s="82" t="s">
        <v>7298</v>
      </c>
      <c r="U451" s="11" t="s">
        <v>11284</v>
      </c>
      <c r="V451" s="83">
        <v>49272</v>
      </c>
      <c r="W451" s="75" t="s">
        <v>7300</v>
      </c>
      <c r="X451" s="11" t="s">
        <v>10419</v>
      </c>
      <c r="Y451" s="11" t="s">
        <v>7302</v>
      </c>
      <c r="Z451" s="103" t="s">
        <v>11285</v>
      </c>
      <c r="AA451" s="75"/>
      <c r="AB451" s="18" t="s">
        <v>11286</v>
      </c>
      <c r="AC451" s="16" t="s">
        <v>11287</v>
      </c>
      <c r="AD451" s="11" t="s">
        <v>11288</v>
      </c>
      <c r="AE451" s="75" t="s">
        <v>11289</v>
      </c>
      <c r="AF451" s="11"/>
      <c r="AG451" s="11"/>
      <c r="AH451" s="34"/>
      <c r="AI451" s="75" t="s">
        <v>7745</v>
      </c>
    </row>
    <row r="452" spans="1:35" x14ac:dyDescent="0.3">
      <c r="A452" s="34" t="s">
        <v>7286</v>
      </c>
      <c r="B452" s="72" t="s">
        <v>11290</v>
      </c>
      <c r="C452" s="34" t="s">
        <v>7367</v>
      </c>
      <c r="D452" s="81" t="s">
        <v>11291</v>
      </c>
      <c r="E452" s="11" t="s">
        <v>11292</v>
      </c>
      <c r="F452" s="75" t="s">
        <v>7370</v>
      </c>
      <c r="G452" s="75" t="s">
        <v>7371</v>
      </c>
      <c r="H452" s="75" t="s">
        <v>7372</v>
      </c>
      <c r="I452" s="75" t="s">
        <v>7373</v>
      </c>
      <c r="J452" s="75" t="s">
        <v>9662</v>
      </c>
      <c r="K452" s="11" t="s">
        <v>9663</v>
      </c>
      <c r="L452" s="77" t="s">
        <v>7376</v>
      </c>
      <c r="M452" s="76">
        <v>45698</v>
      </c>
      <c r="N452" s="76"/>
      <c r="O452" s="75" t="s">
        <v>8747</v>
      </c>
      <c r="P452" s="17"/>
      <c r="Q452" s="98">
        <v>36516</v>
      </c>
      <c r="R452" s="78">
        <v>26.802739726027397</v>
      </c>
      <c r="S452" s="75" t="s">
        <v>11293</v>
      </c>
      <c r="T452" s="82" t="s">
        <v>7298</v>
      </c>
      <c r="U452" s="11" t="s">
        <v>11294</v>
      </c>
      <c r="V452" s="83">
        <v>49318</v>
      </c>
      <c r="W452" s="75" t="s">
        <v>7300</v>
      </c>
      <c r="X452" s="11" t="s">
        <v>7301</v>
      </c>
      <c r="Y452" s="11" t="s">
        <v>7302</v>
      </c>
      <c r="Z452" s="103" t="s">
        <v>11295</v>
      </c>
      <c r="AA452" s="75"/>
      <c r="AB452" s="18" t="s">
        <v>11296</v>
      </c>
      <c r="AC452" s="16" t="s">
        <v>11297</v>
      </c>
      <c r="AD452" s="11" t="s">
        <v>11298</v>
      </c>
      <c r="AE452" s="11" t="s">
        <v>11298</v>
      </c>
      <c r="AF452" s="11"/>
      <c r="AG452" s="11"/>
      <c r="AH452" s="34"/>
      <c r="AI452" s="75" t="s">
        <v>7745</v>
      </c>
    </row>
    <row r="453" spans="1:35" x14ac:dyDescent="0.3">
      <c r="A453" s="34" t="s">
        <v>7286</v>
      </c>
      <c r="B453" s="72" t="s">
        <v>11299</v>
      </c>
      <c r="C453" s="34" t="s">
        <v>7367</v>
      </c>
      <c r="D453" s="81" t="s">
        <v>11300</v>
      </c>
      <c r="E453" s="11" t="s">
        <v>11301</v>
      </c>
      <c r="F453" s="75" t="s">
        <v>7370</v>
      </c>
      <c r="G453" s="75" t="s">
        <v>7371</v>
      </c>
      <c r="H453" s="75" t="s">
        <v>7372</v>
      </c>
      <c r="I453" s="75" t="s">
        <v>7373</v>
      </c>
      <c r="J453" s="75" t="s">
        <v>10682</v>
      </c>
      <c r="K453" s="11" t="s">
        <v>11193</v>
      </c>
      <c r="L453" s="77" t="s">
        <v>7376</v>
      </c>
      <c r="M453" s="76">
        <v>45698</v>
      </c>
      <c r="N453" s="76"/>
      <c r="O453" s="75" t="s">
        <v>8747</v>
      </c>
      <c r="P453" s="17"/>
      <c r="Q453" s="98">
        <v>35235</v>
      </c>
      <c r="R453" s="78">
        <v>30.312328767123287</v>
      </c>
      <c r="S453" s="75" t="s">
        <v>11302</v>
      </c>
      <c r="T453" s="82" t="s">
        <v>7298</v>
      </c>
      <c r="U453" s="11" t="s">
        <v>11303</v>
      </c>
      <c r="V453" s="83">
        <v>48033</v>
      </c>
      <c r="W453" s="75" t="s">
        <v>7300</v>
      </c>
      <c r="X453" s="11" t="s">
        <v>7301</v>
      </c>
      <c r="Y453" s="11" t="s">
        <v>7302</v>
      </c>
      <c r="Z453" s="103" t="s">
        <v>11304</v>
      </c>
      <c r="AA453" s="75"/>
      <c r="AB453" s="18" t="s">
        <v>11305</v>
      </c>
      <c r="AC453" s="16" t="s">
        <v>11306</v>
      </c>
      <c r="AD453" s="11" t="s">
        <v>11307</v>
      </c>
      <c r="AE453" s="75" t="s">
        <v>11308</v>
      </c>
      <c r="AF453" s="11"/>
      <c r="AG453" s="11"/>
      <c r="AH453" s="34"/>
      <c r="AI453" s="75" t="s">
        <v>7745</v>
      </c>
    </row>
    <row r="454" spans="1:35" x14ac:dyDescent="0.3">
      <c r="A454" s="34" t="s">
        <v>7286</v>
      </c>
      <c r="B454" s="72" t="s">
        <v>11309</v>
      </c>
      <c r="C454" s="34" t="s">
        <v>7367</v>
      </c>
      <c r="D454" s="81" t="s">
        <v>11310</v>
      </c>
      <c r="E454" s="11" t="s">
        <v>11311</v>
      </c>
      <c r="F454" s="75" t="s">
        <v>7370</v>
      </c>
      <c r="G454" s="75" t="s">
        <v>7371</v>
      </c>
      <c r="H454" s="75" t="s">
        <v>7372</v>
      </c>
      <c r="I454" s="75" t="s">
        <v>7373</v>
      </c>
      <c r="J454" s="75" t="s">
        <v>11113</v>
      </c>
      <c r="K454" s="11" t="s">
        <v>6348</v>
      </c>
      <c r="L454" s="77" t="s">
        <v>7376</v>
      </c>
      <c r="M454" s="76">
        <v>45698</v>
      </c>
      <c r="N454" s="76"/>
      <c r="O454" s="75" t="s">
        <v>8747</v>
      </c>
      <c r="P454" s="17"/>
      <c r="Q454" s="98">
        <v>38958</v>
      </c>
      <c r="R454" s="78">
        <v>20.112328767123287</v>
      </c>
      <c r="S454" s="75" t="s">
        <v>11312</v>
      </c>
      <c r="T454" s="82" t="s">
        <v>7298</v>
      </c>
      <c r="U454" s="11" t="s">
        <v>11313</v>
      </c>
      <c r="V454" s="83">
        <v>48097</v>
      </c>
      <c r="W454" s="75" t="s">
        <v>7300</v>
      </c>
      <c r="X454" s="11" t="s">
        <v>10336</v>
      </c>
      <c r="Y454" s="11" t="s">
        <v>7302</v>
      </c>
      <c r="Z454" s="103" t="s">
        <v>11314</v>
      </c>
      <c r="AA454" s="75"/>
      <c r="AB454" s="18" t="s">
        <v>11315</v>
      </c>
      <c r="AC454" s="16" t="s">
        <v>11316</v>
      </c>
      <c r="AD454" s="11" t="s">
        <v>11317</v>
      </c>
      <c r="AE454" s="11" t="s">
        <v>11317</v>
      </c>
      <c r="AF454" s="11"/>
      <c r="AG454" s="11"/>
      <c r="AH454" s="34"/>
      <c r="AI454" s="75" t="s">
        <v>7745</v>
      </c>
    </row>
    <row r="455" spans="1:35" x14ac:dyDescent="0.3">
      <c r="A455" s="34" t="s">
        <v>7286</v>
      </c>
      <c r="B455" s="72" t="s">
        <v>11318</v>
      </c>
      <c r="C455" s="72" t="s">
        <v>7367</v>
      </c>
      <c r="D455" s="81" t="s">
        <v>11319</v>
      </c>
      <c r="E455" s="11" t="s">
        <v>11320</v>
      </c>
      <c r="F455" s="75" t="s">
        <v>7370</v>
      </c>
      <c r="G455" s="75" t="s">
        <v>7371</v>
      </c>
      <c r="H455" s="75" t="s">
        <v>7372</v>
      </c>
      <c r="I455" s="75" t="s">
        <v>7373</v>
      </c>
      <c r="J455" s="75" t="s">
        <v>9662</v>
      </c>
      <c r="K455" s="11" t="s">
        <v>9663</v>
      </c>
      <c r="L455" s="77" t="s">
        <v>7376</v>
      </c>
      <c r="M455" s="76">
        <v>45698</v>
      </c>
      <c r="N455" s="76"/>
      <c r="O455" s="75" t="s">
        <v>8747</v>
      </c>
      <c r="P455" s="17"/>
      <c r="Q455" s="98">
        <v>38882</v>
      </c>
      <c r="R455" s="78">
        <v>20.32054794520548</v>
      </c>
      <c r="S455" s="75" t="s">
        <v>11321</v>
      </c>
      <c r="T455" s="82" t="s">
        <v>7298</v>
      </c>
      <c r="U455" s="11" t="s">
        <v>11322</v>
      </c>
      <c r="V455" s="83">
        <v>48412</v>
      </c>
      <c r="W455" s="75" t="s">
        <v>7300</v>
      </c>
      <c r="X455" s="11" t="s">
        <v>10336</v>
      </c>
      <c r="Y455" s="11" t="s">
        <v>7302</v>
      </c>
      <c r="Z455" s="103" t="s">
        <v>11323</v>
      </c>
      <c r="AA455" s="75"/>
      <c r="AB455" s="18" t="s">
        <v>11324</v>
      </c>
      <c r="AC455" s="16"/>
      <c r="AD455" s="11" t="s">
        <v>11325</v>
      </c>
      <c r="AE455" s="75" t="s">
        <v>11326</v>
      </c>
      <c r="AF455" s="11"/>
      <c r="AG455" s="11"/>
      <c r="AH455" s="34"/>
      <c r="AI455" s="75" t="s">
        <v>7745</v>
      </c>
    </row>
    <row r="456" spans="1:35" x14ac:dyDescent="0.3">
      <c r="A456" s="34" t="s">
        <v>7286</v>
      </c>
      <c r="B456" s="72" t="s">
        <v>11327</v>
      </c>
      <c r="C456" s="72" t="s">
        <v>7367</v>
      </c>
      <c r="D456" s="81" t="s">
        <v>11328</v>
      </c>
      <c r="E456" s="11" t="s">
        <v>11329</v>
      </c>
      <c r="F456" s="75" t="s">
        <v>7293</v>
      </c>
      <c r="G456" s="75" t="s">
        <v>7293</v>
      </c>
      <c r="H456" s="11" t="s">
        <v>7293</v>
      </c>
      <c r="I456" s="75" t="s">
        <v>7293</v>
      </c>
      <c r="J456" s="75" t="s">
        <v>11330</v>
      </c>
      <c r="K456" s="11" t="s">
        <v>11331</v>
      </c>
      <c r="L456" s="77" t="s">
        <v>11332</v>
      </c>
      <c r="M456" s="76">
        <v>45719</v>
      </c>
      <c r="N456" s="76"/>
      <c r="O456" s="75" t="s">
        <v>7923</v>
      </c>
      <c r="P456" s="17"/>
      <c r="Q456" s="98">
        <v>29125</v>
      </c>
      <c r="R456" s="78">
        <v>47.052054794520551</v>
      </c>
      <c r="S456" s="82" t="s">
        <v>11333</v>
      </c>
      <c r="T456" s="82" t="s">
        <v>7298</v>
      </c>
      <c r="U456" s="96" t="s">
        <v>11334</v>
      </c>
      <c r="V456" s="83">
        <v>47840</v>
      </c>
      <c r="W456" s="75" t="s">
        <v>7300</v>
      </c>
      <c r="X456" s="11" t="s">
        <v>7301</v>
      </c>
      <c r="Y456" s="75" t="s">
        <v>7302</v>
      </c>
      <c r="Z456" s="15" t="s">
        <v>11335</v>
      </c>
      <c r="AA456" s="11"/>
      <c r="AB456" s="18" t="s">
        <v>11336</v>
      </c>
      <c r="AC456" s="11"/>
      <c r="AD456" s="75" t="s">
        <v>11337</v>
      </c>
      <c r="AE456" s="75" t="s">
        <v>11337</v>
      </c>
      <c r="AF456" s="11"/>
      <c r="AG456" s="34"/>
      <c r="AH456" s="17"/>
      <c r="AI456" s="75" t="s">
        <v>7307</v>
      </c>
    </row>
    <row r="457" spans="1:35" x14ac:dyDescent="0.3">
      <c r="A457" s="34" t="s">
        <v>7286</v>
      </c>
      <c r="B457" s="72" t="s">
        <v>11338</v>
      </c>
      <c r="C457" s="72" t="s">
        <v>7367</v>
      </c>
      <c r="D457" s="81" t="s">
        <v>11339</v>
      </c>
      <c r="E457" s="11" t="s">
        <v>11340</v>
      </c>
      <c r="F457" s="75" t="s">
        <v>7370</v>
      </c>
      <c r="G457" s="75" t="s">
        <v>7371</v>
      </c>
      <c r="H457" s="75" t="s">
        <v>7372</v>
      </c>
      <c r="I457" s="75" t="s">
        <v>7373</v>
      </c>
      <c r="J457" s="75" t="s">
        <v>11341</v>
      </c>
      <c r="K457" s="11" t="s">
        <v>11193</v>
      </c>
      <c r="L457" s="77" t="s">
        <v>7376</v>
      </c>
      <c r="M457" s="76">
        <v>45720</v>
      </c>
      <c r="N457" s="76"/>
      <c r="O457" s="75" t="s">
        <v>8747</v>
      </c>
      <c r="P457" s="17"/>
      <c r="Q457" s="98">
        <v>36883</v>
      </c>
      <c r="R457" s="78">
        <v>25.797260273972604</v>
      </c>
      <c r="S457" s="101" t="s">
        <v>11342</v>
      </c>
      <c r="T457" s="82" t="s">
        <v>7298</v>
      </c>
      <c r="U457" s="11" t="s">
        <v>11343</v>
      </c>
      <c r="V457" s="102">
        <v>47491</v>
      </c>
      <c r="W457" s="75" t="s">
        <v>7300</v>
      </c>
      <c r="X457" s="11" t="s">
        <v>7301</v>
      </c>
      <c r="Y457" s="11" t="s">
        <v>7319</v>
      </c>
      <c r="Z457" s="15" t="s">
        <v>11344</v>
      </c>
      <c r="AA457" s="11"/>
      <c r="AB457" s="18" t="s">
        <v>11345</v>
      </c>
      <c r="AC457" s="11"/>
      <c r="AD457" s="75" t="s">
        <v>11346</v>
      </c>
      <c r="AE457" s="75" t="s">
        <v>11347</v>
      </c>
      <c r="AF457" s="11"/>
      <c r="AG457" s="34"/>
      <c r="AH457" s="17"/>
      <c r="AI457" s="75" t="s">
        <v>7745</v>
      </c>
    </row>
    <row r="458" spans="1:35" x14ac:dyDescent="0.3">
      <c r="A458" s="34" t="s">
        <v>7286</v>
      </c>
      <c r="B458" s="72" t="s">
        <v>11348</v>
      </c>
      <c r="C458" s="34" t="s">
        <v>7367</v>
      </c>
      <c r="D458" s="81" t="s">
        <v>11349</v>
      </c>
      <c r="E458" s="11" t="s">
        <v>11350</v>
      </c>
      <c r="F458" s="75" t="s">
        <v>7329</v>
      </c>
      <c r="G458" s="75" t="s">
        <v>7330</v>
      </c>
      <c r="H458" s="75" t="s">
        <v>7630</v>
      </c>
      <c r="I458" s="75" t="s">
        <v>7631</v>
      </c>
      <c r="J458" s="75" t="s">
        <v>8141</v>
      </c>
      <c r="K458" s="11" t="s">
        <v>8142</v>
      </c>
      <c r="L458" s="77" t="s">
        <v>7632</v>
      </c>
      <c r="M458" s="76">
        <v>45726</v>
      </c>
      <c r="N458" s="76"/>
      <c r="O458" s="75" t="s">
        <v>7870</v>
      </c>
      <c r="P458" s="17"/>
      <c r="Q458" s="98">
        <v>37511</v>
      </c>
      <c r="R458" s="78">
        <v>24.076712328767123</v>
      </c>
      <c r="S458" s="82" t="s">
        <v>11351</v>
      </c>
      <c r="T458" s="82" t="s">
        <v>7298</v>
      </c>
      <c r="U458" s="96" t="s">
        <v>11352</v>
      </c>
      <c r="V458" s="83">
        <v>47039</v>
      </c>
      <c r="W458" s="75" t="s">
        <v>7300</v>
      </c>
      <c r="X458" s="11" t="s">
        <v>7301</v>
      </c>
      <c r="Y458" s="11" t="s">
        <v>7319</v>
      </c>
      <c r="Z458" s="15" t="s">
        <v>11353</v>
      </c>
      <c r="AA458" s="11"/>
      <c r="AB458" s="18" t="s">
        <v>11354</v>
      </c>
      <c r="AC458" s="16" t="s">
        <v>11355</v>
      </c>
      <c r="AD458" s="75" t="s">
        <v>11356</v>
      </c>
      <c r="AE458" s="75" t="s">
        <v>11357</v>
      </c>
      <c r="AF458" s="11"/>
      <c r="AG458" s="34"/>
      <c r="AH458" s="17"/>
      <c r="AI458" s="75" t="s">
        <v>7324</v>
      </c>
    </row>
    <row r="459" spans="1:35" x14ac:dyDescent="0.3">
      <c r="A459" s="34" t="s">
        <v>7286</v>
      </c>
      <c r="B459" s="72" t="s">
        <v>11358</v>
      </c>
      <c r="C459" s="34" t="s">
        <v>7367</v>
      </c>
      <c r="D459" s="81" t="s">
        <v>11359</v>
      </c>
      <c r="E459" s="11" t="s">
        <v>11360</v>
      </c>
      <c r="F459" s="75" t="s">
        <v>7293</v>
      </c>
      <c r="G459" s="75" t="s">
        <v>7293</v>
      </c>
      <c r="H459" s="75" t="s">
        <v>7946</v>
      </c>
      <c r="I459" s="75" t="s">
        <v>7947</v>
      </c>
      <c r="J459" s="75" t="s">
        <v>11361</v>
      </c>
      <c r="K459" s="11" t="s">
        <v>11362</v>
      </c>
      <c r="L459" s="77" t="s">
        <v>11363</v>
      </c>
      <c r="M459" s="76">
        <v>45733</v>
      </c>
      <c r="N459" s="76"/>
      <c r="O459" s="75" t="s">
        <v>7870</v>
      </c>
      <c r="P459" s="17"/>
      <c r="Q459" s="98">
        <v>35426</v>
      </c>
      <c r="R459" s="78">
        <v>29.789041095890411</v>
      </c>
      <c r="S459" s="82" t="s">
        <v>11364</v>
      </c>
      <c r="T459" s="75" t="s">
        <v>7298</v>
      </c>
      <c r="U459" s="96" t="s">
        <v>11365</v>
      </c>
      <c r="V459" s="83">
        <v>47757</v>
      </c>
      <c r="W459" s="75" t="s">
        <v>7300</v>
      </c>
      <c r="X459" s="11" t="s">
        <v>10419</v>
      </c>
      <c r="Y459" s="11" t="s">
        <v>7319</v>
      </c>
      <c r="Z459" s="15" t="s">
        <v>11366</v>
      </c>
      <c r="AA459" s="11"/>
      <c r="AB459" s="18" t="s">
        <v>11367</v>
      </c>
      <c r="AC459" s="16" t="s">
        <v>11368</v>
      </c>
      <c r="AD459" s="75" t="s">
        <v>11369</v>
      </c>
      <c r="AE459" s="75" t="s">
        <v>11370</v>
      </c>
      <c r="AF459" s="11"/>
      <c r="AG459" s="34"/>
      <c r="AH459" s="17"/>
      <c r="AI459" s="75" t="s">
        <v>7307</v>
      </c>
    </row>
    <row r="460" spans="1:35" x14ac:dyDescent="0.3">
      <c r="A460" s="34" t="s">
        <v>7286</v>
      </c>
      <c r="B460" s="72" t="s">
        <v>11371</v>
      </c>
      <c r="C460" s="34" t="s">
        <v>7367</v>
      </c>
      <c r="D460" s="81" t="s">
        <v>11372</v>
      </c>
      <c r="E460" s="11" t="s">
        <v>11373</v>
      </c>
      <c r="F460" s="75" t="s">
        <v>7291</v>
      </c>
      <c r="G460" s="75" t="s">
        <v>7292</v>
      </c>
      <c r="H460" s="75" t="s">
        <v>7908</v>
      </c>
      <c r="I460" s="75" t="s">
        <v>7909</v>
      </c>
      <c r="J460" s="75" t="s">
        <v>11374</v>
      </c>
      <c r="K460" s="11" t="s">
        <v>11375</v>
      </c>
      <c r="L460" s="77" t="s">
        <v>7907</v>
      </c>
      <c r="M460" s="98">
        <v>45750</v>
      </c>
      <c r="N460" s="76"/>
      <c r="O460" s="75" t="s">
        <v>7870</v>
      </c>
      <c r="P460" s="17"/>
      <c r="Q460" s="98">
        <v>30683</v>
      </c>
      <c r="R460" s="78">
        <v>42.783561643835618</v>
      </c>
      <c r="S460" s="75" t="s">
        <v>11376</v>
      </c>
      <c r="T460" s="75" t="s">
        <v>7298</v>
      </c>
      <c r="U460" s="96" t="s">
        <v>11377</v>
      </c>
      <c r="V460" s="83">
        <v>47195</v>
      </c>
      <c r="W460" s="75" t="s">
        <v>7300</v>
      </c>
      <c r="X460" s="11" t="s">
        <v>7301</v>
      </c>
      <c r="Y460" s="100" t="s">
        <v>7319</v>
      </c>
      <c r="Z460" s="103" t="s">
        <v>11378</v>
      </c>
      <c r="AA460" s="13"/>
      <c r="AB460" s="18" t="s">
        <v>11379</v>
      </c>
      <c r="AC460" s="16"/>
      <c r="AD460" s="11" t="s">
        <v>11380</v>
      </c>
      <c r="AE460" s="75" t="s">
        <v>11381</v>
      </c>
      <c r="AF460" s="75"/>
      <c r="AG460" s="75"/>
      <c r="AH460" s="17"/>
      <c r="AI460" s="75" t="s">
        <v>8116</v>
      </c>
    </row>
    <row r="461" spans="1:35" x14ac:dyDescent="0.3">
      <c r="A461" s="34" t="s">
        <v>7286</v>
      </c>
      <c r="B461" s="72" t="s">
        <v>11382</v>
      </c>
      <c r="C461" s="34" t="s">
        <v>7367</v>
      </c>
      <c r="D461" s="81" t="s">
        <v>11383</v>
      </c>
      <c r="E461" s="11" t="s">
        <v>11384</v>
      </c>
      <c r="F461" s="75" t="s">
        <v>7370</v>
      </c>
      <c r="G461" s="75" t="s">
        <v>7371</v>
      </c>
      <c r="H461" s="75" t="s">
        <v>9832</v>
      </c>
      <c r="I461" s="75" t="s">
        <v>9833</v>
      </c>
      <c r="J461" s="75" t="s">
        <v>9834</v>
      </c>
      <c r="K461" s="11" t="s">
        <v>9835</v>
      </c>
      <c r="L461" s="77" t="s">
        <v>9836</v>
      </c>
      <c r="M461" s="98">
        <v>45750</v>
      </c>
      <c r="N461" s="76"/>
      <c r="O461" s="75" t="s">
        <v>8747</v>
      </c>
      <c r="P461" s="17"/>
      <c r="Q461" s="98">
        <v>37668</v>
      </c>
      <c r="R461" s="78">
        <v>23.646575342465752</v>
      </c>
      <c r="S461" s="75" t="s">
        <v>11385</v>
      </c>
      <c r="T461" s="75" t="s">
        <v>7298</v>
      </c>
      <c r="U461" s="96" t="s">
        <v>11386</v>
      </c>
      <c r="V461" s="83">
        <v>47306</v>
      </c>
      <c r="W461" s="75" t="s">
        <v>7300</v>
      </c>
      <c r="X461" s="11" t="s">
        <v>10419</v>
      </c>
      <c r="Y461" s="75" t="s">
        <v>7302</v>
      </c>
      <c r="Z461" s="103" t="s">
        <v>11387</v>
      </c>
      <c r="AA461" s="13"/>
      <c r="AB461" s="18" t="s">
        <v>11388</v>
      </c>
      <c r="AC461" s="16" t="s">
        <v>11389</v>
      </c>
      <c r="AD461" s="11" t="s">
        <v>11390</v>
      </c>
      <c r="AE461" s="11" t="s">
        <v>11390</v>
      </c>
      <c r="AF461" s="75"/>
      <c r="AG461" s="75"/>
      <c r="AH461" s="17"/>
      <c r="AI461" s="75" t="s">
        <v>7745</v>
      </c>
    </row>
    <row r="462" spans="1:35" x14ac:dyDescent="0.3">
      <c r="A462" s="34" t="s">
        <v>7286</v>
      </c>
      <c r="B462" s="72" t="s">
        <v>11391</v>
      </c>
      <c r="C462" s="34" t="s">
        <v>7367</v>
      </c>
      <c r="D462" s="81" t="s">
        <v>11392</v>
      </c>
      <c r="E462" s="11" t="s">
        <v>11393</v>
      </c>
      <c r="F462" s="75" t="s">
        <v>7293</v>
      </c>
      <c r="G462" s="75" t="s">
        <v>7293</v>
      </c>
      <c r="H462" s="75" t="s">
        <v>7293</v>
      </c>
      <c r="I462" s="75" t="s">
        <v>7293</v>
      </c>
      <c r="J462" s="75" t="s">
        <v>11394</v>
      </c>
      <c r="K462" s="11" t="s">
        <v>11395</v>
      </c>
      <c r="L462" s="77" t="s">
        <v>11396</v>
      </c>
      <c r="M462" s="98">
        <v>45750</v>
      </c>
      <c r="N462" s="76"/>
      <c r="O462" s="75" t="s">
        <v>7870</v>
      </c>
      <c r="P462" s="17"/>
      <c r="Q462" s="98">
        <v>37123</v>
      </c>
      <c r="R462" s="78">
        <v>25.139726027397259</v>
      </c>
      <c r="S462" s="75" t="s">
        <v>11397</v>
      </c>
      <c r="T462" s="75" t="s">
        <v>7298</v>
      </c>
      <c r="U462" s="96" t="s">
        <v>11398</v>
      </c>
      <c r="V462" s="83">
        <v>48375</v>
      </c>
      <c r="W462" s="75" t="s">
        <v>7300</v>
      </c>
      <c r="X462" s="11" t="s">
        <v>7301</v>
      </c>
      <c r="Y462" s="75" t="s">
        <v>7302</v>
      </c>
      <c r="Z462" s="103" t="s">
        <v>11399</v>
      </c>
      <c r="AA462" s="13"/>
      <c r="AB462" s="18" t="s">
        <v>11400</v>
      </c>
      <c r="AC462" s="16" t="s">
        <v>11401</v>
      </c>
      <c r="AD462" s="11" t="s">
        <v>11402</v>
      </c>
      <c r="AE462" s="75" t="s">
        <v>11403</v>
      </c>
      <c r="AF462" s="75"/>
      <c r="AG462" s="75"/>
      <c r="AH462" s="17"/>
      <c r="AI462" s="11" t="s">
        <v>7307</v>
      </c>
    </row>
    <row r="463" spans="1:35" x14ac:dyDescent="0.3">
      <c r="A463" s="34" t="s">
        <v>7286</v>
      </c>
      <c r="B463" s="72" t="s">
        <v>11404</v>
      </c>
      <c r="C463" s="34" t="s">
        <v>7367</v>
      </c>
      <c r="D463" s="81" t="s">
        <v>11405</v>
      </c>
      <c r="E463" s="11" t="s">
        <v>11406</v>
      </c>
      <c r="F463" s="75" t="s">
        <v>7293</v>
      </c>
      <c r="G463" s="75" t="s">
        <v>7293</v>
      </c>
      <c r="H463" s="75" t="s">
        <v>8997</v>
      </c>
      <c r="I463" s="75" t="s">
        <v>8998</v>
      </c>
      <c r="J463" s="11" t="s">
        <v>10414</v>
      </c>
      <c r="K463" s="11" t="s">
        <v>10415</v>
      </c>
      <c r="L463" s="77" t="s">
        <v>11407</v>
      </c>
      <c r="M463" s="98">
        <v>45754</v>
      </c>
      <c r="N463" s="76"/>
      <c r="O463" s="75" t="s">
        <v>7923</v>
      </c>
      <c r="P463" s="17"/>
      <c r="Q463" s="98">
        <v>28811</v>
      </c>
      <c r="R463" s="78">
        <v>47.912328767123284</v>
      </c>
      <c r="S463" s="75" t="s">
        <v>11408</v>
      </c>
      <c r="T463" s="75" t="s">
        <v>7298</v>
      </c>
      <c r="U463" s="96" t="s">
        <v>11409</v>
      </c>
      <c r="V463" s="83">
        <v>48008</v>
      </c>
      <c r="W463" s="75" t="s">
        <v>7300</v>
      </c>
      <c r="X463" s="75" t="s">
        <v>10419</v>
      </c>
      <c r="Y463" s="75" t="s">
        <v>7319</v>
      </c>
      <c r="Z463" s="103" t="s">
        <v>11410</v>
      </c>
      <c r="AA463" s="16"/>
      <c r="AB463" s="18" t="s">
        <v>11411</v>
      </c>
      <c r="AC463" s="16" t="s">
        <v>11412</v>
      </c>
      <c r="AD463" s="75" t="s">
        <v>11413</v>
      </c>
      <c r="AE463" s="75" t="s">
        <v>11413</v>
      </c>
      <c r="AF463" s="75"/>
      <c r="AG463" s="75"/>
      <c r="AH463" s="17"/>
      <c r="AI463" s="75" t="s">
        <v>7307</v>
      </c>
    </row>
    <row r="464" spans="1:35" x14ac:dyDescent="0.3">
      <c r="A464" s="34" t="s">
        <v>7286</v>
      </c>
      <c r="B464" s="72" t="s">
        <v>11414</v>
      </c>
      <c r="C464" s="71" t="s">
        <v>7367</v>
      </c>
      <c r="D464" s="81" t="s">
        <v>11415</v>
      </c>
      <c r="E464" s="11" t="s">
        <v>11416</v>
      </c>
      <c r="F464" s="75" t="s">
        <v>7370</v>
      </c>
      <c r="G464" s="75" t="s">
        <v>7371</v>
      </c>
      <c r="H464" s="75" t="s">
        <v>7372</v>
      </c>
      <c r="I464" s="75" t="s">
        <v>7373</v>
      </c>
      <c r="J464" s="75" t="s">
        <v>11113</v>
      </c>
      <c r="K464" s="11" t="s">
        <v>6348</v>
      </c>
      <c r="L464" s="77" t="s">
        <v>7376</v>
      </c>
      <c r="M464" s="98">
        <v>45754</v>
      </c>
      <c r="N464" s="76"/>
      <c r="O464" s="75" t="s">
        <v>8747</v>
      </c>
      <c r="P464" s="17"/>
      <c r="Q464" s="98">
        <v>36529</v>
      </c>
      <c r="R464" s="78">
        <v>26.767123287671232</v>
      </c>
      <c r="S464" s="75" t="s">
        <v>11417</v>
      </c>
      <c r="T464" s="75" t="s">
        <v>7298</v>
      </c>
      <c r="U464" s="96" t="s">
        <v>11418</v>
      </c>
      <c r="V464" s="83">
        <v>48802</v>
      </c>
      <c r="W464" s="75" t="s">
        <v>7300</v>
      </c>
      <c r="X464" s="11" t="s">
        <v>10336</v>
      </c>
      <c r="Y464" s="11" t="s">
        <v>7319</v>
      </c>
      <c r="Z464" s="103" t="s">
        <v>11419</v>
      </c>
      <c r="AA464" s="13"/>
      <c r="AB464" s="18" t="s">
        <v>11420</v>
      </c>
      <c r="AC464" s="16" t="s">
        <v>11421</v>
      </c>
      <c r="AD464" s="11" t="s">
        <v>11422</v>
      </c>
      <c r="AE464" s="11" t="s">
        <v>11422</v>
      </c>
      <c r="AF464" s="75"/>
      <c r="AG464" s="75"/>
      <c r="AH464" s="17"/>
      <c r="AI464" s="75" t="s">
        <v>7745</v>
      </c>
    </row>
    <row r="465" spans="1:35" ht="43.2" x14ac:dyDescent="0.3">
      <c r="A465" s="34" t="s">
        <v>7286</v>
      </c>
      <c r="B465" s="72" t="s">
        <v>11423</v>
      </c>
      <c r="C465" s="34" t="s">
        <v>7367</v>
      </c>
      <c r="D465" s="81" t="s">
        <v>11424</v>
      </c>
      <c r="E465" s="11" t="s">
        <v>11425</v>
      </c>
      <c r="F465" s="75" t="s">
        <v>7370</v>
      </c>
      <c r="G465" s="75" t="s">
        <v>7371</v>
      </c>
      <c r="H465" s="75" t="s">
        <v>7372</v>
      </c>
      <c r="I465" s="75" t="s">
        <v>7373</v>
      </c>
      <c r="J465" s="75" t="s">
        <v>11113</v>
      </c>
      <c r="K465" s="11" t="s">
        <v>6348</v>
      </c>
      <c r="L465" s="77" t="s">
        <v>7376</v>
      </c>
      <c r="M465" s="98">
        <v>45754</v>
      </c>
      <c r="N465" s="76"/>
      <c r="O465" s="75" t="s">
        <v>8747</v>
      </c>
      <c r="P465" s="17"/>
      <c r="Q465" s="98">
        <v>36400</v>
      </c>
      <c r="R465" s="78">
        <v>27.12054794520548</v>
      </c>
      <c r="S465" s="75" t="s">
        <v>11426</v>
      </c>
      <c r="T465" s="75" t="s">
        <v>7298</v>
      </c>
      <c r="U465" s="96" t="s">
        <v>11427</v>
      </c>
      <c r="V465" s="83">
        <v>49232</v>
      </c>
      <c r="W465" s="75" t="s">
        <v>7300</v>
      </c>
      <c r="X465" s="11" t="s">
        <v>7301</v>
      </c>
      <c r="Y465" s="11" t="s">
        <v>7319</v>
      </c>
      <c r="Z465" s="103" t="s">
        <v>11428</v>
      </c>
      <c r="AA465" s="13"/>
      <c r="AB465" s="18" t="s">
        <v>11429</v>
      </c>
      <c r="AC465" s="13" t="s">
        <v>11430</v>
      </c>
      <c r="AD465" s="11" t="s">
        <v>11431</v>
      </c>
      <c r="AE465" s="75" t="s">
        <v>11432</v>
      </c>
      <c r="AF465" s="75"/>
      <c r="AG465" s="75"/>
      <c r="AH465" s="83"/>
      <c r="AI465" s="75" t="s">
        <v>7745</v>
      </c>
    </row>
    <row r="466" spans="1:35" x14ac:dyDescent="0.3">
      <c r="A466" s="34" t="s">
        <v>7286</v>
      </c>
      <c r="B466" s="72" t="s">
        <v>11433</v>
      </c>
      <c r="C466" s="34" t="s">
        <v>7367</v>
      </c>
      <c r="D466" s="81" t="s">
        <v>11434</v>
      </c>
      <c r="E466" s="11" t="s">
        <v>11435</v>
      </c>
      <c r="F466" s="75" t="s">
        <v>7370</v>
      </c>
      <c r="G466" s="75" t="s">
        <v>7371</v>
      </c>
      <c r="H466" s="75" t="s">
        <v>7372</v>
      </c>
      <c r="I466" s="75" t="s">
        <v>7373</v>
      </c>
      <c r="J466" s="75" t="s">
        <v>10682</v>
      </c>
      <c r="K466" s="11" t="s">
        <v>10683</v>
      </c>
      <c r="L466" s="77" t="s">
        <v>7376</v>
      </c>
      <c r="M466" s="98">
        <v>45754</v>
      </c>
      <c r="N466" s="76"/>
      <c r="O466" s="75" t="s">
        <v>8747</v>
      </c>
      <c r="P466" s="17"/>
      <c r="Q466" s="98">
        <v>34064</v>
      </c>
      <c r="R466" s="78">
        <v>33.520547945205479</v>
      </c>
      <c r="S466" s="75" t="s">
        <v>11436</v>
      </c>
      <c r="T466" s="75" t="s">
        <v>7298</v>
      </c>
      <c r="U466" s="96" t="s">
        <v>11437</v>
      </c>
      <c r="V466" s="83">
        <v>47047</v>
      </c>
      <c r="W466" s="75" t="s">
        <v>7300</v>
      </c>
      <c r="X466" s="11" t="s">
        <v>7301</v>
      </c>
      <c r="Y466" s="75" t="s">
        <v>7302</v>
      </c>
      <c r="Z466" s="103" t="s">
        <v>11438</v>
      </c>
      <c r="AA466" s="13"/>
      <c r="AB466" s="18" t="s">
        <v>11439</v>
      </c>
      <c r="AC466" s="16" t="s">
        <v>11440</v>
      </c>
      <c r="AD466" s="11" t="s">
        <v>11441</v>
      </c>
      <c r="AE466" s="11" t="s">
        <v>11441</v>
      </c>
      <c r="AF466" s="75"/>
      <c r="AG466" s="75"/>
      <c r="AH466" s="17"/>
      <c r="AI466" s="75" t="s">
        <v>7745</v>
      </c>
    </row>
    <row r="467" spans="1:35" x14ac:dyDescent="0.3">
      <c r="A467" s="34" t="s">
        <v>7286</v>
      </c>
      <c r="B467" s="72" t="s">
        <v>11442</v>
      </c>
      <c r="C467" s="34" t="s">
        <v>7367</v>
      </c>
      <c r="D467" s="81" t="s">
        <v>11443</v>
      </c>
      <c r="E467" s="11" t="s">
        <v>11444</v>
      </c>
      <c r="F467" s="75" t="s">
        <v>7370</v>
      </c>
      <c r="G467" s="75" t="s">
        <v>7371</v>
      </c>
      <c r="H467" s="75" t="s">
        <v>7372</v>
      </c>
      <c r="I467" s="75" t="s">
        <v>7373</v>
      </c>
      <c r="J467" s="75" t="s">
        <v>9662</v>
      </c>
      <c r="K467" s="11" t="s">
        <v>9663</v>
      </c>
      <c r="L467" s="77" t="s">
        <v>7376</v>
      </c>
      <c r="M467" s="98">
        <v>45754</v>
      </c>
      <c r="N467" s="76"/>
      <c r="O467" s="75" t="s">
        <v>8747</v>
      </c>
      <c r="P467" s="17"/>
      <c r="Q467" s="98">
        <v>37529</v>
      </c>
      <c r="R467" s="78">
        <v>24.027397260273972</v>
      </c>
      <c r="S467" s="75" t="s">
        <v>11445</v>
      </c>
      <c r="T467" s="75" t="s">
        <v>7298</v>
      </c>
      <c r="U467" s="96" t="s">
        <v>11446</v>
      </c>
      <c r="V467" s="83">
        <v>47526</v>
      </c>
      <c r="W467" s="75" t="s">
        <v>7300</v>
      </c>
      <c r="X467" s="11" t="s">
        <v>7301</v>
      </c>
      <c r="Y467" s="11" t="s">
        <v>7302</v>
      </c>
      <c r="Z467" s="103" t="s">
        <v>11447</v>
      </c>
      <c r="AA467" s="13"/>
      <c r="AB467" s="18" t="s">
        <v>11448</v>
      </c>
      <c r="AC467" s="16" t="s">
        <v>11449</v>
      </c>
      <c r="AD467" s="11" t="s">
        <v>11450</v>
      </c>
      <c r="AE467" s="11" t="s">
        <v>11451</v>
      </c>
      <c r="AF467" s="75"/>
      <c r="AG467" s="75"/>
      <c r="AH467" s="17"/>
      <c r="AI467" s="75" t="s">
        <v>7745</v>
      </c>
    </row>
    <row r="468" spans="1:35" x14ac:dyDescent="0.3">
      <c r="A468" s="34" t="s">
        <v>7286</v>
      </c>
      <c r="B468" s="72" t="s">
        <v>11452</v>
      </c>
      <c r="C468" s="34" t="s">
        <v>7367</v>
      </c>
      <c r="D468" s="81" t="s">
        <v>11453</v>
      </c>
      <c r="E468" s="11" t="s">
        <v>11454</v>
      </c>
      <c r="F468" s="75" t="s">
        <v>7370</v>
      </c>
      <c r="G468" s="75" t="s">
        <v>7371</v>
      </c>
      <c r="H468" s="75" t="s">
        <v>7372</v>
      </c>
      <c r="I468" s="75" t="s">
        <v>7373</v>
      </c>
      <c r="J468" s="75" t="s">
        <v>10682</v>
      </c>
      <c r="K468" s="11" t="s">
        <v>11193</v>
      </c>
      <c r="L468" s="77" t="s">
        <v>7376</v>
      </c>
      <c r="M468" s="98">
        <v>45754</v>
      </c>
      <c r="N468" s="76"/>
      <c r="O468" s="75" t="s">
        <v>8747</v>
      </c>
      <c r="P468" s="17"/>
      <c r="Q468" s="98">
        <v>36549</v>
      </c>
      <c r="R468" s="78">
        <v>26.712328767123289</v>
      </c>
      <c r="S468" s="75" t="s">
        <v>11455</v>
      </c>
      <c r="T468" s="75" t="s">
        <v>7298</v>
      </c>
      <c r="U468" s="96" t="s">
        <v>11456</v>
      </c>
      <c r="V468" s="83">
        <v>49332</v>
      </c>
      <c r="W468" s="75" t="s">
        <v>7300</v>
      </c>
      <c r="X468" s="75" t="s">
        <v>7301</v>
      </c>
      <c r="Y468" s="75" t="s">
        <v>7302</v>
      </c>
      <c r="Z468" s="103" t="s">
        <v>11457</v>
      </c>
      <c r="AA468" s="16"/>
      <c r="AB468" s="18" t="s">
        <v>11458</v>
      </c>
      <c r="AC468" s="16" t="s">
        <v>11459</v>
      </c>
      <c r="AD468" s="75" t="s">
        <v>11460</v>
      </c>
      <c r="AE468" s="75" t="s">
        <v>11461</v>
      </c>
      <c r="AF468" s="75"/>
      <c r="AG468" s="75"/>
      <c r="AH468" s="17"/>
      <c r="AI468" s="75" t="s">
        <v>7745</v>
      </c>
    </row>
    <row r="469" spans="1:35" x14ac:dyDescent="0.3">
      <c r="A469" s="34" t="s">
        <v>7286</v>
      </c>
      <c r="B469" s="72" t="s">
        <v>11462</v>
      </c>
      <c r="C469" s="34" t="s">
        <v>7367</v>
      </c>
      <c r="D469" s="81" t="s">
        <v>11463</v>
      </c>
      <c r="E469" s="11" t="s">
        <v>11464</v>
      </c>
      <c r="F469" s="75" t="s">
        <v>7370</v>
      </c>
      <c r="G469" s="75" t="s">
        <v>7371</v>
      </c>
      <c r="H469" s="75" t="s">
        <v>7372</v>
      </c>
      <c r="I469" s="75" t="s">
        <v>7373</v>
      </c>
      <c r="J469" s="75" t="s">
        <v>10682</v>
      </c>
      <c r="K469" s="11" t="s">
        <v>11193</v>
      </c>
      <c r="L469" s="77" t="s">
        <v>7376</v>
      </c>
      <c r="M469" s="98">
        <v>45754</v>
      </c>
      <c r="N469" s="76"/>
      <c r="O469" s="75" t="s">
        <v>8747</v>
      </c>
      <c r="P469" s="17"/>
      <c r="Q469" s="98">
        <v>32754</v>
      </c>
      <c r="R469" s="78">
        <v>37.109589041095887</v>
      </c>
      <c r="S469" s="75" t="s">
        <v>11465</v>
      </c>
      <c r="T469" s="75" t="s">
        <v>7298</v>
      </c>
      <c r="U469" s="96" t="s">
        <v>11466</v>
      </c>
      <c r="V469" s="83">
        <v>49316</v>
      </c>
      <c r="W469" s="75" t="s">
        <v>7300</v>
      </c>
      <c r="X469" s="11" t="s">
        <v>7301</v>
      </c>
      <c r="Y469" s="75" t="s">
        <v>7302</v>
      </c>
      <c r="Z469" s="103" t="s">
        <v>11467</v>
      </c>
      <c r="AA469" s="13"/>
      <c r="AB469" s="18" t="s">
        <v>11468</v>
      </c>
      <c r="AC469" s="16" t="s">
        <v>11469</v>
      </c>
      <c r="AD469" s="11" t="s">
        <v>11470</v>
      </c>
      <c r="AE469" s="11" t="s">
        <v>11471</v>
      </c>
      <c r="AF469" s="75"/>
      <c r="AG469" s="75"/>
      <c r="AH469" s="17"/>
      <c r="AI469" s="75" t="s">
        <v>7745</v>
      </c>
    </row>
    <row r="470" spans="1:35" x14ac:dyDescent="0.3">
      <c r="A470" s="34" t="s">
        <v>7286</v>
      </c>
      <c r="B470" s="72" t="s">
        <v>11472</v>
      </c>
      <c r="C470" s="34" t="s">
        <v>7367</v>
      </c>
      <c r="D470" s="81" t="s">
        <v>11473</v>
      </c>
      <c r="E470" s="11" t="s">
        <v>11474</v>
      </c>
      <c r="F470" s="75" t="s">
        <v>7370</v>
      </c>
      <c r="G470" s="75" t="s">
        <v>7371</v>
      </c>
      <c r="H470" s="75" t="s">
        <v>7372</v>
      </c>
      <c r="I470" s="75" t="s">
        <v>7373</v>
      </c>
      <c r="J470" s="75" t="s">
        <v>8517</v>
      </c>
      <c r="K470" s="11" t="s">
        <v>6341</v>
      </c>
      <c r="L470" s="77" t="s">
        <v>7376</v>
      </c>
      <c r="M470" s="98">
        <v>45754</v>
      </c>
      <c r="N470" s="76"/>
      <c r="O470" s="75" t="s">
        <v>8747</v>
      </c>
      <c r="P470" s="17"/>
      <c r="Q470" s="98">
        <v>38038</v>
      </c>
      <c r="R470" s="78">
        <v>22.632876712328766</v>
      </c>
      <c r="S470" s="75" t="s">
        <v>11475</v>
      </c>
      <c r="T470" s="75" t="s">
        <v>7298</v>
      </c>
      <c r="U470" s="96" t="s">
        <v>11476</v>
      </c>
      <c r="V470" s="83">
        <v>47176</v>
      </c>
      <c r="W470" s="75" t="s">
        <v>7300</v>
      </c>
      <c r="X470" s="11" t="s">
        <v>7301</v>
      </c>
      <c r="Y470" s="11" t="s">
        <v>7319</v>
      </c>
      <c r="Z470" s="103" t="s">
        <v>11477</v>
      </c>
      <c r="AA470" s="13"/>
      <c r="AB470" s="18" t="s">
        <v>11478</v>
      </c>
      <c r="AC470" s="16" t="s">
        <v>11479</v>
      </c>
      <c r="AD470" s="11" t="s">
        <v>11480</v>
      </c>
      <c r="AE470" s="11" t="s">
        <v>11480</v>
      </c>
      <c r="AF470" s="75"/>
      <c r="AG470" s="75"/>
      <c r="AH470" s="17"/>
      <c r="AI470" s="75" t="s">
        <v>7745</v>
      </c>
    </row>
    <row r="471" spans="1:35" x14ac:dyDescent="0.3">
      <c r="A471" s="34" t="s">
        <v>7286</v>
      </c>
      <c r="B471" s="72" t="s">
        <v>11481</v>
      </c>
      <c r="C471" s="34" t="s">
        <v>7367</v>
      </c>
      <c r="D471" s="81" t="s">
        <v>11482</v>
      </c>
      <c r="E471" s="11" t="s">
        <v>11483</v>
      </c>
      <c r="F471" s="75" t="s">
        <v>7370</v>
      </c>
      <c r="G471" s="75" t="s">
        <v>7371</v>
      </c>
      <c r="H471" s="75" t="s">
        <v>7372</v>
      </c>
      <c r="I471" s="75" t="s">
        <v>7373</v>
      </c>
      <c r="J471" s="75" t="s">
        <v>10682</v>
      </c>
      <c r="K471" s="11" t="s">
        <v>11193</v>
      </c>
      <c r="L471" s="77" t="s">
        <v>7376</v>
      </c>
      <c r="M471" s="98">
        <v>45754</v>
      </c>
      <c r="N471" s="76"/>
      <c r="O471" s="75" t="s">
        <v>8747</v>
      </c>
      <c r="P471" s="17"/>
      <c r="Q471" s="98">
        <v>37160</v>
      </c>
      <c r="R471" s="78">
        <v>25.038356164383561</v>
      </c>
      <c r="S471" s="75" t="s">
        <v>11484</v>
      </c>
      <c r="T471" s="75" t="s">
        <v>7298</v>
      </c>
      <c r="U471" s="96" t="s">
        <v>11485</v>
      </c>
      <c r="V471" s="83">
        <v>46291</v>
      </c>
      <c r="W471" s="75" t="s">
        <v>7300</v>
      </c>
      <c r="X471" s="11" t="s">
        <v>10419</v>
      </c>
      <c r="Y471" s="11" t="s">
        <v>7319</v>
      </c>
      <c r="Z471" s="103" t="s">
        <v>11486</v>
      </c>
      <c r="AA471" s="13"/>
      <c r="AB471" s="18" t="s">
        <v>11487</v>
      </c>
      <c r="AC471" s="16" t="s">
        <v>11488</v>
      </c>
      <c r="AD471" s="11" t="s">
        <v>11489</v>
      </c>
      <c r="AE471" s="11" t="s">
        <v>11489</v>
      </c>
      <c r="AF471" s="75"/>
      <c r="AG471" s="75"/>
      <c r="AH471" s="17"/>
      <c r="AI471" s="75" t="s">
        <v>7745</v>
      </c>
    </row>
    <row r="472" spans="1:35" x14ac:dyDescent="0.3">
      <c r="A472" s="34" t="s">
        <v>7286</v>
      </c>
      <c r="B472" s="72" t="s">
        <v>11490</v>
      </c>
      <c r="C472" s="34" t="s">
        <v>7367</v>
      </c>
      <c r="D472" s="81" t="s">
        <v>11491</v>
      </c>
      <c r="E472" s="11" t="s">
        <v>11492</v>
      </c>
      <c r="F472" s="75" t="s">
        <v>7370</v>
      </c>
      <c r="G472" s="75" t="s">
        <v>7371</v>
      </c>
      <c r="H472" s="75" t="s">
        <v>7372</v>
      </c>
      <c r="I472" s="75" t="s">
        <v>7373</v>
      </c>
      <c r="J472" s="75" t="s">
        <v>11113</v>
      </c>
      <c r="K472" s="11" t="s">
        <v>6348</v>
      </c>
      <c r="L472" s="77" t="s">
        <v>7376</v>
      </c>
      <c r="M472" s="98">
        <v>45755</v>
      </c>
      <c r="N472" s="76"/>
      <c r="O472" s="75" t="s">
        <v>8747</v>
      </c>
      <c r="P472" s="17"/>
      <c r="Q472" s="98">
        <v>37434</v>
      </c>
      <c r="R472" s="78">
        <v>24.287671232876711</v>
      </c>
      <c r="S472" s="75" t="s">
        <v>11493</v>
      </c>
      <c r="T472" s="75" t="s">
        <v>7298</v>
      </c>
      <c r="U472" s="96" t="s">
        <v>11494</v>
      </c>
      <c r="V472" s="83">
        <v>47629</v>
      </c>
      <c r="W472" s="75" t="s">
        <v>7300</v>
      </c>
      <c r="X472" s="11" t="s">
        <v>7301</v>
      </c>
      <c r="Y472" s="75" t="s">
        <v>7302</v>
      </c>
      <c r="Z472" s="103" t="s">
        <v>11495</v>
      </c>
      <c r="AA472" s="13"/>
      <c r="AB472" s="18" t="s">
        <v>11496</v>
      </c>
      <c r="AC472" s="16" t="s">
        <v>11497</v>
      </c>
      <c r="AD472" s="11" t="s">
        <v>11498</v>
      </c>
      <c r="AE472" s="75" t="s">
        <v>11499</v>
      </c>
      <c r="AF472" s="75"/>
      <c r="AG472" s="75"/>
      <c r="AH472" s="17"/>
      <c r="AI472" s="75" t="s">
        <v>7745</v>
      </c>
    </row>
    <row r="473" spans="1:35" x14ac:dyDescent="0.3">
      <c r="A473" s="34" t="s">
        <v>7286</v>
      </c>
      <c r="B473" s="72" t="s">
        <v>11500</v>
      </c>
      <c r="C473" s="34" t="s">
        <v>7150</v>
      </c>
      <c r="D473" s="81" t="s">
        <v>11501</v>
      </c>
      <c r="E473" s="11" t="s">
        <v>1441</v>
      </c>
      <c r="F473" s="75" t="s">
        <v>7293</v>
      </c>
      <c r="G473" s="75" t="s">
        <v>7293</v>
      </c>
      <c r="H473" s="75" t="s">
        <v>7311</v>
      </c>
      <c r="I473" s="75" t="s">
        <v>7312</v>
      </c>
      <c r="J473" s="75" t="s">
        <v>7433</v>
      </c>
      <c r="K473" s="11" t="s">
        <v>7434</v>
      </c>
      <c r="L473" s="77" t="s">
        <v>7315</v>
      </c>
      <c r="M473" s="98">
        <v>45761</v>
      </c>
      <c r="N473" s="76"/>
      <c r="O473" s="75" t="s">
        <v>7870</v>
      </c>
      <c r="P473" s="17" t="s">
        <v>7425</v>
      </c>
      <c r="Q473" s="98">
        <v>37428</v>
      </c>
      <c r="R473" s="78">
        <v>24.304109589041097</v>
      </c>
      <c r="S473" s="75" t="s">
        <v>11502</v>
      </c>
      <c r="T473" s="75" t="s">
        <v>7298</v>
      </c>
      <c r="U473" s="96" t="s">
        <v>11503</v>
      </c>
      <c r="V473" s="83">
        <v>49238</v>
      </c>
      <c r="W473" s="75" t="s">
        <v>7300</v>
      </c>
      <c r="X473" s="11" t="s">
        <v>7301</v>
      </c>
      <c r="Y473" s="75" t="s">
        <v>7319</v>
      </c>
      <c r="Z473" s="103" t="s">
        <v>11504</v>
      </c>
      <c r="AA473" s="13"/>
      <c r="AB473" s="18" t="s">
        <v>7293</v>
      </c>
      <c r="AC473" s="16"/>
      <c r="AD473" s="11" t="s">
        <v>11505</v>
      </c>
      <c r="AE473" s="11" t="s">
        <v>11505</v>
      </c>
      <c r="AF473" s="75"/>
      <c r="AG473" s="75"/>
      <c r="AH473" s="17"/>
      <c r="AI473" s="75" t="s">
        <v>7425</v>
      </c>
    </row>
    <row r="474" spans="1:35" x14ac:dyDescent="0.3">
      <c r="A474" s="34" t="s">
        <v>7286</v>
      </c>
      <c r="B474" s="72" t="s">
        <v>11506</v>
      </c>
      <c r="C474" s="34" t="s">
        <v>7367</v>
      </c>
      <c r="D474" s="81" t="s">
        <v>11507</v>
      </c>
      <c r="E474" s="11" t="s">
        <v>11508</v>
      </c>
      <c r="F474" s="75" t="s">
        <v>7293</v>
      </c>
      <c r="G474" s="75" t="s">
        <v>7293</v>
      </c>
      <c r="H474" s="11" t="s">
        <v>10170</v>
      </c>
      <c r="I474" s="75" t="s">
        <v>10171</v>
      </c>
      <c r="J474" s="75" t="s">
        <v>11509</v>
      </c>
      <c r="K474" s="11" t="s">
        <v>11510</v>
      </c>
      <c r="L474" s="77" t="s">
        <v>191</v>
      </c>
      <c r="M474" s="98">
        <v>45764</v>
      </c>
      <c r="N474" s="76"/>
      <c r="O474" s="75" t="s">
        <v>7923</v>
      </c>
      <c r="P474" s="17"/>
      <c r="Q474" s="98">
        <v>33536</v>
      </c>
      <c r="R474" s="78">
        <v>34.967123287671235</v>
      </c>
      <c r="S474" s="112" t="s">
        <v>11511</v>
      </c>
      <c r="T474" s="75" t="s">
        <v>9221</v>
      </c>
      <c r="U474" s="96" t="s">
        <v>11512</v>
      </c>
      <c r="V474" s="83">
        <v>46370</v>
      </c>
      <c r="W474" s="75" t="s">
        <v>7300</v>
      </c>
      <c r="X474" s="11" t="s">
        <v>10419</v>
      </c>
      <c r="Y474" s="75" t="s">
        <v>7319</v>
      </c>
      <c r="Z474" s="103" t="s">
        <v>11513</v>
      </c>
      <c r="AA474" s="13"/>
      <c r="AB474" s="18" t="s">
        <v>11514</v>
      </c>
      <c r="AC474" s="16"/>
      <c r="AD474" s="11" t="s">
        <v>11515</v>
      </c>
      <c r="AE474" s="11" t="s">
        <v>11515</v>
      </c>
      <c r="AF474" s="75"/>
      <c r="AG474" s="75"/>
      <c r="AH474" s="17"/>
      <c r="AI474" s="75" t="s">
        <v>11516</v>
      </c>
    </row>
    <row r="475" spans="1:35" x14ac:dyDescent="0.3">
      <c r="A475" s="34" t="s">
        <v>7286</v>
      </c>
      <c r="B475" s="72" t="s">
        <v>11517</v>
      </c>
      <c r="C475" s="34" t="s">
        <v>7150</v>
      </c>
      <c r="D475" s="81" t="s">
        <v>11518</v>
      </c>
      <c r="E475" s="11" t="s">
        <v>1445</v>
      </c>
      <c r="F475" s="75" t="s">
        <v>7293</v>
      </c>
      <c r="G475" s="75" t="s">
        <v>7293</v>
      </c>
      <c r="H475" s="75" t="s">
        <v>7311</v>
      </c>
      <c r="I475" s="75" t="s">
        <v>7312</v>
      </c>
      <c r="J475" s="75" t="s">
        <v>7313</v>
      </c>
      <c r="K475" s="11" t="s">
        <v>7314</v>
      </c>
      <c r="L475" s="77" t="s">
        <v>7315</v>
      </c>
      <c r="M475" s="98">
        <v>45769</v>
      </c>
      <c r="N475" s="76"/>
      <c r="O475" s="75" t="s">
        <v>7870</v>
      </c>
      <c r="P475" s="17" t="s">
        <v>7316</v>
      </c>
      <c r="Q475" s="98">
        <v>31107</v>
      </c>
      <c r="R475" s="78">
        <v>41.62191780821918</v>
      </c>
      <c r="S475" s="75" t="s">
        <v>11519</v>
      </c>
      <c r="T475" s="75" t="s">
        <v>7298</v>
      </c>
      <c r="U475" s="96" t="s">
        <v>11520</v>
      </c>
      <c r="V475" s="83">
        <v>47641</v>
      </c>
      <c r="W475" s="75" t="s">
        <v>7300</v>
      </c>
      <c r="X475" s="11" t="s">
        <v>7301</v>
      </c>
      <c r="Y475" s="75" t="s">
        <v>7319</v>
      </c>
      <c r="Z475" s="103" t="s">
        <v>11521</v>
      </c>
      <c r="AA475" s="13"/>
      <c r="AB475" s="18" t="s">
        <v>7293</v>
      </c>
      <c r="AC475" s="16"/>
      <c r="AD475" s="11" t="s">
        <v>11522</v>
      </c>
      <c r="AE475" s="75" t="s">
        <v>11523</v>
      </c>
      <c r="AF475" s="75"/>
      <c r="AG475" s="75"/>
      <c r="AH475" s="17"/>
      <c r="AI475" s="75" t="s">
        <v>7324</v>
      </c>
    </row>
    <row r="476" spans="1:35" x14ac:dyDescent="0.3">
      <c r="A476" s="34" t="s">
        <v>7286</v>
      </c>
      <c r="B476" s="72" t="s">
        <v>11524</v>
      </c>
      <c r="C476" s="34" t="s">
        <v>7326</v>
      </c>
      <c r="D476" s="81" t="s">
        <v>11525</v>
      </c>
      <c r="E476" s="11" t="s">
        <v>11526</v>
      </c>
      <c r="F476" s="75" t="s">
        <v>8166</v>
      </c>
      <c r="G476" s="75" t="s">
        <v>6492</v>
      </c>
      <c r="H476" s="75" t="s">
        <v>7293</v>
      </c>
      <c r="I476" s="75" t="s">
        <v>7293</v>
      </c>
      <c r="J476" s="11" t="s">
        <v>7333</v>
      </c>
      <c r="K476" s="11" t="s">
        <v>7334</v>
      </c>
      <c r="L476" s="77" t="s">
        <v>7646</v>
      </c>
      <c r="M476" s="98">
        <v>45769</v>
      </c>
      <c r="N476" s="76"/>
      <c r="O476" s="75" t="s">
        <v>7870</v>
      </c>
      <c r="P476" s="17"/>
      <c r="Q476" s="98">
        <v>29397</v>
      </c>
      <c r="R476" s="78">
        <v>46.30684931506849</v>
      </c>
      <c r="S476" s="75" t="s">
        <v>11527</v>
      </c>
      <c r="T476" s="75" t="s">
        <v>7298</v>
      </c>
      <c r="U476" s="96" t="s">
        <v>11528</v>
      </c>
      <c r="V476" s="83">
        <v>48321</v>
      </c>
      <c r="W476" s="75" t="s">
        <v>7300</v>
      </c>
      <c r="X476" s="11" t="s">
        <v>7301</v>
      </c>
      <c r="Y476" s="75" t="s">
        <v>7319</v>
      </c>
      <c r="Z476" s="103" t="s">
        <v>11529</v>
      </c>
      <c r="AA476" s="13"/>
      <c r="AB476" s="18" t="s">
        <v>11530</v>
      </c>
      <c r="AC476" s="16"/>
      <c r="AD476" s="11" t="s">
        <v>11531</v>
      </c>
      <c r="AE476" s="11" t="s">
        <v>11532</v>
      </c>
      <c r="AF476" s="75"/>
      <c r="AG476" s="75"/>
      <c r="AH476" s="17"/>
      <c r="AI476" s="75" t="s">
        <v>7324</v>
      </c>
    </row>
    <row r="477" spans="1:35" x14ac:dyDescent="0.3">
      <c r="A477" s="34" t="s">
        <v>7286</v>
      </c>
      <c r="B477" s="72" t="s">
        <v>11533</v>
      </c>
      <c r="C477" s="34" t="s">
        <v>11534</v>
      </c>
      <c r="D477" s="81" t="s">
        <v>11535</v>
      </c>
      <c r="E477" s="11" t="s">
        <v>11536</v>
      </c>
      <c r="F477" s="75" t="s">
        <v>7370</v>
      </c>
      <c r="G477" s="75" t="s">
        <v>7371</v>
      </c>
      <c r="H477" s="75" t="s">
        <v>9832</v>
      </c>
      <c r="I477" s="75" t="s">
        <v>9833</v>
      </c>
      <c r="J477" s="11" t="s">
        <v>11537</v>
      </c>
      <c r="K477" s="11" t="s">
        <v>11538</v>
      </c>
      <c r="L477" s="77" t="s">
        <v>9836</v>
      </c>
      <c r="M477" s="98">
        <v>45772</v>
      </c>
      <c r="N477" s="76"/>
      <c r="O477" s="75" t="s">
        <v>8747</v>
      </c>
      <c r="P477" s="17"/>
      <c r="Q477" s="98">
        <v>38669</v>
      </c>
      <c r="R477" s="78">
        <v>20.904109589041095</v>
      </c>
      <c r="S477" s="75" t="s">
        <v>11539</v>
      </c>
      <c r="T477" s="75" t="s">
        <v>7298</v>
      </c>
      <c r="U477" s="96" t="s">
        <v>11540</v>
      </c>
      <c r="V477" s="83">
        <v>47965</v>
      </c>
      <c r="W477" s="75" t="s">
        <v>7300</v>
      </c>
      <c r="X477" s="11" t="s">
        <v>7301</v>
      </c>
      <c r="Y477" s="75" t="s">
        <v>7302</v>
      </c>
      <c r="Z477" s="103" t="s">
        <v>11541</v>
      </c>
      <c r="AA477" s="13"/>
      <c r="AB477" s="18" t="s">
        <v>11542</v>
      </c>
      <c r="AC477" s="16"/>
      <c r="AD477" s="11" t="s">
        <v>11543</v>
      </c>
      <c r="AE477" s="11" t="s">
        <v>11544</v>
      </c>
      <c r="AF477" s="75"/>
      <c r="AG477" s="75"/>
      <c r="AH477" s="17"/>
      <c r="AI477" s="75" t="s">
        <v>7745</v>
      </c>
    </row>
    <row r="478" spans="1:35" x14ac:dyDescent="0.3">
      <c r="A478" s="34" t="s">
        <v>7286</v>
      </c>
      <c r="B478" s="72" t="s">
        <v>11545</v>
      </c>
      <c r="C478" s="34" t="s">
        <v>7367</v>
      </c>
      <c r="D478" s="81" t="s">
        <v>11546</v>
      </c>
      <c r="E478" s="11" t="s">
        <v>11547</v>
      </c>
      <c r="F478" s="75" t="s">
        <v>7293</v>
      </c>
      <c r="G478" s="75" t="s">
        <v>7293</v>
      </c>
      <c r="H478" s="11" t="s">
        <v>7293</v>
      </c>
      <c r="I478" s="75" t="s">
        <v>7293</v>
      </c>
      <c r="J478" s="11" t="s">
        <v>7585</v>
      </c>
      <c r="K478" s="11" t="s">
        <v>7586</v>
      </c>
      <c r="L478" s="77" t="s">
        <v>7587</v>
      </c>
      <c r="M478" s="98">
        <v>45784</v>
      </c>
      <c r="N478" s="76"/>
      <c r="O478" s="75" t="s">
        <v>11548</v>
      </c>
      <c r="P478" s="17"/>
      <c r="Q478" s="98">
        <v>35966</v>
      </c>
      <c r="R478" s="78">
        <v>28.30958904109589</v>
      </c>
      <c r="S478" s="112" t="s">
        <v>11549</v>
      </c>
      <c r="T478" s="75" t="s">
        <v>7298</v>
      </c>
      <c r="U478" s="96" t="s">
        <v>11550</v>
      </c>
      <c r="V478" s="83">
        <v>48772</v>
      </c>
      <c r="W478" s="75" t="s">
        <v>7300</v>
      </c>
      <c r="X478" s="11" t="s">
        <v>10419</v>
      </c>
      <c r="Y478" s="75" t="s">
        <v>7319</v>
      </c>
      <c r="Z478" s="15" t="s">
        <v>11551</v>
      </c>
      <c r="AA478" s="13"/>
      <c r="AB478" s="18" t="s">
        <v>11552</v>
      </c>
      <c r="AC478" s="16"/>
      <c r="AD478" s="11" t="s">
        <v>11553</v>
      </c>
      <c r="AE478" s="11" t="s">
        <v>11553</v>
      </c>
      <c r="AF478" s="75"/>
      <c r="AG478" s="75"/>
      <c r="AH478" s="17"/>
      <c r="AI478" s="75" t="s">
        <v>7307</v>
      </c>
    </row>
    <row r="479" spans="1:35" x14ac:dyDescent="0.3">
      <c r="A479" s="34" t="s">
        <v>7286</v>
      </c>
      <c r="B479" s="72" t="s">
        <v>11554</v>
      </c>
      <c r="C479" s="17" t="s">
        <v>7150</v>
      </c>
      <c r="D479" s="81" t="s">
        <v>11555</v>
      </c>
      <c r="E479" s="11" t="s">
        <v>11556</v>
      </c>
      <c r="F479" s="75" t="s">
        <v>7329</v>
      </c>
      <c r="G479" s="75" t="s">
        <v>7330</v>
      </c>
      <c r="H479" s="75" t="s">
        <v>7331</v>
      </c>
      <c r="I479" s="75" t="s">
        <v>7332</v>
      </c>
      <c r="J479" s="11" t="s">
        <v>7749</v>
      </c>
      <c r="K479" s="11" t="s">
        <v>6403</v>
      </c>
      <c r="L479" s="77" t="s">
        <v>7335</v>
      </c>
      <c r="M479" s="98">
        <v>45789</v>
      </c>
      <c r="N479" s="76"/>
      <c r="O479" s="75" t="s">
        <v>7870</v>
      </c>
      <c r="P479" s="17"/>
      <c r="Q479" s="98">
        <v>30348</v>
      </c>
      <c r="R479" s="78">
        <v>43.701369863013696</v>
      </c>
      <c r="S479" s="112" t="s">
        <v>11557</v>
      </c>
      <c r="T479" s="75" t="s">
        <v>7298</v>
      </c>
      <c r="U479" s="96" t="s">
        <v>11558</v>
      </c>
      <c r="V479" s="83">
        <v>48611</v>
      </c>
      <c r="W479" s="75" t="s">
        <v>7300</v>
      </c>
      <c r="X479" s="11" t="s">
        <v>10336</v>
      </c>
      <c r="Y479" s="11" t="s">
        <v>7319</v>
      </c>
      <c r="Z479" s="15" t="s">
        <v>11559</v>
      </c>
      <c r="AA479" s="13"/>
      <c r="AB479" s="18" t="s">
        <v>7293</v>
      </c>
      <c r="AC479" s="16"/>
      <c r="AD479" s="11" t="s">
        <v>11560</v>
      </c>
      <c r="AE479" s="11" t="s">
        <v>11561</v>
      </c>
      <c r="AF479" s="75"/>
      <c r="AG479" s="75"/>
      <c r="AH479" s="17"/>
      <c r="AI479" s="75" t="s">
        <v>7324</v>
      </c>
    </row>
    <row r="480" spans="1:35" x14ac:dyDescent="0.3">
      <c r="A480" s="34" t="s">
        <v>7286</v>
      </c>
      <c r="B480" s="72" t="s">
        <v>11562</v>
      </c>
      <c r="C480" s="34" t="s">
        <v>7367</v>
      </c>
      <c r="D480" s="81" t="s">
        <v>11563</v>
      </c>
      <c r="E480" s="11" t="s">
        <v>11564</v>
      </c>
      <c r="F480" s="75" t="s">
        <v>7293</v>
      </c>
      <c r="G480" s="75" t="s">
        <v>7293</v>
      </c>
      <c r="H480" s="75" t="s">
        <v>7293</v>
      </c>
      <c r="I480" s="75" t="s">
        <v>7293</v>
      </c>
      <c r="J480" s="75" t="s">
        <v>11394</v>
      </c>
      <c r="K480" s="11" t="s">
        <v>11395</v>
      </c>
      <c r="L480" s="77" t="s">
        <v>11396</v>
      </c>
      <c r="M480" s="98">
        <v>45792</v>
      </c>
      <c r="N480" s="76"/>
      <c r="O480" s="75" t="s">
        <v>7870</v>
      </c>
      <c r="P480" s="17"/>
      <c r="Q480" s="98">
        <v>34058</v>
      </c>
      <c r="R480" s="78">
        <v>33.536986301369865</v>
      </c>
      <c r="S480" s="112" t="s">
        <v>11565</v>
      </c>
      <c r="T480" s="75" t="s">
        <v>7298</v>
      </c>
      <c r="U480" s="96" t="s">
        <v>11566</v>
      </c>
      <c r="V480" s="83">
        <v>46842</v>
      </c>
      <c r="W480" s="75" t="s">
        <v>7300</v>
      </c>
      <c r="X480" s="11" t="s">
        <v>7301</v>
      </c>
      <c r="Y480" s="11" t="s">
        <v>7319</v>
      </c>
      <c r="Z480" s="15" t="s">
        <v>11567</v>
      </c>
      <c r="AA480" s="13"/>
      <c r="AB480" s="18" t="s">
        <v>11568</v>
      </c>
      <c r="AC480" s="16"/>
      <c r="AD480" s="11" t="s">
        <v>11569</v>
      </c>
      <c r="AE480" s="11" t="s">
        <v>11569</v>
      </c>
      <c r="AF480" s="75"/>
      <c r="AG480" s="75"/>
      <c r="AH480" s="17"/>
      <c r="AI480" s="75" t="s">
        <v>7324</v>
      </c>
    </row>
    <row r="481" spans="1:35" x14ac:dyDescent="0.3">
      <c r="A481" s="34" t="s">
        <v>7286</v>
      </c>
      <c r="B481" s="72" t="s">
        <v>11570</v>
      </c>
      <c r="C481" s="34" t="s">
        <v>7367</v>
      </c>
      <c r="D481" s="81" t="s">
        <v>11571</v>
      </c>
      <c r="E481" s="11" t="s">
        <v>11572</v>
      </c>
      <c r="F481" s="75" t="s">
        <v>7291</v>
      </c>
      <c r="G481" s="75" t="s">
        <v>7292</v>
      </c>
      <c r="H481" s="75" t="s">
        <v>7908</v>
      </c>
      <c r="I481" s="75" t="s">
        <v>7909</v>
      </c>
      <c r="J481" s="11" t="s">
        <v>11573</v>
      </c>
      <c r="K481" s="11" t="s">
        <v>11574</v>
      </c>
      <c r="L481" s="77" t="s">
        <v>7907</v>
      </c>
      <c r="M481" s="98">
        <v>45799</v>
      </c>
      <c r="N481" s="98"/>
      <c r="O481" s="75" t="s">
        <v>11575</v>
      </c>
      <c r="P481" s="17"/>
      <c r="Q481" s="83">
        <v>31685</v>
      </c>
      <c r="R481" s="78">
        <v>40.038356164383565</v>
      </c>
      <c r="S481" s="75" t="s">
        <v>11576</v>
      </c>
      <c r="T481" s="75" t="s">
        <v>7298</v>
      </c>
      <c r="U481" s="75" t="s">
        <v>11577</v>
      </c>
      <c r="V481" s="102">
        <v>48127</v>
      </c>
      <c r="W481" s="75" t="s">
        <v>7300</v>
      </c>
      <c r="X481" s="15" t="s">
        <v>7301</v>
      </c>
      <c r="Y481" s="75" t="s">
        <v>7302</v>
      </c>
      <c r="Z481" s="103" t="s">
        <v>11578</v>
      </c>
      <c r="AA481" s="16"/>
      <c r="AB481" s="18" t="s">
        <v>11579</v>
      </c>
      <c r="AC481" s="16" t="s">
        <v>11580</v>
      </c>
      <c r="AD481" s="75" t="s">
        <v>11581</v>
      </c>
      <c r="AE481" s="75" t="s">
        <v>11581</v>
      </c>
      <c r="AF481" s="75"/>
      <c r="AG481" s="75"/>
      <c r="AH481" s="17"/>
      <c r="AI481" s="75" t="s">
        <v>7307</v>
      </c>
    </row>
    <row r="482" spans="1:35" x14ac:dyDescent="0.3">
      <c r="A482" s="34" t="s">
        <v>7286</v>
      </c>
      <c r="B482" s="72" t="s">
        <v>11582</v>
      </c>
      <c r="C482" s="17" t="s">
        <v>7367</v>
      </c>
      <c r="D482" s="81" t="s">
        <v>11583</v>
      </c>
      <c r="E482" s="94" t="s">
        <v>11584</v>
      </c>
      <c r="F482" s="75" t="s">
        <v>7293</v>
      </c>
      <c r="G482" s="75" t="s">
        <v>7293</v>
      </c>
      <c r="H482" s="75" t="s">
        <v>8964</v>
      </c>
      <c r="I482" s="75" t="s">
        <v>11585</v>
      </c>
      <c r="J482" s="11" t="s">
        <v>11586</v>
      </c>
      <c r="K482" s="11" t="s">
        <v>11587</v>
      </c>
      <c r="L482" s="77" t="s">
        <v>11588</v>
      </c>
      <c r="M482" s="76">
        <v>45800</v>
      </c>
      <c r="N482" s="76"/>
      <c r="O482" s="113" t="s">
        <v>11589</v>
      </c>
      <c r="P482" s="17"/>
      <c r="Q482" s="76">
        <v>32628</v>
      </c>
      <c r="R482" s="78">
        <v>37.454794520547942</v>
      </c>
      <c r="S482" s="79" t="s">
        <v>11590</v>
      </c>
      <c r="T482" s="75" t="s">
        <v>7298</v>
      </c>
      <c r="U482" s="75" t="s">
        <v>11591</v>
      </c>
      <c r="V482" s="83"/>
      <c r="W482" s="75" t="s">
        <v>7300</v>
      </c>
      <c r="X482" s="75"/>
      <c r="Y482" s="75" t="s">
        <v>7319</v>
      </c>
      <c r="Z482" s="15" t="s">
        <v>11592</v>
      </c>
      <c r="AA482" s="75"/>
      <c r="AB482" s="18" t="s">
        <v>11593</v>
      </c>
      <c r="AC482" s="12"/>
      <c r="AD482" s="15" t="s">
        <v>11594</v>
      </c>
      <c r="AE482" s="75" t="s">
        <v>11595</v>
      </c>
      <c r="AF482" s="17"/>
      <c r="AG482" s="17"/>
      <c r="AH482" s="83"/>
      <c r="AI482" s="75" t="s">
        <v>11596</v>
      </c>
    </row>
    <row r="483" spans="1:35" x14ac:dyDescent="0.3">
      <c r="A483" s="34" t="s">
        <v>7286</v>
      </c>
      <c r="B483" s="72" t="s">
        <v>11597</v>
      </c>
      <c r="C483" s="34" t="s">
        <v>7367</v>
      </c>
      <c r="D483" s="81" t="s">
        <v>11598</v>
      </c>
      <c r="E483" s="11" t="s">
        <v>11599</v>
      </c>
      <c r="F483" s="75" t="s">
        <v>7291</v>
      </c>
      <c r="G483" s="75" t="s">
        <v>7292</v>
      </c>
      <c r="H483" s="75" t="s">
        <v>7814</v>
      </c>
      <c r="I483" s="75" t="s">
        <v>7815</v>
      </c>
      <c r="J483" s="11" t="s">
        <v>8295</v>
      </c>
      <c r="K483" s="11" t="s">
        <v>6353</v>
      </c>
      <c r="L483" s="77" t="s">
        <v>7818</v>
      </c>
      <c r="M483" s="98">
        <v>45803</v>
      </c>
      <c r="N483" s="77"/>
      <c r="O483" s="113" t="s">
        <v>11575</v>
      </c>
      <c r="P483" s="17"/>
      <c r="Q483" s="76">
        <v>31924</v>
      </c>
      <c r="R483" s="78">
        <v>39.38356164383562</v>
      </c>
      <c r="S483" s="75" t="s">
        <v>11600</v>
      </c>
      <c r="T483" s="75" t="s">
        <v>7298</v>
      </c>
      <c r="U483" s="75" t="s">
        <v>11601</v>
      </c>
      <c r="V483" s="102">
        <v>48380</v>
      </c>
      <c r="W483" s="75" t="s">
        <v>7300</v>
      </c>
      <c r="X483" s="75" t="s">
        <v>7301</v>
      </c>
      <c r="Y483" s="11" t="s">
        <v>7319</v>
      </c>
      <c r="Z483" s="103" t="s">
        <v>11602</v>
      </c>
      <c r="AA483" s="11"/>
      <c r="AB483" s="18" t="s">
        <v>11603</v>
      </c>
      <c r="AC483" s="75"/>
      <c r="AD483" s="75" t="s">
        <v>11604</v>
      </c>
      <c r="AE483" s="75" t="s">
        <v>11604</v>
      </c>
      <c r="AF483" s="75"/>
      <c r="AG483" s="75"/>
      <c r="AH483" s="17"/>
      <c r="AI483" s="75" t="s">
        <v>7307</v>
      </c>
    </row>
    <row r="484" spans="1:35" x14ac:dyDescent="0.3">
      <c r="A484" s="71" t="s">
        <v>7286</v>
      </c>
      <c r="B484" s="17" t="s">
        <v>11605</v>
      </c>
      <c r="C484" s="34" t="s">
        <v>7367</v>
      </c>
      <c r="D484" s="81" t="s">
        <v>11606</v>
      </c>
      <c r="E484" s="11" t="s">
        <v>11607</v>
      </c>
      <c r="F484" s="75" t="s">
        <v>7291</v>
      </c>
      <c r="G484" s="75" t="s">
        <v>7292</v>
      </c>
      <c r="H484" s="75" t="s">
        <v>7814</v>
      </c>
      <c r="I484" s="75" t="s">
        <v>7815</v>
      </c>
      <c r="J484" s="75" t="s">
        <v>8517</v>
      </c>
      <c r="K484" s="11" t="s">
        <v>6341</v>
      </c>
      <c r="L484" s="77" t="s">
        <v>7818</v>
      </c>
      <c r="M484" s="76">
        <v>45810</v>
      </c>
      <c r="N484" s="77"/>
      <c r="O484" s="113" t="s">
        <v>8747</v>
      </c>
      <c r="P484" s="17"/>
      <c r="Q484" s="76">
        <v>34527</v>
      </c>
      <c r="R484" s="78">
        <v>32.252054794520546</v>
      </c>
      <c r="S484" s="75" t="s">
        <v>11608</v>
      </c>
      <c r="T484" s="75" t="s">
        <v>7298</v>
      </c>
      <c r="U484" s="75" t="s">
        <v>11609</v>
      </c>
      <c r="V484" s="102">
        <v>47069</v>
      </c>
      <c r="W484" s="75" t="s">
        <v>7300</v>
      </c>
      <c r="X484" s="75" t="s">
        <v>7301</v>
      </c>
      <c r="Y484" s="75" t="s">
        <v>7319</v>
      </c>
      <c r="Z484" s="103" t="s">
        <v>11610</v>
      </c>
      <c r="AA484" s="11"/>
      <c r="AB484" s="18" t="s">
        <v>11611</v>
      </c>
      <c r="AC484" s="13"/>
      <c r="AD484" s="75" t="s">
        <v>11612</v>
      </c>
      <c r="AE484" s="75" t="s">
        <v>11613</v>
      </c>
      <c r="AF484" s="75"/>
      <c r="AG484" s="75"/>
      <c r="AH484" s="17"/>
      <c r="AI484" s="75" t="s">
        <v>7324</v>
      </c>
    </row>
    <row r="485" spans="1:35" x14ac:dyDescent="0.3">
      <c r="A485" s="71" t="s">
        <v>7286</v>
      </c>
      <c r="B485" s="17" t="s">
        <v>11614</v>
      </c>
      <c r="C485" s="72" t="s">
        <v>7367</v>
      </c>
      <c r="D485" s="81" t="s">
        <v>11615</v>
      </c>
      <c r="E485" s="75" t="s">
        <v>11616</v>
      </c>
      <c r="F485" s="75" t="s">
        <v>7291</v>
      </c>
      <c r="G485" s="75" t="s">
        <v>7292</v>
      </c>
      <c r="H485" s="11" t="s">
        <v>11061</v>
      </c>
      <c r="I485" s="75" t="s">
        <v>11062</v>
      </c>
      <c r="J485" s="82" t="s">
        <v>7575</v>
      </c>
      <c r="K485" s="11" t="s">
        <v>6340</v>
      </c>
      <c r="L485" s="77" t="s">
        <v>7290</v>
      </c>
      <c r="M485" s="76">
        <v>45810</v>
      </c>
      <c r="N485" s="77"/>
      <c r="O485" s="113" t="s">
        <v>7870</v>
      </c>
      <c r="P485" s="17"/>
      <c r="Q485" s="76">
        <v>33179</v>
      </c>
      <c r="R485" s="78">
        <v>35.945205479452056</v>
      </c>
      <c r="S485" s="75" t="s">
        <v>11617</v>
      </c>
      <c r="T485" s="75" t="s">
        <v>7298</v>
      </c>
      <c r="U485" s="77" t="s">
        <v>11618</v>
      </c>
      <c r="V485" s="83">
        <v>48720</v>
      </c>
      <c r="W485" s="75" t="s">
        <v>7300</v>
      </c>
      <c r="X485" s="75" t="s">
        <v>7301</v>
      </c>
      <c r="Y485" s="15" t="s">
        <v>7319</v>
      </c>
      <c r="Z485" s="15" t="s">
        <v>11619</v>
      </c>
      <c r="AA485" s="12"/>
      <c r="AB485" s="18" t="s">
        <v>11620</v>
      </c>
      <c r="AC485" s="75"/>
      <c r="AD485" s="75" t="s">
        <v>11621</v>
      </c>
      <c r="AE485" s="77" t="s">
        <v>11622</v>
      </c>
      <c r="AF485" s="72"/>
      <c r="AG485" s="75"/>
      <c r="AH485" s="17"/>
      <c r="AI485" s="75" t="s">
        <v>7307</v>
      </c>
    </row>
    <row r="486" spans="1:35" x14ac:dyDescent="0.3">
      <c r="A486" s="34" t="s">
        <v>7286</v>
      </c>
      <c r="B486" s="17" t="s">
        <v>11623</v>
      </c>
      <c r="C486" s="17" t="s">
        <v>7367</v>
      </c>
      <c r="D486" s="81" t="s">
        <v>11624</v>
      </c>
      <c r="E486" s="11" t="s">
        <v>11625</v>
      </c>
      <c r="F486" s="75" t="s">
        <v>7370</v>
      </c>
      <c r="G486" s="75" t="s">
        <v>7371</v>
      </c>
      <c r="H486" s="75" t="s">
        <v>7372</v>
      </c>
      <c r="I486" s="75" t="s">
        <v>7373</v>
      </c>
      <c r="J486" s="75" t="s">
        <v>10682</v>
      </c>
      <c r="K486" s="11" t="s">
        <v>10683</v>
      </c>
      <c r="L486" s="77" t="s">
        <v>7376</v>
      </c>
      <c r="M486" s="76">
        <v>45810</v>
      </c>
      <c r="N486" s="77"/>
      <c r="O486" s="113" t="s">
        <v>11575</v>
      </c>
      <c r="P486" s="17"/>
      <c r="Q486" s="76">
        <v>38462</v>
      </c>
      <c r="R486" s="78">
        <v>21.471232876712328</v>
      </c>
      <c r="S486" s="75" t="s">
        <v>11626</v>
      </c>
      <c r="T486" s="75" t="s">
        <v>7298</v>
      </c>
      <c r="U486" s="75" t="s">
        <v>11627</v>
      </c>
      <c r="V486" s="102">
        <v>47799</v>
      </c>
      <c r="W486" s="75" t="s">
        <v>7300</v>
      </c>
      <c r="X486" s="75" t="s">
        <v>7301</v>
      </c>
      <c r="Y486" s="75" t="s">
        <v>7302</v>
      </c>
      <c r="Z486" s="103" t="s">
        <v>11628</v>
      </c>
      <c r="AA486" s="11"/>
      <c r="AB486" s="18" t="s">
        <v>11629</v>
      </c>
      <c r="AC486" s="13"/>
      <c r="AD486" s="75" t="s">
        <v>11630</v>
      </c>
      <c r="AE486" s="75" t="s">
        <v>11631</v>
      </c>
      <c r="AF486" s="75"/>
      <c r="AG486" s="75"/>
      <c r="AH486" s="83"/>
      <c r="AI486" s="75" t="s">
        <v>7745</v>
      </c>
    </row>
    <row r="487" spans="1:35" x14ac:dyDescent="0.3">
      <c r="A487" s="71" t="s">
        <v>7286</v>
      </c>
      <c r="B487" s="17" t="s">
        <v>11632</v>
      </c>
      <c r="C487" s="34" t="s">
        <v>7367</v>
      </c>
      <c r="D487" s="81" t="s">
        <v>11633</v>
      </c>
      <c r="E487" s="11" t="s">
        <v>11634</v>
      </c>
      <c r="F487" s="75" t="s">
        <v>7291</v>
      </c>
      <c r="G487" s="75" t="s">
        <v>7292</v>
      </c>
      <c r="H487" s="75" t="s">
        <v>7814</v>
      </c>
      <c r="I487" s="75" t="s">
        <v>7815</v>
      </c>
      <c r="J487" s="75" t="s">
        <v>10436</v>
      </c>
      <c r="K487" s="11" t="s">
        <v>10437</v>
      </c>
      <c r="L487" s="77" t="s">
        <v>7818</v>
      </c>
      <c r="M487" s="76">
        <v>45820</v>
      </c>
      <c r="N487" s="77"/>
      <c r="O487" s="113" t="s">
        <v>9552</v>
      </c>
      <c r="P487" s="17"/>
      <c r="Q487" s="76">
        <v>34958</v>
      </c>
      <c r="R487" s="78">
        <v>31.07123287671233</v>
      </c>
      <c r="S487" s="75" t="s">
        <v>11635</v>
      </c>
      <c r="T487" s="75" t="s">
        <v>7298</v>
      </c>
      <c r="U487" s="75" t="s">
        <v>11636</v>
      </c>
      <c r="V487" s="102">
        <v>49089</v>
      </c>
      <c r="W487" s="75" t="s">
        <v>7300</v>
      </c>
      <c r="X487" s="75" t="s">
        <v>7301</v>
      </c>
      <c r="Y487" s="75" t="s">
        <v>7319</v>
      </c>
      <c r="Z487" s="103" t="s">
        <v>11637</v>
      </c>
      <c r="AA487" s="11"/>
      <c r="AB487" s="18" t="s">
        <v>11638</v>
      </c>
      <c r="AC487" s="16" t="s">
        <v>11639</v>
      </c>
      <c r="AD487" s="75" t="s">
        <v>11640</v>
      </c>
      <c r="AE487" s="75" t="s">
        <v>11640</v>
      </c>
      <c r="AF487" s="75"/>
      <c r="AG487" s="75"/>
      <c r="AH487" s="17"/>
      <c r="AI487" s="11" t="s">
        <v>7524</v>
      </c>
    </row>
    <row r="488" spans="1:35" x14ac:dyDescent="0.3">
      <c r="A488" s="71" t="s">
        <v>7286</v>
      </c>
      <c r="B488" s="17" t="s">
        <v>11641</v>
      </c>
      <c r="C488" s="17" t="s">
        <v>7367</v>
      </c>
      <c r="D488" s="81" t="s">
        <v>11642</v>
      </c>
      <c r="E488" s="11" t="s">
        <v>11643</v>
      </c>
      <c r="F488" s="75" t="s">
        <v>7329</v>
      </c>
      <c r="G488" s="75" t="s">
        <v>7330</v>
      </c>
      <c r="H488" s="11" t="s">
        <v>7358</v>
      </c>
      <c r="I488" s="75" t="s">
        <v>7359</v>
      </c>
      <c r="J488" s="75" t="s">
        <v>7388</v>
      </c>
      <c r="K488" s="11" t="s">
        <v>7389</v>
      </c>
      <c r="L488" s="77" t="s">
        <v>7360</v>
      </c>
      <c r="M488" s="76">
        <v>45839</v>
      </c>
      <c r="N488" s="77"/>
      <c r="O488" s="113" t="s">
        <v>7870</v>
      </c>
      <c r="P488" s="17"/>
      <c r="Q488" s="76">
        <v>37202</v>
      </c>
      <c r="R488" s="78">
        <v>24.923287671232877</v>
      </c>
      <c r="S488" s="75" t="s">
        <v>11644</v>
      </c>
      <c r="T488" s="75" t="s">
        <v>7298</v>
      </c>
      <c r="U488" s="75" t="s">
        <v>11645</v>
      </c>
      <c r="V488" s="102">
        <v>47506</v>
      </c>
      <c r="W488" s="75" t="s">
        <v>7300</v>
      </c>
      <c r="X488" s="11" t="s">
        <v>10336</v>
      </c>
      <c r="Y488" s="75" t="s">
        <v>7319</v>
      </c>
      <c r="Z488" s="103" t="s">
        <v>11646</v>
      </c>
      <c r="AA488" s="11"/>
      <c r="AB488" s="18"/>
      <c r="AC488" s="16"/>
      <c r="AD488" s="75" t="s">
        <v>10748</v>
      </c>
      <c r="AE488" s="75" t="s">
        <v>11647</v>
      </c>
      <c r="AF488" s="75"/>
      <c r="AG488" s="75"/>
      <c r="AH488" s="17"/>
      <c r="AI488" s="75" t="s">
        <v>7324</v>
      </c>
    </row>
    <row r="489" spans="1:35" x14ac:dyDescent="0.3">
      <c r="A489" s="34" t="s">
        <v>7286</v>
      </c>
      <c r="B489" s="17" t="s">
        <v>11648</v>
      </c>
      <c r="C489" s="34" t="s">
        <v>8994</v>
      </c>
      <c r="D489" s="81" t="s">
        <v>11649</v>
      </c>
      <c r="E489" s="11" t="s">
        <v>11650</v>
      </c>
      <c r="F489" s="75" t="s">
        <v>7293</v>
      </c>
      <c r="G489" s="75" t="s">
        <v>7293</v>
      </c>
      <c r="H489" s="75" t="s">
        <v>8964</v>
      </c>
      <c r="I489" s="75" t="s">
        <v>11585</v>
      </c>
      <c r="J489" s="75" t="s">
        <v>11651</v>
      </c>
      <c r="K489" s="11" t="s">
        <v>11652</v>
      </c>
      <c r="L489" s="77" t="s">
        <v>10308</v>
      </c>
      <c r="M489" s="76">
        <v>45839</v>
      </c>
      <c r="N489" s="75"/>
      <c r="O489" s="113" t="s">
        <v>7870</v>
      </c>
      <c r="P489" s="17"/>
      <c r="Q489" s="98">
        <v>37979</v>
      </c>
      <c r="R489" s="78">
        <v>22.794520547945204</v>
      </c>
      <c r="S489" s="75" t="s">
        <v>11653</v>
      </c>
      <c r="T489" s="75" t="s">
        <v>7298</v>
      </c>
      <c r="U489" s="96" t="s">
        <v>11654</v>
      </c>
      <c r="V489" s="83">
        <v>47629</v>
      </c>
      <c r="W489" s="75" t="s">
        <v>7300</v>
      </c>
      <c r="X489" s="75" t="s">
        <v>7301</v>
      </c>
      <c r="Y489" s="75" t="s">
        <v>7319</v>
      </c>
      <c r="Z489" s="15" t="s">
        <v>11655</v>
      </c>
      <c r="AA489" s="16"/>
      <c r="AB489" s="18" t="s">
        <v>11656</v>
      </c>
      <c r="AC489" s="11"/>
      <c r="AD489" s="75" t="s">
        <v>11657</v>
      </c>
      <c r="AE489" s="75" t="s">
        <v>11658</v>
      </c>
      <c r="AF489" s="75"/>
      <c r="AG489" s="75"/>
      <c r="AH489" s="17"/>
      <c r="AI489" s="75" t="s">
        <v>7307</v>
      </c>
    </row>
    <row r="490" spans="1:35" x14ac:dyDescent="0.3">
      <c r="A490" s="34" t="s">
        <v>7286</v>
      </c>
      <c r="B490" s="17" t="s">
        <v>11659</v>
      </c>
      <c r="C490" s="34" t="s">
        <v>7367</v>
      </c>
      <c r="D490" s="81" t="s">
        <v>11660</v>
      </c>
      <c r="E490" s="11" t="s">
        <v>11661</v>
      </c>
      <c r="F490" s="75" t="s">
        <v>7370</v>
      </c>
      <c r="G490" s="75" t="s">
        <v>7371</v>
      </c>
      <c r="H490" s="75" t="s">
        <v>9832</v>
      </c>
      <c r="I490" s="75" t="s">
        <v>9833</v>
      </c>
      <c r="J490" s="75" t="s">
        <v>10862</v>
      </c>
      <c r="K490" s="11" t="s">
        <v>10863</v>
      </c>
      <c r="L490" s="77" t="s">
        <v>9836</v>
      </c>
      <c r="M490" s="76">
        <v>45840</v>
      </c>
      <c r="N490" s="113"/>
      <c r="O490" s="113" t="s">
        <v>7870</v>
      </c>
      <c r="P490" s="17"/>
      <c r="Q490" s="98">
        <v>31229</v>
      </c>
      <c r="R490" s="78">
        <v>41.287671232876711</v>
      </c>
      <c r="S490" s="75" t="s">
        <v>11662</v>
      </c>
      <c r="T490" s="75" t="s">
        <v>7298</v>
      </c>
      <c r="U490" s="96" t="s">
        <v>11663</v>
      </c>
      <c r="V490" s="83">
        <v>48208</v>
      </c>
      <c r="W490" s="75" t="s">
        <v>7300</v>
      </c>
      <c r="X490" s="11" t="s">
        <v>10336</v>
      </c>
      <c r="Y490" s="75" t="s">
        <v>7302</v>
      </c>
      <c r="Z490" s="15" t="s">
        <v>11664</v>
      </c>
      <c r="AA490" s="16"/>
      <c r="AB490" s="18" t="s">
        <v>11665</v>
      </c>
      <c r="AC490" s="75"/>
      <c r="AD490" s="75" t="s">
        <v>11666</v>
      </c>
      <c r="AE490" s="75" t="s">
        <v>11667</v>
      </c>
      <c r="AF490" s="75"/>
      <c r="AG490" s="75"/>
      <c r="AH490" s="17"/>
      <c r="AI490" s="75" t="s">
        <v>11668</v>
      </c>
    </row>
    <row r="491" spans="1:35" x14ac:dyDescent="0.3">
      <c r="A491" s="34" t="s">
        <v>7286</v>
      </c>
      <c r="B491" s="17" t="s">
        <v>11669</v>
      </c>
      <c r="C491" s="34" t="s">
        <v>7367</v>
      </c>
      <c r="D491" s="81" t="s">
        <v>11670</v>
      </c>
      <c r="E491" s="11" t="s">
        <v>11671</v>
      </c>
      <c r="F491" s="75" t="s">
        <v>7370</v>
      </c>
      <c r="G491" s="75" t="s">
        <v>7371</v>
      </c>
      <c r="H491" s="75" t="s">
        <v>9832</v>
      </c>
      <c r="I491" s="75" t="s">
        <v>9833</v>
      </c>
      <c r="J491" s="75" t="s">
        <v>11113</v>
      </c>
      <c r="K491" s="11" t="s">
        <v>6348</v>
      </c>
      <c r="L491" s="77" t="s">
        <v>9836</v>
      </c>
      <c r="M491" s="76">
        <v>45840</v>
      </c>
      <c r="N491" s="75"/>
      <c r="O491" s="113" t="s">
        <v>7870</v>
      </c>
      <c r="P491" s="17"/>
      <c r="Q491" s="98">
        <v>32550</v>
      </c>
      <c r="R491" s="78">
        <v>37.668493150684931</v>
      </c>
      <c r="S491" s="75" t="s">
        <v>11672</v>
      </c>
      <c r="T491" s="75" t="s">
        <v>7298</v>
      </c>
      <c r="U491" s="96" t="s">
        <v>11673</v>
      </c>
      <c r="V491" s="83">
        <v>47895</v>
      </c>
      <c r="W491" s="75" t="s">
        <v>7300</v>
      </c>
      <c r="X491" s="75" t="s">
        <v>10336</v>
      </c>
      <c r="Y491" s="75" t="s">
        <v>7302</v>
      </c>
      <c r="Z491" s="15" t="s">
        <v>11674</v>
      </c>
      <c r="AA491" s="16"/>
      <c r="AB491" s="18" t="s">
        <v>11675</v>
      </c>
      <c r="AC491" s="11"/>
      <c r="AD491" s="75" t="s">
        <v>11666</v>
      </c>
      <c r="AE491" s="75" t="s">
        <v>11676</v>
      </c>
      <c r="AF491" s="75"/>
      <c r="AG491" s="75"/>
      <c r="AH491" s="17"/>
      <c r="AI491" s="75" t="s">
        <v>11668</v>
      </c>
    </row>
    <row r="492" spans="1:35" x14ac:dyDescent="0.3">
      <c r="A492" s="34" t="s">
        <v>7286</v>
      </c>
      <c r="B492" s="17" t="s">
        <v>11677</v>
      </c>
      <c r="C492" s="34" t="s">
        <v>7367</v>
      </c>
      <c r="D492" s="81" t="s">
        <v>11678</v>
      </c>
      <c r="E492" s="11" t="s">
        <v>11679</v>
      </c>
      <c r="F492" s="75" t="s">
        <v>7370</v>
      </c>
      <c r="G492" s="75" t="s">
        <v>7371</v>
      </c>
      <c r="H492" s="75" t="s">
        <v>9832</v>
      </c>
      <c r="I492" s="75" t="s">
        <v>9833</v>
      </c>
      <c r="J492" s="75" t="s">
        <v>11113</v>
      </c>
      <c r="K492" s="11" t="s">
        <v>6348</v>
      </c>
      <c r="L492" s="77" t="s">
        <v>9836</v>
      </c>
      <c r="M492" s="76">
        <v>45840</v>
      </c>
      <c r="N492" s="75"/>
      <c r="O492" s="113" t="s">
        <v>7870</v>
      </c>
      <c r="P492" s="17"/>
      <c r="Q492" s="98">
        <v>34279</v>
      </c>
      <c r="R492" s="78">
        <v>32.93150684931507</v>
      </c>
      <c r="S492" s="75" t="s">
        <v>11680</v>
      </c>
      <c r="T492" s="75" t="s">
        <v>7298</v>
      </c>
      <c r="U492" s="96" t="s">
        <v>11681</v>
      </c>
      <c r="V492" s="83">
        <v>48817</v>
      </c>
      <c r="W492" s="75" t="s">
        <v>7300</v>
      </c>
      <c r="X492" s="75" t="s">
        <v>7301</v>
      </c>
      <c r="Y492" s="75" t="s">
        <v>7319</v>
      </c>
      <c r="Z492" s="15" t="s">
        <v>11682</v>
      </c>
      <c r="AA492" s="16"/>
      <c r="AB492" s="18" t="s">
        <v>11683</v>
      </c>
      <c r="AC492" s="11"/>
      <c r="AD492" s="75" t="s">
        <v>11684</v>
      </c>
      <c r="AE492" s="75" t="s">
        <v>11685</v>
      </c>
      <c r="AF492" s="75"/>
      <c r="AG492" s="75"/>
      <c r="AH492" s="17"/>
      <c r="AI492" s="75" t="s">
        <v>11668</v>
      </c>
    </row>
    <row r="493" spans="1:35" x14ac:dyDescent="0.3">
      <c r="A493" s="34" t="s">
        <v>7286</v>
      </c>
      <c r="B493" s="17" t="s">
        <v>11686</v>
      </c>
      <c r="C493" s="34" t="s">
        <v>7367</v>
      </c>
      <c r="D493" s="81" t="s">
        <v>11687</v>
      </c>
      <c r="E493" s="11" t="s">
        <v>11688</v>
      </c>
      <c r="F493" s="75" t="s">
        <v>7370</v>
      </c>
      <c r="G493" s="75" t="s">
        <v>7371</v>
      </c>
      <c r="H493" s="75" t="s">
        <v>9832</v>
      </c>
      <c r="I493" s="75" t="s">
        <v>9833</v>
      </c>
      <c r="J493" s="75" t="s">
        <v>10862</v>
      </c>
      <c r="K493" s="11" t="s">
        <v>10863</v>
      </c>
      <c r="L493" s="77" t="s">
        <v>9836</v>
      </c>
      <c r="M493" s="76">
        <v>45840</v>
      </c>
      <c r="N493" s="75"/>
      <c r="O493" s="113" t="s">
        <v>7870</v>
      </c>
      <c r="P493" s="17"/>
      <c r="Q493" s="98">
        <v>30889</v>
      </c>
      <c r="R493" s="78">
        <v>42.219178082191782</v>
      </c>
      <c r="S493" s="75" t="s">
        <v>11689</v>
      </c>
      <c r="T493" s="75" t="s">
        <v>7298</v>
      </c>
      <c r="U493" s="96" t="s">
        <v>11690</v>
      </c>
      <c r="V493" s="83">
        <v>47333</v>
      </c>
      <c r="W493" s="75" t="s">
        <v>7300</v>
      </c>
      <c r="X493" s="75" t="s">
        <v>10419</v>
      </c>
      <c r="Y493" s="75" t="s">
        <v>7302</v>
      </c>
      <c r="Z493" s="15" t="s">
        <v>11691</v>
      </c>
      <c r="AA493" s="16"/>
      <c r="AB493" s="18" t="s">
        <v>11692</v>
      </c>
      <c r="AC493" s="11"/>
      <c r="AD493" s="75" t="s">
        <v>11693</v>
      </c>
      <c r="AE493" s="75" t="s">
        <v>11693</v>
      </c>
      <c r="AF493" s="75"/>
      <c r="AG493" s="75"/>
      <c r="AH493" s="17"/>
      <c r="AI493" s="75" t="s">
        <v>11668</v>
      </c>
    </row>
    <row r="494" spans="1:35" x14ac:dyDescent="0.3">
      <c r="A494" s="34" t="s">
        <v>7286</v>
      </c>
      <c r="B494" s="17" t="s">
        <v>11694</v>
      </c>
      <c r="C494" s="34" t="s">
        <v>7367</v>
      </c>
      <c r="D494" s="81" t="s">
        <v>11695</v>
      </c>
      <c r="E494" s="11" t="s">
        <v>11696</v>
      </c>
      <c r="F494" s="75" t="s">
        <v>7370</v>
      </c>
      <c r="G494" s="75" t="s">
        <v>7371</v>
      </c>
      <c r="H494" s="75" t="s">
        <v>9832</v>
      </c>
      <c r="I494" s="75" t="s">
        <v>9833</v>
      </c>
      <c r="J494" s="75" t="s">
        <v>11113</v>
      </c>
      <c r="K494" s="11" t="s">
        <v>6348</v>
      </c>
      <c r="L494" s="77" t="s">
        <v>9836</v>
      </c>
      <c r="M494" s="76">
        <v>45840</v>
      </c>
      <c r="N494" s="75"/>
      <c r="O494" s="113" t="s">
        <v>7870</v>
      </c>
      <c r="P494" s="17"/>
      <c r="Q494" s="98">
        <v>30820</v>
      </c>
      <c r="R494" s="78">
        <v>42.408219178082192</v>
      </c>
      <c r="S494" s="75" t="s">
        <v>11697</v>
      </c>
      <c r="T494" s="75" t="s">
        <v>7298</v>
      </c>
      <c r="U494" s="96" t="s">
        <v>11698</v>
      </c>
      <c r="V494" s="83">
        <v>48780</v>
      </c>
      <c r="W494" s="75" t="s">
        <v>7300</v>
      </c>
      <c r="X494" s="75" t="s">
        <v>10336</v>
      </c>
      <c r="Y494" s="75" t="s">
        <v>7302</v>
      </c>
      <c r="Z494" s="15" t="s">
        <v>11699</v>
      </c>
      <c r="AA494" s="16"/>
      <c r="AB494" s="18" t="s">
        <v>11700</v>
      </c>
      <c r="AC494" s="11"/>
      <c r="AD494" s="75" t="s">
        <v>11701</v>
      </c>
      <c r="AE494" s="75" t="s">
        <v>11701</v>
      </c>
      <c r="AF494" s="75"/>
      <c r="AG494" s="75"/>
      <c r="AH494" s="17"/>
      <c r="AI494" s="75" t="s">
        <v>11668</v>
      </c>
    </row>
    <row r="495" spans="1:35" x14ac:dyDescent="0.3">
      <c r="A495" s="34" t="s">
        <v>7286</v>
      </c>
      <c r="B495" s="17" t="s">
        <v>11702</v>
      </c>
      <c r="C495" s="34" t="s">
        <v>7367</v>
      </c>
      <c r="D495" s="81" t="s">
        <v>11703</v>
      </c>
      <c r="E495" s="11" t="s">
        <v>11704</v>
      </c>
      <c r="F495" s="75" t="s">
        <v>7370</v>
      </c>
      <c r="G495" s="75" t="s">
        <v>7371</v>
      </c>
      <c r="H495" s="75" t="s">
        <v>9832</v>
      </c>
      <c r="I495" s="75" t="s">
        <v>9833</v>
      </c>
      <c r="J495" s="75" t="s">
        <v>10862</v>
      </c>
      <c r="K495" s="11" t="s">
        <v>10863</v>
      </c>
      <c r="L495" s="77" t="s">
        <v>9836</v>
      </c>
      <c r="M495" s="76">
        <v>45840</v>
      </c>
      <c r="N495" s="75"/>
      <c r="O495" s="113" t="s">
        <v>7870</v>
      </c>
      <c r="P495" s="17"/>
      <c r="Q495" s="98">
        <v>33218</v>
      </c>
      <c r="R495" s="78">
        <v>35.838356164383562</v>
      </c>
      <c r="S495" s="75" t="s">
        <v>11705</v>
      </c>
      <c r="T495" s="75" t="s">
        <v>7298</v>
      </c>
      <c r="U495" s="96" t="s">
        <v>11706</v>
      </c>
      <c r="V495" s="83">
        <v>46002</v>
      </c>
      <c r="W495" s="75" t="s">
        <v>7300</v>
      </c>
      <c r="X495" s="75" t="s">
        <v>10336</v>
      </c>
      <c r="Y495" s="75" t="s">
        <v>7302</v>
      </c>
      <c r="Z495" s="15" t="s">
        <v>11707</v>
      </c>
      <c r="AA495" s="16"/>
      <c r="AB495" s="18" t="s">
        <v>11708</v>
      </c>
      <c r="AC495" s="11"/>
      <c r="AD495" s="75" t="s">
        <v>11709</v>
      </c>
      <c r="AE495" s="75" t="s">
        <v>11710</v>
      </c>
      <c r="AF495" s="75"/>
      <c r="AG495" s="75"/>
      <c r="AH495" s="17"/>
      <c r="AI495" s="75" t="s">
        <v>11668</v>
      </c>
    </row>
    <row r="496" spans="1:35" x14ac:dyDescent="0.3">
      <c r="A496" s="34" t="s">
        <v>7286</v>
      </c>
      <c r="B496" s="17" t="s">
        <v>11711</v>
      </c>
      <c r="C496" s="34" t="s">
        <v>7367</v>
      </c>
      <c r="D496" s="81" t="s">
        <v>11712</v>
      </c>
      <c r="E496" s="11" t="s">
        <v>11713</v>
      </c>
      <c r="F496" s="75" t="s">
        <v>7370</v>
      </c>
      <c r="G496" s="75" t="s">
        <v>7371</v>
      </c>
      <c r="H496" s="75" t="s">
        <v>9832</v>
      </c>
      <c r="I496" s="75" t="s">
        <v>9833</v>
      </c>
      <c r="J496" s="75" t="s">
        <v>10862</v>
      </c>
      <c r="K496" s="11" t="s">
        <v>10863</v>
      </c>
      <c r="L496" s="77" t="s">
        <v>9836</v>
      </c>
      <c r="M496" s="76">
        <v>45840</v>
      </c>
      <c r="N496" s="75"/>
      <c r="O496" s="113" t="s">
        <v>7870</v>
      </c>
      <c r="P496" s="17"/>
      <c r="Q496" s="98">
        <v>35526</v>
      </c>
      <c r="R496" s="78">
        <v>29.515068493150686</v>
      </c>
      <c r="S496" s="75" t="s">
        <v>11714</v>
      </c>
      <c r="T496" s="75" t="s">
        <v>7298</v>
      </c>
      <c r="U496" s="96" t="s">
        <v>11715</v>
      </c>
      <c r="V496" s="83">
        <v>48566</v>
      </c>
      <c r="W496" s="75" t="s">
        <v>7300</v>
      </c>
      <c r="X496" s="75" t="s">
        <v>10336</v>
      </c>
      <c r="Y496" s="75" t="s">
        <v>7302</v>
      </c>
      <c r="Z496" s="15" t="s">
        <v>11716</v>
      </c>
      <c r="AA496" s="16"/>
      <c r="AB496" s="18" t="s">
        <v>11717</v>
      </c>
      <c r="AC496" s="11"/>
      <c r="AD496" s="75" t="s">
        <v>11718</v>
      </c>
      <c r="AE496" s="75" t="s">
        <v>11718</v>
      </c>
      <c r="AF496" s="75"/>
      <c r="AG496" s="75"/>
      <c r="AH496" s="17"/>
      <c r="AI496" s="75" t="s">
        <v>11668</v>
      </c>
    </row>
    <row r="497" spans="1:35" x14ac:dyDescent="0.3">
      <c r="A497" s="34" t="s">
        <v>7286</v>
      </c>
      <c r="B497" s="17" t="s">
        <v>11719</v>
      </c>
      <c r="C497" s="34" t="s">
        <v>7367</v>
      </c>
      <c r="D497" s="81" t="s">
        <v>11720</v>
      </c>
      <c r="E497" s="11" t="s">
        <v>11721</v>
      </c>
      <c r="F497" s="75" t="s">
        <v>7370</v>
      </c>
      <c r="G497" s="75" t="s">
        <v>7371</v>
      </c>
      <c r="H497" s="75" t="s">
        <v>9832</v>
      </c>
      <c r="I497" s="75" t="s">
        <v>9833</v>
      </c>
      <c r="J497" s="75" t="s">
        <v>11113</v>
      </c>
      <c r="K497" s="11" t="s">
        <v>6348</v>
      </c>
      <c r="L497" s="77" t="s">
        <v>9836</v>
      </c>
      <c r="M497" s="76">
        <v>45840</v>
      </c>
      <c r="N497" s="75"/>
      <c r="O497" s="113" t="s">
        <v>7870</v>
      </c>
      <c r="P497" s="17"/>
      <c r="Q497" s="98">
        <v>28413</v>
      </c>
      <c r="R497" s="78">
        <v>49.0027397260274</v>
      </c>
      <c r="S497" s="75" t="s">
        <v>11722</v>
      </c>
      <c r="T497" s="75" t="s">
        <v>7298</v>
      </c>
      <c r="U497" s="96" t="s">
        <v>11723</v>
      </c>
      <c r="V497" s="83">
        <v>48521</v>
      </c>
      <c r="W497" s="75" t="s">
        <v>7300</v>
      </c>
      <c r="X497" s="75" t="s">
        <v>10336</v>
      </c>
      <c r="Y497" s="75" t="s">
        <v>7302</v>
      </c>
      <c r="Z497" s="15" t="s">
        <v>11724</v>
      </c>
      <c r="AA497" s="16"/>
      <c r="AB497" s="18" t="s">
        <v>11725</v>
      </c>
      <c r="AC497" s="11"/>
      <c r="AD497" s="75" t="s">
        <v>11726</v>
      </c>
      <c r="AE497" s="75" t="s">
        <v>11726</v>
      </c>
      <c r="AF497" s="75"/>
      <c r="AG497" s="75"/>
      <c r="AH497" s="17"/>
      <c r="AI497" s="75" t="s">
        <v>11668</v>
      </c>
    </row>
    <row r="498" spans="1:35" x14ac:dyDescent="0.3">
      <c r="A498" s="34" t="s">
        <v>7286</v>
      </c>
      <c r="B498" s="17" t="s">
        <v>11727</v>
      </c>
      <c r="C498" s="34" t="s">
        <v>7367</v>
      </c>
      <c r="D498" s="81" t="s">
        <v>11728</v>
      </c>
      <c r="E498" s="11" t="s">
        <v>11729</v>
      </c>
      <c r="F498" s="75" t="s">
        <v>7370</v>
      </c>
      <c r="G498" s="75" t="s">
        <v>7371</v>
      </c>
      <c r="H498" s="75" t="s">
        <v>9832</v>
      </c>
      <c r="I498" s="75" t="s">
        <v>9833</v>
      </c>
      <c r="J498" s="75" t="s">
        <v>10862</v>
      </c>
      <c r="K498" s="11" t="s">
        <v>10863</v>
      </c>
      <c r="L498" s="77" t="s">
        <v>9836</v>
      </c>
      <c r="M498" s="76">
        <v>45840</v>
      </c>
      <c r="N498" s="75"/>
      <c r="O498" s="113" t="s">
        <v>7870</v>
      </c>
      <c r="P498" s="17"/>
      <c r="Q498" s="98">
        <v>31218</v>
      </c>
      <c r="R498" s="78">
        <v>41.317808219178083</v>
      </c>
      <c r="S498" s="75" t="s">
        <v>11730</v>
      </c>
      <c r="T498" s="75" t="s">
        <v>7298</v>
      </c>
      <c r="U498" s="96" t="s">
        <v>11731</v>
      </c>
      <c r="V498" s="83">
        <v>48110</v>
      </c>
      <c r="W498" s="75" t="s">
        <v>7300</v>
      </c>
      <c r="X498" s="75" t="s">
        <v>10336</v>
      </c>
      <c r="Y498" s="75" t="s">
        <v>7302</v>
      </c>
      <c r="Z498" s="15" t="s">
        <v>11732</v>
      </c>
      <c r="AA498" s="16"/>
      <c r="AB498" s="18" t="s">
        <v>11733</v>
      </c>
      <c r="AC498" s="11"/>
      <c r="AD498" s="75" t="s">
        <v>11734</v>
      </c>
      <c r="AE498" s="75" t="s">
        <v>11734</v>
      </c>
      <c r="AF498" s="75"/>
      <c r="AG498" s="75"/>
      <c r="AH498" s="17"/>
      <c r="AI498" s="75" t="s">
        <v>11668</v>
      </c>
    </row>
    <row r="499" spans="1:35" x14ac:dyDescent="0.3">
      <c r="A499" s="34" t="s">
        <v>7286</v>
      </c>
      <c r="B499" s="17" t="s">
        <v>11735</v>
      </c>
      <c r="C499" s="34" t="s">
        <v>7367</v>
      </c>
      <c r="D499" s="81" t="s">
        <v>11736</v>
      </c>
      <c r="E499" s="11" t="s">
        <v>11737</v>
      </c>
      <c r="F499" s="75" t="s">
        <v>7370</v>
      </c>
      <c r="G499" s="75" t="s">
        <v>7371</v>
      </c>
      <c r="H499" s="75" t="s">
        <v>9832</v>
      </c>
      <c r="I499" s="75" t="s">
        <v>9833</v>
      </c>
      <c r="J499" s="75" t="s">
        <v>11113</v>
      </c>
      <c r="K499" s="11" t="s">
        <v>6348</v>
      </c>
      <c r="L499" s="77" t="s">
        <v>9836</v>
      </c>
      <c r="M499" s="76">
        <v>45840</v>
      </c>
      <c r="N499" s="75"/>
      <c r="O499" s="113" t="s">
        <v>7870</v>
      </c>
      <c r="P499" s="17"/>
      <c r="Q499" s="98">
        <v>32946</v>
      </c>
      <c r="R499" s="78">
        <v>36.583561643835615</v>
      </c>
      <c r="S499" s="75" t="s">
        <v>11738</v>
      </c>
      <c r="T499" s="75" t="s">
        <v>7298</v>
      </c>
      <c r="U499" s="96" t="s">
        <v>11739</v>
      </c>
      <c r="V499" s="83">
        <v>48261</v>
      </c>
      <c r="W499" s="75" t="s">
        <v>7300</v>
      </c>
      <c r="X499" s="75" t="s">
        <v>10336</v>
      </c>
      <c r="Y499" s="75" t="s">
        <v>7302</v>
      </c>
      <c r="Z499" s="15" t="s">
        <v>11740</v>
      </c>
      <c r="AA499" s="16"/>
      <c r="AB499" s="18" t="s">
        <v>11741</v>
      </c>
      <c r="AC499" s="11"/>
      <c r="AD499" s="75" t="s">
        <v>11742</v>
      </c>
      <c r="AE499" s="75" t="s">
        <v>11743</v>
      </c>
      <c r="AF499" s="75"/>
      <c r="AG499" s="75"/>
      <c r="AH499" s="17"/>
      <c r="AI499" s="75" t="s">
        <v>11668</v>
      </c>
    </row>
    <row r="500" spans="1:35" x14ac:dyDescent="0.3">
      <c r="A500" s="34" t="s">
        <v>7286</v>
      </c>
      <c r="B500" s="17" t="s">
        <v>11744</v>
      </c>
      <c r="C500" s="34" t="s">
        <v>7367</v>
      </c>
      <c r="D500" s="81" t="s">
        <v>11745</v>
      </c>
      <c r="E500" s="74" t="s">
        <v>11746</v>
      </c>
      <c r="F500" s="75" t="s">
        <v>7346</v>
      </c>
      <c r="G500" s="75" t="s">
        <v>6471</v>
      </c>
      <c r="H500" s="75" t="s">
        <v>7347</v>
      </c>
      <c r="I500" s="75" t="s">
        <v>7348</v>
      </c>
      <c r="J500" s="75" t="s">
        <v>8517</v>
      </c>
      <c r="K500" s="11" t="s">
        <v>6341</v>
      </c>
      <c r="L500" s="77" t="s">
        <v>7345</v>
      </c>
      <c r="M500" s="98">
        <v>45841</v>
      </c>
      <c r="N500" s="98"/>
      <c r="O500" s="75" t="s">
        <v>7923</v>
      </c>
      <c r="P500" s="17"/>
      <c r="Q500" s="98">
        <v>36300</v>
      </c>
      <c r="R500" s="78">
        <v>27.394520547945206</v>
      </c>
      <c r="S500" s="101" t="s">
        <v>11747</v>
      </c>
      <c r="T500" s="75" t="s">
        <v>7298</v>
      </c>
      <c r="U500" s="11" t="s">
        <v>11748</v>
      </c>
      <c r="V500" s="102">
        <v>48834</v>
      </c>
      <c r="W500" s="75" t="s">
        <v>7300</v>
      </c>
      <c r="X500" s="75" t="s">
        <v>10419</v>
      </c>
      <c r="Y500" s="11" t="s">
        <v>7302</v>
      </c>
      <c r="Z500" s="103" t="s">
        <v>11749</v>
      </c>
      <c r="AA500" s="11"/>
      <c r="AB500" s="18" t="s">
        <v>11750</v>
      </c>
      <c r="AC500" s="11"/>
      <c r="AD500" s="15" t="s">
        <v>11751</v>
      </c>
      <c r="AE500" s="15" t="s">
        <v>11752</v>
      </c>
      <c r="AF500" s="15"/>
      <c r="AG500" s="34"/>
      <c r="AH500" s="34"/>
      <c r="AI500" s="75" t="s">
        <v>7307</v>
      </c>
    </row>
    <row r="501" spans="1:35" x14ac:dyDescent="0.3">
      <c r="A501" s="34" t="s">
        <v>7286</v>
      </c>
      <c r="B501" s="17" t="s">
        <v>11753</v>
      </c>
      <c r="C501" s="34" t="s">
        <v>7367</v>
      </c>
      <c r="D501" s="81" t="s">
        <v>11754</v>
      </c>
      <c r="E501" s="75" t="s">
        <v>11755</v>
      </c>
      <c r="F501" s="75" t="s">
        <v>7329</v>
      </c>
      <c r="G501" s="75" t="s">
        <v>7330</v>
      </c>
      <c r="H501" s="11" t="s">
        <v>7358</v>
      </c>
      <c r="I501" s="75" t="s">
        <v>7359</v>
      </c>
      <c r="J501" s="75" t="s">
        <v>7388</v>
      </c>
      <c r="K501" s="11" t="s">
        <v>7389</v>
      </c>
      <c r="L501" s="77" t="s">
        <v>7360</v>
      </c>
      <c r="M501" s="98">
        <v>45841</v>
      </c>
      <c r="N501" s="75"/>
      <c r="O501" s="113" t="s">
        <v>7870</v>
      </c>
      <c r="P501" s="17"/>
      <c r="Q501" s="98">
        <v>37936</v>
      </c>
      <c r="R501" s="78">
        <v>22.912328767123288</v>
      </c>
      <c r="S501" s="75" t="s">
        <v>11756</v>
      </c>
      <c r="T501" s="75" t="s">
        <v>7298</v>
      </c>
      <c r="U501" s="110" t="s">
        <v>11757</v>
      </c>
      <c r="V501" s="83">
        <v>47454</v>
      </c>
      <c r="W501" s="75" t="s">
        <v>7300</v>
      </c>
      <c r="X501" s="11" t="s">
        <v>7301</v>
      </c>
      <c r="Y501" s="11" t="s">
        <v>10821</v>
      </c>
      <c r="Z501" s="103" t="s">
        <v>11758</v>
      </c>
      <c r="AA501" s="18"/>
      <c r="AB501" s="18"/>
      <c r="AC501" s="15"/>
      <c r="AD501" s="15" t="s">
        <v>11759</v>
      </c>
      <c r="AE501" s="15" t="s">
        <v>11760</v>
      </c>
      <c r="AF501" s="34"/>
      <c r="AG501" s="34"/>
      <c r="AH501" s="17"/>
      <c r="AI501" s="75" t="s">
        <v>7324</v>
      </c>
    </row>
    <row r="502" spans="1:35" x14ac:dyDescent="0.3">
      <c r="A502" s="34" t="s">
        <v>7286</v>
      </c>
      <c r="B502" s="17" t="s">
        <v>11761</v>
      </c>
      <c r="C502" s="34" t="s">
        <v>7367</v>
      </c>
      <c r="D502" s="81" t="s">
        <v>11762</v>
      </c>
      <c r="E502" s="74" t="s">
        <v>11763</v>
      </c>
      <c r="F502" s="75" t="s">
        <v>7370</v>
      </c>
      <c r="G502" s="75" t="s">
        <v>7371</v>
      </c>
      <c r="H502" s="75" t="s">
        <v>7372</v>
      </c>
      <c r="I502" s="75" t="s">
        <v>7373</v>
      </c>
      <c r="J502" s="75" t="s">
        <v>10682</v>
      </c>
      <c r="K502" s="11" t="s">
        <v>11193</v>
      </c>
      <c r="L502" s="77" t="s">
        <v>7376</v>
      </c>
      <c r="M502" s="98">
        <v>45852</v>
      </c>
      <c r="N502" s="98"/>
      <c r="O502" s="75" t="s">
        <v>8747</v>
      </c>
      <c r="P502" s="17"/>
      <c r="Q502" s="98">
        <v>33957</v>
      </c>
      <c r="R502" s="78">
        <v>33.813698630136983</v>
      </c>
      <c r="S502" s="101" t="s">
        <v>11764</v>
      </c>
      <c r="T502" s="75" t="s">
        <v>7298</v>
      </c>
      <c r="U502" s="11" t="s">
        <v>11765</v>
      </c>
      <c r="V502" s="102">
        <v>46740</v>
      </c>
      <c r="W502" s="75" t="s">
        <v>7300</v>
      </c>
      <c r="X502" s="11" t="s">
        <v>11766</v>
      </c>
      <c r="Y502" s="75" t="s">
        <v>7319</v>
      </c>
      <c r="Z502" s="103" t="s">
        <v>11767</v>
      </c>
      <c r="AA502" s="11"/>
      <c r="AB502" s="18" t="s">
        <v>11768</v>
      </c>
      <c r="AC502" s="11" t="s">
        <v>11769</v>
      </c>
      <c r="AD502" s="15" t="s">
        <v>11770</v>
      </c>
      <c r="AE502" s="15" t="s">
        <v>11771</v>
      </c>
      <c r="AF502" s="15"/>
      <c r="AG502" s="34"/>
      <c r="AH502" s="34"/>
      <c r="AI502" s="75" t="s">
        <v>7745</v>
      </c>
    </row>
    <row r="503" spans="1:35" x14ac:dyDescent="0.3">
      <c r="A503" s="34" t="s">
        <v>7286</v>
      </c>
      <c r="B503" s="17" t="s">
        <v>11772</v>
      </c>
      <c r="C503" s="34" t="s">
        <v>7367</v>
      </c>
      <c r="D503" s="81" t="s">
        <v>11773</v>
      </c>
      <c r="E503" s="74" t="s">
        <v>11774</v>
      </c>
      <c r="F503" s="75" t="s">
        <v>7329</v>
      </c>
      <c r="G503" s="75" t="s">
        <v>7330</v>
      </c>
      <c r="H503" s="11" t="s">
        <v>7358</v>
      </c>
      <c r="I503" s="75" t="s">
        <v>7359</v>
      </c>
      <c r="J503" s="75" t="s">
        <v>7388</v>
      </c>
      <c r="K503" s="11" t="s">
        <v>7389</v>
      </c>
      <c r="L503" s="77" t="s">
        <v>7360</v>
      </c>
      <c r="M503" s="76">
        <v>45870</v>
      </c>
      <c r="N503" s="76"/>
      <c r="O503" s="75" t="s">
        <v>7870</v>
      </c>
      <c r="P503" s="17"/>
      <c r="Q503" s="98">
        <v>37651</v>
      </c>
      <c r="R503" s="78">
        <v>23.693150684931506</v>
      </c>
      <c r="S503" s="101" t="s">
        <v>11775</v>
      </c>
      <c r="T503" s="11" t="s">
        <v>7298</v>
      </c>
      <c r="U503" s="11" t="s">
        <v>11776</v>
      </c>
      <c r="V503" s="102">
        <v>47175</v>
      </c>
      <c r="W503" s="11" t="s">
        <v>7300</v>
      </c>
      <c r="X503" s="114" t="s">
        <v>7301</v>
      </c>
      <c r="Y503" s="11" t="s">
        <v>7319</v>
      </c>
      <c r="Z503" s="103" t="s">
        <v>11777</v>
      </c>
      <c r="AA503" s="11"/>
      <c r="AB503" s="18"/>
      <c r="AC503" s="11"/>
      <c r="AD503" s="15" t="s">
        <v>11778</v>
      </c>
      <c r="AE503" s="75" t="s">
        <v>11778</v>
      </c>
      <c r="AF503" s="11"/>
      <c r="AG503" s="11"/>
      <c r="AH503" s="34"/>
      <c r="AI503" s="11" t="s">
        <v>7324</v>
      </c>
    </row>
    <row r="504" spans="1:35" x14ac:dyDescent="0.3">
      <c r="A504" s="34" t="s">
        <v>7286</v>
      </c>
      <c r="B504" s="17" t="s">
        <v>11779</v>
      </c>
      <c r="C504" s="34" t="s">
        <v>7150</v>
      </c>
      <c r="D504" s="81" t="s">
        <v>11780</v>
      </c>
      <c r="E504" s="74" t="s">
        <v>11781</v>
      </c>
      <c r="F504" s="75" t="s">
        <v>7329</v>
      </c>
      <c r="G504" s="75" t="s">
        <v>7330</v>
      </c>
      <c r="H504" s="75" t="s">
        <v>7405</v>
      </c>
      <c r="I504" s="75" t="s">
        <v>7406</v>
      </c>
      <c r="J504" s="11" t="s">
        <v>7407</v>
      </c>
      <c r="K504" s="11" t="s">
        <v>7408</v>
      </c>
      <c r="L504" s="77" t="s">
        <v>7409</v>
      </c>
      <c r="M504" s="98">
        <v>45870</v>
      </c>
      <c r="N504" s="76"/>
      <c r="O504" s="75" t="s">
        <v>7870</v>
      </c>
      <c r="P504" s="17"/>
      <c r="Q504" s="76">
        <v>34545</v>
      </c>
      <c r="R504" s="78">
        <v>32.202739726027396</v>
      </c>
      <c r="S504" s="79" t="s">
        <v>11782</v>
      </c>
      <c r="T504" s="75" t="s">
        <v>7298</v>
      </c>
      <c r="U504" s="75" t="s">
        <v>11783</v>
      </c>
      <c r="V504" s="102">
        <v>48152</v>
      </c>
      <c r="W504" s="75" t="s">
        <v>7300</v>
      </c>
      <c r="X504" s="11" t="s">
        <v>10419</v>
      </c>
      <c r="Y504" s="75" t="s">
        <v>7319</v>
      </c>
      <c r="Z504" s="15" t="s">
        <v>11784</v>
      </c>
      <c r="AA504" s="11"/>
      <c r="AB504" s="18"/>
      <c r="AC504" s="13"/>
      <c r="AD504" s="75" t="s">
        <v>11785</v>
      </c>
      <c r="AE504" s="75" t="s">
        <v>11785</v>
      </c>
      <c r="AF504" s="11"/>
      <c r="AG504" s="11"/>
      <c r="AH504" s="34"/>
      <c r="AI504" s="11" t="s">
        <v>7324</v>
      </c>
    </row>
    <row r="505" spans="1:35" x14ac:dyDescent="0.3">
      <c r="A505" s="34" t="s">
        <v>7286</v>
      </c>
      <c r="B505" s="17" t="s">
        <v>11786</v>
      </c>
      <c r="C505" s="17" t="s">
        <v>7150</v>
      </c>
      <c r="D505" s="81" t="s">
        <v>11787</v>
      </c>
      <c r="E505" s="115" t="s">
        <v>11788</v>
      </c>
      <c r="F505" s="75" t="s">
        <v>7329</v>
      </c>
      <c r="G505" s="75" t="s">
        <v>7330</v>
      </c>
      <c r="H505" s="75" t="s">
        <v>7405</v>
      </c>
      <c r="I505" s="75" t="s">
        <v>7406</v>
      </c>
      <c r="J505" s="116" t="s">
        <v>7407</v>
      </c>
      <c r="K505" s="11" t="s">
        <v>7408</v>
      </c>
      <c r="L505" s="77" t="s">
        <v>7409</v>
      </c>
      <c r="M505" s="117" t="s">
        <v>11789</v>
      </c>
      <c r="N505" s="117"/>
      <c r="O505" s="75" t="s">
        <v>7870</v>
      </c>
      <c r="P505" s="17"/>
      <c r="Q505" s="98">
        <v>36928</v>
      </c>
      <c r="R505" s="78">
        <v>25.673972602739727</v>
      </c>
      <c r="S505" s="118" t="s">
        <v>11790</v>
      </c>
      <c r="T505" s="116" t="s">
        <v>7298</v>
      </c>
      <c r="U505" s="116" t="s">
        <v>11791</v>
      </c>
      <c r="V505" s="119">
        <v>46059</v>
      </c>
      <c r="W505" s="75" t="s">
        <v>7300</v>
      </c>
      <c r="X505" s="114" t="s">
        <v>7301</v>
      </c>
      <c r="Y505" s="75" t="s">
        <v>7319</v>
      </c>
      <c r="Z505" s="15" t="s">
        <v>11792</v>
      </c>
      <c r="AA505" s="116"/>
      <c r="AB505" s="18"/>
      <c r="AC505" s="120"/>
      <c r="AD505" s="116" t="s">
        <v>11793</v>
      </c>
      <c r="AE505" s="116" t="s">
        <v>11794</v>
      </c>
      <c r="AF505" s="121"/>
      <c r="AG505" s="117"/>
      <c r="AH505" s="121"/>
      <c r="AI505" s="75" t="s">
        <v>7324</v>
      </c>
    </row>
    <row r="506" spans="1:35" ht="15.6" x14ac:dyDescent="0.3">
      <c r="A506" s="34" t="s">
        <v>7286</v>
      </c>
      <c r="B506" s="17" t="s">
        <v>11795</v>
      </c>
      <c r="C506" s="34" t="s">
        <v>7150</v>
      </c>
      <c r="D506" s="81" t="s">
        <v>11796</v>
      </c>
      <c r="E506" s="11" t="s">
        <v>1681</v>
      </c>
      <c r="F506" s="75" t="s">
        <v>7293</v>
      </c>
      <c r="G506" s="75" t="s">
        <v>7293</v>
      </c>
      <c r="H506" s="75" t="s">
        <v>7311</v>
      </c>
      <c r="I506" s="75" t="s">
        <v>7312</v>
      </c>
      <c r="J506" s="75" t="s">
        <v>7433</v>
      </c>
      <c r="K506" s="11" t="s">
        <v>7434</v>
      </c>
      <c r="L506" s="77" t="s">
        <v>7315</v>
      </c>
      <c r="M506" s="76">
        <v>45876</v>
      </c>
      <c r="N506" s="76"/>
      <c r="O506" s="75" t="s">
        <v>11797</v>
      </c>
      <c r="P506" s="17" t="s">
        <v>10609</v>
      </c>
      <c r="Q506" s="98">
        <v>33399</v>
      </c>
      <c r="R506" s="78">
        <v>35.342465753424655</v>
      </c>
      <c r="S506" s="118" t="s">
        <v>11798</v>
      </c>
      <c r="T506" s="75" t="s">
        <v>7298</v>
      </c>
      <c r="U506" s="116" t="s">
        <v>11799</v>
      </c>
      <c r="V506" s="102">
        <v>48434</v>
      </c>
      <c r="W506" s="75" t="s">
        <v>7300</v>
      </c>
      <c r="X506" s="114" t="s">
        <v>10336</v>
      </c>
      <c r="Y506" s="11" t="s">
        <v>7319</v>
      </c>
      <c r="Z506" s="15" t="s">
        <v>11800</v>
      </c>
      <c r="AA506" s="122"/>
      <c r="AB506" s="18"/>
      <c r="AC506" s="16" t="s">
        <v>11801</v>
      </c>
      <c r="AD506" s="116" t="s">
        <v>11802</v>
      </c>
      <c r="AE506" s="116" t="s">
        <v>11803</v>
      </c>
      <c r="AF506" s="11"/>
      <c r="AG506" s="11"/>
      <c r="AH506" s="34"/>
      <c r="AI506" s="75" t="s">
        <v>10609</v>
      </c>
    </row>
    <row r="507" spans="1:35" x14ac:dyDescent="0.3">
      <c r="A507" s="34" t="s">
        <v>7286</v>
      </c>
      <c r="B507" s="77" t="s">
        <v>11804</v>
      </c>
      <c r="C507" s="105" t="s">
        <v>7150</v>
      </c>
      <c r="D507" s="81" t="s">
        <v>11805</v>
      </c>
      <c r="E507" s="94" t="s">
        <v>11806</v>
      </c>
      <c r="F507" s="75" t="s">
        <v>7329</v>
      </c>
      <c r="G507" s="75" t="s">
        <v>7330</v>
      </c>
      <c r="H507" s="75" t="s">
        <v>7331</v>
      </c>
      <c r="I507" s="75" t="s">
        <v>7332</v>
      </c>
      <c r="J507" s="75" t="s">
        <v>9796</v>
      </c>
      <c r="K507" s="11" t="s">
        <v>9797</v>
      </c>
      <c r="L507" s="77" t="s">
        <v>7335</v>
      </c>
      <c r="M507" s="76">
        <v>45884</v>
      </c>
      <c r="N507" s="76"/>
      <c r="O507" s="75" t="s">
        <v>7870</v>
      </c>
      <c r="P507" s="17"/>
      <c r="Q507" s="76">
        <v>27644</v>
      </c>
      <c r="R507" s="78">
        <v>51.109589041095887</v>
      </c>
      <c r="S507" s="79" t="s">
        <v>11807</v>
      </c>
      <c r="T507" s="75" t="s">
        <v>7298</v>
      </c>
      <c r="U507" s="75" t="s">
        <v>11808</v>
      </c>
      <c r="V507" s="83">
        <v>45907</v>
      </c>
      <c r="W507" s="75" t="s">
        <v>7300</v>
      </c>
      <c r="X507" s="114" t="s">
        <v>10336</v>
      </c>
      <c r="Y507" s="75" t="s">
        <v>7319</v>
      </c>
      <c r="Z507" s="15" t="s">
        <v>11809</v>
      </c>
      <c r="AA507" s="75"/>
      <c r="AB507" s="18"/>
      <c r="AC507" s="11"/>
      <c r="AD507" s="15" t="s">
        <v>11810</v>
      </c>
      <c r="AE507" s="15" t="s">
        <v>11810</v>
      </c>
      <c r="AF507" s="17"/>
      <c r="AG507" s="17"/>
      <c r="AH507" s="83"/>
      <c r="AI507" s="75" t="s">
        <v>7307</v>
      </c>
    </row>
    <row r="508" spans="1:35" x14ac:dyDescent="0.3">
      <c r="A508" s="34" t="s">
        <v>7286</v>
      </c>
      <c r="B508" s="17" t="s">
        <v>11811</v>
      </c>
      <c r="C508" s="34" t="s">
        <v>7367</v>
      </c>
      <c r="D508" s="81" t="s">
        <v>11812</v>
      </c>
      <c r="E508" s="94" t="s">
        <v>11813</v>
      </c>
      <c r="F508" s="75" t="s">
        <v>7370</v>
      </c>
      <c r="G508" s="75" t="s">
        <v>7371</v>
      </c>
      <c r="H508" s="75" t="s">
        <v>9832</v>
      </c>
      <c r="I508" s="75" t="s">
        <v>9833</v>
      </c>
      <c r="J508" s="75" t="s">
        <v>10862</v>
      </c>
      <c r="K508" s="11" t="s">
        <v>10863</v>
      </c>
      <c r="L508" s="77" t="s">
        <v>9836</v>
      </c>
      <c r="M508" s="76">
        <v>45887</v>
      </c>
      <c r="N508" s="76"/>
      <c r="O508" s="75" t="s">
        <v>8747</v>
      </c>
      <c r="P508" s="17"/>
      <c r="Q508" s="76">
        <v>37602</v>
      </c>
      <c r="R508" s="78">
        <v>23.827397260273973</v>
      </c>
      <c r="S508" s="79" t="s">
        <v>11814</v>
      </c>
      <c r="T508" s="75" t="s">
        <v>7298</v>
      </c>
      <c r="U508" s="75" t="s">
        <v>11815</v>
      </c>
      <c r="V508" s="83">
        <v>47162</v>
      </c>
      <c r="W508" s="75" t="s">
        <v>7300</v>
      </c>
      <c r="X508" s="114" t="s">
        <v>10336</v>
      </c>
      <c r="Y508" s="75" t="s">
        <v>7302</v>
      </c>
      <c r="Z508" s="15" t="s">
        <v>11816</v>
      </c>
      <c r="AA508" s="75"/>
      <c r="AB508" s="18" t="s">
        <v>11817</v>
      </c>
      <c r="AC508" s="11"/>
      <c r="AD508" s="15" t="s">
        <v>11666</v>
      </c>
      <c r="AE508" s="15" t="s">
        <v>11666</v>
      </c>
      <c r="AF508" s="17"/>
      <c r="AG508" s="17"/>
      <c r="AH508" s="83"/>
      <c r="AI508" s="77" t="s">
        <v>11668</v>
      </c>
    </row>
    <row r="509" spans="1:35" x14ac:dyDescent="0.3">
      <c r="A509" s="34" t="s">
        <v>7286</v>
      </c>
      <c r="B509" s="17" t="s">
        <v>11818</v>
      </c>
      <c r="C509" s="17" t="s">
        <v>7150</v>
      </c>
      <c r="D509" s="81" t="s">
        <v>11819</v>
      </c>
      <c r="E509" s="11" t="s">
        <v>1473</v>
      </c>
      <c r="F509" s="75" t="s">
        <v>7293</v>
      </c>
      <c r="G509" s="75" t="s">
        <v>7293</v>
      </c>
      <c r="H509" s="75" t="s">
        <v>7311</v>
      </c>
      <c r="I509" s="75" t="s">
        <v>7312</v>
      </c>
      <c r="J509" s="65" t="s">
        <v>7313</v>
      </c>
      <c r="K509" s="11" t="s">
        <v>7314</v>
      </c>
      <c r="L509" s="77" t="s">
        <v>7315</v>
      </c>
      <c r="M509" s="76">
        <v>45895</v>
      </c>
      <c r="N509" s="65"/>
      <c r="O509" s="65" t="s">
        <v>7870</v>
      </c>
      <c r="P509" s="17" t="s">
        <v>7316</v>
      </c>
      <c r="Q509" s="76">
        <v>31628</v>
      </c>
      <c r="R509" s="78">
        <v>40.194520547945203</v>
      </c>
      <c r="S509" s="11" t="s">
        <v>11820</v>
      </c>
      <c r="T509" s="65" t="s">
        <v>7298</v>
      </c>
      <c r="U509" s="65" t="s">
        <v>11821</v>
      </c>
      <c r="V509" s="83">
        <v>48084</v>
      </c>
      <c r="W509" s="65" t="s">
        <v>7300</v>
      </c>
      <c r="X509" s="114" t="s">
        <v>10336</v>
      </c>
      <c r="Y509" s="65" t="s">
        <v>7319</v>
      </c>
      <c r="Z509" s="65" t="s">
        <v>11822</v>
      </c>
      <c r="AA509" s="65"/>
      <c r="AB509" s="18"/>
      <c r="AC509" s="65" t="s">
        <v>11823</v>
      </c>
      <c r="AD509" s="65" t="s">
        <v>11824</v>
      </c>
      <c r="AE509" s="65" t="s">
        <v>11825</v>
      </c>
      <c r="AF509" s="11"/>
      <c r="AG509" s="11"/>
      <c r="AH509" s="34"/>
      <c r="AI509" s="75" t="s">
        <v>7324</v>
      </c>
    </row>
    <row r="510" spans="1:35" x14ac:dyDescent="0.3">
      <c r="A510" s="34" t="s">
        <v>7286</v>
      </c>
      <c r="B510" s="17" t="s">
        <v>11826</v>
      </c>
      <c r="C510" s="34" t="s">
        <v>7150</v>
      </c>
      <c r="D510" s="81" t="s">
        <v>11827</v>
      </c>
      <c r="E510" s="11" t="s">
        <v>11828</v>
      </c>
      <c r="F510" s="75" t="s">
        <v>7293</v>
      </c>
      <c r="G510" s="75" t="s">
        <v>7293</v>
      </c>
      <c r="H510" s="75" t="s">
        <v>7311</v>
      </c>
      <c r="I510" s="75" t="s">
        <v>7312</v>
      </c>
      <c r="J510" s="75" t="s">
        <v>7433</v>
      </c>
      <c r="K510" s="11" t="s">
        <v>7434</v>
      </c>
      <c r="L510" s="77" t="s">
        <v>7315</v>
      </c>
      <c r="M510" s="76">
        <v>45894</v>
      </c>
      <c r="N510" s="114"/>
      <c r="O510" s="114" t="s">
        <v>7870</v>
      </c>
      <c r="P510" s="17" t="s">
        <v>7316</v>
      </c>
      <c r="Q510" s="76">
        <v>31474</v>
      </c>
      <c r="R510" s="78">
        <v>40.61643835616438</v>
      </c>
      <c r="S510" s="118" t="s">
        <v>11829</v>
      </c>
      <c r="T510" s="114" t="s">
        <v>7298</v>
      </c>
      <c r="U510" s="114" t="s">
        <v>11830</v>
      </c>
      <c r="V510" s="83">
        <v>47971</v>
      </c>
      <c r="W510" s="114" t="s">
        <v>7300</v>
      </c>
      <c r="X510" s="114" t="s">
        <v>7301</v>
      </c>
      <c r="Y510" s="123" t="s">
        <v>7319</v>
      </c>
      <c r="Z510" s="114" t="s">
        <v>11831</v>
      </c>
      <c r="AA510" s="114"/>
      <c r="AB510" s="18"/>
      <c r="AC510" s="114" t="s">
        <v>11832</v>
      </c>
      <c r="AD510" s="114" t="s">
        <v>11833</v>
      </c>
      <c r="AE510" s="123" t="s">
        <v>11834</v>
      </c>
      <c r="AF510" s="121"/>
      <c r="AG510" s="117"/>
      <c r="AH510" s="121"/>
      <c r="AI510" s="75" t="s">
        <v>7324</v>
      </c>
    </row>
    <row r="511" spans="1:35" x14ac:dyDescent="0.3">
      <c r="A511" s="34" t="s">
        <v>7286</v>
      </c>
      <c r="B511" s="17" t="s">
        <v>11835</v>
      </c>
      <c r="C511" s="34" t="s">
        <v>7150</v>
      </c>
      <c r="D511" s="81" t="s">
        <v>11836</v>
      </c>
      <c r="E511" s="11" t="s">
        <v>1470</v>
      </c>
      <c r="F511" s="75" t="s">
        <v>7293</v>
      </c>
      <c r="G511" s="75" t="s">
        <v>7293</v>
      </c>
      <c r="H511" s="75" t="s">
        <v>7311</v>
      </c>
      <c r="I511" s="75" t="s">
        <v>7312</v>
      </c>
      <c r="J511" s="75" t="s">
        <v>7433</v>
      </c>
      <c r="K511" s="11" t="s">
        <v>7434</v>
      </c>
      <c r="L511" s="77" t="s">
        <v>7315</v>
      </c>
      <c r="M511" s="76">
        <v>45895</v>
      </c>
      <c r="N511" s="65"/>
      <c r="O511" s="65" t="s">
        <v>7870</v>
      </c>
      <c r="P511" s="17" t="s">
        <v>7425</v>
      </c>
      <c r="Q511" s="76">
        <v>30929</v>
      </c>
      <c r="R511" s="78">
        <v>42.109589041095887</v>
      </c>
      <c r="S511" s="11" t="s">
        <v>11837</v>
      </c>
      <c r="T511" s="65" t="s">
        <v>7298</v>
      </c>
      <c r="U511" s="65" t="s">
        <v>11838</v>
      </c>
      <c r="V511" s="83">
        <v>48875</v>
      </c>
      <c r="W511" s="65" t="s">
        <v>7300</v>
      </c>
      <c r="X511" s="114" t="s">
        <v>10336</v>
      </c>
      <c r="Y511" s="65" t="s">
        <v>7319</v>
      </c>
      <c r="Z511" s="65" t="s">
        <v>11839</v>
      </c>
      <c r="AA511" s="65"/>
      <c r="AB511" s="18"/>
      <c r="AC511" s="65" t="s">
        <v>11840</v>
      </c>
      <c r="AD511" s="65" t="s">
        <v>11841</v>
      </c>
      <c r="AE511" s="65" t="s">
        <v>11842</v>
      </c>
      <c r="AF511" s="11"/>
      <c r="AG511" s="11"/>
      <c r="AH511" s="34"/>
      <c r="AI511" s="11" t="s">
        <v>7425</v>
      </c>
    </row>
    <row r="512" spans="1:35" x14ac:dyDescent="0.3">
      <c r="A512" s="34" t="s">
        <v>7286</v>
      </c>
      <c r="B512" s="17" t="s">
        <v>11843</v>
      </c>
      <c r="C512" s="34" t="s">
        <v>7367</v>
      </c>
      <c r="D512" s="81" t="s">
        <v>11844</v>
      </c>
      <c r="E512" s="11" t="s">
        <v>106</v>
      </c>
      <c r="F512" s="75" t="s">
        <v>11845</v>
      </c>
      <c r="G512" s="75" t="s">
        <v>6355</v>
      </c>
      <c r="H512" s="75" t="s">
        <v>7293</v>
      </c>
      <c r="I512" s="75" t="s">
        <v>7293</v>
      </c>
      <c r="J512" s="114" t="s">
        <v>11846</v>
      </c>
      <c r="K512" s="11" t="s">
        <v>11847</v>
      </c>
      <c r="L512" s="77" t="s">
        <v>7293</v>
      </c>
      <c r="M512" s="76">
        <v>45901</v>
      </c>
      <c r="N512" s="114"/>
      <c r="O512" s="114" t="s">
        <v>7923</v>
      </c>
      <c r="P512" s="17"/>
      <c r="Q512" s="76">
        <v>35712</v>
      </c>
      <c r="R512" s="78">
        <v>29.005479452054793</v>
      </c>
      <c r="S512" s="118" t="s">
        <v>11848</v>
      </c>
      <c r="T512" s="114" t="s">
        <v>7298</v>
      </c>
      <c r="U512" s="114" t="s">
        <v>11849</v>
      </c>
      <c r="V512" s="83">
        <v>48495</v>
      </c>
      <c r="W512" s="114" t="s">
        <v>7953</v>
      </c>
      <c r="X512" s="114" t="s">
        <v>10419</v>
      </c>
      <c r="Y512" s="123" t="s">
        <v>7319</v>
      </c>
      <c r="Z512" s="114" t="s">
        <v>11850</v>
      </c>
      <c r="AA512" s="114"/>
      <c r="AB512" s="18" t="s">
        <v>11851</v>
      </c>
      <c r="AC512" s="114"/>
      <c r="AD512" s="114" t="s">
        <v>11852</v>
      </c>
      <c r="AE512" s="123" t="s">
        <v>11852</v>
      </c>
      <c r="AF512" s="121"/>
      <c r="AG512" s="117"/>
      <c r="AH512" s="121"/>
      <c r="AI512" s="75" t="s">
        <v>7307</v>
      </c>
    </row>
    <row r="513" spans="1:35" x14ac:dyDescent="0.3">
      <c r="A513" s="34" t="s">
        <v>7286</v>
      </c>
      <c r="B513" s="17" t="s">
        <v>11853</v>
      </c>
      <c r="C513" s="34" t="s">
        <v>7150</v>
      </c>
      <c r="D513" s="81" t="s">
        <v>11854</v>
      </c>
      <c r="E513" s="11" t="s">
        <v>1635</v>
      </c>
      <c r="F513" s="75" t="s">
        <v>7293</v>
      </c>
      <c r="G513" s="75" t="s">
        <v>7293</v>
      </c>
      <c r="H513" s="75" t="s">
        <v>7311</v>
      </c>
      <c r="I513" s="75" t="s">
        <v>7312</v>
      </c>
      <c r="J513" s="11" t="s">
        <v>7433</v>
      </c>
      <c r="K513" s="11" t="s">
        <v>7434</v>
      </c>
      <c r="L513" s="77" t="s">
        <v>7315</v>
      </c>
      <c r="M513" s="76">
        <v>45908</v>
      </c>
      <c r="N513" s="114"/>
      <c r="O513" s="114" t="s">
        <v>8747</v>
      </c>
      <c r="P513" s="17" t="s">
        <v>8748</v>
      </c>
      <c r="Q513" s="76">
        <v>33326</v>
      </c>
      <c r="R513" s="78">
        <v>35.542465753424658</v>
      </c>
      <c r="S513" s="118" t="s">
        <v>11855</v>
      </c>
      <c r="T513" s="114" t="s">
        <v>7298</v>
      </c>
      <c r="U513" s="114" t="s">
        <v>11856</v>
      </c>
      <c r="V513" s="83">
        <v>46110</v>
      </c>
      <c r="W513" s="114" t="s">
        <v>7300</v>
      </c>
      <c r="X513" s="114" t="s">
        <v>10336</v>
      </c>
      <c r="Y513" s="100" t="s">
        <v>7319</v>
      </c>
      <c r="Z513" s="103" t="s">
        <v>11857</v>
      </c>
      <c r="AA513" s="114"/>
      <c r="AB513" s="18"/>
      <c r="AC513" s="114"/>
      <c r="AD513" s="114" t="s">
        <v>11858</v>
      </c>
      <c r="AE513" s="114" t="s">
        <v>11858</v>
      </c>
      <c r="AF513" s="121"/>
      <c r="AG513" s="117"/>
      <c r="AH513" s="121"/>
      <c r="AI513" s="75" t="s">
        <v>7448</v>
      </c>
    </row>
    <row r="514" spans="1:35" x14ac:dyDescent="0.3">
      <c r="A514" s="34" t="s">
        <v>7286</v>
      </c>
      <c r="B514" s="17" t="s">
        <v>11859</v>
      </c>
      <c r="C514" s="34" t="s">
        <v>7288</v>
      </c>
      <c r="D514" s="81" t="s">
        <v>11860</v>
      </c>
      <c r="E514" s="11" t="s">
        <v>3933</v>
      </c>
      <c r="F514" s="75" t="s">
        <v>7293</v>
      </c>
      <c r="G514" s="75" t="s">
        <v>7293</v>
      </c>
      <c r="H514" s="75" t="s">
        <v>11861</v>
      </c>
      <c r="I514" s="75" t="s">
        <v>11862</v>
      </c>
      <c r="J514" s="75" t="s">
        <v>11863</v>
      </c>
      <c r="K514" s="11" t="s">
        <v>11864</v>
      </c>
      <c r="L514" s="77" t="s">
        <v>11865</v>
      </c>
      <c r="M514" s="76">
        <v>45915</v>
      </c>
      <c r="N514" s="76"/>
      <c r="O514" s="75" t="s">
        <v>7923</v>
      </c>
      <c r="P514" s="17"/>
      <c r="Q514" s="76">
        <v>34794</v>
      </c>
      <c r="R514" s="78">
        <v>31.520547945205479</v>
      </c>
      <c r="S514" s="11" t="s">
        <v>11866</v>
      </c>
      <c r="T514" s="75" t="s">
        <v>7298</v>
      </c>
      <c r="U514" s="11" t="s">
        <v>11867</v>
      </c>
      <c r="V514" s="102">
        <v>47706</v>
      </c>
      <c r="W514" s="75" t="s">
        <v>7300</v>
      </c>
      <c r="X514" s="75" t="s">
        <v>7301</v>
      </c>
      <c r="Y514" s="100" t="s">
        <v>7319</v>
      </c>
      <c r="Z514" s="103" t="s">
        <v>11868</v>
      </c>
      <c r="AA514" s="11"/>
      <c r="AB514" s="18" t="s">
        <v>11869</v>
      </c>
      <c r="AC514" s="16" t="s">
        <v>11870</v>
      </c>
      <c r="AD514" s="11" t="s">
        <v>11871</v>
      </c>
      <c r="AE514" s="11" t="s">
        <v>11872</v>
      </c>
      <c r="AF514" s="11"/>
      <c r="AG514" s="11"/>
      <c r="AH514" s="34"/>
      <c r="AI514" s="75" t="s">
        <v>7307</v>
      </c>
    </row>
    <row r="515" spans="1:35" x14ac:dyDescent="0.3">
      <c r="A515" s="34" t="s">
        <v>7286</v>
      </c>
      <c r="B515" s="17" t="s">
        <v>11873</v>
      </c>
      <c r="C515" s="34" t="s">
        <v>7150</v>
      </c>
      <c r="D515" s="81" t="s">
        <v>11874</v>
      </c>
      <c r="E515" s="11" t="s">
        <v>1435</v>
      </c>
      <c r="F515" s="75" t="s">
        <v>7293</v>
      </c>
      <c r="G515" s="75" t="s">
        <v>7293</v>
      </c>
      <c r="H515" s="75" t="s">
        <v>7311</v>
      </c>
      <c r="I515" s="75" t="s">
        <v>7312</v>
      </c>
      <c r="J515" s="11" t="s">
        <v>7313</v>
      </c>
      <c r="K515" s="11" t="s">
        <v>7314</v>
      </c>
      <c r="L515" s="77" t="s">
        <v>7315</v>
      </c>
      <c r="M515" s="76">
        <v>45922</v>
      </c>
      <c r="N515" s="76"/>
      <c r="O515" s="75" t="s">
        <v>7870</v>
      </c>
      <c r="P515" s="17" t="s">
        <v>7425</v>
      </c>
      <c r="Q515" s="76">
        <v>29299</v>
      </c>
      <c r="R515" s="78">
        <v>46.575342465753423</v>
      </c>
      <c r="S515" s="11" t="s">
        <v>11875</v>
      </c>
      <c r="T515" s="75" t="s">
        <v>7298</v>
      </c>
      <c r="U515" s="11" t="s">
        <v>11876</v>
      </c>
      <c r="V515" s="102">
        <v>49015</v>
      </c>
      <c r="W515" s="75" t="s">
        <v>7300</v>
      </c>
      <c r="X515" s="75" t="s">
        <v>7301</v>
      </c>
      <c r="Y515" s="100" t="s">
        <v>7319</v>
      </c>
      <c r="Z515" s="103" t="s">
        <v>11877</v>
      </c>
      <c r="AA515" s="11"/>
      <c r="AB515" s="18"/>
      <c r="AC515" s="16"/>
      <c r="AD515" s="114" t="s">
        <v>11878</v>
      </c>
      <c r="AE515" s="114" t="s">
        <v>11878</v>
      </c>
      <c r="AF515" s="11"/>
      <c r="AG515" s="11"/>
      <c r="AH515" s="34"/>
      <c r="AI515" s="11" t="s">
        <v>7425</v>
      </c>
    </row>
    <row r="516" spans="1:35" x14ac:dyDescent="0.3">
      <c r="A516" s="34" t="s">
        <v>7286</v>
      </c>
      <c r="B516" s="17" t="s">
        <v>11879</v>
      </c>
      <c r="C516" s="34" t="s">
        <v>8994</v>
      </c>
      <c r="D516" s="81" t="s">
        <v>11880</v>
      </c>
      <c r="E516" s="11" t="s">
        <v>11881</v>
      </c>
      <c r="F516" s="75" t="s">
        <v>7293</v>
      </c>
      <c r="G516" s="75" t="s">
        <v>7293</v>
      </c>
      <c r="H516" s="75" t="s">
        <v>8964</v>
      </c>
      <c r="I516" s="75" t="s">
        <v>11585</v>
      </c>
      <c r="J516" s="75" t="s">
        <v>11882</v>
      </c>
      <c r="K516" s="11" t="s">
        <v>11883</v>
      </c>
      <c r="L516" s="77" t="s">
        <v>11884</v>
      </c>
      <c r="M516" s="76">
        <v>45931</v>
      </c>
      <c r="N516" s="76"/>
      <c r="O516" s="75" t="s">
        <v>7923</v>
      </c>
      <c r="P516" s="17"/>
      <c r="Q516" s="98">
        <v>35492</v>
      </c>
      <c r="R516" s="78">
        <v>29.608219178082191</v>
      </c>
      <c r="S516" s="101" t="s">
        <v>11885</v>
      </c>
      <c r="T516" s="75" t="s">
        <v>7298</v>
      </c>
      <c r="U516" s="11" t="s">
        <v>11886</v>
      </c>
      <c r="V516" s="102">
        <v>48448</v>
      </c>
      <c r="W516" s="75" t="s">
        <v>7300</v>
      </c>
      <c r="X516" s="11" t="s">
        <v>7301</v>
      </c>
      <c r="Y516" s="11" t="s">
        <v>7302</v>
      </c>
      <c r="Z516" s="103" t="s">
        <v>11887</v>
      </c>
      <c r="AA516" s="11"/>
      <c r="AB516" s="18" t="s">
        <v>11888</v>
      </c>
      <c r="AC516" s="16"/>
      <c r="AD516" s="11" t="s">
        <v>11889</v>
      </c>
      <c r="AE516" s="11" t="s">
        <v>11889</v>
      </c>
      <c r="AF516" s="11"/>
      <c r="AG516" s="11"/>
      <c r="AH516" s="34"/>
      <c r="AI516" s="75" t="s">
        <v>7307</v>
      </c>
    </row>
    <row r="517" spans="1:35" x14ac:dyDescent="0.3">
      <c r="A517" s="34" t="s">
        <v>7286</v>
      </c>
      <c r="B517" s="17" t="s">
        <v>11890</v>
      </c>
      <c r="C517" s="34" t="s">
        <v>7150</v>
      </c>
      <c r="D517" s="81" t="s">
        <v>11891</v>
      </c>
      <c r="E517" s="11" t="s">
        <v>11892</v>
      </c>
      <c r="F517" s="75" t="s">
        <v>7329</v>
      </c>
      <c r="G517" s="75" t="s">
        <v>7330</v>
      </c>
      <c r="H517" s="75" t="s">
        <v>7452</v>
      </c>
      <c r="I517" s="75" t="s">
        <v>7453</v>
      </c>
      <c r="J517" s="75" t="s">
        <v>7509</v>
      </c>
      <c r="K517" s="11" t="s">
        <v>7510</v>
      </c>
      <c r="L517" s="77" t="s">
        <v>7456</v>
      </c>
      <c r="M517" s="76">
        <v>45936</v>
      </c>
      <c r="N517" s="76"/>
      <c r="O517" s="75" t="s">
        <v>8747</v>
      </c>
      <c r="P517" s="17"/>
      <c r="Q517" s="76">
        <v>34575</v>
      </c>
      <c r="R517" s="78">
        <v>32.12054794520548</v>
      </c>
      <c r="S517" s="11" t="s">
        <v>11893</v>
      </c>
      <c r="T517" s="75" t="s">
        <v>7298</v>
      </c>
      <c r="U517" s="11" t="s">
        <v>11894</v>
      </c>
      <c r="V517" s="102">
        <v>47395</v>
      </c>
      <c r="W517" s="75" t="s">
        <v>7300</v>
      </c>
      <c r="X517" s="75" t="s">
        <v>10336</v>
      </c>
      <c r="Y517" s="75" t="s">
        <v>7319</v>
      </c>
      <c r="Z517" s="103" t="s">
        <v>11895</v>
      </c>
      <c r="AA517" s="11"/>
      <c r="AB517" s="18"/>
      <c r="AC517" s="16"/>
      <c r="AD517" s="11" t="s">
        <v>11896</v>
      </c>
      <c r="AE517" s="11" t="s">
        <v>11897</v>
      </c>
      <c r="AF517" s="11"/>
      <c r="AG517" s="11"/>
      <c r="AH517" s="34"/>
      <c r="AI517" s="75" t="s">
        <v>7422</v>
      </c>
    </row>
    <row r="518" spans="1:35" x14ac:dyDescent="0.3">
      <c r="A518" s="34" t="s">
        <v>7286</v>
      </c>
      <c r="B518" s="17" t="s">
        <v>11898</v>
      </c>
      <c r="C518" s="34" t="s">
        <v>7367</v>
      </c>
      <c r="D518" s="81" t="s">
        <v>11899</v>
      </c>
      <c r="E518" s="11" t="s">
        <v>11900</v>
      </c>
      <c r="F518" s="75" t="s">
        <v>7370</v>
      </c>
      <c r="G518" s="75" t="s">
        <v>7371</v>
      </c>
      <c r="H518" s="75" t="s">
        <v>9832</v>
      </c>
      <c r="I518" s="75" t="s">
        <v>9833</v>
      </c>
      <c r="J518" s="75" t="s">
        <v>10862</v>
      </c>
      <c r="K518" s="11" t="s">
        <v>10863</v>
      </c>
      <c r="L518" s="77" t="s">
        <v>9836</v>
      </c>
      <c r="M518" s="76">
        <v>45943</v>
      </c>
      <c r="N518" s="76"/>
      <c r="O518" s="75" t="s">
        <v>8747</v>
      </c>
      <c r="P518" s="17"/>
      <c r="Q518" s="98">
        <v>37869</v>
      </c>
      <c r="R518" s="78">
        <v>23.095890410958905</v>
      </c>
      <c r="S518" s="101" t="s">
        <v>11901</v>
      </c>
      <c r="T518" s="75" t="s">
        <v>7298</v>
      </c>
      <c r="U518" s="11" t="s">
        <v>11902</v>
      </c>
      <c r="V518" s="102">
        <v>48639</v>
      </c>
      <c r="W518" s="75" t="s">
        <v>7300</v>
      </c>
      <c r="X518" s="11" t="s">
        <v>10336</v>
      </c>
      <c r="Y518" s="75" t="s">
        <v>7319</v>
      </c>
      <c r="Z518" s="103" t="s">
        <v>11903</v>
      </c>
      <c r="AA518" s="11"/>
      <c r="AB518" s="18" t="s">
        <v>11904</v>
      </c>
      <c r="AC518" s="16"/>
      <c r="AD518" s="11" t="s">
        <v>11905</v>
      </c>
      <c r="AE518" s="11" t="s">
        <v>11905</v>
      </c>
      <c r="AF518" s="11"/>
      <c r="AG518" s="11"/>
      <c r="AH518" s="34"/>
      <c r="AI518" s="75" t="s">
        <v>11668</v>
      </c>
    </row>
    <row r="519" spans="1:35" x14ac:dyDescent="0.3">
      <c r="A519" s="34" t="s">
        <v>7286</v>
      </c>
      <c r="B519" s="17" t="s">
        <v>11906</v>
      </c>
      <c r="C519" s="34" t="s">
        <v>7367</v>
      </c>
      <c r="D519" s="81" t="s">
        <v>11907</v>
      </c>
      <c r="E519" s="11" t="s">
        <v>11908</v>
      </c>
      <c r="F519" s="75" t="s">
        <v>7370</v>
      </c>
      <c r="G519" s="75" t="s">
        <v>7371</v>
      </c>
      <c r="H519" s="75" t="s">
        <v>9832</v>
      </c>
      <c r="I519" s="75" t="s">
        <v>9833</v>
      </c>
      <c r="J519" s="75" t="s">
        <v>10862</v>
      </c>
      <c r="K519" s="11" t="s">
        <v>10863</v>
      </c>
      <c r="L519" s="77" t="s">
        <v>9836</v>
      </c>
      <c r="M519" s="76">
        <v>45943</v>
      </c>
      <c r="N519" s="76"/>
      <c r="O519" s="75" t="s">
        <v>8747</v>
      </c>
      <c r="P519" s="17"/>
      <c r="Q519" s="98">
        <v>35487</v>
      </c>
      <c r="R519" s="78">
        <v>29.621917808219177</v>
      </c>
      <c r="S519" s="101" t="s">
        <v>11909</v>
      </c>
      <c r="T519" s="75" t="s">
        <v>7298</v>
      </c>
      <c r="U519" s="11" t="s">
        <v>11910</v>
      </c>
      <c r="V519" s="102">
        <v>48286</v>
      </c>
      <c r="W519" s="75" t="s">
        <v>7300</v>
      </c>
      <c r="X519" s="11" t="s">
        <v>10336</v>
      </c>
      <c r="Y519" s="11" t="s">
        <v>7302</v>
      </c>
      <c r="Z519" s="103" t="s">
        <v>11911</v>
      </c>
      <c r="AA519" s="11"/>
      <c r="AB519" s="18" t="s">
        <v>11912</v>
      </c>
      <c r="AC519" s="16"/>
      <c r="AD519" s="11"/>
      <c r="AE519" s="11"/>
      <c r="AF519" s="11"/>
      <c r="AG519" s="11"/>
      <c r="AH519" s="34"/>
      <c r="AI519" s="75" t="s">
        <v>11668</v>
      </c>
    </row>
    <row r="520" spans="1:35" x14ac:dyDescent="0.3">
      <c r="A520" s="34" t="s">
        <v>7286</v>
      </c>
      <c r="B520" s="17" t="s">
        <v>11913</v>
      </c>
      <c r="C520" s="34" t="s">
        <v>7367</v>
      </c>
      <c r="D520" s="81" t="s">
        <v>11914</v>
      </c>
      <c r="E520" s="11" t="s">
        <v>11915</v>
      </c>
      <c r="F520" s="75" t="s">
        <v>7370</v>
      </c>
      <c r="G520" s="75" t="s">
        <v>7371</v>
      </c>
      <c r="H520" s="75" t="s">
        <v>7372</v>
      </c>
      <c r="I520" s="75" t="s">
        <v>7373</v>
      </c>
      <c r="J520" s="75" t="s">
        <v>11113</v>
      </c>
      <c r="K520" s="11" t="s">
        <v>6348</v>
      </c>
      <c r="L520" s="77" t="s">
        <v>7376</v>
      </c>
      <c r="M520" s="76">
        <v>45946</v>
      </c>
      <c r="N520" s="76"/>
      <c r="O520" s="75" t="s">
        <v>7870</v>
      </c>
      <c r="P520" s="17"/>
      <c r="Q520" s="76">
        <v>37902</v>
      </c>
      <c r="R520" s="78">
        <v>23.005479452054793</v>
      </c>
      <c r="S520" s="79" t="s">
        <v>11916</v>
      </c>
      <c r="T520" s="75" t="s">
        <v>7298</v>
      </c>
      <c r="U520" s="75" t="s">
        <v>11917</v>
      </c>
      <c r="V520" s="83">
        <v>47412</v>
      </c>
      <c r="W520" s="75" t="s">
        <v>7300</v>
      </c>
      <c r="X520" s="75" t="s">
        <v>7301</v>
      </c>
      <c r="Y520" s="75" t="s">
        <v>7319</v>
      </c>
      <c r="Z520" s="103" t="s">
        <v>11918</v>
      </c>
      <c r="AA520" s="11"/>
      <c r="AB520" s="18" t="s">
        <v>11919</v>
      </c>
      <c r="AC520" s="16"/>
      <c r="AD520" s="11" t="s">
        <v>11920</v>
      </c>
      <c r="AE520" s="11" t="s">
        <v>11921</v>
      </c>
      <c r="AF520" s="11"/>
      <c r="AG520" s="11"/>
      <c r="AH520" s="34"/>
      <c r="AI520" s="75" t="s">
        <v>7745</v>
      </c>
    </row>
    <row r="521" spans="1:35" x14ac:dyDescent="0.3">
      <c r="A521" s="34" t="s">
        <v>7286</v>
      </c>
      <c r="B521" s="17" t="s">
        <v>11922</v>
      </c>
      <c r="C521" s="34" t="s">
        <v>7150</v>
      </c>
      <c r="D521" s="81" t="s">
        <v>11923</v>
      </c>
      <c r="E521" s="11" t="s">
        <v>1272</v>
      </c>
      <c r="F521" s="75" t="s">
        <v>7293</v>
      </c>
      <c r="G521" s="75" t="s">
        <v>7293</v>
      </c>
      <c r="H521" s="75" t="s">
        <v>7311</v>
      </c>
      <c r="I521" s="75" t="s">
        <v>7312</v>
      </c>
      <c r="J521" s="75" t="s">
        <v>7433</v>
      </c>
      <c r="K521" s="11" t="s">
        <v>7434</v>
      </c>
      <c r="L521" s="77" t="s">
        <v>7315</v>
      </c>
      <c r="M521" s="76">
        <v>45946</v>
      </c>
      <c r="N521" s="76"/>
      <c r="O521" s="75"/>
      <c r="P521" s="17" t="s">
        <v>8413</v>
      </c>
      <c r="Q521" s="76">
        <v>35197</v>
      </c>
      <c r="R521" s="78">
        <v>30.416438356164385</v>
      </c>
      <c r="S521" s="79" t="s">
        <v>11924</v>
      </c>
      <c r="T521" s="75" t="s">
        <v>7298</v>
      </c>
      <c r="U521" s="75" t="s">
        <v>11925</v>
      </c>
      <c r="V521" s="83">
        <v>47692</v>
      </c>
      <c r="W521" s="75" t="s">
        <v>7300</v>
      </c>
      <c r="X521" s="75" t="s">
        <v>10336</v>
      </c>
      <c r="Y521" s="11" t="s">
        <v>7319</v>
      </c>
      <c r="Z521" s="103" t="s">
        <v>11926</v>
      </c>
      <c r="AA521" s="11"/>
      <c r="AB521" s="18"/>
      <c r="AC521" s="16"/>
      <c r="AD521" s="11" t="s">
        <v>11927</v>
      </c>
      <c r="AE521" s="11" t="s">
        <v>11927</v>
      </c>
      <c r="AF521" s="11"/>
      <c r="AG521" s="11"/>
      <c r="AH521" s="34"/>
      <c r="AI521" s="75" t="s">
        <v>8413</v>
      </c>
    </row>
    <row r="522" spans="1:35" x14ac:dyDescent="0.3">
      <c r="A522" s="34" t="s">
        <v>7286</v>
      </c>
      <c r="B522" s="17" t="s">
        <v>11928</v>
      </c>
      <c r="C522" s="34" t="s">
        <v>7367</v>
      </c>
      <c r="D522" s="81" t="s">
        <v>11929</v>
      </c>
      <c r="E522" s="11" t="s">
        <v>11930</v>
      </c>
      <c r="F522" s="75" t="s">
        <v>7329</v>
      </c>
      <c r="G522" s="75" t="s">
        <v>7330</v>
      </c>
      <c r="H522" s="75" t="s">
        <v>7331</v>
      </c>
      <c r="I522" s="75" t="s">
        <v>7332</v>
      </c>
      <c r="J522" s="75" t="s">
        <v>8945</v>
      </c>
      <c r="K522" s="11" t="s">
        <v>8946</v>
      </c>
      <c r="L522" s="77" t="s">
        <v>7335</v>
      </c>
      <c r="M522" s="76">
        <v>45950</v>
      </c>
      <c r="N522" s="76"/>
      <c r="O522" s="75"/>
      <c r="P522" s="17"/>
      <c r="Q522" s="76">
        <v>35470</v>
      </c>
      <c r="R522" s="78">
        <v>29.668493150684931</v>
      </c>
      <c r="S522" s="79" t="s">
        <v>11931</v>
      </c>
      <c r="T522" s="75" t="s">
        <v>7298</v>
      </c>
      <c r="U522" s="75" t="s">
        <v>11932</v>
      </c>
      <c r="V522" s="83">
        <v>48261</v>
      </c>
      <c r="W522" s="75" t="s">
        <v>7300</v>
      </c>
      <c r="X522" s="11" t="s">
        <v>7301</v>
      </c>
      <c r="Y522" s="11" t="s">
        <v>7319</v>
      </c>
      <c r="Z522" s="103" t="s">
        <v>11933</v>
      </c>
      <c r="AA522" s="11"/>
      <c r="AB522" s="18" t="s">
        <v>11934</v>
      </c>
      <c r="AC522" s="16"/>
      <c r="AD522" s="11" t="s">
        <v>11935</v>
      </c>
      <c r="AE522" s="11" t="s">
        <v>11935</v>
      </c>
      <c r="AF522" s="11"/>
      <c r="AG522" s="11"/>
      <c r="AH522" s="34"/>
      <c r="AI522" s="75" t="s">
        <v>7324</v>
      </c>
    </row>
    <row r="523" spans="1:35" x14ac:dyDescent="0.3">
      <c r="A523" s="34" t="s">
        <v>7286</v>
      </c>
      <c r="B523" s="17" t="s">
        <v>11936</v>
      </c>
      <c r="C523" s="34" t="s">
        <v>7150</v>
      </c>
      <c r="D523" s="81" t="s">
        <v>11937</v>
      </c>
      <c r="E523" s="11" t="s">
        <v>1449</v>
      </c>
      <c r="F523" s="75" t="s">
        <v>7293</v>
      </c>
      <c r="G523" s="75" t="s">
        <v>7293</v>
      </c>
      <c r="H523" s="75" t="s">
        <v>7311</v>
      </c>
      <c r="I523" s="75" t="s">
        <v>7312</v>
      </c>
      <c r="J523" s="75" t="s">
        <v>7433</v>
      </c>
      <c r="K523" s="11" t="s">
        <v>7434</v>
      </c>
      <c r="L523" s="77" t="s">
        <v>7315</v>
      </c>
      <c r="M523" s="76">
        <v>45953</v>
      </c>
      <c r="N523" s="76"/>
      <c r="O523" s="75"/>
      <c r="P523" s="17" t="s">
        <v>7316</v>
      </c>
      <c r="Q523" s="76">
        <v>36032</v>
      </c>
      <c r="R523" s="78">
        <v>28.12876712328767</v>
      </c>
      <c r="S523" s="79" t="s">
        <v>11938</v>
      </c>
      <c r="T523" s="75" t="s">
        <v>7298</v>
      </c>
      <c r="U523" s="75" t="s">
        <v>11939</v>
      </c>
      <c r="V523" s="83">
        <v>48833</v>
      </c>
      <c r="W523" s="75" t="s">
        <v>7300</v>
      </c>
      <c r="X523" s="75" t="s">
        <v>10336</v>
      </c>
      <c r="Y523" s="75" t="s">
        <v>7319</v>
      </c>
      <c r="Z523" s="103" t="s">
        <v>11940</v>
      </c>
      <c r="AA523" s="11"/>
      <c r="AB523" s="18"/>
      <c r="AC523" s="16"/>
      <c r="AD523" s="11" t="s">
        <v>11941</v>
      </c>
      <c r="AE523" s="11" t="s">
        <v>11942</v>
      </c>
      <c r="AF523" s="11"/>
      <c r="AG523" s="11"/>
      <c r="AH523" s="34"/>
      <c r="AI523" s="75" t="s">
        <v>7324</v>
      </c>
    </row>
    <row r="524" spans="1:35" x14ac:dyDescent="0.3">
      <c r="A524" s="34" t="s">
        <v>7286</v>
      </c>
      <c r="B524" s="17" t="s">
        <v>11943</v>
      </c>
      <c r="C524" s="34" t="s">
        <v>7150</v>
      </c>
      <c r="D524" s="81" t="s">
        <v>11944</v>
      </c>
      <c r="E524" s="11" t="s">
        <v>11945</v>
      </c>
      <c r="F524" s="75" t="s">
        <v>7329</v>
      </c>
      <c r="G524" s="75" t="s">
        <v>7330</v>
      </c>
      <c r="H524" s="75" t="s">
        <v>7405</v>
      </c>
      <c r="I524" s="75" t="s">
        <v>7406</v>
      </c>
      <c r="J524" s="11" t="s">
        <v>7407</v>
      </c>
      <c r="K524" s="11" t="s">
        <v>6411</v>
      </c>
      <c r="L524" s="77" t="s">
        <v>7409</v>
      </c>
      <c r="M524" s="76">
        <v>45957</v>
      </c>
      <c r="N524" s="76"/>
      <c r="O524" s="75"/>
      <c r="P524" s="17"/>
      <c r="Q524" s="76">
        <v>36111</v>
      </c>
      <c r="R524" s="78">
        <v>27.912328767123288</v>
      </c>
      <c r="S524" s="79" t="s">
        <v>11946</v>
      </c>
      <c r="T524" s="75" t="s">
        <v>7298</v>
      </c>
      <c r="U524" s="75" t="s">
        <v>11947</v>
      </c>
      <c r="V524" s="83">
        <v>48904</v>
      </c>
      <c r="W524" s="75" t="s">
        <v>7300</v>
      </c>
      <c r="X524" s="75" t="s">
        <v>7301</v>
      </c>
      <c r="Y524" s="75" t="s">
        <v>7319</v>
      </c>
      <c r="Z524" s="103" t="s">
        <v>11948</v>
      </c>
      <c r="AA524" s="11"/>
      <c r="AB524" s="18"/>
      <c r="AC524" s="16"/>
      <c r="AD524" s="11" t="s">
        <v>11949</v>
      </c>
      <c r="AE524" s="11" t="s">
        <v>11950</v>
      </c>
      <c r="AF524" s="11"/>
      <c r="AG524" s="11"/>
      <c r="AH524" s="34"/>
      <c r="AI524" s="75" t="s">
        <v>8890</v>
      </c>
    </row>
    <row r="525" spans="1:35" x14ac:dyDescent="0.3">
      <c r="A525" s="34" t="s">
        <v>7286</v>
      </c>
      <c r="B525" s="17" t="s">
        <v>11951</v>
      </c>
      <c r="C525" s="34" t="s">
        <v>7367</v>
      </c>
      <c r="D525" s="81" t="s">
        <v>11952</v>
      </c>
      <c r="E525" s="11" t="s">
        <v>11953</v>
      </c>
      <c r="F525" s="75" t="s">
        <v>7293</v>
      </c>
      <c r="G525" s="75" t="s">
        <v>7293</v>
      </c>
      <c r="H525" s="11" t="s">
        <v>7293</v>
      </c>
      <c r="I525" s="75" t="s">
        <v>7293</v>
      </c>
      <c r="J525" s="11" t="s">
        <v>11213</v>
      </c>
      <c r="K525" s="11" t="s">
        <v>11214</v>
      </c>
      <c r="L525" s="77" t="s">
        <v>7587</v>
      </c>
      <c r="M525" s="76">
        <v>45957</v>
      </c>
      <c r="N525" s="76"/>
      <c r="O525" s="75"/>
      <c r="P525" s="17"/>
      <c r="Q525" s="76">
        <v>37575</v>
      </c>
      <c r="R525" s="78">
        <v>23.901369863013699</v>
      </c>
      <c r="S525" s="79" t="s">
        <v>11954</v>
      </c>
      <c r="T525" s="75" t="s">
        <v>7298</v>
      </c>
      <c r="U525" s="75" t="s">
        <v>11955</v>
      </c>
      <c r="V525" s="83">
        <v>47222</v>
      </c>
      <c r="W525" s="75" t="s">
        <v>7300</v>
      </c>
      <c r="X525" s="11" t="s">
        <v>10419</v>
      </c>
      <c r="Y525" s="11" t="s">
        <v>10821</v>
      </c>
      <c r="Z525" s="103" t="s">
        <v>11956</v>
      </c>
      <c r="AA525" s="11"/>
      <c r="AB525" s="18" t="s">
        <v>11957</v>
      </c>
      <c r="AC525" s="16"/>
      <c r="AD525" s="11" t="s">
        <v>11958</v>
      </c>
      <c r="AE525" s="11" t="s">
        <v>11958</v>
      </c>
      <c r="AF525" s="11"/>
      <c r="AG525" s="11"/>
      <c r="AH525" s="34"/>
      <c r="AI525" s="75" t="s">
        <v>7307</v>
      </c>
    </row>
    <row r="526" spans="1:35" x14ac:dyDescent="0.3">
      <c r="A526" s="34" t="s">
        <v>7286</v>
      </c>
      <c r="B526" s="17" t="s">
        <v>11959</v>
      </c>
      <c r="C526" s="34" t="s">
        <v>7367</v>
      </c>
      <c r="D526" s="81" t="s">
        <v>11960</v>
      </c>
      <c r="E526" s="11" t="s">
        <v>11961</v>
      </c>
      <c r="F526" s="75" t="s">
        <v>7674</v>
      </c>
      <c r="G526" s="75" t="s">
        <v>7675</v>
      </c>
      <c r="H526" s="11" t="s">
        <v>10804</v>
      </c>
      <c r="I526" s="75" t="s">
        <v>10805</v>
      </c>
      <c r="J526" s="75" t="s">
        <v>11962</v>
      </c>
      <c r="K526" s="11" t="s">
        <v>10930</v>
      </c>
      <c r="L526" s="77" t="s">
        <v>10803</v>
      </c>
      <c r="M526" s="76">
        <v>45964</v>
      </c>
      <c r="N526" s="76"/>
      <c r="O526" s="75"/>
      <c r="P526" s="17"/>
      <c r="Q526" s="76">
        <v>31405</v>
      </c>
      <c r="R526" s="78">
        <v>40.805479452054797</v>
      </c>
      <c r="S526" s="79" t="s">
        <v>11963</v>
      </c>
      <c r="T526" s="75" t="s">
        <v>7298</v>
      </c>
      <c r="U526" s="75" t="s">
        <v>11964</v>
      </c>
      <c r="V526" s="83">
        <v>47845</v>
      </c>
      <c r="W526" s="75" t="s">
        <v>7300</v>
      </c>
      <c r="X526" s="11" t="s">
        <v>10419</v>
      </c>
      <c r="Y526" s="11" t="s">
        <v>7302</v>
      </c>
      <c r="Z526" s="103" t="s">
        <v>11965</v>
      </c>
      <c r="AA526" s="11"/>
      <c r="AB526" s="18" t="s">
        <v>11966</v>
      </c>
      <c r="AC526" s="16"/>
      <c r="AD526" s="11" t="s">
        <v>11967</v>
      </c>
      <c r="AE526" s="11" t="s">
        <v>11968</v>
      </c>
      <c r="AF526" s="11"/>
      <c r="AG526" s="11"/>
      <c r="AH526" s="34"/>
      <c r="AI526" s="75" t="s">
        <v>7307</v>
      </c>
    </row>
    <row r="527" spans="1:35" x14ac:dyDescent="0.3">
      <c r="A527" s="34" t="s">
        <v>7286</v>
      </c>
      <c r="B527" s="17" t="s">
        <v>11969</v>
      </c>
      <c r="C527" s="72" t="s">
        <v>7150</v>
      </c>
      <c r="D527" s="81" t="s">
        <v>11970</v>
      </c>
      <c r="E527" s="11" t="s">
        <v>11971</v>
      </c>
      <c r="F527" s="75" t="s">
        <v>7329</v>
      </c>
      <c r="G527" s="75" t="s">
        <v>7330</v>
      </c>
      <c r="H527" s="75" t="s">
        <v>7452</v>
      </c>
      <c r="I527" s="75" t="s">
        <v>7453</v>
      </c>
      <c r="J527" s="75" t="s">
        <v>11972</v>
      </c>
      <c r="K527" s="11" t="s">
        <v>11973</v>
      </c>
      <c r="L527" s="77" t="s">
        <v>7456</v>
      </c>
      <c r="M527" s="76">
        <v>45964</v>
      </c>
      <c r="N527" s="76"/>
      <c r="O527" s="75"/>
      <c r="P527" s="17"/>
      <c r="Q527" s="76">
        <v>36300</v>
      </c>
      <c r="R527" s="78">
        <v>27.394520547945206</v>
      </c>
      <c r="S527" s="79" t="s">
        <v>11974</v>
      </c>
      <c r="T527" s="75" t="s">
        <v>7298</v>
      </c>
      <c r="U527" s="75" t="s">
        <v>11975</v>
      </c>
      <c r="V527" s="83">
        <v>49170</v>
      </c>
      <c r="W527" s="75" t="s">
        <v>7300</v>
      </c>
      <c r="X527" s="11" t="s">
        <v>10419</v>
      </c>
      <c r="Y527" s="11" t="s">
        <v>7302</v>
      </c>
      <c r="Z527" s="103" t="s">
        <v>11976</v>
      </c>
      <c r="AA527" s="11"/>
      <c r="AB527" s="18" t="s">
        <v>11977</v>
      </c>
      <c r="AC527" s="16"/>
      <c r="AD527" s="11" t="s">
        <v>11978</v>
      </c>
      <c r="AE527" s="11" t="s">
        <v>11979</v>
      </c>
      <c r="AF527" s="11"/>
      <c r="AG527" s="11"/>
      <c r="AH527" s="34"/>
      <c r="AI527" s="75" t="s">
        <v>7307</v>
      </c>
    </row>
    <row r="528" spans="1:35" x14ac:dyDescent="0.3">
      <c r="A528" s="34" t="s">
        <v>7286</v>
      </c>
      <c r="B528" s="17" t="s">
        <v>11980</v>
      </c>
      <c r="C528" s="72" t="s">
        <v>7150</v>
      </c>
      <c r="D528" s="81" t="s">
        <v>11981</v>
      </c>
      <c r="E528" s="11" t="s">
        <v>1450</v>
      </c>
      <c r="F528" s="75" t="s">
        <v>7293</v>
      </c>
      <c r="G528" s="75" t="s">
        <v>7293</v>
      </c>
      <c r="H528" s="75" t="s">
        <v>7311</v>
      </c>
      <c r="I528" s="75" t="s">
        <v>7312</v>
      </c>
      <c r="J528" s="82" t="s">
        <v>7313</v>
      </c>
      <c r="K528" s="11" t="s">
        <v>7314</v>
      </c>
      <c r="L528" s="77" t="s">
        <v>7315</v>
      </c>
      <c r="M528" s="76">
        <v>45985</v>
      </c>
      <c r="N528" s="76"/>
      <c r="O528" s="75"/>
      <c r="P528" s="17" t="s">
        <v>7316</v>
      </c>
      <c r="Q528" s="76">
        <v>32058</v>
      </c>
      <c r="R528" s="78">
        <v>39.016438356164386</v>
      </c>
      <c r="S528" s="79" t="s">
        <v>11982</v>
      </c>
      <c r="T528" s="75" t="s">
        <v>7298</v>
      </c>
      <c r="U528" s="75" t="s">
        <v>11983</v>
      </c>
      <c r="V528" s="83">
        <v>48460</v>
      </c>
      <c r="W528" s="75" t="s">
        <v>7300</v>
      </c>
      <c r="X528" s="11" t="s">
        <v>7301</v>
      </c>
      <c r="Y528" s="15" t="s">
        <v>7319</v>
      </c>
      <c r="Z528" s="103" t="s">
        <v>11984</v>
      </c>
      <c r="AA528" s="11"/>
      <c r="AB528" s="18"/>
      <c r="AC528" s="16"/>
      <c r="AD528" s="11" t="s">
        <v>11985</v>
      </c>
      <c r="AE528" s="11" t="s">
        <v>11986</v>
      </c>
      <c r="AF528" s="11"/>
      <c r="AG528" s="11"/>
      <c r="AH528" s="34"/>
      <c r="AI528" s="75" t="s">
        <v>7324</v>
      </c>
    </row>
    <row r="529" spans="1:35" x14ac:dyDescent="0.3">
      <c r="A529" s="34" t="s">
        <v>7286</v>
      </c>
      <c r="B529" s="17" t="s">
        <v>11987</v>
      </c>
      <c r="C529" s="72" t="s">
        <v>11988</v>
      </c>
      <c r="D529" s="81" t="s">
        <v>11989</v>
      </c>
      <c r="E529" s="11" t="s">
        <v>11990</v>
      </c>
      <c r="F529" s="75" t="s">
        <v>7293</v>
      </c>
      <c r="G529" s="75" t="s">
        <v>7293</v>
      </c>
      <c r="H529" s="75" t="s">
        <v>11861</v>
      </c>
      <c r="I529" s="75" t="s">
        <v>11862</v>
      </c>
      <c r="J529" s="75" t="s">
        <v>11991</v>
      </c>
      <c r="K529" s="11" t="s">
        <v>11992</v>
      </c>
      <c r="L529" s="77" t="s">
        <v>11993</v>
      </c>
      <c r="M529" s="76">
        <v>45986</v>
      </c>
      <c r="N529" s="76"/>
      <c r="O529" s="75" t="s">
        <v>7923</v>
      </c>
      <c r="P529" s="17"/>
      <c r="Q529" s="76">
        <v>35401</v>
      </c>
      <c r="R529" s="78">
        <v>29.857534246575341</v>
      </c>
      <c r="S529" s="79" t="s">
        <v>11994</v>
      </c>
      <c r="T529" s="75" t="s">
        <v>7298</v>
      </c>
      <c r="U529" s="75" t="s">
        <v>11995</v>
      </c>
      <c r="V529" s="83">
        <v>47737</v>
      </c>
      <c r="W529" s="75" t="s">
        <v>7300</v>
      </c>
      <c r="X529" s="75" t="s">
        <v>7301</v>
      </c>
      <c r="Y529" s="100" t="s">
        <v>7319</v>
      </c>
      <c r="Z529" s="103" t="s">
        <v>11996</v>
      </c>
      <c r="AA529" s="11"/>
      <c r="AB529" s="18" t="s">
        <v>11997</v>
      </c>
      <c r="AC529" s="16" t="s">
        <v>11998</v>
      </c>
      <c r="AD529" s="11" t="s">
        <v>11999</v>
      </c>
      <c r="AE529" s="11" t="s">
        <v>11999</v>
      </c>
      <c r="AF529" s="11"/>
      <c r="AG529" s="11"/>
      <c r="AH529" s="34"/>
      <c r="AI529" s="75" t="s">
        <v>7307</v>
      </c>
    </row>
    <row r="530" spans="1:35" x14ac:dyDescent="0.3">
      <c r="A530" s="34" t="s">
        <v>7286</v>
      </c>
      <c r="B530" s="17" t="s">
        <v>12000</v>
      </c>
      <c r="C530" s="71" t="s">
        <v>7367</v>
      </c>
      <c r="D530" s="81" t="s">
        <v>12001</v>
      </c>
      <c r="E530" s="11" t="s">
        <v>12002</v>
      </c>
      <c r="F530" s="75" t="s">
        <v>7370</v>
      </c>
      <c r="G530" s="75" t="s">
        <v>7371</v>
      </c>
      <c r="H530" s="75" t="s">
        <v>9832</v>
      </c>
      <c r="I530" s="75" t="s">
        <v>9833</v>
      </c>
      <c r="J530" s="75" t="s">
        <v>10862</v>
      </c>
      <c r="K530" s="11" t="s">
        <v>10863</v>
      </c>
      <c r="L530" s="77" t="s">
        <v>9836</v>
      </c>
      <c r="M530" s="76">
        <v>45999</v>
      </c>
      <c r="N530" s="76"/>
      <c r="O530" s="75"/>
      <c r="P530" s="17"/>
      <c r="Q530" s="76">
        <v>38889</v>
      </c>
      <c r="R530" s="78">
        <v>20.301369863013697</v>
      </c>
      <c r="S530" s="79" t="s">
        <v>12003</v>
      </c>
      <c r="T530" s="75" t="s">
        <v>7298</v>
      </c>
      <c r="U530" s="75" t="s">
        <v>12004</v>
      </c>
      <c r="V530" s="83">
        <v>48612</v>
      </c>
      <c r="W530" s="75" t="s">
        <v>7300</v>
      </c>
      <c r="X530" s="75" t="s">
        <v>10336</v>
      </c>
      <c r="Y530" s="11" t="s">
        <v>7302</v>
      </c>
      <c r="Z530" s="103" t="s">
        <v>12005</v>
      </c>
      <c r="AA530" s="11"/>
      <c r="AB530" s="18" t="s">
        <v>12006</v>
      </c>
      <c r="AC530" s="16"/>
      <c r="AD530" s="11" t="s">
        <v>12007</v>
      </c>
      <c r="AE530" s="11" t="s">
        <v>12008</v>
      </c>
      <c r="AF530" s="11"/>
      <c r="AG530" s="11"/>
      <c r="AH530" s="34"/>
      <c r="AI530" s="75" t="s">
        <v>11668</v>
      </c>
    </row>
    <row r="531" spans="1:35" x14ac:dyDescent="0.3">
      <c r="A531" s="34" t="s">
        <v>7286</v>
      </c>
      <c r="B531" s="17" t="s">
        <v>12009</v>
      </c>
      <c r="C531" s="71" t="s">
        <v>7367</v>
      </c>
      <c r="D531" s="81" t="s">
        <v>12010</v>
      </c>
      <c r="E531" s="11" t="s">
        <v>12011</v>
      </c>
      <c r="F531" s="75" t="s">
        <v>7370</v>
      </c>
      <c r="G531" s="75" t="s">
        <v>7371</v>
      </c>
      <c r="H531" s="75" t="s">
        <v>9832</v>
      </c>
      <c r="I531" s="75" t="s">
        <v>9833</v>
      </c>
      <c r="J531" s="75" t="s">
        <v>11113</v>
      </c>
      <c r="K531" s="11" t="s">
        <v>6348</v>
      </c>
      <c r="L531" s="77" t="s">
        <v>9836</v>
      </c>
      <c r="M531" s="76">
        <v>45999</v>
      </c>
      <c r="N531" s="76"/>
      <c r="O531" s="75"/>
      <c r="P531" s="17"/>
      <c r="Q531" s="76">
        <v>37155</v>
      </c>
      <c r="R531" s="78">
        <v>25.052054794520547</v>
      </c>
      <c r="S531" s="79" t="s">
        <v>12012</v>
      </c>
      <c r="T531" s="75" t="s">
        <v>7298</v>
      </c>
      <c r="U531" s="75" t="s">
        <v>12013</v>
      </c>
      <c r="V531" s="83">
        <v>48282</v>
      </c>
      <c r="W531" s="75" t="s">
        <v>7300</v>
      </c>
      <c r="X531" s="75" t="s">
        <v>7301</v>
      </c>
      <c r="Y531" s="11" t="s">
        <v>7302</v>
      </c>
      <c r="Z531" s="103" t="s">
        <v>12014</v>
      </c>
      <c r="AA531" s="11"/>
      <c r="AB531" s="18" t="s">
        <v>12015</v>
      </c>
      <c r="AC531" s="16"/>
      <c r="AD531" s="11" t="s">
        <v>12016</v>
      </c>
      <c r="AE531" s="11" t="s">
        <v>12017</v>
      </c>
      <c r="AF531" s="11"/>
      <c r="AG531" s="11"/>
      <c r="AH531" s="34"/>
      <c r="AI531" s="75" t="s">
        <v>11668</v>
      </c>
    </row>
    <row r="532" spans="1:35" x14ac:dyDescent="0.3">
      <c r="A532" s="34" t="s">
        <v>7286</v>
      </c>
      <c r="B532" s="17" t="s">
        <v>12018</v>
      </c>
      <c r="C532" s="71" t="s">
        <v>7150</v>
      </c>
      <c r="D532" s="81" t="s">
        <v>12019</v>
      </c>
      <c r="E532" s="11" t="s">
        <v>12020</v>
      </c>
      <c r="F532" s="75" t="s">
        <v>7329</v>
      </c>
      <c r="G532" s="75" t="s">
        <v>7330</v>
      </c>
      <c r="H532" s="75" t="s">
        <v>7405</v>
      </c>
      <c r="I532" s="75" t="s">
        <v>7406</v>
      </c>
      <c r="J532" s="75" t="s">
        <v>7407</v>
      </c>
      <c r="K532" s="11" t="s">
        <v>6411</v>
      </c>
      <c r="L532" s="77" t="s">
        <v>7409</v>
      </c>
      <c r="M532" s="76">
        <v>46009</v>
      </c>
      <c r="N532" s="76"/>
      <c r="O532" s="75"/>
      <c r="P532" s="17"/>
      <c r="Q532" s="76">
        <v>37701</v>
      </c>
      <c r="R532" s="78">
        <v>23.556164383561644</v>
      </c>
      <c r="S532" s="79" t="s">
        <v>12021</v>
      </c>
      <c r="T532" s="75" t="s">
        <v>7298</v>
      </c>
      <c r="U532" s="75" t="s">
        <v>12022</v>
      </c>
      <c r="V532" s="83">
        <v>47321</v>
      </c>
      <c r="W532" s="75" t="s">
        <v>7300</v>
      </c>
      <c r="X532" s="75" t="s">
        <v>10336</v>
      </c>
      <c r="Y532" s="100" t="s">
        <v>7319</v>
      </c>
      <c r="Z532" s="103" t="s">
        <v>12023</v>
      </c>
      <c r="AA532" s="11"/>
      <c r="AB532" s="18"/>
      <c r="AC532" s="16"/>
      <c r="AD532" s="11" t="s">
        <v>12024</v>
      </c>
      <c r="AE532" s="11" t="s">
        <v>12024</v>
      </c>
      <c r="AF532" s="11"/>
      <c r="AG532" s="11"/>
      <c r="AH532" s="34"/>
      <c r="AI532" s="75" t="s">
        <v>7324</v>
      </c>
    </row>
    <row r="533" spans="1:35" x14ac:dyDescent="0.3">
      <c r="A533" s="34" t="s">
        <v>7286</v>
      </c>
      <c r="B533" s="17" t="s">
        <v>12025</v>
      </c>
      <c r="C533" s="71" t="s">
        <v>7367</v>
      </c>
      <c r="D533" s="81" t="s">
        <v>12026</v>
      </c>
      <c r="E533" s="11" t="s">
        <v>12027</v>
      </c>
      <c r="F533" s="75" t="s">
        <v>7370</v>
      </c>
      <c r="G533" s="75" t="s">
        <v>7371</v>
      </c>
      <c r="H533" s="75" t="s">
        <v>9832</v>
      </c>
      <c r="I533" s="75" t="s">
        <v>9833</v>
      </c>
      <c r="J533" s="75" t="s">
        <v>10862</v>
      </c>
      <c r="K533" s="11" t="s">
        <v>10863</v>
      </c>
      <c r="L533" s="77" t="s">
        <v>9836</v>
      </c>
      <c r="M533" s="76">
        <v>46016</v>
      </c>
      <c r="N533" s="76"/>
      <c r="O533" s="75"/>
      <c r="P533" s="17"/>
      <c r="Q533" s="76">
        <v>36814</v>
      </c>
      <c r="R533" s="78">
        <v>25.986301369863014</v>
      </c>
      <c r="S533" s="79" t="s">
        <v>12028</v>
      </c>
      <c r="T533" s="75" t="s">
        <v>7298</v>
      </c>
      <c r="U533" s="75" t="s">
        <v>12029</v>
      </c>
      <c r="V533" s="83">
        <v>49618</v>
      </c>
      <c r="W533" s="75" t="s">
        <v>7300</v>
      </c>
      <c r="X533" s="75" t="s">
        <v>7301</v>
      </c>
      <c r="Y533" s="100" t="s">
        <v>7319</v>
      </c>
      <c r="Z533" s="103" t="s">
        <v>12030</v>
      </c>
      <c r="AA533" s="11"/>
      <c r="AB533" s="18" t="s">
        <v>12031</v>
      </c>
      <c r="AC533" s="16"/>
      <c r="AD533" s="11" t="s">
        <v>12032</v>
      </c>
      <c r="AE533" s="11" t="s">
        <v>12033</v>
      </c>
      <c r="AF533" s="11"/>
      <c r="AG533" s="11"/>
      <c r="AH533" s="34"/>
      <c r="AI533" s="75" t="s">
        <v>7745</v>
      </c>
    </row>
    <row r="534" spans="1:35" x14ac:dyDescent="0.3">
      <c r="A534" s="34" t="s">
        <v>7286</v>
      </c>
      <c r="B534" s="17" t="s">
        <v>12034</v>
      </c>
      <c r="C534" s="71" t="s">
        <v>7150</v>
      </c>
      <c r="D534" s="81" t="s">
        <v>12035</v>
      </c>
      <c r="E534" s="11" t="s">
        <v>12036</v>
      </c>
      <c r="F534" s="75" t="s">
        <v>7329</v>
      </c>
      <c r="G534" s="75" t="s">
        <v>7330</v>
      </c>
      <c r="H534" s="75" t="s">
        <v>7331</v>
      </c>
      <c r="I534" s="75" t="s">
        <v>7332</v>
      </c>
      <c r="J534" s="75" t="s">
        <v>8202</v>
      </c>
      <c r="K534" s="11" t="s">
        <v>8203</v>
      </c>
      <c r="L534" s="77" t="s">
        <v>7335</v>
      </c>
      <c r="M534" s="76">
        <v>46028</v>
      </c>
      <c r="N534" s="76"/>
      <c r="O534" s="75"/>
      <c r="P534" s="17"/>
      <c r="Q534" s="76">
        <v>30163</v>
      </c>
      <c r="R534" s="78">
        <v>44.208219178082189</v>
      </c>
      <c r="S534" s="79" t="s">
        <v>12037</v>
      </c>
      <c r="T534" s="75" t="s">
        <v>7298</v>
      </c>
      <c r="U534" s="75" t="s">
        <v>12038</v>
      </c>
      <c r="V534" s="83">
        <v>48426</v>
      </c>
      <c r="W534" s="75" t="s">
        <v>7300</v>
      </c>
      <c r="X534" s="75" t="s">
        <v>10336</v>
      </c>
      <c r="Y534" s="100" t="s">
        <v>7319</v>
      </c>
      <c r="Z534" s="103" t="s">
        <v>12039</v>
      </c>
      <c r="AA534" s="11"/>
      <c r="AB534" s="18"/>
      <c r="AC534" s="16"/>
      <c r="AD534" s="11" t="s">
        <v>12040</v>
      </c>
      <c r="AE534" s="11" t="s">
        <v>12040</v>
      </c>
      <c r="AF534" s="11"/>
      <c r="AG534" s="11"/>
      <c r="AH534" s="34"/>
      <c r="AI534" s="75" t="s">
        <v>11668</v>
      </c>
    </row>
    <row r="535" spans="1:35" x14ac:dyDescent="0.3">
      <c r="A535" s="34" t="s">
        <v>7286</v>
      </c>
      <c r="B535" s="17" t="s">
        <v>12041</v>
      </c>
      <c r="C535" s="71" t="s">
        <v>7150</v>
      </c>
      <c r="D535" s="81" t="s">
        <v>12042</v>
      </c>
      <c r="E535" s="11" t="s">
        <v>1399</v>
      </c>
      <c r="F535" s="75" t="s">
        <v>7293</v>
      </c>
      <c r="G535" s="75" t="s">
        <v>7293</v>
      </c>
      <c r="H535" s="75" t="s">
        <v>7311</v>
      </c>
      <c r="I535" s="75" t="s">
        <v>7312</v>
      </c>
      <c r="J535" s="75" t="s">
        <v>7433</v>
      </c>
      <c r="K535" s="11" t="s">
        <v>7434</v>
      </c>
      <c r="L535" s="77" t="s">
        <v>7315</v>
      </c>
      <c r="M535" s="76">
        <v>46030</v>
      </c>
      <c r="N535" s="76"/>
      <c r="O535" s="75"/>
      <c r="P535" s="17" t="s">
        <v>7316</v>
      </c>
      <c r="Q535" s="76">
        <v>30905</v>
      </c>
      <c r="R535" s="78">
        <v>42.175342465753424</v>
      </c>
      <c r="S535" s="79" t="s">
        <v>12043</v>
      </c>
      <c r="T535" s="75" t="s">
        <v>7298</v>
      </c>
      <c r="U535" s="75" t="s">
        <v>12044</v>
      </c>
      <c r="V535" s="83">
        <v>47367</v>
      </c>
      <c r="W535" s="75" t="s">
        <v>7300</v>
      </c>
      <c r="X535" s="75" t="s">
        <v>7301</v>
      </c>
      <c r="Y535" s="100" t="s">
        <v>7319</v>
      </c>
      <c r="Z535" s="103" t="s">
        <v>12045</v>
      </c>
      <c r="AA535" s="11"/>
      <c r="AB535" s="18"/>
      <c r="AC535" s="16"/>
      <c r="AD535" s="11" t="s">
        <v>12046</v>
      </c>
      <c r="AE535" s="11" t="s">
        <v>12047</v>
      </c>
      <c r="AF535" s="11"/>
      <c r="AG535" s="11"/>
      <c r="AH535" s="34"/>
      <c r="AI535" s="75" t="s">
        <v>7324</v>
      </c>
    </row>
    <row r="536" spans="1:35" x14ac:dyDescent="0.3">
      <c r="A536" s="34" t="s">
        <v>7286</v>
      </c>
      <c r="B536" s="17" t="s">
        <v>12048</v>
      </c>
      <c r="C536" s="71" t="s">
        <v>7367</v>
      </c>
      <c r="D536" s="74" t="s">
        <v>12049</v>
      </c>
      <c r="E536" s="11" t="s">
        <v>12050</v>
      </c>
      <c r="F536" s="75" t="s">
        <v>7370</v>
      </c>
      <c r="G536" s="75" t="s">
        <v>7371</v>
      </c>
      <c r="H536" s="75" t="s">
        <v>7372</v>
      </c>
      <c r="I536" s="75" t="s">
        <v>7373</v>
      </c>
      <c r="J536" s="75" t="s">
        <v>10682</v>
      </c>
      <c r="K536" s="11" t="s">
        <v>11193</v>
      </c>
      <c r="L536" s="77" t="s">
        <v>7376</v>
      </c>
      <c r="M536" s="76">
        <v>46048</v>
      </c>
      <c r="N536" s="76"/>
      <c r="O536" s="11"/>
      <c r="P536" s="17"/>
      <c r="Q536" s="98">
        <v>35617</v>
      </c>
      <c r="R536" s="78">
        <v>29.265753424657536</v>
      </c>
      <c r="S536" s="101" t="s">
        <v>12051</v>
      </c>
      <c r="T536" s="75" t="s">
        <v>7298</v>
      </c>
      <c r="U536" s="11" t="s">
        <v>12052</v>
      </c>
      <c r="V536" s="102">
        <v>47399</v>
      </c>
      <c r="W536" s="75" t="s">
        <v>7300</v>
      </c>
      <c r="X536" s="11" t="s">
        <v>7301</v>
      </c>
      <c r="Y536" s="11" t="s">
        <v>7319</v>
      </c>
      <c r="Z536" s="103" t="s">
        <v>12053</v>
      </c>
      <c r="AA536" s="11"/>
      <c r="AB536" s="18" t="s">
        <v>12054</v>
      </c>
      <c r="AC536" s="16" t="s">
        <v>12055</v>
      </c>
      <c r="AD536" s="11" t="s">
        <v>12056</v>
      </c>
      <c r="AE536" s="11" t="s">
        <v>12056</v>
      </c>
      <c r="AF536" s="11"/>
      <c r="AG536" s="11"/>
      <c r="AH536" s="34"/>
      <c r="AI536" s="75" t="s">
        <v>7745</v>
      </c>
    </row>
    <row r="537" spans="1:35" x14ac:dyDescent="0.3">
      <c r="A537" s="34" t="s">
        <v>7286</v>
      </c>
      <c r="B537" s="17" t="s">
        <v>12057</v>
      </c>
      <c r="C537" s="71" t="s">
        <v>7367</v>
      </c>
      <c r="D537" s="74" t="s">
        <v>12058</v>
      </c>
      <c r="E537" s="11" t="s">
        <v>12059</v>
      </c>
      <c r="F537" s="75" t="s">
        <v>7370</v>
      </c>
      <c r="G537" s="75" t="s">
        <v>7371</v>
      </c>
      <c r="H537" s="75" t="s">
        <v>7372</v>
      </c>
      <c r="I537" s="75" t="s">
        <v>7373</v>
      </c>
      <c r="J537" s="75" t="s">
        <v>11113</v>
      </c>
      <c r="K537" s="11" t="s">
        <v>6348</v>
      </c>
      <c r="L537" s="77" t="s">
        <v>7376</v>
      </c>
      <c r="M537" s="76">
        <v>46055</v>
      </c>
      <c r="N537" s="76"/>
      <c r="O537" s="11"/>
      <c r="P537" s="17"/>
      <c r="Q537" s="98">
        <v>36555</v>
      </c>
      <c r="R537" s="78">
        <v>26.695890410958903</v>
      </c>
      <c r="S537" s="101" t="s">
        <v>12060</v>
      </c>
      <c r="T537" s="75" t="s">
        <v>7298</v>
      </c>
      <c r="U537" s="11" t="s">
        <v>12061</v>
      </c>
      <c r="V537" s="102">
        <v>49326</v>
      </c>
      <c r="W537" s="75" t="s">
        <v>7300</v>
      </c>
      <c r="X537" s="11" t="s">
        <v>10419</v>
      </c>
      <c r="Y537" s="100" t="s">
        <v>7302</v>
      </c>
      <c r="Z537" s="103" t="s">
        <v>12062</v>
      </c>
      <c r="AA537" s="11"/>
      <c r="AB537" s="18" t="s">
        <v>12063</v>
      </c>
      <c r="AC537" s="16"/>
      <c r="AD537" s="11" t="s">
        <v>12064</v>
      </c>
      <c r="AE537" s="11" t="s">
        <v>12065</v>
      </c>
      <c r="AF537" s="11"/>
      <c r="AG537" s="11"/>
      <c r="AH537" s="34"/>
      <c r="AI537" s="75" t="s">
        <v>7745</v>
      </c>
    </row>
    <row r="538" spans="1:35" x14ac:dyDescent="0.3">
      <c r="A538" s="34" t="s">
        <v>7286</v>
      </c>
      <c r="B538" s="17" t="s">
        <v>12066</v>
      </c>
      <c r="C538" s="71" t="s">
        <v>7150</v>
      </c>
      <c r="D538" s="11" t="s">
        <v>12067</v>
      </c>
      <c r="E538" s="11" t="s">
        <v>12068</v>
      </c>
      <c r="F538" s="75" t="s">
        <v>7293</v>
      </c>
      <c r="G538" s="75" t="s">
        <v>7293</v>
      </c>
      <c r="H538" s="75" t="s">
        <v>7293</v>
      </c>
      <c r="I538" s="75" t="s">
        <v>7293</v>
      </c>
      <c r="J538" s="75" t="s">
        <v>7542</v>
      </c>
      <c r="K538" s="11" t="s">
        <v>6401</v>
      </c>
      <c r="L538" s="77" t="s">
        <v>7543</v>
      </c>
      <c r="M538" s="76">
        <v>46058</v>
      </c>
      <c r="N538" s="76"/>
      <c r="O538" s="11"/>
      <c r="P538" s="17"/>
      <c r="Q538" s="98">
        <v>28987</v>
      </c>
      <c r="R538" s="78">
        <v>47.43013698630137</v>
      </c>
      <c r="S538" s="11" t="s">
        <v>12069</v>
      </c>
      <c r="T538" s="75" t="s">
        <v>7298</v>
      </c>
      <c r="U538" s="75" t="s">
        <v>12070</v>
      </c>
      <c r="V538" s="102">
        <v>49043</v>
      </c>
      <c r="W538" s="75" t="s">
        <v>7300</v>
      </c>
      <c r="X538" s="11" t="s">
        <v>7301</v>
      </c>
      <c r="Y538" s="100" t="s">
        <v>7302</v>
      </c>
      <c r="Z538" s="103" t="s">
        <v>12071</v>
      </c>
      <c r="AA538" s="11"/>
      <c r="AB538" s="18"/>
      <c r="AC538" s="11"/>
      <c r="AD538" s="11" t="s">
        <v>12072</v>
      </c>
      <c r="AE538" s="11" t="s">
        <v>12072</v>
      </c>
      <c r="AF538" s="11"/>
      <c r="AG538" s="11"/>
      <c r="AH538" s="34"/>
      <c r="AI538" s="11" t="s">
        <v>8361</v>
      </c>
    </row>
    <row r="539" spans="1:35" x14ac:dyDescent="0.3">
      <c r="A539" s="34" t="s">
        <v>7286</v>
      </c>
      <c r="B539" s="17" t="s">
        <v>12073</v>
      </c>
      <c r="C539" s="71" t="s">
        <v>7150</v>
      </c>
      <c r="D539" s="11" t="s">
        <v>12074</v>
      </c>
      <c r="E539" s="11" t="s">
        <v>12075</v>
      </c>
      <c r="F539" s="75" t="s">
        <v>7329</v>
      </c>
      <c r="G539" s="75" t="s">
        <v>7330</v>
      </c>
      <c r="H539" s="75" t="s">
        <v>7405</v>
      </c>
      <c r="I539" s="75" t="s">
        <v>7406</v>
      </c>
      <c r="J539" s="75" t="s">
        <v>7407</v>
      </c>
      <c r="K539" s="11" t="s">
        <v>6411</v>
      </c>
      <c r="L539" s="77" t="s">
        <v>7409</v>
      </c>
      <c r="M539" s="76">
        <v>46058</v>
      </c>
      <c r="N539" s="76"/>
      <c r="O539" s="11"/>
      <c r="P539" s="17"/>
      <c r="Q539" s="98">
        <v>37590</v>
      </c>
      <c r="R539" s="78">
        <v>23.860273972602741</v>
      </c>
      <c r="S539" s="11" t="s">
        <v>12076</v>
      </c>
      <c r="T539" s="75" t="s">
        <v>7298</v>
      </c>
      <c r="U539" s="75" t="s">
        <v>12077</v>
      </c>
      <c r="V539" s="102">
        <v>47098</v>
      </c>
      <c r="W539" s="75" t="s">
        <v>7300</v>
      </c>
      <c r="X539" s="11" t="s">
        <v>10419</v>
      </c>
      <c r="Y539" s="100" t="s">
        <v>7319</v>
      </c>
      <c r="Z539" s="103" t="s">
        <v>12078</v>
      </c>
      <c r="AA539" s="11"/>
      <c r="AB539" s="18"/>
      <c r="AC539" s="11"/>
      <c r="AD539" s="11" t="s">
        <v>12079</v>
      </c>
      <c r="AE539" s="11" t="s">
        <v>12080</v>
      </c>
      <c r="AF539" s="11"/>
      <c r="AG539" s="11"/>
      <c r="AH539" s="34"/>
      <c r="AI539" s="75" t="s">
        <v>7324</v>
      </c>
    </row>
    <row r="540" spans="1:35" x14ac:dyDescent="0.3">
      <c r="A540" s="34" t="s">
        <v>7286</v>
      </c>
      <c r="B540" s="17" t="s">
        <v>12081</v>
      </c>
      <c r="C540" s="71" t="s">
        <v>7288</v>
      </c>
      <c r="D540" s="81" t="s">
        <v>12082</v>
      </c>
      <c r="E540" s="11" t="s">
        <v>10193</v>
      </c>
      <c r="F540" s="75" t="s">
        <v>10190</v>
      </c>
      <c r="G540" s="75" t="s">
        <v>6421</v>
      </c>
      <c r="H540" s="75" t="s">
        <v>7293</v>
      </c>
      <c r="I540" s="75" t="s">
        <v>7293</v>
      </c>
      <c r="J540" s="11" t="s">
        <v>12083</v>
      </c>
      <c r="K540" s="11" t="s">
        <v>12084</v>
      </c>
      <c r="L540" s="77" t="s">
        <v>7295</v>
      </c>
      <c r="M540" s="76">
        <v>46077</v>
      </c>
      <c r="N540" s="76"/>
      <c r="O540" s="11"/>
      <c r="P540" s="17"/>
      <c r="Q540" s="98">
        <v>27687</v>
      </c>
      <c r="R540" s="78">
        <v>50.991780821917807</v>
      </c>
      <c r="S540" s="11" t="s">
        <v>12085</v>
      </c>
      <c r="T540" s="75" t="s">
        <v>7298</v>
      </c>
      <c r="U540" s="11" t="s">
        <v>12086</v>
      </c>
      <c r="V540" s="102">
        <v>49015</v>
      </c>
      <c r="W540" s="75" t="s">
        <v>7300</v>
      </c>
      <c r="X540" s="11" t="s">
        <v>10419</v>
      </c>
      <c r="Y540" s="100" t="s">
        <v>7302</v>
      </c>
      <c r="Z540" s="103" t="s">
        <v>12087</v>
      </c>
      <c r="AA540" s="11"/>
      <c r="AB540" s="18" t="s">
        <v>12088</v>
      </c>
      <c r="AC540" s="11"/>
      <c r="AD540" s="11" t="s">
        <v>12089</v>
      </c>
      <c r="AE540" s="11" t="s">
        <v>12089</v>
      </c>
      <c r="AF540" s="11"/>
      <c r="AG540" s="11"/>
      <c r="AH540" s="34"/>
      <c r="AI540" s="75" t="s">
        <v>7307</v>
      </c>
    </row>
    <row r="541" spans="1:35" x14ac:dyDescent="0.3">
      <c r="A541" s="34" t="s">
        <v>7286</v>
      </c>
      <c r="B541" s="17" t="s">
        <v>12090</v>
      </c>
      <c r="C541" s="71" t="s">
        <v>11534</v>
      </c>
      <c r="D541" s="81" t="s">
        <v>12091</v>
      </c>
      <c r="E541" s="11" t="s">
        <v>12092</v>
      </c>
      <c r="F541" s="75" t="s">
        <v>7370</v>
      </c>
      <c r="G541" s="75" t="s">
        <v>7371</v>
      </c>
      <c r="H541" s="75" t="s">
        <v>9832</v>
      </c>
      <c r="I541" s="75" t="s">
        <v>9833</v>
      </c>
      <c r="J541" s="75" t="s">
        <v>11537</v>
      </c>
      <c r="K541" s="11" t="s">
        <v>11538</v>
      </c>
      <c r="L541" s="77" t="s">
        <v>9836</v>
      </c>
      <c r="M541" s="76">
        <v>46084</v>
      </c>
      <c r="N541" s="76"/>
      <c r="O541" s="75"/>
      <c r="P541" s="17"/>
      <c r="Q541" s="98">
        <v>37782</v>
      </c>
      <c r="R541" s="78">
        <v>23.334246575342465</v>
      </c>
      <c r="S541" s="11" t="s">
        <v>12093</v>
      </c>
      <c r="T541" s="82" t="s">
        <v>7298</v>
      </c>
      <c r="U541" s="11" t="s">
        <v>12094</v>
      </c>
      <c r="V541" s="102">
        <v>49184</v>
      </c>
      <c r="W541" s="75" t="s">
        <v>7300</v>
      </c>
      <c r="X541" s="11" t="s">
        <v>10336</v>
      </c>
      <c r="Y541" s="100" t="s">
        <v>7302</v>
      </c>
      <c r="Z541" s="103" t="s">
        <v>12095</v>
      </c>
      <c r="AA541" s="11"/>
      <c r="AB541" s="18" t="s">
        <v>12096</v>
      </c>
      <c r="AC541" s="11"/>
      <c r="AD541" s="11" t="s">
        <v>12097</v>
      </c>
      <c r="AE541" s="11" t="s">
        <v>12098</v>
      </c>
      <c r="AF541" s="11"/>
      <c r="AG541" s="11"/>
      <c r="AH541" s="34"/>
      <c r="AI541" s="75" t="s">
        <v>11668</v>
      </c>
    </row>
    <row r="542" spans="1:35" x14ac:dyDescent="0.3">
      <c r="A542" s="34" t="s">
        <v>7286</v>
      </c>
      <c r="B542" s="17" t="s">
        <v>12099</v>
      </c>
      <c r="C542" s="71" t="s">
        <v>7367</v>
      </c>
      <c r="D542" s="81" t="s">
        <v>12100</v>
      </c>
      <c r="E542" s="11" t="s">
        <v>826</v>
      </c>
      <c r="F542" s="75" t="s">
        <v>7293</v>
      </c>
      <c r="G542" s="75" t="s">
        <v>7293</v>
      </c>
      <c r="H542" s="75" t="s">
        <v>7933</v>
      </c>
      <c r="I542" s="75" t="s">
        <v>7934</v>
      </c>
      <c r="J542" s="75" t="s">
        <v>12101</v>
      </c>
      <c r="K542" s="11" t="s">
        <v>12102</v>
      </c>
      <c r="L542" s="77" t="s">
        <v>7937</v>
      </c>
      <c r="M542" s="76">
        <v>46084</v>
      </c>
      <c r="N542" s="76"/>
      <c r="O542" s="75"/>
      <c r="P542" s="17"/>
      <c r="Q542" s="98">
        <v>28777</v>
      </c>
      <c r="R542" s="78">
        <v>48.005479452054793</v>
      </c>
      <c r="S542" s="11" t="s">
        <v>12103</v>
      </c>
      <c r="T542" s="82" t="s">
        <v>7298</v>
      </c>
      <c r="U542" s="11" t="s">
        <v>12104</v>
      </c>
      <c r="V542" s="102">
        <v>47040</v>
      </c>
      <c r="W542" s="75" t="s">
        <v>12105</v>
      </c>
      <c r="X542" s="11" t="s">
        <v>12106</v>
      </c>
      <c r="Y542" s="100" t="s">
        <v>7319</v>
      </c>
      <c r="Z542" s="103" t="s">
        <v>12107</v>
      </c>
      <c r="AA542" s="11"/>
      <c r="AB542" s="18" t="s">
        <v>12108</v>
      </c>
      <c r="AC542" s="11"/>
      <c r="AD542" s="11" t="s">
        <v>12109</v>
      </c>
      <c r="AE542" s="11" t="s">
        <v>12109</v>
      </c>
      <c r="AF542" s="11"/>
      <c r="AG542" s="11"/>
      <c r="AH542" s="34"/>
      <c r="AI542" s="75" t="s">
        <v>7307</v>
      </c>
    </row>
    <row r="543" spans="1:35" x14ac:dyDescent="0.3">
      <c r="A543" s="34" t="s">
        <v>7286</v>
      </c>
      <c r="B543" s="17" t="s">
        <v>12110</v>
      </c>
      <c r="C543" s="71" t="s">
        <v>11534</v>
      </c>
      <c r="D543" s="81" t="s">
        <v>12111</v>
      </c>
      <c r="E543" s="11" t="s">
        <v>12112</v>
      </c>
      <c r="F543" s="75" t="s">
        <v>7370</v>
      </c>
      <c r="G543" s="75" t="s">
        <v>7371</v>
      </c>
      <c r="H543" s="75" t="s">
        <v>7372</v>
      </c>
      <c r="I543" s="75" t="s">
        <v>7373</v>
      </c>
      <c r="J543" s="75" t="s">
        <v>11113</v>
      </c>
      <c r="K543" s="11" t="s">
        <v>6348</v>
      </c>
      <c r="L543" s="77" t="s">
        <v>7376</v>
      </c>
      <c r="M543" s="76">
        <v>46091</v>
      </c>
      <c r="N543" s="76"/>
      <c r="O543" s="75"/>
      <c r="P543" s="17"/>
      <c r="Q543" s="98">
        <v>37865</v>
      </c>
      <c r="R543" s="78">
        <v>23.106849315068494</v>
      </c>
      <c r="S543" s="11" t="s">
        <v>12113</v>
      </c>
      <c r="T543" s="82" t="s">
        <v>7298</v>
      </c>
      <c r="U543" s="11" t="s">
        <v>12114</v>
      </c>
      <c r="V543" s="102">
        <v>49686</v>
      </c>
      <c r="W543" s="75" t="s">
        <v>7300</v>
      </c>
      <c r="X543" s="11" t="s">
        <v>7301</v>
      </c>
      <c r="Y543" s="100" t="s">
        <v>7319</v>
      </c>
      <c r="Z543" s="103" t="s">
        <v>12115</v>
      </c>
      <c r="AA543" s="11"/>
      <c r="AB543" s="18" t="s">
        <v>12116</v>
      </c>
      <c r="AC543" s="11"/>
      <c r="AD543" s="11" t="s">
        <v>12117</v>
      </c>
      <c r="AE543" s="11" t="s">
        <v>12118</v>
      </c>
      <c r="AF543" s="11"/>
      <c r="AG543" s="11"/>
      <c r="AH543" s="34"/>
      <c r="AI543" s="75" t="s">
        <v>7745</v>
      </c>
    </row>
    <row r="544" spans="1:35" x14ac:dyDescent="0.3">
      <c r="A544" s="34" t="s">
        <v>7286</v>
      </c>
      <c r="B544" s="17" t="s">
        <v>12119</v>
      </c>
      <c r="C544" s="71" t="s">
        <v>11534</v>
      </c>
      <c r="D544" s="81" t="s">
        <v>12120</v>
      </c>
      <c r="E544" s="11" t="s">
        <v>12121</v>
      </c>
      <c r="F544" s="75" t="s">
        <v>7293</v>
      </c>
      <c r="G544" s="75" t="s">
        <v>7293</v>
      </c>
      <c r="H544" s="75" t="s">
        <v>8964</v>
      </c>
      <c r="I544" s="75" t="s">
        <v>11585</v>
      </c>
      <c r="J544" s="75" t="s">
        <v>12122</v>
      </c>
      <c r="K544" s="11" t="s">
        <v>12123</v>
      </c>
      <c r="L544" s="77" t="s">
        <v>9231</v>
      </c>
      <c r="M544" s="98">
        <v>46113</v>
      </c>
      <c r="N544" s="76"/>
      <c r="O544" s="75" t="s">
        <v>7870</v>
      </c>
      <c r="P544" s="17"/>
      <c r="Q544" s="76">
        <v>38170</v>
      </c>
      <c r="R544" s="78">
        <v>22.271232876712329</v>
      </c>
      <c r="S544" s="11" t="s">
        <v>12124</v>
      </c>
      <c r="T544" s="75" t="s">
        <v>7298</v>
      </c>
      <c r="U544" s="11" t="s">
        <v>12125</v>
      </c>
      <c r="V544" s="102">
        <v>47764</v>
      </c>
      <c r="W544" s="75" t="s">
        <v>7300</v>
      </c>
      <c r="X544" s="11" t="s">
        <v>7301</v>
      </c>
      <c r="Y544" s="100" t="s">
        <v>7302</v>
      </c>
      <c r="Z544" s="103" t="s">
        <v>12126</v>
      </c>
      <c r="AA544" s="11"/>
      <c r="AB544" s="18" t="s">
        <v>12127</v>
      </c>
      <c r="AC544" s="11"/>
      <c r="AD544" s="11" t="s">
        <v>12128</v>
      </c>
      <c r="AE544" s="11" t="s">
        <v>12129</v>
      </c>
      <c r="AF544" s="11"/>
      <c r="AG544" s="11"/>
      <c r="AH544" s="34"/>
      <c r="AI544" s="75" t="s">
        <v>7307</v>
      </c>
    </row>
    <row r="545" spans="1:35" x14ac:dyDescent="0.3">
      <c r="A545" s="34" t="s">
        <v>7286</v>
      </c>
      <c r="B545" s="17" t="s">
        <v>12130</v>
      </c>
      <c r="C545" s="71" t="s">
        <v>7367</v>
      </c>
      <c r="D545" s="81" t="s">
        <v>12131</v>
      </c>
      <c r="E545" s="11" t="s">
        <v>101</v>
      </c>
      <c r="F545" s="75" t="s">
        <v>10576</v>
      </c>
      <c r="G545" s="75" t="s">
        <v>7218</v>
      </c>
      <c r="H545" s="75" t="s">
        <v>7293</v>
      </c>
      <c r="I545" s="75" t="s">
        <v>7293</v>
      </c>
      <c r="J545" s="75" t="s">
        <v>10598</v>
      </c>
      <c r="K545" s="11" t="s">
        <v>10599</v>
      </c>
      <c r="L545" s="77" t="s">
        <v>10575</v>
      </c>
      <c r="M545" s="76">
        <v>46126</v>
      </c>
      <c r="N545" s="76"/>
      <c r="O545" s="75" t="s">
        <v>10579</v>
      </c>
      <c r="P545" s="17"/>
      <c r="Q545" s="76">
        <v>32957</v>
      </c>
      <c r="R545" s="78">
        <v>36.553424657534244</v>
      </c>
      <c r="S545" s="11" t="s">
        <v>12132</v>
      </c>
      <c r="T545" s="75" t="s">
        <v>7298</v>
      </c>
      <c r="U545" s="11" t="s">
        <v>12133</v>
      </c>
      <c r="V545" s="102">
        <v>47603</v>
      </c>
      <c r="W545" s="75" t="s">
        <v>7953</v>
      </c>
      <c r="X545" s="75" t="s">
        <v>10419</v>
      </c>
      <c r="Y545" s="75" t="s">
        <v>7319</v>
      </c>
      <c r="Z545" s="15" t="s">
        <v>12134</v>
      </c>
      <c r="AA545" s="11"/>
      <c r="AB545" s="18" t="s">
        <v>12135</v>
      </c>
      <c r="AC545" s="16" t="s">
        <v>12136</v>
      </c>
      <c r="AD545" s="11" t="s">
        <v>12137</v>
      </c>
      <c r="AE545" s="11" t="s">
        <v>12137</v>
      </c>
      <c r="AF545" s="11"/>
      <c r="AG545" s="11"/>
      <c r="AH545" s="34"/>
      <c r="AI545" s="75" t="s">
        <v>10585</v>
      </c>
    </row>
    <row r="546" spans="1:35" x14ac:dyDescent="0.3">
      <c r="A546" s="34" t="s">
        <v>7286</v>
      </c>
      <c r="B546" s="17" t="s">
        <v>12138</v>
      </c>
      <c r="C546" s="72" t="s">
        <v>12139</v>
      </c>
      <c r="D546" s="81" t="s">
        <v>12140</v>
      </c>
      <c r="E546" s="11" t="s">
        <v>2442</v>
      </c>
      <c r="F546" s="75" t="s">
        <v>7293</v>
      </c>
      <c r="G546" s="75" t="s">
        <v>7293</v>
      </c>
      <c r="H546" s="75" t="s">
        <v>8964</v>
      </c>
      <c r="I546" s="75" t="s">
        <v>11585</v>
      </c>
      <c r="J546" s="75" t="s">
        <v>12141</v>
      </c>
      <c r="K546" s="11" t="s">
        <v>12142</v>
      </c>
      <c r="L546" s="77" t="s">
        <v>12143</v>
      </c>
      <c r="M546" s="76">
        <v>46129</v>
      </c>
      <c r="N546" s="76"/>
      <c r="O546" s="75" t="s">
        <v>7870</v>
      </c>
      <c r="P546" s="17"/>
      <c r="Q546" s="76">
        <v>37128</v>
      </c>
      <c r="R546" s="78">
        <v>25.126027397260273</v>
      </c>
      <c r="S546" s="11" t="s">
        <v>12144</v>
      </c>
      <c r="T546" s="75" t="s">
        <v>7298</v>
      </c>
      <c r="U546" s="11" t="s">
        <v>12145</v>
      </c>
      <c r="V546" s="102">
        <v>46259</v>
      </c>
      <c r="W546" s="75" t="s">
        <v>7953</v>
      </c>
      <c r="X546" s="75" t="s">
        <v>10419</v>
      </c>
      <c r="Y546" s="75" t="s">
        <v>7302</v>
      </c>
      <c r="Z546" s="15" t="s">
        <v>12146</v>
      </c>
      <c r="AA546" s="11"/>
      <c r="AB546" s="18" t="s">
        <v>12147</v>
      </c>
      <c r="AC546" s="16"/>
      <c r="AD546" s="11" t="s">
        <v>12148</v>
      </c>
      <c r="AE546" s="11" t="s">
        <v>12149</v>
      </c>
      <c r="AF546" s="11"/>
      <c r="AG546" s="11"/>
      <c r="AH546" s="34"/>
      <c r="AI546" s="75" t="s">
        <v>12150</v>
      </c>
    </row>
    <row r="547" spans="1:35" x14ac:dyDescent="0.3">
      <c r="A547" s="34" t="s">
        <v>7286</v>
      </c>
      <c r="B547" s="17" t="s">
        <v>12151</v>
      </c>
      <c r="C547" s="34" t="s">
        <v>7343</v>
      </c>
      <c r="D547" s="81" t="s">
        <v>12152</v>
      </c>
      <c r="E547" s="11" t="s">
        <v>7632</v>
      </c>
      <c r="F547" s="75" t="s">
        <v>7329</v>
      </c>
      <c r="G547" s="75" t="s">
        <v>7330</v>
      </c>
      <c r="H547" s="75" t="s">
        <v>7630</v>
      </c>
      <c r="I547" s="75" t="s">
        <v>7631</v>
      </c>
      <c r="J547" s="11" t="s">
        <v>12153</v>
      </c>
      <c r="K547" s="11" t="s">
        <v>6338</v>
      </c>
      <c r="L547" s="77" t="s">
        <v>7467</v>
      </c>
      <c r="M547" s="76">
        <v>46133</v>
      </c>
      <c r="N547" s="76"/>
      <c r="O547" s="11"/>
      <c r="P547" s="17"/>
      <c r="Q547" s="76">
        <v>30676</v>
      </c>
      <c r="R547" s="78">
        <v>42.802739726027397</v>
      </c>
      <c r="S547" s="11" t="s">
        <v>12154</v>
      </c>
      <c r="T547" s="75" t="s">
        <v>7298</v>
      </c>
      <c r="U547" s="11" t="s">
        <v>12155</v>
      </c>
      <c r="V547" s="102">
        <v>49353</v>
      </c>
      <c r="W547" s="75" t="s">
        <v>7300</v>
      </c>
      <c r="X547" s="11" t="s">
        <v>10419</v>
      </c>
      <c r="Y547" s="11" t="s">
        <v>7319</v>
      </c>
      <c r="Z547" s="15" t="s">
        <v>12156</v>
      </c>
      <c r="AA547" s="11"/>
      <c r="AB547" s="18" t="s">
        <v>12157</v>
      </c>
      <c r="AC547" s="11"/>
      <c r="AD547" s="11" t="s">
        <v>12158</v>
      </c>
      <c r="AE547" s="11" t="s">
        <v>12158</v>
      </c>
      <c r="AF547" s="11"/>
      <c r="AG547" s="11"/>
      <c r="AH547" s="34"/>
      <c r="AI547" s="75" t="s">
        <v>7324</v>
      </c>
    </row>
    <row r="548" spans="1:35" ht="57.6" x14ac:dyDescent="0.3">
      <c r="A548" s="34" t="s">
        <v>7286</v>
      </c>
      <c r="B548" s="17" t="s">
        <v>12159</v>
      </c>
      <c r="C548" s="72" t="s">
        <v>7367</v>
      </c>
      <c r="D548" s="81" t="s">
        <v>12160</v>
      </c>
      <c r="E548" s="94" t="s">
        <v>12161</v>
      </c>
      <c r="F548" s="75" t="s">
        <v>7293</v>
      </c>
      <c r="G548" s="75" t="s">
        <v>7293</v>
      </c>
      <c r="H548" s="11" t="s">
        <v>7293</v>
      </c>
      <c r="I548" s="75" t="s">
        <v>7293</v>
      </c>
      <c r="J548" s="75" t="s">
        <v>7921</v>
      </c>
      <c r="K548" s="11" t="s">
        <v>12162</v>
      </c>
      <c r="L548" s="77" t="s">
        <v>7587</v>
      </c>
      <c r="M548" s="76">
        <v>46140</v>
      </c>
      <c r="N548" s="76"/>
      <c r="O548" s="75" t="s">
        <v>7923</v>
      </c>
      <c r="P548" s="17"/>
      <c r="Q548" s="76">
        <v>35186</v>
      </c>
      <c r="R548" s="78">
        <v>30.446575342465753</v>
      </c>
      <c r="S548" s="79" t="s">
        <v>12163</v>
      </c>
      <c r="T548" s="75" t="s">
        <v>7298</v>
      </c>
      <c r="U548" s="75" t="s">
        <v>12164</v>
      </c>
      <c r="V548" s="83">
        <v>47916</v>
      </c>
      <c r="W548" s="75" t="s">
        <v>7300</v>
      </c>
      <c r="X548" s="75" t="s">
        <v>7301</v>
      </c>
      <c r="Y548" s="75" t="s">
        <v>7319</v>
      </c>
      <c r="Z548" s="15" t="s">
        <v>12165</v>
      </c>
      <c r="AA548" s="75"/>
      <c r="AB548" s="18" t="s">
        <v>12166</v>
      </c>
      <c r="AC548" s="12" t="s">
        <v>12167</v>
      </c>
      <c r="AD548" s="15" t="s">
        <v>12168</v>
      </c>
      <c r="AE548" s="75" t="s">
        <v>12169</v>
      </c>
      <c r="AF548" s="17"/>
      <c r="AG548" s="17"/>
      <c r="AH548" s="83"/>
      <c r="AI548" s="75" t="s">
        <v>7307</v>
      </c>
    </row>
    <row r="549" spans="1:35" x14ac:dyDescent="0.3">
      <c r="A549" s="34" t="s">
        <v>7286</v>
      </c>
      <c r="B549" s="17" t="s">
        <v>12170</v>
      </c>
      <c r="C549" s="34" t="s">
        <v>7343</v>
      </c>
      <c r="D549" s="81" t="s">
        <v>12171</v>
      </c>
      <c r="E549" s="11" t="s">
        <v>12172</v>
      </c>
      <c r="F549" s="75" t="s">
        <v>7293</v>
      </c>
      <c r="G549" s="75" t="s">
        <v>7293</v>
      </c>
      <c r="H549" s="75" t="s">
        <v>7293</v>
      </c>
      <c r="I549" s="75" t="s">
        <v>7293</v>
      </c>
      <c r="J549" s="75" t="s">
        <v>12173</v>
      </c>
      <c r="K549" s="11" t="s">
        <v>12174</v>
      </c>
      <c r="L549" s="77" t="s">
        <v>7295</v>
      </c>
      <c r="M549" s="76">
        <v>46143</v>
      </c>
      <c r="N549" s="76"/>
      <c r="O549" s="75" t="s">
        <v>7923</v>
      </c>
      <c r="P549" s="17"/>
      <c r="Q549" s="76">
        <v>31418</v>
      </c>
      <c r="R549" s="78">
        <v>40.769863013698632</v>
      </c>
      <c r="S549" s="11" t="s">
        <v>12175</v>
      </c>
      <c r="T549" s="75" t="s">
        <v>7298</v>
      </c>
      <c r="U549" s="11" t="s">
        <v>12176</v>
      </c>
      <c r="V549" s="83">
        <v>47860</v>
      </c>
      <c r="W549" s="75" t="s">
        <v>7300</v>
      </c>
      <c r="X549" s="75" t="s">
        <v>7301</v>
      </c>
      <c r="Y549" s="75" t="s">
        <v>7319</v>
      </c>
      <c r="Z549" s="15" t="s">
        <v>12177</v>
      </c>
      <c r="AA549" s="11"/>
      <c r="AB549" s="18" t="s">
        <v>12178</v>
      </c>
      <c r="AC549" s="11"/>
      <c r="AD549" s="11" t="s">
        <v>12179</v>
      </c>
      <c r="AE549" s="11" t="s">
        <v>12180</v>
      </c>
      <c r="AF549" s="11"/>
      <c r="AG549" s="11"/>
      <c r="AH549" s="34"/>
      <c r="AI549" s="75" t="s">
        <v>7307</v>
      </c>
    </row>
    <row r="550" spans="1:35" x14ac:dyDescent="0.3">
      <c r="A550" s="34" t="s">
        <v>7286</v>
      </c>
      <c r="B550" s="17" t="s">
        <v>12181</v>
      </c>
      <c r="C550" s="72" t="s">
        <v>7367</v>
      </c>
      <c r="D550" s="81" t="s">
        <v>12182</v>
      </c>
      <c r="E550" s="11" t="s">
        <v>12183</v>
      </c>
      <c r="F550" s="75" t="s">
        <v>11845</v>
      </c>
      <c r="G550" s="75" t="s">
        <v>6355</v>
      </c>
      <c r="H550" s="75" t="s">
        <v>7293</v>
      </c>
      <c r="I550" s="75" t="s">
        <v>7293</v>
      </c>
      <c r="J550" s="11" t="s">
        <v>12184</v>
      </c>
      <c r="K550" s="11" t="s">
        <v>12185</v>
      </c>
      <c r="L550" s="11" t="s">
        <v>106</v>
      </c>
      <c r="M550" s="76">
        <v>46143</v>
      </c>
      <c r="N550" s="76"/>
      <c r="O550" s="114" t="s">
        <v>7923</v>
      </c>
      <c r="P550" s="17"/>
      <c r="Q550" s="76">
        <v>38009</v>
      </c>
      <c r="R550" s="78">
        <v>22.712328767123289</v>
      </c>
      <c r="S550" s="11" t="s">
        <v>12186</v>
      </c>
      <c r="T550" s="75" t="s">
        <v>7298</v>
      </c>
      <c r="U550" s="75" t="s">
        <v>12187</v>
      </c>
      <c r="V550" s="102">
        <v>47761</v>
      </c>
      <c r="W550" s="75" t="s">
        <v>7300</v>
      </c>
      <c r="X550" s="75" t="s">
        <v>7301</v>
      </c>
      <c r="Y550" s="11" t="s">
        <v>7302</v>
      </c>
      <c r="Z550" s="15" t="s">
        <v>12188</v>
      </c>
      <c r="AA550" s="11"/>
      <c r="AB550" s="18" t="s">
        <v>12189</v>
      </c>
      <c r="AC550" s="11"/>
      <c r="AD550" s="15" t="s">
        <v>12190</v>
      </c>
      <c r="AE550" s="15" t="s">
        <v>12190</v>
      </c>
      <c r="AF550" s="11"/>
      <c r="AG550" s="11"/>
      <c r="AH550" s="34"/>
      <c r="AI550" s="75" t="s">
        <v>7307</v>
      </c>
    </row>
    <row r="551" spans="1:35" x14ac:dyDescent="0.3">
      <c r="A551" s="34" t="s">
        <v>7286</v>
      </c>
      <c r="B551" s="17" t="s">
        <v>12191</v>
      </c>
      <c r="C551" s="34" t="s">
        <v>7367</v>
      </c>
      <c r="D551" s="81" t="s">
        <v>12192</v>
      </c>
      <c r="E551" s="11" t="s">
        <v>12193</v>
      </c>
      <c r="F551" s="75" t="s">
        <v>10190</v>
      </c>
      <c r="G551" s="75" t="s">
        <v>6421</v>
      </c>
      <c r="H551" s="75" t="s">
        <v>12194</v>
      </c>
      <c r="I551" s="75" t="s">
        <v>6422</v>
      </c>
      <c r="J551" s="75" t="s">
        <v>12195</v>
      </c>
      <c r="K551" s="11" t="s">
        <v>12196</v>
      </c>
      <c r="L551" s="77" t="s">
        <v>10193</v>
      </c>
      <c r="M551" s="76">
        <v>46160</v>
      </c>
      <c r="N551" s="76"/>
      <c r="O551" s="75" t="s">
        <v>7923</v>
      </c>
      <c r="P551" s="17"/>
      <c r="Q551" s="76">
        <v>36831</v>
      </c>
      <c r="R551" s="78">
        <v>25.93972602739726</v>
      </c>
      <c r="S551" s="11" t="s">
        <v>12197</v>
      </c>
      <c r="T551" s="75" t="s">
        <v>7298</v>
      </c>
      <c r="U551" s="75" t="s">
        <v>12198</v>
      </c>
      <c r="V551" s="102">
        <v>48096</v>
      </c>
      <c r="W551" s="75" t="s">
        <v>7300</v>
      </c>
      <c r="X551" s="75" t="s">
        <v>7301</v>
      </c>
      <c r="Y551" s="11" t="s">
        <v>7302</v>
      </c>
      <c r="Z551" s="15" t="s">
        <v>12199</v>
      </c>
      <c r="AA551" s="11"/>
      <c r="AB551" s="18" t="s">
        <v>12200</v>
      </c>
      <c r="AC551" s="11"/>
      <c r="AD551" s="15" t="s">
        <v>12201</v>
      </c>
      <c r="AE551" s="15" t="s">
        <v>12202</v>
      </c>
      <c r="AF551" s="11"/>
      <c r="AG551" s="11"/>
      <c r="AH551" s="34"/>
      <c r="AI551" s="75" t="s">
        <v>7307</v>
      </c>
    </row>
    <row r="552" spans="1:35" x14ac:dyDescent="0.3">
      <c r="A552" s="34" t="s">
        <v>7286</v>
      </c>
      <c r="B552" s="17" t="s">
        <v>12203</v>
      </c>
      <c r="C552" s="71" t="s">
        <v>11534</v>
      </c>
      <c r="D552" s="81" t="s">
        <v>12204</v>
      </c>
      <c r="E552" s="11" t="s">
        <v>12205</v>
      </c>
      <c r="F552" s="75" t="s">
        <v>7370</v>
      </c>
      <c r="G552" s="75" t="s">
        <v>7371</v>
      </c>
      <c r="H552" s="75" t="s">
        <v>9832</v>
      </c>
      <c r="I552" s="75" t="s">
        <v>9833</v>
      </c>
      <c r="J552" s="11" t="s">
        <v>11537</v>
      </c>
      <c r="K552" s="11" t="s">
        <v>11538</v>
      </c>
      <c r="L552" s="77" t="s">
        <v>9836</v>
      </c>
      <c r="M552" s="76">
        <v>46178</v>
      </c>
      <c r="N552" s="76"/>
      <c r="O552" s="11" t="s">
        <v>8747</v>
      </c>
      <c r="P552" s="17"/>
      <c r="Q552" s="76">
        <v>38083</v>
      </c>
      <c r="R552" s="78">
        <v>22.509589041095889</v>
      </c>
      <c r="S552" s="11" t="s">
        <v>12206</v>
      </c>
      <c r="T552" s="75" t="s">
        <v>7298</v>
      </c>
      <c r="U552" s="11" t="s">
        <v>12207</v>
      </c>
      <c r="V552" s="102">
        <v>49203</v>
      </c>
      <c r="W552" s="75" t="s">
        <v>7300</v>
      </c>
      <c r="X552" s="75" t="s">
        <v>12208</v>
      </c>
      <c r="Y552" s="11" t="s">
        <v>7302</v>
      </c>
      <c r="Z552" s="15" t="s">
        <v>12209</v>
      </c>
      <c r="AA552" s="11"/>
      <c r="AB552" s="18" t="s">
        <v>12210</v>
      </c>
      <c r="AC552" s="11"/>
      <c r="AD552" s="11" t="s">
        <v>12211</v>
      </c>
      <c r="AE552" s="11" t="s">
        <v>12212</v>
      </c>
      <c r="AF552" s="11"/>
      <c r="AG552" s="11"/>
      <c r="AH552" s="34"/>
      <c r="AI552" s="75" t="s">
        <v>11668</v>
      </c>
    </row>
    <row r="553" spans="1:35" x14ac:dyDescent="0.3">
      <c r="A553" s="34" t="s">
        <v>7286</v>
      </c>
      <c r="B553" s="75" t="s">
        <v>12213</v>
      </c>
      <c r="C553" s="75" t="s">
        <v>7150</v>
      </c>
      <c r="D553" s="75" t="s">
        <v>12214</v>
      </c>
      <c r="E553" s="75" t="s">
        <v>12215</v>
      </c>
      <c r="F553" s="75" t="s">
        <v>12216</v>
      </c>
      <c r="G553" s="75" t="s">
        <v>7330</v>
      </c>
      <c r="H553" s="75" t="s">
        <v>7331</v>
      </c>
      <c r="I553" s="75" t="s">
        <v>7332</v>
      </c>
      <c r="J553" s="75" t="s">
        <v>9796</v>
      </c>
      <c r="K553" s="11" t="s">
        <v>9797</v>
      </c>
      <c r="L553" s="77" t="s">
        <v>7335</v>
      </c>
      <c r="M553" s="76">
        <v>46181</v>
      </c>
      <c r="N553" s="76"/>
      <c r="O553" s="75" t="s">
        <v>7870</v>
      </c>
      <c r="P553" s="17"/>
      <c r="Q553" s="76">
        <v>30965</v>
      </c>
      <c r="R553" s="78">
        <v>42.010958904109586</v>
      </c>
      <c r="S553" s="11" t="s">
        <v>12217</v>
      </c>
      <c r="T553" s="75" t="s">
        <v>7298</v>
      </c>
      <c r="U553" s="11" t="s">
        <v>12218</v>
      </c>
      <c r="V553" s="102">
        <v>47410</v>
      </c>
      <c r="W553" s="75" t="s">
        <v>7300</v>
      </c>
      <c r="X553" s="75" t="s">
        <v>10336</v>
      </c>
      <c r="Y553" s="75" t="s">
        <v>7319</v>
      </c>
      <c r="Z553" s="15" t="s">
        <v>12219</v>
      </c>
      <c r="AA553" s="11"/>
      <c r="AB553" s="18" t="s">
        <v>7293</v>
      </c>
      <c r="AC553" s="11"/>
      <c r="AD553" s="11" t="s">
        <v>12220</v>
      </c>
      <c r="AE553" s="15" t="s">
        <v>12220</v>
      </c>
      <c r="AF553" s="11"/>
      <c r="AG553" s="11"/>
      <c r="AH553" s="83"/>
      <c r="AI553" s="75" t="s">
        <v>7324</v>
      </c>
    </row>
    <row r="554" spans="1:35" x14ac:dyDescent="0.3">
      <c r="A554" s="34" t="s">
        <v>7286</v>
      </c>
      <c r="B554" s="17" t="s">
        <v>12221</v>
      </c>
      <c r="C554" s="34" t="s">
        <v>8976</v>
      </c>
      <c r="D554" s="81" t="s">
        <v>12222</v>
      </c>
      <c r="E554" s="11" t="s">
        <v>7295</v>
      </c>
      <c r="F554" s="75" t="s">
        <v>7293</v>
      </c>
      <c r="G554" s="75" t="s">
        <v>7293</v>
      </c>
      <c r="H554" s="11" t="s">
        <v>7293</v>
      </c>
      <c r="I554" s="75" t="s">
        <v>7293</v>
      </c>
      <c r="J554" s="75" t="s">
        <v>12223</v>
      </c>
      <c r="K554" s="11" t="s">
        <v>12224</v>
      </c>
      <c r="L554" s="77" t="s">
        <v>7293</v>
      </c>
      <c r="M554" s="76">
        <v>46183</v>
      </c>
      <c r="N554" s="76"/>
      <c r="O554" s="11" t="s">
        <v>7923</v>
      </c>
      <c r="P554" s="17"/>
      <c r="Q554" s="76">
        <v>31711</v>
      </c>
      <c r="R554" s="78">
        <v>39.967123287671235</v>
      </c>
      <c r="S554" s="11" t="s">
        <v>12225</v>
      </c>
      <c r="T554" s="75" t="s">
        <v>7298</v>
      </c>
      <c r="U554" s="11" t="s">
        <v>12226</v>
      </c>
      <c r="V554" s="102">
        <v>47279</v>
      </c>
      <c r="W554" s="75" t="s">
        <v>7300</v>
      </c>
      <c r="X554" s="75" t="s">
        <v>10419</v>
      </c>
      <c r="Y554" s="75" t="s">
        <v>7319</v>
      </c>
      <c r="Z554" s="15" t="s">
        <v>12227</v>
      </c>
      <c r="AA554" s="11"/>
      <c r="AB554" s="18" t="s">
        <v>12228</v>
      </c>
      <c r="AC554" s="11"/>
      <c r="AD554" s="11" t="s">
        <v>12229</v>
      </c>
      <c r="AE554" s="11" t="s">
        <v>12230</v>
      </c>
      <c r="AF554" s="11"/>
      <c r="AG554" s="11"/>
      <c r="AH554" s="34"/>
      <c r="AI554" s="75" t="s">
        <v>7307</v>
      </c>
    </row>
    <row r="555" spans="1:35" x14ac:dyDescent="0.3">
      <c r="A555" s="34" t="s">
        <v>7286</v>
      </c>
      <c r="B555" s="17" t="s">
        <v>12231</v>
      </c>
      <c r="C555" s="34" t="s">
        <v>7288</v>
      </c>
      <c r="D555" s="81" t="s">
        <v>12232</v>
      </c>
      <c r="E555" s="74" t="s">
        <v>3799</v>
      </c>
      <c r="F555" s="75" t="s">
        <v>7293</v>
      </c>
      <c r="G555" s="75" t="s">
        <v>7293</v>
      </c>
      <c r="H555" s="75" t="s">
        <v>8964</v>
      </c>
      <c r="I555" s="75" t="s">
        <v>11585</v>
      </c>
      <c r="J555" s="11" t="s">
        <v>9021</v>
      </c>
      <c r="K555" s="11" t="s">
        <v>9022</v>
      </c>
      <c r="L555" s="77" t="s">
        <v>9045</v>
      </c>
      <c r="M555" s="76">
        <v>46184</v>
      </c>
      <c r="N555" s="76"/>
      <c r="O555" s="11" t="s">
        <v>7923</v>
      </c>
      <c r="P555" s="17"/>
      <c r="Q555" s="76">
        <v>32398</v>
      </c>
      <c r="R555" s="78">
        <v>38.084931506849315</v>
      </c>
      <c r="S555" s="79" t="s">
        <v>12233</v>
      </c>
      <c r="T555" s="75" t="s">
        <v>7298</v>
      </c>
      <c r="U555" s="79" t="s">
        <v>12234</v>
      </c>
      <c r="V555" s="85"/>
      <c r="W555" s="75" t="s">
        <v>7953</v>
      </c>
      <c r="X555" s="75" t="s">
        <v>7301</v>
      </c>
      <c r="Y555" s="75" t="s">
        <v>7319</v>
      </c>
      <c r="Z555" s="15" t="s">
        <v>12235</v>
      </c>
      <c r="AA555" s="15" t="s">
        <v>12235</v>
      </c>
      <c r="AB555" s="18" t="s">
        <v>12236</v>
      </c>
      <c r="AC555" s="12"/>
      <c r="AD555" s="79" t="s">
        <v>12237</v>
      </c>
      <c r="AE555" s="79" t="s">
        <v>12237</v>
      </c>
      <c r="AF555" s="72"/>
      <c r="AG555" s="72"/>
      <c r="AH555" s="84"/>
      <c r="AI555" s="75" t="s">
        <v>7307</v>
      </c>
    </row>
    <row r="556" spans="1:35" x14ac:dyDescent="0.3">
      <c r="A556" s="34" t="s">
        <v>7286</v>
      </c>
      <c r="B556" s="17" t="s">
        <v>12238</v>
      </c>
      <c r="C556" s="71" t="s">
        <v>7367</v>
      </c>
      <c r="D556" s="81" t="s">
        <v>12239</v>
      </c>
      <c r="E556" s="11" t="s">
        <v>12240</v>
      </c>
      <c r="F556" s="75" t="s">
        <v>7370</v>
      </c>
      <c r="G556" s="75" t="s">
        <v>7371</v>
      </c>
      <c r="H556" s="75" t="s">
        <v>7372</v>
      </c>
      <c r="I556" s="75" t="s">
        <v>7373</v>
      </c>
      <c r="J556" s="75" t="s">
        <v>10682</v>
      </c>
      <c r="K556" s="11" t="s">
        <v>11193</v>
      </c>
      <c r="L556" s="77" t="s">
        <v>7376</v>
      </c>
      <c r="M556" s="76">
        <v>46195</v>
      </c>
      <c r="N556" s="76"/>
      <c r="O556" s="75" t="s">
        <v>7870</v>
      </c>
      <c r="P556" s="17"/>
      <c r="Q556" s="76">
        <v>35269</v>
      </c>
      <c r="R556" s="78">
        <v>30.219178082191782</v>
      </c>
      <c r="S556" s="11" t="s">
        <v>12241</v>
      </c>
      <c r="T556" s="75" t="s">
        <v>7298</v>
      </c>
      <c r="U556" s="11" t="s">
        <v>12242</v>
      </c>
      <c r="V556" s="102">
        <v>48063</v>
      </c>
      <c r="W556" s="75" t="s">
        <v>7300</v>
      </c>
      <c r="X556" s="11" t="s">
        <v>7301</v>
      </c>
      <c r="Y556" s="75" t="s">
        <v>7319</v>
      </c>
      <c r="Z556" s="15" t="s">
        <v>12243</v>
      </c>
      <c r="AA556" s="11"/>
      <c r="AB556" s="18"/>
      <c r="AC556" s="11"/>
      <c r="AD556" s="11" t="s">
        <v>12244</v>
      </c>
      <c r="AE556" s="11" t="s">
        <v>12245</v>
      </c>
      <c r="AF556" s="11"/>
      <c r="AG556" s="11"/>
      <c r="AH556" s="34"/>
      <c r="AI556" s="75" t="s">
        <v>7745</v>
      </c>
    </row>
    <row r="557" spans="1:35" x14ac:dyDescent="0.3">
      <c r="A557" s="34" t="s">
        <v>7286</v>
      </c>
      <c r="B557" s="17" t="s">
        <v>12246</v>
      </c>
      <c r="C557" s="34"/>
      <c r="D557" s="81" t="s">
        <v>12247</v>
      </c>
      <c r="E557" s="11" t="s">
        <v>12248</v>
      </c>
      <c r="F557" s="75" t="s">
        <v>7329</v>
      </c>
      <c r="G557" s="75" t="s">
        <v>7330</v>
      </c>
      <c r="H557" s="75" t="s">
        <v>7405</v>
      </c>
      <c r="I557" s="75" t="s">
        <v>7406</v>
      </c>
      <c r="J557" s="75" t="s">
        <v>7388</v>
      </c>
      <c r="K557" s="11" t="s">
        <v>7389</v>
      </c>
      <c r="L557" s="77" t="s">
        <v>7409</v>
      </c>
      <c r="M557" s="76">
        <v>46204</v>
      </c>
      <c r="N557" s="76"/>
      <c r="O557" s="11"/>
      <c r="P557" s="17"/>
      <c r="Q557" s="98">
        <v>32678</v>
      </c>
      <c r="R557" s="78">
        <v>37.317808219178083</v>
      </c>
      <c r="S557" s="101" t="s">
        <v>12249</v>
      </c>
      <c r="T557" s="11" t="s">
        <v>7298</v>
      </c>
      <c r="U557" s="11" t="s">
        <v>12250</v>
      </c>
      <c r="V557" s="11"/>
      <c r="W557" s="11" t="s">
        <v>7300</v>
      </c>
      <c r="X557" s="114" t="s">
        <v>7301</v>
      </c>
      <c r="Y557" s="11" t="s">
        <v>7319</v>
      </c>
      <c r="Z557" s="15" t="s">
        <v>12251</v>
      </c>
      <c r="AA557" s="11"/>
      <c r="AB557" s="18" t="s">
        <v>12252</v>
      </c>
      <c r="AC557" s="11"/>
      <c r="AD557" s="15" t="s">
        <v>12253</v>
      </c>
      <c r="AE557" s="15" t="s">
        <v>12253</v>
      </c>
      <c r="AF557" s="11"/>
      <c r="AG557" s="11"/>
      <c r="AH557" s="34"/>
      <c r="AI557" s="75" t="s">
        <v>7324</v>
      </c>
    </row>
    <row r="558" spans="1:35" x14ac:dyDescent="0.3">
      <c r="A558" s="34" t="s">
        <v>7286</v>
      </c>
      <c r="B558" s="17" t="s">
        <v>12254</v>
      </c>
      <c r="C558" s="34"/>
      <c r="D558" s="81" t="s">
        <v>12255</v>
      </c>
      <c r="E558" s="11" t="s">
        <v>1257</v>
      </c>
      <c r="F558" s="75" t="s">
        <v>7329</v>
      </c>
      <c r="G558" s="75" t="s">
        <v>7330</v>
      </c>
      <c r="H558" s="75" t="s">
        <v>7452</v>
      </c>
      <c r="I558" s="75" t="s">
        <v>7453</v>
      </c>
      <c r="J558" s="75" t="s">
        <v>7509</v>
      </c>
      <c r="K558" s="11" t="s">
        <v>7510</v>
      </c>
      <c r="L558" s="74" t="s">
        <v>7756</v>
      </c>
      <c r="M558" s="76">
        <v>46214</v>
      </c>
      <c r="N558" s="76"/>
      <c r="O558" s="11" t="s">
        <v>7923</v>
      </c>
      <c r="P558" s="17"/>
      <c r="Q558" s="76">
        <v>35930</v>
      </c>
      <c r="R558" s="78">
        <v>28.408219178082192</v>
      </c>
      <c r="S558" s="79" t="s">
        <v>12256</v>
      </c>
      <c r="T558" s="75" t="s">
        <v>7298</v>
      </c>
      <c r="U558" s="75" t="s">
        <v>12257</v>
      </c>
      <c r="V558" s="17"/>
      <c r="W558" s="75" t="s">
        <v>7300</v>
      </c>
      <c r="X558" s="80"/>
      <c r="Y558" s="75" t="s">
        <v>7319</v>
      </c>
      <c r="Z558" s="15" t="s">
        <v>12258</v>
      </c>
      <c r="AA558" s="75"/>
      <c r="AB558" s="18" t="s">
        <v>7293</v>
      </c>
      <c r="AC558" s="12"/>
      <c r="AD558" s="75" t="s">
        <v>12259</v>
      </c>
      <c r="AE558" s="75"/>
      <c r="AF558" s="17" t="s">
        <v>7306</v>
      </c>
      <c r="AG558" s="72">
        <v>0</v>
      </c>
      <c r="AH558" s="83"/>
      <c r="AI558" s="75" t="s">
        <v>7324</v>
      </c>
    </row>
    <row r="559" spans="1:35" x14ac:dyDescent="0.3">
      <c r="A559" s="34" t="s">
        <v>7286</v>
      </c>
      <c r="B559" s="17" t="s">
        <v>12260</v>
      </c>
      <c r="C559" s="72" t="s">
        <v>7150</v>
      </c>
      <c r="D559" s="81" t="s">
        <v>12261</v>
      </c>
      <c r="E559" s="11" t="s">
        <v>1255</v>
      </c>
      <c r="F559" s="75" t="s">
        <v>7329</v>
      </c>
      <c r="G559" s="75" t="s">
        <v>7330</v>
      </c>
      <c r="H559" s="75" t="s">
        <v>7452</v>
      </c>
      <c r="I559" s="75" t="s">
        <v>7453</v>
      </c>
      <c r="J559" s="75" t="s">
        <v>7509</v>
      </c>
      <c r="K559" s="11" t="s">
        <v>7510</v>
      </c>
      <c r="L559" s="74" t="s">
        <v>7756</v>
      </c>
      <c r="M559" s="76">
        <v>46214</v>
      </c>
      <c r="N559" s="76"/>
      <c r="O559" s="11" t="s">
        <v>7923</v>
      </c>
      <c r="P559" s="17"/>
      <c r="Q559" s="76">
        <v>29158</v>
      </c>
      <c r="R559" s="78">
        <v>46.961643835616435</v>
      </c>
      <c r="S559" s="79" t="s">
        <v>12262</v>
      </c>
      <c r="T559" s="75" t="s">
        <v>7298</v>
      </c>
      <c r="U559" s="75" t="s">
        <v>12263</v>
      </c>
      <c r="V559" s="17"/>
      <c r="W559" s="75" t="s">
        <v>7300</v>
      </c>
      <c r="X559" s="80"/>
      <c r="Y559" s="75" t="s">
        <v>7319</v>
      </c>
      <c r="Z559" s="15" t="s">
        <v>12264</v>
      </c>
      <c r="AA559" s="75"/>
      <c r="AB559" s="18" t="s">
        <v>7293</v>
      </c>
      <c r="AC559" s="12"/>
      <c r="AD559" s="75" t="s">
        <v>12265</v>
      </c>
      <c r="AE559" s="75" t="s">
        <v>12266</v>
      </c>
      <c r="AF559" s="17" t="s">
        <v>7323</v>
      </c>
      <c r="AG559" s="72">
        <v>1</v>
      </c>
      <c r="AH559" s="83"/>
      <c r="AI559" s="75" t="s">
        <v>7324</v>
      </c>
    </row>
    <row r="560" spans="1:35" x14ac:dyDescent="0.3">
      <c r="A560" s="34" t="s">
        <v>7286</v>
      </c>
      <c r="B560" s="17" t="s">
        <v>12267</v>
      </c>
      <c r="C560" s="72" t="s">
        <v>7150</v>
      </c>
      <c r="D560" s="75" t="s">
        <v>12268</v>
      </c>
      <c r="E560" s="11" t="s">
        <v>1256</v>
      </c>
      <c r="F560" s="75" t="s">
        <v>7329</v>
      </c>
      <c r="G560" s="75" t="s">
        <v>7330</v>
      </c>
      <c r="H560" s="75" t="s">
        <v>7452</v>
      </c>
      <c r="I560" s="75" t="s">
        <v>7453</v>
      </c>
      <c r="J560" s="75" t="s">
        <v>7509</v>
      </c>
      <c r="K560" s="11" t="s">
        <v>7510</v>
      </c>
      <c r="L560" s="74" t="s">
        <v>7756</v>
      </c>
      <c r="M560" s="76">
        <v>46214</v>
      </c>
      <c r="N560" s="76"/>
      <c r="O560" s="11" t="s">
        <v>7923</v>
      </c>
      <c r="P560" s="17"/>
      <c r="Q560" s="76">
        <v>28319</v>
      </c>
      <c r="R560" s="78">
        <v>49.260273972602739</v>
      </c>
      <c r="S560" s="79" t="s">
        <v>12269</v>
      </c>
      <c r="T560" s="75" t="s">
        <v>7298</v>
      </c>
      <c r="U560" s="75" t="s">
        <v>12270</v>
      </c>
      <c r="V560" s="17"/>
      <c r="W560" s="75" t="s">
        <v>7300</v>
      </c>
      <c r="X560" s="80"/>
      <c r="Y560" s="75" t="s">
        <v>7319</v>
      </c>
      <c r="Z560" s="15" t="s">
        <v>12271</v>
      </c>
      <c r="AA560" s="75"/>
      <c r="AB560" s="18" t="s">
        <v>7293</v>
      </c>
      <c r="AC560" s="12"/>
      <c r="AD560" s="75" t="s">
        <v>12272</v>
      </c>
      <c r="AE560" s="75" t="s">
        <v>12273</v>
      </c>
      <c r="AF560" s="17" t="s">
        <v>7323</v>
      </c>
      <c r="AG560" s="72">
        <v>2</v>
      </c>
      <c r="AH560" s="83"/>
      <c r="AI560" s="75" t="s">
        <v>7324</v>
      </c>
    </row>
    <row r="561" spans="1:35" x14ac:dyDescent="0.3">
      <c r="A561" s="34" t="s">
        <v>7286</v>
      </c>
      <c r="B561" s="17" t="s">
        <v>12274</v>
      </c>
      <c r="C561" s="34"/>
      <c r="D561" s="81" t="s">
        <v>12275</v>
      </c>
      <c r="E561" s="11" t="s">
        <v>12276</v>
      </c>
      <c r="F561" s="75" t="s">
        <v>7329</v>
      </c>
      <c r="G561" s="75" t="s">
        <v>7330</v>
      </c>
      <c r="H561" s="75" t="s">
        <v>7452</v>
      </c>
      <c r="I561" s="75" t="s">
        <v>7453</v>
      </c>
      <c r="J561" s="75" t="s">
        <v>8517</v>
      </c>
      <c r="K561" s="11" t="s">
        <v>6341</v>
      </c>
      <c r="L561" s="74" t="s">
        <v>7456</v>
      </c>
      <c r="M561" s="76">
        <v>46223</v>
      </c>
      <c r="N561" s="76"/>
      <c r="O561" s="11" t="s">
        <v>7870</v>
      </c>
      <c r="P561" s="17"/>
      <c r="Q561" s="76">
        <v>31221</v>
      </c>
      <c r="R561" s="78">
        <v>41.30958904109589</v>
      </c>
      <c r="S561" s="11" t="s">
        <v>12277</v>
      </c>
      <c r="T561" s="75" t="s">
        <v>7298</v>
      </c>
      <c r="U561" s="75" t="s">
        <v>12278</v>
      </c>
      <c r="V561" s="11"/>
      <c r="W561" s="75" t="s">
        <v>7300</v>
      </c>
      <c r="X561" s="11" t="s">
        <v>10336</v>
      </c>
      <c r="Y561" s="75" t="s">
        <v>7319</v>
      </c>
      <c r="Z561" s="15" t="s">
        <v>12279</v>
      </c>
      <c r="AA561" s="11"/>
      <c r="AB561" s="18" t="s">
        <v>12280</v>
      </c>
      <c r="AC561" s="11"/>
      <c r="AD561" s="75" t="s">
        <v>12281</v>
      </c>
      <c r="AE561" s="75" t="s">
        <v>12281</v>
      </c>
      <c r="AF561" s="11"/>
      <c r="AG561" s="11"/>
      <c r="AH561" s="34"/>
      <c r="AI561" s="75" t="s">
        <v>7324</v>
      </c>
    </row>
    <row r="562" spans="1:35" x14ac:dyDescent="0.3">
      <c r="A562" s="34" t="s">
        <v>7286</v>
      </c>
      <c r="B562" s="17" t="s">
        <v>12282</v>
      </c>
      <c r="C562" s="34"/>
      <c r="D562" s="81" t="s">
        <v>12283</v>
      </c>
      <c r="E562" s="74" t="s">
        <v>12284</v>
      </c>
      <c r="F562" s="75" t="s">
        <v>7346</v>
      </c>
      <c r="G562" s="75" t="s">
        <v>6471</v>
      </c>
      <c r="H562" s="11" t="s">
        <v>12285</v>
      </c>
      <c r="I562" s="75" t="s">
        <v>12286</v>
      </c>
      <c r="J562" s="75" t="s">
        <v>8295</v>
      </c>
      <c r="K562" s="11" t="s">
        <v>6353</v>
      </c>
      <c r="L562" s="11" t="s">
        <v>7350</v>
      </c>
      <c r="M562" s="76">
        <v>46227</v>
      </c>
      <c r="N562" s="76"/>
      <c r="O562" s="11" t="s">
        <v>7923</v>
      </c>
      <c r="P562" s="17"/>
      <c r="Q562" s="76">
        <v>35163</v>
      </c>
      <c r="R562" s="78">
        <v>30.509589041095889</v>
      </c>
      <c r="S562" s="11" t="s">
        <v>12287</v>
      </c>
      <c r="T562" s="75" t="s">
        <v>7298</v>
      </c>
      <c r="U562" s="75" t="s">
        <v>12288</v>
      </c>
      <c r="V562" s="102">
        <v>47735</v>
      </c>
      <c r="W562" s="75" t="s">
        <v>7300</v>
      </c>
      <c r="X562" s="11" t="s">
        <v>7301</v>
      </c>
      <c r="Y562" s="75" t="s">
        <v>7319</v>
      </c>
      <c r="Z562" s="15" t="s">
        <v>12289</v>
      </c>
      <c r="AA562" s="11"/>
      <c r="AB562" s="18" t="s">
        <v>12290</v>
      </c>
      <c r="AC562" s="11"/>
      <c r="AD562" s="75" t="s">
        <v>12291</v>
      </c>
      <c r="AE562" s="75" t="s">
        <v>12291</v>
      </c>
      <c r="AF562" s="11"/>
      <c r="AG562" s="11"/>
      <c r="AH562" s="34"/>
      <c r="AI562" s="75" t="s">
        <v>7307</v>
      </c>
    </row>
    <row r="563" spans="1:35" x14ac:dyDescent="0.3">
      <c r="A563" s="34" t="s">
        <v>7286</v>
      </c>
      <c r="B563" s="17" t="s">
        <v>12292</v>
      </c>
      <c r="C563" s="34"/>
      <c r="D563" s="81" t="s">
        <v>12293</v>
      </c>
      <c r="E563" s="11" t="s">
        <v>12294</v>
      </c>
      <c r="F563" s="75" t="s">
        <v>7293</v>
      </c>
      <c r="G563" s="75" t="s">
        <v>7293</v>
      </c>
      <c r="H563" s="75" t="s">
        <v>8997</v>
      </c>
      <c r="I563" s="75" t="s">
        <v>8998</v>
      </c>
      <c r="J563" s="75" t="s">
        <v>12295</v>
      </c>
      <c r="K563" s="11" t="s">
        <v>12295</v>
      </c>
      <c r="L563" s="77" t="s">
        <v>11227</v>
      </c>
      <c r="M563" s="76">
        <v>46230</v>
      </c>
      <c r="N563" s="76"/>
      <c r="O563" s="75" t="s">
        <v>7923</v>
      </c>
      <c r="P563" s="17"/>
      <c r="Q563" s="76">
        <v>38440</v>
      </c>
      <c r="R563" s="78">
        <v>21.531506849315068</v>
      </c>
      <c r="S563" s="11" t="s">
        <v>12296</v>
      </c>
      <c r="T563" s="75" t="s">
        <v>7298</v>
      </c>
      <c r="U563" s="11" t="s">
        <v>12297</v>
      </c>
      <c r="V563" s="102">
        <v>46211</v>
      </c>
      <c r="W563" s="75" t="s">
        <v>7300</v>
      </c>
      <c r="X563" s="11" t="s">
        <v>7301</v>
      </c>
      <c r="Y563" s="11" t="s">
        <v>7319</v>
      </c>
      <c r="Z563" s="103" t="s">
        <v>12298</v>
      </c>
      <c r="AA563" s="11"/>
      <c r="AB563" s="18" t="s">
        <v>12299</v>
      </c>
      <c r="AC563" s="11"/>
      <c r="AD563" s="11" t="s">
        <v>12300</v>
      </c>
      <c r="AE563" s="11" t="s">
        <v>12300</v>
      </c>
      <c r="AF563" s="11"/>
      <c r="AG563" s="11"/>
      <c r="AH563" s="34"/>
      <c r="AI563" s="75" t="s">
        <v>7307</v>
      </c>
    </row>
    <row r="564" spans="1:35" ht="72" x14ac:dyDescent="0.3">
      <c r="A564" s="34" t="s">
        <v>7286</v>
      </c>
      <c r="B564" s="17" t="s">
        <v>12301</v>
      </c>
      <c r="C564" s="34"/>
      <c r="D564" s="81" t="s">
        <v>12302</v>
      </c>
      <c r="E564" s="32" t="s">
        <v>12303</v>
      </c>
      <c r="F564" s="75" t="s">
        <v>7346</v>
      </c>
      <c r="G564" s="75" t="s">
        <v>6471</v>
      </c>
      <c r="H564" s="21" t="s">
        <v>9082</v>
      </c>
      <c r="I564" s="75" t="s">
        <v>9083</v>
      </c>
      <c r="J564" s="75" t="s">
        <v>8517</v>
      </c>
      <c r="K564" s="11" t="s">
        <v>6341</v>
      </c>
      <c r="L564" s="77" t="s">
        <v>9081</v>
      </c>
      <c r="M564" s="76">
        <v>46239</v>
      </c>
      <c r="N564" s="76"/>
      <c r="O564" s="11" t="s">
        <v>7923</v>
      </c>
      <c r="P564" s="17"/>
      <c r="Q564" s="76">
        <v>35858</v>
      </c>
      <c r="R564" s="78">
        <v>28.605479452054794</v>
      </c>
      <c r="S564" s="11" t="s">
        <v>12304</v>
      </c>
      <c r="T564" s="75" t="s">
        <v>7298</v>
      </c>
      <c r="U564" s="11" t="s">
        <v>12305</v>
      </c>
      <c r="V564" s="102">
        <v>48629</v>
      </c>
      <c r="W564" s="75" t="s">
        <v>7300</v>
      </c>
      <c r="X564" s="11" t="s">
        <v>7301</v>
      </c>
      <c r="Y564" s="75" t="s">
        <v>7319</v>
      </c>
      <c r="Z564" s="103" t="s">
        <v>12306</v>
      </c>
      <c r="AA564" s="11"/>
      <c r="AB564" s="18" t="s">
        <v>12307</v>
      </c>
      <c r="AC564" s="11"/>
      <c r="AD564" s="11" t="s">
        <v>12308</v>
      </c>
      <c r="AE564" s="11" t="s">
        <v>12308</v>
      </c>
      <c r="AF564" s="11"/>
      <c r="AG564" s="11"/>
      <c r="AH564" s="34"/>
      <c r="AI564" s="75" t="s">
        <v>7307</v>
      </c>
    </row>
    <row r="565" spans="1:35" x14ac:dyDescent="0.3">
      <c r="A565" s="34" t="s">
        <v>7286</v>
      </c>
      <c r="B565" s="17" t="s">
        <v>12309</v>
      </c>
      <c r="C565" s="34"/>
      <c r="D565" s="75" t="s">
        <v>12310</v>
      </c>
      <c r="E565" s="75" t="s">
        <v>12311</v>
      </c>
      <c r="F565" s="75" t="s">
        <v>7370</v>
      </c>
      <c r="G565" s="75" t="s">
        <v>7371</v>
      </c>
      <c r="H565" s="75" t="s">
        <v>7372</v>
      </c>
      <c r="I565" s="75" t="s">
        <v>7373</v>
      </c>
      <c r="J565" s="82" t="s">
        <v>11113</v>
      </c>
      <c r="K565" s="11" t="s">
        <v>12312</v>
      </c>
      <c r="L565" s="81" t="s">
        <v>10938</v>
      </c>
      <c r="M565" s="76">
        <v>46238</v>
      </c>
      <c r="N565" s="76"/>
      <c r="O565" s="11" t="s">
        <v>8747</v>
      </c>
      <c r="P565" s="17"/>
      <c r="Q565" s="76">
        <v>37688</v>
      </c>
      <c r="R565" s="78">
        <v>23.591780821917808</v>
      </c>
      <c r="S565" s="79" t="s">
        <v>12313</v>
      </c>
      <c r="T565" s="75" t="s">
        <v>7298</v>
      </c>
      <c r="U565" s="11" t="s">
        <v>12314</v>
      </c>
      <c r="V565" s="102">
        <v>47418</v>
      </c>
      <c r="W565" s="75" t="s">
        <v>7300</v>
      </c>
      <c r="X565" s="11" t="s">
        <v>7301</v>
      </c>
      <c r="Y565" s="11" t="s">
        <v>7319</v>
      </c>
      <c r="Z565" s="103" t="s">
        <v>12315</v>
      </c>
      <c r="AA565" s="11"/>
      <c r="AB565" s="18" t="s">
        <v>12316</v>
      </c>
      <c r="AC565" s="11"/>
      <c r="AD565" s="11" t="s">
        <v>12317</v>
      </c>
      <c r="AE565" s="11" t="s">
        <v>12318</v>
      </c>
      <c r="AF565" s="11"/>
      <c r="AG565" s="11"/>
      <c r="AH565" s="34"/>
      <c r="AI565" s="75" t="s">
        <v>7524</v>
      </c>
    </row>
    <row r="566" spans="1:35" x14ac:dyDescent="0.3">
      <c r="A566" s="34" t="s">
        <v>7286</v>
      </c>
      <c r="B566" s="17" t="s">
        <v>12319</v>
      </c>
      <c r="C566" s="34"/>
      <c r="D566" s="81" t="s">
        <v>12320</v>
      </c>
      <c r="E566" s="11" t="s">
        <v>12321</v>
      </c>
      <c r="F566" s="75" t="s">
        <v>7329</v>
      </c>
      <c r="G566" s="75" t="s">
        <v>7330</v>
      </c>
      <c r="H566" s="75" t="s">
        <v>7452</v>
      </c>
      <c r="I566" s="75" t="s">
        <v>7453</v>
      </c>
      <c r="J566" s="75" t="s">
        <v>11088</v>
      </c>
      <c r="K566" s="11" t="s">
        <v>6411</v>
      </c>
      <c r="L566" s="77" t="s">
        <v>7409</v>
      </c>
      <c r="M566" s="76">
        <v>46244</v>
      </c>
      <c r="N566" s="76"/>
      <c r="O566" s="11" t="s">
        <v>7870</v>
      </c>
      <c r="P566" s="17"/>
      <c r="Q566" s="76">
        <v>38469</v>
      </c>
      <c r="R566" s="78">
        <v>21.452054794520549</v>
      </c>
      <c r="S566" s="11" t="s">
        <v>12322</v>
      </c>
      <c r="T566" s="75" t="s">
        <v>7298</v>
      </c>
      <c r="U566" s="11" t="s">
        <v>12323</v>
      </c>
      <c r="V566" s="102">
        <v>47644</v>
      </c>
      <c r="W566" s="75" t="s">
        <v>7300</v>
      </c>
      <c r="X566" s="11" t="s">
        <v>10336</v>
      </c>
      <c r="Y566" s="11" t="s">
        <v>7319</v>
      </c>
      <c r="Z566" s="103" t="s">
        <v>12324</v>
      </c>
      <c r="AA566" s="11"/>
      <c r="AB566" s="18" t="s">
        <v>12325</v>
      </c>
      <c r="AC566" s="11"/>
      <c r="AD566" s="11" t="s">
        <v>12326</v>
      </c>
      <c r="AE566" s="11" t="s">
        <v>12327</v>
      </c>
      <c r="AF566" s="11"/>
      <c r="AG566" s="11"/>
      <c r="AH566" s="34"/>
      <c r="AI566" s="75" t="s">
        <v>7324</v>
      </c>
    </row>
    <row r="567" spans="1:35" x14ac:dyDescent="0.3">
      <c r="A567" s="34" t="s">
        <v>7286</v>
      </c>
      <c r="B567" s="17" t="s">
        <v>12328</v>
      </c>
      <c r="C567" s="34"/>
      <c r="D567" s="81" t="s">
        <v>12329</v>
      </c>
      <c r="E567" s="74" t="s">
        <v>2604</v>
      </c>
      <c r="F567" s="75" t="s">
        <v>7293</v>
      </c>
      <c r="G567" s="75" t="s">
        <v>7293</v>
      </c>
      <c r="H567" s="11" t="s">
        <v>11861</v>
      </c>
      <c r="I567" s="75" t="s">
        <v>11862</v>
      </c>
      <c r="J567" s="75" t="s">
        <v>8295</v>
      </c>
      <c r="K567" s="11" t="s">
        <v>6353</v>
      </c>
      <c r="L567" s="11" t="s">
        <v>12330</v>
      </c>
      <c r="M567" s="76">
        <v>46247</v>
      </c>
      <c r="N567" s="76"/>
      <c r="O567" s="11" t="s">
        <v>7923</v>
      </c>
      <c r="P567" s="17"/>
      <c r="Q567" s="76">
        <v>33084</v>
      </c>
      <c r="R567" s="78">
        <v>36.205479452054796</v>
      </c>
      <c r="S567" s="11" t="s">
        <v>12331</v>
      </c>
      <c r="T567" s="75" t="s">
        <v>7298</v>
      </c>
      <c r="U567" s="11" t="s">
        <v>12332</v>
      </c>
      <c r="V567" s="102">
        <v>47989</v>
      </c>
      <c r="W567" s="75" t="s">
        <v>7953</v>
      </c>
      <c r="X567" s="11" t="s">
        <v>7301</v>
      </c>
      <c r="Y567" s="11" t="s">
        <v>7319</v>
      </c>
      <c r="Z567" s="103" t="s">
        <v>12333</v>
      </c>
      <c r="AA567" s="11"/>
      <c r="AB567" s="18"/>
      <c r="AC567" s="11"/>
      <c r="AD567" s="11" t="s">
        <v>12334</v>
      </c>
      <c r="AE567" s="11" t="s">
        <v>12334</v>
      </c>
      <c r="AF567" s="11"/>
      <c r="AG567" s="11"/>
      <c r="AH567" s="34"/>
      <c r="AI567" s="75" t="s">
        <v>7307</v>
      </c>
    </row>
    <row r="568" spans="1:35" x14ac:dyDescent="0.3">
      <c r="A568" s="34" t="s">
        <v>7286</v>
      </c>
      <c r="B568" s="17" t="s">
        <v>12335</v>
      </c>
      <c r="C568" s="34"/>
      <c r="D568" s="81" t="s">
        <v>12336</v>
      </c>
      <c r="E568" s="11" t="s">
        <v>12337</v>
      </c>
      <c r="F568" s="75" t="s">
        <v>7370</v>
      </c>
      <c r="G568" s="75" t="s">
        <v>7371</v>
      </c>
      <c r="H568" s="75" t="s">
        <v>9832</v>
      </c>
      <c r="I568" s="75" t="s">
        <v>9833</v>
      </c>
      <c r="J568" s="75" t="s">
        <v>11537</v>
      </c>
      <c r="K568" s="11" t="s">
        <v>11538</v>
      </c>
      <c r="L568" s="77" t="s">
        <v>9836</v>
      </c>
      <c r="M568" s="76">
        <v>46248</v>
      </c>
      <c r="N568" s="76"/>
      <c r="O568" s="11" t="s">
        <v>8747</v>
      </c>
      <c r="P568" s="17"/>
      <c r="Q568" s="76">
        <v>38616</v>
      </c>
      <c r="R568" s="78">
        <v>21.049315068493151</v>
      </c>
      <c r="S568" s="11" t="s">
        <v>12338</v>
      </c>
      <c r="T568" s="75" t="s">
        <v>7298</v>
      </c>
      <c r="U568" s="11" t="s">
        <v>12339</v>
      </c>
      <c r="V568" s="102">
        <v>48190</v>
      </c>
      <c r="W568" s="75" t="s">
        <v>7300</v>
      </c>
      <c r="X568" s="11" t="s">
        <v>7301</v>
      </c>
      <c r="Y568" s="11" t="s">
        <v>7319</v>
      </c>
      <c r="Z568" s="11"/>
      <c r="AA568" s="11"/>
      <c r="AB568" s="18"/>
      <c r="AC568" s="11"/>
      <c r="AD568" s="11"/>
      <c r="AE568" s="11"/>
      <c r="AF568" s="11"/>
      <c r="AG568" s="11"/>
      <c r="AH568" s="34"/>
      <c r="AI568" s="75" t="s">
        <v>11668</v>
      </c>
    </row>
    <row r="569" spans="1:35" x14ac:dyDescent="0.3">
      <c r="A569" s="34" t="s">
        <v>7286</v>
      </c>
      <c r="B569" s="17" t="s">
        <v>12340</v>
      </c>
      <c r="C569" s="34"/>
      <c r="D569" s="81" t="s">
        <v>12341</v>
      </c>
      <c r="E569" s="11" t="s">
        <v>12342</v>
      </c>
      <c r="F569" s="75" t="s">
        <v>7329</v>
      </c>
      <c r="G569" s="75" t="s">
        <v>7330</v>
      </c>
      <c r="H569" s="11" t="s">
        <v>7358</v>
      </c>
      <c r="I569" s="75" t="s">
        <v>7359</v>
      </c>
      <c r="J569" s="11" t="s">
        <v>7388</v>
      </c>
      <c r="K569" s="11" t="s">
        <v>6341</v>
      </c>
      <c r="L569" s="77" t="s">
        <v>7360</v>
      </c>
      <c r="M569" s="76">
        <v>46251</v>
      </c>
      <c r="N569" s="76"/>
      <c r="O569" s="11" t="s">
        <v>7870</v>
      </c>
      <c r="P569" s="17"/>
      <c r="Q569" s="76">
        <v>33697</v>
      </c>
      <c r="R569" s="78">
        <v>34.526027397260272</v>
      </c>
      <c r="S569" s="11" t="s">
        <v>12343</v>
      </c>
      <c r="T569" s="75" t="s">
        <v>7298</v>
      </c>
      <c r="U569" s="11" t="s">
        <v>12344</v>
      </c>
      <c r="V569" s="102">
        <v>47152</v>
      </c>
      <c r="W569" s="75" t="s">
        <v>7300</v>
      </c>
      <c r="X569" s="11" t="s">
        <v>7301</v>
      </c>
      <c r="Y569" s="11" t="s">
        <v>7319</v>
      </c>
      <c r="Z569" s="103" t="s">
        <v>12345</v>
      </c>
      <c r="AA569" s="11"/>
      <c r="AB569" s="18" t="s">
        <v>12346</v>
      </c>
      <c r="AC569" s="11"/>
      <c r="AD569" s="11" t="s">
        <v>12347</v>
      </c>
      <c r="AE569" s="11" t="s">
        <v>12347</v>
      </c>
      <c r="AF569" s="11"/>
      <c r="AG569" s="11"/>
      <c r="AH569" s="34"/>
      <c r="AI569" s="75" t="s">
        <v>7324</v>
      </c>
    </row>
    <row r="570" spans="1:35" x14ac:dyDescent="0.3">
      <c r="A570" s="34" t="s">
        <v>7286</v>
      </c>
      <c r="B570" s="17" t="s">
        <v>12348</v>
      </c>
      <c r="C570" s="17" t="s">
        <v>7367</v>
      </c>
      <c r="D570" s="75" t="s">
        <v>12349</v>
      </c>
      <c r="E570" s="75" t="s">
        <v>12350</v>
      </c>
      <c r="F570" s="75" t="s">
        <v>7370</v>
      </c>
      <c r="G570" s="75" t="s">
        <v>7371</v>
      </c>
      <c r="H570" s="75" t="s">
        <v>8349</v>
      </c>
      <c r="I570" s="75" t="s">
        <v>8350</v>
      </c>
      <c r="J570" s="75" t="s">
        <v>12351</v>
      </c>
      <c r="K570" s="11" t="s">
        <v>6341</v>
      </c>
      <c r="L570" s="81" t="s">
        <v>10938</v>
      </c>
      <c r="M570" s="76">
        <v>45894</v>
      </c>
      <c r="N570" s="76"/>
      <c r="O570" s="75" t="s">
        <v>8747</v>
      </c>
      <c r="P570" s="17"/>
      <c r="Q570" s="76">
        <v>37433</v>
      </c>
      <c r="R570" s="78">
        <v>24.290410958904111</v>
      </c>
      <c r="S570" s="79" t="s">
        <v>12352</v>
      </c>
      <c r="T570" s="75" t="s">
        <v>7298</v>
      </c>
      <c r="U570" s="75" t="s">
        <v>12353</v>
      </c>
      <c r="V570" s="102">
        <v>48431</v>
      </c>
      <c r="W570" s="75" t="s">
        <v>7300</v>
      </c>
      <c r="X570" s="75" t="s">
        <v>8547</v>
      </c>
      <c r="Y570" s="75" t="s">
        <v>7319</v>
      </c>
      <c r="Z570" s="15" t="s">
        <v>12354</v>
      </c>
      <c r="AA570" s="75"/>
      <c r="AB570" s="18" t="s">
        <v>12355</v>
      </c>
      <c r="AC570" s="11" t="s">
        <v>12356</v>
      </c>
      <c r="AD570" s="15" t="s">
        <v>12357</v>
      </c>
      <c r="AE570" s="75" t="s">
        <v>12358</v>
      </c>
      <c r="AF570" s="17"/>
      <c r="AG570" s="17"/>
      <c r="AH570" s="83"/>
      <c r="AI570" s="75" t="s">
        <v>7745</v>
      </c>
    </row>
    <row r="571" spans="1:35" x14ac:dyDescent="0.3">
      <c r="A571" s="34" t="s">
        <v>7286</v>
      </c>
      <c r="B571" s="17" t="s">
        <v>12359</v>
      </c>
      <c r="C571" s="34"/>
      <c r="D571" s="81" t="s">
        <v>12360</v>
      </c>
      <c r="E571" s="81" t="s">
        <v>12361</v>
      </c>
      <c r="F571" s="75" t="s">
        <v>7370</v>
      </c>
      <c r="G571" s="75" t="s">
        <v>7371</v>
      </c>
      <c r="H571" s="75" t="s">
        <v>9832</v>
      </c>
      <c r="I571" s="75" t="s">
        <v>9833</v>
      </c>
      <c r="J571" s="82" t="s">
        <v>11113</v>
      </c>
      <c r="K571" s="11" t="s">
        <v>12362</v>
      </c>
      <c r="L571" s="77" t="s">
        <v>9836</v>
      </c>
      <c r="M571" s="76">
        <v>46261</v>
      </c>
      <c r="N571" s="76"/>
      <c r="O571" s="11" t="s">
        <v>7870</v>
      </c>
      <c r="P571" s="17"/>
      <c r="Q571" s="76">
        <v>36025</v>
      </c>
      <c r="R571" s="78">
        <v>28.147945205479452</v>
      </c>
      <c r="S571" s="11" t="s">
        <v>12363</v>
      </c>
      <c r="T571" s="75" t="s">
        <v>7298</v>
      </c>
      <c r="U571" s="11" t="s">
        <v>12364</v>
      </c>
      <c r="V571" s="102"/>
      <c r="W571" s="75" t="s">
        <v>7300</v>
      </c>
      <c r="X571" s="11" t="s">
        <v>7301</v>
      </c>
      <c r="Y571" s="11" t="s">
        <v>7302</v>
      </c>
      <c r="Z571" s="103" t="s">
        <v>12365</v>
      </c>
      <c r="AA571" s="11"/>
      <c r="AB571" s="18" t="s">
        <v>12366</v>
      </c>
      <c r="AC571" s="11"/>
      <c r="AD571" s="11" t="s">
        <v>12367</v>
      </c>
      <c r="AE571" s="11" t="s">
        <v>12368</v>
      </c>
      <c r="AF571" s="11"/>
      <c r="AG571" s="11"/>
      <c r="AH571" s="34"/>
      <c r="AI571" s="75" t="s">
        <v>7745</v>
      </c>
    </row>
    <row r="572" spans="1:35" x14ac:dyDescent="0.3">
      <c r="A572" s="34" t="s">
        <v>7286</v>
      </c>
      <c r="B572" s="17" t="s">
        <v>12369</v>
      </c>
      <c r="C572" s="34"/>
      <c r="D572" s="81" t="s">
        <v>12370</v>
      </c>
      <c r="E572" s="11" t="s">
        <v>12371</v>
      </c>
      <c r="F572" s="75" t="s">
        <v>7370</v>
      </c>
      <c r="G572" s="75" t="s">
        <v>7371</v>
      </c>
      <c r="H572" s="75" t="s">
        <v>9832</v>
      </c>
      <c r="I572" s="75" t="s">
        <v>9833</v>
      </c>
      <c r="J572" s="82" t="s">
        <v>11113</v>
      </c>
      <c r="K572" s="11" t="s">
        <v>12362</v>
      </c>
      <c r="L572" s="77" t="s">
        <v>9836</v>
      </c>
      <c r="M572" s="76">
        <v>46261</v>
      </c>
      <c r="N572" s="76"/>
      <c r="O572" s="11" t="s">
        <v>7870</v>
      </c>
      <c r="P572" s="17"/>
      <c r="Q572" s="76">
        <v>31375</v>
      </c>
      <c r="R572" s="78">
        <v>40.887671232876713</v>
      </c>
      <c r="S572" s="11" t="s">
        <v>12372</v>
      </c>
      <c r="T572" s="75" t="s">
        <v>7298</v>
      </c>
      <c r="U572" s="75" t="s">
        <v>12373</v>
      </c>
      <c r="V572" s="102"/>
      <c r="W572" s="75" t="s">
        <v>7300</v>
      </c>
      <c r="X572" s="11" t="s">
        <v>7301</v>
      </c>
      <c r="Y572" s="11" t="s">
        <v>7302</v>
      </c>
      <c r="Z572" s="15" t="s">
        <v>12374</v>
      </c>
      <c r="AA572" s="11"/>
      <c r="AB572" s="18" t="s">
        <v>12375</v>
      </c>
      <c r="AC572" s="11"/>
      <c r="AD572" s="11" t="s">
        <v>12376</v>
      </c>
      <c r="AE572" s="11" t="s">
        <v>12376</v>
      </c>
      <c r="AF572" s="11"/>
      <c r="AG572" s="11"/>
      <c r="AH572" s="34"/>
      <c r="AI572" s="75" t="s">
        <v>7745</v>
      </c>
    </row>
    <row r="573" spans="1:35" x14ac:dyDescent="0.3">
      <c r="A573" s="34" t="s">
        <v>7286</v>
      </c>
      <c r="B573" s="17" t="s">
        <v>12377</v>
      </c>
      <c r="C573" s="34"/>
      <c r="D573" s="81" t="s">
        <v>12378</v>
      </c>
      <c r="E573" s="11" t="s">
        <v>12379</v>
      </c>
      <c r="F573" s="75" t="s">
        <v>7293</v>
      </c>
      <c r="G573" s="75" t="s">
        <v>7293</v>
      </c>
      <c r="H573" s="75" t="s">
        <v>8997</v>
      </c>
      <c r="I573" s="75" t="s">
        <v>8998</v>
      </c>
      <c r="J573" s="82" t="s">
        <v>12295</v>
      </c>
      <c r="K573" s="11" t="s">
        <v>12295</v>
      </c>
      <c r="L573" s="77" t="s">
        <v>11227</v>
      </c>
      <c r="M573" s="76">
        <v>46266</v>
      </c>
      <c r="N573" s="76"/>
      <c r="O573" s="11" t="s">
        <v>7923</v>
      </c>
      <c r="P573" s="11"/>
      <c r="Q573" s="76">
        <v>35792</v>
      </c>
      <c r="R573" s="78">
        <v>28.786301369863015</v>
      </c>
      <c r="S573" s="11" t="s">
        <v>12380</v>
      </c>
      <c r="T573" s="75" t="s">
        <v>7298</v>
      </c>
      <c r="U573" s="11" t="s">
        <v>12381</v>
      </c>
      <c r="V573" s="102"/>
      <c r="W573" s="75" t="s">
        <v>7300</v>
      </c>
      <c r="X573" s="11" t="s">
        <v>7301</v>
      </c>
      <c r="Y573" s="11" t="s">
        <v>7302</v>
      </c>
      <c r="Z573" s="15" t="s">
        <v>12382</v>
      </c>
      <c r="AA573" s="11"/>
      <c r="AB573" s="18" t="s">
        <v>12383</v>
      </c>
      <c r="AC573" s="16" t="s">
        <v>12384</v>
      </c>
      <c r="AD573" s="11" t="s">
        <v>12385</v>
      </c>
      <c r="AE573" s="11" t="s">
        <v>12385</v>
      </c>
      <c r="AF573" s="11"/>
      <c r="AG573" s="11"/>
      <c r="AH573" s="34"/>
      <c r="AI573" s="75" t="s">
        <v>7307</v>
      </c>
    </row>
    <row r="574" spans="1:35" x14ac:dyDescent="0.3">
      <c r="A574" s="34" t="s">
        <v>7286</v>
      </c>
      <c r="B574" s="17" t="s">
        <v>12386</v>
      </c>
      <c r="C574" s="34"/>
      <c r="D574" s="81" t="s">
        <v>12387</v>
      </c>
      <c r="E574" s="94" t="s">
        <v>649</v>
      </c>
      <c r="F574" s="75" t="s">
        <v>12388</v>
      </c>
      <c r="G574" s="75" t="s">
        <v>12389</v>
      </c>
      <c r="H574" s="75" t="s">
        <v>12390</v>
      </c>
      <c r="I574" s="75" t="s">
        <v>12391</v>
      </c>
      <c r="J574" s="75" t="s">
        <v>12392</v>
      </c>
      <c r="K574" s="11" t="s">
        <v>12393</v>
      </c>
      <c r="L574" s="77" t="s">
        <v>12394</v>
      </c>
      <c r="M574" s="76">
        <v>46267</v>
      </c>
      <c r="N574" s="76"/>
      <c r="O574" s="11" t="s">
        <v>7923</v>
      </c>
      <c r="P574" s="11"/>
      <c r="Q574" s="76">
        <v>32062</v>
      </c>
      <c r="R574" s="78">
        <v>39.005479452054793</v>
      </c>
      <c r="S574" s="79" t="s">
        <v>12395</v>
      </c>
      <c r="T574" s="75" t="s">
        <v>7298</v>
      </c>
      <c r="U574" s="75" t="s">
        <v>12396</v>
      </c>
      <c r="V574" s="102">
        <v>48507</v>
      </c>
      <c r="W574" s="75" t="s">
        <v>7300</v>
      </c>
      <c r="X574" s="75" t="s">
        <v>7301</v>
      </c>
      <c r="Y574" s="75" t="s">
        <v>7302</v>
      </c>
      <c r="Z574" s="15" t="s">
        <v>12397</v>
      </c>
      <c r="AA574" s="75" t="s">
        <v>12397</v>
      </c>
      <c r="AB574" s="18" t="s">
        <v>12398</v>
      </c>
      <c r="AC574" s="11"/>
      <c r="AD574" s="15" t="s">
        <v>12399</v>
      </c>
      <c r="AE574" s="75" t="s">
        <v>12399</v>
      </c>
      <c r="AF574" s="17" t="s">
        <v>7323</v>
      </c>
      <c r="AG574" s="17">
        <v>2</v>
      </c>
      <c r="AH574" s="83"/>
      <c r="AI574" s="75" t="s">
        <v>7307</v>
      </c>
    </row>
    <row r="575" spans="1:35" x14ac:dyDescent="0.3">
      <c r="A575" s="34" t="s">
        <v>7286</v>
      </c>
      <c r="B575" s="17" t="s">
        <v>12400</v>
      </c>
      <c r="C575" s="34"/>
      <c r="D575" s="81" t="s">
        <v>12401</v>
      </c>
      <c r="E575" s="74" t="s">
        <v>1564</v>
      </c>
      <c r="F575" s="75" t="s">
        <v>7293</v>
      </c>
      <c r="G575" s="75" t="s">
        <v>7293</v>
      </c>
      <c r="H575" s="75" t="s">
        <v>7311</v>
      </c>
      <c r="I575" s="75" t="s">
        <v>7312</v>
      </c>
      <c r="J575" s="75" t="s">
        <v>7433</v>
      </c>
      <c r="K575" s="11" t="s">
        <v>7434</v>
      </c>
      <c r="L575" s="77" t="s">
        <v>7315</v>
      </c>
      <c r="M575" s="76">
        <v>46269</v>
      </c>
      <c r="N575" s="76"/>
      <c r="O575" s="11" t="s">
        <v>7870</v>
      </c>
      <c r="P575" s="11"/>
      <c r="Q575" s="76">
        <v>38572</v>
      </c>
      <c r="R575" s="78">
        <v>21.169863013698631</v>
      </c>
      <c r="S575" s="11" t="s">
        <v>12402</v>
      </c>
      <c r="T575" s="75" t="s">
        <v>7298</v>
      </c>
      <c r="U575" s="11" t="s">
        <v>12403</v>
      </c>
      <c r="V575" s="102">
        <v>48200</v>
      </c>
      <c r="W575" s="75" t="s">
        <v>7300</v>
      </c>
      <c r="X575" s="11" t="s">
        <v>10336</v>
      </c>
      <c r="Y575" s="11" t="s">
        <v>7319</v>
      </c>
      <c r="Z575" s="15" t="s">
        <v>12404</v>
      </c>
      <c r="AA575" s="11"/>
      <c r="AB575" s="11"/>
      <c r="AC575" s="11"/>
      <c r="AD575" s="15" t="s">
        <v>12405</v>
      </c>
      <c r="AE575" s="75" t="s">
        <v>12405</v>
      </c>
      <c r="AF575" s="11"/>
      <c r="AG575" s="11"/>
      <c r="AH575" s="34"/>
      <c r="AI575" s="75" t="s">
        <v>7597</v>
      </c>
    </row>
    <row r="576" spans="1:35" x14ac:dyDescent="0.3">
      <c r="A576" s="34" t="s">
        <v>7286</v>
      </c>
      <c r="B576" s="17" t="s">
        <v>12406</v>
      </c>
      <c r="C576" s="34"/>
      <c r="D576" s="81" t="s">
        <v>12407</v>
      </c>
      <c r="E576" s="11" t="s">
        <v>12408</v>
      </c>
      <c r="F576" s="75" t="s">
        <v>7674</v>
      </c>
      <c r="G576" s="75" t="s">
        <v>7675</v>
      </c>
      <c r="H576" s="75" t="s">
        <v>7676</v>
      </c>
      <c r="I576" s="75" t="s">
        <v>7677</v>
      </c>
      <c r="J576" s="75" t="s">
        <v>8517</v>
      </c>
      <c r="K576" s="11" t="s">
        <v>6341</v>
      </c>
      <c r="L576" s="77" t="s">
        <v>7673</v>
      </c>
      <c r="M576" s="76">
        <v>46272</v>
      </c>
      <c r="N576" s="76"/>
      <c r="O576" s="75" t="s">
        <v>7923</v>
      </c>
      <c r="P576" s="11"/>
      <c r="Q576" s="76">
        <v>37332</v>
      </c>
      <c r="R576" s="78">
        <v>24.567123287671233</v>
      </c>
      <c r="S576" s="11" t="s">
        <v>12409</v>
      </c>
      <c r="T576" s="75" t="s">
        <v>7298</v>
      </c>
      <c r="U576" s="11" t="s">
        <v>12410</v>
      </c>
      <c r="V576" s="102">
        <v>45726</v>
      </c>
      <c r="W576" s="75" t="s">
        <v>7300</v>
      </c>
      <c r="X576" s="11" t="s">
        <v>10419</v>
      </c>
      <c r="Y576" s="11" t="s">
        <v>7319</v>
      </c>
      <c r="Z576" s="15" t="s">
        <v>12411</v>
      </c>
      <c r="AA576" s="11"/>
      <c r="AB576" s="18" t="s">
        <v>12412</v>
      </c>
      <c r="AC576" s="11"/>
      <c r="AD576" s="11" t="s">
        <v>12413</v>
      </c>
      <c r="AE576" s="11" t="s">
        <v>12414</v>
      </c>
      <c r="AF576" s="11"/>
      <c r="AG576" s="11"/>
      <c r="AH576" s="34"/>
      <c r="AI576" s="75" t="s">
        <v>7307</v>
      </c>
    </row>
    <row r="577" spans="1:35" x14ac:dyDescent="0.3">
      <c r="A577" s="34" t="s">
        <v>7286</v>
      </c>
      <c r="B577" s="17" t="s">
        <v>12415</v>
      </c>
      <c r="C577" s="34"/>
      <c r="D577" s="81" t="s">
        <v>12416</v>
      </c>
      <c r="E577" s="11" t="s">
        <v>1668</v>
      </c>
      <c r="F577" s="75" t="s">
        <v>7293</v>
      </c>
      <c r="G577" s="75" t="s">
        <v>7293</v>
      </c>
      <c r="H577" s="75" t="s">
        <v>7311</v>
      </c>
      <c r="I577" s="75" t="s">
        <v>7312</v>
      </c>
      <c r="J577" s="75" t="s">
        <v>7433</v>
      </c>
      <c r="K577" s="11" t="s">
        <v>7434</v>
      </c>
      <c r="L577" s="77" t="s">
        <v>7315</v>
      </c>
      <c r="M577" s="76">
        <v>46274</v>
      </c>
      <c r="N577" s="76"/>
      <c r="O577" s="11" t="s">
        <v>7870</v>
      </c>
      <c r="P577" s="11"/>
      <c r="Q577" s="76">
        <v>38252</v>
      </c>
      <c r="R577" s="78">
        <v>22.046575342465754</v>
      </c>
      <c r="S577" s="11" t="s">
        <v>12417</v>
      </c>
      <c r="T577" s="75" t="s">
        <v>7298</v>
      </c>
      <c r="U577" s="11" t="s">
        <v>12418</v>
      </c>
      <c r="V577" s="102">
        <v>47687</v>
      </c>
      <c r="W577" s="75" t="s">
        <v>7300</v>
      </c>
      <c r="X577" s="11" t="s">
        <v>10336</v>
      </c>
      <c r="Y577" s="11" t="s">
        <v>7319</v>
      </c>
      <c r="Z577" s="15" t="s">
        <v>12419</v>
      </c>
      <c r="AA577" s="11"/>
      <c r="AB577" s="18"/>
      <c r="AC577" s="11"/>
      <c r="AD577" s="11" t="s">
        <v>12420</v>
      </c>
      <c r="AE577" s="11" t="s">
        <v>12420</v>
      </c>
      <c r="AF577" s="11"/>
      <c r="AG577" s="11"/>
      <c r="AH577" s="34"/>
      <c r="AI577" s="75" t="s">
        <v>7505</v>
      </c>
    </row>
    <row r="578" spans="1:35" x14ac:dyDescent="0.3">
      <c r="A578" s="34" t="s">
        <v>7286</v>
      </c>
      <c r="B578" s="17" t="s">
        <v>12421</v>
      </c>
      <c r="C578" s="34"/>
      <c r="D578" s="81" t="s">
        <v>12422</v>
      </c>
      <c r="E578" s="11" t="s">
        <v>1565</v>
      </c>
      <c r="F578" s="75" t="s">
        <v>7293</v>
      </c>
      <c r="G578" s="75" t="s">
        <v>7293</v>
      </c>
      <c r="H578" s="75" t="s">
        <v>7311</v>
      </c>
      <c r="I578" s="75" t="s">
        <v>7312</v>
      </c>
      <c r="J578" s="75" t="s">
        <v>7433</v>
      </c>
      <c r="K578" s="11" t="s">
        <v>7434</v>
      </c>
      <c r="L578" s="77" t="s">
        <v>7315</v>
      </c>
      <c r="M578" s="76">
        <v>46274</v>
      </c>
      <c r="N578" s="76"/>
      <c r="O578" s="11" t="s">
        <v>7870</v>
      </c>
      <c r="P578" s="11"/>
      <c r="Q578" s="76">
        <v>36890</v>
      </c>
      <c r="R578" s="78">
        <v>25.778082191780822</v>
      </c>
      <c r="S578" s="11" t="s">
        <v>12423</v>
      </c>
      <c r="T578" s="75" t="s">
        <v>7298</v>
      </c>
      <c r="U578" s="11" t="s">
        <v>12424</v>
      </c>
      <c r="V578" s="102">
        <v>49779</v>
      </c>
      <c r="W578" s="75" t="s">
        <v>7300</v>
      </c>
      <c r="X578" s="11" t="s">
        <v>10336</v>
      </c>
      <c r="Y578" s="11" t="s">
        <v>7319</v>
      </c>
      <c r="Z578" s="15" t="s">
        <v>12425</v>
      </c>
      <c r="AA578" s="11"/>
      <c r="AB578" s="18"/>
      <c r="AC578" s="11"/>
      <c r="AD578" s="11"/>
      <c r="AE578" s="11"/>
      <c r="AF578" s="11"/>
      <c r="AG578" s="11"/>
      <c r="AH578" s="34"/>
      <c r="AI578" s="75" t="s">
        <v>7597</v>
      </c>
    </row>
    <row r="579" spans="1:35" ht="72" x14ac:dyDescent="0.3">
      <c r="A579" s="34" t="s">
        <v>7286</v>
      </c>
      <c r="B579" s="17" t="s">
        <v>12426</v>
      </c>
      <c r="C579" s="34"/>
      <c r="D579" s="81" t="s">
        <v>12427</v>
      </c>
      <c r="E579" s="11" t="s">
        <v>12428</v>
      </c>
      <c r="F579" s="75" t="s">
        <v>7346</v>
      </c>
      <c r="G579" s="75" t="s">
        <v>6471</v>
      </c>
      <c r="H579" s="21" t="s">
        <v>9082</v>
      </c>
      <c r="I579" s="75" t="s">
        <v>9083</v>
      </c>
      <c r="J579" s="75" t="s">
        <v>7575</v>
      </c>
      <c r="K579" s="11" t="s">
        <v>6340</v>
      </c>
      <c r="L579" s="77" t="s">
        <v>9081</v>
      </c>
      <c r="M579" s="76">
        <v>46274</v>
      </c>
      <c r="N579" s="76"/>
      <c r="O579" s="75" t="s">
        <v>7923</v>
      </c>
      <c r="P579" s="11"/>
      <c r="Q579" s="76">
        <v>35930</v>
      </c>
      <c r="R579" s="78">
        <v>28.408219178082192</v>
      </c>
      <c r="S579" s="11" t="s">
        <v>12429</v>
      </c>
      <c r="T579" s="75" t="s">
        <v>7298</v>
      </c>
      <c r="U579" s="11" t="s">
        <v>12430</v>
      </c>
      <c r="V579" s="102">
        <v>48782</v>
      </c>
      <c r="W579" s="75" t="s">
        <v>7300</v>
      </c>
      <c r="X579" s="11" t="s">
        <v>7301</v>
      </c>
      <c r="Y579" s="75" t="s">
        <v>7302</v>
      </c>
      <c r="Z579" s="15" t="s">
        <v>12431</v>
      </c>
      <c r="AA579" s="11"/>
      <c r="AB579" s="18" t="s">
        <v>12432</v>
      </c>
      <c r="AC579" s="11"/>
      <c r="AD579" s="11" t="s">
        <v>12433</v>
      </c>
      <c r="AE579" s="11" t="s">
        <v>12434</v>
      </c>
      <c r="AF579" s="11"/>
      <c r="AG579" s="11"/>
      <c r="AH579" s="34"/>
      <c r="AI579" s="75" t="s">
        <v>7307</v>
      </c>
    </row>
    <row r="580" spans="1:35" x14ac:dyDescent="0.3">
      <c r="A580" s="34" t="s">
        <v>7286</v>
      </c>
      <c r="B580" s="17" t="s">
        <v>12435</v>
      </c>
      <c r="C580" s="34"/>
      <c r="D580" s="81" t="s">
        <v>12436</v>
      </c>
      <c r="E580" s="11" t="s">
        <v>12437</v>
      </c>
      <c r="F580" s="75" t="s">
        <v>7674</v>
      </c>
      <c r="G580" s="75" t="s">
        <v>7675</v>
      </c>
      <c r="H580" s="75" t="s">
        <v>8319</v>
      </c>
      <c r="I580" s="75" t="s">
        <v>8320</v>
      </c>
      <c r="J580" s="11" t="s">
        <v>12438</v>
      </c>
      <c r="K580" s="11" t="s">
        <v>6340</v>
      </c>
      <c r="L580" s="11" t="s">
        <v>12439</v>
      </c>
      <c r="M580" s="76">
        <v>46279</v>
      </c>
      <c r="N580" s="76"/>
      <c r="O580" s="75" t="s">
        <v>7923</v>
      </c>
      <c r="P580" s="11"/>
      <c r="Q580" s="76">
        <v>35451</v>
      </c>
      <c r="R580" s="78">
        <v>29.720547945205478</v>
      </c>
      <c r="S580" s="11" t="s">
        <v>12440</v>
      </c>
      <c r="T580" s="75" t="s">
        <v>7298</v>
      </c>
      <c r="U580" s="11" t="s">
        <v>12441</v>
      </c>
      <c r="V580" s="102">
        <v>47520</v>
      </c>
      <c r="W580" s="75" t="s">
        <v>7300</v>
      </c>
      <c r="X580" s="11" t="s">
        <v>10419</v>
      </c>
      <c r="Y580" s="11" t="s">
        <v>7302</v>
      </c>
      <c r="Z580" s="15" t="s">
        <v>12442</v>
      </c>
      <c r="AA580" s="11"/>
      <c r="AB580" s="18" t="s">
        <v>12443</v>
      </c>
      <c r="AC580" s="11"/>
      <c r="AD580" s="11" t="s">
        <v>12444</v>
      </c>
      <c r="AE580" s="11" t="s">
        <v>12444</v>
      </c>
      <c r="AF580" s="11"/>
      <c r="AG580" s="11"/>
      <c r="AH580" s="34"/>
      <c r="AI580" s="75" t="s">
        <v>7307</v>
      </c>
    </row>
    <row r="581" spans="1:35" x14ac:dyDescent="0.3">
      <c r="A581" s="34" t="s">
        <v>7286</v>
      </c>
      <c r="B581" s="17" t="s">
        <v>12445</v>
      </c>
      <c r="C581" s="34"/>
      <c r="D581" s="81" t="s">
        <v>12446</v>
      </c>
      <c r="E581" s="11" t="s">
        <v>1561</v>
      </c>
      <c r="F581" s="75" t="s">
        <v>7293</v>
      </c>
      <c r="G581" s="75" t="s">
        <v>7293</v>
      </c>
      <c r="H581" s="75" t="s">
        <v>7311</v>
      </c>
      <c r="I581" s="75" t="s">
        <v>12447</v>
      </c>
      <c r="J581" s="75" t="s">
        <v>7433</v>
      </c>
      <c r="K581" s="11" t="s">
        <v>7434</v>
      </c>
      <c r="L581" s="77" t="s">
        <v>7315</v>
      </c>
      <c r="M581" s="76">
        <v>46279</v>
      </c>
      <c r="N581" s="76"/>
      <c r="O581" s="11" t="s">
        <v>7870</v>
      </c>
      <c r="P581" s="11"/>
      <c r="Q581" s="76">
        <v>38048</v>
      </c>
      <c r="R581" s="78">
        <v>22.605479452054794</v>
      </c>
      <c r="S581" s="11" t="s">
        <v>12448</v>
      </c>
      <c r="T581" s="75" t="s">
        <v>7298</v>
      </c>
      <c r="U581" s="11" t="s">
        <v>12449</v>
      </c>
      <c r="V581" s="102">
        <v>47541</v>
      </c>
      <c r="W581" s="75" t="s">
        <v>7953</v>
      </c>
      <c r="X581" s="11" t="s">
        <v>7301</v>
      </c>
      <c r="Y581" s="11" t="s">
        <v>7319</v>
      </c>
      <c r="Z581" s="15" t="s">
        <v>12450</v>
      </c>
      <c r="AA581" s="11"/>
      <c r="AB581" s="18"/>
      <c r="AC581" s="11"/>
      <c r="AD581" s="11" t="s">
        <v>12451</v>
      </c>
      <c r="AE581" s="11" t="s">
        <v>12452</v>
      </c>
      <c r="AF581" s="11"/>
      <c r="AG581" s="11"/>
      <c r="AH581" s="34"/>
      <c r="AI581" s="75" t="s">
        <v>7597</v>
      </c>
    </row>
    <row r="582" spans="1:35" x14ac:dyDescent="0.3">
      <c r="A582" s="34" t="s">
        <v>7286</v>
      </c>
      <c r="B582" s="17" t="s">
        <v>12453</v>
      </c>
      <c r="C582" s="34"/>
      <c r="D582" s="74" t="s">
        <v>12454</v>
      </c>
      <c r="E582" s="11" t="s">
        <v>1629</v>
      </c>
      <c r="F582" s="74" t="s">
        <v>7293</v>
      </c>
      <c r="G582" s="11" t="s">
        <v>7293</v>
      </c>
      <c r="H582" s="74" t="s">
        <v>7311</v>
      </c>
      <c r="I582" s="11" t="s">
        <v>12447</v>
      </c>
      <c r="J582" s="74" t="s">
        <v>7433</v>
      </c>
      <c r="K582" s="11" t="s">
        <v>7434</v>
      </c>
      <c r="L582" s="74" t="s">
        <v>7315</v>
      </c>
      <c r="M582" s="76">
        <v>46279</v>
      </c>
      <c r="N582" s="74"/>
      <c r="O582" s="11" t="s">
        <v>7870</v>
      </c>
      <c r="P582" s="74"/>
      <c r="Q582" s="76">
        <v>34346</v>
      </c>
      <c r="R582" s="78">
        <v>32.747945205479454</v>
      </c>
      <c r="S582" s="11" t="s">
        <v>12455</v>
      </c>
      <c r="T582" s="74" t="s">
        <v>7298</v>
      </c>
      <c r="U582" s="11" t="s">
        <v>12456</v>
      </c>
      <c r="V582" s="102">
        <v>47417</v>
      </c>
      <c r="W582" s="75" t="s">
        <v>7953</v>
      </c>
      <c r="X582" s="74" t="s">
        <v>7301</v>
      </c>
      <c r="Y582" s="11" t="s">
        <v>7319</v>
      </c>
      <c r="Z582" s="74" t="s">
        <v>12457</v>
      </c>
      <c r="AA582" s="11"/>
      <c r="AB582" s="18"/>
      <c r="AC582" s="11"/>
      <c r="AD582" s="74" t="s">
        <v>12458</v>
      </c>
      <c r="AE582" s="11" t="s">
        <v>12458</v>
      </c>
      <c r="AF582" s="74"/>
      <c r="AG582" s="11"/>
      <c r="AH582" s="74"/>
      <c r="AI582" s="11" t="s">
        <v>8778</v>
      </c>
    </row>
    <row r="583" spans="1:35" x14ac:dyDescent="0.3">
      <c r="A583" s="34" t="s">
        <v>7286</v>
      </c>
      <c r="B583" s="17" t="s">
        <v>12459</v>
      </c>
      <c r="C583" s="34"/>
      <c r="D583" s="74" t="s">
        <v>12460</v>
      </c>
      <c r="E583" s="11" t="s">
        <v>1562</v>
      </c>
      <c r="F583" s="74" t="s">
        <v>7293</v>
      </c>
      <c r="G583" s="11" t="s">
        <v>7293</v>
      </c>
      <c r="H583" s="74" t="s">
        <v>7311</v>
      </c>
      <c r="I583" s="11" t="s">
        <v>12447</v>
      </c>
      <c r="J583" s="74" t="s">
        <v>7433</v>
      </c>
      <c r="K583" s="11" t="s">
        <v>7434</v>
      </c>
      <c r="L583" s="74" t="s">
        <v>7315</v>
      </c>
      <c r="M583" s="76">
        <v>46281</v>
      </c>
      <c r="N583" s="74"/>
      <c r="O583" s="11" t="s">
        <v>7870</v>
      </c>
      <c r="P583" s="74"/>
      <c r="Q583" s="76">
        <v>38037</v>
      </c>
      <c r="R583" s="78">
        <v>22.635616438356163</v>
      </c>
      <c r="S583" s="11" t="s">
        <v>12461</v>
      </c>
      <c r="T583" s="74" t="s">
        <v>7298</v>
      </c>
      <c r="U583" s="11" t="s">
        <v>12462</v>
      </c>
      <c r="V583" s="102">
        <v>47830</v>
      </c>
      <c r="W583" s="75" t="s">
        <v>7953</v>
      </c>
      <c r="X583" s="11" t="s">
        <v>10336</v>
      </c>
      <c r="Y583" s="11" t="s">
        <v>7319</v>
      </c>
      <c r="Z583" s="15" t="s">
        <v>12463</v>
      </c>
      <c r="AA583" s="11"/>
      <c r="AB583" s="18"/>
      <c r="AC583" s="11"/>
      <c r="AD583" s="74" t="s">
        <v>12464</v>
      </c>
      <c r="AE583" s="11" t="s">
        <v>12465</v>
      </c>
      <c r="AF583" s="74"/>
      <c r="AG583" s="11"/>
      <c r="AH583" s="74"/>
      <c r="AI583" s="11" t="s">
        <v>7597</v>
      </c>
    </row>
    <row r="584" spans="1:35" x14ac:dyDescent="0.3">
      <c r="A584" s="34" t="s">
        <v>7286</v>
      </c>
      <c r="B584" s="17" t="s">
        <v>12466</v>
      </c>
      <c r="C584" s="34"/>
      <c r="D584" s="74" t="s">
        <v>12467</v>
      </c>
      <c r="E584" s="11" t="s">
        <v>1563</v>
      </c>
      <c r="F584" s="74" t="s">
        <v>7293</v>
      </c>
      <c r="G584" s="11" t="s">
        <v>7293</v>
      </c>
      <c r="H584" s="74" t="s">
        <v>7311</v>
      </c>
      <c r="I584" s="11" t="s">
        <v>12447</v>
      </c>
      <c r="J584" s="74" t="s">
        <v>7433</v>
      </c>
      <c r="K584" s="11" t="s">
        <v>7434</v>
      </c>
      <c r="L584" s="74" t="s">
        <v>7315</v>
      </c>
      <c r="M584" s="76">
        <v>46282</v>
      </c>
      <c r="N584" s="74"/>
      <c r="O584" s="11" t="s">
        <v>7870</v>
      </c>
      <c r="P584" s="74"/>
      <c r="Q584" s="76">
        <v>33727</v>
      </c>
      <c r="R584" s="78">
        <v>34.443835616438356</v>
      </c>
      <c r="S584" s="11" t="s">
        <v>12468</v>
      </c>
      <c r="T584" s="74" t="s">
        <v>7298</v>
      </c>
      <c r="U584" s="11" t="s">
        <v>12469</v>
      </c>
      <c r="V584" s="102">
        <v>48172</v>
      </c>
      <c r="W584" s="75" t="s">
        <v>12105</v>
      </c>
      <c r="X584" s="11" t="s">
        <v>10336</v>
      </c>
      <c r="Y584" s="11" t="s">
        <v>7319</v>
      </c>
      <c r="Z584" s="15" t="s">
        <v>12470</v>
      </c>
      <c r="AA584" s="11"/>
      <c r="AB584" s="18"/>
      <c r="AC584" s="11"/>
      <c r="AD584" s="74" t="s">
        <v>12471</v>
      </c>
      <c r="AE584" s="11" t="s">
        <v>12472</v>
      </c>
      <c r="AF584" s="74"/>
      <c r="AG584" s="11"/>
      <c r="AH584" s="74"/>
      <c r="AI584" s="11" t="s">
        <v>7597</v>
      </c>
    </row>
    <row r="585" spans="1:35" x14ac:dyDescent="0.3">
      <c r="A585" s="34" t="s">
        <v>7286</v>
      </c>
      <c r="B585" s="117" t="s">
        <v>12473</v>
      </c>
      <c r="C585" s="11"/>
      <c r="D585" s="124" t="s">
        <v>12474</v>
      </c>
      <c r="E585" s="11" t="s">
        <v>12439</v>
      </c>
      <c r="F585" s="74" t="s">
        <v>7674</v>
      </c>
      <c r="G585" s="11" t="s">
        <v>7675</v>
      </c>
      <c r="H585" s="74" t="s">
        <v>8319</v>
      </c>
      <c r="I585" s="11" t="s">
        <v>8320</v>
      </c>
      <c r="J585" s="74" t="s">
        <v>8295</v>
      </c>
      <c r="K585" s="11" t="s">
        <v>6353</v>
      </c>
      <c r="L585" s="74" t="s">
        <v>7680</v>
      </c>
      <c r="M585" s="76">
        <v>46283</v>
      </c>
      <c r="N585" s="74"/>
      <c r="O585" s="11" t="s">
        <v>7923</v>
      </c>
      <c r="P585" s="74"/>
      <c r="Q585" s="76">
        <v>35267</v>
      </c>
      <c r="R585" s="78">
        <v>30.224657534246575</v>
      </c>
      <c r="S585" s="11" t="s">
        <v>12475</v>
      </c>
      <c r="T585" s="74" t="s">
        <v>7298</v>
      </c>
      <c r="U585" s="11" t="s">
        <v>12476</v>
      </c>
      <c r="V585" s="102">
        <v>48291</v>
      </c>
      <c r="W585" s="11" t="s">
        <v>7300</v>
      </c>
      <c r="X585" s="74" t="s">
        <v>7301</v>
      </c>
      <c r="Y585" s="11" t="s">
        <v>7302</v>
      </c>
      <c r="Z585" s="15" t="s">
        <v>12477</v>
      </c>
      <c r="AA585" s="11"/>
      <c r="AB585" s="18" t="s">
        <v>12478</v>
      </c>
      <c r="AC585" s="11"/>
      <c r="AD585" s="74" t="s">
        <v>12479</v>
      </c>
      <c r="AE585" s="11" t="s">
        <v>12480</v>
      </c>
      <c r="AF585" s="74"/>
      <c r="AG585" s="11"/>
      <c r="AH585" s="74"/>
      <c r="AI585" s="11" t="s">
        <v>7307</v>
      </c>
    </row>
    <row r="586" spans="1:35" x14ac:dyDescent="0.3">
      <c r="A586" s="34" t="s">
        <v>7286</v>
      </c>
      <c r="B586" s="117" t="s">
        <v>12481</v>
      </c>
      <c r="C586" s="11"/>
      <c r="D586" s="74" t="s">
        <v>12482</v>
      </c>
      <c r="E586" s="11" t="s">
        <v>12483</v>
      </c>
      <c r="F586" s="75" t="s">
        <v>7370</v>
      </c>
      <c r="G586" s="75" t="s">
        <v>7371</v>
      </c>
      <c r="H586" s="75" t="s">
        <v>7372</v>
      </c>
      <c r="I586" s="75" t="s">
        <v>7373</v>
      </c>
      <c r="J586" s="82" t="s">
        <v>11113</v>
      </c>
      <c r="K586" s="11" t="s">
        <v>12484</v>
      </c>
      <c r="L586" s="81" t="s">
        <v>10938</v>
      </c>
      <c r="M586" s="76">
        <v>46283</v>
      </c>
      <c r="N586" s="74"/>
      <c r="O586" s="11" t="s">
        <v>8747</v>
      </c>
      <c r="P586" s="74"/>
      <c r="Q586" s="76">
        <v>35895</v>
      </c>
      <c r="R586" s="78">
        <v>28.504109589041096</v>
      </c>
      <c r="S586" s="34" t="s">
        <v>12485</v>
      </c>
      <c r="T586" s="74" t="s">
        <v>7298</v>
      </c>
      <c r="U586" s="11" t="s">
        <v>12486</v>
      </c>
      <c r="V586" s="102">
        <v>46067</v>
      </c>
      <c r="W586" s="11" t="s">
        <v>7300</v>
      </c>
      <c r="X586" s="74" t="s">
        <v>7301</v>
      </c>
      <c r="Y586" s="74" t="s">
        <v>7319</v>
      </c>
      <c r="Z586" s="15" t="s">
        <v>12487</v>
      </c>
      <c r="AA586" s="11"/>
      <c r="AB586" s="18" t="s">
        <v>12488</v>
      </c>
      <c r="AC586" s="11"/>
      <c r="AD586" s="74" t="s">
        <v>12489</v>
      </c>
      <c r="AE586" s="74" t="s">
        <v>12489</v>
      </c>
      <c r="AF586" s="74"/>
      <c r="AG586" s="11"/>
      <c r="AH586" s="74"/>
      <c r="AI586" s="75" t="s">
        <v>7745</v>
      </c>
    </row>
    <row r="587" spans="1:35" x14ac:dyDescent="0.3">
      <c r="A587" s="34" t="s">
        <v>7286</v>
      </c>
      <c r="B587" s="117" t="s">
        <v>12490</v>
      </c>
      <c r="C587" s="11"/>
      <c r="D587" s="74" t="s">
        <v>12491</v>
      </c>
      <c r="E587" s="11" t="s">
        <v>12492</v>
      </c>
      <c r="F587" s="75" t="s">
        <v>7370</v>
      </c>
      <c r="G587" s="75" t="s">
        <v>7371</v>
      </c>
      <c r="H587" s="75" t="s">
        <v>7372</v>
      </c>
      <c r="I587" s="75" t="s">
        <v>7373</v>
      </c>
      <c r="J587" s="82" t="s">
        <v>11113</v>
      </c>
      <c r="K587" s="11" t="s">
        <v>12484</v>
      </c>
      <c r="L587" s="81" t="s">
        <v>10938</v>
      </c>
      <c r="M587" s="76">
        <v>46286</v>
      </c>
      <c r="N587" s="74"/>
      <c r="O587" s="11" t="s">
        <v>8747</v>
      </c>
      <c r="P587" s="74"/>
      <c r="Q587" s="76">
        <v>35665</v>
      </c>
      <c r="R587" s="78">
        <v>29.134246575342466</v>
      </c>
      <c r="S587" s="34" t="s">
        <v>12493</v>
      </c>
      <c r="T587" s="74" t="s">
        <v>7298</v>
      </c>
      <c r="U587" s="11" t="s">
        <v>12494</v>
      </c>
      <c r="V587" s="102">
        <v>48483</v>
      </c>
      <c r="W587" s="11" t="s">
        <v>7300</v>
      </c>
      <c r="X587" s="74" t="s">
        <v>10419</v>
      </c>
      <c r="Y587" s="74" t="s">
        <v>7319</v>
      </c>
      <c r="Z587" s="15" t="s">
        <v>12495</v>
      </c>
      <c r="AA587" s="11"/>
      <c r="AB587" s="18" t="s">
        <v>12496</v>
      </c>
      <c r="AC587" s="11"/>
      <c r="AD587" s="74" t="s">
        <v>12497</v>
      </c>
      <c r="AE587" s="11" t="s">
        <v>12498</v>
      </c>
      <c r="AF587" s="74"/>
      <c r="AG587" s="11"/>
      <c r="AH587" s="74"/>
      <c r="AI587" s="75" t="s">
        <v>7745</v>
      </c>
    </row>
    <row r="588" spans="1:35" x14ac:dyDescent="0.3">
      <c r="A588" s="34" t="s">
        <v>7286</v>
      </c>
      <c r="B588" s="117" t="s">
        <v>12499</v>
      </c>
      <c r="C588" s="11"/>
      <c r="D588" s="74" t="s">
        <v>12500</v>
      </c>
      <c r="E588" s="11" t="s">
        <v>12501</v>
      </c>
      <c r="F588" s="75" t="s">
        <v>7370</v>
      </c>
      <c r="G588" s="75" t="s">
        <v>7371</v>
      </c>
      <c r="H588" s="75" t="s">
        <v>7372</v>
      </c>
      <c r="I588" s="75" t="s">
        <v>7373</v>
      </c>
      <c r="J588" s="82" t="s">
        <v>11113</v>
      </c>
      <c r="K588" s="11" t="s">
        <v>12484</v>
      </c>
      <c r="L588" s="81" t="s">
        <v>10938</v>
      </c>
      <c r="M588" s="76">
        <v>46286</v>
      </c>
      <c r="N588" s="74"/>
      <c r="O588" s="11" t="s">
        <v>8747</v>
      </c>
      <c r="P588" s="74"/>
      <c r="Q588" s="76">
        <v>38515</v>
      </c>
      <c r="R588" s="78">
        <v>21.326027397260273</v>
      </c>
      <c r="S588" s="34" t="s">
        <v>12502</v>
      </c>
      <c r="T588" s="74" t="s">
        <v>7298</v>
      </c>
      <c r="U588" s="11" t="s">
        <v>12503</v>
      </c>
      <c r="V588" s="102">
        <v>48097</v>
      </c>
      <c r="W588" s="11" t="s">
        <v>7300</v>
      </c>
      <c r="X588" s="74" t="s">
        <v>7301</v>
      </c>
      <c r="Y588" s="11" t="s">
        <v>7302</v>
      </c>
      <c r="Z588" s="15" t="s">
        <v>12504</v>
      </c>
      <c r="AA588" s="11"/>
      <c r="AB588" s="18" t="s">
        <v>12505</v>
      </c>
      <c r="AC588" s="11"/>
      <c r="AD588" s="74" t="s">
        <v>12506</v>
      </c>
      <c r="AE588" s="11" t="s">
        <v>12507</v>
      </c>
      <c r="AF588" s="74"/>
      <c r="AG588" s="11"/>
      <c r="AH588" s="74"/>
      <c r="AI588" s="75" t="s">
        <v>7745</v>
      </c>
    </row>
    <row r="589" spans="1:35" x14ac:dyDescent="0.3">
      <c r="A589" s="34" t="s">
        <v>7286</v>
      </c>
      <c r="B589" s="117" t="s">
        <v>12508</v>
      </c>
      <c r="C589" s="11"/>
      <c r="D589" s="74" t="s">
        <v>12509</v>
      </c>
      <c r="E589" s="11" t="s">
        <v>12510</v>
      </c>
      <c r="F589" s="75" t="s">
        <v>7370</v>
      </c>
      <c r="G589" s="75" t="s">
        <v>7371</v>
      </c>
      <c r="H589" s="75" t="s">
        <v>7372</v>
      </c>
      <c r="I589" s="75" t="s">
        <v>7373</v>
      </c>
      <c r="J589" s="82" t="s">
        <v>11113</v>
      </c>
      <c r="K589" s="11" t="s">
        <v>12484</v>
      </c>
      <c r="L589" s="81" t="s">
        <v>10938</v>
      </c>
      <c r="M589" s="76">
        <v>46286</v>
      </c>
      <c r="N589" s="74"/>
      <c r="O589" s="11" t="s">
        <v>8747</v>
      </c>
      <c r="P589" s="74"/>
      <c r="Q589" s="76">
        <v>38451</v>
      </c>
      <c r="R589" s="78">
        <v>21.5013698630137</v>
      </c>
      <c r="S589" s="34" t="s">
        <v>12511</v>
      </c>
      <c r="T589" s="74" t="s">
        <v>7298</v>
      </c>
      <c r="U589" s="11" t="s">
        <v>12512</v>
      </c>
      <c r="V589" s="102">
        <v>48220</v>
      </c>
      <c r="W589" s="11" t="s">
        <v>7300</v>
      </c>
      <c r="X589" s="74" t="s">
        <v>7301</v>
      </c>
      <c r="Y589" s="11" t="s">
        <v>7302</v>
      </c>
      <c r="Z589" s="15" t="s">
        <v>12513</v>
      </c>
      <c r="AA589" s="11"/>
      <c r="AB589" s="18" t="s">
        <v>12514</v>
      </c>
      <c r="AC589" s="11"/>
      <c r="AD589" s="74" t="s">
        <v>12515</v>
      </c>
      <c r="AE589" s="74" t="s">
        <v>12515</v>
      </c>
      <c r="AF589" s="74"/>
      <c r="AG589" s="11"/>
      <c r="AH589" s="74"/>
      <c r="AI589" s="75" t="s">
        <v>7745</v>
      </c>
    </row>
    <row r="590" spans="1:35" x14ac:dyDescent="0.3">
      <c r="A590" s="34" t="s">
        <v>7286</v>
      </c>
      <c r="B590" s="117" t="s">
        <v>12516</v>
      </c>
      <c r="C590" s="11"/>
      <c r="D590" s="74" t="s">
        <v>12517</v>
      </c>
      <c r="E590" s="11" t="s">
        <v>12518</v>
      </c>
      <c r="F590" s="75" t="s">
        <v>7370</v>
      </c>
      <c r="G590" s="75" t="s">
        <v>7371</v>
      </c>
      <c r="H590" s="75" t="s">
        <v>7372</v>
      </c>
      <c r="I590" s="75" t="s">
        <v>7373</v>
      </c>
      <c r="J590" s="82" t="s">
        <v>11113</v>
      </c>
      <c r="K590" s="11" t="s">
        <v>12484</v>
      </c>
      <c r="L590" s="81" t="s">
        <v>10938</v>
      </c>
      <c r="M590" s="76">
        <v>46286</v>
      </c>
      <c r="N590" s="74"/>
      <c r="O590" s="11" t="s">
        <v>8747</v>
      </c>
      <c r="P590" s="74"/>
      <c r="Q590" s="76">
        <v>38324</v>
      </c>
      <c r="R590" s="78">
        <v>21.849315068493151</v>
      </c>
      <c r="S590" s="34" t="s">
        <v>12519</v>
      </c>
      <c r="T590" s="74" t="s">
        <v>7298</v>
      </c>
      <c r="U590" s="11" t="s">
        <v>12520</v>
      </c>
      <c r="V590" s="102">
        <v>48107</v>
      </c>
      <c r="W590" s="11" t="s">
        <v>7300</v>
      </c>
      <c r="X590" s="74" t="s">
        <v>7301</v>
      </c>
      <c r="Y590" s="11" t="s">
        <v>7302</v>
      </c>
      <c r="Z590" s="15" t="s">
        <v>12521</v>
      </c>
      <c r="AA590" s="11"/>
      <c r="AB590" s="18" t="s">
        <v>12522</v>
      </c>
      <c r="AC590" s="11"/>
      <c r="AD590" s="74" t="s">
        <v>12523</v>
      </c>
      <c r="AE590" s="74" t="s">
        <v>12524</v>
      </c>
      <c r="AF590" s="74"/>
      <c r="AG590" s="11"/>
      <c r="AH590" s="74"/>
      <c r="AI590" s="75" t="s">
        <v>7745</v>
      </c>
    </row>
    <row r="591" spans="1:35" x14ac:dyDescent="0.3">
      <c r="A591" s="34" t="s">
        <v>7286</v>
      </c>
      <c r="B591" s="117" t="s">
        <v>12525</v>
      </c>
      <c r="C591" s="11"/>
      <c r="D591" s="74" t="s">
        <v>12526</v>
      </c>
      <c r="E591" s="11" t="s">
        <v>12527</v>
      </c>
      <c r="F591" s="75" t="s">
        <v>7370</v>
      </c>
      <c r="G591" s="75" t="s">
        <v>7371</v>
      </c>
      <c r="H591" s="75" t="s">
        <v>7372</v>
      </c>
      <c r="I591" s="75" t="s">
        <v>7373</v>
      </c>
      <c r="J591" s="82" t="s">
        <v>11113</v>
      </c>
      <c r="K591" s="11" t="s">
        <v>12484</v>
      </c>
      <c r="L591" s="81" t="s">
        <v>10938</v>
      </c>
      <c r="M591" s="76">
        <v>46286</v>
      </c>
      <c r="N591" s="74"/>
      <c r="O591" s="11" t="s">
        <v>8747</v>
      </c>
      <c r="P591" s="74"/>
      <c r="Q591" s="76">
        <v>37287</v>
      </c>
      <c r="R591" s="78">
        <v>24.69041095890411</v>
      </c>
      <c r="S591" s="34" t="s">
        <v>12528</v>
      </c>
      <c r="T591" s="74" t="s">
        <v>7298</v>
      </c>
      <c r="U591" s="11" t="s">
        <v>12529</v>
      </c>
      <c r="V591" s="102">
        <v>47509</v>
      </c>
      <c r="W591" s="11" t="s">
        <v>7300</v>
      </c>
      <c r="X591" s="74" t="s">
        <v>10419</v>
      </c>
      <c r="Y591" s="74" t="s">
        <v>7319</v>
      </c>
      <c r="Z591" s="15" t="s">
        <v>12530</v>
      </c>
      <c r="AA591" s="11"/>
      <c r="AB591" s="18" t="s">
        <v>12531</v>
      </c>
      <c r="AC591" s="11"/>
      <c r="AD591" s="74" t="s">
        <v>12532</v>
      </c>
      <c r="AE591" s="74" t="s">
        <v>12532</v>
      </c>
      <c r="AF591" s="74"/>
      <c r="AG591" s="11"/>
      <c r="AH591" s="74"/>
      <c r="AI591" s="75" t="s">
        <v>7745</v>
      </c>
    </row>
    <row r="592" spans="1:35" x14ac:dyDescent="0.3">
      <c r="A592" s="34" t="s">
        <v>7286</v>
      </c>
      <c r="B592" s="117" t="s">
        <v>12533</v>
      </c>
      <c r="C592" s="11"/>
      <c r="D592" s="74" t="s">
        <v>12534</v>
      </c>
      <c r="E592" s="11" t="s">
        <v>12535</v>
      </c>
      <c r="F592" s="75" t="s">
        <v>7370</v>
      </c>
      <c r="G592" s="75" t="s">
        <v>7371</v>
      </c>
      <c r="H592" s="75" t="s">
        <v>7372</v>
      </c>
      <c r="I592" s="75" t="s">
        <v>7373</v>
      </c>
      <c r="J592" s="82" t="s">
        <v>11113</v>
      </c>
      <c r="K592" s="11" t="s">
        <v>12484</v>
      </c>
      <c r="L592" s="81" t="s">
        <v>10938</v>
      </c>
      <c r="M592" s="76">
        <v>46286</v>
      </c>
      <c r="N592" s="74"/>
      <c r="O592" s="11" t="s">
        <v>8747</v>
      </c>
      <c r="P592" s="74"/>
      <c r="Q592" s="76">
        <v>36152</v>
      </c>
      <c r="R592" s="78">
        <v>27.8</v>
      </c>
      <c r="S592" s="34" t="s">
        <v>12536</v>
      </c>
      <c r="T592" s="74" t="s">
        <v>7298</v>
      </c>
      <c r="U592" s="11" t="s">
        <v>12537</v>
      </c>
      <c r="V592" s="102">
        <v>48960</v>
      </c>
      <c r="W592" s="11" t="s">
        <v>7300</v>
      </c>
      <c r="X592" s="11" t="s">
        <v>10336</v>
      </c>
      <c r="Y592" s="74" t="s">
        <v>7319</v>
      </c>
      <c r="Z592" s="15" t="s">
        <v>12538</v>
      </c>
      <c r="AA592" s="11"/>
      <c r="AB592" s="18" t="s">
        <v>12539</v>
      </c>
      <c r="AC592" s="11"/>
      <c r="AD592" s="74" t="s">
        <v>12540</v>
      </c>
      <c r="AE592" s="74" t="s">
        <v>12540</v>
      </c>
      <c r="AF592" s="74"/>
      <c r="AG592" s="11"/>
      <c r="AH592" s="74"/>
      <c r="AI592" s="75" t="s">
        <v>7745</v>
      </c>
    </row>
  </sheetData>
  <autoFilter ref="A1:AI592" xr:uid="{BE4F5FFB-0AFD-4770-AA51-0D648D0FEFEF}"/>
  <conditionalFormatting sqref="A7 Y456:AA457 AF473:AH473">
    <cfRule type="expression" dxfId="772" priority="855">
      <formula>$A7="Inactive"</formula>
    </cfRule>
  </conditionalFormatting>
  <conditionalFormatting sqref="A331:A388">
    <cfRule type="expression" dxfId="771" priority="601">
      <formula>$A331="Inactive"</formula>
    </cfRule>
  </conditionalFormatting>
  <conditionalFormatting sqref="A408:A418">
    <cfRule type="expression" dxfId="770" priority="542">
      <formula>$A408="Inactive"</formula>
    </cfRule>
  </conditionalFormatting>
  <conditionalFormatting sqref="A451">
    <cfRule type="expression" dxfId="769" priority="469">
      <formula>#REF!="Inactive"</formula>
    </cfRule>
  </conditionalFormatting>
  <conditionalFormatting sqref="A456:A480">
    <cfRule type="expression" dxfId="768" priority="435">
      <formula>$A456="Inactive"</formula>
    </cfRule>
  </conditionalFormatting>
  <conditionalFormatting sqref="A482">
    <cfRule type="expression" dxfId="767" priority="420">
      <formula>$A482="Inactive"</formula>
    </cfRule>
  </conditionalFormatting>
  <conditionalFormatting sqref="A322:B324 C324">
    <cfRule type="expression" dxfId="766" priority="718">
      <formula>$A322="Inactive"</formula>
    </cfRule>
  </conditionalFormatting>
  <conditionalFormatting sqref="A441:B455 A458:C477">
    <cfRule type="expression" dxfId="765" priority="489">
      <formula>$A441="Inactive"</formula>
    </cfRule>
  </conditionalFormatting>
  <conditionalFormatting sqref="A311:C322">
    <cfRule type="expression" dxfId="764" priority="727">
      <formula>$A311="Inactive"</formula>
    </cfRule>
  </conditionalFormatting>
  <conditionalFormatting sqref="A325:C330">
    <cfRule type="expression" dxfId="763" priority="715">
      <formula>$A325="Inactive"</formula>
    </cfRule>
  </conditionalFormatting>
  <conditionalFormatting sqref="A418:C419">
    <cfRule type="expression" dxfId="762" priority="537">
      <formula>$A418="Inactive"</formula>
    </cfRule>
  </conditionalFormatting>
  <conditionalFormatting sqref="A431:C444 Z441:AA444 AD442:AH444">
    <cfRule type="expression" dxfId="761" priority="491">
      <formula>$A431="Inactive"</formula>
    </cfRule>
  </conditionalFormatting>
  <conditionalFormatting sqref="A481:C481">
    <cfRule type="expression" dxfId="760" priority="423">
      <formula>$A481="Inactive"</formula>
    </cfRule>
  </conditionalFormatting>
  <conditionalFormatting sqref="A484:C487">
    <cfRule type="expression" dxfId="759" priority="402">
      <formula>$A484="Inactive"</formula>
    </cfRule>
  </conditionalFormatting>
  <conditionalFormatting sqref="A12:D53 A54:C59">
    <cfRule type="expression" dxfId="758" priority="839">
      <formula>$A12="Inactive"</formula>
    </cfRule>
  </conditionalFormatting>
  <conditionalFormatting sqref="A68:E216 Q489:Z501 AB386:AB574 Q507:W507 Q528:Z529 U532:V535 Q530:S531 S532:S535 W538:Z539 Q548:AA548 Y561:Z565 A2:J2 A3:I5 M3:R49 A6:E11 I15:I563 P50:R204 M50:M342 A60:D66 P205:P572 B228:G230 B236:G236 A237:G239 A243:G244 A245:A310 I251:J252 I285:J285 I287:J287 AF303:AG303 AI303 M344 M346:M480 M481:O482 M483:N485 M486:O499 L500:O502 M506:N506 M507:O508 B517:B527 M528:O531 X530 Q532:Q539 D534:E534 M536:N539 F544:G552 C548:F548 J548 M548:O548 F554:G554 W561:W569 T563:T569 I564:N565 N568:N569 T571 N571:N592">
    <cfRule type="expression" dxfId="757" priority="865">
      <formula>$A2="Inactive"</formula>
    </cfRule>
  </conditionalFormatting>
  <conditionalFormatting sqref="A217:G222 C278:C282">
    <cfRule type="expression" dxfId="756" priority="792">
      <formula>$A217="Inactive"</formula>
    </cfRule>
  </conditionalFormatting>
  <conditionalFormatting sqref="A223:H224">
    <cfRule type="expression" dxfId="755" priority="789">
      <formula>$A223="Inactive"</formula>
    </cfRule>
  </conditionalFormatting>
  <conditionalFormatting sqref="A241:I241">
    <cfRule type="expression" dxfId="754" priority="779">
      <formula>$A241="Inactive"</formula>
    </cfRule>
  </conditionalFormatting>
  <conditionalFormatting sqref="A240:J240">
    <cfRule type="expression" dxfId="753" priority="780">
      <formula>$A240="Inactive"</formula>
    </cfRule>
  </conditionalFormatting>
  <conditionalFormatting sqref="A242:J242">
    <cfRule type="expression" dxfId="752" priority="778">
      <formula>$A242="Inactive"</formula>
    </cfRule>
  </conditionalFormatting>
  <conditionalFormatting sqref="A553:J553">
    <cfRule type="expression" dxfId="751" priority="81">
      <formula>$A553="Inactive"</formula>
    </cfRule>
  </conditionalFormatting>
  <conditionalFormatting sqref="B108:B215">
    <cfRule type="expression" dxfId="750" priority="813">
      <formula>$A108="Inactive"</formula>
    </cfRule>
  </conditionalFormatting>
  <conditionalFormatting sqref="B263">
    <cfRule type="expression" dxfId="749" priority="767">
      <formula>#REF!="Inactive"</formula>
    </cfRule>
  </conditionalFormatting>
  <conditionalFormatting sqref="B264:B274">
    <cfRule type="expression" dxfId="748" priority="763">
      <formula>$A264="Inactive"</formula>
    </cfRule>
  </conditionalFormatting>
  <conditionalFormatting sqref="B275 B280:B281 B285:B286 B332:B341 B343 B345:B355 B369:B379 B381:B387 B389 B402:B403 B405:B416 B418 B420:B428 B430:B455 B458:B483">
    <cfRule type="expression" dxfId="747" priority="760">
      <formula>#REF!="Inactive"</formula>
    </cfRule>
  </conditionalFormatting>
  <conditionalFormatting sqref="B278:B279">
    <cfRule type="expression" dxfId="746" priority="759">
      <formula>$A278="Inactive"</formula>
    </cfRule>
  </conditionalFormatting>
  <conditionalFormatting sqref="B282">
    <cfRule type="expression" dxfId="745" priority="756">
      <formula>$A282="Inactive"</formula>
    </cfRule>
  </conditionalFormatting>
  <conditionalFormatting sqref="B284">
    <cfRule type="expression" dxfId="744" priority="754">
      <formula>$A284="Inactive"</formula>
    </cfRule>
  </conditionalFormatting>
  <conditionalFormatting sqref="B287:B289">
    <cfRule type="expression" dxfId="743" priority="750">
      <formula>$A287="Inactive"</formula>
    </cfRule>
  </conditionalFormatting>
  <conditionalFormatting sqref="B290:B330">
    <cfRule type="expression" dxfId="742" priority="733">
      <formula>#REF!="Inactive"</formula>
    </cfRule>
  </conditionalFormatting>
  <conditionalFormatting sqref="B308 B310:B311 B313:B315 B317 B319 B321 B325:B328 B335 B337 B339:B340 B347:B348 B350 B352:B353 B370 B372:B373 B375 B378 B400">
    <cfRule type="expression" dxfId="741" priority="736">
      <formula>$A308="Inactive"</formula>
    </cfRule>
  </conditionalFormatting>
  <conditionalFormatting sqref="B331:B333">
    <cfRule type="expression" dxfId="740" priority="711">
      <formula>$A331="Inactive"</formula>
    </cfRule>
  </conditionalFormatting>
  <conditionalFormatting sqref="B342:B345">
    <cfRule type="expression" dxfId="739" priority="692">
      <formula>$A342="Inactive"</formula>
    </cfRule>
  </conditionalFormatting>
  <conditionalFormatting sqref="B355:B368">
    <cfRule type="expression" dxfId="738" priority="666">
      <formula>$A355="Inactive"</formula>
    </cfRule>
  </conditionalFormatting>
  <conditionalFormatting sqref="B380:B384">
    <cfRule type="expression" dxfId="737" priority="625">
      <formula>$A380="Inactive"</formula>
    </cfRule>
  </conditionalFormatting>
  <conditionalFormatting sqref="B386:B392 B394:B395">
    <cfRule type="expression" dxfId="736" priority="583">
      <formula>$A386="Inactive"</formula>
    </cfRule>
  </conditionalFormatting>
  <conditionalFormatting sqref="B391 B393 B395:B396 B398:B400">
    <cfRule type="expression" dxfId="735" priority="585">
      <formula>#REF!="Inactive"</formula>
    </cfRule>
  </conditionalFormatting>
  <conditionalFormatting sqref="B395">
    <cfRule type="expression" dxfId="734" priority="580">
      <formula>$A396="Inactive"</formula>
    </cfRule>
    <cfRule type="expression" dxfId="733" priority="582">
      <formula>#REF!="Inactive"</formula>
    </cfRule>
  </conditionalFormatting>
  <conditionalFormatting sqref="B397:B398">
    <cfRule type="expression" dxfId="732" priority="573">
      <formula>$A397="Inactive"</formula>
    </cfRule>
  </conditionalFormatting>
  <conditionalFormatting sqref="B415">
    <cfRule type="expression" dxfId="731" priority="545">
      <formula>$A415="Inactive"</formula>
    </cfRule>
  </conditionalFormatting>
  <conditionalFormatting sqref="B429">
    <cfRule type="expression" dxfId="730" priority="507">
      <formula>$A429="Inactive"</formula>
    </cfRule>
  </conditionalFormatting>
  <conditionalFormatting sqref="B478:B483">
    <cfRule type="expression" dxfId="729" priority="429">
      <formula>$A478="Inactive"</formula>
    </cfRule>
  </conditionalFormatting>
  <conditionalFormatting sqref="B530:B534">
    <cfRule type="expression" dxfId="728" priority="226">
      <formula>$A534="Inactive"</formula>
    </cfRule>
  </conditionalFormatting>
  <conditionalFormatting sqref="B535">
    <cfRule type="expression" dxfId="727" priority="206">
      <formula>#REF!="Inactive"</formula>
    </cfRule>
  </conditionalFormatting>
  <conditionalFormatting sqref="B541">
    <cfRule type="expression" dxfId="726" priority="179">
      <formula>$A545="Inactive"</formula>
    </cfRule>
  </conditionalFormatting>
  <conditionalFormatting sqref="B542">
    <cfRule type="expression" dxfId="725" priority="180">
      <formula>#REF!="Inactive"</formula>
    </cfRule>
  </conditionalFormatting>
  <conditionalFormatting sqref="B563:B584">
    <cfRule type="expression" dxfId="724" priority="23">
      <formula>#REF!="Inactive"</formula>
    </cfRule>
  </conditionalFormatting>
  <conditionalFormatting sqref="B283:C283">
    <cfRule type="expression" dxfId="723" priority="755">
      <formula>$A283="Inactive"</formula>
    </cfRule>
  </conditionalFormatting>
  <conditionalFormatting sqref="B292:C309 E302:G304 E307:G309">
    <cfRule type="expression" dxfId="722" priority="744">
      <formula>$A292="Inactive"</formula>
    </cfRule>
  </conditionalFormatting>
  <conditionalFormatting sqref="B323:C323">
    <cfRule type="expression" dxfId="721" priority="717">
      <formula>$A323="Inactive"</formula>
    </cfRule>
  </conditionalFormatting>
  <conditionalFormatting sqref="B401:C404">
    <cfRule type="expression" dxfId="720" priority="559">
      <formula>$A401="Inactive"</formula>
    </cfRule>
  </conditionalFormatting>
  <conditionalFormatting sqref="B430:C430">
    <cfRule type="expression" dxfId="719" priority="504">
      <formula>$A430="Inactive"</formula>
    </cfRule>
  </conditionalFormatting>
  <conditionalFormatting sqref="B482:C483">
    <cfRule type="expression" dxfId="718" priority="409">
      <formula>$A482="Inactive"</formula>
    </cfRule>
  </conditionalFormatting>
  <conditionalFormatting sqref="B488:C516">
    <cfRule type="expression" dxfId="717" priority="316">
      <formula>$A488="Inactive"</formula>
    </cfRule>
  </conditionalFormatting>
  <conditionalFormatting sqref="B528:E529">
    <cfRule type="expression" dxfId="716" priority="235">
      <formula>$A528="Inactive"</formula>
    </cfRule>
  </conditionalFormatting>
  <conditionalFormatting sqref="B225:H227">
    <cfRule type="expression" dxfId="715" priority="786">
      <formula>$A225="Inactive"</formula>
    </cfRule>
  </conditionalFormatting>
  <conditionalFormatting sqref="B231:H231 B232:I235">
    <cfRule type="expression" dxfId="714" priority="784">
      <formula>$A231="Inactive"</formula>
    </cfRule>
  </conditionalFormatting>
  <conditionalFormatting sqref="C192">
    <cfRule type="uniqueValues" dxfId="713" priority="809"/>
  </conditionalFormatting>
  <conditionalFormatting sqref="C193">
    <cfRule type="uniqueValues" dxfId="712" priority="807"/>
  </conditionalFormatting>
  <conditionalFormatting sqref="C310">
    <cfRule type="expression" dxfId="711" priority="729">
      <formula>$A310="Inactive"</formula>
    </cfRule>
  </conditionalFormatting>
  <conditionalFormatting sqref="C331:C400 E391:E396">
    <cfRule type="expression" dxfId="710" priority="589">
      <formula>$A331="Inactive"</formula>
    </cfRule>
  </conditionalFormatting>
  <conditionalFormatting sqref="C405:C406">
    <cfRule type="expression" dxfId="709" priority="552">
      <formula>$A405="Inactive"</formula>
    </cfRule>
  </conditionalFormatting>
  <conditionalFormatting sqref="C408:C416">
    <cfRule type="expression" dxfId="708" priority="547">
      <formula>$A408="Inactive"</formula>
    </cfRule>
  </conditionalFormatting>
  <conditionalFormatting sqref="C441:C442">
    <cfRule type="expression" dxfId="707" priority="492">
      <formula>$A440="Inactive"</formula>
    </cfRule>
  </conditionalFormatting>
  <conditionalFormatting sqref="C446 C448:C450">
    <cfRule type="expression" dxfId="706" priority="480">
      <formula>$A445="Inactive"</formula>
    </cfRule>
  </conditionalFormatting>
  <conditionalFormatting sqref="C452:C453 C455">
    <cfRule type="expression" dxfId="705" priority="470">
      <formula>$A451="Inactive"</formula>
    </cfRule>
  </conditionalFormatting>
  <conditionalFormatting sqref="C458:C461">
    <cfRule type="expression" dxfId="704" priority="457">
      <formula>$A457="Inactive"</formula>
    </cfRule>
  </conditionalFormatting>
  <conditionalFormatting sqref="C459:C461">
    <cfRule type="expression" dxfId="703" priority="452">
      <formula>$A459="Inactive"</formula>
    </cfRule>
  </conditionalFormatting>
  <conditionalFormatting sqref="C464:C466">
    <cfRule type="expression" dxfId="702" priority="444">
      <formula>$A464="Inactive"</formula>
    </cfRule>
  </conditionalFormatting>
  <conditionalFormatting sqref="C464:C470 C472">
    <cfRule type="expression" dxfId="701" priority="447">
      <formula>$A463="Inactive"</formula>
    </cfRule>
  </conditionalFormatting>
  <conditionalFormatting sqref="C477">
    <cfRule type="expression" dxfId="700" priority="440">
      <formula>$A476="Inactive"</formula>
    </cfRule>
  </conditionalFormatting>
  <conditionalFormatting sqref="C478">
    <cfRule type="expression" dxfId="699" priority="434">
      <formula>$A478="Inactive"</formula>
    </cfRule>
  </conditionalFormatting>
  <conditionalFormatting sqref="C485">
    <cfRule type="expression" dxfId="698" priority="401">
      <formula>$A484="Inactive"</formula>
    </cfRule>
  </conditionalFormatting>
  <conditionalFormatting sqref="C489:C499">
    <cfRule type="expression" dxfId="697" priority="382">
      <formula>$A488="Inactive"</formula>
    </cfRule>
  </conditionalFormatting>
  <conditionalFormatting sqref="C506">
    <cfRule type="expression" dxfId="696" priority="320">
      <formula>$A505="Inactive"</formula>
    </cfRule>
  </conditionalFormatting>
  <conditionalFormatting sqref="C508:C509 C511">
    <cfRule type="expression" dxfId="695" priority="295">
      <formula>$A507="Inactive"</formula>
    </cfRule>
  </conditionalFormatting>
  <conditionalFormatting sqref="C508:C509">
    <cfRule type="expression" dxfId="694" priority="293">
      <formula>$A508="Inactive"</formula>
    </cfRule>
  </conditionalFormatting>
  <conditionalFormatting sqref="C513:C514">
    <cfRule type="expression" dxfId="693" priority="285">
      <formula>$A512="Inactive"</formula>
    </cfRule>
  </conditionalFormatting>
  <conditionalFormatting sqref="C516:C527">
    <cfRule type="expression" dxfId="692" priority="266">
      <formula>$A516="Inactive"</formula>
    </cfRule>
  </conditionalFormatting>
  <conditionalFormatting sqref="C516:C539">
    <cfRule type="expression" dxfId="691" priority="204">
      <formula>$A515="Inactive"</formula>
    </cfRule>
  </conditionalFormatting>
  <conditionalFormatting sqref="C530:C531 B536:B540 B543">
    <cfRule type="expression" dxfId="690" priority="231">
      <formula>$A533="Inactive"</formula>
    </cfRule>
  </conditionalFormatting>
  <conditionalFormatting sqref="C530:C539">
    <cfRule type="expression" dxfId="689" priority="221">
      <formula>$A530="Inactive"</formula>
    </cfRule>
  </conditionalFormatting>
  <conditionalFormatting sqref="C532:C545">
    <cfRule type="expression" dxfId="688" priority="201">
      <formula>#REF!="Inactive"</formula>
    </cfRule>
  </conditionalFormatting>
  <conditionalFormatting sqref="C541:C545">
    <cfRule type="expression" dxfId="687" priority="185">
      <formula>$A540="Inactive"</formula>
    </cfRule>
  </conditionalFormatting>
  <conditionalFormatting sqref="C541:C546">
    <cfRule type="expression" dxfId="686" priority="178">
      <formula>$A541="Inactive"</formula>
    </cfRule>
  </conditionalFormatting>
  <conditionalFormatting sqref="C543">
    <cfRule type="expression" dxfId="685" priority="181">
      <formula>$A545="Inactive"</formula>
    </cfRule>
  </conditionalFormatting>
  <conditionalFormatting sqref="C550">
    <cfRule type="expression" dxfId="684" priority="143">
      <formula>$A550="Inactive"</formula>
    </cfRule>
  </conditionalFormatting>
  <conditionalFormatting sqref="C552">
    <cfRule type="expression" dxfId="683" priority="134">
      <formula>$A552="Inactive"</formula>
    </cfRule>
    <cfRule type="expression" dxfId="682" priority="135">
      <formula>$A551="Inactive"</formula>
    </cfRule>
    <cfRule type="expression" dxfId="681" priority="136">
      <formula>#REF!="Inactive"</formula>
    </cfRule>
    <cfRule type="expression" dxfId="680" priority="137">
      <formula>$A553="Inactive"</formula>
    </cfRule>
  </conditionalFormatting>
  <conditionalFormatting sqref="C554:C562 C568:C581 C508:C552 C194:C506 C2:C191">
    <cfRule type="uniqueValues" dxfId="679" priority="870"/>
  </conditionalFormatting>
  <conditionalFormatting sqref="C556">
    <cfRule type="expression" dxfId="678" priority="118">
      <formula>$A556="Inactive"</formula>
    </cfRule>
    <cfRule type="expression" dxfId="677" priority="119">
      <formula>$A555="Inactive"</formula>
    </cfRule>
    <cfRule type="expression" dxfId="676" priority="120">
      <formula>#REF!="Inactive"</formula>
    </cfRule>
    <cfRule type="expression" dxfId="675" priority="121">
      <formula>$A557="Inactive"</formula>
    </cfRule>
  </conditionalFormatting>
  <conditionalFormatting sqref="C559:C560">
    <cfRule type="expression" dxfId="674" priority="94">
      <formula>$A559="Inactive"</formula>
    </cfRule>
  </conditionalFormatting>
  <conditionalFormatting sqref="C563:C565">
    <cfRule type="uniqueValues" dxfId="673" priority="80"/>
  </conditionalFormatting>
  <conditionalFormatting sqref="C582:C584">
    <cfRule type="uniqueValues" dxfId="672" priority="22"/>
  </conditionalFormatting>
  <conditionalFormatting sqref="C570:D570">
    <cfRule type="expression" dxfId="671" priority="54">
      <formula>$A570="Inactive"</formula>
    </cfRule>
  </conditionalFormatting>
  <conditionalFormatting sqref="D532:D533">
    <cfRule type="expression" dxfId="670" priority="215">
      <formula>#REF!="Inactive"</formula>
    </cfRule>
  </conditionalFormatting>
  <conditionalFormatting sqref="D535">
    <cfRule type="expression" dxfId="669" priority="203">
      <formula>#REF!="Inactive"</formula>
    </cfRule>
  </conditionalFormatting>
  <conditionalFormatting sqref="D536:D537">
    <cfRule type="expression" dxfId="668" priority="192">
      <formula>$A536="Inactive"</formula>
    </cfRule>
  </conditionalFormatting>
  <conditionalFormatting sqref="D540:D547 D549:D552 D554:D559 D561:D564 D566:D569 D571:D573 D575:D581">
    <cfRule type="expression" dxfId="667" priority="188">
      <formula>#REF!="Inactive"</formula>
    </cfRule>
  </conditionalFormatting>
  <conditionalFormatting sqref="D560 D565:E565 E570:E571">
    <cfRule type="expression" dxfId="666" priority="49">
      <formula>$A560="Inactive"</formula>
    </cfRule>
  </conditionalFormatting>
  <conditionalFormatting sqref="D55:E59 E66">
    <cfRule type="expression" dxfId="665" priority="836">
      <formula>$A55="Inactive"</formula>
    </cfRule>
  </conditionalFormatting>
  <conditionalFormatting sqref="D530:E531">
    <cfRule type="expression" dxfId="664" priority="222">
      <formula>$A530="Inactive"</formula>
    </cfRule>
  </conditionalFormatting>
  <conditionalFormatting sqref="E23:E30">
    <cfRule type="expression" dxfId="663" priority="848">
      <formula>$A23="Inactive"</formula>
    </cfRule>
  </conditionalFormatting>
  <conditionalFormatting sqref="E245 A245:C256">
    <cfRule type="expression" dxfId="662" priority="776">
      <formula>$A245="Inactive"</formula>
    </cfRule>
  </conditionalFormatting>
  <conditionalFormatting sqref="E340 M340 Q340 S340:AA340 AF340:AH340">
    <cfRule type="expression" dxfId="661" priority="707">
      <formula>$A367="Inactive"</formula>
    </cfRule>
  </conditionalFormatting>
  <conditionalFormatting sqref="E343:E344">
    <cfRule type="expression" dxfId="660" priority="690">
      <formula>$A343="Inactive"</formula>
    </cfRule>
  </conditionalFormatting>
  <conditionalFormatting sqref="E353">
    <cfRule type="expression" dxfId="659" priority="673">
      <formula>$A353="Inactive"</formula>
    </cfRule>
  </conditionalFormatting>
  <conditionalFormatting sqref="E376:E379">
    <cfRule type="expression" dxfId="658" priority="631">
      <formula>$A376="Inactive"</formula>
    </cfRule>
  </conditionalFormatting>
  <conditionalFormatting sqref="E384:E388">
    <cfRule type="expression" dxfId="657" priority="618">
      <formula>$A384="Inactive"</formula>
    </cfRule>
  </conditionalFormatting>
  <conditionalFormatting sqref="E490">
    <cfRule type="expression" dxfId="656" priority="388">
      <formula>$A490="Inactive"</formula>
    </cfRule>
  </conditionalFormatting>
  <conditionalFormatting sqref="E494 C495:C499">
    <cfRule type="expression" dxfId="655" priority="390">
      <formula>#REF!="Inactive"</formula>
    </cfRule>
  </conditionalFormatting>
  <conditionalFormatting sqref="E495:E498">
    <cfRule type="expression" dxfId="654" priority="384">
      <formula>$A496="Inactive"</formula>
    </cfRule>
  </conditionalFormatting>
  <conditionalFormatting sqref="E499">
    <cfRule type="expression" dxfId="653" priority="378">
      <formula>#REF!="Inactive"</formula>
    </cfRule>
  </conditionalFormatting>
  <conditionalFormatting sqref="E506">
    <cfRule type="expression" dxfId="652" priority="317">
      <formula>$A506="Inactive"</formula>
    </cfRule>
    <cfRule type="expression" dxfId="651" priority="321">
      <formula>$A505="Inactive"</formula>
    </cfRule>
  </conditionalFormatting>
  <conditionalFormatting sqref="E509:E527">
    <cfRule type="expression" dxfId="650" priority="288">
      <formula>$A509="Inactive"</formula>
    </cfRule>
  </conditionalFormatting>
  <conditionalFormatting sqref="E510:E529">
    <cfRule type="expression" dxfId="649" priority="239">
      <formula>$A509="Inactive"</formula>
    </cfRule>
  </conditionalFormatting>
  <conditionalFormatting sqref="E530">
    <cfRule type="expression" dxfId="648" priority="232">
      <formula>$A533="Inactive"</formula>
    </cfRule>
  </conditionalFormatting>
  <conditionalFormatting sqref="E531:E535">
    <cfRule type="expression" dxfId="647" priority="225">
      <formula>$A530="Inactive"</formula>
    </cfRule>
  </conditionalFormatting>
  <conditionalFormatting sqref="E533">
    <cfRule type="expression" dxfId="646" priority="208">
      <formula>$A533="Inactive"</formula>
    </cfRule>
  </conditionalFormatting>
  <conditionalFormatting sqref="E537:E539">
    <cfRule type="expression" dxfId="645" priority="194">
      <formula>$A537="Inactive"</formula>
    </cfRule>
  </conditionalFormatting>
  <conditionalFormatting sqref="E544:E546 M544:N547">
    <cfRule type="expression" dxfId="644" priority="171">
      <formula>$A544="Inactive"</formula>
    </cfRule>
  </conditionalFormatting>
  <conditionalFormatting sqref="E562 E567">
    <cfRule type="expression" dxfId="643" priority="50">
      <formula>$A562="Inactive"</formula>
    </cfRule>
  </conditionalFormatting>
  <conditionalFormatting sqref="E582 G582 I582 K582 O582 S582 U582 Y582 AA582 AC582 AG582 AI582 AE582:AE585 E584 O584 W584 AA584 AC584 AG584 G584:G585 I584:I585 K584:K585 S584:S585 U584:U585 AI584:AI585 Y585:Y587 E586:E592 O586:O592 AA586:AA592 AC586:AC592 AG586:AG592 AE587:AE588 Y591:Y592">
    <cfRule type="expression" dxfId="642" priority="20">
      <formula>$A581="Inactive"</formula>
    </cfRule>
  </conditionalFormatting>
  <conditionalFormatting sqref="E251:G252 E259:G261 C263:C275 E285:G287">
    <cfRule type="expression" dxfId="641" priority="772">
      <formula>$A251="Inactive"</formula>
    </cfRule>
  </conditionalFormatting>
  <conditionalFormatting sqref="E332:G332">
    <cfRule type="expression" dxfId="640" priority="710">
      <formula>$A332="Inactive"</formula>
    </cfRule>
  </conditionalFormatting>
  <conditionalFormatting sqref="E360:G361">
    <cfRule type="expression" dxfId="639" priority="656">
      <formula>$A360="Inactive"</formula>
    </cfRule>
  </conditionalFormatting>
  <conditionalFormatting sqref="E368:G375">
    <cfRule type="expression" dxfId="638" priority="642">
      <formula>$A368="Inactive"</formula>
    </cfRule>
  </conditionalFormatting>
  <conditionalFormatting sqref="E380:G383 H479:I479">
    <cfRule type="expression" dxfId="637" priority="624">
      <formula>$A380="Inactive"</formula>
    </cfRule>
  </conditionalFormatting>
  <conditionalFormatting sqref="E398:G400">
    <cfRule type="expression" dxfId="636" priority="569">
      <formula>$A398="Inactive"</formula>
    </cfRule>
  </conditionalFormatting>
  <conditionalFormatting sqref="E407:G413">
    <cfRule type="expression" dxfId="635" priority="561">
      <formula>$A407="Inactive"</formula>
    </cfRule>
  </conditionalFormatting>
  <conditionalFormatting sqref="E421:G423 E426:G427 E436:G436 E443:G444">
    <cfRule type="expression" dxfId="634" priority="525">
      <formula>$A421="Inactive"</formula>
    </cfRule>
  </conditionalFormatting>
  <conditionalFormatting sqref="E474:G475">
    <cfRule type="expression" dxfId="633" priority="438">
      <formula>$A474="Inactive"</formula>
    </cfRule>
  </conditionalFormatting>
  <conditionalFormatting sqref="E478:G479 E480:I480 E485:G485 E488:G488">
    <cfRule type="expression" dxfId="632" priority="432">
      <formula>$A478="Inactive"</formula>
    </cfRule>
  </conditionalFormatting>
  <conditionalFormatting sqref="E500:G504">
    <cfRule type="expression" dxfId="631" priority="362">
      <formula>$A500="Inactive"</formula>
    </cfRule>
  </conditionalFormatting>
  <conditionalFormatting sqref="E586:G592">
    <cfRule type="expression" dxfId="630" priority="8">
      <formula>$A586="Inactive"</formula>
    </cfRule>
  </conditionalFormatting>
  <conditionalFormatting sqref="E31:H54 E60:H65 J64:J72 F66:H71 F73:H139 J74:J84 I488:J488">
    <cfRule type="expression" dxfId="629" priority="844">
      <formula>$A31="Inactive"</formula>
    </cfRule>
  </conditionalFormatting>
  <conditionalFormatting sqref="E263:H263">
    <cfRule type="expression" dxfId="628" priority="764">
      <formula>$A263="Inactive"</formula>
    </cfRule>
  </conditionalFormatting>
  <conditionalFormatting sqref="E312:H314">
    <cfRule type="expression" dxfId="627" priority="724">
      <formula>$A312="Inactive"</formula>
    </cfRule>
  </conditionalFormatting>
  <conditionalFormatting sqref="E404:H406">
    <cfRule type="expression" dxfId="626" priority="558">
      <formula>$A404="Inactive"</formula>
    </cfRule>
  </conditionalFormatting>
  <conditionalFormatting sqref="E414:H414">
    <cfRule type="expression" dxfId="625" priority="546">
      <formula>$A414="Inactive"</formula>
    </cfRule>
  </conditionalFormatting>
  <conditionalFormatting sqref="E448:H450">
    <cfRule type="expression" dxfId="624" priority="472">
      <formula>$A448="Inactive"</formula>
    </cfRule>
  </conditionalFormatting>
  <conditionalFormatting sqref="E459:H473">
    <cfRule type="expression" dxfId="623" priority="449">
      <formula>$A459="Inactive"</formula>
    </cfRule>
  </conditionalFormatting>
  <conditionalFormatting sqref="E476:H477">
    <cfRule type="expression" dxfId="622" priority="436">
      <formula>$A476="Inactive"</formula>
    </cfRule>
  </conditionalFormatting>
  <conditionalFormatting sqref="E486:H487">
    <cfRule type="expression" dxfId="621" priority="398">
      <formula>$A486="Inactive"</formula>
    </cfRule>
  </conditionalFormatting>
  <conditionalFormatting sqref="E246:I246 E250:I250">
    <cfRule type="expression" dxfId="620" priority="775">
      <formula>$A246="Inactive"</formula>
    </cfRule>
  </conditionalFormatting>
  <conditionalFormatting sqref="E253:I254 E255:J257">
    <cfRule type="expression" dxfId="619" priority="770">
      <formula>$A253="Inactive"</formula>
    </cfRule>
  </conditionalFormatting>
  <conditionalFormatting sqref="E258:I258">
    <cfRule type="expression" dxfId="618" priority="769">
      <formula>$A258="Inactive"</formula>
    </cfRule>
  </conditionalFormatting>
  <conditionalFormatting sqref="E262:I262">
    <cfRule type="expression" dxfId="617" priority="765">
      <formula>$A262="Inactive"</formula>
    </cfRule>
  </conditionalFormatting>
  <conditionalFormatting sqref="E264:I264 E265:J265 E266:I266 E267:J269 E270:I270 E279:I280 E281:J284">
    <cfRule type="expression" dxfId="616" priority="762">
      <formula>$A264="Inactive"</formula>
    </cfRule>
  </conditionalFormatting>
  <conditionalFormatting sqref="E305:I305 E306:J306">
    <cfRule type="expression" dxfId="615" priority="738">
      <formula>$A305="Inactive"</formula>
    </cfRule>
  </conditionalFormatting>
  <conditionalFormatting sqref="E310:I311">
    <cfRule type="expression" dxfId="614" priority="726">
      <formula>$A310="Inactive"</formula>
    </cfRule>
  </conditionalFormatting>
  <conditionalFormatting sqref="E315:I324">
    <cfRule type="expression" dxfId="613" priority="722">
      <formula>$A315="Inactive"</formula>
    </cfRule>
  </conditionalFormatting>
  <conditionalFormatting sqref="E330:I331">
    <cfRule type="expression" dxfId="612" priority="714">
      <formula>$A330="Inactive"</formula>
    </cfRule>
  </conditionalFormatting>
  <conditionalFormatting sqref="E333:I342">
    <cfRule type="expression" dxfId="611" priority="705">
      <formula>$A333="Inactive"</formula>
    </cfRule>
  </conditionalFormatting>
  <conditionalFormatting sqref="E346:I351">
    <cfRule type="expression" dxfId="610" priority="686">
      <formula>$A346="Inactive"</formula>
    </cfRule>
  </conditionalFormatting>
  <conditionalFormatting sqref="E356:I359">
    <cfRule type="expression" dxfId="609" priority="667">
      <formula>$A356="Inactive"</formula>
    </cfRule>
  </conditionalFormatting>
  <conditionalFormatting sqref="E362:I367">
    <cfRule type="expression" dxfId="608" priority="648">
      <formula>$A362="Inactive"</formula>
    </cfRule>
  </conditionalFormatting>
  <conditionalFormatting sqref="E397:I397">
    <cfRule type="expression" dxfId="607" priority="572">
      <formula>$A397="Inactive"</formula>
    </cfRule>
  </conditionalFormatting>
  <conditionalFormatting sqref="E401:I403">
    <cfRule type="expression" dxfId="606" priority="565">
      <formula>$A401="Inactive"</formula>
    </cfRule>
  </conditionalFormatting>
  <conditionalFormatting sqref="E415:I420">
    <cfRule type="expression" dxfId="605" priority="544">
      <formula>$A415="Inactive"</formula>
    </cfRule>
  </conditionalFormatting>
  <conditionalFormatting sqref="E424:I425">
    <cfRule type="expression" dxfId="604" priority="520">
      <formula>$A424="Inactive"</formula>
    </cfRule>
  </conditionalFormatting>
  <conditionalFormatting sqref="E428:I435">
    <cfRule type="expression" dxfId="603" priority="511">
      <formula>$A428="Inactive"</formula>
    </cfRule>
  </conditionalFormatting>
  <conditionalFormatting sqref="E437:I442">
    <cfRule type="expression" dxfId="602" priority="495">
      <formula>$A437="Inactive"</formula>
    </cfRule>
  </conditionalFormatting>
  <conditionalFormatting sqref="E445:I447">
    <cfRule type="expression" dxfId="601" priority="481">
      <formula>$A445="Inactive"</formula>
    </cfRule>
  </conditionalFormatting>
  <conditionalFormatting sqref="E451:I458">
    <cfRule type="expression" dxfId="600" priority="468">
      <formula>$A451="Inactive"</formula>
    </cfRule>
  </conditionalFormatting>
  <conditionalFormatting sqref="E507:I508">
    <cfRule type="expression" dxfId="599" priority="291">
      <formula>$A507="Inactive"</formula>
    </cfRule>
  </conditionalFormatting>
  <conditionalFormatting sqref="E532:I532">
    <cfRule type="expression" dxfId="598" priority="210">
      <formula>$A532="Inactive"</formula>
    </cfRule>
  </conditionalFormatting>
  <conditionalFormatting sqref="E247:J249">
    <cfRule type="expression" dxfId="597" priority="774">
      <formula>$A247="Inactive"</formula>
    </cfRule>
  </conditionalFormatting>
  <conditionalFormatting sqref="E271:J278">
    <cfRule type="expression" dxfId="596" priority="761">
      <formula>$A271="Inactive"</formula>
    </cfRule>
  </conditionalFormatting>
  <conditionalFormatting sqref="E288:J298 E299:I299 E300:J301">
    <cfRule type="expression" dxfId="595" priority="745">
      <formula>$A288="Inactive"</formula>
    </cfRule>
  </conditionalFormatting>
  <conditionalFormatting sqref="E325:J325 E326:I326 E327:J329">
    <cfRule type="expression" dxfId="594" priority="716">
      <formula>$A325="Inactive"</formula>
    </cfRule>
  </conditionalFormatting>
  <conditionalFormatting sqref="E541:J543">
    <cfRule type="expression" dxfId="593" priority="177">
      <formula>$A541="Inactive"</formula>
    </cfRule>
  </conditionalFormatting>
  <conditionalFormatting sqref="E555:J555">
    <cfRule type="expression" dxfId="592" priority="92">
      <formula>$A555="Inactive"</formula>
    </cfRule>
  </conditionalFormatting>
  <conditionalFormatting sqref="E574:L575">
    <cfRule type="expression" dxfId="591" priority="37">
      <formula>$A574="Inactive"</formula>
    </cfRule>
  </conditionalFormatting>
  <conditionalFormatting sqref="F72:G72 F156:G156 F167:G168 F204:G205 F209:G211 F216:G216">
    <cfRule type="expression" dxfId="590" priority="833">
      <formula>$A72="Inactive"</formula>
    </cfRule>
  </conditionalFormatting>
  <conditionalFormatting sqref="F303:G303">
    <cfRule type="expression" dxfId="589" priority="742">
      <formula>$A303="Inactive"</formula>
    </cfRule>
  </conditionalFormatting>
  <conditionalFormatting sqref="F307:G307">
    <cfRule type="expression" dxfId="588" priority="735">
      <formula>$A307="Inactive"</formula>
    </cfRule>
  </conditionalFormatting>
  <conditionalFormatting sqref="F375:G379">
    <cfRule type="expression" dxfId="587" priority="637">
      <formula>$A375="Inactive"</formula>
    </cfRule>
  </conditionalFormatting>
  <conditionalFormatting sqref="F423:G423">
    <cfRule type="expression" dxfId="586" priority="524">
      <formula>$A423="Inactive"</formula>
    </cfRule>
  </conditionalFormatting>
  <conditionalFormatting sqref="F443:G443">
    <cfRule type="expression" dxfId="585" priority="488">
      <formula>$A443="Inactive"</formula>
    </cfRule>
  </conditionalFormatting>
  <conditionalFormatting sqref="F478:G478">
    <cfRule type="expression" dxfId="584" priority="431">
      <formula>$A478="Inactive"</formula>
    </cfRule>
  </conditionalFormatting>
  <conditionalFormatting sqref="F517:G527">
    <cfRule type="expression" dxfId="583" priority="254">
      <formula>$A517="Inactive"</formula>
    </cfRule>
  </conditionalFormatting>
  <conditionalFormatting sqref="F557:G562">
    <cfRule type="expression" dxfId="582" priority="71">
      <formula>$A557="Inactive"</formula>
    </cfRule>
  </conditionalFormatting>
  <conditionalFormatting sqref="F564:G567">
    <cfRule type="expression" dxfId="581" priority="75">
      <formula>$A564="Inactive"</formula>
    </cfRule>
  </conditionalFormatting>
  <conditionalFormatting sqref="F569:G573">
    <cfRule type="expression" dxfId="580" priority="48">
      <formula>$A569="Inactive"</formula>
    </cfRule>
  </conditionalFormatting>
  <conditionalFormatting sqref="F579:G580">
    <cfRule type="expression" dxfId="579" priority="29">
      <formula>$A579="Inactive"</formula>
    </cfRule>
  </conditionalFormatting>
  <conditionalFormatting sqref="F23:H25">
    <cfRule type="expression" dxfId="578" priority="847">
      <formula>$A23="Inactive"</formula>
    </cfRule>
  </conditionalFormatting>
  <conditionalFormatting sqref="F141:H155">
    <cfRule type="expression" dxfId="577" priority="821">
      <formula>$A141="Inactive"</formula>
    </cfRule>
  </conditionalFormatting>
  <conditionalFormatting sqref="F157:H166 J159:J164">
    <cfRule type="expression" dxfId="576" priority="816">
      <formula>$A157="Inactive"</formula>
    </cfRule>
  </conditionalFormatting>
  <conditionalFormatting sqref="F169:H203">
    <cfRule type="expression" dxfId="575" priority="812">
      <formula>$A169="Inactive"</formula>
    </cfRule>
  </conditionalFormatting>
  <conditionalFormatting sqref="F206:H208">
    <cfRule type="expression" dxfId="574" priority="797">
      <formula>$A206="Inactive"</formula>
    </cfRule>
  </conditionalFormatting>
  <conditionalFormatting sqref="F212:H215">
    <cfRule type="expression" dxfId="573" priority="795">
      <formula>$A212="Inactive"</formula>
    </cfRule>
  </conditionalFormatting>
  <conditionalFormatting sqref="F343:I345">
    <cfRule type="expression" dxfId="572" priority="688">
      <formula>$A343="Inactive"</formula>
    </cfRule>
  </conditionalFormatting>
  <conditionalFormatting sqref="F384:I385">
    <cfRule type="expression" dxfId="571" priority="616">
      <formula>$A384="Inactive"</formula>
    </cfRule>
  </conditionalFormatting>
  <conditionalFormatting sqref="F395:I396">
    <cfRule type="expression" dxfId="570" priority="577">
      <formula>$A395="Inactive"</formula>
    </cfRule>
  </conditionalFormatting>
  <conditionalFormatting sqref="F489:I499">
    <cfRule type="expression" dxfId="569" priority="379">
      <formula>$A489="Inactive"</formula>
    </cfRule>
  </conditionalFormatting>
  <conditionalFormatting sqref="F505:I506">
    <cfRule type="expression" dxfId="568" priority="314">
      <formula>$A505="Inactive"</formula>
    </cfRule>
  </conditionalFormatting>
  <conditionalFormatting sqref="F509:I516">
    <cfRule type="expression" dxfId="567" priority="287">
      <formula>$A509="Inactive"</formula>
    </cfRule>
  </conditionalFormatting>
  <conditionalFormatting sqref="F528:I531">
    <cfRule type="expression" dxfId="566" priority="233">
      <formula>$A528="Inactive"</formula>
    </cfRule>
  </conditionalFormatting>
  <conditionalFormatting sqref="F533:I540">
    <cfRule type="expression" dxfId="565" priority="191">
      <formula>$A533="Inactive"</formula>
    </cfRule>
  </conditionalFormatting>
  <conditionalFormatting sqref="F386:J388">
    <cfRule type="expression" dxfId="564" priority="599">
      <formula>$A386="Inactive"</formula>
    </cfRule>
  </conditionalFormatting>
  <conditionalFormatting sqref="F556:J556">
    <cfRule type="expression" dxfId="563" priority="125">
      <formula>$A556="Inactive"</formula>
    </cfRule>
  </conditionalFormatting>
  <conditionalFormatting sqref="F568:L568">
    <cfRule type="expression" dxfId="562" priority="68">
      <formula>$A568="Inactive"</formula>
    </cfRule>
  </conditionalFormatting>
  <conditionalFormatting sqref="F576:L578">
    <cfRule type="expression" dxfId="561" priority="31">
      <formula>$A576="Inactive"</formula>
    </cfRule>
  </conditionalFormatting>
  <conditionalFormatting sqref="F581:L581">
    <cfRule type="expression" dxfId="560" priority="24">
      <formula>$A581="Inactive"</formula>
    </cfRule>
  </conditionalFormatting>
  <conditionalFormatting sqref="F563:O563">
    <cfRule type="expression" dxfId="559" priority="77">
      <formula>$A563="Inactive"</formula>
    </cfRule>
  </conditionalFormatting>
  <conditionalFormatting sqref="H210:H211">
    <cfRule type="expression" dxfId="558" priority="796">
      <formula>$A210="Inactive"</formula>
    </cfRule>
  </conditionalFormatting>
  <conditionalFormatting sqref="H216:H222">
    <cfRule type="expression" dxfId="557" priority="794">
      <formula>$A216="Inactive"</formula>
    </cfRule>
  </conditionalFormatting>
  <conditionalFormatting sqref="H229:H230">
    <cfRule type="expression" dxfId="556" priority="785">
      <formula>$A229="Inactive"</formula>
    </cfRule>
  </conditionalFormatting>
  <conditionalFormatting sqref="H251">
    <cfRule type="expression" dxfId="555" priority="773">
      <formula>$A251="Inactive"</formula>
    </cfRule>
  </conditionalFormatting>
  <conditionalFormatting sqref="H259:H260">
    <cfRule type="expression" dxfId="554" priority="768">
      <formula>$A259="Inactive"</formula>
    </cfRule>
  </conditionalFormatting>
  <conditionalFormatting sqref="H286:H287">
    <cfRule type="expression" dxfId="553" priority="752">
      <formula>$A286="Inactive"</formula>
    </cfRule>
  </conditionalFormatting>
  <conditionalFormatting sqref="H302">
    <cfRule type="expression" dxfId="552" priority="740">
      <formula>$A302="Inactive"</formula>
    </cfRule>
  </conditionalFormatting>
  <conditionalFormatting sqref="H304">
    <cfRule type="expression" dxfId="551" priority="741">
      <formula>$A304="Inactive"</formula>
    </cfRule>
  </conditionalFormatting>
  <conditionalFormatting sqref="H308:H309">
    <cfRule type="expression" dxfId="550" priority="734">
      <formula>$A308="Inactive"</formula>
    </cfRule>
  </conditionalFormatting>
  <conditionalFormatting sqref="H360">
    <cfRule type="expression" dxfId="549" priority="655">
      <formula>$A360="Inactive"</formula>
    </cfRule>
  </conditionalFormatting>
  <conditionalFormatting sqref="H389:H394">
    <cfRule type="expression" dxfId="548" priority="588">
      <formula>$A389="Inactive"</formula>
    </cfRule>
  </conditionalFormatting>
  <conditionalFormatting sqref="H398:H399">
    <cfRule type="expression" dxfId="547" priority="568">
      <formula>$A398="Inactive"</formula>
    </cfRule>
  </conditionalFormatting>
  <conditionalFormatting sqref="H408:H410">
    <cfRule type="expression" dxfId="546" priority="550">
      <formula>$A408="Inactive"</formula>
    </cfRule>
  </conditionalFormatting>
  <conditionalFormatting sqref="H421">
    <cfRule type="expression" dxfId="545" priority="523">
      <formula>$A421="Inactive"</formula>
    </cfRule>
  </conditionalFormatting>
  <conditionalFormatting sqref="H427">
    <cfRule type="expression" dxfId="544" priority="514">
      <formula>$A427="Inactive"</formula>
    </cfRule>
  </conditionalFormatting>
  <conditionalFormatting sqref="H475">
    <cfRule type="expression" dxfId="543" priority="437">
      <formula>$A475="Inactive"</formula>
    </cfRule>
  </conditionalFormatting>
  <conditionalFormatting sqref="H500">
    <cfRule type="expression" dxfId="542" priority="361">
      <formula>$A500="Inactive"</formula>
    </cfRule>
  </conditionalFormatting>
  <conditionalFormatting sqref="H504">
    <cfRule type="expression" dxfId="541" priority="326">
      <formula>$A504="Inactive"</formula>
    </cfRule>
  </conditionalFormatting>
  <conditionalFormatting sqref="H527">
    <cfRule type="expression" dxfId="540" priority="240">
      <formula>$A527="Inactive"</formula>
    </cfRule>
  </conditionalFormatting>
  <conditionalFormatting sqref="H557:H561">
    <cfRule type="expression" dxfId="539" priority="90">
      <formula>$A557="Inactive"</formula>
    </cfRule>
  </conditionalFormatting>
  <conditionalFormatting sqref="H565:H566">
    <cfRule type="expression" dxfId="538" priority="74">
      <formula>$A565="Inactive"</formula>
    </cfRule>
  </conditionalFormatting>
  <conditionalFormatting sqref="H582:H592">
    <cfRule type="expression" dxfId="537" priority="14">
      <formula>$A582="Inactive"</formula>
    </cfRule>
  </conditionalFormatting>
  <conditionalFormatting sqref="H237:I237">
    <cfRule type="expression" dxfId="536" priority="782">
      <formula>$A237="Inactive"</formula>
    </cfRule>
  </conditionalFormatting>
  <conditionalFormatting sqref="H352:I355">
    <cfRule type="expression" dxfId="535" priority="679">
      <formula>$A352="Inactive"</formula>
    </cfRule>
  </conditionalFormatting>
  <conditionalFormatting sqref="H368:I372">
    <cfRule type="expression" dxfId="534" priority="641">
      <formula>$A368="Inactive"</formula>
    </cfRule>
  </conditionalFormatting>
  <conditionalFormatting sqref="H374:I374">
    <cfRule type="expression" dxfId="533" priority="638">
      <formula>$A374="Inactive"</formula>
    </cfRule>
  </conditionalFormatting>
  <conditionalFormatting sqref="H376:I382">
    <cfRule type="expression" dxfId="532" priority="630">
      <formula>$A376="Inactive"</formula>
    </cfRule>
  </conditionalFormatting>
  <conditionalFormatting sqref="H444:I444">
    <cfRule type="expression" dxfId="531" priority="487">
      <formula>$A444="Inactive"</formula>
    </cfRule>
  </conditionalFormatting>
  <conditionalFormatting sqref="H502:I502">
    <cfRule type="expression" dxfId="530" priority="343">
      <formula>$A502="Inactive"</formula>
    </cfRule>
  </conditionalFormatting>
  <conditionalFormatting sqref="H517:I524">
    <cfRule type="expression" dxfId="529" priority="253">
      <formula>$A517="Inactive"</formula>
    </cfRule>
  </conditionalFormatting>
  <conditionalFormatting sqref="H547:I547">
    <cfRule type="expression" dxfId="528" priority="142">
      <formula>$A547="Inactive"</formula>
    </cfRule>
  </conditionalFormatting>
  <conditionalFormatting sqref="H550:I550">
    <cfRule type="expression" dxfId="527" priority="150">
      <formula>$A550="Inactive"</formula>
    </cfRule>
  </conditionalFormatting>
  <conditionalFormatting sqref="H552:I552">
    <cfRule type="expression" dxfId="526" priority="91">
      <formula>$A552="Inactive"</formula>
    </cfRule>
  </conditionalFormatting>
  <conditionalFormatting sqref="H580:I580">
    <cfRule type="expression" dxfId="525" priority="28">
      <formula>$A580="Inactive"</formula>
    </cfRule>
  </conditionalFormatting>
  <conditionalFormatting sqref="H238:J239">
    <cfRule type="expression" dxfId="524" priority="781">
      <formula>$A238="Inactive"</formula>
    </cfRule>
  </conditionalFormatting>
  <conditionalFormatting sqref="H243:J245">
    <cfRule type="expression" dxfId="523" priority="777">
      <formula>$A243="Inactive"</formula>
    </cfRule>
  </conditionalFormatting>
  <conditionalFormatting sqref="H544:J546">
    <cfRule type="expression" dxfId="522" priority="167">
      <formula>$A544="Inactive"</formula>
    </cfRule>
  </conditionalFormatting>
  <conditionalFormatting sqref="H549:J549">
    <cfRule type="expression" dxfId="521" priority="153">
      <formula>$A549="Inactive"</formula>
    </cfRule>
  </conditionalFormatting>
  <conditionalFormatting sqref="H551:J551">
    <cfRule type="expression" dxfId="520" priority="145">
      <formula>$A551="Inactive"</formula>
    </cfRule>
  </conditionalFormatting>
  <conditionalFormatting sqref="H570:L573">
    <cfRule type="expression" dxfId="519" priority="47">
      <formula>$A570="Inactive"</formula>
    </cfRule>
  </conditionalFormatting>
  <conditionalFormatting sqref="I566:I568">
    <cfRule type="expression" dxfId="518" priority="64">
      <formula>$A566="Inactive"</formula>
    </cfRule>
  </conditionalFormatting>
  <conditionalFormatting sqref="I584:I592">
    <cfRule type="expression" dxfId="517" priority="15">
      <formula>$A584="Inactive"</formula>
    </cfRule>
  </conditionalFormatting>
  <conditionalFormatting sqref="I557:J557 I558:K560 J561:L562">
    <cfRule type="expression" dxfId="516" priority="93">
      <formula>$A557="Inactive"</formula>
    </cfRule>
  </conditionalFormatting>
  <conditionalFormatting sqref="I569:L569">
    <cfRule type="expression" dxfId="515" priority="66">
      <formula>$A569="Inactive"</formula>
    </cfRule>
  </conditionalFormatting>
  <conditionalFormatting sqref="I579:L579">
    <cfRule type="expression" dxfId="514" priority="30">
      <formula>$A579="Inactive"</formula>
    </cfRule>
  </conditionalFormatting>
  <conditionalFormatting sqref="J24:J42">
    <cfRule type="expression" dxfId="513" priority="846">
      <formula>$A24="Inactive"</formula>
    </cfRule>
  </conditionalFormatting>
  <conditionalFormatting sqref="J44:J49 J51:J62 J90:J97 J99:J103 J106:J111 J116:J126 J128 J130:J134 J166:J170 J180">
    <cfRule type="expression" dxfId="512" priority="842">
      <formula>$A44="Inactive"</formula>
    </cfRule>
  </conditionalFormatting>
  <conditionalFormatting sqref="J113:J114">
    <cfRule type="expression" dxfId="511" priority="823">
      <formula>$A113="Inactive"</formula>
    </cfRule>
  </conditionalFormatting>
  <conditionalFormatting sqref="J137:J157">
    <cfRule type="expression" dxfId="510" priority="819">
      <formula>$A137="Inactive"</formula>
    </cfRule>
  </conditionalFormatting>
  <conditionalFormatting sqref="J172:J178">
    <cfRule type="expression" dxfId="509" priority="811">
      <formula>$A172="Inactive"</formula>
    </cfRule>
  </conditionalFormatting>
  <conditionalFormatting sqref="J182:J190">
    <cfRule type="expression" dxfId="508" priority="810">
      <formula>$A182="Inactive"</formula>
    </cfRule>
  </conditionalFormatting>
  <conditionalFormatting sqref="J192:J245">
    <cfRule type="expression" dxfId="507" priority="808">
      <formula>$A192="Inactive"</formula>
    </cfRule>
  </conditionalFormatting>
  <conditionalFormatting sqref="J251:J264">
    <cfRule type="expression" dxfId="506" priority="771">
      <formula>$A251="Inactive"</formula>
    </cfRule>
  </conditionalFormatting>
  <conditionalFormatting sqref="J279">
    <cfRule type="expression" dxfId="505" priority="757">
      <formula>$A279="Inactive"</formula>
    </cfRule>
  </conditionalFormatting>
  <conditionalFormatting sqref="J281:J304">
    <cfRule type="expression" dxfId="504" priority="758">
      <formula>$A281="Inactive"</formula>
    </cfRule>
  </conditionalFormatting>
  <conditionalFormatting sqref="J306:J312 J314:J315 J429:J430">
    <cfRule type="expression" dxfId="503" priority="737">
      <formula>$A306="Inactive"</formula>
    </cfRule>
  </conditionalFormatting>
  <conditionalFormatting sqref="J317:J377">
    <cfRule type="expression" dxfId="502" priority="721">
      <formula>$A317="Inactive"</formula>
    </cfRule>
  </conditionalFormatting>
  <conditionalFormatting sqref="J379:J426">
    <cfRule type="expression" dxfId="501" priority="628">
      <formula>$A379="Inactive"</formula>
    </cfRule>
  </conditionalFormatting>
  <conditionalFormatting sqref="J432:J447">
    <cfRule type="expression" dxfId="500" priority="486">
      <formula>$A432="Inactive"</formula>
    </cfRule>
  </conditionalFormatting>
  <conditionalFormatting sqref="J449:J470">
    <cfRule type="expression" dxfId="499" priority="471">
      <formula>$A449="Inactive"</formula>
    </cfRule>
  </conditionalFormatting>
  <conditionalFormatting sqref="J472:J480">
    <cfRule type="expression" dxfId="498" priority="441">
      <formula>$A472="Inactive"</formula>
    </cfRule>
  </conditionalFormatting>
  <conditionalFormatting sqref="J485:J487">
    <cfRule type="expression" dxfId="497" priority="400">
      <formula>$A485="Inactive"</formula>
    </cfRule>
  </conditionalFormatting>
  <conditionalFormatting sqref="J489:J504">
    <cfRule type="expression" dxfId="496" priority="328">
      <formula>$A489="Inactive"</formula>
    </cfRule>
  </conditionalFormatting>
  <conditionalFormatting sqref="J506:J508">
    <cfRule type="expression" dxfId="495" priority="312">
      <formula>$A506="Inactive"</formula>
    </cfRule>
  </conditionalFormatting>
  <conditionalFormatting sqref="J510:J511">
    <cfRule type="expression" dxfId="494" priority="286">
      <formula>$A510="Inactive"</formula>
    </cfRule>
  </conditionalFormatting>
  <conditionalFormatting sqref="J514:J539">
    <cfRule type="expression" dxfId="493" priority="193">
      <formula>$A514="Inactive"</formula>
    </cfRule>
  </conditionalFormatting>
  <conditionalFormatting sqref="J554">
    <cfRule type="expression" dxfId="492" priority="133">
      <formula>$A554="Inactive"</formula>
    </cfRule>
  </conditionalFormatting>
  <conditionalFormatting sqref="J566:J567">
    <cfRule type="expression" dxfId="491" priority="73">
      <formula>$A566="Inactive"</formula>
    </cfRule>
  </conditionalFormatting>
  <conditionalFormatting sqref="J3:K3 J4:J11 F6:G6 I6:I9 F7:H7 F8:G9 F10:I11 E12:J12 E13:I13 E14:J14 J15:J16 E15:H22 J18 J20:J22 F26:G26 F27:H27 F28:G28 F29:H30 F55:H56 F57:G57 F58:H59 F140:G140 D245:D527 B257:C262 B276:C277 C284:C291 E352:G352 F353:G355 E389:G390 F391:G394 C420:C429 C445:C455 B479:C480">
    <cfRule type="expression" dxfId="490" priority="853">
      <formula>$A3="Inactive"</formula>
    </cfRule>
  </conditionalFormatting>
  <conditionalFormatting sqref="J586:K592">
    <cfRule type="expression" dxfId="489" priority="7">
      <formula>$A586="Inactive"</formula>
    </cfRule>
  </conditionalFormatting>
  <conditionalFormatting sqref="K4:K557 K580">
    <cfRule type="expression" dxfId="488" priority="850">
      <formula>$A4="Inactive"</formula>
    </cfRule>
  </conditionalFormatting>
  <conditionalFormatting sqref="L2:L499 E481:J484">
    <cfRule type="expression" dxfId="487" priority="799">
      <formula>$A2="Inactive"</formula>
    </cfRule>
  </conditionalFormatting>
  <conditionalFormatting sqref="L505:L531">
    <cfRule type="expression" dxfId="486" priority="315">
      <formula>$A505="Inactive"</formula>
    </cfRule>
  </conditionalFormatting>
  <conditionalFormatting sqref="L536:L560">
    <cfRule type="expression" dxfId="485" priority="189">
      <formula>$A536="Inactive"</formula>
    </cfRule>
  </conditionalFormatting>
  <conditionalFormatting sqref="L550">
    <cfRule type="expression" dxfId="484" priority="86">
      <formula>$A549="Inactive"</formula>
    </cfRule>
  </conditionalFormatting>
  <conditionalFormatting sqref="L582:L592">
    <cfRule type="expression" dxfId="483" priority="13">
      <formula>$A582="Inactive"</formula>
    </cfRule>
  </conditionalFormatting>
  <conditionalFormatting sqref="L566:M566">
    <cfRule type="expression" dxfId="482" priority="72">
      <formula>$A566="Inactive"</formula>
    </cfRule>
  </conditionalFormatting>
  <conditionalFormatting sqref="L503:N504">
    <cfRule type="expression" dxfId="481" priority="327">
      <formula>$A503="Inactive"</formula>
    </cfRule>
  </conditionalFormatting>
  <conditionalFormatting sqref="L532:O535 E535">
    <cfRule type="expression" dxfId="480" priority="211">
      <formula>$A532="Inactive"</formula>
    </cfRule>
  </conditionalFormatting>
  <conditionalFormatting sqref="M343 Q343 S343:AA343 AF343:AH343">
    <cfRule type="expression" dxfId="479" priority="696">
      <formula>$A361="Inactive"</formula>
    </cfRule>
    <cfRule type="expression" dxfId="478" priority="697">
      <formula>$A338="Inactive"</formula>
    </cfRule>
  </conditionalFormatting>
  <conditionalFormatting sqref="M345 C483">
    <cfRule type="expression" dxfId="477" priority="691">
      <formula>$A343="Inactive"</formula>
    </cfRule>
  </conditionalFormatting>
  <conditionalFormatting sqref="M508:M527">
    <cfRule type="expression" dxfId="476" priority="294">
      <formula>$A508="Inactive"</formula>
    </cfRule>
  </conditionalFormatting>
  <conditionalFormatting sqref="M567:M592">
    <cfRule type="expression" dxfId="475" priority="21">
      <formula>$A567="Inactive"</formula>
    </cfRule>
  </conditionalFormatting>
  <conditionalFormatting sqref="M541:N543 Q541:Q543 Z541:Z543 X541:X544 AD541:AE544 E541:E546 AD546:AE547 AD549">
    <cfRule type="expression" dxfId="474" priority="187">
      <formula>#REF!="Inactive"</formula>
    </cfRule>
  </conditionalFormatting>
  <conditionalFormatting sqref="M549:N562">
    <cfRule type="expression" dxfId="473" priority="96">
      <formula>$A549="Inactive"</formula>
    </cfRule>
  </conditionalFormatting>
  <conditionalFormatting sqref="M2:AI2">
    <cfRule type="expression" dxfId="472" priority="863">
      <formula>$A2="Inactive"</formula>
    </cfRule>
  </conditionalFormatting>
  <conditionalFormatting sqref="N490">
    <cfRule type="expression" dxfId="471" priority="386">
      <formula>#REF!="Inactive"</formula>
    </cfRule>
  </conditionalFormatting>
  <conditionalFormatting sqref="N514:O527">
    <cfRule type="expression" dxfId="470" priority="275">
      <formula>$A514="Inactive"</formula>
    </cfRule>
  </conditionalFormatting>
  <conditionalFormatting sqref="O482:O487">
    <cfRule type="expression" dxfId="469" priority="410">
      <formula>$A482="Inactive"</formula>
    </cfRule>
  </conditionalFormatting>
  <conditionalFormatting sqref="O484:O485">
    <cfRule type="expression" dxfId="468" priority="403">
      <formula>#REF!="Inactive"</formula>
    </cfRule>
  </conditionalFormatting>
  <conditionalFormatting sqref="O488">
    <cfRule type="expression" dxfId="467" priority="395">
      <formula>#REF!="Inactive"</formula>
    </cfRule>
  </conditionalFormatting>
  <conditionalFormatting sqref="O489:O499">
    <cfRule type="expression" dxfId="466" priority="385">
      <formula>#REF!="Inactive"</formula>
    </cfRule>
  </conditionalFormatting>
  <conditionalFormatting sqref="O501">
    <cfRule type="expression" dxfId="465" priority="364">
      <formula>#REF!="Inactive"</formula>
    </cfRule>
  </conditionalFormatting>
  <conditionalFormatting sqref="O503:O506">
    <cfRule type="expression" dxfId="464" priority="329">
      <formula>$A503="Inactive"</formula>
    </cfRule>
  </conditionalFormatting>
  <conditionalFormatting sqref="O541:O546">
    <cfRule type="expression" dxfId="463" priority="183">
      <formula>$A541="Inactive"</formula>
    </cfRule>
  </conditionalFormatting>
  <conditionalFormatting sqref="O549">
    <cfRule type="expression" dxfId="462" priority="156">
      <formula>$A549="Inactive"</formula>
    </cfRule>
  </conditionalFormatting>
  <conditionalFormatting sqref="O551">
    <cfRule type="expression" dxfId="461" priority="144">
      <formula>$A551="Inactive"</formula>
    </cfRule>
  </conditionalFormatting>
  <conditionalFormatting sqref="O553">
    <cfRule type="expression" dxfId="460" priority="140">
      <formula>$A553="Inactive"</formula>
    </cfRule>
  </conditionalFormatting>
  <conditionalFormatting sqref="O556">
    <cfRule type="expression" dxfId="459" priority="124">
      <formula>$A556="Inactive"</formula>
    </cfRule>
  </conditionalFormatting>
  <conditionalFormatting sqref="O576">
    <cfRule type="expression" dxfId="458" priority="35">
      <formula>$A576="Inactive"</formula>
    </cfRule>
  </conditionalFormatting>
  <conditionalFormatting sqref="O579:O580">
    <cfRule type="expression" dxfId="457" priority="27">
      <formula>$A579="Inactive"</formula>
    </cfRule>
  </conditionalFormatting>
  <conditionalFormatting sqref="Q344 S344:AA344 AF344:AH344">
    <cfRule type="expression" dxfId="456" priority="694">
      <formula>$A344="Inactive"</formula>
    </cfRule>
  </conditionalFormatting>
  <conditionalFormatting sqref="Q430:Q435">
    <cfRule type="expression" dxfId="455" priority="505">
      <formula>$A430="Inactive"</formula>
    </cfRule>
  </conditionalFormatting>
  <conditionalFormatting sqref="Q544:Q547">
    <cfRule type="expression" dxfId="454" priority="173">
      <formula>$A544="Inactive"</formula>
    </cfRule>
  </conditionalFormatting>
  <conditionalFormatting sqref="Q576:Q592">
    <cfRule type="expression" dxfId="453" priority="17">
      <formula>$A576="Inactive"</formula>
    </cfRule>
  </conditionalFormatting>
  <conditionalFormatting sqref="Q384:R388">
    <cfRule type="expression" dxfId="452" priority="617">
      <formula>$A384="Inactive"</formula>
    </cfRule>
  </conditionalFormatting>
  <conditionalFormatting sqref="Q456:R487">
    <cfRule type="expression" dxfId="451" priority="463">
      <formula>$A456="Inactive"</formula>
    </cfRule>
  </conditionalFormatting>
  <conditionalFormatting sqref="Q503:R506">
    <cfRule type="expression" dxfId="450" priority="330">
      <formula>$A503="Inactive"</formula>
    </cfRule>
  </conditionalFormatting>
  <conditionalFormatting sqref="Q508:R515">
    <cfRule type="expression" dxfId="449" priority="279">
      <formula>$A508="Inactive"</formula>
    </cfRule>
  </conditionalFormatting>
  <conditionalFormatting sqref="Q517:R517">
    <cfRule type="expression" dxfId="448" priority="262">
      <formula>$A517="Inactive"</formula>
    </cfRule>
  </conditionalFormatting>
  <conditionalFormatting sqref="Q549:R554">
    <cfRule type="expression" dxfId="447" priority="146">
      <formula>$A549="Inactive"</formula>
    </cfRule>
  </conditionalFormatting>
  <conditionalFormatting sqref="Q556:R556">
    <cfRule type="expression" dxfId="446" priority="123">
      <formula>$A556="Inactive"</formula>
    </cfRule>
  </conditionalFormatting>
  <conditionalFormatting sqref="Q561:R575 R578:R579">
    <cfRule type="expression" dxfId="445" priority="46">
      <formula>$A561="Inactive"</formula>
    </cfRule>
  </conditionalFormatting>
  <conditionalFormatting sqref="Q516:S516">
    <cfRule type="expression" dxfId="444" priority="269">
      <formula>$A516="Inactive"</formula>
    </cfRule>
  </conditionalFormatting>
  <conditionalFormatting sqref="Q518:S527">
    <cfRule type="expression" dxfId="443" priority="246">
      <formula>$A518="Inactive"</formula>
    </cfRule>
  </conditionalFormatting>
  <conditionalFormatting sqref="Q557:S557">
    <cfRule type="expression" dxfId="442" priority="110">
      <formula>$A557="Inactive"</formula>
    </cfRule>
  </conditionalFormatting>
  <conditionalFormatting sqref="Q488:Y488">
    <cfRule type="expression" dxfId="441" priority="394">
      <formula>$A488="Inactive"</formula>
    </cfRule>
  </conditionalFormatting>
  <conditionalFormatting sqref="Q502:Y502">
    <cfRule type="expression" dxfId="440" priority="347">
      <formula>$A502="Inactive"</formula>
    </cfRule>
  </conditionalFormatting>
  <conditionalFormatting sqref="Q240:AA309 S310 U348:AA350 E355 S355:Y355">
    <cfRule type="expression" dxfId="439" priority="743">
      <formula>$A240="Inactive"</formula>
    </cfRule>
  </conditionalFormatting>
  <conditionalFormatting sqref="Q312:AA332 Q310:R311 S311:AA311">
    <cfRule type="expression" dxfId="438" priority="730">
      <formula>$A310="Inactive"</formula>
    </cfRule>
  </conditionalFormatting>
  <conditionalFormatting sqref="Q333:AA342">
    <cfRule type="expression" dxfId="437" priority="700">
      <formula>$A333="Inactive"</formula>
    </cfRule>
  </conditionalFormatting>
  <conditionalFormatting sqref="Q389:AA394 Q401:AA404 N50:O480 Q205:R239 R343:R345 Q346:AA347 Q348:R355 Q356:Y357 Q358:R367 Q369:W383 Q395:Z396 Q397:W397 Q398:R400 Q415:AA416 Q417:R428 Q429:V429 R430:R434 R435:AA435 Q436:AA436 Q437:R440 Q441:X445 Q446:R450 Q451:Y455 U550:U551">
    <cfRule type="expression" dxfId="436" priority="838">
      <formula>$A50="Inactive"</formula>
    </cfRule>
  </conditionalFormatting>
  <conditionalFormatting sqref="Q555:AA555 AC555:AI555">
    <cfRule type="expression" dxfId="435" priority="126">
      <formula>$A555="Inactive"</formula>
    </cfRule>
  </conditionalFormatting>
  <conditionalFormatting sqref="Q558:AA560 AC558:AI560 AD561:AE562">
    <cfRule type="expression" dxfId="434" priority="95">
      <formula>$A558="Inactive"</formula>
    </cfRule>
  </conditionalFormatting>
  <conditionalFormatting sqref="Q368:AI368">
    <cfRule type="expression" dxfId="433" priority="643">
      <formula>$A368="Inactive"</formula>
    </cfRule>
  </conditionalFormatting>
  <conditionalFormatting sqref="R532:R535">
    <cfRule type="expression" dxfId="432" priority="219">
      <formula>#REF!="Inactive"</formula>
    </cfRule>
  </conditionalFormatting>
  <conditionalFormatting sqref="R538:R544">
    <cfRule type="expression" dxfId="431" priority="195">
      <formula>#REF!="Inactive"</formula>
    </cfRule>
  </conditionalFormatting>
  <conditionalFormatting sqref="R545:R547">
    <cfRule type="expression" dxfId="430" priority="170">
      <formula>$A545="Inactive"</formula>
    </cfRule>
  </conditionalFormatting>
  <conditionalFormatting sqref="R576:R577">
    <cfRule type="expression" dxfId="429" priority="34">
      <formula>#REF!="Inactive"</formula>
    </cfRule>
  </conditionalFormatting>
  <conditionalFormatting sqref="R580">
    <cfRule type="expression" dxfId="428" priority="26">
      <formula>#REF!="Inactive"</formula>
    </cfRule>
  </conditionalFormatting>
  <conditionalFormatting sqref="R581:R592">
    <cfRule type="expression" dxfId="427" priority="16">
      <formula>$A581="Inactive"</formula>
    </cfRule>
  </conditionalFormatting>
  <conditionalFormatting sqref="R536:Z537">
    <cfRule type="expression" dxfId="426" priority="197">
      <formula>$A536="Inactive"</formula>
    </cfRule>
  </conditionalFormatting>
  <conditionalFormatting sqref="S431:S444 S428:S429 S421:S425 S391:S417 S369:S389 S361:S367 S359 S355:S357 S343 S345:S353 S7:S341 S2:S5">
    <cfRule type="duplicateValues" dxfId="425" priority="867"/>
  </conditionalFormatting>
  <conditionalFormatting sqref="S446 B311 U446 E537:E540 AB576">
    <cfRule type="expression" dxfId="424" priority="732">
      <formula>$A310="Inactive"</formula>
    </cfRule>
  </conditionalFormatting>
  <conditionalFormatting sqref="S446">
    <cfRule type="duplicateValues" dxfId="423" priority="479"/>
  </conditionalFormatting>
  <conditionalFormatting sqref="S457:S481">
    <cfRule type="expression" dxfId="422" priority="439">
      <formula>$A457="Inactive"</formula>
    </cfRule>
  </conditionalFormatting>
  <conditionalFormatting sqref="S482">
    <cfRule type="duplicateValues" dxfId="421" priority="417"/>
  </conditionalFormatting>
  <conditionalFormatting sqref="S500">
    <cfRule type="duplicateValues" dxfId="420" priority="374"/>
  </conditionalFormatting>
  <conditionalFormatting sqref="S502">
    <cfRule type="duplicateValues" dxfId="419" priority="348"/>
  </conditionalFormatting>
  <conditionalFormatting sqref="S503">
    <cfRule type="duplicateValues" dxfId="418" priority="341"/>
  </conditionalFormatting>
  <conditionalFormatting sqref="S504">
    <cfRule type="duplicateValues" dxfId="417" priority="336"/>
  </conditionalFormatting>
  <conditionalFormatting sqref="S507:S508">
    <cfRule type="duplicateValues" dxfId="416" priority="305"/>
  </conditionalFormatting>
  <conditionalFormatting sqref="S516">
    <cfRule type="duplicateValues" dxfId="415" priority="273"/>
  </conditionalFormatting>
  <conditionalFormatting sqref="S518:S519">
    <cfRule type="duplicateValues" dxfId="414" priority="252"/>
  </conditionalFormatting>
  <conditionalFormatting sqref="S520:S533">
    <cfRule type="duplicateValues" dxfId="413" priority="244"/>
  </conditionalFormatting>
  <conditionalFormatting sqref="S534:S535">
    <cfRule type="duplicateValues" dxfId="412" priority="205"/>
  </conditionalFormatting>
  <conditionalFormatting sqref="S536:S537">
    <cfRule type="duplicateValues" dxfId="411" priority="199"/>
  </conditionalFormatting>
  <conditionalFormatting sqref="S548">
    <cfRule type="duplicateValues" dxfId="410" priority="161"/>
  </conditionalFormatting>
  <conditionalFormatting sqref="S555">
    <cfRule type="duplicateValues" dxfId="409" priority="129"/>
  </conditionalFormatting>
  <conditionalFormatting sqref="S557">
    <cfRule type="duplicateValues" dxfId="408" priority="115"/>
  </conditionalFormatting>
  <conditionalFormatting sqref="S558">
    <cfRule type="duplicateValues" dxfId="407" priority="106"/>
  </conditionalFormatting>
  <conditionalFormatting sqref="S559">
    <cfRule type="duplicateValues" dxfId="406" priority="102"/>
  </conditionalFormatting>
  <conditionalFormatting sqref="S560">
    <cfRule type="duplicateValues" dxfId="405" priority="98"/>
  </conditionalFormatting>
  <conditionalFormatting sqref="S565">
    <cfRule type="expression" dxfId="404" priority="165">
      <formula>$A565="Inactive"</formula>
    </cfRule>
    <cfRule type="duplicateValues" dxfId="403" priority="166"/>
  </conditionalFormatting>
  <conditionalFormatting sqref="S570">
    <cfRule type="duplicateValues" dxfId="402" priority="61"/>
  </conditionalFormatting>
  <conditionalFormatting sqref="S574">
    <cfRule type="duplicateValues" dxfId="401" priority="45"/>
  </conditionalFormatting>
  <conditionalFormatting sqref="S348:U352">
    <cfRule type="expression" dxfId="400" priority="683">
      <formula>$A348="Inactive"</formula>
    </cfRule>
  </conditionalFormatting>
  <conditionalFormatting sqref="S504:U504">
    <cfRule type="expression" dxfId="399" priority="334">
      <formula>$A504="Inactive"</formula>
    </cfRule>
  </conditionalFormatting>
  <conditionalFormatting sqref="S508:U508 W508">
    <cfRule type="expression" dxfId="398" priority="301">
      <formula>$A508="Inactive"</formula>
    </cfRule>
  </conditionalFormatting>
  <conditionalFormatting sqref="S574:U574 W574:AA574">
    <cfRule type="expression" dxfId="397" priority="41">
      <formula>$A574="Inactive"</formula>
    </cfRule>
  </conditionalFormatting>
  <conditionalFormatting sqref="S201:V203 S204:U204">
    <cfRule type="expression" dxfId="396" priority="806">
      <formula>$A201="Inactive"</formula>
    </cfRule>
  </conditionalFormatting>
  <conditionalFormatting sqref="S205:V215">
    <cfRule type="expression" dxfId="395" priority="800">
      <formula>$A205="Inactive"</formula>
    </cfRule>
  </conditionalFormatting>
  <conditionalFormatting sqref="S398:W399">
    <cfRule type="expression" dxfId="394" priority="571">
      <formula>$A398="Inactive"</formula>
    </cfRule>
  </conditionalFormatting>
  <conditionalFormatting sqref="S503:W503 Y503:Z504">
    <cfRule type="expression" dxfId="393" priority="331">
      <formula>$A503="Inactive"</formula>
    </cfRule>
  </conditionalFormatting>
  <conditionalFormatting sqref="S360:X361">
    <cfRule type="expression" dxfId="392" priority="658">
      <formula>$A360="Inactive"</formula>
    </cfRule>
  </conditionalFormatting>
  <conditionalFormatting sqref="S405:X406">
    <cfRule type="expression" dxfId="391" priority="555">
      <formula>$A405="Inactive"</formula>
    </cfRule>
  </conditionalFormatting>
  <conditionalFormatting sqref="S447:X450">
    <cfRule type="expression" dxfId="390" priority="477">
      <formula>$A447="Inactive"</formula>
    </cfRule>
  </conditionalFormatting>
  <conditionalFormatting sqref="S6:Y6 A67:C67">
    <cfRule type="expression" dxfId="389" priority="861">
      <formula>$A6="Inactive"</formula>
    </cfRule>
  </conditionalFormatting>
  <conditionalFormatting sqref="S353:Y353">
    <cfRule type="expression" dxfId="388" priority="674">
      <formula>$A353="Inactive"</formula>
    </cfRule>
  </conditionalFormatting>
  <conditionalFormatting sqref="S358:Y358">
    <cfRule type="expression" dxfId="387" priority="664">
      <formula>$A358="Inactive"</formula>
    </cfRule>
  </conditionalFormatting>
  <conditionalFormatting sqref="S359:Y359">
    <cfRule type="expression" dxfId="386" priority="660">
      <formula>$A359="Inactive"</formula>
    </cfRule>
  </conditionalFormatting>
  <conditionalFormatting sqref="S362:Y362 S363:X363">
    <cfRule type="expression" dxfId="385" priority="652">
      <formula>$A362="Inactive"</formula>
    </cfRule>
  </conditionalFormatting>
  <conditionalFormatting sqref="S364:Y367">
    <cfRule type="expression" dxfId="384" priority="653">
      <formula>$A364="Inactive"</formula>
    </cfRule>
  </conditionalFormatting>
  <conditionalFormatting sqref="S483:Y487">
    <cfRule type="expression" dxfId="383" priority="411">
      <formula>$A483="Inactive"</formula>
    </cfRule>
  </conditionalFormatting>
  <conditionalFormatting sqref="S7:Z200 W201:Z215 S216:Y216 W232:AA232">
    <cfRule type="expression" dxfId="382" priority="862">
      <formula>$A7="Inactive"</formula>
    </cfRule>
  </conditionalFormatting>
  <conditionalFormatting sqref="S420:Z420 S421:AA421 S432:AA434 A391:A406 Z406:AA406 AC406:AH406 A407:C407 S407:AA407 AD407:AI407 S408:X408 Z408:AA408 AD410:AI411 S414:U414 W414:AA414 A420:A430 T426:U427 W427:W428 S428:V428 W429:X431 S430:V431 S437:X437 Z437:AA438 S438:Y438 S439:AA440 AD440:AI440">
    <cfRule type="expression" dxfId="381" priority="574">
      <formula>$A391="Inactive"</formula>
    </cfRule>
  </conditionalFormatting>
  <conditionalFormatting sqref="S3:AA5">
    <cfRule type="expression" dxfId="380" priority="854">
      <formula>$A3="Inactive"</formula>
    </cfRule>
  </conditionalFormatting>
  <conditionalFormatting sqref="S217:AA231">
    <cfRule type="expression" dxfId="379" priority="793">
      <formula>$A217="Inactive"</formula>
    </cfRule>
  </conditionalFormatting>
  <conditionalFormatting sqref="S233:AA239">
    <cfRule type="expression" dxfId="378" priority="783">
      <formula>$A233="Inactive"</formula>
    </cfRule>
  </conditionalFormatting>
  <conditionalFormatting sqref="S386:AA388">
    <cfRule type="expression" dxfId="377" priority="603">
      <formula>$A386="Inactive"</formula>
    </cfRule>
  </conditionalFormatting>
  <conditionalFormatting sqref="S400:AA400">
    <cfRule type="expression" dxfId="376" priority="570">
      <formula>$A400="Inactive"</formula>
    </cfRule>
  </conditionalFormatting>
  <conditionalFormatting sqref="S409:AA413">
    <cfRule type="expression" dxfId="375" priority="553">
      <formula>$A409="Inactive"</formula>
    </cfRule>
  </conditionalFormatting>
  <conditionalFormatting sqref="S417:AA418 Q405:R414">
    <cfRule type="expression" dxfId="374" priority="548">
      <formula>$A405="Inactive"</formula>
    </cfRule>
  </conditionalFormatting>
  <conditionalFormatting sqref="S419:AA419">
    <cfRule type="expression" dxfId="373" priority="534">
      <formula>$A419="Inactive"</formula>
    </cfRule>
  </conditionalFormatting>
  <conditionalFormatting sqref="S422:AA425">
    <cfRule type="expression" dxfId="372" priority="527">
      <formula>$A422="Inactive"</formula>
    </cfRule>
  </conditionalFormatting>
  <conditionalFormatting sqref="S482:AA482">
    <cfRule type="expression" dxfId="371" priority="412">
      <formula>$A482="Inactive"</formula>
    </cfRule>
  </conditionalFormatting>
  <conditionalFormatting sqref="T6">
    <cfRule type="duplicateValues" dxfId="370" priority="858"/>
  </conditionalFormatting>
  <conditionalFormatting sqref="T310">
    <cfRule type="expression" dxfId="369" priority="731">
      <formula>#REF!="Inactive"</formula>
    </cfRule>
  </conditionalFormatting>
  <conditionalFormatting sqref="T342">
    <cfRule type="duplicateValues" dxfId="368" priority="702"/>
  </conditionalFormatting>
  <conditionalFormatting sqref="T344">
    <cfRule type="expression" dxfId="367" priority="693">
      <formula>$A342="Inactive"</formula>
    </cfRule>
  </conditionalFormatting>
  <conditionalFormatting sqref="T358">
    <cfRule type="duplicateValues" dxfId="366" priority="662"/>
  </conditionalFormatting>
  <conditionalFormatting sqref="T368">
    <cfRule type="duplicateValues" dxfId="365" priority="645"/>
  </conditionalFormatting>
  <conditionalFormatting sqref="T390">
    <cfRule type="duplicateValues" dxfId="364" priority="596"/>
  </conditionalFormatting>
  <conditionalFormatting sqref="T421">
    <cfRule type="duplicateValues" dxfId="363" priority="529"/>
    <cfRule type="duplicateValues" dxfId="362" priority="530"/>
  </conditionalFormatting>
  <conditionalFormatting sqref="T457">
    <cfRule type="expression" dxfId="361" priority="462">
      <formula>$A456="Inactive"</formula>
    </cfRule>
  </conditionalFormatting>
  <conditionalFormatting sqref="T458:T481">
    <cfRule type="expression" dxfId="360" priority="455">
      <formula>$A458="Inactive"</formula>
    </cfRule>
  </conditionalFormatting>
  <conditionalFormatting sqref="T506">
    <cfRule type="expression" dxfId="359" priority="319">
      <formula>$A506="Inactive"</formula>
    </cfRule>
  </conditionalFormatting>
  <conditionalFormatting sqref="T514:T527">
    <cfRule type="expression" dxfId="358" priority="277">
      <formula>$A514="Inactive"</formula>
    </cfRule>
  </conditionalFormatting>
  <conditionalFormatting sqref="T530:T531">
    <cfRule type="expression" dxfId="357" priority="230">
      <formula>$A534="Inactive"</formula>
    </cfRule>
  </conditionalFormatting>
  <conditionalFormatting sqref="T532:T535">
    <cfRule type="expression" dxfId="356" priority="212">
      <formula>$A532="Inactive"</formula>
    </cfRule>
  </conditionalFormatting>
  <conditionalFormatting sqref="T541:T543">
    <cfRule type="expression" dxfId="355" priority="186">
      <formula>$A540="Inactive"</formula>
    </cfRule>
  </conditionalFormatting>
  <conditionalFormatting sqref="T544:T547">
    <cfRule type="expression" dxfId="354" priority="169">
      <formula>$A544="Inactive"</formula>
    </cfRule>
  </conditionalFormatting>
  <conditionalFormatting sqref="T549:T554">
    <cfRule type="expression" dxfId="353" priority="152">
      <formula>$A549="Inactive"</formula>
    </cfRule>
  </conditionalFormatting>
  <conditionalFormatting sqref="T556:T557">
    <cfRule type="expression" dxfId="352" priority="117">
      <formula>$A556="Inactive"</formula>
    </cfRule>
  </conditionalFormatting>
  <conditionalFormatting sqref="T575:T592 X580:X582 F582:F585 J582:J585 D582:D592 P582:P592 AH582:AH592 X585:X591">
    <cfRule type="expression" dxfId="351" priority="18">
      <formula>$A575="Inactive"</formula>
    </cfRule>
  </conditionalFormatting>
  <conditionalFormatting sqref="T354:U354">
    <cfRule type="expression" dxfId="350" priority="678">
      <formula>$A354="Inactive"</formula>
    </cfRule>
  </conditionalFormatting>
  <conditionalFormatting sqref="T456:U456">
    <cfRule type="expression" dxfId="349" priority="465">
      <formula>$A456="Inactive"</formula>
    </cfRule>
  </conditionalFormatting>
  <conditionalFormatting sqref="T538:U539">
    <cfRule type="expression" dxfId="348" priority="196">
      <formula>$A538="Inactive"</formula>
    </cfRule>
  </conditionalFormatting>
  <conditionalFormatting sqref="T561:U562">
    <cfRule type="expression" dxfId="347" priority="89">
      <formula>$A561="Inactive"</formula>
    </cfRule>
  </conditionalFormatting>
  <conditionalFormatting sqref="T572:U572 N570:O570 S570:U570 W570:Y570 W571:W573 T573">
    <cfRule type="expression" dxfId="346" priority="56">
      <formula>$A570="Inactive"</formula>
    </cfRule>
  </conditionalFormatting>
  <conditionalFormatting sqref="T446:X446">
    <cfRule type="expression" dxfId="345" priority="478">
      <formula>$A446="Inactive"</formula>
    </cfRule>
  </conditionalFormatting>
  <conditionalFormatting sqref="U395">
    <cfRule type="expression" dxfId="344" priority="579">
      <formula>$A395="Inactive"</formula>
    </cfRule>
  </conditionalFormatting>
  <conditionalFormatting sqref="U482">
    <cfRule type="duplicateValues" dxfId="343" priority="415"/>
  </conditionalFormatting>
  <conditionalFormatting sqref="U500">
    <cfRule type="duplicateValues" dxfId="342" priority="375"/>
  </conditionalFormatting>
  <conditionalFormatting sqref="U503">
    <cfRule type="duplicateValues" dxfId="341" priority="340"/>
  </conditionalFormatting>
  <conditionalFormatting sqref="U504">
    <cfRule type="duplicateValues" dxfId="340" priority="335"/>
  </conditionalFormatting>
  <conditionalFormatting sqref="U507:U508">
    <cfRule type="duplicateValues" dxfId="339" priority="306"/>
  </conditionalFormatting>
  <conditionalFormatting sqref="U516">
    <cfRule type="duplicateValues" dxfId="338" priority="272"/>
  </conditionalFormatting>
  <conditionalFormatting sqref="U517">
    <cfRule type="expression" dxfId="337" priority="260">
      <formula>$A517="Inactive"</formula>
    </cfRule>
  </conditionalFormatting>
  <conditionalFormatting sqref="U517:U519">
    <cfRule type="duplicateValues" dxfId="336" priority="261"/>
  </conditionalFormatting>
  <conditionalFormatting sqref="U536:U537">
    <cfRule type="duplicateValues" dxfId="335" priority="198"/>
  </conditionalFormatting>
  <conditionalFormatting sqref="U538:U539 U520:U535">
    <cfRule type="duplicateValues" dxfId="334" priority="245"/>
  </conditionalFormatting>
  <conditionalFormatting sqref="U548">
    <cfRule type="duplicateValues" dxfId="333" priority="159"/>
  </conditionalFormatting>
  <conditionalFormatting sqref="U550:U551 U431:U444 U421:U429 U391:U417 U379:U389 U369:U377 U361:U367 U359 U343 U345:U357 U275:U340 U268:U273 U256:U266 U251:U254 U227:U249 U7:U225 U2:U5">
    <cfRule type="duplicateValues" dxfId="332" priority="866"/>
  </conditionalFormatting>
  <conditionalFormatting sqref="U555">
    <cfRule type="duplicateValues" dxfId="331" priority="128"/>
  </conditionalFormatting>
  <conditionalFormatting sqref="U557">
    <cfRule type="expression" dxfId="330" priority="113">
      <formula>$A557="Inactive"</formula>
    </cfRule>
    <cfRule type="duplicateValues" dxfId="329" priority="114"/>
  </conditionalFormatting>
  <conditionalFormatting sqref="U558">
    <cfRule type="duplicateValues" dxfId="328" priority="105"/>
  </conditionalFormatting>
  <conditionalFormatting sqref="U559">
    <cfRule type="duplicateValues" dxfId="327" priority="101"/>
  </conditionalFormatting>
  <conditionalFormatting sqref="U560:U562">
    <cfRule type="duplicateValues" dxfId="326" priority="97"/>
  </conditionalFormatting>
  <conditionalFormatting sqref="U570">
    <cfRule type="duplicateValues" dxfId="325" priority="58"/>
  </conditionalFormatting>
  <conditionalFormatting sqref="U572">
    <cfRule type="duplicateValues" dxfId="324" priority="53"/>
  </conditionalFormatting>
  <conditionalFormatting sqref="U574">
    <cfRule type="duplicateValues" dxfId="323" priority="44"/>
  </conditionalFormatting>
  <conditionalFormatting sqref="U457:V481">
    <cfRule type="expression" dxfId="322" priority="459">
      <formula>$A457="Inactive"</formula>
    </cfRule>
  </conditionalFormatting>
  <conditionalFormatting sqref="U516:V516">
    <cfRule type="expression" dxfId="321" priority="271">
      <formula>$A516="Inactive"</formula>
    </cfRule>
  </conditionalFormatting>
  <conditionalFormatting sqref="U518:V527">
    <cfRule type="expression" dxfId="320" priority="247">
      <formula>$A518="Inactive"</formula>
    </cfRule>
  </conditionalFormatting>
  <conditionalFormatting sqref="U351:Y352">
    <cfRule type="expression" dxfId="319" priority="685">
      <formula>$A351="Inactive"</formula>
    </cfRule>
  </conditionalFormatting>
  <conditionalFormatting sqref="U310:AA310">
    <cfRule type="expression" dxfId="318" priority="728">
      <formula>$A310="Inactive"</formula>
    </cfRule>
  </conditionalFormatting>
  <conditionalFormatting sqref="V204 AI414 B544:B552 B554:B562">
    <cfRule type="expression" dxfId="317" priority="804">
      <formula>$A206="Inactive"</formula>
    </cfRule>
  </conditionalFormatting>
  <conditionalFormatting sqref="V508:V513">
    <cfRule type="expression" dxfId="316" priority="297">
      <formula>$A508="Inactive"</formula>
    </cfRule>
  </conditionalFormatting>
  <conditionalFormatting sqref="V549">
    <cfRule type="expression" dxfId="315" priority="155">
      <formula>$A549="Inactive"</formula>
    </cfRule>
  </conditionalFormatting>
  <conditionalFormatting sqref="V344:AA344 Q344:Q345 AF344:AH345 E345 S345:AA345 AI440">
    <cfRule type="expression" dxfId="314" priority="695">
      <formula>$A342="Inactive"</formula>
    </cfRule>
  </conditionalFormatting>
  <conditionalFormatting sqref="W354">
    <cfRule type="expression" dxfId="313" priority="677">
      <formula>$A354="Inactive"</formula>
    </cfRule>
  </conditionalFormatting>
  <conditionalFormatting sqref="W456:W478">
    <cfRule type="expression" dxfId="312" priority="464">
      <formula>$A456="Inactive"</formula>
    </cfRule>
  </conditionalFormatting>
  <conditionalFormatting sqref="W504:W506">
    <cfRule type="expression" dxfId="311" priority="323">
      <formula>$A504="Inactive"</formula>
    </cfRule>
  </conditionalFormatting>
  <conditionalFormatting sqref="W514:W527">
    <cfRule type="expression" dxfId="310" priority="276">
      <formula>$A514="Inactive"</formula>
    </cfRule>
  </conditionalFormatting>
  <conditionalFormatting sqref="W530:W531">
    <cfRule type="expression" dxfId="309" priority="229">
      <formula>$A534="Inactive"</formula>
    </cfRule>
  </conditionalFormatting>
  <conditionalFormatting sqref="W541:W547">
    <cfRule type="expression" dxfId="308" priority="182">
      <formula>$A541="Inactive"</formula>
    </cfRule>
  </conditionalFormatting>
  <conditionalFormatting sqref="W556:W557">
    <cfRule type="expression" dxfId="307" priority="116">
      <formula>$A556="Inactive"</formula>
    </cfRule>
  </conditionalFormatting>
  <conditionalFormatting sqref="W549:X552">
    <cfRule type="expression" dxfId="306" priority="141">
      <formula>$A549="Inactive"</formula>
    </cfRule>
  </conditionalFormatting>
  <conditionalFormatting sqref="W426:Y426">
    <cfRule type="expression" dxfId="305" priority="519">
      <formula>$A426="Inactive"</formula>
    </cfRule>
  </conditionalFormatting>
  <conditionalFormatting sqref="W479:Y481">
    <cfRule type="expression" dxfId="304" priority="421">
      <formula>$A479="Inactive"</formula>
    </cfRule>
  </conditionalFormatting>
  <conditionalFormatting sqref="W553:Y554">
    <cfRule type="expression" dxfId="303" priority="132">
      <formula>$A553="Inactive"</formula>
    </cfRule>
  </conditionalFormatting>
  <conditionalFormatting sqref="W532:Z535">
    <cfRule type="expression" dxfId="302" priority="202">
      <formula>$A532="Inactive"</formula>
    </cfRule>
  </conditionalFormatting>
  <conditionalFormatting sqref="W540:Z540 B391 E489 E491:E493 E540 M540:N540 Q540 T540 AD540:AE540 AI540 C540:C545 D574">
    <cfRule type="expression" dxfId="301" priority="587">
      <formula>$A392="Inactive"</formula>
    </cfRule>
  </conditionalFormatting>
  <conditionalFormatting sqref="X456:X462">
    <cfRule type="expression" dxfId="300" priority="461">
      <formula>$A456="Inactive"</formula>
    </cfRule>
  </conditionalFormatting>
  <conditionalFormatting sqref="X463">
    <cfRule type="expression" dxfId="299" priority="451">
      <formula>$A462="Inactive"</formula>
    </cfRule>
  </conditionalFormatting>
  <conditionalFormatting sqref="X464:X478">
    <cfRule type="expression" dxfId="298" priority="446">
      <formula>$A464="Inactive"</formula>
    </cfRule>
  </conditionalFormatting>
  <conditionalFormatting sqref="X531">
    <cfRule type="expression" dxfId="297" priority="227">
      <formula>$A535="Inactive"</formula>
    </cfRule>
  </conditionalFormatting>
  <conditionalFormatting sqref="X576">
    <cfRule type="expression" dxfId="296" priority="33">
      <formula>$A576="Inactive"</formula>
    </cfRule>
  </conditionalFormatting>
  <conditionalFormatting sqref="X369:Y371">
    <cfRule type="expression" dxfId="295" priority="640">
      <formula>$A369="Inactive"</formula>
    </cfRule>
  </conditionalFormatting>
  <conditionalFormatting sqref="X517:Y527">
    <cfRule type="expression" dxfId="294" priority="256">
      <formula>$A517="Inactive"</formula>
    </cfRule>
  </conditionalFormatting>
  <conditionalFormatting sqref="X514:Z514">
    <cfRule type="expression" dxfId="293" priority="281">
      <formula>$A514="Inactive"</formula>
    </cfRule>
  </conditionalFormatting>
  <conditionalFormatting sqref="X515:Z516">
    <cfRule type="expression" dxfId="292" priority="278">
      <formula>$A515="Inactive"</formula>
    </cfRule>
  </conditionalFormatting>
  <conditionalFormatting sqref="X545:Z546">
    <cfRule type="expression" dxfId="291" priority="168">
      <formula>$A545="Inactive"</formula>
    </cfRule>
  </conditionalFormatting>
  <conditionalFormatting sqref="X375:AA376 X377:AB377">
    <cfRule type="expression" dxfId="290" priority="639">
      <formula>$A375="Inactive"</formula>
    </cfRule>
  </conditionalFormatting>
  <conditionalFormatting sqref="X378:AA383">
    <cfRule type="expression" dxfId="289" priority="633">
      <formula>$A378="Inactive"</formula>
    </cfRule>
  </conditionalFormatting>
  <conditionalFormatting sqref="X397:AA399">
    <cfRule type="expression" dxfId="288" priority="575">
      <formula>$A397="Inactive"</formula>
    </cfRule>
  </conditionalFormatting>
  <conditionalFormatting sqref="X428:AA428">
    <cfRule type="expression" dxfId="287" priority="513">
      <formula>$A428="Inactive"</formula>
    </cfRule>
  </conditionalFormatting>
  <conditionalFormatting sqref="Y6">
    <cfRule type="duplicateValues" dxfId="286" priority="860"/>
  </conditionalFormatting>
  <conditionalFormatting sqref="Y342">
    <cfRule type="duplicateValues" dxfId="285" priority="704"/>
  </conditionalFormatting>
  <conditionalFormatting sqref="Y354">
    <cfRule type="expression" dxfId="284" priority="676">
      <formula>$A354="Inactive"</formula>
    </cfRule>
  </conditionalFormatting>
  <conditionalFormatting sqref="Y358">
    <cfRule type="duplicateValues" dxfId="283" priority="663"/>
  </conditionalFormatting>
  <conditionalFormatting sqref="Y368">
    <cfRule type="duplicateValues" dxfId="282" priority="647"/>
  </conditionalFormatting>
  <conditionalFormatting sqref="Y390">
    <cfRule type="duplicateValues" dxfId="281" priority="598"/>
  </conditionalFormatting>
  <conditionalFormatting sqref="Y391:Y394">
    <cfRule type="duplicateValues" dxfId="280" priority="586"/>
  </conditionalFormatting>
  <conditionalFormatting sqref="Y401">
    <cfRule type="duplicateValues" dxfId="279" priority="567"/>
  </conditionalFormatting>
  <conditionalFormatting sqref="Y402">
    <cfRule type="duplicateValues" dxfId="278" priority="564"/>
  </conditionalFormatting>
  <conditionalFormatting sqref="Y405">
    <cfRule type="duplicateValues" dxfId="277" priority="556"/>
  </conditionalFormatting>
  <conditionalFormatting sqref="Y420">
    <cfRule type="duplicateValues" dxfId="276" priority="531"/>
  </conditionalFormatting>
  <conditionalFormatting sqref="Y425">
    <cfRule type="duplicateValues" dxfId="275" priority="522"/>
  </conditionalFormatting>
  <conditionalFormatting sqref="Y426">
    <cfRule type="duplicateValues" dxfId="274" priority="518"/>
  </conditionalFormatting>
  <conditionalFormatting sqref="Y427">
    <cfRule type="duplicateValues" dxfId="273" priority="516"/>
    <cfRule type="expression" dxfId="272" priority="517">
      <formula>$A427="Inactive"</formula>
    </cfRule>
  </conditionalFormatting>
  <conditionalFormatting sqref="Y429">
    <cfRule type="duplicateValues" dxfId="271" priority="509"/>
  </conditionalFormatting>
  <conditionalFormatting sqref="Y431">
    <cfRule type="duplicateValues" dxfId="270" priority="503"/>
  </conditionalFormatting>
  <conditionalFormatting sqref="Y432">
    <cfRule type="duplicateValues" dxfId="269" priority="500"/>
  </conditionalFormatting>
  <conditionalFormatting sqref="Y433">
    <cfRule type="duplicateValues" dxfId="268" priority="499"/>
  </conditionalFormatting>
  <conditionalFormatting sqref="Y441:Y448">
    <cfRule type="expression" dxfId="267" priority="490">
      <formula>$A441="Inactive"</formula>
    </cfRule>
  </conditionalFormatting>
  <conditionalFormatting sqref="Y450">
    <cfRule type="expression" dxfId="266" priority="474">
      <formula>$A450="Inactive"</formula>
    </cfRule>
  </conditionalFormatting>
  <conditionalFormatting sqref="Y458:Y478">
    <cfRule type="expression" dxfId="265" priority="456">
      <formula>$A458="Inactive"</formula>
    </cfRule>
  </conditionalFormatting>
  <conditionalFormatting sqref="Y484">
    <cfRule type="duplicateValues" dxfId="264" priority="407"/>
  </conditionalFormatting>
  <conditionalFormatting sqref="Y505:Y508">
    <cfRule type="expression" dxfId="263" priority="300">
      <formula>$A505="Inactive"</formula>
    </cfRule>
  </conditionalFormatting>
  <conditionalFormatting sqref="Y528">
    <cfRule type="duplicateValues" dxfId="262" priority="238"/>
  </conditionalFormatting>
  <conditionalFormatting sqref="Y541:Y544">
    <cfRule type="expression" dxfId="261" priority="184">
      <formula>$A542="Inactive"</formula>
    </cfRule>
  </conditionalFormatting>
  <conditionalFormatting sqref="Y549">
    <cfRule type="expression" dxfId="260" priority="154">
      <formula>$A549="Inactive"</formula>
    </cfRule>
  </conditionalFormatting>
  <conditionalFormatting sqref="Y567:Y569">
    <cfRule type="expression" dxfId="259" priority="70">
      <formula>$A567="Inactive"</formula>
    </cfRule>
  </conditionalFormatting>
  <conditionalFormatting sqref="Y579:Y580">
    <cfRule type="expression" dxfId="258" priority="25">
      <formula>$A579="Inactive"</formula>
    </cfRule>
  </conditionalFormatting>
  <conditionalFormatting sqref="Y585:Y592">
    <cfRule type="expression" dxfId="257" priority="6">
      <formula>$A585="Inactive"</formula>
    </cfRule>
  </conditionalFormatting>
  <conditionalFormatting sqref="Y513:Z513">
    <cfRule type="expression" dxfId="256" priority="283">
      <formula>$A513="Inactive"</formula>
    </cfRule>
  </conditionalFormatting>
  <conditionalFormatting sqref="Y530:Z531">
    <cfRule type="expression" dxfId="255" priority="223">
      <formula>$A530="Inactive"</formula>
    </cfRule>
  </conditionalFormatting>
  <conditionalFormatting sqref="Y547:Z547">
    <cfRule type="expression" dxfId="254" priority="164">
      <formula>$A547="Inactive"</formula>
    </cfRule>
  </conditionalFormatting>
  <conditionalFormatting sqref="Y556:Z557">
    <cfRule type="expression" dxfId="253" priority="109">
      <formula>$A556="Inactive"</formula>
    </cfRule>
  </conditionalFormatting>
  <conditionalFormatting sqref="Y566:Z566">
    <cfRule type="expression" dxfId="252" priority="76">
      <formula>$A566="Inactive"</formula>
    </cfRule>
  </conditionalFormatting>
  <conditionalFormatting sqref="Y405:AA405">
    <cfRule type="expression" dxfId="251" priority="557">
      <formula>$A405="Inactive"</formula>
    </cfRule>
  </conditionalFormatting>
  <conditionalFormatting sqref="Y429:AA429">
    <cfRule type="expression" dxfId="250" priority="510">
      <formula>$A429="Inactive"</formula>
    </cfRule>
  </conditionalFormatting>
  <conditionalFormatting sqref="Y430:AA431">
    <cfRule type="expression" dxfId="249" priority="501">
      <formula>$A430="Inactive"</formula>
    </cfRule>
  </conditionalFormatting>
  <conditionalFormatting sqref="Z6">
    <cfRule type="duplicateValues" dxfId="248" priority="859"/>
  </conditionalFormatting>
  <conditionalFormatting sqref="Z342">
    <cfRule type="duplicateValues" dxfId="247" priority="703"/>
  </conditionalFormatting>
  <conditionalFormatting sqref="Z351:Z367 Z369:AA374">
    <cfRule type="expression" dxfId="246" priority="682">
      <formula>$A351="Inactive"</formula>
    </cfRule>
  </conditionalFormatting>
  <conditionalFormatting sqref="Z368">
    <cfRule type="duplicateValues" dxfId="245" priority="646"/>
  </conditionalFormatting>
  <conditionalFormatting sqref="Z390">
    <cfRule type="duplicateValues" dxfId="244" priority="597"/>
  </conditionalFormatting>
  <conditionalFormatting sqref="Z420">
    <cfRule type="duplicateValues" dxfId="243" priority="532"/>
  </conditionalFormatting>
  <conditionalFormatting sqref="Z445:Z455">
    <cfRule type="expression" dxfId="242" priority="483">
      <formula>$A445="Inactive"</formula>
    </cfRule>
  </conditionalFormatting>
  <conditionalFormatting sqref="Z460:Z481">
    <cfRule type="expression" dxfId="241" priority="450">
      <formula>$A460="Inactive"</formula>
    </cfRule>
  </conditionalFormatting>
  <conditionalFormatting sqref="Z460:Z482 Z428:Z455 Z391:Z425 Z389 Y386:Z388 Z369:Z385 Z343:Z367 Z7:Z341 Z2:Z5">
    <cfRule type="duplicateValues" dxfId="240" priority="869"/>
  </conditionalFormatting>
  <conditionalFormatting sqref="Z483 Z485:Z488 A225:A236 S232:U232">
    <cfRule type="expression" dxfId="239" priority="788">
      <formula>$A225="Inactive"</formula>
    </cfRule>
  </conditionalFormatting>
  <conditionalFormatting sqref="Z484">
    <cfRule type="expression" dxfId="238" priority="404">
      <formula>$A484="Inactive"</formula>
    </cfRule>
    <cfRule type="duplicateValues" dxfId="237" priority="405"/>
  </conditionalFormatting>
  <conditionalFormatting sqref="Z485:Z488 Z483">
    <cfRule type="duplicateValues" dxfId="236" priority="419"/>
  </conditionalFormatting>
  <conditionalFormatting sqref="Z489:Z499">
    <cfRule type="duplicateValues" dxfId="235" priority="391"/>
  </conditionalFormatting>
  <conditionalFormatting sqref="Z500:Z501">
    <cfRule type="duplicateValues" dxfId="234" priority="376"/>
  </conditionalFormatting>
  <conditionalFormatting sqref="Z502">
    <cfRule type="duplicateValues" dxfId="233" priority="359"/>
    <cfRule type="expression" dxfId="232" priority="360">
      <formula>$A502="Inactive"</formula>
    </cfRule>
  </conditionalFormatting>
  <conditionalFormatting sqref="Z503">
    <cfRule type="duplicateValues" dxfId="231" priority="339"/>
  </conditionalFormatting>
  <conditionalFormatting sqref="Z504">
    <cfRule type="duplicateValues" dxfId="230" priority="342"/>
  </conditionalFormatting>
  <conditionalFormatting sqref="Z505">
    <cfRule type="duplicateValues" dxfId="229" priority="324"/>
  </conditionalFormatting>
  <conditionalFormatting sqref="Z505:Z507">
    <cfRule type="expression" dxfId="228" priority="325">
      <formula>$A505="Inactive"</formula>
    </cfRule>
  </conditionalFormatting>
  <conditionalFormatting sqref="Z506">
    <cfRule type="duplicateValues" dxfId="227" priority="322"/>
  </conditionalFormatting>
  <conditionalFormatting sqref="Z507:Z508">
    <cfRule type="duplicateValues" dxfId="226" priority="307"/>
  </conditionalFormatting>
  <conditionalFormatting sqref="Z513">
    <cfRule type="duplicateValues" dxfId="225" priority="284"/>
  </conditionalFormatting>
  <conditionalFormatting sqref="Z514:Z515">
    <cfRule type="duplicateValues" dxfId="224" priority="280"/>
  </conditionalFormatting>
  <conditionalFormatting sqref="Z516">
    <cfRule type="duplicateValues" dxfId="223" priority="270"/>
  </conditionalFormatting>
  <conditionalFormatting sqref="Z517">
    <cfRule type="duplicateValues" dxfId="222" priority="263"/>
    <cfRule type="expression" dxfId="221" priority="264">
      <formula>$A517="Inactive"</formula>
    </cfRule>
  </conditionalFormatting>
  <conditionalFormatting sqref="Z518:Z527">
    <cfRule type="expression" dxfId="220" priority="250">
      <formula>$A518="Inactive"</formula>
    </cfRule>
  </conditionalFormatting>
  <conditionalFormatting sqref="Z518:Z535">
    <cfRule type="duplicateValues" dxfId="219" priority="251"/>
  </conditionalFormatting>
  <conditionalFormatting sqref="Z536:Z543">
    <cfRule type="duplicateValues" dxfId="218" priority="200"/>
  </conditionalFormatting>
  <conditionalFormatting sqref="Z544">
    <cfRule type="duplicateValues" dxfId="217" priority="174"/>
    <cfRule type="expression" dxfId="216" priority="175">
      <formula>#REF!="Inactive"</formula>
    </cfRule>
  </conditionalFormatting>
  <conditionalFormatting sqref="Z545:Z547">
    <cfRule type="duplicateValues" dxfId="215" priority="172"/>
  </conditionalFormatting>
  <conditionalFormatting sqref="Z548">
    <cfRule type="duplicateValues" dxfId="214" priority="163"/>
  </conditionalFormatting>
  <conditionalFormatting sqref="Z549">
    <cfRule type="duplicateValues" dxfId="213" priority="149"/>
  </conditionalFormatting>
  <conditionalFormatting sqref="Z549:Z554">
    <cfRule type="expression" dxfId="212" priority="138">
      <formula>$A549="Inactive"</formula>
    </cfRule>
  </conditionalFormatting>
  <conditionalFormatting sqref="Z550:Z552">
    <cfRule type="duplicateValues" dxfId="211" priority="151"/>
  </conditionalFormatting>
  <conditionalFormatting sqref="Z553:Z554">
    <cfRule type="duplicateValues" dxfId="210" priority="139"/>
  </conditionalFormatting>
  <conditionalFormatting sqref="Z555:Z557">
    <cfRule type="duplicateValues" dxfId="209" priority="130"/>
  </conditionalFormatting>
  <conditionalFormatting sqref="Z556">
    <cfRule type="expression" dxfId="208" priority="78">
      <formula>$A556="Inactive"</formula>
    </cfRule>
  </conditionalFormatting>
  <conditionalFormatting sqref="Z558">
    <cfRule type="duplicateValues" dxfId="207" priority="108"/>
  </conditionalFormatting>
  <conditionalFormatting sqref="Z559">
    <cfRule type="duplicateValues" dxfId="206" priority="104"/>
  </conditionalFormatting>
  <conditionalFormatting sqref="Z560:Z562">
    <cfRule type="duplicateValues" dxfId="205" priority="100"/>
  </conditionalFormatting>
  <conditionalFormatting sqref="Z563:Z567">
    <cfRule type="duplicateValues" dxfId="204" priority="79"/>
  </conditionalFormatting>
  <conditionalFormatting sqref="Z567">
    <cfRule type="expression" dxfId="203" priority="69">
      <formula>$A567="Inactive"</formula>
    </cfRule>
  </conditionalFormatting>
  <conditionalFormatting sqref="Z569">
    <cfRule type="duplicateValues" dxfId="202" priority="65"/>
  </conditionalFormatting>
  <conditionalFormatting sqref="Z569:Z573">
    <cfRule type="expression" dxfId="201" priority="32">
      <formula>$A569="Inactive"</formula>
    </cfRule>
  </conditionalFormatting>
  <conditionalFormatting sqref="Z570">
    <cfRule type="duplicateValues" dxfId="200" priority="63"/>
  </conditionalFormatting>
  <conditionalFormatting sqref="Z571">
    <cfRule type="duplicateValues" dxfId="199" priority="52"/>
  </conditionalFormatting>
  <conditionalFormatting sqref="Z572">
    <cfRule type="duplicateValues" dxfId="198" priority="51"/>
  </conditionalFormatting>
  <conditionalFormatting sqref="Z573:Z581">
    <cfRule type="duplicateValues" dxfId="197" priority="43"/>
  </conditionalFormatting>
  <conditionalFormatting sqref="Z575:Z592">
    <cfRule type="expression" dxfId="196" priority="9">
      <formula>$A575="Inactive"</formula>
    </cfRule>
  </conditionalFormatting>
  <conditionalFormatting sqref="Z583">
    <cfRule type="duplicateValues" dxfId="195" priority="11"/>
  </conditionalFormatting>
  <conditionalFormatting sqref="Z584:Z592">
    <cfRule type="duplicateValues" dxfId="194" priority="10"/>
  </conditionalFormatting>
  <conditionalFormatting sqref="Z6:AA6">
    <cfRule type="expression" dxfId="193" priority="857">
      <formula>$A6="Inactive"</formula>
    </cfRule>
  </conditionalFormatting>
  <conditionalFormatting sqref="Z395:AA395 AC395:AH396">
    <cfRule type="expression" dxfId="192" priority="578">
      <formula>$A395="Inactive"</formula>
    </cfRule>
  </conditionalFormatting>
  <conditionalFormatting sqref="Z458:AA459">
    <cfRule type="expression" dxfId="191" priority="458">
      <formula>$A458="Inactive"</formula>
    </cfRule>
  </conditionalFormatting>
  <conditionalFormatting sqref="AA7:AA157">
    <cfRule type="expression" dxfId="190" priority="851">
      <formula>$A7="Inactive"</formula>
    </cfRule>
  </conditionalFormatting>
  <conditionalFormatting sqref="AA324">
    <cfRule type="duplicateValues" dxfId="189" priority="719"/>
  </conditionalFormatting>
  <conditionalFormatting sqref="AA351:AA353">
    <cfRule type="expression" dxfId="188" priority="681">
      <formula>$A351="Inactive"</formula>
    </cfRule>
  </conditionalFormatting>
  <conditionalFormatting sqref="AA355:AA367">
    <cfRule type="expression" dxfId="187" priority="675">
      <formula>$A355="Inactive"</formula>
    </cfRule>
  </conditionalFormatting>
  <conditionalFormatting sqref="AA396">
    <cfRule type="expression" dxfId="186" priority="581">
      <formula>$A396="Inactive"</formula>
    </cfRule>
  </conditionalFormatting>
  <conditionalFormatting sqref="AA418">
    <cfRule type="duplicateValues" dxfId="185" priority="540"/>
  </conditionalFormatting>
  <conditionalFormatting sqref="AA431:AA444 AA428:AA429 AA421:AA425 AA391:AA417 AA369:AA389 AA361:AA367 AA359 AA355:AA357 AA343:AA353 AA7:AA341 AA2:AA5">
    <cfRule type="duplicateValues" dxfId="184" priority="868"/>
  </conditionalFormatting>
  <conditionalFormatting sqref="AA445">
    <cfRule type="expression" dxfId="183" priority="485">
      <formula>$A445="Inactive"</formula>
    </cfRule>
  </conditionalFormatting>
  <conditionalFormatting sqref="AA447:AA455 AC451:AI457">
    <cfRule type="expression" dxfId="182" priority="476">
      <formula>$A447="Inactive"</formula>
    </cfRule>
  </conditionalFormatting>
  <conditionalFormatting sqref="AA481">
    <cfRule type="expression" dxfId="181" priority="425">
      <formula>$A481="Inactive"</formula>
    </cfRule>
    <cfRule type="duplicateValues" dxfId="180" priority="427"/>
  </conditionalFormatting>
  <conditionalFormatting sqref="AA482">
    <cfRule type="duplicateValues" dxfId="179" priority="418"/>
  </conditionalFormatting>
  <conditionalFormatting sqref="AA483:AA488">
    <cfRule type="expression" dxfId="178" priority="413">
      <formula>$A483="Inactive"</formula>
    </cfRule>
  </conditionalFormatting>
  <conditionalFormatting sqref="AA501">
    <cfRule type="expression" dxfId="177" priority="365">
      <formula>$A501="Inactive"</formula>
    </cfRule>
  </conditionalFormatting>
  <conditionalFormatting sqref="AA507:AA508">
    <cfRule type="duplicateValues" dxfId="176" priority="308"/>
  </conditionalFormatting>
  <conditionalFormatting sqref="AA548">
    <cfRule type="duplicateValues" dxfId="175" priority="162"/>
  </conditionalFormatting>
  <conditionalFormatting sqref="AA555">
    <cfRule type="duplicateValues" dxfId="174" priority="127"/>
  </conditionalFormatting>
  <conditionalFormatting sqref="AA558">
    <cfRule type="duplicateValues" dxfId="173" priority="107"/>
  </conditionalFormatting>
  <conditionalFormatting sqref="AA559">
    <cfRule type="duplicateValues" dxfId="172" priority="103"/>
  </conditionalFormatting>
  <conditionalFormatting sqref="AA560">
    <cfRule type="duplicateValues" dxfId="171" priority="99"/>
  </conditionalFormatting>
  <conditionalFormatting sqref="AA570 AC570:AI570">
    <cfRule type="expression" dxfId="170" priority="55">
      <formula>$A570="Inactive"</formula>
    </cfRule>
  </conditionalFormatting>
  <conditionalFormatting sqref="AA570">
    <cfRule type="duplicateValues" dxfId="169" priority="62"/>
  </conditionalFormatting>
  <conditionalFormatting sqref="AA574">
    <cfRule type="duplicateValues" dxfId="168" priority="42"/>
  </conditionalFormatting>
  <conditionalFormatting sqref="AA158:AH158">
    <cfRule type="expression" dxfId="167" priority="817">
      <formula>$A158="Inactive"</formula>
    </cfRule>
  </conditionalFormatting>
  <conditionalFormatting sqref="AA507:AH507 Z508:AH508">
    <cfRule type="expression" dxfId="166" priority="304">
      <formula>$A507="Inactive"</formula>
    </cfRule>
  </conditionalFormatting>
  <conditionalFormatting sqref="AA159:AI216">
    <cfRule type="expression" dxfId="165" priority="798">
      <formula>$A159="Inactive"</formula>
    </cfRule>
  </conditionalFormatting>
  <conditionalFormatting sqref="AB3:AB157">
    <cfRule type="expression" dxfId="164" priority="856">
      <formula>$A3="Inactive"</formula>
    </cfRule>
  </conditionalFormatting>
  <conditionalFormatting sqref="AB502">
    <cfRule type="duplicateValues" dxfId="163" priority="346"/>
  </conditionalFormatting>
  <conditionalFormatting sqref="AB577:AB592">
    <cfRule type="expression" dxfId="162" priority="4">
      <formula>$A577="Inactive"</formula>
    </cfRule>
  </conditionalFormatting>
  <conditionalFormatting sqref="AB356:AC356">
    <cfRule type="expression" dxfId="161" priority="668">
      <formula>$A356="Inactive"</formula>
    </cfRule>
  </conditionalFormatting>
  <conditionalFormatting sqref="AB217:AE262 AB357:AC367 AB268 AB299 AB301:AE318 AB320:AB321 AB323:AE334 AB335 AB338:AE341 AB369:AB378 AB380:AB383">
    <cfRule type="expression" dxfId="160" priority="801">
      <formula>$A217="Inactive"</formula>
    </cfRule>
  </conditionalFormatting>
  <conditionalFormatting sqref="AB269:AE298">
    <cfRule type="expression" dxfId="159" priority="746">
      <formula>$A269="Inactive"</formula>
    </cfRule>
  </conditionalFormatting>
  <conditionalFormatting sqref="AB490:AI497">
    <cfRule type="expression" dxfId="158" priority="380">
      <formula>$A490="Inactive"</formula>
    </cfRule>
  </conditionalFormatting>
  <conditionalFormatting sqref="AC368 AA368">
    <cfRule type="duplicateValues" dxfId="157" priority="644"/>
  </conditionalFormatting>
  <conditionalFormatting sqref="AC369:AC383 AC356:AC367">
    <cfRule type="duplicateValues" dxfId="156" priority="669"/>
  </conditionalFormatting>
  <conditionalFormatting sqref="AC390">
    <cfRule type="duplicateValues" dxfId="155" priority="592"/>
    <cfRule type="duplicateValues" dxfId="154" priority="593"/>
    <cfRule type="expression" dxfId="153" priority="594">
      <formula>$A390="Inactive"</formula>
    </cfRule>
    <cfRule type="duplicateValues" dxfId="152" priority="595"/>
  </conditionalFormatting>
  <conditionalFormatting sqref="AC419 AA419">
    <cfRule type="duplicateValues" dxfId="151" priority="536"/>
  </conditionalFormatting>
  <conditionalFormatting sqref="AC445 AF445:AH445">
    <cfRule type="expression" dxfId="150" priority="484">
      <formula>$A445="Inactive"</formula>
    </cfRule>
  </conditionalFormatting>
  <conditionalFormatting sqref="AC507:AC508">
    <cfRule type="duplicateValues" dxfId="149" priority="309"/>
  </conditionalFormatting>
  <conditionalFormatting sqref="AC548 AE548">
    <cfRule type="duplicateValues" dxfId="148" priority="158"/>
  </conditionalFormatting>
  <conditionalFormatting sqref="AC570">
    <cfRule type="duplicateValues" dxfId="147" priority="60"/>
  </conditionalFormatting>
  <conditionalFormatting sqref="AC263:AE263 AB264:AE266 AC267:AE268 AC299:AE300 AC319:AE322 AC335:AE337 AB343:AE355">
    <cfRule type="expression" dxfId="146" priority="766">
      <formula>$A263="Inactive"</formula>
    </cfRule>
  </conditionalFormatting>
  <conditionalFormatting sqref="AC43:AH65">
    <cfRule type="expression" dxfId="145" priority="840">
      <formula>$A43="Inactive"</formula>
    </cfRule>
  </conditionalFormatting>
  <conditionalFormatting sqref="AC441:AH441">
    <cfRule type="expression" dxfId="144" priority="493">
      <formula>$A441="Inactive"</formula>
    </cfRule>
  </conditionalFormatting>
  <conditionalFormatting sqref="AC467:AH467">
    <cfRule type="expression" dxfId="143" priority="445">
      <formula>$A467="Inactive"</formula>
    </cfRule>
  </conditionalFormatting>
  <conditionalFormatting sqref="AC471:AH471">
    <cfRule type="expression" dxfId="142" priority="443">
      <formula>$A471="Inactive"</formula>
    </cfRule>
  </conditionalFormatting>
  <conditionalFormatting sqref="AC3:AI10 AC11:AH12 AC13:AI16 AC17:AH18 AC19:AI19 AC20:AH20 AC27:AH27 AC40:AH41 AC42:AI42">
    <cfRule type="expression" dxfId="141" priority="852">
      <formula>$A3="Inactive"</formula>
    </cfRule>
  </conditionalFormatting>
  <conditionalFormatting sqref="AC21:AI22 AC23:AH23 AC24:AI26">
    <cfRule type="expression" dxfId="140" priority="849">
      <formula>$A21="Inactive"</formula>
    </cfRule>
  </conditionalFormatting>
  <conditionalFormatting sqref="AC28:AI39">
    <cfRule type="expression" dxfId="139" priority="845">
      <formula>$A28="Inactive"</formula>
    </cfRule>
  </conditionalFormatting>
  <conditionalFormatting sqref="AC66:AI72">
    <cfRule type="expression" dxfId="138" priority="834">
      <formula>$A66="Inactive"</formula>
    </cfRule>
  </conditionalFormatting>
  <conditionalFormatting sqref="AC95:AI101">
    <cfRule type="expression" dxfId="137" priority="827">
      <formula>$A95="Inactive"</formula>
    </cfRule>
  </conditionalFormatting>
  <conditionalFormatting sqref="AC103:AI109">
    <cfRule type="expression" dxfId="136" priority="826">
      <formula>$A103="Inactive"</formula>
    </cfRule>
  </conditionalFormatting>
  <conditionalFormatting sqref="AC146:AI157">
    <cfRule type="expression" dxfId="135" priority="820">
      <formula>$A146="Inactive"</formula>
    </cfRule>
  </conditionalFormatting>
  <conditionalFormatting sqref="AC342:AI342 AD464:AH466">
    <cfRule type="expression" dxfId="134" priority="698">
      <formula>$A342="Inactive"</formula>
    </cfRule>
  </conditionalFormatting>
  <conditionalFormatting sqref="AC408:AI409">
    <cfRule type="expression" dxfId="133" priority="549">
      <formula>$A408="Inactive"</formula>
    </cfRule>
  </conditionalFormatting>
  <conditionalFormatting sqref="AC416:AI417 B417:C417">
    <cfRule type="expression" dxfId="132" priority="541">
      <formula>$A416="Inactive"</formula>
    </cfRule>
  </conditionalFormatting>
  <conditionalFormatting sqref="AC419:AI422">
    <cfRule type="expression" dxfId="131" priority="528">
      <formula>$A419="Inactive"</formula>
    </cfRule>
  </conditionalFormatting>
  <conditionalFormatting sqref="AC428:AI428">
    <cfRule type="expression" dxfId="130" priority="512">
      <formula>$A428="Inactive"</formula>
    </cfRule>
  </conditionalFormatting>
  <conditionalFormatting sqref="AC430:AI431">
    <cfRule type="expression" dxfId="129" priority="502">
      <formula>$A430="Inactive"</formula>
    </cfRule>
  </conditionalFormatting>
  <conditionalFormatting sqref="AC435:AI439">
    <cfRule type="expression" dxfId="128" priority="494">
      <formula>$A435="Inactive"</formula>
    </cfRule>
  </conditionalFormatting>
  <conditionalFormatting sqref="AC482:AI484">
    <cfRule type="expression" dxfId="127" priority="406">
      <formula>$A482="Inactive"</formula>
    </cfRule>
  </conditionalFormatting>
  <conditionalFormatting sqref="AC489:AI489">
    <cfRule type="expression" dxfId="126" priority="387">
      <formula>$A489="Inactive"</formula>
    </cfRule>
  </conditionalFormatting>
  <conditionalFormatting sqref="AC498:AI499">
    <cfRule type="expression" dxfId="125" priority="377">
      <formula>$A498="Inactive"</formula>
    </cfRule>
  </conditionalFormatting>
  <conditionalFormatting sqref="AC548:AI548">
    <cfRule type="expression" dxfId="124" priority="157">
      <formula>$A548="Inactive"</formula>
    </cfRule>
  </conditionalFormatting>
  <conditionalFormatting sqref="AD386:AD388">
    <cfRule type="duplicateValues" dxfId="123" priority="613"/>
  </conditionalFormatting>
  <conditionalFormatting sqref="AD481">
    <cfRule type="duplicateValues" dxfId="122" priority="426"/>
    <cfRule type="expression" dxfId="121" priority="428">
      <formula>$A481="Inactive"</formula>
    </cfRule>
  </conditionalFormatting>
  <conditionalFormatting sqref="AD482">
    <cfRule type="duplicateValues" dxfId="120" priority="416"/>
  </conditionalFormatting>
  <conditionalFormatting sqref="AD503">
    <cfRule type="duplicateValues" dxfId="119" priority="338"/>
  </conditionalFormatting>
  <conditionalFormatting sqref="AD507:AD508 AB507:AB508">
    <cfRule type="duplicateValues" dxfId="118" priority="310"/>
  </conditionalFormatting>
  <conditionalFormatting sqref="AD548">
    <cfRule type="duplicateValues" dxfId="117" priority="160"/>
  </conditionalFormatting>
  <conditionalFormatting sqref="AD570">
    <cfRule type="duplicateValues" dxfId="116" priority="59"/>
  </conditionalFormatting>
  <conditionalFormatting sqref="AD574:AD575">
    <cfRule type="duplicateValues" dxfId="115" priority="40"/>
  </conditionalFormatting>
  <conditionalFormatting sqref="AD356:AE367 AD369:AI376 Y372 X373:Y374">
    <cfRule type="expression" dxfId="114" priority="659">
      <formula>$A356="Inactive"</formula>
    </cfRule>
  </conditionalFormatting>
  <conditionalFormatting sqref="AD386:AE388">
    <cfRule type="expression" dxfId="113" priority="611">
      <formula>$A386="Inactive"</formula>
    </cfRule>
  </conditionalFormatting>
  <conditionalFormatting sqref="AD445:AE450">
    <cfRule type="expression" dxfId="112" priority="482">
      <formula>$A445="Inactive"</formula>
    </cfRule>
  </conditionalFormatting>
  <conditionalFormatting sqref="AD500:AE500 AC501:AE501">
    <cfRule type="duplicateValues" dxfId="111" priority="373"/>
  </conditionalFormatting>
  <conditionalFormatting sqref="AD502:AE502">
    <cfRule type="duplicateValues" dxfId="110" priority="351"/>
    <cfRule type="expression" dxfId="109" priority="352">
      <formula>$A502="Inactive"</formula>
    </cfRule>
  </conditionalFormatting>
  <conditionalFormatting sqref="AD503:AE504">
    <cfRule type="expression" dxfId="108" priority="333">
      <formula>$A503="Inactive"</formula>
    </cfRule>
  </conditionalFormatting>
  <conditionalFormatting sqref="AD516:AE539 U530:V531">
    <cfRule type="expression" dxfId="107" priority="224">
      <formula>$A516="Inactive"</formula>
    </cfRule>
  </conditionalFormatting>
  <conditionalFormatting sqref="AD550:AE550 AD369:AD385 AB361:AB377 AB357:AB359 AB353:AB355 AB350:AB351 AB343:AB348 AB338 AB327:AB334 AB323 AB317:AB318 AB314:AB315 AB307:AB312 AB304 AB301:AB302 AB289:AB298 AB282:AB285 AB278:AB279 AB276 AB269:AB272 AB264:AB266 AB260:AB262 AB257:AB258 AB255 AB251 AB249 AB245:AB246 AB240:AB241 AB237:AB238 AB230:AB234 AB219:AB228 AB216:AB217 AB211:AB214 AD204:AD367 AB204:AB209">
    <cfRule type="duplicateValues" dxfId="106" priority="803"/>
  </conditionalFormatting>
  <conditionalFormatting sqref="AD550:AE551">
    <cfRule type="expression" dxfId="105" priority="147">
      <formula>$A550="Inactive"</formula>
    </cfRule>
  </conditionalFormatting>
  <conditionalFormatting sqref="AD551:AE551">
    <cfRule type="duplicateValues" dxfId="104" priority="148"/>
  </conditionalFormatting>
  <conditionalFormatting sqref="AD557:AE557">
    <cfRule type="expression" dxfId="103" priority="111">
      <formula>$A557="Inactive"</formula>
    </cfRule>
    <cfRule type="duplicateValues" dxfId="102" priority="112"/>
  </conditionalFormatting>
  <conditionalFormatting sqref="AD575:AE575">
    <cfRule type="expression" dxfId="101" priority="36">
      <formula>$A575="Inactive"</formula>
    </cfRule>
  </conditionalFormatting>
  <conditionalFormatting sqref="AD500:AF500 AC501:AI501">
    <cfRule type="expression" dxfId="100" priority="371">
      <formula>$A500="Inactive"</formula>
    </cfRule>
  </conditionalFormatting>
  <conditionalFormatting sqref="AD582:AF592">
    <cfRule type="expression" dxfId="99" priority="5">
      <formula>$A582="Inactive"</formula>
    </cfRule>
  </conditionalFormatting>
  <conditionalFormatting sqref="AD377:AH381 AD382:AI383 S384:AE385">
    <cfRule type="expression" dxfId="98" priority="635">
      <formula>$A377="Inactive"</formula>
    </cfRule>
  </conditionalFormatting>
  <conditionalFormatting sqref="AD389:AH394">
    <cfRule type="expression" dxfId="97" priority="591">
      <formula>$A389="Inactive"</formula>
    </cfRule>
  </conditionalFormatting>
  <conditionalFormatting sqref="AD405:AH405">
    <cfRule type="expression" dxfId="96" priority="554">
      <formula>$A405="Inactive"</formula>
    </cfRule>
  </conditionalFormatting>
  <conditionalFormatting sqref="AD468:AH470">
    <cfRule type="expression" dxfId="95" priority="448">
      <formula>$A468="Inactive"</formula>
    </cfRule>
  </conditionalFormatting>
  <conditionalFormatting sqref="AD472:AH472">
    <cfRule type="expression" dxfId="94" priority="442">
      <formula>$A472="Inactive"</formula>
    </cfRule>
  </conditionalFormatting>
  <conditionalFormatting sqref="AD574:AH574">
    <cfRule type="expression" dxfId="93" priority="38">
      <formula>$A574="Inactive"</formula>
    </cfRule>
  </conditionalFormatting>
  <conditionalFormatting sqref="AD397:AI397">
    <cfRule type="expression" dxfId="92" priority="576">
      <formula>$A397="Inactive"</formula>
    </cfRule>
  </conditionalFormatting>
  <conditionalFormatting sqref="AD402:AI404">
    <cfRule type="expression" dxfId="91" priority="560">
      <formula>$A402="Inactive"</formula>
    </cfRule>
  </conditionalFormatting>
  <conditionalFormatting sqref="AD414:AI415">
    <cfRule type="expression" dxfId="90" priority="543">
      <formula>$A414="Inactive"</formula>
    </cfRule>
  </conditionalFormatting>
  <conditionalFormatting sqref="AD418:AI418">
    <cfRule type="expression" dxfId="89" priority="538">
      <formula>$A418="Inactive"</formula>
    </cfRule>
  </conditionalFormatting>
  <conditionalFormatting sqref="AD423:AI425">
    <cfRule type="expression" dxfId="88" priority="521">
      <formula>$A423="Inactive"</formula>
    </cfRule>
  </conditionalFormatting>
  <conditionalFormatting sqref="AD429:AI429">
    <cfRule type="expression" dxfId="87" priority="508">
      <formula>$A429="Inactive"</formula>
    </cfRule>
  </conditionalFormatting>
  <conditionalFormatting sqref="AD485:AI488">
    <cfRule type="expression" dxfId="86" priority="393">
      <formula>$A485="Inactive"</formula>
    </cfRule>
  </conditionalFormatting>
  <conditionalFormatting sqref="AE219">
    <cfRule type="duplicateValues" dxfId="85" priority="790"/>
  </conditionalFormatting>
  <conditionalFormatting sqref="AE369:AE385 AE204:AE367 AC204:AC355">
    <cfRule type="duplicateValues" dxfId="84" priority="802"/>
  </conditionalFormatting>
  <conditionalFormatting sqref="AE379">
    <cfRule type="duplicateValues" dxfId="83" priority="632"/>
  </conditionalFormatting>
  <conditionalFormatting sqref="AE380">
    <cfRule type="duplicateValues" dxfId="82" priority="627"/>
  </conditionalFormatting>
  <conditionalFormatting sqref="AE381">
    <cfRule type="duplicateValues" dxfId="81" priority="626"/>
  </conditionalFormatting>
  <conditionalFormatting sqref="AE382">
    <cfRule type="duplicateValues" dxfId="80" priority="622"/>
  </conditionalFormatting>
  <conditionalFormatting sqref="AE383:AE385">
    <cfRule type="duplicateValues" dxfId="79" priority="621"/>
  </conditionalFormatting>
  <conditionalFormatting sqref="AE384">
    <cfRule type="duplicateValues" dxfId="78" priority="619"/>
  </conditionalFormatting>
  <conditionalFormatting sqref="AE385">
    <cfRule type="duplicateValues" dxfId="77" priority="620"/>
  </conditionalFormatting>
  <conditionalFormatting sqref="AE386:AE388">
    <cfRule type="duplicateValues" dxfId="76" priority="606"/>
    <cfRule type="duplicateValues" dxfId="75" priority="607"/>
    <cfRule type="duplicateValues" dxfId="74" priority="608"/>
    <cfRule type="duplicateValues" dxfId="73" priority="609"/>
    <cfRule type="duplicateValues" dxfId="72" priority="610"/>
    <cfRule type="duplicateValues" dxfId="71" priority="612"/>
  </conditionalFormatting>
  <conditionalFormatting sqref="AE387">
    <cfRule type="duplicateValues" dxfId="70" priority="605"/>
  </conditionalFormatting>
  <conditionalFormatting sqref="AE388">
    <cfRule type="duplicateValues" dxfId="69" priority="604"/>
  </conditionalFormatting>
  <conditionalFormatting sqref="AE482 AC482">
    <cfRule type="duplicateValues" dxfId="68" priority="414"/>
  </conditionalFormatting>
  <conditionalFormatting sqref="AE503">
    <cfRule type="duplicateValues" dxfId="67" priority="337"/>
  </conditionalFormatting>
  <conditionalFormatting sqref="AE507:AE508">
    <cfRule type="duplicateValues" dxfId="66" priority="303"/>
    <cfRule type="duplicateValues" dxfId="65" priority="311"/>
  </conditionalFormatting>
  <conditionalFormatting sqref="AE508">
    <cfRule type="duplicateValues" dxfId="64" priority="299"/>
  </conditionalFormatting>
  <conditionalFormatting sqref="AE553">
    <cfRule type="duplicateValues" dxfId="63" priority="83"/>
    <cfRule type="expression" dxfId="62" priority="84">
      <formula>$A553="Inactive"</formula>
    </cfRule>
    <cfRule type="duplicateValues" dxfId="61" priority="85"/>
  </conditionalFormatting>
  <conditionalFormatting sqref="AE570">
    <cfRule type="duplicateValues" dxfId="60" priority="57"/>
  </conditionalFormatting>
  <conditionalFormatting sqref="AE574:AE575">
    <cfRule type="duplicateValues" dxfId="59" priority="39"/>
  </conditionalFormatting>
  <conditionalFormatting sqref="AE500:AF500 AD501:AE501">
    <cfRule type="duplicateValues" dxfId="58" priority="366"/>
    <cfRule type="duplicateValues" dxfId="57" priority="367"/>
    <cfRule type="duplicateValues" dxfId="56" priority="368"/>
    <cfRule type="duplicateValues" dxfId="55" priority="369"/>
    <cfRule type="duplicateValues" dxfId="54" priority="370"/>
    <cfRule type="duplicateValues" dxfId="53" priority="372"/>
  </conditionalFormatting>
  <conditionalFormatting sqref="AE481:AI481">
    <cfRule type="expression" dxfId="52" priority="424">
      <formula>$A481="Inactive"</formula>
    </cfRule>
  </conditionalFormatting>
  <conditionalFormatting sqref="AF502">
    <cfRule type="duplicateValues" dxfId="51" priority="353"/>
    <cfRule type="duplicateValues" dxfId="50" priority="354"/>
    <cfRule type="duplicateValues" dxfId="49" priority="355"/>
    <cfRule type="duplicateValues" dxfId="48" priority="356"/>
    <cfRule type="duplicateValues" dxfId="47" priority="357"/>
    <cfRule type="duplicateValues" dxfId="46" priority="358"/>
  </conditionalFormatting>
  <conditionalFormatting sqref="AF362:AG365 AC369:AC383">
    <cfRule type="expression" dxfId="45" priority="657">
      <formula>$A362="Inactive"</formula>
    </cfRule>
  </conditionalFormatting>
  <conditionalFormatting sqref="AF353:AH353">
    <cfRule type="expression" dxfId="44" priority="672">
      <formula>$A353="Inactive"</formula>
    </cfRule>
  </conditionalFormatting>
  <conditionalFormatting sqref="AF355:AH355">
    <cfRule type="expression" dxfId="43" priority="670">
      <formula>$A355="Inactive"</formula>
    </cfRule>
  </conditionalFormatting>
  <conditionalFormatting sqref="AF366:AH367">
    <cfRule type="expression" dxfId="42" priority="650">
      <formula>$A366="Inactive"</formula>
    </cfRule>
  </conditionalFormatting>
  <conditionalFormatting sqref="AF217:AI302">
    <cfRule type="expression" dxfId="41" priority="748">
      <formula>$A217="Inactive"</formula>
    </cfRule>
  </conditionalFormatting>
  <conditionalFormatting sqref="AF304:AI341">
    <cfRule type="expression" dxfId="40" priority="720">
      <formula>$A304="Inactive"</formula>
    </cfRule>
  </conditionalFormatting>
  <conditionalFormatting sqref="AF346:AI352">
    <cfRule type="expression" dxfId="39" priority="680">
      <formula>$A346="Inactive"</formula>
    </cfRule>
  </conditionalFormatting>
  <conditionalFormatting sqref="AF356:AI361">
    <cfRule type="expression" dxfId="38" priority="654">
      <formula>$A356="Inactive"</formula>
    </cfRule>
  </conditionalFormatting>
  <conditionalFormatting sqref="AF384:AI388">
    <cfRule type="expression" dxfId="37" priority="615">
      <formula>$A384="Inactive"</formula>
    </cfRule>
  </conditionalFormatting>
  <conditionalFormatting sqref="AF426:AI427 AD458:AI461 AD462:AH462 AD463:AI463 AD474:AI480">
    <cfRule type="expression" dxfId="36" priority="515">
      <formula>$A426="Inactive"</formula>
    </cfRule>
  </conditionalFormatting>
  <conditionalFormatting sqref="AF446:AI450">
    <cfRule type="expression" dxfId="35" priority="475">
      <formula>$A446="Inactive"</formula>
    </cfRule>
  </conditionalFormatting>
  <conditionalFormatting sqref="AF502:AI502">
    <cfRule type="expression" dxfId="34" priority="344">
      <formula>$A502="Inactive"</formula>
    </cfRule>
  </conditionalFormatting>
  <conditionalFormatting sqref="AG500:AI500">
    <cfRule type="expression" dxfId="33" priority="363">
      <formula>$A500="Inactive"</formula>
    </cfRule>
  </conditionalFormatting>
  <conditionalFormatting sqref="AH553">
    <cfRule type="expression" dxfId="32" priority="82">
      <formula>$A553="Inactive"</formula>
    </cfRule>
  </conditionalFormatting>
  <conditionalFormatting sqref="AI43">
    <cfRule type="expression" dxfId="31" priority="841">
      <formula>$A43="Inactive"</formula>
    </cfRule>
  </conditionalFormatting>
  <conditionalFormatting sqref="AI45:AI49 AI51 AC73:AH79 AC80:AI89 AC90:AH94 AC102:AH102 AC110:AH112 AC113:AI121 AC122:AH123 AC124:AI131 AC132:AH132 AC133:AI140 AC141:AH142 AC143:AI143 AC144:AH145">
    <cfRule type="expression" dxfId="30" priority="843">
      <formula>$A45="Inactive"</formula>
    </cfRule>
  </conditionalFormatting>
  <conditionalFormatting sqref="AI54:AI57">
    <cfRule type="expression" dxfId="29" priority="837">
      <formula>$A54="Inactive"</formula>
    </cfRule>
  </conditionalFormatting>
  <conditionalFormatting sqref="AI59:AI65">
    <cfRule type="expression" dxfId="28" priority="835">
      <formula>$A59="Inactive"</formula>
    </cfRule>
  </conditionalFormatting>
  <conditionalFormatting sqref="AI75">
    <cfRule type="expression" dxfId="27" priority="830">
      <formula>$A75="Inactive"</formula>
    </cfRule>
  </conditionalFormatting>
  <conditionalFormatting sqref="AI77">
    <cfRule type="expression" dxfId="26" priority="831">
      <formula>$A77="Inactive"</formula>
    </cfRule>
  </conditionalFormatting>
  <conditionalFormatting sqref="AI79">
    <cfRule type="expression" dxfId="25" priority="832">
      <formula>$A79="Inactive"</formula>
    </cfRule>
  </conditionalFormatting>
  <conditionalFormatting sqref="AI90:AI91">
    <cfRule type="expression" dxfId="24" priority="829">
      <formula>$A90="Inactive"</formula>
    </cfRule>
  </conditionalFormatting>
  <conditionalFormatting sqref="AI93">
    <cfRule type="expression" dxfId="23" priority="828">
      <formula>$A93="Inactive"</formula>
    </cfRule>
  </conditionalFormatting>
  <conditionalFormatting sqref="AI111">
    <cfRule type="expression" dxfId="22" priority="824">
      <formula>$A111="Inactive"</formula>
    </cfRule>
  </conditionalFormatting>
  <conditionalFormatting sqref="AI123">
    <cfRule type="expression" dxfId="21" priority="822">
      <formula>$A123="Inactive"</formula>
    </cfRule>
  </conditionalFormatting>
  <conditionalFormatting sqref="AI343:AI345">
    <cfRule type="expression" dxfId="20" priority="689">
      <formula>$A343="Inactive"</formula>
    </cfRule>
  </conditionalFormatting>
  <conditionalFormatting sqref="AI353:AI355 AI405:AI406">
    <cfRule type="expression" dxfId="19" priority="671">
      <formula>$A353="Inactive"</formula>
    </cfRule>
  </conditionalFormatting>
  <conditionalFormatting sqref="AI362:AI367">
    <cfRule type="expression" dxfId="18" priority="649">
      <formula>$A362="Inactive"</formula>
    </cfRule>
  </conditionalFormatting>
  <conditionalFormatting sqref="AI377:AI378">
    <cfRule type="expression" dxfId="17" priority="629">
      <formula>$A377="Inactive"</formula>
    </cfRule>
  </conditionalFormatting>
  <conditionalFormatting sqref="AI381">
    <cfRule type="expression" dxfId="16" priority="623">
      <formula>$A381="Inactive"</formula>
    </cfRule>
  </conditionalFormatting>
  <conditionalFormatting sqref="AI389:AI396 AC398:AI401 AC412:AI413 AD432:AI434 AI441:AI445 AI464:AI473">
    <cfRule type="expression" dxfId="15" priority="684">
      <formula>$A389="Inactive"</formula>
    </cfRule>
  </conditionalFormatting>
  <conditionalFormatting sqref="AI503:AI510">
    <cfRule type="expression" dxfId="14" priority="289">
      <formula>$A503="Inactive"</formula>
    </cfRule>
  </conditionalFormatting>
  <conditionalFormatting sqref="AI512:AI514">
    <cfRule type="expression" dxfId="13" priority="282">
      <formula>$A512="Inactive"</formula>
    </cfRule>
  </conditionalFormatting>
  <conditionalFormatting sqref="AI516:AI539">
    <cfRule type="expression" dxfId="12" priority="190">
      <formula>$A516="Inactive"</formula>
    </cfRule>
  </conditionalFormatting>
  <conditionalFormatting sqref="AI523">
    <cfRule type="expression" dxfId="11" priority="241">
      <formula>$A504="Inactive"</formula>
    </cfRule>
  </conditionalFormatting>
  <conditionalFormatting sqref="AI528">
    <cfRule type="expression" dxfId="10" priority="237">
      <formula>$A509="Inactive"</formula>
    </cfRule>
  </conditionalFormatting>
  <conditionalFormatting sqref="AI541:AI547">
    <cfRule type="expression" dxfId="9" priority="176">
      <formula>$A541="Inactive"</formula>
    </cfRule>
  </conditionalFormatting>
  <conditionalFormatting sqref="AI549:AI554">
    <cfRule type="expression" dxfId="8" priority="131">
      <formula>$A549="Inactive"</formula>
    </cfRule>
  </conditionalFormatting>
  <conditionalFormatting sqref="AI556:AI557">
    <cfRule type="expression" dxfId="7" priority="87">
      <formula>$A556="Inactive"</formula>
    </cfRule>
  </conditionalFormatting>
  <conditionalFormatting sqref="AI561:AI569">
    <cfRule type="expression" dxfId="6" priority="67">
      <formula>$A561="Inactive"</formula>
    </cfRule>
  </conditionalFormatting>
  <conditionalFormatting sqref="AI571:AI582 W575:W584 E582 G582 I582 K582 O582 S582 U582 Y582 AA582 AC582 AG582 E584 O584 AA584 AC584 AG584 G584:G585 K584:K585 S584:S585 U584:U585 O586:O592 AA586:AA592 AC586:AC592 AG586:AG592">
    <cfRule type="expression" dxfId="5" priority="19">
      <formula>$A571="Inactive"</formula>
    </cfRule>
  </conditionalFormatting>
  <conditionalFormatting sqref="AI584:AI592">
    <cfRule type="expression" dxfId="4" priority="12">
      <formula>$A584="Inactive"</formula>
    </cfRule>
  </conditionalFormatting>
  <conditionalFormatting sqref="K2">
    <cfRule type="expression" dxfId="3" priority="3">
      <formula>$A2="Inactive"</formula>
    </cfRule>
  </conditionalFormatting>
  <conditionalFormatting sqref="C585:C592">
    <cfRule type="expression" dxfId="2" priority="2">
      <formula>$A584="Inactive"</formula>
    </cfRule>
  </conditionalFormatting>
  <conditionalFormatting sqref="C585:C592">
    <cfRule type="expression" dxfId="1" priority="1">
      <formula>$A585="Inactive"</formula>
    </cfRule>
  </conditionalFormatting>
  <dataValidations count="1">
    <dataValidation type="list" allowBlank="1" showInputMessage="1" showErrorMessage="1" sqref="W2:W347 W357:W371 W374 W376:W377 W379:W402 W405:W417 W419 W421:W422 W426 W428 W430:W431 W435:W440 W443:W477 W479:W506 W509:W520 W523:W524 W526:W541 W543:W547 W549 W555 W557:W566 W568:W569 W585:W592 W574:W583" xr:uid="{DD5FEBE2-42DD-4C9B-984E-2E8B7FC58281}">
      <formula1>"Full time, Part time"</formula1>
    </dataValidation>
  </dataValidations>
  <hyperlinks>
    <hyperlink ref="AB15" r:id="rId1" xr:uid="{03B750A0-2697-44A9-8102-A48284CC68F9}"/>
    <hyperlink ref="AB186" r:id="rId2" xr:uid="{58474B7F-77AE-4A44-B882-2F0C63EDA347}"/>
    <hyperlink ref="AB196" r:id="rId3" xr:uid="{4275E539-8322-4BA2-8109-621C22C054CF}"/>
    <hyperlink ref="AC202" r:id="rId4" xr:uid="{58C8EF02-6417-4714-BDE7-5BEE32B7AE67}"/>
    <hyperlink ref="AB207" r:id="rId5" xr:uid="{9CC97267-E37E-4534-997D-053772DB8058}"/>
    <hyperlink ref="AB208" r:id="rId6" xr:uid="{D5E45465-5D05-428C-A98E-6484AD5D097D}"/>
    <hyperlink ref="AB209" r:id="rId7" xr:uid="{D4D23D75-EBB3-4B66-B779-EE7ABA994592}"/>
    <hyperlink ref="AB212" r:id="rId8" xr:uid="{D77FBF39-806A-4683-B1EB-1C61E52E6301}"/>
    <hyperlink ref="AB213" r:id="rId9" xr:uid="{92C25CB3-7994-4118-822B-402D42BCE826}"/>
    <hyperlink ref="AB214" r:id="rId10" xr:uid="{9997BD8B-AFE5-4930-97FF-15376712D307}"/>
    <hyperlink ref="AB216" r:id="rId11" xr:uid="{8A4542FB-1601-4C57-A94D-FAD717A3DA54}"/>
    <hyperlink ref="AC217" r:id="rId12" xr:uid="{8BB7636D-95BC-4A0C-9165-EC023029FA64}"/>
    <hyperlink ref="AB217" r:id="rId13" xr:uid="{17B70B35-3199-4555-8668-F50D6ABDE3BD}"/>
    <hyperlink ref="AB219" r:id="rId14" xr:uid="{6A08B984-9B96-431B-9615-91BB7F44B15D}"/>
    <hyperlink ref="AB220" r:id="rId15" xr:uid="{60EDF18C-FEAD-45F3-802E-C3F5B6CF3A95}"/>
    <hyperlink ref="AB221" r:id="rId16" xr:uid="{E29246C5-35B7-4168-A23E-45CC1BB56C12}"/>
    <hyperlink ref="AB222" r:id="rId17" xr:uid="{8A8FC04A-66EA-4485-B90F-FEF8F1D493D2}"/>
    <hyperlink ref="AB224" r:id="rId18" xr:uid="{F0BD2E2F-869F-42DD-AE9C-F099B43DBBC4}"/>
    <hyperlink ref="AB225" r:id="rId19" xr:uid="{721BF9D6-E647-4D4F-AA9E-9B93CBB62BA6}"/>
    <hyperlink ref="AC226" r:id="rId20" xr:uid="{07FD58D1-4901-4B4B-A551-032A8845FACF}"/>
    <hyperlink ref="AC227" r:id="rId21" xr:uid="{F6810E87-C7DD-4280-BABC-F87CCF6303F4}"/>
    <hyperlink ref="AB229" r:id="rId22" xr:uid="{D34F7E5D-8DCE-432B-9AB1-EE743EC5D401}"/>
    <hyperlink ref="AB230" r:id="rId23" xr:uid="{75E6BFF2-7195-4377-AD18-ED0FD3A52E70}"/>
    <hyperlink ref="AB231" r:id="rId24" xr:uid="{C5B7033D-94A7-47C2-9872-5049BDAD3D92}"/>
    <hyperlink ref="AB233" r:id="rId25" xr:uid="{5460336B-AFD2-463E-AF50-BDB176EE70EF}"/>
    <hyperlink ref="AB232" r:id="rId26" xr:uid="{30B45893-3D13-4EBA-9C68-C9EF79AB66AA}"/>
    <hyperlink ref="AB234" r:id="rId27" xr:uid="{C9AB4EB6-25F7-492B-A23C-688A6168EA33}"/>
    <hyperlink ref="AB237" r:id="rId28" xr:uid="{7E186217-013E-428C-AAC5-FA2508AC1FB4}"/>
    <hyperlink ref="AB238" r:id="rId29" xr:uid="{5E26FA64-9252-4C13-ADF4-72748B228897}"/>
    <hyperlink ref="AB241" r:id="rId30" xr:uid="{90CA061A-C17C-435F-BDBC-05D5A0549618}"/>
    <hyperlink ref="AB245" r:id="rId31" xr:uid="{86E13805-EC82-46C6-8F02-A0DC1AA67C0C}"/>
    <hyperlink ref="AB251" r:id="rId32" xr:uid="{EDCBBB96-4825-4B69-9BC4-AF3CAFBB9F1B}"/>
    <hyperlink ref="AB260" r:id="rId33" xr:uid="{10A88436-1412-4424-9D11-B2D3A55BEF84}"/>
    <hyperlink ref="AB261" r:id="rId34" xr:uid="{6E8CA30C-DC61-48C9-80C2-21FE2D3BCDDC}"/>
    <hyperlink ref="AB262" r:id="rId35" xr:uid="{2C19CCDA-61F2-4D48-BBA7-B273DA0064AA}"/>
    <hyperlink ref="AB265" r:id="rId36" xr:uid="{66354654-E88F-4F68-90B5-1DD2CB549ED9}"/>
    <hyperlink ref="AB271" r:id="rId37" xr:uid="{92F84A33-03B3-44D2-9EF8-94629BDD4E99}"/>
    <hyperlink ref="AB273" r:id="rId38" xr:uid="{B5901C3C-6708-471C-9C19-A4011C47D2CC}"/>
    <hyperlink ref="AB277" r:id="rId39" xr:uid="{2FE5227B-89E0-4D49-B9A0-4F100713CD76}"/>
    <hyperlink ref="AB281" r:id="rId40" xr:uid="{790C159B-97A1-4BBD-B140-0F46105AF229}"/>
    <hyperlink ref="AB282" r:id="rId41" xr:uid="{84AB62B3-163C-43AC-A573-45CF41995137}"/>
    <hyperlink ref="AB283" r:id="rId42" xr:uid="{B3B5FFF1-8FD5-4E79-9876-F04C79A2CFD3}"/>
    <hyperlink ref="AB284" r:id="rId43" xr:uid="{1555AA17-18F1-4445-A8D0-7577C48F9CE6}"/>
    <hyperlink ref="AB289" r:id="rId44" xr:uid="{5DBC4382-F31C-4073-8A7B-A1C3ADFCA89E}"/>
    <hyperlink ref="AB291" r:id="rId45" xr:uid="{4F947E70-9700-4A07-AF40-568DA40D74FA}"/>
    <hyperlink ref="AB295" r:id="rId46" xr:uid="{7708C714-CDF1-47A7-8140-16B64D2E7614}"/>
    <hyperlink ref="AB292" r:id="rId47" xr:uid="{D00BDEDC-8DCB-43FF-9CF9-FE15DBA6BF50}"/>
    <hyperlink ref="AB293" r:id="rId48" xr:uid="{AAACE0D9-F7CA-4D6B-8E4D-4FD91879927D}"/>
    <hyperlink ref="AB296" r:id="rId49" xr:uid="{9EACBEA2-4945-406E-98B6-D7F965A0C3B1}"/>
    <hyperlink ref="AB294" r:id="rId50" xr:uid="{BFD004C3-3D4A-4A56-8F09-8767A7CF245E}"/>
    <hyperlink ref="AB298" r:id="rId51" xr:uid="{CA80F703-B7B6-46D8-92F0-48281645F8D5}"/>
    <hyperlink ref="AB300" r:id="rId52" xr:uid="{38392409-888D-472B-8F50-FF0E08CE8CC7}"/>
    <hyperlink ref="AB301" r:id="rId53" xr:uid="{86FB05B2-C491-4CCC-A899-AFB7A1C1F966}"/>
    <hyperlink ref="AB303" r:id="rId54" xr:uid="{BEF106B4-C718-4920-A6B3-09547E16C540}"/>
    <hyperlink ref="AB304" r:id="rId55" xr:uid="{7E042290-1342-4B90-AF4E-88D18E5E82AB}"/>
    <hyperlink ref="AB307" r:id="rId56" xr:uid="{BE7AF98B-3B8B-471E-A742-44053B770BC9}"/>
    <hyperlink ref="AB312" r:id="rId57" display="mailto:sergey.kozhevnikov@pashapay.az" xr:uid="{ED36FE52-8894-4CD1-A553-D19C33C58FBE}"/>
    <hyperlink ref="AB315" r:id="rId58" xr:uid="{F1EDA27E-BD4D-476F-A425-EC8814FC3FE5}"/>
    <hyperlink ref="AB323" r:id="rId59" xr:uid="{6CF9BBC2-EA7D-4F5B-B792-C509C83D0953}"/>
    <hyperlink ref="AB325" r:id="rId60" xr:uid="{A4538A31-26EC-4B3A-B20D-8864674C303C}"/>
    <hyperlink ref="AB327" r:id="rId61" xr:uid="{3E2C4005-B4E9-49D6-AFC8-F3740988F484}"/>
    <hyperlink ref="AB328" r:id="rId62" xr:uid="{66C153EB-DB4C-498F-85B9-B1B66DC178D6}"/>
    <hyperlink ref="AB333" r:id="rId63" xr:uid="{25804FA1-A59D-4733-8CEA-4A007A9B334A}"/>
    <hyperlink ref="AB334" r:id="rId64" xr:uid="{DBBF28DD-4BD2-4E00-B6F7-D615C68799DC}"/>
    <hyperlink ref="AC337" r:id="rId65" xr:uid="{3D3963C7-C759-4ACA-A96A-F5567A02486E}"/>
    <hyperlink ref="AC338" r:id="rId66" xr:uid="{05D05147-5B93-429A-BA4B-477ECB6C3303}"/>
    <hyperlink ref="AC339" r:id="rId67" xr:uid="{120E1109-A989-4FE5-950E-4DF1A2F9EBB7}"/>
    <hyperlink ref="AC342" r:id="rId68" xr:uid="{98BA7AC3-5F56-4C52-BD2B-78ED73E0B2FA}"/>
    <hyperlink ref="AC343" r:id="rId69" xr:uid="{E697BCC0-E6DE-4CCB-AAA7-8BDFEC007FF2}"/>
    <hyperlink ref="AB346" r:id="rId70" display="mailto:hafiz.mammadov@pashapay.az" xr:uid="{360455DF-FF94-4B67-957E-9D30FDBA479E}"/>
    <hyperlink ref="AC346" r:id="rId71" display="mailto:hafizmammadov@outlook.com" xr:uid="{7F516D2C-8E86-4E2A-82F1-C91F35D20E8C}"/>
    <hyperlink ref="AC352" r:id="rId72" xr:uid="{CDAA430F-BE2E-4C74-959A-66A3EA3FF162}"/>
    <hyperlink ref="AC353" r:id="rId73" display="mailto:Ilahe.asad99@gmail.com" xr:uid="{CF086477-C56C-4878-801C-7CF50B134581}"/>
    <hyperlink ref="AC354" r:id="rId74" display="mailto:Bekirbekirov97@gmail.com" xr:uid="{D0125585-76FA-4A48-87E4-68EE535009DE}"/>
    <hyperlink ref="AC355" r:id="rId75" display="mailto:Talib.novruzov@internet.ru" xr:uid="{3F2EC9D4-CADA-4EDF-B425-A6DCC98CB05B}"/>
    <hyperlink ref="AC358" r:id="rId76" display="mailto:aliyataghiyeva@gmail.com" xr:uid="{B2C490BB-0ED7-434C-8803-556DD6673730}"/>
    <hyperlink ref="AC359" r:id="rId77" display="mailto:Leylaquliyeva0927@gmail.com" xr:uid="{1249311D-5DBC-4461-AB60-498A64A47078}"/>
    <hyperlink ref="AC360" r:id="rId78" display="mailto:Ferid.fm.memmedli@gmail.com" xr:uid="{B19AB027-81C2-4B0A-BE64-2E0D5D01AC6B}"/>
    <hyperlink ref="AC361" r:id="rId79" display="mailto:feridahmedov99@gmail.com" xr:uid="{909BD24D-47B6-4FD4-8181-EF6D96E27C79}"/>
    <hyperlink ref="AC363" r:id="rId80" display="mailto:gunduzbayramovfh@gmail.com" xr:uid="{7EB3A8D8-B90B-4635-A309-A07335177667}"/>
    <hyperlink ref="AB363" r:id="rId81" display="mailto:gunduz.bayramov@pashapay.az" xr:uid="{5F452169-53A5-4EF9-9822-EBF92FACB243}"/>
    <hyperlink ref="AC367" r:id="rId82" display="mailto:Farid.namazov@mail.ru" xr:uid="{57313A53-F043-433F-9F2C-BEDD802B6C2A}"/>
    <hyperlink ref="AB367" r:id="rId83" display="mailto:farid.namazov@pashapay.az" xr:uid="{F6D741A5-58CB-4C90-9A18-5B13DC15AE58}"/>
    <hyperlink ref="AB366" r:id="rId84" display="mailto:ibrahim.tacibov@pashapay.az" xr:uid="{9DA81974-D222-49C9-904E-C5A6B0FFC84F}"/>
    <hyperlink ref="AC366" r:id="rId85" display="mailto:eebra.t42@gmail.com" xr:uid="{055F4AFA-660D-4510-A4D2-882925454DAD}"/>
    <hyperlink ref="AB365" r:id="rId86" display="mailto:aylin.abdullayeva@pashapay.az" xr:uid="{77EAADB6-153D-4164-9871-9F5C21AFCB59}"/>
    <hyperlink ref="AC365" r:id="rId87" display="mailto:aylin.abdullayeva.2001@mail.ru" xr:uid="{26AD47C7-5144-4613-AB68-CCAD96FBA190}"/>
    <hyperlink ref="AC364" r:id="rId88" display="mailto:sadigibragimli@gmail.com" xr:uid="{AC7B7EA4-82DA-4859-8E36-A47C5910B7DE}"/>
    <hyperlink ref="AB364" r:id="rId89" display="mailto:sadig.ibrahimli@pashapay.az" xr:uid="{08559A3C-80B1-4D01-A8CB-2A5BA55B0DD7}"/>
    <hyperlink ref="AB362" r:id="rId90" display="mailto:farid.maharramov@pashapay.az" xr:uid="{2299E0C4-EF5C-4F5D-88ED-276A87FEBED8}"/>
    <hyperlink ref="AC362" r:id="rId91" display="mailto:fmaharramov14098@ada.edu.az" xr:uid="{54DF2428-B3C0-48ED-8666-AB75864A8C4E}"/>
    <hyperlink ref="AC368" r:id="rId92" display="mailto:qalibkh@gmail.com" xr:uid="{1A24FE59-7F13-4207-9277-9C0B8431951B}"/>
    <hyperlink ref="AC369" r:id="rId93" display="mailto:seyidcom2@gmail.com" xr:uid="{1B91BA03-5743-4D94-9C8C-42BF523EB962}"/>
    <hyperlink ref="AC370" r:id="rId94" display="mailto:adilmammadyarov@gmail.com" xr:uid="{B0F1BF12-2EE4-4108-BEA2-53CC29A89729}"/>
    <hyperlink ref="AC373" r:id="rId95" display="mailto:gulbaniz.f@gmail.com" xr:uid="{09114434-F1C5-4E77-B93E-F2A598386329}"/>
    <hyperlink ref="AC375" r:id="rId96" display="mailto:minaye.azizova@gmail.com" xr:uid="{943964C9-3CD9-4DEB-A0DC-CF90A7CCDE53}"/>
    <hyperlink ref="AC376" r:id="rId97" xr:uid="{C36F1378-4466-48C6-96B0-0ABB9F69881E}"/>
    <hyperlink ref="AB376" r:id="rId98" xr:uid="{5FF298D8-CF3F-4620-B21A-0C56744EDD71}"/>
    <hyperlink ref="AC383" r:id="rId99" display="mailto:aysuxalili@gmail.com" xr:uid="{E0FD8C68-6376-42D6-9152-C57175F20F02}"/>
    <hyperlink ref="AC388" r:id="rId100" display="mailto:rbayramova585@gmail.com" xr:uid="{582E59F9-FC21-449B-BD17-86D5DC13B689}"/>
    <hyperlink ref="AC387" r:id="rId101" display="mailto:ayyubovasaadat@gmail.com" xr:uid="{463158F5-0D94-4116-80CC-BD0C160B1C9A}"/>
    <hyperlink ref="AC390" r:id="rId102" xr:uid="{DD6A9F20-46A1-407D-9056-C0C81E029194}"/>
    <hyperlink ref="AC389" r:id="rId103" display="mailto:leyla.rzayeva.0111@mail.ru" xr:uid="{4243128A-BC9E-4B80-AC8A-600DAA43B410}"/>
    <hyperlink ref="AC391" r:id="rId104" display="mailto:hesenzade.nigar.f.@gmail.com" xr:uid="{B4C16483-EA17-4E8B-8CD1-4DCF90D18173}"/>
    <hyperlink ref="AC392" r:id="rId105" xr:uid="{506BCD25-3F16-4C2D-B612-A9AEFFE63FD6}"/>
    <hyperlink ref="AC394" r:id="rId106" display="mailto:rashad.h@pashapay.az" xr:uid="{D89A4190-FE39-4FAB-8F2B-0FEA8CC65224}"/>
    <hyperlink ref="AC393" r:id="rId107" display="mailto:aliyevaayten77@gmail.com" xr:uid="{1588B394-5621-44A3-9612-EBFB17278661}"/>
    <hyperlink ref="AC400" r:id="rId108" display="mailto:narmin.x.huseynova@gmail.com" xr:uid="{4C9CF0EC-1636-436E-A313-29DFB76684AD}"/>
    <hyperlink ref="AC402" r:id="rId109" display="mailto:nicatsuleymanov7@gmail.com" xr:uid="{F8B0FF9D-F215-4C84-AC8D-E4F3C5AAB920}"/>
    <hyperlink ref="AC403" r:id="rId110" display="mailto:tagievas96@mail.ru" xr:uid="{C537D62C-2DB1-4D83-92E4-54FE3D354BAF}"/>
    <hyperlink ref="AC404" r:id="rId111" xr:uid="{B4733942-82BB-4FE6-AD7F-09AC1E81E661}"/>
    <hyperlink ref="AC405" r:id="rId112" display="mailto:abbasovax813@gmail.com" xr:uid="{FC1B1BE8-5037-43E5-A082-E46A17E97FC3}"/>
    <hyperlink ref="AC406" r:id="rId113" xr:uid="{BB25C189-F598-4AAF-9E66-BE1C795EAE4E}"/>
    <hyperlink ref="AC407" r:id="rId114" display="mailto:mehdiyev.nagi@gmail.com" xr:uid="{2BC55843-ACB6-4F5A-8DAE-560B20D41E40}"/>
    <hyperlink ref="AC408" r:id="rId115" xr:uid="{3DB47466-499F-4D4E-AA06-2DA529928BC4}"/>
    <hyperlink ref="AC413" r:id="rId116" xr:uid="{47EA72A4-824E-462E-9DE7-72607636B00B}"/>
    <hyperlink ref="AC412" r:id="rId117" xr:uid="{A074CCD5-D9A6-4A1D-8DD5-273C7229469F}"/>
    <hyperlink ref="AC414" r:id="rId118" display="mailto:ibrahimovmehdi@gmail.com" xr:uid="{BB57D790-20D5-4D68-B0EA-42A9D6F4ED70}"/>
    <hyperlink ref="AC416" r:id="rId119" xr:uid="{3224EF67-B86E-4710-8DDA-3A9F5449B95E}"/>
    <hyperlink ref="AC418" r:id="rId120" xr:uid="{9111EF81-65A3-48F2-82E6-659365F37307}"/>
    <hyperlink ref="AC420" r:id="rId121" xr:uid="{F3DD643D-B472-41BB-8E61-23F6C47D063F}"/>
    <hyperlink ref="AC421" r:id="rId122" xr:uid="{F3E8EBC7-30A6-4A39-91D1-AF4A56CB8F4B}"/>
    <hyperlink ref="AC422" r:id="rId123" xr:uid="{5A309CB9-088C-4172-9987-4DDEF4EF0BFA}"/>
    <hyperlink ref="AC423" r:id="rId124" xr:uid="{3F17C70D-FC94-4C4C-BA04-21750B6E65DA}"/>
    <hyperlink ref="AC425" r:id="rId125" display="mailto:tanriverdiyevpunhan754@gmail.com" xr:uid="{1B393128-D846-408F-8AFF-C8B66390850D}"/>
    <hyperlink ref="AC426" r:id="rId126" xr:uid="{C50C967E-6C5C-46AD-AD14-98F84E07F21B}"/>
    <hyperlink ref="AC429" r:id="rId127" display="mailto:ayhanhuseynov27@gmail.com" xr:uid="{38459AA7-F2D5-4DF8-8DBB-229C3ACFEEF2}"/>
    <hyperlink ref="AC430" r:id="rId128" display="mailto:sanan.jafarli01@gmail.com" xr:uid="{E0AE4CC2-8389-4D10-851B-F2F7ABF17AC9}"/>
    <hyperlink ref="AC431" r:id="rId129" xr:uid="{E40B743F-921A-45E8-BB91-81B3CFAF7C24}"/>
    <hyperlink ref="AC432" r:id="rId130" display="mailto:aysunsuleymanova02@gmail.com" xr:uid="{2D96734C-CB05-47E9-909E-DB36C5DA8E88}"/>
    <hyperlink ref="AC433" r:id="rId131" display="mailto:Fidanbayramova@mail.ru" xr:uid="{8693DF7C-C099-4B85-A5C8-5DE92D01FC11}"/>
    <hyperlink ref="AC434" r:id="rId132" xr:uid="{A14862C2-1E01-4BC2-A73A-43E99888F095}"/>
    <hyperlink ref="AC439" r:id="rId133" display="mailto:axmedov.aqshin@mail.ru" xr:uid="{1A44C7F3-7E45-4FCF-8F3B-EE0ADCAA8BB0}"/>
    <hyperlink ref="AC438" r:id="rId134" xr:uid="{3D23311C-44B6-4414-AC43-45440315FE12}"/>
    <hyperlink ref="AC441" r:id="rId135" xr:uid="{6E91757C-15C7-48E9-8557-583BB0ACC93D}"/>
    <hyperlink ref="AC442" r:id="rId136" display="mailto:kamrandamir@gmail.com" xr:uid="{08B5BFCF-4ED6-4067-A502-7D5FB71ADDC8}"/>
    <hyperlink ref="AC443" r:id="rId137" display="mailto:ismayilovanrmin871@gmail.com" xr:uid="{D41592B2-CD66-4A65-A14D-B4D4F886FAB6}"/>
    <hyperlink ref="AC444" r:id="rId138" display="mailto:tarlanahmadkhanov@yahoo.com" xr:uid="{C923266C-5B7A-4337-AB22-BB0C467E8CE6}"/>
    <hyperlink ref="AC446" r:id="rId139" display="mailto:Mamedovmo-11@yandex.ru" xr:uid="{3B7F60D4-06AD-4BD0-AD26-88B67ADF5DA3}"/>
    <hyperlink ref="AC450" r:id="rId140" xr:uid="{9E6F5C5F-A962-4D81-BEB1-835C807E4270}"/>
    <hyperlink ref="AC451" r:id="rId141" display="mailto:lyaman.zeynalli08@gmail.com" xr:uid="{2780AD65-8FF7-4EFA-9A88-5AA8073CF956}"/>
    <hyperlink ref="AC452" r:id="rId142" xr:uid="{8A0E1F4F-6801-4E50-9F12-9B124EBE91F5}"/>
    <hyperlink ref="AC453" r:id="rId143" xr:uid="{18685E5C-308D-4200-B07C-B0C816CE14EB}"/>
    <hyperlink ref="AC454" r:id="rId144" xr:uid="{269F8919-A593-4BB1-B13F-A110E70619C7}"/>
    <hyperlink ref="AC458" r:id="rId145" display="mailto:mhuseynov2002@mail.ru" xr:uid="{D50093C2-308B-46FA-BED0-A53E0055468C}"/>
    <hyperlink ref="AC459" r:id="rId146" display="mailto:amiraliyevcavidan@gmail.com" xr:uid="{F23F0B17-E2E6-4C54-BF17-77D6910B57C2}"/>
    <hyperlink ref="AC461" r:id="rId147" display="mailto:aysu.huseynzade1602@gmail.com" xr:uid="{91D230F0-B26F-4BAD-B708-8AFCE77A372C}"/>
    <hyperlink ref="AC462" r:id="rId148" display="mailto:tarlana11@mail.ru" xr:uid="{EAF416AB-B905-44D5-918C-75E2103B33A0}"/>
    <hyperlink ref="AC463" r:id="rId149" xr:uid="{D63F9472-BD62-49B3-9FC1-333897582DAC}"/>
    <hyperlink ref="AC464" r:id="rId150" display="mailto:alimetov_2018@gmail.com" xr:uid="{D61EB1A6-B3E3-45DA-87E3-80E04B48B49E}"/>
    <hyperlink ref="AC465" r:id="rId151" display="mailto:guliyevruslan08@gmail.com" xr:uid="{390574EA-5DCA-4227-8645-BEF227488248}"/>
    <hyperlink ref="AC466" r:id="rId152" xr:uid="{DE7320BB-460D-4ACF-B38F-6CD62C8C2AEA}"/>
    <hyperlink ref="AC467" r:id="rId153" xr:uid="{6B1468D2-3C35-48AE-819F-A4026AA24303}"/>
    <hyperlink ref="AC468" r:id="rId154" xr:uid="{4F8E5493-5BFB-485B-8DB3-32AEB4990AD7}"/>
    <hyperlink ref="AC469" r:id="rId155" xr:uid="{A5226A0B-20FA-4B29-8CBC-5F9332B8D414}"/>
    <hyperlink ref="AC470" r:id="rId156" xr:uid="{7612790F-B86B-4FE9-9938-6A9079554837}"/>
    <hyperlink ref="AC471" r:id="rId157" xr:uid="{03A3B8D8-55F2-4B4B-A811-A354F00B1CDA}"/>
    <hyperlink ref="AC472" r:id="rId158" xr:uid="{2F8EA815-25A3-4AE8-ADD7-2F855749FAFD}"/>
    <hyperlink ref="AC481" r:id="rId159" display="mailto:i.agshana86@gmail.com" xr:uid="{960AF61C-F643-4A46-9304-0D780639776C}"/>
    <hyperlink ref="AB482" r:id="rId160" xr:uid="{4923C171-6445-43B3-B32F-27C2F9D2CA46}"/>
    <hyperlink ref="AC487" r:id="rId161" display="mailto:mr.jayhoon@mail.ru" xr:uid="{8B4DC002-11D1-4F90-96A6-44F93C46BD5D}"/>
    <hyperlink ref="AB496" r:id="rId162" xr:uid="{88DB4BC8-A101-42D3-92E4-E5790A1314C2}"/>
    <hyperlink ref="AB500" r:id="rId163" xr:uid="{CEB8FDB4-4646-4465-8E99-418CF2807D8C}"/>
    <hyperlink ref="AC502" r:id="rId164" display="mailto:zaurz6888@gmail.com" xr:uid="{387B9BBB-7D84-4F43-A6E8-73D82896E408}"/>
    <hyperlink ref="AC506" r:id="rId165" display="mailto:elgiz892sadiqov@gmail.com" xr:uid="{40BF72AA-6CAA-43F4-83E9-0393398008DA}"/>
    <hyperlink ref="AC509" r:id="rId166" display="mailto:ramilhsnov418@gmail.com" xr:uid="{D6A272EF-8C9F-401C-BA4E-7DEC12343D83}"/>
    <hyperlink ref="AC510" r:id="rId167" display="mailto:ismayilovparvin990@gmail.com" xr:uid="{1A61DB2E-7942-4260-BDE1-9E55DEE997E5}"/>
    <hyperlink ref="AC511" r:id="rId168" display="mailto:rustem19840904@gmail.com" xr:uid="{C9279BF5-E9FD-4990-A42F-C4BA01C1782F}"/>
    <hyperlink ref="AC514" r:id="rId169" display="mailto:muradrzazade@mail.ru" xr:uid="{F26FCFEC-6DFE-4551-A549-D77C47269DA2}"/>
    <hyperlink ref="AC529" r:id="rId170" display="mailto:elman.haydarli@gmail.com" xr:uid="{0D3E4054-E311-4D4D-AD4F-8C5A07EE1812}"/>
    <hyperlink ref="AC536" r:id="rId171" xr:uid="{9257AFF0-96FE-4A3C-B109-CD6EFCEC0BAA}"/>
    <hyperlink ref="AC545" r:id="rId172" xr:uid="{36CFCBC5-6F2C-4AB1-930F-1C964ABFA718}"/>
    <hyperlink ref="AC548" r:id="rId173" xr:uid="{2FFD04BC-E5FE-4209-BE49-E39523059101}"/>
    <hyperlink ref="AB554" r:id="rId174" xr:uid="{0705D15C-D253-4957-ABFD-A57AD25CEFE0}"/>
    <hyperlink ref="AC570" r:id="rId175" display="mailto:Senan.s.s@mail.ru" xr:uid="{B694899B-7F5A-483A-8D39-0732C8CCAE08}"/>
    <hyperlink ref="AC573" r:id="rId176" display="mailto:narminalieva2328@gmail.com" xr:uid="{44E40913-A162-42AC-B62C-67048B53E1CC}"/>
    <hyperlink ref="AB566" r:id="rId177" xr:uid="{7FED95AE-3217-4DC2-92C5-EFDB29070255}"/>
  </hyperlinks>
  <pageMargins left="0.7" right="0.7" top="0.75" bottom="0.75" header="0.3" footer="0.3"/>
  <legacyDrawing r:id="rId1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4093-BBD2-40EC-A99A-3A5FEEDFF4FC}">
  <dimension ref="A1:I641"/>
  <sheetViews>
    <sheetView workbookViewId="0">
      <selection activeCell="D6" sqref="D6"/>
    </sheetView>
  </sheetViews>
  <sheetFormatPr defaultColWidth="8.109375" defaultRowHeight="14.4" x14ac:dyDescent="0.3"/>
  <cols>
    <col min="1" max="1" width="10" style="19" customWidth="1"/>
    <col min="2" max="2" width="31.6640625" style="19" customWidth="1"/>
    <col min="3" max="3" width="31.77734375" style="19" customWidth="1"/>
    <col min="4" max="4" width="21" style="19" customWidth="1"/>
    <col min="5" max="5" width="19.77734375" style="19" customWidth="1"/>
    <col min="6" max="6" width="30.109375" style="19" customWidth="1"/>
    <col min="7" max="7" width="19" style="19" customWidth="1"/>
    <col min="8" max="8" width="30.109375" style="19" customWidth="1"/>
    <col min="9" max="9" width="25.6640625" style="19" customWidth="1"/>
  </cols>
  <sheetData>
    <row r="1" spans="1:9" s="23" customFormat="1" ht="54" customHeight="1" x14ac:dyDescent="0.3">
      <c r="A1" s="62" t="s">
        <v>12604</v>
      </c>
      <c r="B1" s="62" t="s">
        <v>12605</v>
      </c>
      <c r="C1" s="62" t="s">
        <v>12606</v>
      </c>
      <c r="D1" s="62" t="s">
        <v>12607</v>
      </c>
      <c r="E1" s="62" t="s">
        <v>12608</v>
      </c>
      <c r="F1" s="62" t="s">
        <v>12609</v>
      </c>
      <c r="G1" s="62" t="s">
        <v>12610</v>
      </c>
      <c r="H1" s="62" t="s">
        <v>12611</v>
      </c>
      <c r="I1" s="62" t="s">
        <v>12612</v>
      </c>
    </row>
    <row r="2" spans="1:9" ht="15" customHeight="1" x14ac:dyDescent="0.3">
      <c r="A2" s="63" t="s">
        <v>12700</v>
      </c>
      <c r="B2" s="63" t="s">
        <v>12701</v>
      </c>
      <c r="C2" s="63" t="s">
        <v>12702</v>
      </c>
      <c r="D2" s="64" t="s">
        <v>12577</v>
      </c>
      <c r="E2" s="63" t="s">
        <v>12703</v>
      </c>
      <c r="F2" s="63" t="s">
        <v>12704</v>
      </c>
      <c r="G2" s="63" t="s">
        <v>12705</v>
      </c>
      <c r="H2" s="63" t="s">
        <v>12706</v>
      </c>
      <c r="I2" s="63" t="s">
        <v>12707</v>
      </c>
    </row>
    <row r="3" spans="1:9" ht="15" customHeight="1" x14ac:dyDescent="0.3">
      <c r="A3" s="63" t="s">
        <v>13503</v>
      </c>
      <c r="B3" s="63" t="s">
        <v>13504</v>
      </c>
      <c r="C3" s="63" t="s">
        <v>13505</v>
      </c>
      <c r="D3" s="64" t="s">
        <v>12579</v>
      </c>
      <c r="E3" s="63" t="s">
        <v>13506</v>
      </c>
      <c r="F3" s="63" t="s">
        <v>13507</v>
      </c>
      <c r="G3" s="63" t="s">
        <v>13508</v>
      </c>
      <c r="H3" s="63" t="s">
        <v>13509</v>
      </c>
      <c r="I3" s="63" t="s">
        <v>13510</v>
      </c>
    </row>
    <row r="4" spans="1:9" ht="15" customHeight="1" x14ac:dyDescent="0.3">
      <c r="A4" s="63" t="s">
        <v>13511</v>
      </c>
      <c r="B4" s="63" t="s">
        <v>13512</v>
      </c>
      <c r="C4" s="63" t="s">
        <v>13513</v>
      </c>
      <c r="D4" s="64" t="s">
        <v>12579</v>
      </c>
      <c r="E4" s="63" t="s">
        <v>13506</v>
      </c>
      <c r="F4" s="63" t="s">
        <v>13514</v>
      </c>
      <c r="G4" s="63" t="s">
        <v>13515</v>
      </c>
      <c r="H4" s="63" t="s">
        <v>13516</v>
      </c>
      <c r="I4" s="63" t="s">
        <v>13517</v>
      </c>
    </row>
    <row r="5" spans="1:9" ht="15" customHeight="1" x14ac:dyDescent="0.3">
      <c r="A5" s="63" t="s">
        <v>12784</v>
      </c>
      <c r="B5" s="63" t="s">
        <v>12785</v>
      </c>
      <c r="C5" s="63" t="s">
        <v>12786</v>
      </c>
      <c r="D5" s="64" t="s">
        <v>12560</v>
      </c>
      <c r="E5" s="63" t="s">
        <v>12787</v>
      </c>
      <c r="F5" s="63" t="s">
        <v>12787</v>
      </c>
      <c r="G5" s="63" t="s">
        <v>12560</v>
      </c>
      <c r="H5" s="63" t="s">
        <v>12788</v>
      </c>
      <c r="I5" s="63" t="s">
        <v>12789</v>
      </c>
    </row>
    <row r="6" spans="1:9" ht="15" customHeight="1" x14ac:dyDescent="0.3">
      <c r="A6" s="63" t="s">
        <v>13615</v>
      </c>
      <c r="B6" s="63" t="s">
        <v>13616</v>
      </c>
      <c r="C6" s="63" t="s">
        <v>13617</v>
      </c>
      <c r="D6" s="64" t="s">
        <v>12591</v>
      </c>
      <c r="E6" s="63" t="s">
        <v>13618</v>
      </c>
      <c r="F6" s="63" t="s">
        <v>13619</v>
      </c>
      <c r="G6" s="63" t="s">
        <v>13620</v>
      </c>
      <c r="H6" s="63" t="s">
        <v>13621</v>
      </c>
      <c r="I6" s="63" t="s">
        <v>13622</v>
      </c>
    </row>
    <row r="7" spans="1:9" ht="15" customHeight="1" x14ac:dyDescent="0.3">
      <c r="A7" s="63" t="s">
        <v>12613</v>
      </c>
      <c r="B7" s="63" t="s">
        <v>12614</v>
      </c>
      <c r="C7" s="63" t="s">
        <v>12615</v>
      </c>
      <c r="D7" s="64" t="s">
        <v>12574</v>
      </c>
      <c r="E7" s="63" t="s">
        <v>12616</v>
      </c>
      <c r="F7" s="63" t="s">
        <v>12617</v>
      </c>
      <c r="G7" s="63" t="s">
        <v>12618</v>
      </c>
      <c r="H7" s="63" t="s">
        <v>12619</v>
      </c>
      <c r="I7" s="63" t="s">
        <v>12620</v>
      </c>
    </row>
    <row r="8" spans="1:9" ht="15" customHeight="1" x14ac:dyDescent="0.3">
      <c r="A8" s="63" t="s">
        <v>12621</v>
      </c>
      <c r="B8" s="63" t="s">
        <v>12622</v>
      </c>
      <c r="C8" s="63" t="s">
        <v>12623</v>
      </c>
      <c r="D8" s="64" t="s">
        <v>12574</v>
      </c>
      <c r="E8" s="63" t="s">
        <v>12616</v>
      </c>
      <c r="F8" s="63" t="s">
        <v>12617</v>
      </c>
      <c r="G8" s="63" t="s">
        <v>12618</v>
      </c>
      <c r="H8" s="63" t="s">
        <v>12624</v>
      </c>
      <c r="I8" s="63" t="s">
        <v>12625</v>
      </c>
    </row>
    <row r="9" spans="1:9" ht="15" customHeight="1" x14ac:dyDescent="0.3">
      <c r="A9" s="63" t="s">
        <v>12626</v>
      </c>
      <c r="B9" s="63" t="s">
        <v>12627</v>
      </c>
      <c r="C9" s="63" t="s">
        <v>12628</v>
      </c>
      <c r="D9" s="64" t="s">
        <v>12574</v>
      </c>
      <c r="E9" s="63" t="s">
        <v>12616</v>
      </c>
      <c r="F9" s="63" t="s">
        <v>12617</v>
      </c>
      <c r="G9" s="63" t="s">
        <v>12618</v>
      </c>
      <c r="H9" s="63" t="s">
        <v>12624</v>
      </c>
      <c r="I9" s="63" t="s">
        <v>12625</v>
      </c>
    </row>
    <row r="10" spans="1:9" ht="15" customHeight="1" x14ac:dyDescent="0.3">
      <c r="A10" s="63" t="s">
        <v>14221</v>
      </c>
      <c r="B10" s="63" t="s">
        <v>14222</v>
      </c>
      <c r="C10" s="63" t="s">
        <v>14223</v>
      </c>
      <c r="D10" s="64" t="s">
        <v>12567</v>
      </c>
      <c r="E10" s="63" t="s">
        <v>14224</v>
      </c>
      <c r="F10" s="63" t="s">
        <v>14225</v>
      </c>
      <c r="G10" s="63" t="s">
        <v>12570</v>
      </c>
      <c r="H10" s="63" t="s">
        <v>14226</v>
      </c>
      <c r="I10" s="63" t="s">
        <v>14227</v>
      </c>
    </row>
    <row r="11" spans="1:9" ht="15" customHeight="1" x14ac:dyDescent="0.3">
      <c r="A11" s="63" t="s">
        <v>12776</v>
      </c>
      <c r="B11" s="63" t="s">
        <v>12777</v>
      </c>
      <c r="C11" s="63" t="s">
        <v>12778</v>
      </c>
      <c r="D11" s="64" t="s">
        <v>12590</v>
      </c>
      <c r="E11" s="63" t="s">
        <v>12779</v>
      </c>
      <c r="F11" s="63" t="s">
        <v>12779</v>
      </c>
      <c r="G11" s="63" t="s">
        <v>12590</v>
      </c>
      <c r="H11" s="63" t="s">
        <v>12780</v>
      </c>
      <c r="I11" s="63" t="s">
        <v>12550</v>
      </c>
    </row>
    <row r="12" spans="1:9" ht="15" customHeight="1" x14ac:dyDescent="0.3">
      <c r="A12" s="63" t="s">
        <v>13044</v>
      </c>
      <c r="B12" s="63" t="s">
        <v>13045</v>
      </c>
      <c r="C12" s="63" t="s">
        <v>13046</v>
      </c>
      <c r="D12" s="64" t="s">
        <v>12565</v>
      </c>
      <c r="E12" s="63" t="s">
        <v>13047</v>
      </c>
      <c r="F12" s="63" t="s">
        <v>13048</v>
      </c>
      <c r="G12" s="63" t="s">
        <v>13049</v>
      </c>
      <c r="H12" s="63" t="s">
        <v>13050</v>
      </c>
      <c r="I12" s="63" t="s">
        <v>13051</v>
      </c>
    </row>
    <row r="13" spans="1:9" ht="15" customHeight="1" x14ac:dyDescent="0.3">
      <c r="A13" s="63" t="s">
        <v>16970</v>
      </c>
      <c r="B13" s="63" t="s">
        <v>16971</v>
      </c>
      <c r="C13" s="63" t="s">
        <v>16972</v>
      </c>
      <c r="D13" s="64" t="s">
        <v>12567</v>
      </c>
      <c r="E13" s="63" t="s">
        <v>14224</v>
      </c>
      <c r="F13" s="63" t="s">
        <v>12552</v>
      </c>
      <c r="G13" s="63" t="s">
        <v>12569</v>
      </c>
      <c r="H13" s="63" t="s">
        <v>16973</v>
      </c>
      <c r="I13" s="63" t="s">
        <v>14242</v>
      </c>
    </row>
    <row r="14" spans="1:9" ht="15" customHeight="1" x14ac:dyDescent="0.3">
      <c r="A14" s="63" t="s">
        <v>16974</v>
      </c>
      <c r="B14" s="63" t="s">
        <v>16975</v>
      </c>
      <c r="C14" s="63" t="s">
        <v>16976</v>
      </c>
      <c r="D14" s="64" t="s">
        <v>12591</v>
      </c>
      <c r="E14" s="63" t="s">
        <v>13618</v>
      </c>
      <c r="F14" s="63" t="s">
        <v>14100</v>
      </c>
      <c r="G14" s="63" t="s">
        <v>14101</v>
      </c>
      <c r="H14" s="63" t="s">
        <v>13621</v>
      </c>
      <c r="I14" s="63" t="s">
        <v>13622</v>
      </c>
    </row>
    <row r="15" spans="1:9" ht="15" customHeight="1" x14ac:dyDescent="0.3">
      <c r="A15" s="63" t="s">
        <v>16977</v>
      </c>
      <c r="B15" s="63" t="s">
        <v>16978</v>
      </c>
      <c r="C15" s="63" t="s">
        <v>16979</v>
      </c>
      <c r="D15" s="64" t="s">
        <v>12591</v>
      </c>
      <c r="E15" s="63" t="s">
        <v>13618</v>
      </c>
      <c r="F15" s="63" t="s">
        <v>13698</v>
      </c>
      <c r="G15" s="63" t="s">
        <v>13699</v>
      </c>
      <c r="H15" s="63" t="s">
        <v>13822</v>
      </c>
      <c r="I15" s="63" t="s">
        <v>13823</v>
      </c>
    </row>
    <row r="16" spans="1:9" ht="15" customHeight="1" x14ac:dyDescent="0.3">
      <c r="A16" s="63" t="s">
        <v>16980</v>
      </c>
      <c r="B16" s="63" t="s">
        <v>16981</v>
      </c>
      <c r="C16" s="63" t="s">
        <v>16982</v>
      </c>
      <c r="D16" s="64" t="s">
        <v>12591</v>
      </c>
      <c r="E16" s="63" t="s">
        <v>13618</v>
      </c>
      <c r="F16" s="63" t="s">
        <v>13698</v>
      </c>
      <c r="G16" s="63" t="s">
        <v>13699</v>
      </c>
      <c r="H16" s="63" t="s">
        <v>13822</v>
      </c>
      <c r="I16" s="63" t="s">
        <v>13823</v>
      </c>
    </row>
    <row r="17" spans="1:9" ht="15" customHeight="1" x14ac:dyDescent="0.3">
      <c r="A17" s="63" t="s">
        <v>16983</v>
      </c>
      <c r="B17" s="63" t="s">
        <v>16984</v>
      </c>
      <c r="C17" s="63" t="s">
        <v>16985</v>
      </c>
      <c r="D17" s="64" t="s">
        <v>12560</v>
      </c>
      <c r="E17" s="63" t="s">
        <v>12787</v>
      </c>
      <c r="F17" s="63" t="s">
        <v>12787</v>
      </c>
      <c r="G17" s="63" t="s">
        <v>12560</v>
      </c>
      <c r="H17" s="63" t="s">
        <v>16986</v>
      </c>
      <c r="I17" s="63" t="s">
        <v>16987</v>
      </c>
    </row>
    <row r="18" spans="1:9" ht="15" customHeight="1" x14ac:dyDescent="0.3">
      <c r="A18" s="63" t="s">
        <v>16988</v>
      </c>
      <c r="B18" s="63" t="s">
        <v>16989</v>
      </c>
      <c r="C18" s="63" t="s">
        <v>16990</v>
      </c>
      <c r="D18" s="64" t="s">
        <v>12567</v>
      </c>
      <c r="E18" s="63" t="s">
        <v>14224</v>
      </c>
      <c r="F18" s="63" t="s">
        <v>16991</v>
      </c>
      <c r="G18" s="63" t="s">
        <v>12571</v>
      </c>
      <c r="H18" s="63" t="s">
        <v>16992</v>
      </c>
      <c r="I18" s="63" t="s">
        <v>16993</v>
      </c>
    </row>
    <row r="19" spans="1:9" ht="15" customHeight="1" x14ac:dyDescent="0.3">
      <c r="A19" s="63" t="s">
        <v>16994</v>
      </c>
      <c r="B19" s="63" t="s">
        <v>16995</v>
      </c>
      <c r="C19" s="63" t="s">
        <v>16996</v>
      </c>
      <c r="D19" s="64" t="s">
        <v>12586</v>
      </c>
      <c r="E19" s="63" t="s">
        <v>12729</v>
      </c>
      <c r="F19" s="63" t="s">
        <v>12730</v>
      </c>
      <c r="G19" s="63" t="s">
        <v>12587</v>
      </c>
      <c r="H19" s="63" t="s">
        <v>12774</v>
      </c>
      <c r="I19" s="63" t="s">
        <v>12775</v>
      </c>
    </row>
    <row r="20" spans="1:9" ht="15" customHeight="1" x14ac:dyDescent="0.3">
      <c r="A20" s="63" t="s">
        <v>16997</v>
      </c>
      <c r="B20" s="63" t="s">
        <v>16998</v>
      </c>
      <c r="C20" s="63" t="s">
        <v>16999</v>
      </c>
      <c r="D20" s="64" t="s">
        <v>12591</v>
      </c>
      <c r="E20" s="63" t="s">
        <v>13618</v>
      </c>
      <c r="F20" s="63" t="s">
        <v>13698</v>
      </c>
      <c r="G20" s="63" t="s">
        <v>13699</v>
      </c>
      <c r="H20" s="63" t="s">
        <v>13822</v>
      </c>
      <c r="I20" s="63" t="s">
        <v>13823</v>
      </c>
    </row>
    <row r="21" spans="1:9" ht="15" customHeight="1" x14ac:dyDescent="0.3">
      <c r="A21" s="63" t="s">
        <v>13276</v>
      </c>
      <c r="B21" s="63" t="s">
        <v>13277</v>
      </c>
      <c r="C21" s="63" t="s">
        <v>13278</v>
      </c>
      <c r="D21" s="64" t="s">
        <v>12585</v>
      </c>
      <c r="E21" s="63" t="s">
        <v>13279</v>
      </c>
      <c r="F21" s="63" t="s">
        <v>13280</v>
      </c>
      <c r="G21" s="63" t="s">
        <v>13281</v>
      </c>
      <c r="H21" s="63" t="s">
        <v>13282</v>
      </c>
      <c r="I21" s="63" t="s">
        <v>13283</v>
      </c>
    </row>
    <row r="22" spans="1:9" ht="15" customHeight="1" x14ac:dyDescent="0.3">
      <c r="A22" s="63" t="s">
        <v>13448</v>
      </c>
      <c r="B22" s="63" t="s">
        <v>13449</v>
      </c>
      <c r="C22" s="63" t="s">
        <v>13450</v>
      </c>
      <c r="D22" s="64" t="s">
        <v>12578</v>
      </c>
      <c r="E22" s="63" t="s">
        <v>13451</v>
      </c>
      <c r="F22" s="63" t="s">
        <v>13452</v>
      </c>
      <c r="G22" s="63" t="s">
        <v>13453</v>
      </c>
      <c r="H22" s="63" t="s">
        <v>13454</v>
      </c>
      <c r="I22" s="63" t="s">
        <v>13455</v>
      </c>
    </row>
    <row r="23" spans="1:9" ht="15" customHeight="1" x14ac:dyDescent="0.3">
      <c r="A23" s="63" t="s">
        <v>13456</v>
      </c>
      <c r="B23" s="63" t="s">
        <v>13457</v>
      </c>
      <c r="C23" s="63" t="s">
        <v>13458</v>
      </c>
      <c r="D23" s="64" t="s">
        <v>12578</v>
      </c>
      <c r="E23" s="63" t="s">
        <v>13451</v>
      </c>
      <c r="F23" s="63" t="s">
        <v>13452</v>
      </c>
      <c r="G23" s="63" t="s">
        <v>13453</v>
      </c>
      <c r="H23" s="63" t="s">
        <v>13459</v>
      </c>
      <c r="I23" s="63" t="s">
        <v>13460</v>
      </c>
    </row>
    <row r="24" spans="1:9" ht="15" customHeight="1" x14ac:dyDescent="0.3">
      <c r="A24" s="63" t="s">
        <v>13518</v>
      </c>
      <c r="B24" s="63" t="s">
        <v>13519</v>
      </c>
      <c r="C24" s="63" t="s">
        <v>13520</v>
      </c>
      <c r="D24" s="64" t="s">
        <v>12579</v>
      </c>
      <c r="E24" s="63" t="s">
        <v>13506</v>
      </c>
      <c r="F24" s="63" t="s">
        <v>13521</v>
      </c>
      <c r="G24" s="63" t="s">
        <v>13522</v>
      </c>
      <c r="H24" s="63" t="s">
        <v>13523</v>
      </c>
      <c r="I24" s="63" t="s">
        <v>13524</v>
      </c>
    </row>
    <row r="25" spans="1:9" ht="15" customHeight="1" x14ac:dyDescent="0.3">
      <c r="A25" s="63" t="s">
        <v>12629</v>
      </c>
      <c r="B25" s="63" t="s">
        <v>12630</v>
      </c>
      <c r="C25" s="63" t="s">
        <v>12631</v>
      </c>
      <c r="D25" s="64" t="s">
        <v>12574</v>
      </c>
      <c r="E25" s="63" t="s">
        <v>12616</v>
      </c>
      <c r="F25" s="63" t="s">
        <v>12632</v>
      </c>
      <c r="G25" s="63" t="s">
        <v>12633</v>
      </c>
      <c r="H25" s="63" t="s">
        <v>6482</v>
      </c>
      <c r="I25" s="63" t="s">
        <v>12634</v>
      </c>
    </row>
    <row r="26" spans="1:9" ht="15" customHeight="1" x14ac:dyDescent="0.3">
      <c r="A26" s="63" t="s">
        <v>12821</v>
      </c>
      <c r="B26" s="63" t="s">
        <v>12822</v>
      </c>
      <c r="C26" s="63" t="s">
        <v>12823</v>
      </c>
      <c r="D26" s="64" t="s">
        <v>12563</v>
      </c>
      <c r="E26" s="63" t="s">
        <v>12824</v>
      </c>
      <c r="F26" s="63" t="s">
        <v>12824</v>
      </c>
      <c r="G26" s="63" t="s">
        <v>12825</v>
      </c>
      <c r="H26" s="63" t="s">
        <v>12801</v>
      </c>
      <c r="I26" s="63" t="s">
        <v>12802</v>
      </c>
    </row>
    <row r="27" spans="1:9" ht="15" customHeight="1" x14ac:dyDescent="0.3">
      <c r="A27" s="63" t="s">
        <v>12635</v>
      </c>
      <c r="B27" s="63" t="s">
        <v>12636</v>
      </c>
      <c r="C27" s="63" t="s">
        <v>12637</v>
      </c>
      <c r="D27" s="64" t="s">
        <v>12574</v>
      </c>
      <c r="E27" s="63" t="s">
        <v>12616</v>
      </c>
      <c r="F27" s="63" t="s">
        <v>12632</v>
      </c>
      <c r="G27" s="63" t="s">
        <v>12633</v>
      </c>
      <c r="H27" s="63" t="s">
        <v>6483</v>
      </c>
      <c r="I27" s="63" t="s">
        <v>12638</v>
      </c>
    </row>
    <row r="28" spans="1:9" ht="15" customHeight="1" x14ac:dyDescent="0.3">
      <c r="A28" s="63" t="s">
        <v>14228</v>
      </c>
      <c r="B28" s="63" t="s">
        <v>14229</v>
      </c>
      <c r="C28" s="63" t="s">
        <v>14230</v>
      </c>
      <c r="D28" s="64" t="s">
        <v>12567</v>
      </c>
      <c r="E28" s="63" t="s">
        <v>14224</v>
      </c>
      <c r="F28" s="63" t="s">
        <v>12552</v>
      </c>
      <c r="G28" s="63" t="s">
        <v>12569</v>
      </c>
      <c r="H28" s="63" t="s">
        <v>14231</v>
      </c>
      <c r="I28" s="63" t="s">
        <v>14232</v>
      </c>
    </row>
    <row r="29" spans="1:9" ht="15" customHeight="1" x14ac:dyDescent="0.3">
      <c r="A29" s="63" t="s">
        <v>12894</v>
      </c>
      <c r="B29" s="63" t="s">
        <v>12895</v>
      </c>
      <c r="C29" s="63" t="s">
        <v>12896</v>
      </c>
      <c r="D29" s="64" t="s">
        <v>12564</v>
      </c>
      <c r="E29" s="63" t="s">
        <v>12897</v>
      </c>
      <c r="F29" s="63" t="s">
        <v>12551</v>
      </c>
      <c r="G29" s="63" t="s">
        <v>12898</v>
      </c>
      <c r="H29" s="63" t="s">
        <v>12899</v>
      </c>
      <c r="I29" s="63" t="s">
        <v>12900</v>
      </c>
    </row>
    <row r="30" spans="1:9" ht="15" customHeight="1" x14ac:dyDescent="0.3">
      <c r="A30" s="63" t="s">
        <v>12901</v>
      </c>
      <c r="B30" s="63" t="s">
        <v>12902</v>
      </c>
      <c r="C30" s="63" t="s">
        <v>12903</v>
      </c>
      <c r="D30" s="64" t="s">
        <v>12564</v>
      </c>
      <c r="E30" s="63" t="s">
        <v>12897</v>
      </c>
      <c r="F30" s="63" t="s">
        <v>12904</v>
      </c>
      <c r="G30" s="63" t="s">
        <v>12905</v>
      </c>
      <c r="H30" s="63" t="s">
        <v>12906</v>
      </c>
      <c r="I30" s="63" t="s">
        <v>12906</v>
      </c>
    </row>
    <row r="31" spans="1:9" ht="15" customHeight="1" x14ac:dyDescent="0.3">
      <c r="A31" s="63" t="s">
        <v>12907</v>
      </c>
      <c r="B31" s="63" t="s">
        <v>12908</v>
      </c>
      <c r="C31" s="63" t="s">
        <v>12909</v>
      </c>
      <c r="D31" s="64" t="s">
        <v>12564</v>
      </c>
      <c r="E31" s="63" t="s">
        <v>12897</v>
      </c>
      <c r="F31" s="63" t="s">
        <v>12910</v>
      </c>
      <c r="G31" s="63" t="s">
        <v>12911</v>
      </c>
      <c r="H31" s="63" t="s">
        <v>12912</v>
      </c>
      <c r="I31" s="63" t="s">
        <v>12913</v>
      </c>
    </row>
    <row r="32" spans="1:9" ht="15" customHeight="1" x14ac:dyDescent="0.3">
      <c r="A32" s="63" t="s">
        <v>13052</v>
      </c>
      <c r="B32" s="63" t="s">
        <v>13053</v>
      </c>
      <c r="C32" s="63" t="s">
        <v>13054</v>
      </c>
      <c r="D32" s="64" t="s">
        <v>12565</v>
      </c>
      <c r="E32" s="63" t="s">
        <v>13047</v>
      </c>
      <c r="F32" s="63" t="s">
        <v>13055</v>
      </c>
      <c r="G32" s="63" t="s">
        <v>13056</v>
      </c>
      <c r="H32" s="63" t="s">
        <v>13057</v>
      </c>
      <c r="I32" s="63" t="s">
        <v>13058</v>
      </c>
    </row>
    <row r="33" spans="1:9" ht="15" customHeight="1" x14ac:dyDescent="0.3">
      <c r="A33" s="63" t="s">
        <v>12914</v>
      </c>
      <c r="B33" s="63" t="s">
        <v>12915</v>
      </c>
      <c r="C33" s="63" t="s">
        <v>12916</v>
      </c>
      <c r="D33" s="64" t="s">
        <v>12564</v>
      </c>
      <c r="E33" s="63" t="s">
        <v>12897</v>
      </c>
      <c r="F33" s="63" t="s">
        <v>12910</v>
      </c>
      <c r="G33" s="63" t="s">
        <v>12911</v>
      </c>
      <c r="H33" s="63" t="s">
        <v>12917</v>
      </c>
      <c r="I33" s="63" t="s">
        <v>12918</v>
      </c>
    </row>
    <row r="34" spans="1:9" ht="15" customHeight="1" x14ac:dyDescent="0.3">
      <c r="A34" s="63" t="s">
        <v>14383</v>
      </c>
      <c r="B34" s="63" t="s">
        <v>14384</v>
      </c>
      <c r="C34" s="63" t="s">
        <v>14385</v>
      </c>
      <c r="D34" s="64" t="s">
        <v>12572</v>
      </c>
      <c r="E34" s="63" t="s">
        <v>14386</v>
      </c>
      <c r="F34" s="63" t="s">
        <v>14387</v>
      </c>
      <c r="G34" s="63" t="s">
        <v>14388</v>
      </c>
      <c r="H34" s="63" t="s">
        <v>14389</v>
      </c>
      <c r="I34" s="63" t="s">
        <v>14390</v>
      </c>
    </row>
    <row r="35" spans="1:9" ht="15" customHeight="1" x14ac:dyDescent="0.3">
      <c r="A35" s="63" t="s">
        <v>13059</v>
      </c>
      <c r="B35" s="63" t="s">
        <v>13060</v>
      </c>
      <c r="C35" s="63" t="s">
        <v>13061</v>
      </c>
      <c r="D35" s="64" t="s">
        <v>12565</v>
      </c>
      <c r="E35" s="63" t="s">
        <v>13047</v>
      </c>
      <c r="F35" s="63" t="s">
        <v>13062</v>
      </c>
      <c r="G35" s="63" t="s">
        <v>13063</v>
      </c>
      <c r="H35" s="63" t="s">
        <v>13064</v>
      </c>
      <c r="I35" s="63" t="s">
        <v>13065</v>
      </c>
    </row>
    <row r="36" spans="1:9" ht="15" customHeight="1" x14ac:dyDescent="0.3">
      <c r="A36" s="63" t="s">
        <v>12919</v>
      </c>
      <c r="B36" s="63" t="s">
        <v>12920</v>
      </c>
      <c r="C36" s="63" t="s">
        <v>12921</v>
      </c>
      <c r="D36" s="64" t="s">
        <v>12564</v>
      </c>
      <c r="E36" s="63" t="s">
        <v>12897</v>
      </c>
      <c r="F36" s="63" t="s">
        <v>12910</v>
      </c>
      <c r="G36" s="63" t="s">
        <v>12911</v>
      </c>
      <c r="H36" s="63" t="s">
        <v>12912</v>
      </c>
      <c r="I36" s="63" t="s">
        <v>12922</v>
      </c>
    </row>
    <row r="37" spans="1:9" ht="15" customHeight="1" x14ac:dyDescent="0.3">
      <c r="A37" s="63" t="s">
        <v>12923</v>
      </c>
      <c r="B37" s="63" t="s">
        <v>12924</v>
      </c>
      <c r="C37" s="63" t="s">
        <v>12925</v>
      </c>
      <c r="D37" s="64" t="s">
        <v>12564</v>
      </c>
      <c r="E37" s="63" t="s">
        <v>12897</v>
      </c>
      <c r="F37" s="63" t="s">
        <v>12904</v>
      </c>
      <c r="G37" s="63" t="s">
        <v>12905</v>
      </c>
      <c r="H37" s="63" t="s">
        <v>12906</v>
      </c>
      <c r="I37" s="63" t="s">
        <v>12906</v>
      </c>
    </row>
    <row r="38" spans="1:9" ht="15" customHeight="1" x14ac:dyDescent="0.3">
      <c r="A38" s="63" t="s">
        <v>14391</v>
      </c>
      <c r="B38" s="63" t="s">
        <v>14392</v>
      </c>
      <c r="C38" s="63" t="s">
        <v>14393</v>
      </c>
      <c r="D38" s="64" t="s">
        <v>12572</v>
      </c>
      <c r="E38" s="63" t="s">
        <v>14386</v>
      </c>
      <c r="F38" s="63" t="s">
        <v>14387</v>
      </c>
      <c r="G38" s="63" t="s">
        <v>14388</v>
      </c>
      <c r="H38" s="63" t="s">
        <v>14394</v>
      </c>
      <c r="I38" s="63" t="s">
        <v>14395</v>
      </c>
    </row>
    <row r="39" spans="1:9" ht="15" customHeight="1" x14ac:dyDescent="0.3">
      <c r="A39" s="63" t="s">
        <v>14396</v>
      </c>
      <c r="B39" s="63" t="s">
        <v>14397</v>
      </c>
      <c r="C39" s="63" t="s">
        <v>14398</v>
      </c>
      <c r="D39" s="64" t="s">
        <v>12572</v>
      </c>
      <c r="E39" s="63" t="s">
        <v>14386</v>
      </c>
      <c r="F39" s="63" t="s">
        <v>14387</v>
      </c>
      <c r="G39" s="63" t="s">
        <v>14388</v>
      </c>
      <c r="H39" s="63" t="s">
        <v>14399</v>
      </c>
      <c r="I39" s="63" t="s">
        <v>14400</v>
      </c>
    </row>
    <row r="40" spans="1:9" ht="15" customHeight="1" x14ac:dyDescent="0.3">
      <c r="A40" s="63" t="s">
        <v>12926</v>
      </c>
      <c r="B40" s="63" t="s">
        <v>12927</v>
      </c>
      <c r="C40" s="63" t="s">
        <v>12927</v>
      </c>
      <c r="D40" s="64" t="s">
        <v>12564</v>
      </c>
      <c r="E40" s="63" t="s">
        <v>12897</v>
      </c>
      <c r="F40" s="63" t="s">
        <v>12904</v>
      </c>
      <c r="G40" s="63" t="s">
        <v>12905</v>
      </c>
      <c r="H40" s="63" t="s">
        <v>12928</v>
      </c>
      <c r="I40" s="63" t="s">
        <v>12929</v>
      </c>
    </row>
    <row r="41" spans="1:9" ht="15" customHeight="1" x14ac:dyDescent="0.3">
      <c r="A41" s="63" t="s">
        <v>14401</v>
      </c>
      <c r="B41" s="63" t="s">
        <v>14402</v>
      </c>
      <c r="C41" s="63" t="s">
        <v>14403</v>
      </c>
      <c r="D41" s="64" t="s">
        <v>12572</v>
      </c>
      <c r="E41" s="63" t="s">
        <v>14386</v>
      </c>
      <c r="F41" s="63" t="s">
        <v>14387</v>
      </c>
      <c r="G41" s="63" t="s">
        <v>14388</v>
      </c>
      <c r="H41" s="63" t="s">
        <v>14404</v>
      </c>
      <c r="I41" s="63" t="s">
        <v>14405</v>
      </c>
    </row>
    <row r="42" spans="1:9" ht="15" customHeight="1" x14ac:dyDescent="0.3">
      <c r="A42" s="63" t="s">
        <v>13025</v>
      </c>
      <c r="B42" s="63" t="s">
        <v>13026</v>
      </c>
      <c r="C42" s="63" t="s">
        <v>13027</v>
      </c>
      <c r="D42" s="64" t="s">
        <v>12594</v>
      </c>
      <c r="E42" s="63" t="s">
        <v>13028</v>
      </c>
      <c r="F42" s="63" t="s">
        <v>13029</v>
      </c>
      <c r="G42" s="63" t="s">
        <v>13030</v>
      </c>
      <c r="H42" s="63" t="s">
        <v>12706</v>
      </c>
      <c r="I42" s="63" t="s">
        <v>12707</v>
      </c>
    </row>
    <row r="43" spans="1:9" ht="15" customHeight="1" x14ac:dyDescent="0.3">
      <c r="A43" s="63" t="s">
        <v>14233</v>
      </c>
      <c r="B43" s="63" t="s">
        <v>14234</v>
      </c>
      <c r="C43" s="63" t="s">
        <v>14235</v>
      </c>
      <c r="D43" s="64" t="s">
        <v>12567</v>
      </c>
      <c r="E43" s="63" t="s">
        <v>14224</v>
      </c>
      <c r="F43" s="63" t="s">
        <v>12552</v>
      </c>
      <c r="G43" s="63" t="s">
        <v>12569</v>
      </c>
      <c r="H43" s="63" t="s">
        <v>14236</v>
      </c>
      <c r="I43" s="63" t="s">
        <v>14237</v>
      </c>
    </row>
    <row r="44" spans="1:9" ht="15" customHeight="1" x14ac:dyDescent="0.3">
      <c r="A44" s="63" t="s">
        <v>14238</v>
      </c>
      <c r="B44" s="63" t="s">
        <v>14239</v>
      </c>
      <c r="C44" s="63" t="s">
        <v>14240</v>
      </c>
      <c r="D44" s="64" t="s">
        <v>12567</v>
      </c>
      <c r="E44" s="63" t="s">
        <v>14224</v>
      </c>
      <c r="F44" s="63" t="s">
        <v>12552</v>
      </c>
      <c r="G44" s="63" t="s">
        <v>12569</v>
      </c>
      <c r="H44" s="63" t="s">
        <v>14241</v>
      </c>
      <c r="I44" s="63" t="s">
        <v>14242</v>
      </c>
    </row>
    <row r="45" spans="1:9" ht="15" customHeight="1" x14ac:dyDescent="0.3">
      <c r="A45" s="63" t="s">
        <v>12930</v>
      </c>
      <c r="B45" s="63" t="s">
        <v>12931</v>
      </c>
      <c r="C45" s="63" t="s">
        <v>12932</v>
      </c>
      <c r="D45" s="64" t="s">
        <v>12564</v>
      </c>
      <c r="E45" s="63" t="s">
        <v>12897</v>
      </c>
      <c r="F45" s="63" t="s">
        <v>12910</v>
      </c>
      <c r="G45" s="63" t="s">
        <v>12911</v>
      </c>
      <c r="H45" s="63" t="s">
        <v>12917</v>
      </c>
      <c r="I45" s="63" t="s">
        <v>12918</v>
      </c>
    </row>
    <row r="46" spans="1:9" ht="15" customHeight="1" x14ac:dyDescent="0.3">
      <c r="A46" s="63" t="s">
        <v>12933</v>
      </c>
      <c r="B46" s="63" t="s">
        <v>12934</v>
      </c>
      <c r="C46" s="63" t="s">
        <v>12935</v>
      </c>
      <c r="D46" s="64" t="s">
        <v>12564</v>
      </c>
      <c r="E46" s="63" t="s">
        <v>12897</v>
      </c>
      <c r="F46" s="63" t="s">
        <v>12904</v>
      </c>
      <c r="G46" s="63" t="s">
        <v>12905</v>
      </c>
      <c r="H46" s="63" t="s">
        <v>12906</v>
      </c>
      <c r="I46" s="63" t="s">
        <v>12906</v>
      </c>
    </row>
    <row r="47" spans="1:9" ht="15" customHeight="1" x14ac:dyDescent="0.3">
      <c r="A47" s="63" t="s">
        <v>12936</v>
      </c>
      <c r="B47" s="63" t="s">
        <v>12937</v>
      </c>
      <c r="C47" s="63" t="s">
        <v>12938</v>
      </c>
      <c r="D47" s="64" t="s">
        <v>12564</v>
      </c>
      <c r="E47" s="63" t="s">
        <v>12897</v>
      </c>
      <c r="F47" s="63" t="s">
        <v>12904</v>
      </c>
      <c r="G47" s="63" t="s">
        <v>12905</v>
      </c>
      <c r="H47" s="63" t="s">
        <v>12906</v>
      </c>
      <c r="I47" s="63" t="s">
        <v>12906</v>
      </c>
    </row>
    <row r="48" spans="1:9" ht="15" customHeight="1" x14ac:dyDescent="0.3">
      <c r="A48" s="63" t="s">
        <v>12939</v>
      </c>
      <c r="B48" s="63" t="s">
        <v>12940</v>
      </c>
      <c r="C48" s="63" t="s">
        <v>12941</v>
      </c>
      <c r="D48" s="64" t="s">
        <v>12564</v>
      </c>
      <c r="E48" s="63" t="s">
        <v>12897</v>
      </c>
      <c r="F48" s="63" t="s">
        <v>12910</v>
      </c>
      <c r="G48" s="63" t="s">
        <v>12911</v>
      </c>
      <c r="H48" s="63" t="s">
        <v>12912</v>
      </c>
      <c r="I48" s="63" t="s">
        <v>12922</v>
      </c>
    </row>
    <row r="49" spans="1:9" ht="15" customHeight="1" x14ac:dyDescent="0.3">
      <c r="A49" s="63" t="s">
        <v>13623</v>
      </c>
      <c r="B49" s="63" t="s">
        <v>13624</v>
      </c>
      <c r="C49" s="63" t="s">
        <v>13625</v>
      </c>
      <c r="D49" s="64" t="s">
        <v>12591</v>
      </c>
      <c r="E49" s="63" t="s">
        <v>13618</v>
      </c>
      <c r="F49" s="63" t="s">
        <v>13626</v>
      </c>
      <c r="G49" s="63" t="s">
        <v>13627</v>
      </c>
      <c r="H49" s="63" t="s">
        <v>13628</v>
      </c>
      <c r="I49" s="63" t="s">
        <v>13629</v>
      </c>
    </row>
    <row r="50" spans="1:9" ht="15" customHeight="1" x14ac:dyDescent="0.3">
      <c r="A50" s="63" t="s">
        <v>12942</v>
      </c>
      <c r="B50" s="63" t="s">
        <v>12943</v>
      </c>
      <c r="C50" s="63" t="s">
        <v>12944</v>
      </c>
      <c r="D50" s="64" t="s">
        <v>12564</v>
      </c>
      <c r="E50" s="63" t="s">
        <v>12897</v>
      </c>
      <c r="F50" s="63" t="s">
        <v>12904</v>
      </c>
      <c r="G50" s="63" t="s">
        <v>12905</v>
      </c>
      <c r="H50" s="63" t="s">
        <v>12906</v>
      </c>
      <c r="I50" s="63" t="s">
        <v>12906</v>
      </c>
    </row>
    <row r="51" spans="1:9" ht="15" customHeight="1" x14ac:dyDescent="0.3">
      <c r="A51" s="63" t="s">
        <v>12726</v>
      </c>
      <c r="B51" s="63" t="s">
        <v>12727</v>
      </c>
      <c r="C51" s="63" t="s">
        <v>12728</v>
      </c>
      <c r="D51" s="64" t="s">
        <v>12586</v>
      </c>
      <c r="E51" s="63" t="s">
        <v>12729</v>
      </c>
      <c r="F51" s="63" t="s">
        <v>12730</v>
      </c>
      <c r="G51" s="63" t="s">
        <v>12587</v>
      </c>
      <c r="H51" s="63" t="s">
        <v>6398</v>
      </c>
      <c r="I51" s="63" t="s">
        <v>12731</v>
      </c>
    </row>
    <row r="52" spans="1:9" ht="15" customHeight="1" x14ac:dyDescent="0.3">
      <c r="A52" s="63" t="s">
        <v>13630</v>
      </c>
      <c r="B52" s="63" t="s">
        <v>13631</v>
      </c>
      <c r="C52" s="63" t="s">
        <v>13632</v>
      </c>
      <c r="D52" s="64" t="s">
        <v>12591</v>
      </c>
      <c r="E52" s="63" t="s">
        <v>13618</v>
      </c>
      <c r="F52" s="63" t="s">
        <v>13633</v>
      </c>
      <c r="G52" s="63" t="s">
        <v>13634</v>
      </c>
      <c r="H52" s="63" t="s">
        <v>13635</v>
      </c>
      <c r="I52" s="63" t="s">
        <v>13636</v>
      </c>
    </row>
    <row r="53" spans="1:9" ht="15" customHeight="1" x14ac:dyDescent="0.3">
      <c r="A53" s="63" t="s">
        <v>13251</v>
      </c>
      <c r="B53" s="63" t="s">
        <v>13252</v>
      </c>
      <c r="C53" s="63" t="s">
        <v>13253</v>
      </c>
      <c r="D53" s="64" t="s">
        <v>12580</v>
      </c>
      <c r="E53" s="63" t="s">
        <v>13254</v>
      </c>
      <c r="F53" s="63" t="s">
        <v>13255</v>
      </c>
      <c r="G53" s="63" t="s">
        <v>12582</v>
      </c>
      <c r="H53" s="63" t="s">
        <v>12793</v>
      </c>
      <c r="I53" s="63" t="s">
        <v>13256</v>
      </c>
    </row>
    <row r="54" spans="1:9" ht="15" customHeight="1" x14ac:dyDescent="0.3">
      <c r="A54" s="63" t="s">
        <v>13637</v>
      </c>
      <c r="B54" s="63" t="s">
        <v>13638</v>
      </c>
      <c r="C54" s="63" t="s">
        <v>13639</v>
      </c>
      <c r="D54" s="64" t="s">
        <v>12591</v>
      </c>
      <c r="E54" s="63" t="s">
        <v>13618</v>
      </c>
      <c r="F54" s="63" t="s">
        <v>13640</v>
      </c>
      <c r="G54" s="63" t="s">
        <v>13641</v>
      </c>
      <c r="H54" s="63" t="s">
        <v>13642</v>
      </c>
      <c r="I54" s="63" t="s">
        <v>13643</v>
      </c>
    </row>
    <row r="55" spans="1:9" ht="15" customHeight="1" x14ac:dyDescent="0.3">
      <c r="A55" s="63" t="s">
        <v>12945</v>
      </c>
      <c r="B55" s="63" t="s">
        <v>12946</v>
      </c>
      <c r="C55" s="63" t="s">
        <v>12947</v>
      </c>
      <c r="D55" s="64" t="s">
        <v>12564</v>
      </c>
      <c r="E55" s="63" t="s">
        <v>12897</v>
      </c>
      <c r="F55" s="63" t="s">
        <v>12910</v>
      </c>
      <c r="G55" s="63" t="s">
        <v>12911</v>
      </c>
      <c r="H55" s="63" t="s">
        <v>12917</v>
      </c>
      <c r="I55" s="63" t="s">
        <v>12918</v>
      </c>
    </row>
    <row r="56" spans="1:9" ht="15" customHeight="1" x14ac:dyDescent="0.3">
      <c r="A56" s="63" t="s">
        <v>13525</v>
      </c>
      <c r="B56" s="63" t="s">
        <v>13526</v>
      </c>
      <c r="C56" s="63" t="s">
        <v>13527</v>
      </c>
      <c r="D56" s="64" t="s">
        <v>12579</v>
      </c>
      <c r="E56" s="63" t="s">
        <v>13506</v>
      </c>
      <c r="F56" s="63" t="s">
        <v>13521</v>
      </c>
      <c r="G56" s="63" t="s">
        <v>13522</v>
      </c>
      <c r="H56" s="63" t="s">
        <v>13523</v>
      </c>
      <c r="I56" s="63" t="s">
        <v>13524</v>
      </c>
    </row>
    <row r="57" spans="1:9" ht="15" customHeight="1" x14ac:dyDescent="0.3">
      <c r="A57" s="63" t="s">
        <v>12948</v>
      </c>
      <c r="B57" s="63" t="s">
        <v>12949</v>
      </c>
      <c r="C57" s="63" t="s">
        <v>12950</v>
      </c>
      <c r="D57" s="64" t="s">
        <v>12564</v>
      </c>
      <c r="E57" s="63" t="s">
        <v>12897</v>
      </c>
      <c r="F57" s="63" t="s">
        <v>12910</v>
      </c>
      <c r="G57" s="63" t="s">
        <v>12911</v>
      </c>
      <c r="H57" s="63" t="s">
        <v>12951</v>
      </c>
      <c r="I57" s="63" t="s">
        <v>12952</v>
      </c>
    </row>
    <row r="58" spans="1:9" ht="15" customHeight="1" x14ac:dyDescent="0.3">
      <c r="A58" s="63" t="s">
        <v>13644</v>
      </c>
      <c r="B58" s="63" t="s">
        <v>13645</v>
      </c>
      <c r="C58" s="63" t="s">
        <v>13646</v>
      </c>
      <c r="D58" s="64" t="s">
        <v>12591</v>
      </c>
      <c r="E58" s="63" t="s">
        <v>13618</v>
      </c>
      <c r="F58" s="63" t="s">
        <v>13619</v>
      </c>
      <c r="G58" s="63" t="s">
        <v>13620</v>
      </c>
      <c r="H58" s="63" t="s">
        <v>13647</v>
      </c>
      <c r="I58" s="63" t="s">
        <v>13648</v>
      </c>
    </row>
    <row r="59" spans="1:9" ht="15" customHeight="1" x14ac:dyDescent="0.3">
      <c r="A59" s="63" t="s">
        <v>12790</v>
      </c>
      <c r="B59" s="63" t="s">
        <v>12791</v>
      </c>
      <c r="C59" s="63" t="s">
        <v>12792</v>
      </c>
      <c r="D59" s="64" t="s">
        <v>12560</v>
      </c>
      <c r="E59" s="63" t="s">
        <v>12787</v>
      </c>
      <c r="F59" s="63" t="s">
        <v>12787</v>
      </c>
      <c r="G59" s="63" t="s">
        <v>12560</v>
      </c>
      <c r="H59" s="63" t="s">
        <v>12793</v>
      </c>
      <c r="I59" s="63" t="s">
        <v>12794</v>
      </c>
    </row>
    <row r="60" spans="1:9" ht="15" customHeight="1" x14ac:dyDescent="0.3">
      <c r="A60" s="63" t="s">
        <v>14406</v>
      </c>
      <c r="B60" s="63" t="s">
        <v>14407</v>
      </c>
      <c r="C60" s="63" t="s">
        <v>14408</v>
      </c>
      <c r="D60" s="64" t="s">
        <v>12572</v>
      </c>
      <c r="E60" s="63" t="s">
        <v>14386</v>
      </c>
      <c r="F60" s="63" t="s">
        <v>12553</v>
      </c>
      <c r="G60" s="63" t="s">
        <v>14409</v>
      </c>
      <c r="H60" s="63" t="s">
        <v>14410</v>
      </c>
      <c r="I60" s="63" t="s">
        <v>14411</v>
      </c>
    </row>
    <row r="61" spans="1:9" ht="15" customHeight="1" x14ac:dyDescent="0.3">
      <c r="A61" s="63" t="s">
        <v>12953</v>
      </c>
      <c r="B61" s="63" t="s">
        <v>12954</v>
      </c>
      <c r="C61" s="63" t="s">
        <v>12955</v>
      </c>
      <c r="D61" s="64" t="s">
        <v>12564</v>
      </c>
      <c r="E61" s="63" t="s">
        <v>12897</v>
      </c>
      <c r="F61" s="63" t="s">
        <v>12910</v>
      </c>
      <c r="G61" s="63" t="s">
        <v>12911</v>
      </c>
      <c r="H61" s="63" t="s">
        <v>12912</v>
      </c>
      <c r="I61" s="63" t="s">
        <v>12922</v>
      </c>
    </row>
    <row r="62" spans="1:9" ht="15" customHeight="1" x14ac:dyDescent="0.3">
      <c r="A62" s="63" t="s">
        <v>12956</v>
      </c>
      <c r="B62" s="63" t="s">
        <v>12957</v>
      </c>
      <c r="C62" s="63" t="s">
        <v>12958</v>
      </c>
      <c r="D62" s="64" t="s">
        <v>12564</v>
      </c>
      <c r="E62" s="63" t="s">
        <v>12897</v>
      </c>
      <c r="F62" s="63" t="s">
        <v>12904</v>
      </c>
      <c r="G62" s="63" t="s">
        <v>12905</v>
      </c>
      <c r="H62" s="63" t="s">
        <v>12906</v>
      </c>
      <c r="I62" s="63" t="s">
        <v>12906</v>
      </c>
    </row>
    <row r="63" spans="1:9" ht="15" customHeight="1" x14ac:dyDescent="0.3">
      <c r="A63" s="63" t="s">
        <v>13649</v>
      </c>
      <c r="B63" s="63" t="s">
        <v>13650</v>
      </c>
      <c r="C63" s="63" t="s">
        <v>13651</v>
      </c>
      <c r="D63" s="64" t="s">
        <v>12591</v>
      </c>
      <c r="E63" s="63" t="s">
        <v>13618</v>
      </c>
      <c r="F63" s="63" t="s">
        <v>13619</v>
      </c>
      <c r="G63" s="63" t="s">
        <v>13620</v>
      </c>
      <c r="H63" s="63" t="s">
        <v>13621</v>
      </c>
      <c r="I63" s="63" t="s">
        <v>13622</v>
      </c>
    </row>
    <row r="64" spans="1:9" ht="15" customHeight="1" x14ac:dyDescent="0.3">
      <c r="A64" s="63" t="s">
        <v>13066</v>
      </c>
      <c r="B64" s="63" t="s">
        <v>13067</v>
      </c>
      <c r="C64" s="63" t="s">
        <v>13068</v>
      </c>
      <c r="D64" s="64" t="s">
        <v>12565</v>
      </c>
      <c r="E64" s="63" t="s">
        <v>13047</v>
      </c>
      <c r="F64" s="63" t="s">
        <v>13069</v>
      </c>
      <c r="G64" s="63" t="s">
        <v>13070</v>
      </c>
      <c r="H64" s="63" t="s">
        <v>13071</v>
      </c>
      <c r="I64" s="63" t="s">
        <v>13072</v>
      </c>
    </row>
    <row r="65" spans="1:9" ht="15" customHeight="1" x14ac:dyDescent="0.3">
      <c r="A65" s="63" t="s">
        <v>12795</v>
      </c>
      <c r="B65" s="63" t="s">
        <v>12796</v>
      </c>
      <c r="C65" s="63" t="s">
        <v>12797</v>
      </c>
      <c r="D65" s="64" t="s">
        <v>12560</v>
      </c>
      <c r="E65" s="63" t="s">
        <v>12787</v>
      </c>
      <c r="F65" s="63" t="s">
        <v>12787</v>
      </c>
      <c r="G65" s="63" t="s">
        <v>12560</v>
      </c>
      <c r="H65" s="63" t="s">
        <v>12793</v>
      </c>
      <c r="I65" s="63" t="s">
        <v>12794</v>
      </c>
    </row>
    <row r="66" spans="1:9" ht="15" customHeight="1" x14ac:dyDescent="0.3">
      <c r="A66" s="63" t="s">
        <v>14412</v>
      </c>
      <c r="B66" s="63" t="s">
        <v>14413</v>
      </c>
      <c r="C66" s="63" t="s">
        <v>14414</v>
      </c>
      <c r="D66" s="64" t="s">
        <v>12572</v>
      </c>
      <c r="E66" s="63" t="s">
        <v>14386</v>
      </c>
      <c r="F66" s="63" t="s">
        <v>12553</v>
      </c>
      <c r="G66" s="63" t="s">
        <v>14409</v>
      </c>
      <c r="H66" s="63" t="s">
        <v>14415</v>
      </c>
      <c r="I66" s="63" t="s">
        <v>14416</v>
      </c>
    </row>
    <row r="67" spans="1:9" ht="15" customHeight="1" x14ac:dyDescent="0.3">
      <c r="A67" s="63" t="s">
        <v>14417</v>
      </c>
      <c r="B67" s="63" t="s">
        <v>14418</v>
      </c>
      <c r="C67" s="63" t="s">
        <v>14419</v>
      </c>
      <c r="D67" s="64" t="s">
        <v>12572</v>
      </c>
      <c r="E67" s="63" t="s">
        <v>14386</v>
      </c>
      <c r="F67" s="63" t="s">
        <v>14387</v>
      </c>
      <c r="G67" s="63" t="s">
        <v>14388</v>
      </c>
      <c r="H67" s="63" t="s">
        <v>14420</v>
      </c>
      <c r="I67" s="63" t="s">
        <v>14421</v>
      </c>
    </row>
    <row r="68" spans="1:9" ht="15" customHeight="1" x14ac:dyDescent="0.3">
      <c r="A68" s="63" t="s">
        <v>13284</v>
      </c>
      <c r="B68" s="63" t="s">
        <v>13285</v>
      </c>
      <c r="C68" s="63" t="s">
        <v>13286</v>
      </c>
      <c r="D68" s="64" t="s">
        <v>12585</v>
      </c>
      <c r="E68" s="63" t="s">
        <v>13279</v>
      </c>
      <c r="F68" s="63" t="s">
        <v>13287</v>
      </c>
      <c r="G68" s="63" t="s">
        <v>13288</v>
      </c>
      <c r="H68" s="63" t="s">
        <v>12162</v>
      </c>
      <c r="I68" s="63" t="s">
        <v>7921</v>
      </c>
    </row>
    <row r="69" spans="1:9" ht="15" customHeight="1" x14ac:dyDescent="0.3">
      <c r="A69" s="63" t="s">
        <v>14422</v>
      </c>
      <c r="B69" s="63" t="s">
        <v>14423</v>
      </c>
      <c r="C69" s="63" t="s">
        <v>14424</v>
      </c>
      <c r="D69" s="64" t="s">
        <v>12572</v>
      </c>
      <c r="E69" s="63" t="s">
        <v>14386</v>
      </c>
      <c r="F69" s="63" t="s">
        <v>12553</v>
      </c>
      <c r="G69" s="63" t="s">
        <v>14409</v>
      </c>
      <c r="H69" s="63" t="s">
        <v>14425</v>
      </c>
      <c r="I69" s="63" t="s">
        <v>14426</v>
      </c>
    </row>
    <row r="70" spans="1:9" ht="15" customHeight="1" x14ac:dyDescent="0.3">
      <c r="A70" s="63" t="s">
        <v>13528</v>
      </c>
      <c r="B70" s="63" t="s">
        <v>13529</v>
      </c>
      <c r="C70" s="63" t="s">
        <v>13530</v>
      </c>
      <c r="D70" s="64" t="s">
        <v>12579</v>
      </c>
      <c r="E70" s="63" t="s">
        <v>13506</v>
      </c>
      <c r="F70" s="63" t="s">
        <v>13531</v>
      </c>
      <c r="G70" s="63" t="s">
        <v>13532</v>
      </c>
      <c r="H70" s="63" t="s">
        <v>13533</v>
      </c>
      <c r="I70" s="63" t="s">
        <v>13534</v>
      </c>
    </row>
    <row r="71" spans="1:9" ht="15" customHeight="1" x14ac:dyDescent="0.3">
      <c r="A71" s="63" t="s">
        <v>13289</v>
      </c>
      <c r="B71" s="63" t="s">
        <v>13290</v>
      </c>
      <c r="C71" s="63" t="s">
        <v>13291</v>
      </c>
      <c r="D71" s="64" t="s">
        <v>12585</v>
      </c>
      <c r="E71" s="63" t="s">
        <v>13279</v>
      </c>
      <c r="F71" s="63" t="s">
        <v>13292</v>
      </c>
      <c r="G71" s="63" t="s">
        <v>13293</v>
      </c>
      <c r="H71" s="63" t="s">
        <v>9134</v>
      </c>
      <c r="I71" s="63" t="s">
        <v>13294</v>
      </c>
    </row>
    <row r="72" spans="1:9" ht="15" customHeight="1" x14ac:dyDescent="0.3">
      <c r="A72" s="63" t="s">
        <v>13073</v>
      </c>
      <c r="B72" s="63" t="s">
        <v>13074</v>
      </c>
      <c r="C72" s="63" t="s">
        <v>13075</v>
      </c>
      <c r="D72" s="64" t="s">
        <v>12565</v>
      </c>
      <c r="E72" s="63" t="s">
        <v>13047</v>
      </c>
      <c r="F72" s="63" t="s">
        <v>13076</v>
      </c>
      <c r="G72" s="63" t="s">
        <v>13077</v>
      </c>
      <c r="H72" s="63" t="s">
        <v>13078</v>
      </c>
      <c r="I72" s="63" t="s">
        <v>8722</v>
      </c>
    </row>
    <row r="73" spans="1:9" ht="15" customHeight="1" x14ac:dyDescent="0.3">
      <c r="A73" s="63" t="s">
        <v>13079</v>
      </c>
      <c r="B73" s="63" t="s">
        <v>13080</v>
      </c>
      <c r="C73" s="63" t="s">
        <v>13081</v>
      </c>
      <c r="D73" s="64" t="s">
        <v>12565</v>
      </c>
      <c r="E73" s="63" t="s">
        <v>13047</v>
      </c>
      <c r="F73" s="63" t="s">
        <v>13082</v>
      </c>
      <c r="G73" s="63" t="s">
        <v>13083</v>
      </c>
      <c r="H73" s="63" t="s">
        <v>13084</v>
      </c>
      <c r="I73" s="63" t="s">
        <v>13085</v>
      </c>
    </row>
    <row r="74" spans="1:9" ht="15" customHeight="1" x14ac:dyDescent="0.3">
      <c r="A74" s="63" t="s">
        <v>13652</v>
      </c>
      <c r="B74" s="63" t="s">
        <v>13021</v>
      </c>
      <c r="C74" s="63" t="s">
        <v>13653</v>
      </c>
      <c r="D74" s="64" t="s">
        <v>12591</v>
      </c>
      <c r="E74" s="63" t="s">
        <v>13618</v>
      </c>
      <c r="F74" s="63" t="s">
        <v>13654</v>
      </c>
      <c r="G74" s="63" t="s">
        <v>13655</v>
      </c>
      <c r="H74" s="63" t="s">
        <v>13656</v>
      </c>
      <c r="I74" s="63" t="s">
        <v>13657</v>
      </c>
    </row>
    <row r="75" spans="1:9" ht="15" customHeight="1" x14ac:dyDescent="0.3">
      <c r="A75" s="63" t="s">
        <v>14427</v>
      </c>
      <c r="B75" s="63" t="s">
        <v>14428</v>
      </c>
      <c r="C75" s="63" t="s">
        <v>14429</v>
      </c>
      <c r="D75" s="64" t="s">
        <v>12572</v>
      </c>
      <c r="E75" s="63" t="s">
        <v>14386</v>
      </c>
      <c r="F75" s="63" t="s">
        <v>14387</v>
      </c>
      <c r="G75" s="63" t="s">
        <v>14388</v>
      </c>
      <c r="H75" s="63" t="s">
        <v>14430</v>
      </c>
      <c r="I75" s="63" t="s">
        <v>14431</v>
      </c>
    </row>
    <row r="76" spans="1:9" ht="15" customHeight="1" x14ac:dyDescent="0.3">
      <c r="A76" s="63" t="s">
        <v>14432</v>
      </c>
      <c r="B76" s="63" t="s">
        <v>14433</v>
      </c>
      <c r="C76" s="63" t="s">
        <v>14434</v>
      </c>
      <c r="D76" s="64" t="s">
        <v>12572</v>
      </c>
      <c r="E76" s="63" t="s">
        <v>14386</v>
      </c>
      <c r="F76" s="63" t="s">
        <v>14387</v>
      </c>
      <c r="G76" s="63" t="s">
        <v>14388</v>
      </c>
      <c r="H76" s="63" t="s">
        <v>14430</v>
      </c>
      <c r="I76" s="63" t="s">
        <v>14431</v>
      </c>
    </row>
    <row r="77" spans="1:9" ht="15" customHeight="1" x14ac:dyDescent="0.3">
      <c r="A77" s="63" t="s">
        <v>14435</v>
      </c>
      <c r="B77" s="63" t="s">
        <v>14436</v>
      </c>
      <c r="C77" s="63" t="s">
        <v>14437</v>
      </c>
      <c r="D77" s="64" t="s">
        <v>12572</v>
      </c>
      <c r="E77" s="63" t="s">
        <v>14386</v>
      </c>
      <c r="F77" s="63" t="s">
        <v>14387</v>
      </c>
      <c r="G77" s="63" t="s">
        <v>14388</v>
      </c>
      <c r="H77" s="63" t="s">
        <v>14438</v>
      </c>
      <c r="I77" s="63" t="s">
        <v>14439</v>
      </c>
    </row>
    <row r="78" spans="1:9" ht="15" customHeight="1" x14ac:dyDescent="0.3">
      <c r="A78" s="63" t="s">
        <v>13295</v>
      </c>
      <c r="B78" s="63" t="s">
        <v>13296</v>
      </c>
      <c r="C78" s="63" t="s">
        <v>13297</v>
      </c>
      <c r="D78" s="64" t="s">
        <v>12585</v>
      </c>
      <c r="E78" s="63" t="s">
        <v>13279</v>
      </c>
      <c r="F78" s="63" t="s">
        <v>13298</v>
      </c>
      <c r="G78" s="63" t="s">
        <v>13299</v>
      </c>
      <c r="H78" s="63" t="s">
        <v>13300</v>
      </c>
      <c r="I78" s="63" t="s">
        <v>13301</v>
      </c>
    </row>
    <row r="79" spans="1:9" ht="15" customHeight="1" x14ac:dyDescent="0.3">
      <c r="A79" s="63" t="s">
        <v>13302</v>
      </c>
      <c r="B79" s="63" t="s">
        <v>13303</v>
      </c>
      <c r="C79" s="63" t="s">
        <v>13304</v>
      </c>
      <c r="D79" s="64" t="s">
        <v>12585</v>
      </c>
      <c r="E79" s="63" t="s">
        <v>13279</v>
      </c>
      <c r="F79" s="63" t="s">
        <v>13305</v>
      </c>
      <c r="G79" s="63" t="s">
        <v>13306</v>
      </c>
      <c r="H79" s="63" t="s">
        <v>13307</v>
      </c>
      <c r="I79" s="63" t="s">
        <v>13308</v>
      </c>
    </row>
    <row r="80" spans="1:9" ht="15" customHeight="1" x14ac:dyDescent="0.3">
      <c r="A80" s="63" t="s">
        <v>12959</v>
      </c>
      <c r="B80" s="63" t="s">
        <v>12960</v>
      </c>
      <c r="C80" s="63" t="s">
        <v>12961</v>
      </c>
      <c r="D80" s="64" t="s">
        <v>12564</v>
      </c>
      <c r="E80" s="63" t="s">
        <v>12897</v>
      </c>
      <c r="F80" s="63" t="s">
        <v>12904</v>
      </c>
      <c r="G80" s="63" t="s">
        <v>12905</v>
      </c>
      <c r="H80" s="63" t="s">
        <v>12906</v>
      </c>
      <c r="I80" s="63" t="s">
        <v>12906</v>
      </c>
    </row>
    <row r="81" spans="1:9" ht="15" customHeight="1" x14ac:dyDescent="0.3">
      <c r="A81" s="63" t="s">
        <v>13309</v>
      </c>
      <c r="B81" s="63" t="s">
        <v>13310</v>
      </c>
      <c r="C81" s="63" t="s">
        <v>13311</v>
      </c>
      <c r="D81" s="64" t="s">
        <v>12585</v>
      </c>
      <c r="E81" s="63" t="s">
        <v>13279</v>
      </c>
      <c r="F81" s="63" t="s">
        <v>13312</v>
      </c>
      <c r="G81" s="63" t="s">
        <v>13313</v>
      </c>
      <c r="H81" s="63" t="s">
        <v>13314</v>
      </c>
      <c r="I81" s="63" t="s">
        <v>13315</v>
      </c>
    </row>
    <row r="82" spans="1:9" ht="15" customHeight="1" x14ac:dyDescent="0.3">
      <c r="A82" s="63" t="s">
        <v>12962</v>
      </c>
      <c r="B82" s="63" t="s">
        <v>12963</v>
      </c>
      <c r="C82" s="63" t="s">
        <v>12964</v>
      </c>
      <c r="D82" s="64" t="s">
        <v>12564</v>
      </c>
      <c r="E82" s="63" t="s">
        <v>12897</v>
      </c>
      <c r="F82" s="63" t="s">
        <v>12910</v>
      </c>
      <c r="G82" s="63" t="s">
        <v>12911</v>
      </c>
      <c r="H82" s="63" t="s">
        <v>12912</v>
      </c>
      <c r="I82" s="63" t="s">
        <v>12922</v>
      </c>
    </row>
    <row r="83" spans="1:9" ht="15" customHeight="1" x14ac:dyDescent="0.3">
      <c r="A83" s="63" t="s">
        <v>13658</v>
      </c>
      <c r="B83" s="63" t="s">
        <v>13659</v>
      </c>
      <c r="C83" s="63" t="s">
        <v>13660</v>
      </c>
      <c r="D83" s="64" t="s">
        <v>12591</v>
      </c>
      <c r="E83" s="63" t="s">
        <v>13618</v>
      </c>
      <c r="F83" s="63" t="s">
        <v>13626</v>
      </c>
      <c r="G83" s="63" t="s">
        <v>13627</v>
      </c>
      <c r="H83" s="63" t="s">
        <v>13661</v>
      </c>
      <c r="I83" s="63" t="s">
        <v>13662</v>
      </c>
    </row>
    <row r="84" spans="1:9" ht="15" customHeight="1" x14ac:dyDescent="0.3">
      <c r="A84" s="63" t="s">
        <v>14440</v>
      </c>
      <c r="B84" s="63" t="s">
        <v>14441</v>
      </c>
      <c r="C84" s="63" t="s">
        <v>14442</v>
      </c>
      <c r="D84" s="64" t="s">
        <v>12572</v>
      </c>
      <c r="E84" s="63" t="s">
        <v>14386</v>
      </c>
      <c r="F84" s="63" t="s">
        <v>12553</v>
      </c>
      <c r="G84" s="63" t="s">
        <v>14409</v>
      </c>
      <c r="H84" s="63" t="s">
        <v>14443</v>
      </c>
      <c r="I84" s="63" t="s">
        <v>14444</v>
      </c>
    </row>
    <row r="85" spans="1:9" ht="15" customHeight="1" x14ac:dyDescent="0.3">
      <c r="A85" s="63" t="s">
        <v>14243</v>
      </c>
      <c r="B85" s="63" t="s">
        <v>14244</v>
      </c>
      <c r="C85" s="63" t="s">
        <v>14245</v>
      </c>
      <c r="D85" s="64" t="s">
        <v>12567</v>
      </c>
      <c r="E85" s="63" t="s">
        <v>14224</v>
      </c>
      <c r="F85" s="63" t="s">
        <v>12552</v>
      </c>
      <c r="G85" s="63" t="s">
        <v>12569</v>
      </c>
      <c r="H85" s="63" t="s">
        <v>14246</v>
      </c>
      <c r="I85" s="63" t="s">
        <v>14247</v>
      </c>
    </row>
    <row r="86" spans="1:9" ht="15" customHeight="1" x14ac:dyDescent="0.3">
      <c r="A86" s="63" t="s">
        <v>13663</v>
      </c>
      <c r="B86" s="63" t="s">
        <v>13664</v>
      </c>
      <c r="C86" s="63" t="s">
        <v>13665</v>
      </c>
      <c r="D86" s="64" t="s">
        <v>12591</v>
      </c>
      <c r="E86" s="63" t="s">
        <v>13618</v>
      </c>
      <c r="F86" s="63" t="s">
        <v>13619</v>
      </c>
      <c r="G86" s="63" t="s">
        <v>13620</v>
      </c>
      <c r="H86" s="63" t="s">
        <v>13666</v>
      </c>
      <c r="I86" s="63" t="s">
        <v>13667</v>
      </c>
    </row>
    <row r="87" spans="1:9" ht="15" customHeight="1" x14ac:dyDescent="0.3">
      <c r="A87" s="63" t="s">
        <v>13668</v>
      </c>
      <c r="B87" s="63" t="s">
        <v>13669</v>
      </c>
      <c r="C87" s="63" t="s">
        <v>13670</v>
      </c>
      <c r="D87" s="64" t="s">
        <v>12591</v>
      </c>
      <c r="E87" s="63" t="s">
        <v>13618</v>
      </c>
      <c r="F87" s="63" t="s">
        <v>13640</v>
      </c>
      <c r="G87" s="63" t="s">
        <v>13641</v>
      </c>
      <c r="H87" s="63" t="s">
        <v>13642</v>
      </c>
      <c r="I87" s="63" t="s">
        <v>13643</v>
      </c>
    </row>
    <row r="88" spans="1:9" ht="15" customHeight="1" x14ac:dyDescent="0.3">
      <c r="A88" s="63" t="s">
        <v>13316</v>
      </c>
      <c r="B88" s="63" t="s">
        <v>13317</v>
      </c>
      <c r="C88" s="63" t="s">
        <v>13318</v>
      </c>
      <c r="D88" s="64" t="s">
        <v>12585</v>
      </c>
      <c r="E88" s="63" t="s">
        <v>13279</v>
      </c>
      <c r="F88" s="63" t="s">
        <v>13298</v>
      </c>
      <c r="G88" s="63" t="s">
        <v>13299</v>
      </c>
      <c r="H88" s="63" t="s">
        <v>13319</v>
      </c>
      <c r="I88" s="63" t="s">
        <v>13320</v>
      </c>
    </row>
    <row r="89" spans="1:9" ht="15" customHeight="1" x14ac:dyDescent="0.3">
      <c r="A89" s="63" t="s">
        <v>13671</v>
      </c>
      <c r="B89" s="63" t="s">
        <v>13672</v>
      </c>
      <c r="C89" s="63" t="s">
        <v>13673</v>
      </c>
      <c r="D89" s="64" t="s">
        <v>12591</v>
      </c>
      <c r="E89" s="63" t="s">
        <v>13618</v>
      </c>
      <c r="F89" s="63" t="s">
        <v>13674</v>
      </c>
      <c r="G89" s="63" t="s">
        <v>13675</v>
      </c>
      <c r="H89" s="63" t="s">
        <v>13676</v>
      </c>
      <c r="I89" s="63" t="s">
        <v>13677</v>
      </c>
    </row>
    <row r="90" spans="1:9" ht="15" customHeight="1" x14ac:dyDescent="0.3">
      <c r="A90" s="63" t="s">
        <v>14445</v>
      </c>
      <c r="B90" s="63" t="s">
        <v>14446</v>
      </c>
      <c r="C90" s="63" t="s">
        <v>14447</v>
      </c>
      <c r="D90" s="64" t="s">
        <v>12572</v>
      </c>
      <c r="E90" s="63" t="s">
        <v>14386</v>
      </c>
      <c r="F90" s="63" t="s">
        <v>12553</v>
      </c>
      <c r="G90" s="63" t="s">
        <v>14409</v>
      </c>
      <c r="H90" s="63" t="s">
        <v>14448</v>
      </c>
      <c r="I90" s="63" t="s">
        <v>14449</v>
      </c>
    </row>
    <row r="91" spans="1:9" ht="15" customHeight="1" x14ac:dyDescent="0.3">
      <c r="A91" s="63" t="s">
        <v>14450</v>
      </c>
      <c r="B91" s="63" t="s">
        <v>14451</v>
      </c>
      <c r="C91" s="63" t="s">
        <v>14452</v>
      </c>
      <c r="D91" s="64" t="s">
        <v>12572</v>
      </c>
      <c r="E91" s="63" t="s">
        <v>14386</v>
      </c>
      <c r="F91" s="63" t="s">
        <v>14387</v>
      </c>
      <c r="G91" s="63" t="s">
        <v>14388</v>
      </c>
      <c r="H91" s="63" t="s">
        <v>14394</v>
      </c>
      <c r="I91" s="63" t="s">
        <v>14395</v>
      </c>
    </row>
    <row r="92" spans="1:9" ht="15" customHeight="1" x14ac:dyDescent="0.3">
      <c r="A92" s="63" t="s">
        <v>14453</v>
      </c>
      <c r="B92" s="63" t="s">
        <v>14454</v>
      </c>
      <c r="C92" s="63" t="s">
        <v>14455</v>
      </c>
      <c r="D92" s="64" t="s">
        <v>12572</v>
      </c>
      <c r="E92" s="63" t="s">
        <v>14386</v>
      </c>
      <c r="F92" s="63" t="s">
        <v>12553</v>
      </c>
      <c r="G92" s="63" t="s">
        <v>14409</v>
      </c>
      <c r="H92" s="63" t="s">
        <v>14410</v>
      </c>
      <c r="I92" s="63" t="s">
        <v>14411</v>
      </c>
    </row>
    <row r="93" spans="1:9" ht="15" customHeight="1" x14ac:dyDescent="0.3">
      <c r="A93" s="63" t="s">
        <v>14456</v>
      </c>
      <c r="B93" s="63" t="s">
        <v>14457</v>
      </c>
      <c r="C93" s="63" t="s">
        <v>14458</v>
      </c>
      <c r="D93" s="64" t="s">
        <v>12572</v>
      </c>
      <c r="E93" s="63" t="s">
        <v>14386</v>
      </c>
      <c r="F93" s="63" t="s">
        <v>12553</v>
      </c>
      <c r="G93" s="63" t="s">
        <v>14409</v>
      </c>
      <c r="H93" s="63" t="s">
        <v>14415</v>
      </c>
      <c r="I93" s="63" t="s">
        <v>14416</v>
      </c>
    </row>
    <row r="94" spans="1:9" ht="15" customHeight="1" x14ac:dyDescent="0.3">
      <c r="A94" s="63" t="s">
        <v>14459</v>
      </c>
      <c r="B94" s="63" t="s">
        <v>14460</v>
      </c>
      <c r="C94" s="63" t="s">
        <v>14461</v>
      </c>
      <c r="D94" s="64" t="s">
        <v>12572</v>
      </c>
      <c r="E94" s="63" t="s">
        <v>14386</v>
      </c>
      <c r="F94" s="63" t="s">
        <v>14387</v>
      </c>
      <c r="G94" s="63" t="s">
        <v>14388</v>
      </c>
      <c r="H94" s="63" t="s">
        <v>14462</v>
      </c>
      <c r="I94" s="63" t="s">
        <v>14463</v>
      </c>
    </row>
    <row r="95" spans="1:9" ht="15" customHeight="1" x14ac:dyDescent="0.3">
      <c r="A95" s="63" t="s">
        <v>14464</v>
      </c>
      <c r="B95" s="63" t="s">
        <v>14465</v>
      </c>
      <c r="C95" s="63" t="s">
        <v>14466</v>
      </c>
      <c r="D95" s="64" t="s">
        <v>12572</v>
      </c>
      <c r="E95" s="63" t="s">
        <v>14386</v>
      </c>
      <c r="F95" s="63" t="s">
        <v>14387</v>
      </c>
      <c r="G95" s="63" t="s">
        <v>14388</v>
      </c>
      <c r="H95" s="63" t="s">
        <v>14467</v>
      </c>
      <c r="I95" s="63" t="s">
        <v>14468</v>
      </c>
    </row>
    <row r="96" spans="1:9" ht="15" customHeight="1" x14ac:dyDescent="0.3">
      <c r="A96" s="63" t="s">
        <v>13678</v>
      </c>
      <c r="B96" s="63" t="s">
        <v>13679</v>
      </c>
      <c r="C96" s="63" t="s">
        <v>13680</v>
      </c>
      <c r="D96" s="64" t="s">
        <v>12591</v>
      </c>
      <c r="E96" s="63" t="s">
        <v>13618</v>
      </c>
      <c r="F96" s="63" t="s">
        <v>13619</v>
      </c>
      <c r="G96" s="63" t="s">
        <v>13620</v>
      </c>
      <c r="H96" s="63" t="s">
        <v>13621</v>
      </c>
      <c r="I96" s="63" t="s">
        <v>13622</v>
      </c>
    </row>
    <row r="97" spans="1:9" ht="15" customHeight="1" x14ac:dyDescent="0.3">
      <c r="A97" s="63" t="s">
        <v>14248</v>
      </c>
      <c r="B97" s="63" t="s">
        <v>14249</v>
      </c>
      <c r="C97" s="63" t="s">
        <v>14250</v>
      </c>
      <c r="D97" s="64" t="s">
        <v>12567</v>
      </c>
      <c r="E97" s="63" t="s">
        <v>14224</v>
      </c>
      <c r="F97" s="63" t="s">
        <v>12552</v>
      </c>
      <c r="G97" s="63" t="s">
        <v>12569</v>
      </c>
      <c r="H97" s="63" t="s">
        <v>14241</v>
      </c>
      <c r="I97" s="63" t="s">
        <v>14242</v>
      </c>
    </row>
    <row r="98" spans="1:9" ht="15" customHeight="1" x14ac:dyDescent="0.3">
      <c r="A98" s="63" t="s">
        <v>13681</v>
      </c>
      <c r="B98" s="63" t="s">
        <v>13682</v>
      </c>
      <c r="C98" s="63" t="s">
        <v>13683</v>
      </c>
      <c r="D98" s="64" t="s">
        <v>12591</v>
      </c>
      <c r="E98" s="63" t="s">
        <v>13618</v>
      </c>
      <c r="F98" s="63" t="s">
        <v>13684</v>
      </c>
      <c r="G98" s="63" t="s">
        <v>13685</v>
      </c>
      <c r="H98" s="63" t="s">
        <v>13686</v>
      </c>
      <c r="I98" s="63" t="s">
        <v>13687</v>
      </c>
    </row>
    <row r="99" spans="1:9" ht="15" customHeight="1" x14ac:dyDescent="0.3">
      <c r="A99" s="63" t="s">
        <v>12965</v>
      </c>
      <c r="B99" s="63" t="s">
        <v>12966</v>
      </c>
      <c r="C99" s="63" t="s">
        <v>12967</v>
      </c>
      <c r="D99" s="64" t="s">
        <v>12564</v>
      </c>
      <c r="E99" s="63" t="s">
        <v>12897</v>
      </c>
      <c r="F99" s="63" t="s">
        <v>12904</v>
      </c>
      <c r="G99" s="63" t="s">
        <v>12905</v>
      </c>
      <c r="H99" s="63" t="s">
        <v>12906</v>
      </c>
      <c r="I99" s="63" t="s">
        <v>12906</v>
      </c>
    </row>
    <row r="100" spans="1:9" ht="15" customHeight="1" x14ac:dyDescent="0.3">
      <c r="A100" s="63" t="s">
        <v>12876</v>
      </c>
      <c r="B100" s="63" t="s">
        <v>12877</v>
      </c>
      <c r="C100" s="63" t="s">
        <v>12878</v>
      </c>
      <c r="D100" s="64" t="s">
        <v>12561</v>
      </c>
      <c r="E100" s="63" t="s">
        <v>12879</v>
      </c>
      <c r="F100" s="63" t="s">
        <v>12879</v>
      </c>
      <c r="G100" s="63" t="s">
        <v>12561</v>
      </c>
      <c r="H100" s="63" t="s">
        <v>12801</v>
      </c>
      <c r="I100" s="63" t="s">
        <v>12802</v>
      </c>
    </row>
    <row r="101" spans="1:9" ht="15" customHeight="1" x14ac:dyDescent="0.3">
      <c r="A101" s="63" t="s">
        <v>13688</v>
      </c>
      <c r="B101" s="63" t="s">
        <v>13689</v>
      </c>
      <c r="C101" s="63" t="s">
        <v>13690</v>
      </c>
      <c r="D101" s="64" t="s">
        <v>12591</v>
      </c>
      <c r="E101" s="63" t="s">
        <v>13618</v>
      </c>
      <c r="F101" s="63" t="s">
        <v>13691</v>
      </c>
      <c r="G101" s="63" t="s">
        <v>13692</v>
      </c>
      <c r="H101" s="63" t="s">
        <v>13693</v>
      </c>
      <c r="I101" s="63" t="s">
        <v>13694</v>
      </c>
    </row>
    <row r="102" spans="1:9" ht="15" customHeight="1" x14ac:dyDescent="0.3">
      <c r="A102" s="63" t="s">
        <v>15056</v>
      </c>
      <c r="B102" s="63" t="s">
        <v>15057</v>
      </c>
      <c r="C102" s="63" t="s">
        <v>15058</v>
      </c>
      <c r="D102" s="64" t="s">
        <v>12573</v>
      </c>
      <c r="E102" s="63" t="s">
        <v>15059</v>
      </c>
      <c r="F102" s="63" t="s">
        <v>15060</v>
      </c>
      <c r="G102" s="63" t="s">
        <v>15061</v>
      </c>
      <c r="H102" s="63" t="s">
        <v>12706</v>
      </c>
      <c r="I102" s="63" t="s">
        <v>12707</v>
      </c>
    </row>
    <row r="103" spans="1:9" ht="15" customHeight="1" x14ac:dyDescent="0.3">
      <c r="A103" s="63" t="s">
        <v>13695</v>
      </c>
      <c r="B103" s="63" t="s">
        <v>13696</v>
      </c>
      <c r="C103" s="63" t="s">
        <v>13697</v>
      </c>
      <c r="D103" s="64" t="s">
        <v>12591</v>
      </c>
      <c r="E103" s="63" t="s">
        <v>13618</v>
      </c>
      <c r="F103" s="63" t="s">
        <v>13698</v>
      </c>
      <c r="G103" s="63" t="s">
        <v>13699</v>
      </c>
      <c r="H103" s="63" t="s">
        <v>13700</v>
      </c>
      <c r="I103" s="63" t="s">
        <v>13701</v>
      </c>
    </row>
    <row r="104" spans="1:9" ht="15" customHeight="1" x14ac:dyDescent="0.3">
      <c r="A104" s="63" t="s">
        <v>13321</v>
      </c>
      <c r="B104" s="63" t="s">
        <v>13322</v>
      </c>
      <c r="C104" s="63" t="s">
        <v>13323</v>
      </c>
      <c r="D104" s="64" t="s">
        <v>12585</v>
      </c>
      <c r="E104" s="63" t="s">
        <v>13279</v>
      </c>
      <c r="F104" s="63" t="s">
        <v>13324</v>
      </c>
      <c r="G104" s="63" t="s">
        <v>13325</v>
      </c>
      <c r="H104" s="63" t="s">
        <v>13326</v>
      </c>
      <c r="I104" s="63" t="s">
        <v>13327</v>
      </c>
    </row>
    <row r="105" spans="1:9" ht="15" customHeight="1" x14ac:dyDescent="0.3">
      <c r="A105" s="63" t="s">
        <v>12968</v>
      </c>
      <c r="B105" s="63" t="s">
        <v>12969</v>
      </c>
      <c r="C105" s="63" t="s">
        <v>12970</v>
      </c>
      <c r="D105" s="64" t="s">
        <v>12564</v>
      </c>
      <c r="E105" s="63" t="s">
        <v>12897</v>
      </c>
      <c r="F105" s="63" t="s">
        <v>12904</v>
      </c>
      <c r="G105" s="63" t="s">
        <v>12905</v>
      </c>
      <c r="H105" s="63" t="s">
        <v>12906</v>
      </c>
      <c r="I105" s="63" t="s">
        <v>12906</v>
      </c>
    </row>
    <row r="106" spans="1:9" ht="15" customHeight="1" x14ac:dyDescent="0.3">
      <c r="A106" s="63" t="s">
        <v>12971</v>
      </c>
      <c r="B106" s="63" t="s">
        <v>12972</v>
      </c>
      <c r="C106" s="63" t="s">
        <v>12973</v>
      </c>
      <c r="D106" s="64" t="s">
        <v>12564</v>
      </c>
      <c r="E106" s="63" t="s">
        <v>12897</v>
      </c>
      <c r="F106" s="63" t="s">
        <v>12904</v>
      </c>
      <c r="G106" s="63" t="s">
        <v>12905</v>
      </c>
      <c r="H106" s="63" t="s">
        <v>12906</v>
      </c>
      <c r="I106" s="63" t="s">
        <v>12906</v>
      </c>
    </row>
    <row r="107" spans="1:9" ht="15" customHeight="1" x14ac:dyDescent="0.3">
      <c r="A107" s="63" t="s">
        <v>13086</v>
      </c>
      <c r="B107" s="63" t="s">
        <v>13087</v>
      </c>
      <c r="C107" s="63" t="s">
        <v>13088</v>
      </c>
      <c r="D107" s="64" t="s">
        <v>12565</v>
      </c>
      <c r="E107" s="63" t="s">
        <v>13047</v>
      </c>
      <c r="F107" s="63" t="s">
        <v>13089</v>
      </c>
      <c r="G107" s="63" t="s">
        <v>13090</v>
      </c>
      <c r="H107" s="63" t="s">
        <v>13091</v>
      </c>
      <c r="I107" s="63" t="s">
        <v>13092</v>
      </c>
    </row>
    <row r="108" spans="1:9" ht="15" customHeight="1" x14ac:dyDescent="0.3">
      <c r="A108" s="63" t="s">
        <v>13702</v>
      </c>
      <c r="B108" s="63" t="s">
        <v>13703</v>
      </c>
      <c r="C108" s="63" t="s">
        <v>13704</v>
      </c>
      <c r="D108" s="64" t="s">
        <v>12591</v>
      </c>
      <c r="E108" s="63" t="s">
        <v>13618</v>
      </c>
      <c r="F108" s="63" t="s">
        <v>13684</v>
      </c>
      <c r="G108" s="63" t="s">
        <v>13685</v>
      </c>
      <c r="H108" s="63" t="s">
        <v>13705</v>
      </c>
      <c r="I108" s="63" t="s">
        <v>13706</v>
      </c>
    </row>
    <row r="109" spans="1:9" ht="15" customHeight="1" x14ac:dyDescent="0.3">
      <c r="A109" s="63" t="s">
        <v>12880</v>
      </c>
      <c r="B109" s="63" t="s">
        <v>12881</v>
      </c>
      <c r="C109" s="63" t="s">
        <v>12882</v>
      </c>
      <c r="D109" s="64" t="s">
        <v>12561</v>
      </c>
      <c r="E109" s="63" t="s">
        <v>12879</v>
      </c>
      <c r="F109" s="63" t="s">
        <v>12879</v>
      </c>
      <c r="G109" s="63" t="s">
        <v>12561</v>
      </c>
      <c r="H109" s="63" t="s">
        <v>12809</v>
      </c>
      <c r="I109" s="63" t="s">
        <v>12810</v>
      </c>
    </row>
    <row r="110" spans="1:9" ht="15" customHeight="1" x14ac:dyDescent="0.3">
      <c r="A110" s="63" t="s">
        <v>12883</v>
      </c>
      <c r="B110" s="63" t="s">
        <v>12884</v>
      </c>
      <c r="C110" s="63" t="s">
        <v>12885</v>
      </c>
      <c r="D110" s="64" t="s">
        <v>12561</v>
      </c>
      <c r="E110" s="63" t="s">
        <v>12879</v>
      </c>
      <c r="F110" s="63" t="s">
        <v>12879</v>
      </c>
      <c r="G110" s="63" t="s">
        <v>12561</v>
      </c>
      <c r="H110" s="63" t="s">
        <v>12801</v>
      </c>
      <c r="I110" s="63" t="s">
        <v>12802</v>
      </c>
    </row>
    <row r="111" spans="1:9" ht="15" customHeight="1" x14ac:dyDescent="0.3">
      <c r="A111" s="63" t="s">
        <v>14469</v>
      </c>
      <c r="B111" s="63" t="s">
        <v>14470</v>
      </c>
      <c r="C111" s="63" t="s">
        <v>14471</v>
      </c>
      <c r="D111" s="64" t="s">
        <v>12572</v>
      </c>
      <c r="E111" s="63" t="s">
        <v>14386</v>
      </c>
      <c r="F111" s="63" t="s">
        <v>12553</v>
      </c>
      <c r="G111" s="63" t="s">
        <v>14409</v>
      </c>
      <c r="H111" s="63" t="s">
        <v>14443</v>
      </c>
      <c r="I111" s="63" t="s">
        <v>14444</v>
      </c>
    </row>
    <row r="112" spans="1:9" ht="15" customHeight="1" x14ac:dyDescent="0.3">
      <c r="A112" s="63" t="s">
        <v>12974</v>
      </c>
      <c r="B112" s="63" t="s">
        <v>12975</v>
      </c>
      <c r="C112" s="63" t="s">
        <v>12976</v>
      </c>
      <c r="D112" s="64" t="s">
        <v>12564</v>
      </c>
      <c r="E112" s="63" t="s">
        <v>12897</v>
      </c>
      <c r="F112" s="63" t="s">
        <v>12904</v>
      </c>
      <c r="G112" s="63" t="s">
        <v>12905</v>
      </c>
      <c r="H112" s="63" t="s">
        <v>12906</v>
      </c>
      <c r="I112" s="63" t="s">
        <v>12906</v>
      </c>
    </row>
    <row r="113" spans="1:9" ht="15" customHeight="1" x14ac:dyDescent="0.3">
      <c r="A113" s="63" t="s">
        <v>14251</v>
      </c>
      <c r="B113" s="63" t="s">
        <v>14252</v>
      </c>
      <c r="C113" s="63" t="s">
        <v>14253</v>
      </c>
      <c r="D113" s="64" t="s">
        <v>12567</v>
      </c>
      <c r="E113" s="63" t="s">
        <v>14224</v>
      </c>
      <c r="F113" s="63" t="s">
        <v>14254</v>
      </c>
      <c r="G113" s="63" t="s">
        <v>12568</v>
      </c>
      <c r="H113" s="63" t="s">
        <v>14255</v>
      </c>
      <c r="I113" s="63" t="s">
        <v>14256</v>
      </c>
    </row>
    <row r="114" spans="1:9" ht="15" customHeight="1" x14ac:dyDescent="0.3">
      <c r="A114" s="63" t="s">
        <v>14257</v>
      </c>
      <c r="B114" s="63" t="s">
        <v>14258</v>
      </c>
      <c r="C114" s="63" t="s">
        <v>14259</v>
      </c>
      <c r="D114" s="64" t="s">
        <v>12567</v>
      </c>
      <c r="E114" s="63" t="s">
        <v>14224</v>
      </c>
      <c r="F114" s="63" t="s">
        <v>14225</v>
      </c>
      <c r="G114" s="63" t="s">
        <v>12570</v>
      </c>
      <c r="H114" s="63" t="s">
        <v>6398</v>
      </c>
      <c r="I114" s="63" t="s">
        <v>12731</v>
      </c>
    </row>
    <row r="115" spans="1:9" ht="15" customHeight="1" x14ac:dyDescent="0.3">
      <c r="A115" s="63" t="s">
        <v>13707</v>
      </c>
      <c r="B115" s="63" t="s">
        <v>13708</v>
      </c>
      <c r="C115" s="63" t="s">
        <v>13709</v>
      </c>
      <c r="D115" s="64" t="s">
        <v>12591</v>
      </c>
      <c r="E115" s="63" t="s">
        <v>13618</v>
      </c>
      <c r="F115" s="63" t="s">
        <v>13619</v>
      </c>
      <c r="G115" s="63" t="s">
        <v>13620</v>
      </c>
      <c r="H115" s="63" t="s">
        <v>13621</v>
      </c>
      <c r="I115" s="63" t="s">
        <v>13622</v>
      </c>
    </row>
    <row r="116" spans="1:9" ht="15" customHeight="1" x14ac:dyDescent="0.3">
      <c r="A116" s="63" t="s">
        <v>14472</v>
      </c>
      <c r="B116" s="63" t="s">
        <v>14473</v>
      </c>
      <c r="C116" s="63" t="s">
        <v>14474</v>
      </c>
      <c r="D116" s="64" t="s">
        <v>12572</v>
      </c>
      <c r="E116" s="63" t="s">
        <v>14386</v>
      </c>
      <c r="F116" s="63" t="s">
        <v>14387</v>
      </c>
      <c r="G116" s="63" t="s">
        <v>14388</v>
      </c>
      <c r="H116" s="63" t="s">
        <v>14399</v>
      </c>
      <c r="I116" s="63" t="s">
        <v>14400</v>
      </c>
    </row>
    <row r="117" spans="1:9" ht="15" customHeight="1" x14ac:dyDescent="0.3">
      <c r="A117" s="63" t="s">
        <v>13257</v>
      </c>
      <c r="B117" s="63" t="s">
        <v>13258</v>
      </c>
      <c r="C117" s="63" t="s">
        <v>163</v>
      </c>
      <c r="D117" s="64" t="s">
        <v>12580</v>
      </c>
      <c r="E117" s="63" t="s">
        <v>13254</v>
      </c>
      <c r="F117" s="63" t="s">
        <v>13259</v>
      </c>
      <c r="G117" s="63" t="s">
        <v>13260</v>
      </c>
      <c r="H117" s="63" t="s">
        <v>13261</v>
      </c>
      <c r="I117" s="63" t="s">
        <v>13262</v>
      </c>
    </row>
    <row r="118" spans="1:9" ht="15" customHeight="1" x14ac:dyDescent="0.3">
      <c r="A118" s="63" t="s">
        <v>12639</v>
      </c>
      <c r="B118" s="63" t="s">
        <v>12640</v>
      </c>
      <c r="C118" s="63" t="s">
        <v>12641</v>
      </c>
      <c r="D118" s="64" t="s">
        <v>12574</v>
      </c>
      <c r="E118" s="63" t="s">
        <v>12616</v>
      </c>
      <c r="F118" s="63" t="s">
        <v>12632</v>
      </c>
      <c r="G118" s="63" t="s">
        <v>12633</v>
      </c>
      <c r="H118" s="63" t="s">
        <v>12642</v>
      </c>
      <c r="I118" s="63" t="s">
        <v>12634</v>
      </c>
    </row>
    <row r="119" spans="1:9" ht="15" customHeight="1" x14ac:dyDescent="0.3">
      <c r="A119" s="63" t="s">
        <v>13093</v>
      </c>
      <c r="B119" s="63" t="s">
        <v>13094</v>
      </c>
      <c r="C119" s="63" t="s">
        <v>13095</v>
      </c>
      <c r="D119" s="64" t="s">
        <v>12565</v>
      </c>
      <c r="E119" s="63" t="s">
        <v>13047</v>
      </c>
      <c r="F119" s="63" t="s">
        <v>13048</v>
      </c>
      <c r="G119" s="63" t="s">
        <v>13049</v>
      </c>
      <c r="H119" s="63" t="s">
        <v>13096</v>
      </c>
      <c r="I119" s="63" t="s">
        <v>13097</v>
      </c>
    </row>
    <row r="120" spans="1:9" ht="15" customHeight="1" x14ac:dyDescent="0.3">
      <c r="A120" s="63" t="s">
        <v>12798</v>
      </c>
      <c r="B120" s="63" t="s">
        <v>12799</v>
      </c>
      <c r="C120" s="63" t="s">
        <v>12800</v>
      </c>
      <c r="D120" s="64" t="s">
        <v>12560</v>
      </c>
      <c r="E120" s="63" t="s">
        <v>12787</v>
      </c>
      <c r="F120" s="63" t="s">
        <v>12787</v>
      </c>
      <c r="G120" s="63" t="s">
        <v>12560</v>
      </c>
      <c r="H120" s="63" t="s">
        <v>12801</v>
      </c>
      <c r="I120" s="63" t="s">
        <v>12802</v>
      </c>
    </row>
    <row r="121" spans="1:9" ht="15" customHeight="1" x14ac:dyDescent="0.3">
      <c r="A121" s="63" t="s">
        <v>13710</v>
      </c>
      <c r="B121" s="63" t="s">
        <v>13711</v>
      </c>
      <c r="C121" s="63" t="s">
        <v>13712</v>
      </c>
      <c r="D121" s="64" t="s">
        <v>12591</v>
      </c>
      <c r="E121" s="63" t="s">
        <v>13618</v>
      </c>
      <c r="F121" s="63" t="s">
        <v>13698</v>
      </c>
      <c r="G121" s="63" t="s">
        <v>13699</v>
      </c>
      <c r="H121" s="63" t="s">
        <v>13713</v>
      </c>
      <c r="I121" s="63" t="s">
        <v>13714</v>
      </c>
    </row>
    <row r="122" spans="1:9" ht="15" customHeight="1" x14ac:dyDescent="0.3">
      <c r="A122" s="63" t="s">
        <v>12977</v>
      </c>
      <c r="B122" s="63" t="s">
        <v>12978</v>
      </c>
      <c r="C122" s="63" t="s">
        <v>12979</v>
      </c>
      <c r="D122" s="64" t="s">
        <v>12564</v>
      </c>
      <c r="E122" s="63" t="s">
        <v>12897</v>
      </c>
      <c r="F122" s="63" t="s">
        <v>12910</v>
      </c>
      <c r="G122" s="63" t="s">
        <v>12911</v>
      </c>
      <c r="H122" s="63" t="s">
        <v>12980</v>
      </c>
      <c r="I122" s="63" t="s">
        <v>12981</v>
      </c>
    </row>
    <row r="123" spans="1:9" ht="15" customHeight="1" x14ac:dyDescent="0.3">
      <c r="A123" s="63" t="s">
        <v>12643</v>
      </c>
      <c r="B123" s="63" t="s">
        <v>12644</v>
      </c>
      <c r="C123" s="63" t="s">
        <v>12645</v>
      </c>
      <c r="D123" s="64" t="s">
        <v>12574</v>
      </c>
      <c r="E123" s="63" t="s">
        <v>12616</v>
      </c>
      <c r="F123" s="63" t="s">
        <v>12617</v>
      </c>
      <c r="G123" s="63" t="s">
        <v>12618</v>
      </c>
      <c r="H123" s="63" t="s">
        <v>12624</v>
      </c>
      <c r="I123" s="63" t="s">
        <v>12625</v>
      </c>
    </row>
    <row r="124" spans="1:9" ht="15" customHeight="1" x14ac:dyDescent="0.3">
      <c r="A124" s="63" t="s">
        <v>13328</v>
      </c>
      <c r="B124" s="63" t="s">
        <v>13329</v>
      </c>
      <c r="C124" s="63" t="s">
        <v>13330</v>
      </c>
      <c r="D124" s="64" t="s">
        <v>12585</v>
      </c>
      <c r="E124" s="63" t="s">
        <v>13279</v>
      </c>
      <c r="F124" s="63" t="s">
        <v>13331</v>
      </c>
      <c r="G124" s="63" t="s">
        <v>13332</v>
      </c>
      <c r="H124" s="63" t="s">
        <v>7586</v>
      </c>
      <c r="I124" s="63" t="s">
        <v>7585</v>
      </c>
    </row>
    <row r="125" spans="1:9" ht="15" customHeight="1" x14ac:dyDescent="0.3">
      <c r="A125" s="63" t="s">
        <v>12646</v>
      </c>
      <c r="B125" s="63" t="s">
        <v>12647</v>
      </c>
      <c r="C125" s="63" t="s">
        <v>12647</v>
      </c>
      <c r="D125" s="64" t="s">
        <v>12574</v>
      </c>
      <c r="E125" s="63" t="s">
        <v>12616</v>
      </c>
      <c r="F125" s="63" t="s">
        <v>12632</v>
      </c>
      <c r="G125" s="63" t="s">
        <v>12633</v>
      </c>
      <c r="H125" s="63" t="s">
        <v>12642</v>
      </c>
      <c r="I125" s="63" t="s">
        <v>12634</v>
      </c>
    </row>
    <row r="126" spans="1:9" ht="15" customHeight="1" x14ac:dyDescent="0.3">
      <c r="A126" s="63" t="s">
        <v>14475</v>
      </c>
      <c r="B126" s="63" t="s">
        <v>14476</v>
      </c>
      <c r="C126" s="63" t="s">
        <v>14477</v>
      </c>
      <c r="D126" s="64" t="s">
        <v>12572</v>
      </c>
      <c r="E126" s="63" t="s">
        <v>14386</v>
      </c>
      <c r="F126" s="63" t="s">
        <v>12553</v>
      </c>
      <c r="G126" s="63" t="s">
        <v>14409</v>
      </c>
      <c r="H126" s="63" t="s">
        <v>14478</v>
      </c>
      <c r="I126" s="63" t="s">
        <v>14479</v>
      </c>
    </row>
    <row r="127" spans="1:9" ht="15" customHeight="1" x14ac:dyDescent="0.3">
      <c r="A127" s="63" t="s">
        <v>14480</v>
      </c>
      <c r="B127" s="63" t="s">
        <v>14481</v>
      </c>
      <c r="C127" s="63" t="s">
        <v>14482</v>
      </c>
      <c r="D127" s="64" t="s">
        <v>12572</v>
      </c>
      <c r="E127" s="63" t="s">
        <v>14386</v>
      </c>
      <c r="F127" s="63" t="s">
        <v>12553</v>
      </c>
      <c r="G127" s="63" t="s">
        <v>14409</v>
      </c>
      <c r="H127" s="63" t="s">
        <v>14443</v>
      </c>
      <c r="I127" s="63" t="s">
        <v>14444</v>
      </c>
    </row>
    <row r="128" spans="1:9" ht="15" customHeight="1" x14ac:dyDescent="0.3">
      <c r="A128" s="63" t="s">
        <v>14483</v>
      </c>
      <c r="B128" s="63" t="s">
        <v>14484</v>
      </c>
      <c r="C128" s="63" t="s">
        <v>14485</v>
      </c>
      <c r="D128" s="64" t="s">
        <v>12572</v>
      </c>
      <c r="E128" s="63" t="s">
        <v>14386</v>
      </c>
      <c r="F128" s="63" t="s">
        <v>12553</v>
      </c>
      <c r="G128" s="63" t="s">
        <v>14409</v>
      </c>
      <c r="H128" s="63" t="s">
        <v>14410</v>
      </c>
      <c r="I128" s="63" t="s">
        <v>14411</v>
      </c>
    </row>
    <row r="129" spans="1:9" ht="15" customHeight="1" x14ac:dyDescent="0.3">
      <c r="A129" s="63" t="s">
        <v>14486</v>
      </c>
      <c r="B129" s="63" t="s">
        <v>14487</v>
      </c>
      <c r="C129" s="63" t="s">
        <v>14488</v>
      </c>
      <c r="D129" s="64" t="s">
        <v>12572</v>
      </c>
      <c r="E129" s="63" t="s">
        <v>14386</v>
      </c>
      <c r="F129" s="63" t="s">
        <v>12553</v>
      </c>
      <c r="G129" s="63" t="s">
        <v>14409</v>
      </c>
      <c r="H129" s="63" t="s">
        <v>14489</v>
      </c>
      <c r="I129" s="63" t="s">
        <v>14490</v>
      </c>
    </row>
    <row r="130" spans="1:9" ht="15" customHeight="1" x14ac:dyDescent="0.3">
      <c r="A130" s="63" t="s">
        <v>14491</v>
      </c>
      <c r="B130" s="63" t="s">
        <v>14492</v>
      </c>
      <c r="C130" s="63" t="s">
        <v>14493</v>
      </c>
      <c r="D130" s="64" t="s">
        <v>12572</v>
      </c>
      <c r="E130" s="63" t="s">
        <v>14386</v>
      </c>
      <c r="F130" s="63" t="s">
        <v>12553</v>
      </c>
      <c r="G130" s="63" t="s">
        <v>14409</v>
      </c>
      <c r="H130" s="63" t="s">
        <v>14410</v>
      </c>
      <c r="I130" s="63" t="s">
        <v>14411</v>
      </c>
    </row>
    <row r="131" spans="1:9" ht="15" customHeight="1" x14ac:dyDescent="0.3">
      <c r="A131" s="63" t="s">
        <v>12648</v>
      </c>
      <c r="B131" s="63" t="s">
        <v>12649</v>
      </c>
      <c r="C131" s="63" t="s">
        <v>12650</v>
      </c>
      <c r="D131" s="64" t="s">
        <v>12574</v>
      </c>
      <c r="E131" s="63" t="s">
        <v>12616</v>
      </c>
      <c r="F131" s="63" t="s">
        <v>12617</v>
      </c>
      <c r="G131" s="63" t="s">
        <v>12618</v>
      </c>
      <c r="H131" s="63" t="s">
        <v>12651</v>
      </c>
      <c r="I131" s="63" t="s">
        <v>12652</v>
      </c>
    </row>
    <row r="132" spans="1:9" ht="15" customHeight="1" x14ac:dyDescent="0.3">
      <c r="A132" s="63" t="s">
        <v>14494</v>
      </c>
      <c r="B132" s="63" t="s">
        <v>14495</v>
      </c>
      <c r="C132" s="63" t="s">
        <v>14496</v>
      </c>
      <c r="D132" s="64" t="s">
        <v>12572</v>
      </c>
      <c r="E132" s="63" t="s">
        <v>14386</v>
      </c>
      <c r="F132" s="63" t="s">
        <v>12553</v>
      </c>
      <c r="G132" s="63" t="s">
        <v>14409</v>
      </c>
      <c r="H132" s="63" t="s">
        <v>14497</v>
      </c>
      <c r="I132" s="63" t="s">
        <v>14498</v>
      </c>
    </row>
    <row r="133" spans="1:9" ht="15" customHeight="1" x14ac:dyDescent="0.3">
      <c r="A133" s="63" t="s">
        <v>14499</v>
      </c>
      <c r="B133" s="63" t="s">
        <v>14500</v>
      </c>
      <c r="C133" s="63" t="s">
        <v>14501</v>
      </c>
      <c r="D133" s="64" t="s">
        <v>12572</v>
      </c>
      <c r="E133" s="63" t="s">
        <v>14386</v>
      </c>
      <c r="F133" s="63" t="s">
        <v>14387</v>
      </c>
      <c r="G133" s="63" t="s">
        <v>14388</v>
      </c>
      <c r="H133" s="63" t="s">
        <v>14420</v>
      </c>
      <c r="I133" s="63" t="s">
        <v>14421</v>
      </c>
    </row>
    <row r="134" spans="1:9" ht="15" customHeight="1" x14ac:dyDescent="0.3">
      <c r="A134" s="63" t="s">
        <v>13715</v>
      </c>
      <c r="B134" s="63" t="s">
        <v>13716</v>
      </c>
      <c r="C134" s="63" t="s">
        <v>13717</v>
      </c>
      <c r="D134" s="64" t="s">
        <v>12591</v>
      </c>
      <c r="E134" s="63" t="s">
        <v>13618</v>
      </c>
      <c r="F134" s="63" t="s">
        <v>13684</v>
      </c>
      <c r="G134" s="63" t="s">
        <v>13685</v>
      </c>
      <c r="H134" s="63" t="s">
        <v>13686</v>
      </c>
      <c r="I134" s="63" t="s">
        <v>13687</v>
      </c>
    </row>
    <row r="135" spans="1:9" ht="15" customHeight="1" x14ac:dyDescent="0.3">
      <c r="A135" s="63" t="s">
        <v>12708</v>
      </c>
      <c r="B135" s="63" t="s">
        <v>12709</v>
      </c>
      <c r="C135" s="63" t="s">
        <v>12710</v>
      </c>
      <c r="D135" s="64" t="s">
        <v>12577</v>
      </c>
      <c r="E135" s="63" t="s">
        <v>12703</v>
      </c>
      <c r="F135" s="63" t="s">
        <v>12711</v>
      </c>
      <c r="G135" s="63" t="s">
        <v>12712</v>
      </c>
      <c r="H135" s="63" t="s">
        <v>12706</v>
      </c>
      <c r="I135" s="63" t="s">
        <v>12707</v>
      </c>
    </row>
    <row r="136" spans="1:9" ht="15" customHeight="1" x14ac:dyDescent="0.3">
      <c r="A136" s="63" t="s">
        <v>14502</v>
      </c>
      <c r="B136" s="63" t="s">
        <v>14503</v>
      </c>
      <c r="C136" s="63" t="s">
        <v>14504</v>
      </c>
      <c r="D136" s="64" t="s">
        <v>12572</v>
      </c>
      <c r="E136" s="63" t="s">
        <v>14386</v>
      </c>
      <c r="F136" s="63" t="s">
        <v>14505</v>
      </c>
      <c r="G136" s="63" t="s">
        <v>14506</v>
      </c>
      <c r="H136" s="63" t="s">
        <v>14507</v>
      </c>
      <c r="I136" s="63" t="s">
        <v>14508</v>
      </c>
    </row>
    <row r="137" spans="1:9" ht="15" customHeight="1" x14ac:dyDescent="0.3">
      <c r="A137" s="63" t="s">
        <v>13718</v>
      </c>
      <c r="B137" s="63" t="s">
        <v>13719</v>
      </c>
      <c r="C137" s="63" t="s">
        <v>13720</v>
      </c>
      <c r="D137" s="64" t="s">
        <v>12591</v>
      </c>
      <c r="E137" s="63" t="s">
        <v>13618</v>
      </c>
      <c r="F137" s="63" t="s">
        <v>13698</v>
      </c>
      <c r="G137" s="63" t="s">
        <v>13699</v>
      </c>
      <c r="H137" s="63" t="s">
        <v>13721</v>
      </c>
      <c r="I137" s="63" t="s">
        <v>13722</v>
      </c>
    </row>
    <row r="138" spans="1:9" ht="15" customHeight="1" x14ac:dyDescent="0.3">
      <c r="A138" s="63" t="s">
        <v>13723</v>
      </c>
      <c r="B138" s="63" t="s">
        <v>13724</v>
      </c>
      <c r="C138" s="63" t="s">
        <v>13725</v>
      </c>
      <c r="D138" s="64" t="s">
        <v>12591</v>
      </c>
      <c r="E138" s="63" t="s">
        <v>13618</v>
      </c>
      <c r="F138" s="63" t="s">
        <v>13726</v>
      </c>
      <c r="G138" s="63" t="s">
        <v>13727</v>
      </c>
      <c r="H138" s="63" t="s">
        <v>13728</v>
      </c>
      <c r="I138" s="63" t="s">
        <v>13729</v>
      </c>
    </row>
    <row r="139" spans="1:9" ht="15" customHeight="1" x14ac:dyDescent="0.3">
      <c r="A139" s="63" t="s">
        <v>12982</v>
      </c>
      <c r="B139" s="63" t="s">
        <v>12983</v>
      </c>
      <c r="C139" s="63" t="s">
        <v>12984</v>
      </c>
      <c r="D139" s="64" t="s">
        <v>12564</v>
      </c>
      <c r="E139" s="63" t="s">
        <v>12897</v>
      </c>
      <c r="F139" s="63" t="s">
        <v>12910</v>
      </c>
      <c r="G139" s="63" t="s">
        <v>12911</v>
      </c>
      <c r="H139" s="63" t="s">
        <v>12912</v>
      </c>
      <c r="I139" s="63" t="s">
        <v>12922</v>
      </c>
    </row>
    <row r="140" spans="1:9" ht="15" customHeight="1" x14ac:dyDescent="0.3">
      <c r="A140" s="63" t="s">
        <v>13730</v>
      </c>
      <c r="B140" s="63" t="s">
        <v>13731</v>
      </c>
      <c r="C140" s="63" t="s">
        <v>13732</v>
      </c>
      <c r="D140" s="64" t="s">
        <v>12591</v>
      </c>
      <c r="E140" s="63" t="s">
        <v>13618</v>
      </c>
      <c r="F140" s="63" t="s">
        <v>13619</v>
      </c>
      <c r="G140" s="63" t="s">
        <v>13620</v>
      </c>
      <c r="H140" s="63" t="s">
        <v>13733</v>
      </c>
      <c r="I140" s="63" t="s">
        <v>13734</v>
      </c>
    </row>
    <row r="141" spans="1:9" ht="15" customHeight="1" x14ac:dyDescent="0.3">
      <c r="A141" s="63" t="s">
        <v>14509</v>
      </c>
      <c r="B141" s="63" t="s">
        <v>14510</v>
      </c>
      <c r="C141" s="63" t="s">
        <v>14511</v>
      </c>
      <c r="D141" s="64" t="s">
        <v>12572</v>
      </c>
      <c r="E141" s="63" t="s">
        <v>14386</v>
      </c>
      <c r="F141" s="63" t="s">
        <v>14387</v>
      </c>
      <c r="G141" s="63" t="s">
        <v>14388</v>
      </c>
      <c r="H141" s="63" t="s">
        <v>14512</v>
      </c>
      <c r="I141" s="63" t="s">
        <v>14513</v>
      </c>
    </row>
    <row r="142" spans="1:9" ht="15" customHeight="1" x14ac:dyDescent="0.3">
      <c r="A142" s="63" t="s">
        <v>14260</v>
      </c>
      <c r="B142" s="63" t="s">
        <v>14261</v>
      </c>
      <c r="C142" s="63" t="s">
        <v>14262</v>
      </c>
      <c r="D142" s="64" t="s">
        <v>12567</v>
      </c>
      <c r="E142" s="63" t="s">
        <v>14224</v>
      </c>
      <c r="F142" s="63" t="s">
        <v>14225</v>
      </c>
      <c r="G142" s="63" t="s">
        <v>12570</v>
      </c>
      <c r="H142" s="63" t="s">
        <v>14263</v>
      </c>
      <c r="I142" s="63" t="s">
        <v>14264</v>
      </c>
    </row>
    <row r="143" spans="1:9" ht="15" customHeight="1" x14ac:dyDescent="0.3">
      <c r="A143" s="63" t="s">
        <v>13735</v>
      </c>
      <c r="B143" s="63" t="s">
        <v>13736</v>
      </c>
      <c r="C143" s="63" t="s">
        <v>13737</v>
      </c>
      <c r="D143" s="64" t="s">
        <v>12591</v>
      </c>
      <c r="E143" s="63" t="s">
        <v>13618</v>
      </c>
      <c r="F143" s="63" t="s">
        <v>13698</v>
      </c>
      <c r="G143" s="63" t="s">
        <v>13699</v>
      </c>
      <c r="H143" s="63" t="s">
        <v>13713</v>
      </c>
      <c r="I143" s="63" t="s">
        <v>13714</v>
      </c>
    </row>
    <row r="144" spans="1:9" ht="15" customHeight="1" x14ac:dyDescent="0.3">
      <c r="A144" s="63" t="s">
        <v>13333</v>
      </c>
      <c r="B144" s="63" t="s">
        <v>13334</v>
      </c>
      <c r="C144" s="63" t="s">
        <v>13335</v>
      </c>
      <c r="D144" s="64" t="s">
        <v>12585</v>
      </c>
      <c r="E144" s="63" t="s">
        <v>13279</v>
      </c>
      <c r="F144" s="63" t="s">
        <v>13280</v>
      </c>
      <c r="G144" s="63" t="s">
        <v>13281</v>
      </c>
      <c r="H144" s="63" t="s">
        <v>13336</v>
      </c>
      <c r="I144" s="63" t="s">
        <v>13337</v>
      </c>
    </row>
    <row r="145" spans="1:9" ht="15" customHeight="1" x14ac:dyDescent="0.3">
      <c r="A145" s="63" t="s">
        <v>13338</v>
      </c>
      <c r="B145" s="63" t="s">
        <v>13339</v>
      </c>
      <c r="C145" s="63" t="s">
        <v>13340</v>
      </c>
      <c r="D145" s="64" t="s">
        <v>12585</v>
      </c>
      <c r="E145" s="63" t="s">
        <v>13279</v>
      </c>
      <c r="F145" s="63" t="s">
        <v>13331</v>
      </c>
      <c r="G145" s="63" t="s">
        <v>13332</v>
      </c>
      <c r="H145" s="63" t="s">
        <v>9134</v>
      </c>
      <c r="I145" s="63" t="s">
        <v>13294</v>
      </c>
    </row>
    <row r="146" spans="1:9" ht="15" customHeight="1" x14ac:dyDescent="0.3">
      <c r="A146" s="63" t="s">
        <v>14514</v>
      </c>
      <c r="B146" s="63" t="s">
        <v>14515</v>
      </c>
      <c r="C146" s="63" t="s">
        <v>14516</v>
      </c>
      <c r="D146" s="64" t="s">
        <v>12572</v>
      </c>
      <c r="E146" s="63" t="s">
        <v>14386</v>
      </c>
      <c r="F146" s="63" t="s">
        <v>12553</v>
      </c>
      <c r="G146" s="63" t="s">
        <v>14409</v>
      </c>
      <c r="H146" s="63" t="s">
        <v>14517</v>
      </c>
      <c r="I146" s="63" t="s">
        <v>14518</v>
      </c>
    </row>
    <row r="147" spans="1:9" ht="15" customHeight="1" x14ac:dyDescent="0.3">
      <c r="A147" s="63" t="s">
        <v>14519</v>
      </c>
      <c r="B147" s="63" t="s">
        <v>14520</v>
      </c>
      <c r="C147" s="63" t="s">
        <v>14521</v>
      </c>
      <c r="D147" s="64" t="s">
        <v>12572</v>
      </c>
      <c r="E147" s="63" t="s">
        <v>14386</v>
      </c>
      <c r="F147" s="63" t="s">
        <v>12553</v>
      </c>
      <c r="G147" s="63" t="s">
        <v>14409</v>
      </c>
      <c r="H147" s="63" t="s">
        <v>14522</v>
      </c>
      <c r="I147" s="63" t="s">
        <v>12549</v>
      </c>
    </row>
    <row r="148" spans="1:9" ht="15" customHeight="1" x14ac:dyDescent="0.3">
      <c r="A148" s="63" t="s">
        <v>14523</v>
      </c>
      <c r="B148" s="63" t="s">
        <v>14524</v>
      </c>
      <c r="C148" s="63" t="s">
        <v>14525</v>
      </c>
      <c r="D148" s="64" t="s">
        <v>12572</v>
      </c>
      <c r="E148" s="63" t="s">
        <v>14386</v>
      </c>
      <c r="F148" s="63" t="s">
        <v>12553</v>
      </c>
      <c r="G148" s="63" t="s">
        <v>14409</v>
      </c>
      <c r="H148" s="63" t="s">
        <v>14630</v>
      </c>
      <c r="I148" s="63" t="s">
        <v>14631</v>
      </c>
    </row>
    <row r="149" spans="1:9" ht="15" customHeight="1" x14ac:dyDescent="0.3">
      <c r="A149" s="63" t="s">
        <v>14526</v>
      </c>
      <c r="B149" s="63" t="s">
        <v>14527</v>
      </c>
      <c r="C149" s="63" t="s">
        <v>14528</v>
      </c>
      <c r="D149" s="64" t="s">
        <v>12572</v>
      </c>
      <c r="E149" s="63" t="s">
        <v>14386</v>
      </c>
      <c r="F149" s="63" t="s">
        <v>12553</v>
      </c>
      <c r="G149" s="63" t="s">
        <v>14409</v>
      </c>
      <c r="H149" s="63" t="s">
        <v>14529</v>
      </c>
      <c r="I149" s="63" t="s">
        <v>14530</v>
      </c>
    </row>
    <row r="150" spans="1:9" ht="15" customHeight="1" x14ac:dyDescent="0.3">
      <c r="A150" s="63" t="s">
        <v>13461</v>
      </c>
      <c r="B150" s="63" t="s">
        <v>13462</v>
      </c>
      <c r="C150" s="63" t="s">
        <v>13463</v>
      </c>
      <c r="D150" s="64" t="s">
        <v>12578</v>
      </c>
      <c r="E150" s="63" t="s">
        <v>13451</v>
      </c>
      <c r="F150" s="63" t="s">
        <v>13464</v>
      </c>
      <c r="G150" s="63" t="s">
        <v>13465</v>
      </c>
      <c r="H150" s="63" t="s">
        <v>13466</v>
      </c>
      <c r="I150" s="63" t="s">
        <v>13467</v>
      </c>
    </row>
    <row r="151" spans="1:9" ht="15" customHeight="1" x14ac:dyDescent="0.3">
      <c r="A151" s="63" t="s">
        <v>12985</v>
      </c>
      <c r="B151" s="63" t="s">
        <v>12986</v>
      </c>
      <c r="C151" s="63" t="s">
        <v>12987</v>
      </c>
      <c r="D151" s="64" t="s">
        <v>12564</v>
      </c>
      <c r="E151" s="63" t="s">
        <v>12897</v>
      </c>
      <c r="F151" s="63" t="s">
        <v>12910</v>
      </c>
      <c r="G151" s="63" t="s">
        <v>12911</v>
      </c>
      <c r="H151" s="63" t="s">
        <v>12917</v>
      </c>
      <c r="I151" s="63" t="s">
        <v>12918</v>
      </c>
    </row>
    <row r="152" spans="1:9" ht="15" customHeight="1" x14ac:dyDescent="0.3">
      <c r="A152" s="63" t="s">
        <v>13738</v>
      </c>
      <c r="B152" s="63" t="s">
        <v>13739</v>
      </c>
      <c r="C152" s="63" t="s">
        <v>13740</v>
      </c>
      <c r="D152" s="64" t="s">
        <v>12591</v>
      </c>
      <c r="E152" s="63" t="s">
        <v>13618</v>
      </c>
      <c r="F152" s="63" t="s">
        <v>13619</v>
      </c>
      <c r="G152" s="63" t="s">
        <v>13620</v>
      </c>
      <c r="H152" s="63" t="s">
        <v>13666</v>
      </c>
      <c r="I152" s="63" t="s">
        <v>13667</v>
      </c>
    </row>
    <row r="153" spans="1:9" ht="15" customHeight="1" x14ac:dyDescent="0.3">
      <c r="A153" s="63" t="s">
        <v>13741</v>
      </c>
      <c r="B153" s="63" t="s">
        <v>13742</v>
      </c>
      <c r="C153" s="63" t="s">
        <v>13743</v>
      </c>
      <c r="D153" s="64" t="s">
        <v>12591</v>
      </c>
      <c r="E153" s="63" t="s">
        <v>13618</v>
      </c>
      <c r="F153" s="63" t="s">
        <v>13619</v>
      </c>
      <c r="G153" s="63" t="s">
        <v>13620</v>
      </c>
      <c r="H153" s="63" t="s">
        <v>13666</v>
      </c>
      <c r="I153" s="63" t="s">
        <v>13667</v>
      </c>
    </row>
    <row r="154" spans="1:9" ht="15" customHeight="1" x14ac:dyDescent="0.3">
      <c r="A154" s="63" t="s">
        <v>13744</v>
      </c>
      <c r="B154" s="63" t="s">
        <v>13745</v>
      </c>
      <c r="C154" s="63" t="s">
        <v>13746</v>
      </c>
      <c r="D154" s="64" t="s">
        <v>12591</v>
      </c>
      <c r="E154" s="63" t="s">
        <v>13618</v>
      </c>
      <c r="F154" s="63" t="s">
        <v>13619</v>
      </c>
      <c r="G154" s="63" t="s">
        <v>13620</v>
      </c>
      <c r="H154" s="63" t="s">
        <v>13747</v>
      </c>
      <c r="I154" s="63" t="s">
        <v>13748</v>
      </c>
    </row>
    <row r="155" spans="1:9" ht="15" customHeight="1" x14ac:dyDescent="0.3">
      <c r="A155" s="63" t="s">
        <v>12732</v>
      </c>
      <c r="B155" s="63" t="s">
        <v>12733</v>
      </c>
      <c r="C155" s="63" t="s">
        <v>12734</v>
      </c>
      <c r="D155" s="64" t="s">
        <v>12586</v>
      </c>
      <c r="E155" s="63" t="s">
        <v>12729</v>
      </c>
      <c r="F155" s="63" t="s">
        <v>12735</v>
      </c>
      <c r="G155" s="63" t="s">
        <v>12589</v>
      </c>
      <c r="H155" s="63" t="s">
        <v>12736</v>
      </c>
      <c r="I155" s="63" t="s">
        <v>12737</v>
      </c>
    </row>
    <row r="156" spans="1:9" ht="15" customHeight="1" x14ac:dyDescent="0.3">
      <c r="A156" s="63" t="s">
        <v>13749</v>
      </c>
      <c r="B156" s="63" t="s">
        <v>13750</v>
      </c>
      <c r="C156" s="63" t="s">
        <v>13751</v>
      </c>
      <c r="D156" s="64" t="s">
        <v>12591</v>
      </c>
      <c r="E156" s="63" t="s">
        <v>13618</v>
      </c>
      <c r="F156" s="63" t="s">
        <v>13674</v>
      </c>
      <c r="G156" s="63" t="s">
        <v>13675</v>
      </c>
      <c r="H156" s="63" t="s">
        <v>13752</v>
      </c>
      <c r="I156" s="63" t="s">
        <v>13753</v>
      </c>
    </row>
    <row r="157" spans="1:9" ht="15" customHeight="1" x14ac:dyDescent="0.3">
      <c r="A157" s="63" t="s">
        <v>14531</v>
      </c>
      <c r="B157" s="63" t="s">
        <v>14532</v>
      </c>
      <c r="C157" s="63" t="s">
        <v>14533</v>
      </c>
      <c r="D157" s="64" t="s">
        <v>12572</v>
      </c>
      <c r="E157" s="63" t="s">
        <v>14386</v>
      </c>
      <c r="F157" s="63" t="s">
        <v>14505</v>
      </c>
      <c r="G157" s="63" t="s">
        <v>14506</v>
      </c>
      <c r="H157" s="63" t="s">
        <v>14534</v>
      </c>
      <c r="I157" s="63" t="s">
        <v>14535</v>
      </c>
    </row>
    <row r="158" spans="1:9" ht="15" customHeight="1" x14ac:dyDescent="0.3">
      <c r="A158" s="63" t="s">
        <v>13754</v>
      </c>
      <c r="B158" s="63" t="s">
        <v>13755</v>
      </c>
      <c r="C158" s="63" t="s">
        <v>13756</v>
      </c>
      <c r="D158" s="64" t="s">
        <v>12591</v>
      </c>
      <c r="E158" s="63" t="s">
        <v>13618</v>
      </c>
      <c r="F158" s="63" t="s">
        <v>13619</v>
      </c>
      <c r="G158" s="63" t="s">
        <v>13620</v>
      </c>
      <c r="H158" s="63" t="s">
        <v>13666</v>
      </c>
      <c r="I158" s="63" t="s">
        <v>13667</v>
      </c>
    </row>
    <row r="159" spans="1:9" ht="15" customHeight="1" x14ac:dyDescent="0.3">
      <c r="A159" s="63" t="s">
        <v>12738</v>
      </c>
      <c r="B159" s="63" t="s">
        <v>12739</v>
      </c>
      <c r="C159" s="63" t="s">
        <v>12740</v>
      </c>
      <c r="D159" s="64" t="s">
        <v>12586</v>
      </c>
      <c r="E159" s="63" t="s">
        <v>12729</v>
      </c>
      <c r="F159" s="63" t="s">
        <v>12730</v>
      </c>
      <c r="G159" s="63" t="s">
        <v>12587</v>
      </c>
      <c r="H159" s="63" t="s">
        <v>12741</v>
      </c>
      <c r="I159" s="63" t="s">
        <v>12742</v>
      </c>
    </row>
    <row r="160" spans="1:9" ht="15" customHeight="1" x14ac:dyDescent="0.3">
      <c r="A160" s="63" t="s">
        <v>13757</v>
      </c>
      <c r="B160" s="63" t="s">
        <v>13758</v>
      </c>
      <c r="C160" s="63" t="s">
        <v>13759</v>
      </c>
      <c r="D160" s="64" t="s">
        <v>12591</v>
      </c>
      <c r="E160" s="63" t="s">
        <v>13618</v>
      </c>
      <c r="F160" s="63" t="s">
        <v>13626</v>
      </c>
      <c r="G160" s="63" t="s">
        <v>13627</v>
      </c>
      <c r="H160" s="63" t="s">
        <v>13661</v>
      </c>
      <c r="I160" s="63" t="s">
        <v>13662</v>
      </c>
    </row>
    <row r="161" spans="1:9" ht="15" customHeight="1" x14ac:dyDescent="0.3">
      <c r="A161" s="63" t="s">
        <v>13098</v>
      </c>
      <c r="B161" s="63" t="s">
        <v>13099</v>
      </c>
      <c r="C161" s="63" t="s">
        <v>13100</v>
      </c>
      <c r="D161" s="64" t="s">
        <v>12565</v>
      </c>
      <c r="E161" s="63" t="s">
        <v>13047</v>
      </c>
      <c r="F161" s="63" t="s">
        <v>13089</v>
      </c>
      <c r="G161" s="63" t="s">
        <v>13090</v>
      </c>
      <c r="H161" s="63" t="s">
        <v>13101</v>
      </c>
      <c r="I161" s="63" t="s">
        <v>13102</v>
      </c>
    </row>
    <row r="162" spans="1:9" ht="15" customHeight="1" x14ac:dyDescent="0.3">
      <c r="A162" s="63" t="s">
        <v>12826</v>
      </c>
      <c r="B162" s="63" t="s">
        <v>12827</v>
      </c>
      <c r="C162" s="63" t="s">
        <v>12828</v>
      </c>
      <c r="D162" s="64" t="s">
        <v>12563</v>
      </c>
      <c r="E162" s="63" t="s">
        <v>12824</v>
      </c>
      <c r="F162" s="63" t="s">
        <v>12824</v>
      </c>
      <c r="G162" s="63" t="s">
        <v>12825</v>
      </c>
      <c r="H162" s="63" t="s">
        <v>12801</v>
      </c>
      <c r="I162" s="63" t="s">
        <v>12802</v>
      </c>
    </row>
    <row r="163" spans="1:9" ht="15" customHeight="1" x14ac:dyDescent="0.3">
      <c r="A163" s="63" t="s">
        <v>13760</v>
      </c>
      <c r="B163" s="63" t="s">
        <v>13761</v>
      </c>
      <c r="C163" s="63" t="s">
        <v>13762</v>
      </c>
      <c r="D163" s="64" t="s">
        <v>12591</v>
      </c>
      <c r="E163" s="63" t="s">
        <v>13618</v>
      </c>
      <c r="F163" s="63" t="s">
        <v>13619</v>
      </c>
      <c r="G163" s="63" t="s">
        <v>13620</v>
      </c>
      <c r="H163" s="63" t="s">
        <v>13647</v>
      </c>
      <c r="I163" s="63" t="s">
        <v>13648</v>
      </c>
    </row>
    <row r="164" spans="1:9" ht="15" customHeight="1" x14ac:dyDescent="0.3">
      <c r="A164" s="63" t="s">
        <v>13763</v>
      </c>
      <c r="B164" s="63" t="s">
        <v>13764</v>
      </c>
      <c r="C164" s="63" t="s">
        <v>13765</v>
      </c>
      <c r="D164" s="64" t="s">
        <v>12591</v>
      </c>
      <c r="E164" s="63" t="s">
        <v>13618</v>
      </c>
      <c r="F164" s="63" t="s">
        <v>13674</v>
      </c>
      <c r="G164" s="63" t="s">
        <v>13675</v>
      </c>
      <c r="H164" s="63" t="s">
        <v>13752</v>
      </c>
      <c r="I164" s="63" t="s">
        <v>13753</v>
      </c>
    </row>
    <row r="165" spans="1:9" ht="15" customHeight="1" x14ac:dyDescent="0.3">
      <c r="A165" s="63" t="s">
        <v>12988</v>
      </c>
      <c r="B165" s="63" t="s">
        <v>12989</v>
      </c>
      <c r="C165" s="63" t="s">
        <v>12990</v>
      </c>
      <c r="D165" s="64" t="s">
        <v>12564</v>
      </c>
      <c r="E165" s="63" t="s">
        <v>12897</v>
      </c>
      <c r="F165" s="63" t="s">
        <v>12904</v>
      </c>
      <c r="G165" s="63" t="s">
        <v>12905</v>
      </c>
      <c r="H165" s="63" t="s">
        <v>12906</v>
      </c>
      <c r="I165" s="63" t="s">
        <v>12906</v>
      </c>
    </row>
    <row r="166" spans="1:9" ht="15" customHeight="1" x14ac:dyDescent="0.3">
      <c r="A166" s="63" t="s">
        <v>13766</v>
      </c>
      <c r="B166" s="63" t="s">
        <v>13767</v>
      </c>
      <c r="C166" s="63" t="s">
        <v>13768</v>
      </c>
      <c r="D166" s="64" t="s">
        <v>12591</v>
      </c>
      <c r="E166" s="63" t="s">
        <v>13618</v>
      </c>
      <c r="F166" s="63" t="s">
        <v>13619</v>
      </c>
      <c r="G166" s="63" t="s">
        <v>13620</v>
      </c>
      <c r="H166" s="63" t="s">
        <v>13666</v>
      </c>
      <c r="I166" s="63" t="s">
        <v>13667</v>
      </c>
    </row>
    <row r="167" spans="1:9" ht="15" customHeight="1" x14ac:dyDescent="0.3">
      <c r="A167" s="63" t="s">
        <v>13769</v>
      </c>
      <c r="B167" s="63" t="s">
        <v>13770</v>
      </c>
      <c r="C167" s="63" t="s">
        <v>13771</v>
      </c>
      <c r="D167" s="64" t="s">
        <v>12591</v>
      </c>
      <c r="E167" s="63" t="s">
        <v>13618</v>
      </c>
      <c r="F167" s="63" t="s">
        <v>13626</v>
      </c>
      <c r="G167" s="63" t="s">
        <v>13627</v>
      </c>
      <c r="H167" s="63" t="s">
        <v>13772</v>
      </c>
      <c r="I167" s="63" t="s">
        <v>13773</v>
      </c>
    </row>
    <row r="168" spans="1:9" ht="15" customHeight="1" x14ac:dyDescent="0.3">
      <c r="A168" s="63" t="s">
        <v>13774</v>
      </c>
      <c r="B168" s="63" t="s">
        <v>13775</v>
      </c>
      <c r="C168" s="63" t="s">
        <v>13776</v>
      </c>
      <c r="D168" s="64" t="s">
        <v>12591</v>
      </c>
      <c r="E168" s="63" t="s">
        <v>13618</v>
      </c>
      <c r="F168" s="63" t="s">
        <v>13619</v>
      </c>
      <c r="G168" s="63" t="s">
        <v>13620</v>
      </c>
      <c r="H168" s="63" t="s">
        <v>13747</v>
      </c>
      <c r="I168" s="63" t="s">
        <v>13748</v>
      </c>
    </row>
    <row r="169" spans="1:9" ht="15" customHeight="1" x14ac:dyDescent="0.3">
      <c r="A169" s="63" t="s">
        <v>13777</v>
      </c>
      <c r="B169" s="63" t="s">
        <v>13778</v>
      </c>
      <c r="C169" s="63" t="s">
        <v>13779</v>
      </c>
      <c r="D169" s="64" t="s">
        <v>12591</v>
      </c>
      <c r="E169" s="63" t="s">
        <v>13618</v>
      </c>
      <c r="F169" s="63" t="s">
        <v>13674</v>
      </c>
      <c r="G169" s="63" t="s">
        <v>13675</v>
      </c>
      <c r="H169" s="63" t="s">
        <v>13752</v>
      </c>
      <c r="I169" s="63" t="s">
        <v>13753</v>
      </c>
    </row>
    <row r="170" spans="1:9" ht="15" customHeight="1" x14ac:dyDescent="0.3">
      <c r="A170" s="63" t="s">
        <v>12991</v>
      </c>
      <c r="B170" s="63" t="s">
        <v>12992</v>
      </c>
      <c r="C170" s="63" t="s">
        <v>12993</v>
      </c>
      <c r="D170" s="64" t="s">
        <v>12564</v>
      </c>
      <c r="E170" s="63" t="s">
        <v>12897</v>
      </c>
      <c r="F170" s="63" t="s">
        <v>12904</v>
      </c>
      <c r="G170" s="63" t="s">
        <v>12905</v>
      </c>
      <c r="H170" s="63" t="s">
        <v>12906</v>
      </c>
      <c r="I170" s="63" t="s">
        <v>12906</v>
      </c>
    </row>
    <row r="171" spans="1:9" ht="15" customHeight="1" x14ac:dyDescent="0.3">
      <c r="A171" s="63" t="s">
        <v>14536</v>
      </c>
      <c r="B171" s="63" t="s">
        <v>14537</v>
      </c>
      <c r="C171" s="63" t="s">
        <v>14538</v>
      </c>
      <c r="D171" s="64" t="s">
        <v>12572</v>
      </c>
      <c r="E171" s="63" t="s">
        <v>14386</v>
      </c>
      <c r="F171" s="63" t="s">
        <v>12553</v>
      </c>
      <c r="G171" s="63" t="s">
        <v>14409</v>
      </c>
      <c r="H171" s="63" t="s">
        <v>14539</v>
      </c>
      <c r="I171" s="63" t="s">
        <v>14540</v>
      </c>
    </row>
    <row r="172" spans="1:9" ht="15" customHeight="1" x14ac:dyDescent="0.3">
      <c r="A172" s="63" t="s">
        <v>13341</v>
      </c>
      <c r="B172" s="63" t="s">
        <v>13342</v>
      </c>
      <c r="C172" s="63" t="s">
        <v>13343</v>
      </c>
      <c r="D172" s="64" t="s">
        <v>12585</v>
      </c>
      <c r="E172" s="63" t="s">
        <v>13279</v>
      </c>
      <c r="F172" s="63" t="s">
        <v>13344</v>
      </c>
      <c r="G172" s="63" t="s">
        <v>13345</v>
      </c>
      <c r="H172" s="63" t="s">
        <v>9134</v>
      </c>
      <c r="I172" s="63" t="s">
        <v>13294</v>
      </c>
    </row>
    <row r="173" spans="1:9" ht="15" customHeight="1" x14ac:dyDescent="0.3">
      <c r="A173" s="63" t="s">
        <v>12852</v>
      </c>
      <c r="B173" s="63" t="s">
        <v>12853</v>
      </c>
      <c r="C173" s="63" t="s">
        <v>12854</v>
      </c>
      <c r="D173" s="64" t="s">
        <v>12562</v>
      </c>
      <c r="E173" s="63" t="s">
        <v>12855</v>
      </c>
      <c r="F173" s="63" t="s">
        <v>12855</v>
      </c>
      <c r="G173" s="63" t="s">
        <v>12562</v>
      </c>
      <c r="H173" s="63" t="s">
        <v>12801</v>
      </c>
      <c r="I173" s="63" t="s">
        <v>12802</v>
      </c>
    </row>
    <row r="174" spans="1:9" ht="15" customHeight="1" x14ac:dyDescent="0.3">
      <c r="A174" s="63" t="s">
        <v>14541</v>
      </c>
      <c r="B174" s="63" t="s">
        <v>14542</v>
      </c>
      <c r="C174" s="63" t="s">
        <v>14543</v>
      </c>
      <c r="D174" s="64" t="s">
        <v>12572</v>
      </c>
      <c r="E174" s="63" t="s">
        <v>14386</v>
      </c>
      <c r="F174" s="63" t="s">
        <v>14505</v>
      </c>
      <c r="G174" s="63" t="s">
        <v>14506</v>
      </c>
      <c r="H174" s="63" t="s">
        <v>14544</v>
      </c>
      <c r="I174" s="63" t="s">
        <v>14545</v>
      </c>
    </row>
    <row r="175" spans="1:9" ht="15" customHeight="1" x14ac:dyDescent="0.3">
      <c r="A175" s="63" t="s">
        <v>12803</v>
      </c>
      <c r="B175" s="63" t="s">
        <v>12804</v>
      </c>
      <c r="C175" s="63" t="s">
        <v>12805</v>
      </c>
      <c r="D175" s="64" t="s">
        <v>12560</v>
      </c>
      <c r="E175" s="63" t="s">
        <v>12787</v>
      </c>
      <c r="F175" s="63" t="s">
        <v>12787</v>
      </c>
      <c r="G175" s="63" t="s">
        <v>12560</v>
      </c>
      <c r="H175" s="63" t="s">
        <v>12801</v>
      </c>
      <c r="I175" s="63" t="s">
        <v>12802</v>
      </c>
    </row>
    <row r="176" spans="1:9" ht="15" customHeight="1" x14ac:dyDescent="0.3">
      <c r="A176" s="63" t="s">
        <v>12994</v>
      </c>
      <c r="B176" s="63" t="s">
        <v>12995</v>
      </c>
      <c r="C176" s="63" t="s">
        <v>12996</v>
      </c>
      <c r="D176" s="64" t="s">
        <v>12564</v>
      </c>
      <c r="E176" s="63" t="s">
        <v>12897</v>
      </c>
      <c r="F176" s="63" t="s">
        <v>12904</v>
      </c>
      <c r="G176" s="63" t="s">
        <v>12905</v>
      </c>
      <c r="H176" s="63" t="s">
        <v>12906</v>
      </c>
      <c r="I176" s="63" t="s">
        <v>12906</v>
      </c>
    </row>
    <row r="177" spans="1:9" ht="15" customHeight="1" x14ac:dyDescent="0.3">
      <c r="A177" s="63" t="s">
        <v>13535</v>
      </c>
      <c r="B177" s="63" t="s">
        <v>13536</v>
      </c>
      <c r="C177" s="63" t="s">
        <v>13537</v>
      </c>
      <c r="D177" s="64" t="s">
        <v>12579</v>
      </c>
      <c r="E177" s="63" t="s">
        <v>13506</v>
      </c>
      <c r="F177" s="63" t="s">
        <v>13538</v>
      </c>
      <c r="G177" s="63" t="s">
        <v>13539</v>
      </c>
      <c r="H177" s="63" t="s">
        <v>13540</v>
      </c>
      <c r="I177" s="63" t="s">
        <v>13541</v>
      </c>
    </row>
    <row r="178" spans="1:9" ht="15" customHeight="1" x14ac:dyDescent="0.3">
      <c r="A178" s="63" t="s">
        <v>13103</v>
      </c>
      <c r="B178" s="63" t="s">
        <v>13104</v>
      </c>
      <c r="C178" s="63" t="s">
        <v>13105</v>
      </c>
      <c r="D178" s="64" t="s">
        <v>12565</v>
      </c>
      <c r="E178" s="63" t="s">
        <v>13047</v>
      </c>
      <c r="F178" s="63" t="s">
        <v>13089</v>
      </c>
      <c r="G178" s="63" t="s">
        <v>13090</v>
      </c>
      <c r="H178" s="63" t="s">
        <v>13091</v>
      </c>
      <c r="I178" s="63" t="s">
        <v>13092</v>
      </c>
    </row>
    <row r="179" spans="1:9" ht="15" customHeight="1" x14ac:dyDescent="0.3">
      <c r="A179" s="63" t="s">
        <v>13542</v>
      </c>
      <c r="B179" s="63" t="s">
        <v>13543</v>
      </c>
      <c r="C179" s="63" t="s">
        <v>13543</v>
      </c>
      <c r="D179" s="64" t="s">
        <v>12579</v>
      </c>
      <c r="E179" s="63" t="s">
        <v>13506</v>
      </c>
      <c r="F179" s="63" t="s">
        <v>13544</v>
      </c>
      <c r="G179" s="63" t="s">
        <v>13545</v>
      </c>
      <c r="H179" s="63" t="s">
        <v>13546</v>
      </c>
      <c r="I179" s="63" t="s">
        <v>13547</v>
      </c>
    </row>
    <row r="180" spans="1:9" ht="15" customHeight="1" x14ac:dyDescent="0.3">
      <c r="A180" s="63" t="s">
        <v>14546</v>
      </c>
      <c r="B180" s="63" t="s">
        <v>14547</v>
      </c>
      <c r="C180" s="63" t="s">
        <v>14548</v>
      </c>
      <c r="D180" s="64" t="s">
        <v>12572</v>
      </c>
      <c r="E180" s="63" t="s">
        <v>14386</v>
      </c>
      <c r="F180" s="63" t="s">
        <v>14387</v>
      </c>
      <c r="G180" s="63" t="s">
        <v>14388</v>
      </c>
      <c r="H180" s="63" t="s">
        <v>14430</v>
      </c>
      <c r="I180" s="63" t="s">
        <v>14431</v>
      </c>
    </row>
    <row r="181" spans="1:9" ht="15" customHeight="1" x14ac:dyDescent="0.3">
      <c r="A181" s="63" t="s">
        <v>12997</v>
      </c>
      <c r="B181" s="63" t="s">
        <v>12998</v>
      </c>
      <c r="C181" s="63" t="s">
        <v>12999</v>
      </c>
      <c r="D181" s="64" t="s">
        <v>12564</v>
      </c>
      <c r="E181" s="63" t="s">
        <v>12897</v>
      </c>
      <c r="F181" s="63" t="s">
        <v>12904</v>
      </c>
      <c r="G181" s="63" t="s">
        <v>12905</v>
      </c>
      <c r="H181" s="63" t="s">
        <v>12906</v>
      </c>
      <c r="I181" s="63" t="s">
        <v>12906</v>
      </c>
    </row>
    <row r="182" spans="1:9" ht="15" customHeight="1" x14ac:dyDescent="0.3">
      <c r="A182" s="63" t="s">
        <v>13106</v>
      </c>
      <c r="B182" s="63" t="s">
        <v>13107</v>
      </c>
      <c r="C182" s="63" t="s">
        <v>13108</v>
      </c>
      <c r="D182" s="64" t="s">
        <v>12565</v>
      </c>
      <c r="E182" s="63" t="s">
        <v>13047</v>
      </c>
      <c r="F182" s="63" t="s">
        <v>13109</v>
      </c>
      <c r="G182" s="63" t="s">
        <v>13110</v>
      </c>
      <c r="H182" s="63" t="s">
        <v>13111</v>
      </c>
      <c r="I182" s="63" t="s">
        <v>13112</v>
      </c>
    </row>
    <row r="183" spans="1:9" ht="15" customHeight="1" x14ac:dyDescent="0.3">
      <c r="A183" s="63" t="s">
        <v>14265</v>
      </c>
      <c r="B183" s="63" t="s">
        <v>14266</v>
      </c>
      <c r="C183" s="63" t="s">
        <v>14267</v>
      </c>
      <c r="D183" s="64" t="s">
        <v>12567</v>
      </c>
      <c r="E183" s="63" t="s">
        <v>14224</v>
      </c>
      <c r="F183" s="63" t="s">
        <v>12552</v>
      </c>
      <c r="G183" s="63" t="s">
        <v>12569</v>
      </c>
      <c r="H183" s="63" t="s">
        <v>14241</v>
      </c>
      <c r="I183" s="63" t="s">
        <v>14242</v>
      </c>
    </row>
    <row r="184" spans="1:9" ht="15" customHeight="1" x14ac:dyDescent="0.3">
      <c r="A184" s="63" t="s">
        <v>12886</v>
      </c>
      <c r="B184" s="63" t="s">
        <v>12887</v>
      </c>
      <c r="C184" s="63" t="s">
        <v>12888</v>
      </c>
      <c r="D184" s="64" t="s">
        <v>12561</v>
      </c>
      <c r="E184" s="63" t="s">
        <v>12879</v>
      </c>
      <c r="F184" s="63" t="s">
        <v>12879</v>
      </c>
      <c r="G184" s="63" t="s">
        <v>12561</v>
      </c>
      <c r="H184" s="63" t="s">
        <v>12801</v>
      </c>
      <c r="I184" s="63" t="s">
        <v>12802</v>
      </c>
    </row>
    <row r="185" spans="1:9" ht="15" customHeight="1" x14ac:dyDescent="0.3">
      <c r="A185" s="63" t="s">
        <v>13000</v>
      </c>
      <c r="B185" s="63" t="s">
        <v>13001</v>
      </c>
      <c r="C185" s="63" t="s">
        <v>13002</v>
      </c>
      <c r="D185" s="64" t="s">
        <v>12564</v>
      </c>
      <c r="E185" s="63" t="s">
        <v>12897</v>
      </c>
      <c r="F185" s="63" t="s">
        <v>12910</v>
      </c>
      <c r="G185" s="63" t="s">
        <v>12911</v>
      </c>
      <c r="H185" s="63" t="s">
        <v>12917</v>
      </c>
      <c r="I185" s="63" t="s">
        <v>12918</v>
      </c>
    </row>
    <row r="186" spans="1:9" ht="15" customHeight="1" x14ac:dyDescent="0.3">
      <c r="A186" s="63" t="s">
        <v>14268</v>
      </c>
      <c r="B186" s="63" t="s">
        <v>13362</v>
      </c>
      <c r="C186" s="63" t="s">
        <v>14269</v>
      </c>
      <c r="D186" s="64" t="s">
        <v>12567</v>
      </c>
      <c r="E186" s="63" t="s">
        <v>14224</v>
      </c>
      <c r="F186" s="63" t="s">
        <v>14225</v>
      </c>
      <c r="G186" s="63" t="s">
        <v>12570</v>
      </c>
      <c r="H186" s="63" t="s">
        <v>6398</v>
      </c>
      <c r="I186" s="63" t="s">
        <v>12731</v>
      </c>
    </row>
    <row r="187" spans="1:9" ht="15" customHeight="1" x14ac:dyDescent="0.3">
      <c r="A187" s="63" t="s">
        <v>13003</v>
      </c>
      <c r="B187" s="63" t="s">
        <v>13004</v>
      </c>
      <c r="C187" s="63" t="s">
        <v>13005</v>
      </c>
      <c r="D187" s="64" t="s">
        <v>12564</v>
      </c>
      <c r="E187" s="63" t="s">
        <v>12897</v>
      </c>
      <c r="F187" s="63" t="s">
        <v>12904</v>
      </c>
      <c r="G187" s="63" t="s">
        <v>12905</v>
      </c>
      <c r="H187" s="63" t="s">
        <v>12906</v>
      </c>
      <c r="I187" s="63" t="s">
        <v>12906</v>
      </c>
    </row>
    <row r="188" spans="1:9" ht="15" customHeight="1" x14ac:dyDescent="0.3">
      <c r="A188" s="63" t="s">
        <v>13006</v>
      </c>
      <c r="B188" s="63" t="s">
        <v>13007</v>
      </c>
      <c r="C188" s="63" t="s">
        <v>13008</v>
      </c>
      <c r="D188" s="64" t="s">
        <v>12564</v>
      </c>
      <c r="E188" s="63" t="s">
        <v>12897</v>
      </c>
      <c r="F188" s="63" t="s">
        <v>12910</v>
      </c>
      <c r="G188" s="63" t="s">
        <v>12911</v>
      </c>
      <c r="H188" s="63" t="s">
        <v>12917</v>
      </c>
      <c r="I188" s="63" t="s">
        <v>12918</v>
      </c>
    </row>
    <row r="189" spans="1:9" ht="15" customHeight="1" x14ac:dyDescent="0.3">
      <c r="A189" s="63" t="s">
        <v>14549</v>
      </c>
      <c r="B189" s="63" t="s">
        <v>14550</v>
      </c>
      <c r="C189" s="63" t="s">
        <v>14551</v>
      </c>
      <c r="D189" s="64" t="s">
        <v>12572</v>
      </c>
      <c r="E189" s="63" t="s">
        <v>14386</v>
      </c>
      <c r="F189" s="63" t="s">
        <v>14387</v>
      </c>
      <c r="G189" s="63" t="s">
        <v>14388</v>
      </c>
      <c r="H189" s="63" t="s">
        <v>14552</v>
      </c>
      <c r="I189" s="63" t="s">
        <v>14553</v>
      </c>
    </row>
    <row r="190" spans="1:9" ht="15" customHeight="1" x14ac:dyDescent="0.3">
      <c r="A190" s="63" t="s">
        <v>13009</v>
      </c>
      <c r="B190" s="63" t="s">
        <v>13010</v>
      </c>
      <c r="C190" s="63" t="s">
        <v>13011</v>
      </c>
      <c r="D190" s="64" t="s">
        <v>12564</v>
      </c>
      <c r="E190" s="63" t="s">
        <v>12897</v>
      </c>
      <c r="F190" s="63" t="s">
        <v>12904</v>
      </c>
      <c r="G190" s="63" t="s">
        <v>12905</v>
      </c>
      <c r="H190" s="63" t="s">
        <v>12906</v>
      </c>
      <c r="I190" s="63" t="s">
        <v>12906</v>
      </c>
    </row>
    <row r="191" spans="1:9" ht="15" customHeight="1" x14ac:dyDescent="0.3">
      <c r="A191" s="63" t="s">
        <v>13012</v>
      </c>
      <c r="B191" s="63" t="s">
        <v>13013</v>
      </c>
      <c r="C191" s="63" t="s">
        <v>13014</v>
      </c>
      <c r="D191" s="64" t="s">
        <v>12564</v>
      </c>
      <c r="E191" s="63" t="s">
        <v>12897</v>
      </c>
      <c r="F191" s="63" t="s">
        <v>12910</v>
      </c>
      <c r="G191" s="63" t="s">
        <v>12911</v>
      </c>
      <c r="H191" s="63" t="s">
        <v>12917</v>
      </c>
      <c r="I191" s="63" t="s">
        <v>12918</v>
      </c>
    </row>
    <row r="192" spans="1:9" ht="15" customHeight="1" x14ac:dyDescent="0.3">
      <c r="A192" s="63" t="s">
        <v>14554</v>
      </c>
      <c r="B192" s="63" t="s">
        <v>14555</v>
      </c>
      <c r="C192" s="63" t="s">
        <v>14556</v>
      </c>
      <c r="D192" s="64" t="s">
        <v>12572</v>
      </c>
      <c r="E192" s="63" t="s">
        <v>14386</v>
      </c>
      <c r="F192" s="63" t="s">
        <v>14387</v>
      </c>
      <c r="G192" s="63" t="s">
        <v>14388</v>
      </c>
      <c r="H192" s="63" t="s">
        <v>14399</v>
      </c>
      <c r="I192" s="63" t="s">
        <v>14400</v>
      </c>
    </row>
    <row r="193" spans="1:9" ht="15" customHeight="1" x14ac:dyDescent="0.3">
      <c r="A193" s="63" t="s">
        <v>14557</v>
      </c>
      <c r="B193" s="63" t="s">
        <v>14558</v>
      </c>
      <c r="C193" s="63" t="s">
        <v>14559</v>
      </c>
      <c r="D193" s="64" t="s">
        <v>12572</v>
      </c>
      <c r="E193" s="63" t="s">
        <v>14386</v>
      </c>
      <c r="F193" s="63" t="s">
        <v>14387</v>
      </c>
      <c r="G193" s="63" t="s">
        <v>14388</v>
      </c>
      <c r="H193" s="63" t="s">
        <v>14430</v>
      </c>
      <c r="I193" s="63" t="s">
        <v>14431</v>
      </c>
    </row>
    <row r="194" spans="1:9" ht="15" customHeight="1" x14ac:dyDescent="0.3">
      <c r="A194" s="63" t="s">
        <v>13113</v>
      </c>
      <c r="B194" s="63" t="s">
        <v>13114</v>
      </c>
      <c r="C194" s="63" t="s">
        <v>13115</v>
      </c>
      <c r="D194" s="64" t="s">
        <v>12565</v>
      </c>
      <c r="E194" s="63" t="s">
        <v>13047</v>
      </c>
      <c r="F194" s="63" t="s">
        <v>13048</v>
      </c>
      <c r="G194" s="63" t="s">
        <v>13049</v>
      </c>
      <c r="H194" s="63" t="s">
        <v>13050</v>
      </c>
      <c r="I194" s="63" t="s">
        <v>13051</v>
      </c>
    </row>
    <row r="195" spans="1:9" ht="15" customHeight="1" x14ac:dyDescent="0.3">
      <c r="A195" s="63" t="s">
        <v>13780</v>
      </c>
      <c r="B195" s="63" t="s">
        <v>13781</v>
      </c>
      <c r="C195" s="63" t="s">
        <v>13782</v>
      </c>
      <c r="D195" s="64" t="s">
        <v>12591</v>
      </c>
      <c r="E195" s="63" t="s">
        <v>13618</v>
      </c>
      <c r="F195" s="63" t="s">
        <v>13640</v>
      </c>
      <c r="G195" s="63" t="s">
        <v>13641</v>
      </c>
      <c r="H195" s="63" t="s">
        <v>13642</v>
      </c>
      <c r="I195" s="63" t="s">
        <v>13643</v>
      </c>
    </row>
    <row r="196" spans="1:9" ht="15" customHeight="1" x14ac:dyDescent="0.3">
      <c r="A196" s="63" t="s">
        <v>13015</v>
      </c>
      <c r="B196" s="63" t="s">
        <v>13016</v>
      </c>
      <c r="C196" s="63" t="s">
        <v>13017</v>
      </c>
      <c r="D196" s="64" t="s">
        <v>12564</v>
      </c>
      <c r="E196" s="63" t="s">
        <v>12897</v>
      </c>
      <c r="F196" s="63" t="s">
        <v>12904</v>
      </c>
      <c r="G196" s="63" t="s">
        <v>12905</v>
      </c>
      <c r="H196" s="63" t="s">
        <v>12906</v>
      </c>
      <c r="I196" s="63" t="s">
        <v>12906</v>
      </c>
    </row>
    <row r="197" spans="1:9" ht="15" customHeight="1" x14ac:dyDescent="0.3">
      <c r="A197" s="63" t="s">
        <v>13548</v>
      </c>
      <c r="B197" s="63" t="s">
        <v>13549</v>
      </c>
      <c r="C197" s="63" t="s">
        <v>13550</v>
      </c>
      <c r="D197" s="64" t="s">
        <v>12579</v>
      </c>
      <c r="E197" s="63" t="s">
        <v>13506</v>
      </c>
      <c r="F197" s="63" t="s">
        <v>13551</v>
      </c>
      <c r="G197" s="63" t="s">
        <v>13552</v>
      </c>
      <c r="H197" s="63" t="s">
        <v>13553</v>
      </c>
      <c r="I197" s="63" t="s">
        <v>13554</v>
      </c>
    </row>
    <row r="198" spans="1:9" ht="15" customHeight="1" x14ac:dyDescent="0.3">
      <c r="A198" s="63" t="s">
        <v>13555</v>
      </c>
      <c r="B198" s="63" t="s">
        <v>13556</v>
      </c>
      <c r="C198" s="63" t="s">
        <v>13557</v>
      </c>
      <c r="D198" s="64" t="s">
        <v>12579</v>
      </c>
      <c r="E198" s="63" t="s">
        <v>13506</v>
      </c>
      <c r="F198" s="63" t="s">
        <v>13558</v>
      </c>
      <c r="G198" s="63" t="s">
        <v>13559</v>
      </c>
      <c r="H198" s="63" t="s">
        <v>13560</v>
      </c>
      <c r="I198" s="63" t="s">
        <v>13561</v>
      </c>
    </row>
    <row r="199" spans="1:9" ht="15" customHeight="1" x14ac:dyDescent="0.3">
      <c r="A199" s="63" t="s">
        <v>14560</v>
      </c>
      <c r="B199" s="63" t="s">
        <v>14561</v>
      </c>
      <c r="C199" s="63" t="s">
        <v>14562</v>
      </c>
      <c r="D199" s="64" t="s">
        <v>12572</v>
      </c>
      <c r="E199" s="63" t="s">
        <v>14386</v>
      </c>
      <c r="F199" s="63" t="s">
        <v>14505</v>
      </c>
      <c r="G199" s="63" t="s">
        <v>14506</v>
      </c>
      <c r="H199" s="63" t="s">
        <v>14563</v>
      </c>
      <c r="I199" s="63" t="s">
        <v>14564</v>
      </c>
    </row>
    <row r="200" spans="1:9" ht="15" customHeight="1" x14ac:dyDescent="0.3">
      <c r="A200" s="63" t="s">
        <v>13783</v>
      </c>
      <c r="B200" s="63" t="s">
        <v>13784</v>
      </c>
      <c r="C200" s="63" t="s">
        <v>13785</v>
      </c>
      <c r="D200" s="64" t="s">
        <v>12591</v>
      </c>
      <c r="E200" s="63" t="s">
        <v>13618</v>
      </c>
      <c r="F200" s="63" t="s">
        <v>13619</v>
      </c>
      <c r="G200" s="63" t="s">
        <v>13620</v>
      </c>
      <c r="H200" s="63" t="s">
        <v>13621</v>
      </c>
      <c r="I200" s="63" t="s">
        <v>13622</v>
      </c>
    </row>
    <row r="201" spans="1:9" ht="15" customHeight="1" x14ac:dyDescent="0.3">
      <c r="A201" s="63" t="s">
        <v>14565</v>
      </c>
      <c r="B201" s="63" t="s">
        <v>14566</v>
      </c>
      <c r="C201" s="63" t="s">
        <v>14567</v>
      </c>
      <c r="D201" s="64" t="s">
        <v>12572</v>
      </c>
      <c r="E201" s="63" t="s">
        <v>14386</v>
      </c>
      <c r="F201" s="63" t="s">
        <v>12553</v>
      </c>
      <c r="G201" s="63" t="s">
        <v>14409</v>
      </c>
      <c r="H201" s="63" t="s">
        <v>14568</v>
      </c>
      <c r="I201" s="63" t="s">
        <v>14569</v>
      </c>
    </row>
    <row r="202" spans="1:9" ht="15" customHeight="1" x14ac:dyDescent="0.3">
      <c r="A202" s="63" t="s">
        <v>14570</v>
      </c>
      <c r="B202" s="63" t="s">
        <v>14571</v>
      </c>
      <c r="C202" s="63" t="s">
        <v>14572</v>
      </c>
      <c r="D202" s="64" t="s">
        <v>12572</v>
      </c>
      <c r="E202" s="63" t="s">
        <v>14386</v>
      </c>
      <c r="F202" s="63" t="s">
        <v>12553</v>
      </c>
      <c r="G202" s="63" t="s">
        <v>14409</v>
      </c>
      <c r="H202" s="63" t="s">
        <v>14573</v>
      </c>
      <c r="I202" s="63" t="s">
        <v>14574</v>
      </c>
    </row>
    <row r="203" spans="1:9" ht="15" customHeight="1" x14ac:dyDescent="0.3">
      <c r="A203" s="63" t="s">
        <v>13018</v>
      </c>
      <c r="B203" s="63" t="s">
        <v>13019</v>
      </c>
      <c r="C203" s="63" t="s">
        <v>13020</v>
      </c>
      <c r="D203" s="64" t="s">
        <v>12564</v>
      </c>
      <c r="E203" s="63" t="s">
        <v>12897</v>
      </c>
      <c r="F203" s="63" t="s">
        <v>12910</v>
      </c>
      <c r="G203" s="63" t="s">
        <v>12911</v>
      </c>
      <c r="H203" s="63" t="s">
        <v>12917</v>
      </c>
      <c r="I203" s="63" t="s">
        <v>12918</v>
      </c>
    </row>
    <row r="204" spans="1:9" ht="15" customHeight="1" x14ac:dyDescent="0.3">
      <c r="A204" s="63" t="s">
        <v>13786</v>
      </c>
      <c r="B204" s="63" t="s">
        <v>13787</v>
      </c>
      <c r="C204" s="63" t="s">
        <v>13788</v>
      </c>
      <c r="D204" s="64" t="s">
        <v>12591</v>
      </c>
      <c r="E204" s="63" t="s">
        <v>13618</v>
      </c>
      <c r="F204" s="63" t="s">
        <v>13640</v>
      </c>
      <c r="G204" s="63" t="s">
        <v>13641</v>
      </c>
      <c r="H204" s="63" t="s">
        <v>13642</v>
      </c>
      <c r="I204" s="63" t="s">
        <v>13643</v>
      </c>
    </row>
    <row r="205" spans="1:9" ht="15" customHeight="1" x14ac:dyDescent="0.3">
      <c r="A205" s="63" t="s">
        <v>14575</v>
      </c>
      <c r="B205" s="63" t="s">
        <v>14576</v>
      </c>
      <c r="C205" s="63" t="s">
        <v>14577</v>
      </c>
      <c r="D205" s="64" t="s">
        <v>12572</v>
      </c>
      <c r="E205" s="63" t="s">
        <v>14386</v>
      </c>
      <c r="F205" s="63" t="s">
        <v>12553</v>
      </c>
      <c r="G205" s="63" t="s">
        <v>14409</v>
      </c>
      <c r="H205" s="63" t="s">
        <v>14443</v>
      </c>
      <c r="I205" s="63" t="s">
        <v>14444</v>
      </c>
    </row>
    <row r="206" spans="1:9" ht="15" customHeight="1" x14ac:dyDescent="0.3">
      <c r="A206" s="63" t="s">
        <v>14578</v>
      </c>
      <c r="B206" s="63" t="s">
        <v>14579</v>
      </c>
      <c r="C206" s="63" t="s">
        <v>14580</v>
      </c>
      <c r="D206" s="64" t="s">
        <v>12572</v>
      </c>
      <c r="E206" s="63" t="s">
        <v>14386</v>
      </c>
      <c r="F206" s="63" t="s">
        <v>14387</v>
      </c>
      <c r="G206" s="63" t="s">
        <v>14388</v>
      </c>
      <c r="H206" s="63" t="s">
        <v>14399</v>
      </c>
      <c r="I206" s="63" t="s">
        <v>14400</v>
      </c>
    </row>
    <row r="207" spans="1:9" ht="15" customHeight="1" x14ac:dyDescent="0.3">
      <c r="A207" s="63" t="s">
        <v>13562</v>
      </c>
      <c r="B207" s="63" t="s">
        <v>13563</v>
      </c>
      <c r="C207" s="63" t="s">
        <v>13563</v>
      </c>
      <c r="D207" s="64" t="s">
        <v>12579</v>
      </c>
      <c r="E207" s="63" t="s">
        <v>13506</v>
      </c>
      <c r="F207" s="63" t="s">
        <v>13564</v>
      </c>
      <c r="G207" s="63" t="s">
        <v>13565</v>
      </c>
      <c r="H207" s="63" t="s">
        <v>13553</v>
      </c>
      <c r="I207" s="63" t="s">
        <v>13554</v>
      </c>
    </row>
    <row r="208" spans="1:9" ht="15" customHeight="1" x14ac:dyDescent="0.3">
      <c r="A208" s="63" t="s">
        <v>14270</v>
      </c>
      <c r="B208" s="63" t="s">
        <v>14271</v>
      </c>
      <c r="C208" s="63" t="s">
        <v>14272</v>
      </c>
      <c r="D208" s="64" t="s">
        <v>12567</v>
      </c>
      <c r="E208" s="63" t="s">
        <v>14224</v>
      </c>
      <c r="F208" s="63" t="s">
        <v>14225</v>
      </c>
      <c r="G208" s="63" t="s">
        <v>12570</v>
      </c>
      <c r="H208" s="63" t="s">
        <v>14273</v>
      </c>
      <c r="I208" s="63" t="s">
        <v>14274</v>
      </c>
    </row>
    <row r="209" spans="1:9" ht="15" customHeight="1" x14ac:dyDescent="0.3">
      <c r="A209" s="63" t="s">
        <v>14581</v>
      </c>
      <c r="B209" s="63" t="s">
        <v>14582</v>
      </c>
      <c r="C209" s="63" t="s">
        <v>14583</v>
      </c>
      <c r="D209" s="64" t="s">
        <v>12572</v>
      </c>
      <c r="E209" s="63" t="s">
        <v>14386</v>
      </c>
      <c r="F209" s="63" t="s">
        <v>14387</v>
      </c>
      <c r="G209" s="63" t="s">
        <v>14388</v>
      </c>
      <c r="H209" s="63" t="s">
        <v>14399</v>
      </c>
      <c r="I209" s="63" t="s">
        <v>14400</v>
      </c>
    </row>
    <row r="210" spans="1:9" ht="15" customHeight="1" x14ac:dyDescent="0.3">
      <c r="A210" s="63" t="s">
        <v>14584</v>
      </c>
      <c r="B210" s="63" t="s">
        <v>14585</v>
      </c>
      <c r="C210" s="63" t="s">
        <v>14586</v>
      </c>
      <c r="D210" s="64" t="s">
        <v>12572</v>
      </c>
      <c r="E210" s="63" t="s">
        <v>14386</v>
      </c>
      <c r="F210" s="63" t="s">
        <v>14387</v>
      </c>
      <c r="G210" s="63" t="s">
        <v>14388</v>
      </c>
      <c r="H210" s="63" t="s">
        <v>14587</v>
      </c>
      <c r="I210" s="63" t="s">
        <v>14588</v>
      </c>
    </row>
    <row r="211" spans="1:9" ht="15" customHeight="1" x14ac:dyDescent="0.3">
      <c r="A211" s="63" t="s">
        <v>13346</v>
      </c>
      <c r="B211" s="63" t="s">
        <v>13347</v>
      </c>
      <c r="C211" s="63" t="s">
        <v>654</v>
      </c>
      <c r="D211" s="64" t="s">
        <v>12585</v>
      </c>
      <c r="E211" s="63" t="s">
        <v>13279</v>
      </c>
      <c r="F211" s="63" t="s">
        <v>13287</v>
      </c>
      <c r="G211" s="63" t="s">
        <v>13288</v>
      </c>
      <c r="H211" s="63" t="s">
        <v>12162</v>
      </c>
      <c r="I211" s="63" t="s">
        <v>7921</v>
      </c>
    </row>
    <row r="212" spans="1:9" ht="15" customHeight="1" x14ac:dyDescent="0.3">
      <c r="A212" s="63" t="s">
        <v>13566</v>
      </c>
      <c r="B212" s="63" t="s">
        <v>13567</v>
      </c>
      <c r="C212" s="63" t="s">
        <v>13568</v>
      </c>
      <c r="D212" s="64" t="s">
        <v>12579</v>
      </c>
      <c r="E212" s="63" t="s">
        <v>13506</v>
      </c>
      <c r="F212" s="63" t="s">
        <v>13564</v>
      </c>
      <c r="G212" s="63" t="s">
        <v>13565</v>
      </c>
      <c r="H212" s="63" t="s">
        <v>13569</v>
      </c>
      <c r="I212" s="63" t="s">
        <v>13561</v>
      </c>
    </row>
    <row r="213" spans="1:9" ht="15" customHeight="1" x14ac:dyDescent="0.3">
      <c r="A213" s="63" t="s">
        <v>14275</v>
      </c>
      <c r="B213" s="63" t="s">
        <v>14276</v>
      </c>
      <c r="C213" s="63" t="s">
        <v>14277</v>
      </c>
      <c r="D213" s="64" t="s">
        <v>12567</v>
      </c>
      <c r="E213" s="63" t="s">
        <v>14224</v>
      </c>
      <c r="F213" s="63" t="s">
        <v>14225</v>
      </c>
      <c r="G213" s="63" t="s">
        <v>12570</v>
      </c>
      <c r="H213" s="63" t="s">
        <v>14278</v>
      </c>
      <c r="I213" s="63" t="s">
        <v>14279</v>
      </c>
    </row>
    <row r="214" spans="1:9" ht="15" customHeight="1" x14ac:dyDescent="0.3">
      <c r="A214" s="63" t="s">
        <v>14280</v>
      </c>
      <c r="B214" s="63" t="s">
        <v>14281</v>
      </c>
      <c r="C214" s="63" t="s">
        <v>14282</v>
      </c>
      <c r="D214" s="64" t="s">
        <v>12567</v>
      </c>
      <c r="E214" s="63" t="s">
        <v>14224</v>
      </c>
      <c r="F214" s="63" t="s">
        <v>14254</v>
      </c>
      <c r="G214" s="63" t="s">
        <v>12568</v>
      </c>
      <c r="H214" s="63" t="s">
        <v>14283</v>
      </c>
      <c r="I214" s="63" t="s">
        <v>14284</v>
      </c>
    </row>
    <row r="215" spans="1:9" ht="15" customHeight="1" x14ac:dyDescent="0.3">
      <c r="A215" s="63" t="s">
        <v>14589</v>
      </c>
      <c r="B215" s="63" t="s">
        <v>14590</v>
      </c>
      <c r="C215" s="63" t="s">
        <v>14591</v>
      </c>
      <c r="D215" s="64" t="s">
        <v>12572</v>
      </c>
      <c r="E215" s="63" t="s">
        <v>14386</v>
      </c>
      <c r="F215" s="63" t="s">
        <v>12553</v>
      </c>
      <c r="G215" s="63" t="s">
        <v>14409</v>
      </c>
      <c r="H215" s="63" t="s">
        <v>14568</v>
      </c>
      <c r="I215" s="63" t="s">
        <v>14569</v>
      </c>
    </row>
    <row r="216" spans="1:9" ht="15" customHeight="1" x14ac:dyDescent="0.3">
      <c r="A216" s="63" t="s">
        <v>14592</v>
      </c>
      <c r="B216" s="63" t="s">
        <v>14593</v>
      </c>
      <c r="C216" s="63" t="s">
        <v>14594</v>
      </c>
      <c r="D216" s="64" t="s">
        <v>12572</v>
      </c>
      <c r="E216" s="63" t="s">
        <v>14386</v>
      </c>
      <c r="F216" s="63" t="s">
        <v>12553</v>
      </c>
      <c r="G216" s="63" t="s">
        <v>14409</v>
      </c>
      <c r="H216" s="63" t="s">
        <v>14529</v>
      </c>
      <c r="I216" s="63" t="s">
        <v>14530</v>
      </c>
    </row>
    <row r="217" spans="1:9" ht="15" customHeight="1" x14ac:dyDescent="0.3">
      <c r="A217" s="63" t="s">
        <v>13789</v>
      </c>
      <c r="B217" s="63" t="s">
        <v>13790</v>
      </c>
      <c r="C217" s="63" t="s">
        <v>13791</v>
      </c>
      <c r="D217" s="64" t="s">
        <v>12591</v>
      </c>
      <c r="E217" s="63" t="s">
        <v>13618</v>
      </c>
      <c r="F217" s="63" t="s">
        <v>13684</v>
      </c>
      <c r="G217" s="63" t="s">
        <v>13685</v>
      </c>
      <c r="H217" s="63" t="s">
        <v>13792</v>
      </c>
      <c r="I217" s="63" t="s">
        <v>13793</v>
      </c>
    </row>
    <row r="218" spans="1:9" ht="15" customHeight="1" x14ac:dyDescent="0.3">
      <c r="A218" s="63" t="s">
        <v>13794</v>
      </c>
      <c r="B218" s="63" t="s">
        <v>13795</v>
      </c>
      <c r="C218" s="63" t="s">
        <v>13796</v>
      </c>
      <c r="D218" s="64" t="s">
        <v>12591</v>
      </c>
      <c r="E218" s="63" t="s">
        <v>13618</v>
      </c>
      <c r="F218" s="63" t="s">
        <v>13626</v>
      </c>
      <c r="G218" s="63" t="s">
        <v>13627</v>
      </c>
      <c r="H218" s="63" t="s">
        <v>13661</v>
      </c>
      <c r="I218" s="63" t="s">
        <v>13662</v>
      </c>
    </row>
    <row r="219" spans="1:9" ht="15" customHeight="1" x14ac:dyDescent="0.3">
      <c r="A219" s="63" t="s">
        <v>13797</v>
      </c>
      <c r="B219" s="63" t="s">
        <v>13798</v>
      </c>
      <c r="C219" s="63" t="s">
        <v>13799</v>
      </c>
      <c r="D219" s="64" t="s">
        <v>12591</v>
      </c>
      <c r="E219" s="63" t="s">
        <v>13618</v>
      </c>
      <c r="F219" s="63" t="s">
        <v>13674</v>
      </c>
      <c r="G219" s="63" t="s">
        <v>13675</v>
      </c>
      <c r="H219" s="63" t="s">
        <v>13800</v>
      </c>
      <c r="I219" s="63" t="s">
        <v>13801</v>
      </c>
    </row>
    <row r="220" spans="1:9" ht="15" customHeight="1" x14ac:dyDescent="0.3">
      <c r="A220" s="63" t="s">
        <v>14285</v>
      </c>
      <c r="B220" s="63" t="s">
        <v>14286</v>
      </c>
      <c r="C220" s="63" t="s">
        <v>14287</v>
      </c>
      <c r="D220" s="64" t="s">
        <v>12567</v>
      </c>
      <c r="E220" s="63" t="s">
        <v>14224</v>
      </c>
      <c r="F220" s="63" t="s">
        <v>14288</v>
      </c>
      <c r="G220" s="63" t="s">
        <v>6836</v>
      </c>
      <c r="H220" s="63" t="s">
        <v>14289</v>
      </c>
      <c r="I220" s="63" t="s">
        <v>14290</v>
      </c>
    </row>
    <row r="221" spans="1:9" ht="15" customHeight="1" x14ac:dyDescent="0.3">
      <c r="A221" s="63" t="s">
        <v>14595</v>
      </c>
      <c r="B221" s="63" t="s">
        <v>14596</v>
      </c>
      <c r="C221" s="63" t="s">
        <v>14597</v>
      </c>
      <c r="D221" s="64" t="s">
        <v>12572</v>
      </c>
      <c r="E221" s="63" t="s">
        <v>14386</v>
      </c>
      <c r="F221" s="63" t="s">
        <v>14387</v>
      </c>
      <c r="G221" s="63" t="s">
        <v>14388</v>
      </c>
      <c r="H221" s="63" t="s">
        <v>14399</v>
      </c>
      <c r="I221" s="63" t="s">
        <v>14400</v>
      </c>
    </row>
    <row r="222" spans="1:9" ht="15" customHeight="1" x14ac:dyDescent="0.3">
      <c r="A222" s="63" t="s">
        <v>13802</v>
      </c>
      <c r="B222" s="63" t="s">
        <v>13803</v>
      </c>
      <c r="C222" s="63" t="s">
        <v>13804</v>
      </c>
      <c r="D222" s="64" t="s">
        <v>12591</v>
      </c>
      <c r="E222" s="63" t="s">
        <v>13618</v>
      </c>
      <c r="F222" s="63" t="s">
        <v>13684</v>
      </c>
      <c r="G222" s="63" t="s">
        <v>13685</v>
      </c>
      <c r="H222" s="63" t="s">
        <v>13686</v>
      </c>
      <c r="I222" s="63" t="s">
        <v>13687</v>
      </c>
    </row>
    <row r="223" spans="1:9" ht="15" customHeight="1" x14ac:dyDescent="0.3">
      <c r="A223" s="63" t="s">
        <v>13805</v>
      </c>
      <c r="B223" s="63" t="s">
        <v>13806</v>
      </c>
      <c r="C223" s="63" t="s">
        <v>13807</v>
      </c>
      <c r="D223" s="64" t="s">
        <v>12591</v>
      </c>
      <c r="E223" s="63" t="s">
        <v>13618</v>
      </c>
      <c r="F223" s="63" t="s">
        <v>13619</v>
      </c>
      <c r="G223" s="63" t="s">
        <v>13620</v>
      </c>
      <c r="H223" s="63" t="s">
        <v>13747</v>
      </c>
      <c r="I223" s="63" t="s">
        <v>13748</v>
      </c>
    </row>
    <row r="224" spans="1:9" ht="15" customHeight="1" x14ac:dyDescent="0.3">
      <c r="A224" s="63" t="s">
        <v>14598</v>
      </c>
      <c r="B224" s="63" t="s">
        <v>14599</v>
      </c>
      <c r="C224" s="63" t="s">
        <v>14600</v>
      </c>
      <c r="D224" s="64" t="s">
        <v>12572</v>
      </c>
      <c r="E224" s="63" t="s">
        <v>14386</v>
      </c>
      <c r="F224" s="63" t="s">
        <v>12553</v>
      </c>
      <c r="G224" s="63" t="s">
        <v>14409</v>
      </c>
      <c r="H224" s="63" t="s">
        <v>14601</v>
      </c>
      <c r="I224" s="63" t="s">
        <v>14602</v>
      </c>
    </row>
    <row r="225" spans="1:9" ht="15" customHeight="1" x14ac:dyDescent="0.3">
      <c r="A225" s="63" t="s">
        <v>14603</v>
      </c>
      <c r="B225" s="63" t="s">
        <v>14604</v>
      </c>
      <c r="C225" s="63" t="s">
        <v>14605</v>
      </c>
      <c r="D225" s="64" t="s">
        <v>12572</v>
      </c>
      <c r="E225" s="63" t="s">
        <v>14386</v>
      </c>
      <c r="F225" s="63" t="s">
        <v>12553</v>
      </c>
      <c r="G225" s="63" t="s">
        <v>14409</v>
      </c>
      <c r="H225" s="63" t="s">
        <v>14443</v>
      </c>
      <c r="I225" s="63" t="s">
        <v>14444</v>
      </c>
    </row>
    <row r="226" spans="1:9" ht="15" customHeight="1" x14ac:dyDescent="0.3">
      <c r="A226" s="63" t="s">
        <v>14606</v>
      </c>
      <c r="B226" s="63" t="s">
        <v>14607</v>
      </c>
      <c r="C226" s="63" t="s">
        <v>14608</v>
      </c>
      <c r="D226" s="64" t="s">
        <v>12572</v>
      </c>
      <c r="E226" s="63" t="s">
        <v>14386</v>
      </c>
      <c r="F226" s="63" t="s">
        <v>12553</v>
      </c>
      <c r="G226" s="63" t="s">
        <v>14409</v>
      </c>
      <c r="H226" s="63" t="s">
        <v>14443</v>
      </c>
      <c r="I226" s="63" t="s">
        <v>14444</v>
      </c>
    </row>
    <row r="227" spans="1:9" ht="15" customHeight="1" x14ac:dyDescent="0.3">
      <c r="A227" s="63" t="s">
        <v>14609</v>
      </c>
      <c r="B227" s="63" t="s">
        <v>14610</v>
      </c>
      <c r="C227" s="63" t="s">
        <v>14611</v>
      </c>
      <c r="D227" s="64" t="s">
        <v>12572</v>
      </c>
      <c r="E227" s="63" t="s">
        <v>14386</v>
      </c>
      <c r="F227" s="63" t="s">
        <v>12553</v>
      </c>
      <c r="G227" s="63" t="s">
        <v>14409</v>
      </c>
      <c r="H227" s="63" t="s">
        <v>14568</v>
      </c>
      <c r="I227" s="63" t="s">
        <v>14569</v>
      </c>
    </row>
    <row r="228" spans="1:9" ht="15" customHeight="1" x14ac:dyDescent="0.3">
      <c r="A228" s="63" t="s">
        <v>14612</v>
      </c>
      <c r="B228" s="63" t="s">
        <v>14613</v>
      </c>
      <c r="C228" s="63" t="s">
        <v>14614</v>
      </c>
      <c r="D228" s="64" t="s">
        <v>12572</v>
      </c>
      <c r="E228" s="63" t="s">
        <v>14386</v>
      </c>
      <c r="F228" s="63" t="s">
        <v>14387</v>
      </c>
      <c r="G228" s="63" t="s">
        <v>14388</v>
      </c>
      <c r="H228" s="63" t="s">
        <v>14587</v>
      </c>
      <c r="I228" s="63" t="s">
        <v>14588</v>
      </c>
    </row>
    <row r="229" spans="1:9" ht="15" customHeight="1" x14ac:dyDescent="0.3">
      <c r="A229" s="63" t="s">
        <v>12889</v>
      </c>
      <c r="B229" s="63" t="s">
        <v>12890</v>
      </c>
      <c r="C229" s="63" t="s">
        <v>12890</v>
      </c>
      <c r="D229" s="64" t="s">
        <v>12561</v>
      </c>
      <c r="E229" s="63" t="s">
        <v>12879</v>
      </c>
      <c r="F229" s="63" t="s">
        <v>12879</v>
      </c>
      <c r="G229" s="63" t="s">
        <v>12561</v>
      </c>
      <c r="H229" s="63" t="s">
        <v>12788</v>
      </c>
      <c r="I229" s="63" t="s">
        <v>12789</v>
      </c>
    </row>
    <row r="230" spans="1:9" ht="15" customHeight="1" x14ac:dyDescent="0.3">
      <c r="A230" s="63" t="s">
        <v>14615</v>
      </c>
      <c r="B230" s="63" t="s">
        <v>14616</v>
      </c>
      <c r="C230" s="63" t="s">
        <v>14617</v>
      </c>
      <c r="D230" s="64" t="s">
        <v>12572</v>
      </c>
      <c r="E230" s="63" t="s">
        <v>14386</v>
      </c>
      <c r="F230" s="63" t="s">
        <v>12553</v>
      </c>
      <c r="G230" s="63" t="s">
        <v>14409</v>
      </c>
      <c r="H230" s="63" t="s">
        <v>14443</v>
      </c>
      <c r="I230" s="63" t="s">
        <v>14444</v>
      </c>
    </row>
    <row r="231" spans="1:9" ht="15" customHeight="1" x14ac:dyDescent="0.3">
      <c r="A231" s="63" t="s">
        <v>12806</v>
      </c>
      <c r="B231" s="63" t="s">
        <v>12807</v>
      </c>
      <c r="C231" s="63" t="s">
        <v>12808</v>
      </c>
      <c r="D231" s="64" t="s">
        <v>12560</v>
      </c>
      <c r="E231" s="63" t="s">
        <v>12787</v>
      </c>
      <c r="F231" s="63" t="s">
        <v>12787</v>
      </c>
      <c r="G231" s="63" t="s">
        <v>12560</v>
      </c>
      <c r="H231" s="63" t="s">
        <v>12809</v>
      </c>
      <c r="I231" s="63" t="s">
        <v>12810</v>
      </c>
    </row>
    <row r="232" spans="1:9" ht="15" customHeight="1" x14ac:dyDescent="0.3">
      <c r="A232" s="63" t="s">
        <v>14618</v>
      </c>
      <c r="B232" s="63" t="s">
        <v>14619</v>
      </c>
      <c r="C232" s="63" t="s">
        <v>14620</v>
      </c>
      <c r="D232" s="64" t="s">
        <v>12572</v>
      </c>
      <c r="E232" s="63" t="s">
        <v>14386</v>
      </c>
      <c r="F232" s="63" t="s">
        <v>12553</v>
      </c>
      <c r="G232" s="63" t="s">
        <v>14409</v>
      </c>
      <c r="H232" s="63" t="s">
        <v>14601</v>
      </c>
      <c r="I232" s="63" t="s">
        <v>14602</v>
      </c>
    </row>
    <row r="233" spans="1:9" ht="15" customHeight="1" x14ac:dyDescent="0.3">
      <c r="A233" s="63" t="s">
        <v>13808</v>
      </c>
      <c r="B233" s="63" t="s">
        <v>13809</v>
      </c>
      <c r="C233" s="63" t="s">
        <v>13810</v>
      </c>
      <c r="D233" s="64" t="s">
        <v>12591</v>
      </c>
      <c r="E233" s="63" t="s">
        <v>13618</v>
      </c>
      <c r="F233" s="63" t="s">
        <v>13684</v>
      </c>
      <c r="G233" s="63" t="s">
        <v>13685</v>
      </c>
      <c r="H233" s="63" t="s">
        <v>13792</v>
      </c>
      <c r="I233" s="63" t="s">
        <v>13793</v>
      </c>
    </row>
    <row r="234" spans="1:9" ht="15" customHeight="1" x14ac:dyDescent="0.3">
      <c r="A234" s="63" t="s">
        <v>13348</v>
      </c>
      <c r="B234" s="63" t="s">
        <v>13349</v>
      </c>
      <c r="C234" s="63" t="s">
        <v>13350</v>
      </c>
      <c r="D234" s="64" t="s">
        <v>12585</v>
      </c>
      <c r="E234" s="63" t="s">
        <v>13279</v>
      </c>
      <c r="F234" s="63" t="s">
        <v>13331</v>
      </c>
      <c r="G234" s="63" t="s">
        <v>13332</v>
      </c>
      <c r="H234" s="63" t="s">
        <v>7586</v>
      </c>
      <c r="I234" s="63" t="s">
        <v>7585</v>
      </c>
    </row>
    <row r="235" spans="1:9" ht="15" customHeight="1" x14ac:dyDescent="0.3">
      <c r="A235" s="63" t="s">
        <v>14621</v>
      </c>
      <c r="B235" s="63" t="s">
        <v>14622</v>
      </c>
      <c r="C235" s="63" t="s">
        <v>14623</v>
      </c>
      <c r="D235" s="64" t="s">
        <v>12572</v>
      </c>
      <c r="E235" s="63" t="s">
        <v>14386</v>
      </c>
      <c r="F235" s="63" t="s">
        <v>12553</v>
      </c>
      <c r="G235" s="63" t="s">
        <v>14409</v>
      </c>
      <c r="H235" s="63" t="s">
        <v>14443</v>
      </c>
      <c r="I235" s="63" t="s">
        <v>14444</v>
      </c>
    </row>
    <row r="236" spans="1:9" ht="15" customHeight="1" x14ac:dyDescent="0.3">
      <c r="A236" s="63" t="s">
        <v>13811</v>
      </c>
      <c r="B236" s="63" t="s">
        <v>13812</v>
      </c>
      <c r="C236" s="63" t="s">
        <v>13813</v>
      </c>
      <c r="D236" s="64" t="s">
        <v>12591</v>
      </c>
      <c r="E236" s="63" t="s">
        <v>13618</v>
      </c>
      <c r="F236" s="63" t="s">
        <v>13698</v>
      </c>
      <c r="G236" s="63" t="s">
        <v>13699</v>
      </c>
      <c r="H236" s="63" t="s">
        <v>13814</v>
      </c>
      <c r="I236" s="63" t="s">
        <v>13815</v>
      </c>
    </row>
    <row r="237" spans="1:9" ht="15" customHeight="1" x14ac:dyDescent="0.3">
      <c r="A237" s="63" t="s">
        <v>14624</v>
      </c>
      <c r="B237" s="63" t="s">
        <v>14625</v>
      </c>
      <c r="C237" s="63" t="s">
        <v>14626</v>
      </c>
      <c r="D237" s="64" t="s">
        <v>12572</v>
      </c>
      <c r="E237" s="63" t="s">
        <v>14386</v>
      </c>
      <c r="F237" s="63" t="s">
        <v>12553</v>
      </c>
      <c r="G237" s="63" t="s">
        <v>14409</v>
      </c>
      <c r="H237" s="63" t="s">
        <v>14443</v>
      </c>
      <c r="I237" s="63" t="s">
        <v>14444</v>
      </c>
    </row>
    <row r="238" spans="1:9" ht="15" customHeight="1" x14ac:dyDescent="0.3">
      <c r="A238" s="63" t="s">
        <v>14291</v>
      </c>
      <c r="B238" s="63" t="s">
        <v>14292</v>
      </c>
      <c r="C238" s="63" t="s">
        <v>14293</v>
      </c>
      <c r="D238" s="64" t="s">
        <v>12567</v>
      </c>
      <c r="E238" s="63" t="s">
        <v>14224</v>
      </c>
      <c r="F238" s="63" t="s">
        <v>14288</v>
      </c>
      <c r="G238" s="63" t="s">
        <v>6836</v>
      </c>
      <c r="H238" s="63" t="s">
        <v>14294</v>
      </c>
      <c r="I238" s="63" t="s">
        <v>14295</v>
      </c>
    </row>
    <row r="239" spans="1:9" ht="15" customHeight="1" x14ac:dyDescent="0.3">
      <c r="A239" s="63" t="s">
        <v>14296</v>
      </c>
      <c r="B239" s="63" t="s">
        <v>14297</v>
      </c>
      <c r="C239" s="63" t="s">
        <v>14298</v>
      </c>
      <c r="D239" s="64" t="s">
        <v>12567</v>
      </c>
      <c r="E239" s="63" t="s">
        <v>14224</v>
      </c>
      <c r="F239" s="63" t="s">
        <v>14225</v>
      </c>
      <c r="G239" s="63" t="s">
        <v>12570</v>
      </c>
      <c r="H239" s="63" t="s">
        <v>14299</v>
      </c>
      <c r="I239" s="63" t="s">
        <v>14300</v>
      </c>
    </row>
    <row r="240" spans="1:9" ht="15" customHeight="1" x14ac:dyDescent="0.3">
      <c r="A240" s="63" t="s">
        <v>13816</v>
      </c>
      <c r="B240" s="63" t="s">
        <v>13817</v>
      </c>
      <c r="C240" s="63" t="s">
        <v>13818</v>
      </c>
      <c r="D240" s="64" t="s">
        <v>12591</v>
      </c>
      <c r="E240" s="63" t="s">
        <v>13618</v>
      </c>
      <c r="F240" s="63" t="s">
        <v>13674</v>
      </c>
      <c r="G240" s="63" t="s">
        <v>13675</v>
      </c>
      <c r="H240" s="63" t="s">
        <v>13800</v>
      </c>
      <c r="I240" s="63" t="s">
        <v>13801</v>
      </c>
    </row>
    <row r="241" spans="1:9" ht="15" customHeight="1" x14ac:dyDescent="0.3">
      <c r="A241" s="63" t="s">
        <v>14301</v>
      </c>
      <c r="B241" s="63" t="s">
        <v>14302</v>
      </c>
      <c r="C241" s="63" t="s">
        <v>14303</v>
      </c>
      <c r="D241" s="64" t="s">
        <v>12567</v>
      </c>
      <c r="E241" s="63" t="s">
        <v>14224</v>
      </c>
      <c r="F241" s="63" t="s">
        <v>14225</v>
      </c>
      <c r="G241" s="63" t="s">
        <v>12570</v>
      </c>
      <c r="H241" s="63" t="s">
        <v>6398</v>
      </c>
      <c r="I241" s="63" t="s">
        <v>12731</v>
      </c>
    </row>
    <row r="242" spans="1:9" ht="15" customHeight="1" x14ac:dyDescent="0.3">
      <c r="A242" s="63" t="s">
        <v>13819</v>
      </c>
      <c r="B242" s="63" t="s">
        <v>13820</v>
      </c>
      <c r="C242" s="63" t="s">
        <v>13821</v>
      </c>
      <c r="D242" s="64" t="s">
        <v>12591</v>
      </c>
      <c r="E242" s="63" t="s">
        <v>13618</v>
      </c>
      <c r="F242" s="63" t="s">
        <v>13698</v>
      </c>
      <c r="G242" s="63" t="s">
        <v>13699</v>
      </c>
      <c r="H242" s="63" t="s">
        <v>13822</v>
      </c>
      <c r="I242" s="63" t="s">
        <v>13823</v>
      </c>
    </row>
    <row r="243" spans="1:9" ht="15" customHeight="1" x14ac:dyDescent="0.3">
      <c r="A243" s="63" t="s">
        <v>13824</v>
      </c>
      <c r="B243" s="63" t="s">
        <v>13825</v>
      </c>
      <c r="C243" s="63" t="s">
        <v>13826</v>
      </c>
      <c r="D243" s="64" t="s">
        <v>12591</v>
      </c>
      <c r="E243" s="63" t="s">
        <v>13618</v>
      </c>
      <c r="F243" s="63" t="s">
        <v>13619</v>
      </c>
      <c r="G243" s="63" t="s">
        <v>13620</v>
      </c>
      <c r="H243" s="63" t="s">
        <v>13666</v>
      </c>
      <c r="I243" s="63" t="s">
        <v>13667</v>
      </c>
    </row>
    <row r="244" spans="1:9" ht="15" customHeight="1" x14ac:dyDescent="0.3">
      <c r="A244" s="63" t="s">
        <v>13351</v>
      </c>
      <c r="B244" s="63" t="s">
        <v>13352</v>
      </c>
      <c r="C244" s="63" t="s">
        <v>13353</v>
      </c>
      <c r="D244" s="64" t="s">
        <v>12585</v>
      </c>
      <c r="E244" s="63" t="s">
        <v>13279</v>
      </c>
      <c r="F244" s="63" t="s">
        <v>13305</v>
      </c>
      <c r="G244" s="63" t="s">
        <v>13306</v>
      </c>
      <c r="H244" s="63" t="s">
        <v>13354</v>
      </c>
      <c r="I244" s="63" t="s">
        <v>13355</v>
      </c>
    </row>
    <row r="245" spans="1:9" ht="15" customHeight="1" x14ac:dyDescent="0.3">
      <c r="A245" s="63" t="s">
        <v>14627</v>
      </c>
      <c r="B245" s="63" t="s">
        <v>14628</v>
      </c>
      <c r="C245" s="63" t="s">
        <v>14629</v>
      </c>
      <c r="D245" s="64" t="s">
        <v>12572</v>
      </c>
      <c r="E245" s="63" t="s">
        <v>14386</v>
      </c>
      <c r="F245" s="63" t="s">
        <v>12553</v>
      </c>
      <c r="G245" s="63" t="s">
        <v>14409</v>
      </c>
      <c r="H245" s="63" t="s">
        <v>14630</v>
      </c>
      <c r="I245" s="63" t="s">
        <v>14631</v>
      </c>
    </row>
    <row r="246" spans="1:9" ht="15" customHeight="1" x14ac:dyDescent="0.3">
      <c r="A246" s="63" t="s">
        <v>12743</v>
      </c>
      <c r="B246" s="63" t="s">
        <v>12744</v>
      </c>
      <c r="C246" s="63" t="s">
        <v>12745</v>
      </c>
      <c r="D246" s="64" t="s">
        <v>12586</v>
      </c>
      <c r="E246" s="63" t="s">
        <v>12729</v>
      </c>
      <c r="F246" s="63" t="s">
        <v>12746</v>
      </c>
      <c r="G246" s="63" t="s">
        <v>12588</v>
      </c>
      <c r="H246" s="63" t="s">
        <v>12747</v>
      </c>
      <c r="I246" s="63" t="s">
        <v>12748</v>
      </c>
    </row>
    <row r="247" spans="1:9" ht="15" customHeight="1" x14ac:dyDescent="0.3">
      <c r="A247" s="63" t="s">
        <v>13827</v>
      </c>
      <c r="B247" s="63" t="s">
        <v>13828</v>
      </c>
      <c r="C247" s="63" t="s">
        <v>13828</v>
      </c>
      <c r="D247" s="64" t="s">
        <v>12591</v>
      </c>
      <c r="E247" s="63" t="s">
        <v>13618</v>
      </c>
      <c r="F247" s="63" t="s">
        <v>13829</v>
      </c>
      <c r="G247" s="63" t="s">
        <v>13830</v>
      </c>
      <c r="H247" s="63" t="s">
        <v>13831</v>
      </c>
      <c r="I247" s="63" t="s">
        <v>13832</v>
      </c>
    </row>
    <row r="248" spans="1:9" ht="15" customHeight="1" x14ac:dyDescent="0.3">
      <c r="A248" s="63" t="s">
        <v>14632</v>
      </c>
      <c r="B248" s="63" t="s">
        <v>14633</v>
      </c>
      <c r="C248" s="63" t="s">
        <v>14634</v>
      </c>
      <c r="D248" s="64" t="s">
        <v>12572</v>
      </c>
      <c r="E248" s="63" t="s">
        <v>14386</v>
      </c>
      <c r="F248" s="63" t="s">
        <v>12553</v>
      </c>
      <c r="G248" s="63" t="s">
        <v>14409</v>
      </c>
      <c r="H248" s="63" t="s">
        <v>14443</v>
      </c>
      <c r="I248" s="63" t="s">
        <v>14444</v>
      </c>
    </row>
    <row r="249" spans="1:9" ht="15" customHeight="1" x14ac:dyDescent="0.3">
      <c r="A249" s="63" t="s">
        <v>13833</v>
      </c>
      <c r="B249" s="63" t="s">
        <v>13834</v>
      </c>
      <c r="C249" s="63" t="s">
        <v>13835</v>
      </c>
      <c r="D249" s="64" t="s">
        <v>12591</v>
      </c>
      <c r="E249" s="63" t="s">
        <v>13618</v>
      </c>
      <c r="F249" s="63" t="s">
        <v>13619</v>
      </c>
      <c r="G249" s="63" t="s">
        <v>13620</v>
      </c>
      <c r="H249" s="63" t="s">
        <v>13747</v>
      </c>
      <c r="I249" s="63" t="s">
        <v>13748</v>
      </c>
    </row>
    <row r="250" spans="1:9" ht="15" customHeight="1" x14ac:dyDescent="0.3">
      <c r="A250" s="63" t="s">
        <v>13356</v>
      </c>
      <c r="B250" s="63" t="s">
        <v>13357</v>
      </c>
      <c r="C250" s="63" t="s">
        <v>13358</v>
      </c>
      <c r="D250" s="64" t="s">
        <v>12585</v>
      </c>
      <c r="E250" s="63" t="s">
        <v>13279</v>
      </c>
      <c r="F250" s="63" t="s">
        <v>13280</v>
      </c>
      <c r="G250" s="63" t="s">
        <v>13281</v>
      </c>
      <c r="H250" s="63" t="s">
        <v>13359</v>
      </c>
      <c r="I250" s="63" t="s">
        <v>13360</v>
      </c>
    </row>
    <row r="251" spans="1:9" ht="15" customHeight="1" x14ac:dyDescent="0.3">
      <c r="A251" s="63" t="s">
        <v>13836</v>
      </c>
      <c r="B251" s="63" t="s">
        <v>13837</v>
      </c>
      <c r="C251" s="63" t="s">
        <v>13838</v>
      </c>
      <c r="D251" s="64" t="s">
        <v>12591</v>
      </c>
      <c r="E251" s="63" t="s">
        <v>13618</v>
      </c>
      <c r="F251" s="63" t="s">
        <v>13684</v>
      </c>
      <c r="G251" s="63" t="s">
        <v>13685</v>
      </c>
      <c r="H251" s="63" t="s">
        <v>13839</v>
      </c>
      <c r="I251" s="63" t="s">
        <v>13840</v>
      </c>
    </row>
    <row r="252" spans="1:9" ht="15" customHeight="1" x14ac:dyDescent="0.3">
      <c r="A252" s="63" t="s">
        <v>14635</v>
      </c>
      <c r="B252" s="63" t="s">
        <v>14636</v>
      </c>
      <c r="C252" s="63" t="s">
        <v>14637</v>
      </c>
      <c r="D252" s="64" t="s">
        <v>12572</v>
      </c>
      <c r="E252" s="63" t="s">
        <v>14386</v>
      </c>
      <c r="F252" s="63" t="s">
        <v>12553</v>
      </c>
      <c r="G252" s="63" t="s">
        <v>14409</v>
      </c>
      <c r="H252" s="63" t="s">
        <v>14415</v>
      </c>
      <c r="I252" s="63" t="s">
        <v>14416</v>
      </c>
    </row>
    <row r="253" spans="1:9" ht="15" customHeight="1" x14ac:dyDescent="0.3">
      <c r="A253" s="63" t="s">
        <v>13841</v>
      </c>
      <c r="B253" s="63" t="s">
        <v>13842</v>
      </c>
      <c r="C253" s="63" t="s">
        <v>13843</v>
      </c>
      <c r="D253" s="64" t="s">
        <v>12591</v>
      </c>
      <c r="E253" s="63" t="s">
        <v>13618</v>
      </c>
      <c r="F253" s="63" t="s">
        <v>13674</v>
      </c>
      <c r="G253" s="63" t="s">
        <v>13675</v>
      </c>
      <c r="H253" s="63" t="s">
        <v>13800</v>
      </c>
      <c r="I253" s="63" t="s">
        <v>13801</v>
      </c>
    </row>
    <row r="254" spans="1:9" ht="15" customHeight="1" x14ac:dyDescent="0.3">
      <c r="A254" s="63" t="s">
        <v>13844</v>
      </c>
      <c r="B254" s="63" t="s">
        <v>13845</v>
      </c>
      <c r="C254" s="63" t="s">
        <v>13846</v>
      </c>
      <c r="D254" s="64" t="s">
        <v>12591</v>
      </c>
      <c r="E254" s="63" t="s">
        <v>13618</v>
      </c>
      <c r="F254" s="63" t="s">
        <v>13829</v>
      </c>
      <c r="G254" s="63" t="s">
        <v>13830</v>
      </c>
      <c r="H254" s="63" t="s">
        <v>13847</v>
      </c>
      <c r="I254" s="63" t="s">
        <v>13848</v>
      </c>
    </row>
    <row r="255" spans="1:9" ht="15" customHeight="1" x14ac:dyDescent="0.3">
      <c r="A255" s="63" t="s">
        <v>14638</v>
      </c>
      <c r="B255" s="63" t="s">
        <v>14639</v>
      </c>
      <c r="C255" s="63" t="s">
        <v>14640</v>
      </c>
      <c r="D255" s="64" t="s">
        <v>12572</v>
      </c>
      <c r="E255" s="63" t="s">
        <v>14386</v>
      </c>
      <c r="F255" s="63" t="s">
        <v>12553</v>
      </c>
      <c r="G255" s="63" t="s">
        <v>14409</v>
      </c>
      <c r="H255" s="63" t="s">
        <v>14448</v>
      </c>
      <c r="I255" s="63" t="s">
        <v>14449</v>
      </c>
    </row>
    <row r="256" spans="1:9" ht="15" customHeight="1" x14ac:dyDescent="0.3">
      <c r="A256" s="63" t="s">
        <v>14641</v>
      </c>
      <c r="B256" s="63" t="s">
        <v>14642</v>
      </c>
      <c r="C256" s="63" t="s">
        <v>14643</v>
      </c>
      <c r="D256" s="64" t="s">
        <v>12572</v>
      </c>
      <c r="E256" s="63" t="s">
        <v>14386</v>
      </c>
      <c r="F256" s="63" t="s">
        <v>14505</v>
      </c>
      <c r="G256" s="63" t="s">
        <v>14506</v>
      </c>
      <c r="H256" s="63" t="s">
        <v>14644</v>
      </c>
      <c r="I256" s="63" t="s">
        <v>14645</v>
      </c>
    </row>
    <row r="257" spans="1:9" ht="15" customHeight="1" x14ac:dyDescent="0.3">
      <c r="A257" s="63" t="s">
        <v>13849</v>
      </c>
      <c r="B257" s="63" t="s">
        <v>13850</v>
      </c>
      <c r="C257" s="63" t="s">
        <v>13851</v>
      </c>
      <c r="D257" s="64" t="s">
        <v>12591</v>
      </c>
      <c r="E257" s="63" t="s">
        <v>13618</v>
      </c>
      <c r="F257" s="63" t="s">
        <v>13633</v>
      </c>
      <c r="G257" s="63" t="s">
        <v>13634</v>
      </c>
      <c r="H257" s="63" t="s">
        <v>13852</v>
      </c>
      <c r="I257" s="63" t="s">
        <v>13853</v>
      </c>
    </row>
    <row r="258" spans="1:9" ht="15" customHeight="1" x14ac:dyDescent="0.3">
      <c r="A258" s="63" t="s">
        <v>12749</v>
      </c>
      <c r="B258" s="63" t="s">
        <v>12750</v>
      </c>
      <c r="C258" s="63" t="s">
        <v>12751</v>
      </c>
      <c r="D258" s="64" t="s">
        <v>12586</v>
      </c>
      <c r="E258" s="63" t="s">
        <v>12729</v>
      </c>
      <c r="F258" s="63" t="s">
        <v>12746</v>
      </c>
      <c r="G258" s="63" t="s">
        <v>12588</v>
      </c>
      <c r="H258" s="63" t="s">
        <v>12747</v>
      </c>
      <c r="I258" s="63" t="s">
        <v>12748</v>
      </c>
    </row>
    <row r="259" spans="1:9" ht="15" customHeight="1" x14ac:dyDescent="0.3">
      <c r="A259" s="63" t="s">
        <v>13468</v>
      </c>
      <c r="B259" s="63" t="s">
        <v>13469</v>
      </c>
      <c r="C259" s="63" t="s">
        <v>13470</v>
      </c>
      <c r="D259" s="64" t="s">
        <v>12578</v>
      </c>
      <c r="E259" s="63" t="s">
        <v>13451</v>
      </c>
      <c r="F259" s="63" t="s">
        <v>13452</v>
      </c>
      <c r="G259" s="63" t="s">
        <v>13453</v>
      </c>
      <c r="H259" s="63" t="s">
        <v>13471</v>
      </c>
      <c r="I259" s="63" t="s">
        <v>11586</v>
      </c>
    </row>
    <row r="260" spans="1:9" ht="15" customHeight="1" x14ac:dyDescent="0.3">
      <c r="A260" s="63" t="s">
        <v>14646</v>
      </c>
      <c r="B260" s="63" t="s">
        <v>14647</v>
      </c>
      <c r="C260" s="63" t="s">
        <v>14648</v>
      </c>
      <c r="D260" s="64" t="s">
        <v>12572</v>
      </c>
      <c r="E260" s="63" t="s">
        <v>14386</v>
      </c>
      <c r="F260" s="63" t="s">
        <v>12553</v>
      </c>
      <c r="G260" s="63" t="s">
        <v>14409</v>
      </c>
      <c r="H260" s="63" t="s">
        <v>14415</v>
      </c>
      <c r="I260" s="63" t="s">
        <v>14416</v>
      </c>
    </row>
    <row r="261" spans="1:9" ht="15" customHeight="1" x14ac:dyDescent="0.3">
      <c r="A261" s="63" t="s">
        <v>14649</v>
      </c>
      <c r="B261" s="63" t="s">
        <v>14650</v>
      </c>
      <c r="C261" s="63" t="s">
        <v>14651</v>
      </c>
      <c r="D261" s="64" t="s">
        <v>12572</v>
      </c>
      <c r="E261" s="63" t="s">
        <v>14386</v>
      </c>
      <c r="F261" s="63" t="s">
        <v>14387</v>
      </c>
      <c r="G261" s="63" t="s">
        <v>14388</v>
      </c>
      <c r="H261" s="63" t="s">
        <v>14399</v>
      </c>
      <c r="I261" s="63" t="s">
        <v>14400</v>
      </c>
    </row>
    <row r="262" spans="1:9" ht="15" customHeight="1" x14ac:dyDescent="0.3">
      <c r="A262" s="63" t="s">
        <v>14652</v>
      </c>
      <c r="B262" s="63" t="s">
        <v>14653</v>
      </c>
      <c r="C262" s="63" t="s">
        <v>14654</v>
      </c>
      <c r="D262" s="64" t="s">
        <v>12572</v>
      </c>
      <c r="E262" s="63" t="s">
        <v>14386</v>
      </c>
      <c r="F262" s="63" t="s">
        <v>12553</v>
      </c>
      <c r="G262" s="63" t="s">
        <v>14409</v>
      </c>
      <c r="H262" s="63" t="s">
        <v>14539</v>
      </c>
      <c r="I262" s="63" t="s">
        <v>14540</v>
      </c>
    </row>
    <row r="263" spans="1:9" ht="15" customHeight="1" x14ac:dyDescent="0.3">
      <c r="A263" s="63" t="s">
        <v>14655</v>
      </c>
      <c r="B263" s="63" t="s">
        <v>14656</v>
      </c>
      <c r="C263" s="63" t="s">
        <v>14657</v>
      </c>
      <c r="D263" s="64" t="s">
        <v>12572</v>
      </c>
      <c r="E263" s="63" t="s">
        <v>14386</v>
      </c>
      <c r="F263" s="63" t="s">
        <v>12553</v>
      </c>
      <c r="G263" s="63" t="s">
        <v>14409</v>
      </c>
      <c r="H263" s="63" t="s">
        <v>14601</v>
      </c>
      <c r="I263" s="63" t="s">
        <v>14602</v>
      </c>
    </row>
    <row r="264" spans="1:9" ht="15" customHeight="1" x14ac:dyDescent="0.3">
      <c r="A264" s="63" t="s">
        <v>14658</v>
      </c>
      <c r="B264" s="63" t="s">
        <v>14659</v>
      </c>
      <c r="C264" s="63" t="s">
        <v>14660</v>
      </c>
      <c r="D264" s="64" t="s">
        <v>12572</v>
      </c>
      <c r="E264" s="63" t="s">
        <v>14386</v>
      </c>
      <c r="F264" s="63" t="s">
        <v>14505</v>
      </c>
      <c r="G264" s="63" t="s">
        <v>14506</v>
      </c>
      <c r="H264" s="63" t="s">
        <v>14661</v>
      </c>
      <c r="I264" s="63" t="s">
        <v>14662</v>
      </c>
    </row>
    <row r="265" spans="1:9" ht="15" customHeight="1" x14ac:dyDescent="0.3">
      <c r="A265" s="63" t="s">
        <v>13854</v>
      </c>
      <c r="B265" s="63" t="s">
        <v>13855</v>
      </c>
      <c r="C265" s="63" t="s">
        <v>13856</v>
      </c>
      <c r="D265" s="64" t="s">
        <v>12591</v>
      </c>
      <c r="E265" s="63" t="s">
        <v>13618</v>
      </c>
      <c r="F265" s="63" t="s">
        <v>13619</v>
      </c>
      <c r="G265" s="63" t="s">
        <v>13620</v>
      </c>
      <c r="H265" s="63" t="s">
        <v>13666</v>
      </c>
      <c r="I265" s="63" t="s">
        <v>13667</v>
      </c>
    </row>
    <row r="266" spans="1:9" ht="15" customHeight="1" x14ac:dyDescent="0.3">
      <c r="A266" s="63" t="s">
        <v>13857</v>
      </c>
      <c r="B266" s="63" t="s">
        <v>13858</v>
      </c>
      <c r="C266" s="63" t="s">
        <v>13859</v>
      </c>
      <c r="D266" s="64" t="s">
        <v>12591</v>
      </c>
      <c r="E266" s="63" t="s">
        <v>13618</v>
      </c>
      <c r="F266" s="63" t="s">
        <v>13698</v>
      </c>
      <c r="G266" s="63" t="s">
        <v>13699</v>
      </c>
      <c r="H266" s="63" t="s">
        <v>13822</v>
      </c>
      <c r="I266" s="63" t="s">
        <v>13823</v>
      </c>
    </row>
    <row r="267" spans="1:9" ht="15" customHeight="1" x14ac:dyDescent="0.3">
      <c r="A267" s="63" t="s">
        <v>13860</v>
      </c>
      <c r="B267" s="63" t="s">
        <v>13861</v>
      </c>
      <c r="C267" s="63" t="s">
        <v>13862</v>
      </c>
      <c r="D267" s="64" t="s">
        <v>12591</v>
      </c>
      <c r="E267" s="63" t="s">
        <v>13618</v>
      </c>
      <c r="F267" s="63" t="s">
        <v>13698</v>
      </c>
      <c r="G267" s="63" t="s">
        <v>13699</v>
      </c>
      <c r="H267" s="63" t="s">
        <v>13721</v>
      </c>
      <c r="I267" s="63" t="s">
        <v>13722</v>
      </c>
    </row>
    <row r="268" spans="1:9" ht="15" customHeight="1" x14ac:dyDescent="0.3">
      <c r="A268" s="63" t="s">
        <v>13863</v>
      </c>
      <c r="B268" s="63" t="s">
        <v>13864</v>
      </c>
      <c r="C268" s="63" t="s">
        <v>13865</v>
      </c>
      <c r="D268" s="64" t="s">
        <v>12591</v>
      </c>
      <c r="E268" s="63" t="s">
        <v>13618</v>
      </c>
      <c r="F268" s="63" t="s">
        <v>13698</v>
      </c>
      <c r="G268" s="63" t="s">
        <v>13699</v>
      </c>
      <c r="H268" s="63" t="s">
        <v>13822</v>
      </c>
      <c r="I268" s="63" t="s">
        <v>13823</v>
      </c>
    </row>
    <row r="269" spans="1:9" ht="15" customHeight="1" x14ac:dyDescent="0.3">
      <c r="A269" s="63" t="s">
        <v>13866</v>
      </c>
      <c r="B269" s="63" t="s">
        <v>13867</v>
      </c>
      <c r="C269" s="63" t="s">
        <v>13868</v>
      </c>
      <c r="D269" s="64" t="s">
        <v>12591</v>
      </c>
      <c r="E269" s="63" t="s">
        <v>13618</v>
      </c>
      <c r="F269" s="63" t="s">
        <v>13698</v>
      </c>
      <c r="G269" s="63" t="s">
        <v>13699</v>
      </c>
      <c r="H269" s="63" t="s">
        <v>13822</v>
      </c>
      <c r="I269" s="63" t="s">
        <v>13823</v>
      </c>
    </row>
    <row r="270" spans="1:9" ht="15" customHeight="1" x14ac:dyDescent="0.3">
      <c r="A270" s="63" t="s">
        <v>13869</v>
      </c>
      <c r="B270" s="63" t="s">
        <v>13870</v>
      </c>
      <c r="C270" s="63" t="s">
        <v>13871</v>
      </c>
      <c r="D270" s="64" t="s">
        <v>12591</v>
      </c>
      <c r="E270" s="63" t="s">
        <v>13618</v>
      </c>
      <c r="F270" s="63" t="s">
        <v>13640</v>
      </c>
      <c r="G270" s="63" t="s">
        <v>13641</v>
      </c>
      <c r="H270" s="63" t="s">
        <v>13642</v>
      </c>
      <c r="I270" s="63" t="s">
        <v>13643</v>
      </c>
    </row>
    <row r="271" spans="1:9" ht="15" customHeight="1" x14ac:dyDescent="0.3">
      <c r="A271" s="63" t="s">
        <v>13116</v>
      </c>
      <c r="B271" s="63" t="s">
        <v>13117</v>
      </c>
      <c r="C271" s="63" t="s">
        <v>13118</v>
      </c>
      <c r="D271" s="64" t="s">
        <v>12565</v>
      </c>
      <c r="E271" s="63" t="s">
        <v>13047</v>
      </c>
      <c r="F271" s="63" t="s">
        <v>13048</v>
      </c>
      <c r="G271" s="63" t="s">
        <v>13049</v>
      </c>
      <c r="H271" s="63" t="s">
        <v>13119</v>
      </c>
      <c r="I271" s="63" t="s">
        <v>13120</v>
      </c>
    </row>
    <row r="272" spans="1:9" ht="15" customHeight="1" x14ac:dyDescent="0.3">
      <c r="A272" s="63" t="s">
        <v>14663</v>
      </c>
      <c r="B272" s="63" t="s">
        <v>14664</v>
      </c>
      <c r="C272" s="63" t="s">
        <v>14665</v>
      </c>
      <c r="D272" s="64" t="s">
        <v>12572</v>
      </c>
      <c r="E272" s="63" t="s">
        <v>14386</v>
      </c>
      <c r="F272" s="63" t="s">
        <v>14387</v>
      </c>
      <c r="G272" s="63" t="s">
        <v>14388</v>
      </c>
      <c r="H272" s="63" t="s">
        <v>14399</v>
      </c>
      <c r="I272" s="63" t="s">
        <v>14400</v>
      </c>
    </row>
    <row r="273" spans="1:9" ht="15" customHeight="1" x14ac:dyDescent="0.3">
      <c r="A273" s="63" t="s">
        <v>14666</v>
      </c>
      <c r="B273" s="63" t="s">
        <v>14667</v>
      </c>
      <c r="C273" s="63" t="s">
        <v>14668</v>
      </c>
      <c r="D273" s="64" t="s">
        <v>12572</v>
      </c>
      <c r="E273" s="63" t="s">
        <v>14386</v>
      </c>
      <c r="F273" s="63" t="s">
        <v>12553</v>
      </c>
      <c r="G273" s="63" t="s">
        <v>14409</v>
      </c>
      <c r="H273" s="63" t="s">
        <v>14517</v>
      </c>
      <c r="I273" s="63" t="s">
        <v>14518</v>
      </c>
    </row>
    <row r="274" spans="1:9" ht="15" customHeight="1" x14ac:dyDescent="0.3">
      <c r="A274" s="63" t="s">
        <v>13872</v>
      </c>
      <c r="B274" s="63" t="s">
        <v>13873</v>
      </c>
      <c r="C274" s="63" t="s">
        <v>13874</v>
      </c>
      <c r="D274" s="64" t="s">
        <v>12591</v>
      </c>
      <c r="E274" s="63" t="s">
        <v>13618</v>
      </c>
      <c r="F274" s="63" t="s">
        <v>13698</v>
      </c>
      <c r="G274" s="63" t="s">
        <v>13699</v>
      </c>
      <c r="H274" s="63" t="s">
        <v>13822</v>
      </c>
      <c r="I274" s="63" t="s">
        <v>13823</v>
      </c>
    </row>
    <row r="275" spans="1:9" ht="15" customHeight="1" x14ac:dyDescent="0.3">
      <c r="A275" s="63" t="s">
        <v>13875</v>
      </c>
      <c r="B275" s="63" t="s">
        <v>13876</v>
      </c>
      <c r="C275" s="63" t="s">
        <v>13877</v>
      </c>
      <c r="D275" s="64" t="s">
        <v>12591</v>
      </c>
      <c r="E275" s="63" t="s">
        <v>13618</v>
      </c>
      <c r="F275" s="63" t="s">
        <v>13674</v>
      </c>
      <c r="G275" s="63" t="s">
        <v>13675</v>
      </c>
      <c r="H275" s="63" t="s">
        <v>13800</v>
      </c>
      <c r="I275" s="63" t="s">
        <v>13801</v>
      </c>
    </row>
    <row r="276" spans="1:9" ht="15" customHeight="1" x14ac:dyDescent="0.3">
      <c r="A276" s="63" t="s">
        <v>13878</v>
      </c>
      <c r="B276" s="63" t="s">
        <v>13879</v>
      </c>
      <c r="C276" s="63" t="s">
        <v>13880</v>
      </c>
      <c r="D276" s="64" t="s">
        <v>12591</v>
      </c>
      <c r="E276" s="63" t="s">
        <v>13618</v>
      </c>
      <c r="F276" s="63" t="s">
        <v>13698</v>
      </c>
      <c r="G276" s="63" t="s">
        <v>13699</v>
      </c>
      <c r="H276" s="63" t="s">
        <v>13822</v>
      </c>
      <c r="I276" s="63" t="s">
        <v>13823</v>
      </c>
    </row>
    <row r="277" spans="1:9" ht="15" customHeight="1" x14ac:dyDescent="0.3">
      <c r="A277" s="63" t="s">
        <v>13412</v>
      </c>
      <c r="B277" s="63" t="s">
        <v>13413</v>
      </c>
      <c r="C277" s="63" t="s">
        <v>13414</v>
      </c>
      <c r="D277" s="64" t="s">
        <v>13415</v>
      </c>
      <c r="E277" s="63" t="s">
        <v>13416</v>
      </c>
      <c r="F277" s="63" t="s">
        <v>12548</v>
      </c>
      <c r="G277" s="63" t="s">
        <v>12583</v>
      </c>
      <c r="H277" s="63" t="s">
        <v>13417</v>
      </c>
      <c r="I277" s="63" t="s">
        <v>12547</v>
      </c>
    </row>
    <row r="278" spans="1:9" ht="15" customHeight="1" x14ac:dyDescent="0.3">
      <c r="A278" s="63" t="s">
        <v>13881</v>
      </c>
      <c r="B278" s="63" t="s">
        <v>13882</v>
      </c>
      <c r="C278" s="63" t="s">
        <v>13883</v>
      </c>
      <c r="D278" s="64" t="s">
        <v>12591</v>
      </c>
      <c r="E278" s="63" t="s">
        <v>13618</v>
      </c>
      <c r="F278" s="63" t="s">
        <v>13626</v>
      </c>
      <c r="G278" s="63" t="s">
        <v>13627</v>
      </c>
      <c r="H278" s="63" t="s">
        <v>13884</v>
      </c>
      <c r="I278" s="63" t="s">
        <v>13773</v>
      </c>
    </row>
    <row r="279" spans="1:9" ht="15" customHeight="1" x14ac:dyDescent="0.3">
      <c r="A279" s="63" t="s">
        <v>13570</v>
      </c>
      <c r="B279" s="63" t="s">
        <v>13571</v>
      </c>
      <c r="C279" s="63" t="s">
        <v>13572</v>
      </c>
      <c r="D279" s="64" t="s">
        <v>12579</v>
      </c>
      <c r="E279" s="63" t="s">
        <v>13506</v>
      </c>
      <c r="F279" s="63" t="s">
        <v>13507</v>
      </c>
      <c r="G279" s="63" t="s">
        <v>13508</v>
      </c>
      <c r="H279" s="63" t="s">
        <v>13573</v>
      </c>
      <c r="I279" s="63" t="s">
        <v>13574</v>
      </c>
    </row>
    <row r="280" spans="1:9" ht="15" customHeight="1" x14ac:dyDescent="0.3">
      <c r="A280" s="63" t="s">
        <v>14669</v>
      </c>
      <c r="B280" s="63" t="s">
        <v>14670</v>
      </c>
      <c r="C280" s="63" t="s">
        <v>14671</v>
      </c>
      <c r="D280" s="64" t="s">
        <v>12572</v>
      </c>
      <c r="E280" s="63" t="s">
        <v>14386</v>
      </c>
      <c r="F280" s="63" t="s">
        <v>12553</v>
      </c>
      <c r="G280" s="63" t="s">
        <v>14409</v>
      </c>
      <c r="H280" s="63" t="s">
        <v>14539</v>
      </c>
      <c r="I280" s="63" t="s">
        <v>14540</v>
      </c>
    </row>
    <row r="281" spans="1:9" ht="15" customHeight="1" x14ac:dyDescent="0.3">
      <c r="A281" s="63" t="s">
        <v>13885</v>
      </c>
      <c r="B281" s="63" t="s">
        <v>13886</v>
      </c>
      <c r="C281" s="63" t="s">
        <v>13887</v>
      </c>
      <c r="D281" s="64" t="s">
        <v>12591</v>
      </c>
      <c r="E281" s="63" t="s">
        <v>13618</v>
      </c>
      <c r="F281" s="63" t="s">
        <v>13698</v>
      </c>
      <c r="G281" s="63" t="s">
        <v>13699</v>
      </c>
      <c r="H281" s="63" t="s">
        <v>13822</v>
      </c>
      <c r="I281" s="63" t="s">
        <v>13823</v>
      </c>
    </row>
    <row r="282" spans="1:9" ht="15" customHeight="1" x14ac:dyDescent="0.3">
      <c r="A282" s="63" t="s">
        <v>14672</v>
      </c>
      <c r="B282" s="63" t="s">
        <v>14673</v>
      </c>
      <c r="C282" s="63" t="s">
        <v>14674</v>
      </c>
      <c r="D282" s="64" t="s">
        <v>12572</v>
      </c>
      <c r="E282" s="63" t="s">
        <v>14386</v>
      </c>
      <c r="F282" s="63" t="s">
        <v>14505</v>
      </c>
      <c r="G282" s="63" t="s">
        <v>14506</v>
      </c>
      <c r="H282" s="63" t="s">
        <v>14507</v>
      </c>
      <c r="I282" s="63" t="s">
        <v>14508</v>
      </c>
    </row>
    <row r="283" spans="1:9" ht="15" customHeight="1" x14ac:dyDescent="0.3">
      <c r="A283" s="63" t="s">
        <v>13472</v>
      </c>
      <c r="B283" s="63" t="s">
        <v>13473</v>
      </c>
      <c r="C283" s="63" t="s">
        <v>13474</v>
      </c>
      <c r="D283" s="64" t="s">
        <v>12578</v>
      </c>
      <c r="E283" s="63" t="s">
        <v>13451</v>
      </c>
      <c r="F283" s="63" t="s">
        <v>13475</v>
      </c>
      <c r="G283" s="63" t="s">
        <v>13476</v>
      </c>
      <c r="H283" s="63" t="s">
        <v>13466</v>
      </c>
      <c r="I283" s="63" t="s">
        <v>13467</v>
      </c>
    </row>
    <row r="284" spans="1:9" ht="15" customHeight="1" x14ac:dyDescent="0.3">
      <c r="A284" s="63" t="s">
        <v>13121</v>
      </c>
      <c r="B284" s="63" t="s">
        <v>13122</v>
      </c>
      <c r="C284" s="63" t="s">
        <v>13123</v>
      </c>
      <c r="D284" s="64" t="s">
        <v>12565</v>
      </c>
      <c r="E284" s="63" t="s">
        <v>13047</v>
      </c>
      <c r="F284" s="63" t="s">
        <v>13089</v>
      </c>
      <c r="G284" s="63" t="s">
        <v>13090</v>
      </c>
      <c r="H284" s="63" t="s">
        <v>13091</v>
      </c>
      <c r="I284" s="63" t="s">
        <v>13092</v>
      </c>
    </row>
    <row r="285" spans="1:9" ht="15" customHeight="1" x14ac:dyDescent="0.3">
      <c r="A285" s="63" t="s">
        <v>13124</v>
      </c>
      <c r="B285" s="63" t="s">
        <v>13125</v>
      </c>
      <c r="C285" s="63" t="s">
        <v>13126</v>
      </c>
      <c r="D285" s="64" t="s">
        <v>12565</v>
      </c>
      <c r="E285" s="63" t="s">
        <v>13047</v>
      </c>
      <c r="F285" s="63" t="s">
        <v>13048</v>
      </c>
      <c r="G285" s="63" t="s">
        <v>13049</v>
      </c>
      <c r="H285" s="63" t="s">
        <v>13119</v>
      </c>
      <c r="I285" s="63" t="s">
        <v>13120</v>
      </c>
    </row>
    <row r="286" spans="1:9" ht="15" customHeight="1" x14ac:dyDescent="0.3">
      <c r="A286" s="63" t="s">
        <v>13888</v>
      </c>
      <c r="B286" s="63" t="s">
        <v>13889</v>
      </c>
      <c r="C286" s="63" t="s">
        <v>13890</v>
      </c>
      <c r="D286" s="64" t="s">
        <v>12591</v>
      </c>
      <c r="E286" s="63" t="s">
        <v>13618</v>
      </c>
      <c r="F286" s="63" t="s">
        <v>13698</v>
      </c>
      <c r="G286" s="63" t="s">
        <v>13699</v>
      </c>
      <c r="H286" s="63" t="s">
        <v>13891</v>
      </c>
      <c r="I286" s="63" t="s">
        <v>13892</v>
      </c>
    </row>
    <row r="287" spans="1:9" ht="15" customHeight="1" x14ac:dyDescent="0.3">
      <c r="A287" s="63" t="s">
        <v>13575</v>
      </c>
      <c r="B287" s="63" t="s">
        <v>13576</v>
      </c>
      <c r="C287" s="63" t="s">
        <v>13577</v>
      </c>
      <c r="D287" s="64" t="s">
        <v>12579</v>
      </c>
      <c r="E287" s="63" t="s">
        <v>13506</v>
      </c>
      <c r="F287" s="63" t="s">
        <v>13538</v>
      </c>
      <c r="G287" s="63" t="s">
        <v>13539</v>
      </c>
      <c r="H287" s="63" t="s">
        <v>13578</v>
      </c>
      <c r="I287" s="63" t="s">
        <v>13579</v>
      </c>
    </row>
    <row r="288" spans="1:9" ht="15" customHeight="1" x14ac:dyDescent="0.3">
      <c r="A288" s="63" t="s">
        <v>14675</v>
      </c>
      <c r="B288" s="63" t="s">
        <v>14676</v>
      </c>
      <c r="C288" s="63" t="s">
        <v>14677</v>
      </c>
      <c r="D288" s="64" t="s">
        <v>12572</v>
      </c>
      <c r="E288" s="63" t="s">
        <v>14386</v>
      </c>
      <c r="F288" s="63" t="s">
        <v>14387</v>
      </c>
      <c r="G288" s="63" t="s">
        <v>14388</v>
      </c>
      <c r="H288" s="63" t="s">
        <v>14430</v>
      </c>
      <c r="I288" s="63" t="s">
        <v>14431</v>
      </c>
    </row>
    <row r="289" spans="1:9" ht="15" customHeight="1" x14ac:dyDescent="0.3">
      <c r="A289" s="63" t="s">
        <v>12653</v>
      </c>
      <c r="B289" s="63" t="s">
        <v>12654</v>
      </c>
      <c r="C289" s="63" t="s">
        <v>12655</v>
      </c>
      <c r="D289" s="64" t="s">
        <v>12574</v>
      </c>
      <c r="E289" s="63" t="s">
        <v>12616</v>
      </c>
      <c r="F289" s="63" t="s">
        <v>12632</v>
      </c>
      <c r="G289" s="63" t="s">
        <v>12633</v>
      </c>
      <c r="H289" s="63" t="s">
        <v>7195</v>
      </c>
      <c r="I289" s="63" t="s">
        <v>12656</v>
      </c>
    </row>
    <row r="290" spans="1:9" ht="15" customHeight="1" x14ac:dyDescent="0.3">
      <c r="A290" s="63" t="s">
        <v>13580</v>
      </c>
      <c r="B290" s="63" t="s">
        <v>13581</v>
      </c>
      <c r="C290" s="63" t="s">
        <v>13582</v>
      </c>
      <c r="D290" s="64" t="s">
        <v>12579</v>
      </c>
      <c r="E290" s="63" t="s">
        <v>13506</v>
      </c>
      <c r="F290" s="63" t="s">
        <v>13538</v>
      </c>
      <c r="G290" s="63" t="s">
        <v>13539</v>
      </c>
      <c r="H290" s="63" t="s">
        <v>13578</v>
      </c>
      <c r="I290" s="63" t="s">
        <v>13579</v>
      </c>
    </row>
    <row r="291" spans="1:9" ht="15" customHeight="1" x14ac:dyDescent="0.3">
      <c r="A291" s="63" t="s">
        <v>13583</v>
      </c>
      <c r="B291" s="63" t="s">
        <v>13584</v>
      </c>
      <c r="C291" s="63" t="s">
        <v>13585</v>
      </c>
      <c r="D291" s="64" t="s">
        <v>12579</v>
      </c>
      <c r="E291" s="63" t="s">
        <v>13506</v>
      </c>
      <c r="F291" s="63" t="s">
        <v>13538</v>
      </c>
      <c r="G291" s="63" t="s">
        <v>13539</v>
      </c>
      <c r="H291" s="63" t="s">
        <v>13578</v>
      </c>
      <c r="I291" s="63" t="s">
        <v>13579</v>
      </c>
    </row>
    <row r="292" spans="1:9" ht="15" customHeight="1" x14ac:dyDescent="0.3">
      <c r="A292" s="63" t="s">
        <v>13361</v>
      </c>
      <c r="B292" s="63" t="s">
        <v>13362</v>
      </c>
      <c r="C292" s="63" t="s">
        <v>13363</v>
      </c>
      <c r="D292" s="64" t="s">
        <v>12585</v>
      </c>
      <c r="E292" s="63" t="s">
        <v>13279</v>
      </c>
      <c r="F292" s="63" t="s">
        <v>13280</v>
      </c>
      <c r="G292" s="63" t="s">
        <v>13281</v>
      </c>
      <c r="H292" s="63" t="s">
        <v>13336</v>
      </c>
      <c r="I292" s="63" t="s">
        <v>13337</v>
      </c>
    </row>
    <row r="293" spans="1:9" ht="15" customHeight="1" x14ac:dyDescent="0.3">
      <c r="A293" s="63" t="s">
        <v>14678</v>
      </c>
      <c r="B293" s="63" t="s">
        <v>14679</v>
      </c>
      <c r="C293" s="63" t="s">
        <v>14679</v>
      </c>
      <c r="D293" s="64" t="s">
        <v>12572</v>
      </c>
      <c r="E293" s="63" t="s">
        <v>14386</v>
      </c>
      <c r="F293" s="63" t="s">
        <v>14505</v>
      </c>
      <c r="G293" s="63" t="s">
        <v>14506</v>
      </c>
      <c r="H293" s="63" t="s">
        <v>14661</v>
      </c>
      <c r="I293" s="63" t="s">
        <v>14662</v>
      </c>
    </row>
    <row r="294" spans="1:9" ht="15" customHeight="1" x14ac:dyDescent="0.3">
      <c r="A294" s="63" t="s">
        <v>13364</v>
      </c>
      <c r="B294" s="63" t="s">
        <v>13365</v>
      </c>
      <c r="C294" s="63" t="s">
        <v>13366</v>
      </c>
      <c r="D294" s="64" t="s">
        <v>12585</v>
      </c>
      <c r="E294" s="63" t="s">
        <v>13279</v>
      </c>
      <c r="F294" s="63" t="s">
        <v>13287</v>
      </c>
      <c r="G294" s="63" t="s">
        <v>13288</v>
      </c>
      <c r="H294" s="63" t="s">
        <v>7586</v>
      </c>
      <c r="I294" s="63" t="s">
        <v>7585</v>
      </c>
    </row>
    <row r="295" spans="1:9" ht="15" customHeight="1" x14ac:dyDescent="0.3">
      <c r="A295" s="63" t="s">
        <v>13367</v>
      </c>
      <c r="B295" s="63" t="s">
        <v>13368</v>
      </c>
      <c r="C295" s="63" t="s">
        <v>13369</v>
      </c>
      <c r="D295" s="64" t="s">
        <v>12585</v>
      </c>
      <c r="E295" s="63" t="s">
        <v>13279</v>
      </c>
      <c r="F295" s="63" t="s">
        <v>13344</v>
      </c>
      <c r="G295" s="63" t="s">
        <v>13345</v>
      </c>
      <c r="H295" s="63" t="s">
        <v>13370</v>
      </c>
      <c r="I295" s="63" t="s">
        <v>13371</v>
      </c>
    </row>
    <row r="296" spans="1:9" ht="15" customHeight="1" x14ac:dyDescent="0.3">
      <c r="A296" s="63" t="s">
        <v>14680</v>
      </c>
      <c r="B296" s="63" t="s">
        <v>14681</v>
      </c>
      <c r="C296" s="63" t="s">
        <v>14682</v>
      </c>
      <c r="D296" s="64" t="s">
        <v>12572</v>
      </c>
      <c r="E296" s="63" t="s">
        <v>14386</v>
      </c>
      <c r="F296" s="63" t="s">
        <v>14387</v>
      </c>
      <c r="G296" s="63" t="s">
        <v>14388</v>
      </c>
      <c r="H296" s="63" t="s">
        <v>14394</v>
      </c>
      <c r="I296" s="63" t="s">
        <v>14395</v>
      </c>
    </row>
    <row r="297" spans="1:9" ht="15" customHeight="1" x14ac:dyDescent="0.3">
      <c r="A297" s="63" t="s">
        <v>13893</v>
      </c>
      <c r="B297" s="63" t="s">
        <v>13894</v>
      </c>
      <c r="C297" s="63" t="s">
        <v>13895</v>
      </c>
      <c r="D297" s="64" t="s">
        <v>12591</v>
      </c>
      <c r="E297" s="63" t="s">
        <v>13618</v>
      </c>
      <c r="F297" s="63" t="s">
        <v>13674</v>
      </c>
      <c r="G297" s="63" t="s">
        <v>13675</v>
      </c>
      <c r="H297" s="63" t="s">
        <v>13800</v>
      </c>
      <c r="I297" s="63" t="s">
        <v>13801</v>
      </c>
    </row>
    <row r="298" spans="1:9" ht="15" customHeight="1" x14ac:dyDescent="0.3">
      <c r="A298" s="63" t="s">
        <v>14683</v>
      </c>
      <c r="B298" s="63" t="s">
        <v>14684</v>
      </c>
      <c r="C298" s="63" t="s">
        <v>14685</v>
      </c>
      <c r="D298" s="64" t="s">
        <v>12572</v>
      </c>
      <c r="E298" s="63" t="s">
        <v>14386</v>
      </c>
      <c r="F298" s="63" t="s">
        <v>14505</v>
      </c>
      <c r="G298" s="63" t="s">
        <v>14506</v>
      </c>
      <c r="H298" s="63" t="s">
        <v>14686</v>
      </c>
      <c r="I298" s="63" t="s">
        <v>14687</v>
      </c>
    </row>
    <row r="299" spans="1:9" ht="15" customHeight="1" x14ac:dyDescent="0.3">
      <c r="A299" s="63" t="s">
        <v>13586</v>
      </c>
      <c r="B299" s="63" t="s">
        <v>13587</v>
      </c>
      <c r="C299" s="63" t="s">
        <v>13588</v>
      </c>
      <c r="D299" s="64" t="s">
        <v>12579</v>
      </c>
      <c r="E299" s="63" t="s">
        <v>13506</v>
      </c>
      <c r="F299" s="63" t="s">
        <v>13538</v>
      </c>
      <c r="G299" s="63" t="s">
        <v>13539</v>
      </c>
      <c r="H299" s="63" t="s">
        <v>13578</v>
      </c>
      <c r="I299" s="63" t="s">
        <v>13579</v>
      </c>
    </row>
    <row r="300" spans="1:9" ht="15" customHeight="1" x14ac:dyDescent="0.3">
      <c r="A300" s="63" t="s">
        <v>14688</v>
      </c>
      <c r="B300" s="63" t="s">
        <v>14689</v>
      </c>
      <c r="C300" s="63" t="s">
        <v>14690</v>
      </c>
      <c r="D300" s="64" t="s">
        <v>12572</v>
      </c>
      <c r="E300" s="63" t="s">
        <v>14386</v>
      </c>
      <c r="F300" s="63" t="s">
        <v>14505</v>
      </c>
      <c r="G300" s="63" t="s">
        <v>14506</v>
      </c>
      <c r="H300" s="63" t="s">
        <v>14507</v>
      </c>
      <c r="I300" s="63" t="s">
        <v>14508</v>
      </c>
    </row>
    <row r="301" spans="1:9" ht="15" customHeight="1" x14ac:dyDescent="0.3">
      <c r="A301" s="63" t="s">
        <v>12829</v>
      </c>
      <c r="B301" s="63" t="s">
        <v>12830</v>
      </c>
      <c r="C301" s="63" t="s">
        <v>12831</v>
      </c>
      <c r="D301" s="64" t="s">
        <v>12563</v>
      </c>
      <c r="E301" s="63" t="s">
        <v>12824</v>
      </c>
      <c r="F301" s="63" t="s">
        <v>12824</v>
      </c>
      <c r="G301" s="63" t="s">
        <v>12825</v>
      </c>
      <c r="H301" s="63" t="s">
        <v>12809</v>
      </c>
      <c r="I301" s="63" t="s">
        <v>12810</v>
      </c>
    </row>
    <row r="302" spans="1:9" ht="15" customHeight="1" x14ac:dyDescent="0.3">
      <c r="A302" s="63" t="s">
        <v>14691</v>
      </c>
      <c r="B302" s="63" t="s">
        <v>14692</v>
      </c>
      <c r="C302" s="63" t="s">
        <v>14693</v>
      </c>
      <c r="D302" s="64" t="s">
        <v>12572</v>
      </c>
      <c r="E302" s="63" t="s">
        <v>14386</v>
      </c>
      <c r="F302" s="63" t="s">
        <v>14505</v>
      </c>
      <c r="G302" s="63" t="s">
        <v>14506</v>
      </c>
      <c r="H302" s="63" t="s">
        <v>14661</v>
      </c>
      <c r="I302" s="63" t="s">
        <v>14662</v>
      </c>
    </row>
    <row r="303" spans="1:9" ht="15" customHeight="1" x14ac:dyDescent="0.3">
      <c r="A303" s="63" t="s">
        <v>13896</v>
      </c>
      <c r="B303" s="63" t="s">
        <v>13897</v>
      </c>
      <c r="C303" s="63" t="s">
        <v>13898</v>
      </c>
      <c r="D303" s="64" t="s">
        <v>12591</v>
      </c>
      <c r="E303" s="63" t="s">
        <v>13618</v>
      </c>
      <c r="F303" s="63" t="s">
        <v>13674</v>
      </c>
      <c r="G303" s="63" t="s">
        <v>13675</v>
      </c>
      <c r="H303" s="63" t="s">
        <v>13800</v>
      </c>
      <c r="I303" s="63" t="s">
        <v>13801</v>
      </c>
    </row>
    <row r="304" spans="1:9" ht="15" customHeight="1" x14ac:dyDescent="0.3">
      <c r="A304" s="63" t="s">
        <v>13899</v>
      </c>
      <c r="B304" s="63" t="s">
        <v>13900</v>
      </c>
      <c r="C304" s="63" t="s">
        <v>13901</v>
      </c>
      <c r="D304" s="64" t="s">
        <v>12591</v>
      </c>
      <c r="E304" s="63" t="s">
        <v>13618</v>
      </c>
      <c r="F304" s="63" t="s">
        <v>13619</v>
      </c>
      <c r="G304" s="63" t="s">
        <v>13620</v>
      </c>
      <c r="H304" s="63" t="s">
        <v>13666</v>
      </c>
      <c r="I304" s="63" t="s">
        <v>13667</v>
      </c>
    </row>
    <row r="305" spans="1:9" ht="15" customHeight="1" x14ac:dyDescent="0.3">
      <c r="A305" s="63" t="s">
        <v>12657</v>
      </c>
      <c r="B305" s="63" t="s">
        <v>12658</v>
      </c>
      <c r="C305" s="63" t="s">
        <v>12659</v>
      </c>
      <c r="D305" s="64" t="s">
        <v>12574</v>
      </c>
      <c r="E305" s="63" t="s">
        <v>12616</v>
      </c>
      <c r="F305" s="63" t="s">
        <v>12632</v>
      </c>
      <c r="G305" s="63" t="s">
        <v>12633</v>
      </c>
      <c r="H305" s="63" t="s">
        <v>12660</v>
      </c>
      <c r="I305" s="63" t="s">
        <v>12661</v>
      </c>
    </row>
    <row r="306" spans="1:9" ht="15" customHeight="1" x14ac:dyDescent="0.3">
      <c r="A306" s="63" t="s">
        <v>14304</v>
      </c>
      <c r="B306" s="63" t="s">
        <v>14305</v>
      </c>
      <c r="C306" s="63" t="s">
        <v>14306</v>
      </c>
      <c r="D306" s="64" t="s">
        <v>12567</v>
      </c>
      <c r="E306" s="63" t="s">
        <v>14224</v>
      </c>
      <c r="F306" s="63" t="s">
        <v>14288</v>
      </c>
      <c r="G306" s="63" t="s">
        <v>6836</v>
      </c>
      <c r="H306" s="63" t="s">
        <v>14307</v>
      </c>
      <c r="I306" s="63" t="s">
        <v>14308</v>
      </c>
    </row>
    <row r="307" spans="1:9" ht="15" customHeight="1" x14ac:dyDescent="0.3">
      <c r="A307" s="63" t="s">
        <v>13477</v>
      </c>
      <c r="B307" s="63" t="s">
        <v>13478</v>
      </c>
      <c r="C307" s="63" t="s">
        <v>13479</v>
      </c>
      <c r="D307" s="64" t="s">
        <v>12578</v>
      </c>
      <c r="E307" s="63" t="s">
        <v>13451</v>
      </c>
      <c r="F307" s="63" t="s">
        <v>13452</v>
      </c>
      <c r="G307" s="63" t="s">
        <v>13453</v>
      </c>
      <c r="H307" s="63" t="s">
        <v>13480</v>
      </c>
      <c r="I307" s="63" t="s">
        <v>13481</v>
      </c>
    </row>
    <row r="308" spans="1:9" ht="15" customHeight="1" x14ac:dyDescent="0.3">
      <c r="A308" s="63" t="s">
        <v>12832</v>
      </c>
      <c r="B308" s="63" t="s">
        <v>12833</v>
      </c>
      <c r="C308" s="63" t="s">
        <v>12834</v>
      </c>
      <c r="D308" s="64" t="s">
        <v>12563</v>
      </c>
      <c r="E308" s="63" t="s">
        <v>12824</v>
      </c>
      <c r="F308" s="63" t="s">
        <v>12824</v>
      </c>
      <c r="G308" s="63" t="s">
        <v>12825</v>
      </c>
      <c r="H308" s="63" t="s">
        <v>12788</v>
      </c>
      <c r="I308" s="63" t="s">
        <v>12789</v>
      </c>
    </row>
    <row r="309" spans="1:9" ht="15" customHeight="1" x14ac:dyDescent="0.3">
      <c r="A309" s="63" t="s">
        <v>13902</v>
      </c>
      <c r="B309" s="63" t="s">
        <v>13903</v>
      </c>
      <c r="C309" s="63" t="s">
        <v>13904</v>
      </c>
      <c r="D309" s="64" t="s">
        <v>12591</v>
      </c>
      <c r="E309" s="63" t="s">
        <v>13618</v>
      </c>
      <c r="F309" s="63" t="s">
        <v>13619</v>
      </c>
      <c r="G309" s="63" t="s">
        <v>13620</v>
      </c>
      <c r="H309" s="63" t="s">
        <v>13666</v>
      </c>
      <c r="I309" s="63" t="s">
        <v>13667</v>
      </c>
    </row>
    <row r="310" spans="1:9" ht="15" customHeight="1" x14ac:dyDescent="0.3">
      <c r="A310" s="63" t="s">
        <v>14309</v>
      </c>
      <c r="B310" s="63" t="s">
        <v>14310</v>
      </c>
      <c r="C310" s="63" t="s">
        <v>14311</v>
      </c>
      <c r="D310" s="64" t="s">
        <v>12567</v>
      </c>
      <c r="E310" s="63" t="s">
        <v>14224</v>
      </c>
      <c r="F310" s="63" t="s">
        <v>14225</v>
      </c>
      <c r="G310" s="63" t="s">
        <v>12570</v>
      </c>
      <c r="H310" s="63" t="s">
        <v>14312</v>
      </c>
      <c r="I310" s="63" t="s">
        <v>14313</v>
      </c>
    </row>
    <row r="311" spans="1:9" ht="15" customHeight="1" x14ac:dyDescent="0.3">
      <c r="A311" s="63" t="s">
        <v>14694</v>
      </c>
      <c r="B311" s="63" t="s">
        <v>14695</v>
      </c>
      <c r="C311" s="63" t="s">
        <v>14696</v>
      </c>
      <c r="D311" s="64" t="s">
        <v>12572</v>
      </c>
      <c r="E311" s="63" t="s">
        <v>14386</v>
      </c>
      <c r="F311" s="63" t="s">
        <v>14505</v>
      </c>
      <c r="G311" s="63" t="s">
        <v>14506</v>
      </c>
      <c r="H311" s="63" t="s">
        <v>14661</v>
      </c>
      <c r="I311" s="63" t="s">
        <v>14662</v>
      </c>
    </row>
    <row r="312" spans="1:9" ht="15" customHeight="1" x14ac:dyDescent="0.3">
      <c r="A312" s="63" t="s">
        <v>13905</v>
      </c>
      <c r="B312" s="63" t="s">
        <v>13906</v>
      </c>
      <c r="C312" s="63" t="s">
        <v>13907</v>
      </c>
      <c r="D312" s="64" t="s">
        <v>12591</v>
      </c>
      <c r="E312" s="63" t="s">
        <v>13618</v>
      </c>
      <c r="F312" s="63" t="s">
        <v>13908</v>
      </c>
      <c r="G312" s="63" t="s">
        <v>13909</v>
      </c>
      <c r="H312" s="63" t="s">
        <v>13910</v>
      </c>
      <c r="I312" s="63" t="s">
        <v>13911</v>
      </c>
    </row>
    <row r="313" spans="1:9" ht="15" customHeight="1" x14ac:dyDescent="0.3">
      <c r="A313" s="63" t="s">
        <v>13912</v>
      </c>
      <c r="B313" s="63" t="s">
        <v>13913</v>
      </c>
      <c r="C313" s="63" t="s">
        <v>13914</v>
      </c>
      <c r="D313" s="64" t="s">
        <v>12591</v>
      </c>
      <c r="E313" s="63" t="s">
        <v>13618</v>
      </c>
      <c r="F313" s="63" t="s">
        <v>13619</v>
      </c>
      <c r="G313" s="63" t="s">
        <v>13620</v>
      </c>
      <c r="H313" s="63" t="s">
        <v>13621</v>
      </c>
      <c r="I313" s="63" t="s">
        <v>13622</v>
      </c>
    </row>
    <row r="314" spans="1:9" ht="15" customHeight="1" x14ac:dyDescent="0.3">
      <c r="A314" s="63" t="s">
        <v>14314</v>
      </c>
      <c r="B314" s="63" t="s">
        <v>14315</v>
      </c>
      <c r="C314" s="63" t="s">
        <v>14316</v>
      </c>
      <c r="D314" s="64" t="s">
        <v>12567</v>
      </c>
      <c r="E314" s="63" t="s">
        <v>14224</v>
      </c>
      <c r="F314" s="63" t="s">
        <v>14254</v>
      </c>
      <c r="G314" s="63" t="s">
        <v>12568</v>
      </c>
      <c r="H314" s="63" t="s">
        <v>14317</v>
      </c>
      <c r="I314" s="63" t="s">
        <v>14318</v>
      </c>
    </row>
    <row r="315" spans="1:9" ht="15" customHeight="1" x14ac:dyDescent="0.3">
      <c r="A315" s="63" t="s">
        <v>13915</v>
      </c>
      <c r="B315" s="63" t="s">
        <v>13916</v>
      </c>
      <c r="C315" s="63" t="s">
        <v>13917</v>
      </c>
      <c r="D315" s="64" t="s">
        <v>12591</v>
      </c>
      <c r="E315" s="63" t="s">
        <v>13618</v>
      </c>
      <c r="F315" s="63" t="s">
        <v>13619</v>
      </c>
      <c r="G315" s="63" t="s">
        <v>13620</v>
      </c>
      <c r="H315" s="63" t="s">
        <v>13666</v>
      </c>
      <c r="I315" s="63" t="s">
        <v>13667</v>
      </c>
    </row>
    <row r="316" spans="1:9" ht="15" customHeight="1" x14ac:dyDescent="0.3">
      <c r="A316" s="63" t="s">
        <v>12662</v>
      </c>
      <c r="B316" s="63" t="s">
        <v>12663</v>
      </c>
      <c r="C316" s="63" t="s">
        <v>12664</v>
      </c>
      <c r="D316" s="64" t="s">
        <v>12574</v>
      </c>
      <c r="E316" s="63" t="s">
        <v>12616</v>
      </c>
      <c r="F316" s="63" t="s">
        <v>12632</v>
      </c>
      <c r="G316" s="63" t="s">
        <v>12633</v>
      </c>
      <c r="H316" s="63" t="s">
        <v>6482</v>
      </c>
      <c r="I316" s="63" t="s">
        <v>12634</v>
      </c>
    </row>
    <row r="317" spans="1:9" ht="15" customHeight="1" x14ac:dyDescent="0.3">
      <c r="A317" s="63" t="s">
        <v>14319</v>
      </c>
      <c r="B317" s="63" t="s">
        <v>14320</v>
      </c>
      <c r="C317" s="63" t="s">
        <v>14321</v>
      </c>
      <c r="D317" s="64" t="s">
        <v>12567</v>
      </c>
      <c r="E317" s="63" t="s">
        <v>14224</v>
      </c>
      <c r="F317" s="63" t="s">
        <v>14225</v>
      </c>
      <c r="G317" s="63" t="s">
        <v>12570</v>
      </c>
      <c r="H317" s="63" t="s">
        <v>14322</v>
      </c>
      <c r="I317" s="63" t="s">
        <v>14323</v>
      </c>
    </row>
    <row r="318" spans="1:9" ht="15" customHeight="1" x14ac:dyDescent="0.3">
      <c r="A318" s="63" t="s">
        <v>13127</v>
      </c>
      <c r="B318" s="63" t="s">
        <v>13128</v>
      </c>
      <c r="C318" s="63" t="s">
        <v>13129</v>
      </c>
      <c r="D318" s="64" t="s">
        <v>12565</v>
      </c>
      <c r="E318" s="63" t="s">
        <v>13047</v>
      </c>
      <c r="F318" s="63" t="s">
        <v>13048</v>
      </c>
      <c r="G318" s="63" t="s">
        <v>13049</v>
      </c>
      <c r="H318" s="63" t="s">
        <v>13050</v>
      </c>
      <c r="I318" s="63" t="s">
        <v>13051</v>
      </c>
    </row>
    <row r="319" spans="1:9" ht="15" customHeight="1" x14ac:dyDescent="0.3">
      <c r="A319" s="63" t="s">
        <v>14697</v>
      </c>
      <c r="B319" s="63" t="s">
        <v>14698</v>
      </c>
      <c r="C319" s="63" t="s">
        <v>14699</v>
      </c>
      <c r="D319" s="64" t="s">
        <v>12572</v>
      </c>
      <c r="E319" s="63" t="s">
        <v>14386</v>
      </c>
      <c r="F319" s="63" t="s">
        <v>12553</v>
      </c>
      <c r="G319" s="63" t="s">
        <v>14409</v>
      </c>
      <c r="H319" s="63" t="s">
        <v>14700</v>
      </c>
      <c r="I319" s="63" t="s">
        <v>14701</v>
      </c>
    </row>
    <row r="320" spans="1:9" ht="15" customHeight="1" x14ac:dyDescent="0.3">
      <c r="A320" s="63" t="s">
        <v>14702</v>
      </c>
      <c r="B320" s="63" t="s">
        <v>14703</v>
      </c>
      <c r="C320" s="63" t="s">
        <v>14704</v>
      </c>
      <c r="D320" s="64" t="s">
        <v>12572</v>
      </c>
      <c r="E320" s="63" t="s">
        <v>14386</v>
      </c>
      <c r="F320" s="63" t="s">
        <v>12553</v>
      </c>
      <c r="G320" s="63" t="s">
        <v>14409</v>
      </c>
      <c r="H320" s="63" t="s">
        <v>14705</v>
      </c>
      <c r="I320" s="63" t="s">
        <v>14706</v>
      </c>
    </row>
    <row r="321" spans="1:9" ht="15" customHeight="1" x14ac:dyDescent="0.3">
      <c r="A321" s="63" t="s">
        <v>14324</v>
      </c>
      <c r="B321" s="63" t="s">
        <v>14325</v>
      </c>
      <c r="C321" s="63" t="s">
        <v>14326</v>
      </c>
      <c r="D321" s="64" t="s">
        <v>12567</v>
      </c>
      <c r="E321" s="63" t="s">
        <v>14224</v>
      </c>
      <c r="F321" s="63" t="s">
        <v>14225</v>
      </c>
      <c r="G321" s="63" t="s">
        <v>12570</v>
      </c>
      <c r="H321" s="63" t="s">
        <v>6398</v>
      </c>
      <c r="I321" s="63" t="s">
        <v>12731</v>
      </c>
    </row>
    <row r="322" spans="1:9" ht="15" customHeight="1" x14ac:dyDescent="0.3">
      <c r="A322" s="63" t="s">
        <v>12811</v>
      </c>
      <c r="B322" s="63" t="s">
        <v>12812</v>
      </c>
      <c r="C322" s="63" t="s">
        <v>12812</v>
      </c>
      <c r="D322" s="64" t="s">
        <v>12560</v>
      </c>
      <c r="E322" s="63" t="s">
        <v>12787</v>
      </c>
      <c r="F322" s="63" t="s">
        <v>12787</v>
      </c>
      <c r="G322" s="63" t="s">
        <v>12560</v>
      </c>
      <c r="H322" s="63" t="s">
        <v>12809</v>
      </c>
      <c r="I322" s="63" t="s">
        <v>12810</v>
      </c>
    </row>
    <row r="323" spans="1:9" ht="15" customHeight="1" x14ac:dyDescent="0.3">
      <c r="A323" s="63" t="s">
        <v>14707</v>
      </c>
      <c r="B323" s="63" t="s">
        <v>14708</v>
      </c>
      <c r="C323" s="63" t="s">
        <v>14709</v>
      </c>
      <c r="D323" s="64" t="s">
        <v>12572</v>
      </c>
      <c r="E323" s="63" t="s">
        <v>14386</v>
      </c>
      <c r="F323" s="63" t="s">
        <v>14505</v>
      </c>
      <c r="G323" s="63" t="s">
        <v>14506</v>
      </c>
      <c r="H323" s="63" t="s">
        <v>14661</v>
      </c>
      <c r="I323" s="63" t="s">
        <v>14662</v>
      </c>
    </row>
    <row r="324" spans="1:9" ht="15" customHeight="1" x14ac:dyDescent="0.3">
      <c r="A324" s="63" t="s">
        <v>13372</v>
      </c>
      <c r="B324" s="63" t="s">
        <v>13373</v>
      </c>
      <c r="C324" s="63" t="s">
        <v>13374</v>
      </c>
      <c r="D324" s="64" t="s">
        <v>12585</v>
      </c>
      <c r="E324" s="63" t="s">
        <v>13279</v>
      </c>
      <c r="F324" s="63" t="s">
        <v>13344</v>
      </c>
      <c r="G324" s="63" t="s">
        <v>13345</v>
      </c>
      <c r="H324" s="63" t="s">
        <v>13370</v>
      </c>
      <c r="I324" s="63" t="s">
        <v>13371</v>
      </c>
    </row>
    <row r="325" spans="1:9" ht="15" customHeight="1" x14ac:dyDescent="0.3">
      <c r="A325" s="63" t="s">
        <v>13130</v>
      </c>
      <c r="B325" s="63" t="s">
        <v>13131</v>
      </c>
      <c r="C325" s="63" t="s">
        <v>13131</v>
      </c>
      <c r="D325" s="64" t="s">
        <v>12565</v>
      </c>
      <c r="E325" s="63" t="s">
        <v>13047</v>
      </c>
      <c r="F325" s="63" t="s">
        <v>13076</v>
      </c>
      <c r="G325" s="63" t="s">
        <v>13077</v>
      </c>
      <c r="H325" s="63" t="s">
        <v>13132</v>
      </c>
      <c r="I325" s="63" t="s">
        <v>13133</v>
      </c>
    </row>
    <row r="326" spans="1:9" ht="15" customHeight="1" x14ac:dyDescent="0.3">
      <c r="A326" s="63" t="s">
        <v>13918</v>
      </c>
      <c r="B326" s="63" t="s">
        <v>13919</v>
      </c>
      <c r="C326" s="63" t="s">
        <v>13920</v>
      </c>
      <c r="D326" s="64" t="s">
        <v>12591</v>
      </c>
      <c r="E326" s="63" t="s">
        <v>13618</v>
      </c>
      <c r="F326" s="63" t="s">
        <v>13619</v>
      </c>
      <c r="G326" s="63" t="s">
        <v>13620</v>
      </c>
      <c r="H326" s="63" t="s">
        <v>13666</v>
      </c>
      <c r="I326" s="63" t="s">
        <v>13667</v>
      </c>
    </row>
    <row r="327" spans="1:9" ht="15" customHeight="1" x14ac:dyDescent="0.3">
      <c r="A327" s="63" t="s">
        <v>14710</v>
      </c>
      <c r="B327" s="63" t="s">
        <v>14711</v>
      </c>
      <c r="C327" s="63" t="s">
        <v>14712</v>
      </c>
      <c r="D327" s="64" t="s">
        <v>12572</v>
      </c>
      <c r="E327" s="63" t="s">
        <v>14386</v>
      </c>
      <c r="F327" s="63" t="s">
        <v>14505</v>
      </c>
      <c r="G327" s="63" t="s">
        <v>14506</v>
      </c>
      <c r="H327" s="63" t="s">
        <v>14507</v>
      </c>
      <c r="I327" s="63" t="s">
        <v>14508</v>
      </c>
    </row>
    <row r="328" spans="1:9" ht="15" customHeight="1" x14ac:dyDescent="0.3">
      <c r="A328" s="63" t="s">
        <v>13134</v>
      </c>
      <c r="B328" s="63" t="s">
        <v>13135</v>
      </c>
      <c r="C328" s="63" t="s">
        <v>13136</v>
      </c>
      <c r="D328" s="64" t="s">
        <v>12565</v>
      </c>
      <c r="E328" s="63" t="s">
        <v>13047</v>
      </c>
      <c r="F328" s="63" t="s">
        <v>13089</v>
      </c>
      <c r="G328" s="63" t="s">
        <v>13090</v>
      </c>
      <c r="H328" s="63" t="s">
        <v>13137</v>
      </c>
      <c r="I328" s="63" t="s">
        <v>13138</v>
      </c>
    </row>
    <row r="329" spans="1:9" ht="15" customHeight="1" x14ac:dyDescent="0.3">
      <c r="A329" s="63" t="s">
        <v>14713</v>
      </c>
      <c r="B329" s="63" t="s">
        <v>14714</v>
      </c>
      <c r="C329" s="63" t="s">
        <v>14715</v>
      </c>
      <c r="D329" s="64" t="s">
        <v>12572</v>
      </c>
      <c r="E329" s="63" t="s">
        <v>14386</v>
      </c>
      <c r="F329" s="63" t="s">
        <v>14505</v>
      </c>
      <c r="G329" s="63" t="s">
        <v>14506</v>
      </c>
      <c r="H329" s="63" t="s">
        <v>14716</v>
      </c>
      <c r="I329" s="63" t="s">
        <v>14717</v>
      </c>
    </row>
    <row r="330" spans="1:9" ht="15" customHeight="1" x14ac:dyDescent="0.3">
      <c r="A330" s="63" t="s">
        <v>13921</v>
      </c>
      <c r="B330" s="63" t="s">
        <v>13922</v>
      </c>
      <c r="C330" s="63" t="s">
        <v>13923</v>
      </c>
      <c r="D330" s="64" t="s">
        <v>12591</v>
      </c>
      <c r="E330" s="63" t="s">
        <v>13618</v>
      </c>
      <c r="F330" s="63" t="s">
        <v>13674</v>
      </c>
      <c r="G330" s="63" t="s">
        <v>13675</v>
      </c>
      <c r="H330" s="63" t="s">
        <v>13924</v>
      </c>
      <c r="I330" s="63" t="s">
        <v>13925</v>
      </c>
    </row>
    <row r="331" spans="1:9" ht="15" customHeight="1" x14ac:dyDescent="0.3">
      <c r="A331" s="63" t="s">
        <v>14718</v>
      </c>
      <c r="B331" s="63" t="s">
        <v>14719</v>
      </c>
      <c r="C331" s="63" t="s">
        <v>14720</v>
      </c>
      <c r="D331" s="64" t="s">
        <v>12572</v>
      </c>
      <c r="E331" s="63" t="s">
        <v>14386</v>
      </c>
      <c r="F331" s="63" t="s">
        <v>14387</v>
      </c>
      <c r="G331" s="63" t="s">
        <v>14388</v>
      </c>
      <c r="H331" s="63" t="s">
        <v>14430</v>
      </c>
      <c r="I331" s="63" t="s">
        <v>14431</v>
      </c>
    </row>
    <row r="332" spans="1:9" ht="15" customHeight="1" x14ac:dyDescent="0.3">
      <c r="A332" s="63" t="s">
        <v>14721</v>
      </c>
      <c r="B332" s="63" t="s">
        <v>14722</v>
      </c>
      <c r="C332" s="63" t="s">
        <v>14723</v>
      </c>
      <c r="D332" s="64" t="s">
        <v>12572</v>
      </c>
      <c r="E332" s="63" t="s">
        <v>14386</v>
      </c>
      <c r="F332" s="63" t="s">
        <v>14505</v>
      </c>
      <c r="G332" s="63" t="s">
        <v>14506</v>
      </c>
      <c r="H332" s="63" t="s">
        <v>14661</v>
      </c>
      <c r="I332" s="63" t="s">
        <v>14662</v>
      </c>
    </row>
    <row r="333" spans="1:9" ht="15" customHeight="1" x14ac:dyDescent="0.3">
      <c r="A333" s="63" t="s">
        <v>14724</v>
      </c>
      <c r="B333" s="63" t="s">
        <v>14725</v>
      </c>
      <c r="C333" s="63" t="s">
        <v>14726</v>
      </c>
      <c r="D333" s="64" t="s">
        <v>12572</v>
      </c>
      <c r="E333" s="63" t="s">
        <v>14386</v>
      </c>
      <c r="F333" s="63" t="s">
        <v>12553</v>
      </c>
      <c r="G333" s="63" t="s">
        <v>14409</v>
      </c>
      <c r="H333" s="63" t="s">
        <v>14727</v>
      </c>
      <c r="I333" s="63" t="s">
        <v>14728</v>
      </c>
    </row>
    <row r="334" spans="1:9" ht="15" customHeight="1" x14ac:dyDescent="0.3">
      <c r="A334" s="63" t="s">
        <v>14729</v>
      </c>
      <c r="B334" s="63" t="s">
        <v>14730</v>
      </c>
      <c r="C334" s="63" t="s">
        <v>14731</v>
      </c>
      <c r="D334" s="64" t="s">
        <v>12572</v>
      </c>
      <c r="E334" s="63" t="s">
        <v>14386</v>
      </c>
      <c r="F334" s="63" t="s">
        <v>12553</v>
      </c>
      <c r="G334" s="63" t="s">
        <v>14409</v>
      </c>
      <c r="H334" s="63" t="s">
        <v>14700</v>
      </c>
      <c r="I334" s="63" t="s">
        <v>14701</v>
      </c>
    </row>
    <row r="335" spans="1:9" ht="15" customHeight="1" x14ac:dyDescent="0.3">
      <c r="A335" s="63" t="s">
        <v>14732</v>
      </c>
      <c r="B335" s="63" t="s">
        <v>14733</v>
      </c>
      <c r="C335" s="63" t="s">
        <v>14734</v>
      </c>
      <c r="D335" s="64" t="s">
        <v>12572</v>
      </c>
      <c r="E335" s="63" t="s">
        <v>14386</v>
      </c>
      <c r="F335" s="63" t="s">
        <v>14505</v>
      </c>
      <c r="G335" s="63" t="s">
        <v>14506</v>
      </c>
      <c r="H335" s="63" t="s">
        <v>14507</v>
      </c>
      <c r="I335" s="63" t="s">
        <v>14508</v>
      </c>
    </row>
    <row r="336" spans="1:9" ht="15" customHeight="1" x14ac:dyDescent="0.3">
      <c r="A336" s="63" t="s">
        <v>14327</v>
      </c>
      <c r="B336" s="63" t="s">
        <v>14328</v>
      </c>
      <c r="C336" s="63" t="s">
        <v>14329</v>
      </c>
      <c r="D336" s="64" t="s">
        <v>12567</v>
      </c>
      <c r="E336" s="63" t="s">
        <v>14224</v>
      </c>
      <c r="F336" s="63" t="s">
        <v>14254</v>
      </c>
      <c r="G336" s="63" t="s">
        <v>12568</v>
      </c>
      <c r="H336" s="63" t="s">
        <v>14330</v>
      </c>
      <c r="I336" s="63" t="s">
        <v>14331</v>
      </c>
    </row>
    <row r="337" spans="1:9" ht="15" customHeight="1" x14ac:dyDescent="0.3">
      <c r="A337" s="63" t="s">
        <v>13139</v>
      </c>
      <c r="B337" s="63" t="s">
        <v>13140</v>
      </c>
      <c r="C337" s="63" t="s">
        <v>13141</v>
      </c>
      <c r="D337" s="64" t="s">
        <v>12565</v>
      </c>
      <c r="E337" s="63" t="s">
        <v>13047</v>
      </c>
      <c r="F337" s="63" t="s">
        <v>13089</v>
      </c>
      <c r="G337" s="63" t="s">
        <v>13090</v>
      </c>
      <c r="H337" s="63" t="s">
        <v>13137</v>
      </c>
      <c r="I337" s="63" t="s">
        <v>13138</v>
      </c>
    </row>
    <row r="338" spans="1:9" ht="15" customHeight="1" x14ac:dyDescent="0.3">
      <c r="A338" s="63" t="s">
        <v>13926</v>
      </c>
      <c r="B338" s="63" t="s">
        <v>13927</v>
      </c>
      <c r="C338" s="63" t="s">
        <v>13928</v>
      </c>
      <c r="D338" s="64" t="s">
        <v>12591</v>
      </c>
      <c r="E338" s="63" t="s">
        <v>13618</v>
      </c>
      <c r="F338" s="63" t="s">
        <v>13640</v>
      </c>
      <c r="G338" s="63" t="s">
        <v>13641</v>
      </c>
      <c r="H338" s="63" t="s">
        <v>13642</v>
      </c>
      <c r="I338" s="63" t="s">
        <v>13643</v>
      </c>
    </row>
    <row r="339" spans="1:9" ht="15" customHeight="1" x14ac:dyDescent="0.3">
      <c r="A339" s="63" t="s">
        <v>14332</v>
      </c>
      <c r="B339" s="63" t="s">
        <v>14333</v>
      </c>
      <c r="C339" s="63" t="s">
        <v>14333</v>
      </c>
      <c r="D339" s="64" t="s">
        <v>12567</v>
      </c>
      <c r="E339" s="63" t="s">
        <v>14224</v>
      </c>
      <c r="F339" s="63" t="s">
        <v>12552</v>
      </c>
      <c r="G339" s="63" t="s">
        <v>12569</v>
      </c>
      <c r="H339" s="63" t="s">
        <v>14334</v>
      </c>
      <c r="I339" s="63" t="s">
        <v>14335</v>
      </c>
    </row>
    <row r="340" spans="1:9" ht="15" customHeight="1" x14ac:dyDescent="0.3">
      <c r="A340" s="63" t="s">
        <v>13142</v>
      </c>
      <c r="B340" s="63" t="s">
        <v>13143</v>
      </c>
      <c r="C340" s="63" t="s">
        <v>13144</v>
      </c>
      <c r="D340" s="64" t="s">
        <v>12565</v>
      </c>
      <c r="E340" s="63" t="s">
        <v>13047</v>
      </c>
      <c r="F340" s="63" t="s">
        <v>13048</v>
      </c>
      <c r="G340" s="63" t="s">
        <v>13049</v>
      </c>
      <c r="H340" s="63" t="s">
        <v>13050</v>
      </c>
      <c r="I340" s="63" t="s">
        <v>13051</v>
      </c>
    </row>
    <row r="341" spans="1:9" ht="15" customHeight="1" x14ac:dyDescent="0.3">
      <c r="A341" s="63" t="s">
        <v>13482</v>
      </c>
      <c r="B341" s="63" t="s">
        <v>13483</v>
      </c>
      <c r="C341" s="63" t="s">
        <v>13484</v>
      </c>
      <c r="D341" s="64" t="s">
        <v>12578</v>
      </c>
      <c r="E341" s="63" t="s">
        <v>13451</v>
      </c>
      <c r="F341" s="63" t="s">
        <v>13475</v>
      </c>
      <c r="G341" s="63" t="s">
        <v>13476</v>
      </c>
      <c r="H341" s="63" t="s">
        <v>13485</v>
      </c>
      <c r="I341" s="63" t="s">
        <v>13486</v>
      </c>
    </row>
    <row r="342" spans="1:9" ht="15" customHeight="1" x14ac:dyDescent="0.3">
      <c r="A342" s="63" t="s">
        <v>13375</v>
      </c>
      <c r="B342" s="63" t="s">
        <v>13376</v>
      </c>
      <c r="C342" s="63" t="s">
        <v>13377</v>
      </c>
      <c r="D342" s="64" t="s">
        <v>12585</v>
      </c>
      <c r="E342" s="63" t="s">
        <v>13279</v>
      </c>
      <c r="F342" s="63" t="s">
        <v>13331</v>
      </c>
      <c r="G342" s="63" t="s">
        <v>13332</v>
      </c>
      <c r="H342" s="63" t="s">
        <v>12162</v>
      </c>
      <c r="I342" s="63" t="s">
        <v>7921</v>
      </c>
    </row>
    <row r="343" spans="1:9" ht="15" customHeight="1" x14ac:dyDescent="0.3">
      <c r="A343" s="63" t="s">
        <v>14336</v>
      </c>
      <c r="B343" s="63" t="s">
        <v>14337</v>
      </c>
      <c r="C343" s="63" t="s">
        <v>14338</v>
      </c>
      <c r="D343" s="64" t="s">
        <v>12567</v>
      </c>
      <c r="E343" s="63" t="s">
        <v>14224</v>
      </c>
      <c r="F343" s="63" t="s">
        <v>14254</v>
      </c>
      <c r="G343" s="63" t="s">
        <v>12568</v>
      </c>
      <c r="H343" s="63" t="s">
        <v>14339</v>
      </c>
      <c r="I343" s="63" t="s">
        <v>14340</v>
      </c>
    </row>
    <row r="344" spans="1:9" ht="15" customHeight="1" x14ac:dyDescent="0.3">
      <c r="A344" s="63" t="s">
        <v>12665</v>
      </c>
      <c r="B344" s="63" t="s">
        <v>12666</v>
      </c>
      <c r="C344" s="63" t="s">
        <v>12667</v>
      </c>
      <c r="D344" s="64" t="s">
        <v>12574</v>
      </c>
      <c r="E344" s="63" t="s">
        <v>12616</v>
      </c>
      <c r="F344" s="63" t="s">
        <v>12617</v>
      </c>
      <c r="G344" s="63" t="s">
        <v>12618</v>
      </c>
      <c r="H344" s="63" t="s">
        <v>12619</v>
      </c>
      <c r="I344" s="63" t="s">
        <v>12620</v>
      </c>
    </row>
    <row r="345" spans="1:9" ht="15" customHeight="1" x14ac:dyDescent="0.3">
      <c r="A345" s="63" t="s">
        <v>12668</v>
      </c>
      <c r="B345" s="63" t="s">
        <v>12669</v>
      </c>
      <c r="C345" s="63" t="s">
        <v>12670</v>
      </c>
      <c r="D345" s="64" t="s">
        <v>12574</v>
      </c>
      <c r="E345" s="63" t="s">
        <v>12616</v>
      </c>
      <c r="F345" s="63" t="s">
        <v>12632</v>
      </c>
      <c r="G345" s="63" t="s">
        <v>12633</v>
      </c>
      <c r="H345" s="63" t="s">
        <v>12671</v>
      </c>
      <c r="I345" s="63" t="s">
        <v>12672</v>
      </c>
    </row>
    <row r="346" spans="1:9" ht="15" customHeight="1" x14ac:dyDescent="0.3">
      <c r="A346" s="63" t="s">
        <v>13929</v>
      </c>
      <c r="B346" s="63" t="s">
        <v>13930</v>
      </c>
      <c r="C346" s="63" t="s">
        <v>13931</v>
      </c>
      <c r="D346" s="64" t="s">
        <v>12591</v>
      </c>
      <c r="E346" s="63" t="s">
        <v>13618</v>
      </c>
      <c r="F346" s="63" t="s">
        <v>13619</v>
      </c>
      <c r="G346" s="63" t="s">
        <v>13620</v>
      </c>
      <c r="H346" s="63" t="s">
        <v>13666</v>
      </c>
      <c r="I346" s="63" t="s">
        <v>13667</v>
      </c>
    </row>
    <row r="347" spans="1:9" ht="15" customHeight="1" x14ac:dyDescent="0.3">
      <c r="A347" s="63" t="s">
        <v>14735</v>
      </c>
      <c r="B347" s="63" t="s">
        <v>14736</v>
      </c>
      <c r="C347" s="63" t="s">
        <v>14737</v>
      </c>
      <c r="D347" s="64" t="s">
        <v>12572</v>
      </c>
      <c r="E347" s="63" t="s">
        <v>14386</v>
      </c>
      <c r="F347" s="63" t="s">
        <v>14505</v>
      </c>
      <c r="G347" s="63" t="s">
        <v>14506</v>
      </c>
      <c r="H347" s="63" t="s">
        <v>14661</v>
      </c>
      <c r="I347" s="63" t="s">
        <v>14662</v>
      </c>
    </row>
    <row r="348" spans="1:9" ht="15" customHeight="1" x14ac:dyDescent="0.3">
      <c r="A348" s="63" t="s">
        <v>14738</v>
      </c>
      <c r="B348" s="63" t="s">
        <v>14739</v>
      </c>
      <c r="C348" s="63" t="s">
        <v>14740</v>
      </c>
      <c r="D348" s="64" t="s">
        <v>12572</v>
      </c>
      <c r="E348" s="63" t="s">
        <v>14386</v>
      </c>
      <c r="F348" s="63" t="s">
        <v>12553</v>
      </c>
      <c r="G348" s="63" t="s">
        <v>14409</v>
      </c>
      <c r="H348" s="63" t="s">
        <v>14529</v>
      </c>
      <c r="I348" s="63" t="s">
        <v>14530</v>
      </c>
    </row>
    <row r="349" spans="1:9" ht="15" customHeight="1" x14ac:dyDescent="0.3">
      <c r="A349" s="63" t="s">
        <v>13145</v>
      </c>
      <c r="B349" s="63" t="s">
        <v>13146</v>
      </c>
      <c r="C349" s="63" t="s">
        <v>13147</v>
      </c>
      <c r="D349" s="64" t="s">
        <v>12565</v>
      </c>
      <c r="E349" s="63" t="s">
        <v>13047</v>
      </c>
      <c r="F349" s="63" t="s">
        <v>13076</v>
      </c>
      <c r="G349" s="63" t="s">
        <v>13077</v>
      </c>
      <c r="H349" s="63" t="s">
        <v>13148</v>
      </c>
      <c r="I349" s="63" t="s">
        <v>13149</v>
      </c>
    </row>
    <row r="350" spans="1:9" ht="15" customHeight="1" x14ac:dyDescent="0.3">
      <c r="A350" s="63" t="s">
        <v>14741</v>
      </c>
      <c r="B350" s="63" t="s">
        <v>14742</v>
      </c>
      <c r="C350" s="63" t="s">
        <v>14743</v>
      </c>
      <c r="D350" s="64" t="s">
        <v>12572</v>
      </c>
      <c r="E350" s="63" t="s">
        <v>14386</v>
      </c>
      <c r="F350" s="63" t="s">
        <v>12553</v>
      </c>
      <c r="G350" s="63" t="s">
        <v>14409</v>
      </c>
      <c r="H350" s="63" t="s">
        <v>14744</v>
      </c>
      <c r="I350" s="63" t="s">
        <v>14745</v>
      </c>
    </row>
    <row r="351" spans="1:9" ht="15" customHeight="1" x14ac:dyDescent="0.3">
      <c r="A351" s="63" t="s">
        <v>14746</v>
      </c>
      <c r="B351" s="63" t="s">
        <v>14747</v>
      </c>
      <c r="C351" s="63" t="s">
        <v>14748</v>
      </c>
      <c r="D351" s="64" t="s">
        <v>12572</v>
      </c>
      <c r="E351" s="63" t="s">
        <v>14386</v>
      </c>
      <c r="F351" s="63" t="s">
        <v>12553</v>
      </c>
      <c r="G351" s="63" t="s">
        <v>14409</v>
      </c>
      <c r="H351" s="63" t="s">
        <v>14749</v>
      </c>
      <c r="I351" s="63" t="s">
        <v>14750</v>
      </c>
    </row>
    <row r="352" spans="1:9" ht="15" customHeight="1" x14ac:dyDescent="0.3">
      <c r="A352" s="63" t="s">
        <v>13418</v>
      </c>
      <c r="B352" s="63" t="s">
        <v>13419</v>
      </c>
      <c r="C352" s="63" t="s">
        <v>13420</v>
      </c>
      <c r="D352" s="64" t="s">
        <v>13415</v>
      </c>
      <c r="E352" s="63" t="s">
        <v>13416</v>
      </c>
      <c r="F352" s="63" t="s">
        <v>13421</v>
      </c>
      <c r="G352" s="63" t="s">
        <v>13422</v>
      </c>
      <c r="H352" s="63" t="s">
        <v>13423</v>
      </c>
      <c r="I352" s="63" t="s">
        <v>13424</v>
      </c>
    </row>
    <row r="353" spans="1:9" ht="15" customHeight="1" x14ac:dyDescent="0.3">
      <c r="A353" s="63" t="s">
        <v>13932</v>
      </c>
      <c r="B353" s="63" t="s">
        <v>13933</v>
      </c>
      <c r="C353" s="63" t="s">
        <v>13934</v>
      </c>
      <c r="D353" s="64" t="s">
        <v>12591</v>
      </c>
      <c r="E353" s="63" t="s">
        <v>13618</v>
      </c>
      <c r="F353" s="63" t="s">
        <v>13619</v>
      </c>
      <c r="G353" s="63" t="s">
        <v>13620</v>
      </c>
      <c r="H353" s="63" t="s">
        <v>13666</v>
      </c>
      <c r="I353" s="63" t="s">
        <v>13667</v>
      </c>
    </row>
    <row r="354" spans="1:9" ht="15" customHeight="1" x14ac:dyDescent="0.3">
      <c r="A354" s="63" t="s">
        <v>14751</v>
      </c>
      <c r="B354" s="63" t="s">
        <v>14752</v>
      </c>
      <c r="C354" s="63" t="s">
        <v>14753</v>
      </c>
      <c r="D354" s="64" t="s">
        <v>12572</v>
      </c>
      <c r="E354" s="63" t="s">
        <v>14386</v>
      </c>
      <c r="F354" s="63" t="s">
        <v>14387</v>
      </c>
      <c r="G354" s="63" t="s">
        <v>14388</v>
      </c>
      <c r="H354" s="63" t="s">
        <v>14430</v>
      </c>
      <c r="I354" s="63" t="s">
        <v>14431</v>
      </c>
    </row>
    <row r="355" spans="1:9" ht="15" customHeight="1" x14ac:dyDescent="0.3">
      <c r="A355" s="63" t="s">
        <v>13935</v>
      </c>
      <c r="B355" s="63" t="s">
        <v>13936</v>
      </c>
      <c r="C355" s="63" t="s">
        <v>13937</v>
      </c>
      <c r="D355" s="64" t="s">
        <v>12591</v>
      </c>
      <c r="E355" s="63" t="s">
        <v>13618</v>
      </c>
      <c r="F355" s="63" t="s">
        <v>13619</v>
      </c>
      <c r="G355" s="63" t="s">
        <v>13620</v>
      </c>
      <c r="H355" s="63" t="s">
        <v>13666</v>
      </c>
      <c r="I355" s="63" t="s">
        <v>13667</v>
      </c>
    </row>
    <row r="356" spans="1:9" ht="15" customHeight="1" x14ac:dyDescent="0.3">
      <c r="A356" s="63" t="s">
        <v>13938</v>
      </c>
      <c r="B356" s="63" t="s">
        <v>13939</v>
      </c>
      <c r="C356" s="63" t="s">
        <v>13940</v>
      </c>
      <c r="D356" s="64" t="s">
        <v>12591</v>
      </c>
      <c r="E356" s="63" t="s">
        <v>13618</v>
      </c>
      <c r="F356" s="63" t="s">
        <v>13698</v>
      </c>
      <c r="G356" s="63" t="s">
        <v>13699</v>
      </c>
      <c r="H356" s="63" t="s">
        <v>13941</v>
      </c>
      <c r="I356" s="63" t="s">
        <v>13942</v>
      </c>
    </row>
    <row r="357" spans="1:9" ht="15" customHeight="1" x14ac:dyDescent="0.3">
      <c r="A357" s="63" t="s">
        <v>14754</v>
      </c>
      <c r="B357" s="63" t="s">
        <v>14755</v>
      </c>
      <c r="C357" s="63" t="s">
        <v>14756</v>
      </c>
      <c r="D357" s="64" t="s">
        <v>12572</v>
      </c>
      <c r="E357" s="63" t="s">
        <v>14386</v>
      </c>
      <c r="F357" s="63" t="s">
        <v>12553</v>
      </c>
      <c r="G357" s="63" t="s">
        <v>14409</v>
      </c>
      <c r="H357" s="63" t="s">
        <v>14744</v>
      </c>
      <c r="I357" s="63" t="s">
        <v>14745</v>
      </c>
    </row>
    <row r="358" spans="1:9" ht="15" customHeight="1" x14ac:dyDescent="0.3">
      <c r="A358" s="63" t="s">
        <v>13943</v>
      </c>
      <c r="B358" s="63" t="s">
        <v>13944</v>
      </c>
      <c r="C358" s="63" t="s">
        <v>13945</v>
      </c>
      <c r="D358" s="64" t="s">
        <v>12591</v>
      </c>
      <c r="E358" s="63" t="s">
        <v>13618</v>
      </c>
      <c r="F358" s="63" t="s">
        <v>13698</v>
      </c>
      <c r="G358" s="63" t="s">
        <v>13699</v>
      </c>
      <c r="H358" s="63" t="s">
        <v>13822</v>
      </c>
      <c r="I358" s="63" t="s">
        <v>13823</v>
      </c>
    </row>
    <row r="359" spans="1:9" ht="15" customHeight="1" x14ac:dyDescent="0.3">
      <c r="A359" s="63" t="s">
        <v>13946</v>
      </c>
      <c r="B359" s="63" t="s">
        <v>13947</v>
      </c>
      <c r="C359" s="63" t="s">
        <v>13948</v>
      </c>
      <c r="D359" s="64" t="s">
        <v>12591</v>
      </c>
      <c r="E359" s="63" t="s">
        <v>13618</v>
      </c>
      <c r="F359" s="63" t="s">
        <v>13698</v>
      </c>
      <c r="G359" s="63" t="s">
        <v>13699</v>
      </c>
      <c r="H359" s="63" t="s">
        <v>13822</v>
      </c>
      <c r="I359" s="63" t="s">
        <v>13823</v>
      </c>
    </row>
    <row r="360" spans="1:9" ht="15" customHeight="1" x14ac:dyDescent="0.3">
      <c r="A360" s="63" t="s">
        <v>13949</v>
      </c>
      <c r="B360" s="63" t="s">
        <v>13950</v>
      </c>
      <c r="C360" s="63" t="s">
        <v>13951</v>
      </c>
      <c r="D360" s="64" t="s">
        <v>12591</v>
      </c>
      <c r="E360" s="63" t="s">
        <v>13618</v>
      </c>
      <c r="F360" s="63" t="s">
        <v>13698</v>
      </c>
      <c r="G360" s="63" t="s">
        <v>13699</v>
      </c>
      <c r="H360" s="63" t="s">
        <v>13814</v>
      </c>
      <c r="I360" s="63" t="s">
        <v>13815</v>
      </c>
    </row>
    <row r="361" spans="1:9" ht="15" customHeight="1" x14ac:dyDescent="0.3">
      <c r="A361" s="63" t="s">
        <v>13952</v>
      </c>
      <c r="B361" s="63" t="s">
        <v>13953</v>
      </c>
      <c r="C361" s="63" t="s">
        <v>13954</v>
      </c>
      <c r="D361" s="64" t="s">
        <v>12591</v>
      </c>
      <c r="E361" s="63" t="s">
        <v>13618</v>
      </c>
      <c r="F361" s="63" t="s">
        <v>13698</v>
      </c>
      <c r="G361" s="63" t="s">
        <v>13699</v>
      </c>
      <c r="H361" s="63" t="s">
        <v>13955</v>
      </c>
      <c r="I361" s="63" t="s">
        <v>13956</v>
      </c>
    </row>
    <row r="362" spans="1:9" ht="15" customHeight="1" x14ac:dyDescent="0.3">
      <c r="A362" s="63" t="s">
        <v>13957</v>
      </c>
      <c r="B362" s="63" t="s">
        <v>13958</v>
      </c>
      <c r="C362" s="63" t="s">
        <v>13959</v>
      </c>
      <c r="D362" s="64" t="s">
        <v>12591</v>
      </c>
      <c r="E362" s="63" t="s">
        <v>13618</v>
      </c>
      <c r="F362" s="63" t="s">
        <v>13698</v>
      </c>
      <c r="G362" s="63" t="s">
        <v>13699</v>
      </c>
      <c r="H362" s="63" t="s">
        <v>13822</v>
      </c>
      <c r="I362" s="63" t="s">
        <v>13823</v>
      </c>
    </row>
    <row r="363" spans="1:9" ht="15" customHeight="1" x14ac:dyDescent="0.3">
      <c r="A363" s="63" t="s">
        <v>13022</v>
      </c>
      <c r="B363" s="63" t="s">
        <v>13023</v>
      </c>
      <c r="C363" s="63" t="s">
        <v>13024</v>
      </c>
      <c r="D363" s="64" t="s">
        <v>12564</v>
      </c>
      <c r="E363" s="63" t="s">
        <v>12897</v>
      </c>
      <c r="F363" s="63" t="s">
        <v>12910</v>
      </c>
      <c r="G363" s="63" t="s">
        <v>12911</v>
      </c>
      <c r="H363" s="63" t="s">
        <v>12912</v>
      </c>
      <c r="I363" s="63" t="s">
        <v>12922</v>
      </c>
    </row>
    <row r="364" spans="1:9" ht="15" customHeight="1" x14ac:dyDescent="0.3">
      <c r="A364" s="63" t="s">
        <v>13244</v>
      </c>
      <c r="B364" s="63" t="s">
        <v>13245</v>
      </c>
      <c r="C364" s="63" t="s">
        <v>13246</v>
      </c>
      <c r="D364" s="64" t="s">
        <v>12592</v>
      </c>
      <c r="E364" s="63" t="s">
        <v>13247</v>
      </c>
      <c r="F364" s="63" t="s">
        <v>13248</v>
      </c>
      <c r="G364" s="63" t="s">
        <v>12592</v>
      </c>
      <c r="H364" s="63" t="s">
        <v>13249</v>
      </c>
      <c r="I364" s="63" t="s">
        <v>13250</v>
      </c>
    </row>
    <row r="365" spans="1:9" ht="15" customHeight="1" x14ac:dyDescent="0.3">
      <c r="A365" s="63" t="s">
        <v>13960</v>
      </c>
      <c r="B365" s="63" t="s">
        <v>13961</v>
      </c>
      <c r="C365" s="63" t="s">
        <v>13962</v>
      </c>
      <c r="D365" s="64" t="s">
        <v>12591</v>
      </c>
      <c r="E365" s="63" t="s">
        <v>13618</v>
      </c>
      <c r="F365" s="63" t="s">
        <v>13698</v>
      </c>
      <c r="G365" s="63" t="s">
        <v>13699</v>
      </c>
      <c r="H365" s="63" t="s">
        <v>13963</v>
      </c>
      <c r="I365" s="63" t="s">
        <v>13964</v>
      </c>
    </row>
    <row r="366" spans="1:9" ht="15" customHeight="1" x14ac:dyDescent="0.3">
      <c r="A366" s="63" t="s">
        <v>13965</v>
      </c>
      <c r="B366" s="63" t="s">
        <v>13966</v>
      </c>
      <c r="C366" s="63" t="s">
        <v>13967</v>
      </c>
      <c r="D366" s="64" t="s">
        <v>12591</v>
      </c>
      <c r="E366" s="63" t="s">
        <v>13618</v>
      </c>
      <c r="F366" s="63" t="s">
        <v>13684</v>
      </c>
      <c r="G366" s="63" t="s">
        <v>13685</v>
      </c>
      <c r="H366" s="63" t="s">
        <v>13792</v>
      </c>
      <c r="I366" s="63" t="s">
        <v>13793</v>
      </c>
    </row>
    <row r="367" spans="1:9" ht="15" customHeight="1" x14ac:dyDescent="0.3">
      <c r="A367" s="63" t="s">
        <v>13150</v>
      </c>
      <c r="B367" s="63" t="s">
        <v>13151</v>
      </c>
      <c r="C367" s="63" t="s">
        <v>13152</v>
      </c>
      <c r="D367" s="64" t="s">
        <v>12565</v>
      </c>
      <c r="E367" s="63" t="s">
        <v>13047</v>
      </c>
      <c r="F367" s="63" t="s">
        <v>13089</v>
      </c>
      <c r="G367" s="63" t="s">
        <v>13090</v>
      </c>
      <c r="H367" s="63" t="s">
        <v>13091</v>
      </c>
      <c r="I367" s="63" t="s">
        <v>13092</v>
      </c>
    </row>
    <row r="368" spans="1:9" ht="15" customHeight="1" x14ac:dyDescent="0.3">
      <c r="A368" s="63" t="s">
        <v>13968</v>
      </c>
      <c r="B368" s="63" t="s">
        <v>13969</v>
      </c>
      <c r="C368" s="63" t="s">
        <v>13970</v>
      </c>
      <c r="D368" s="64" t="s">
        <v>12591</v>
      </c>
      <c r="E368" s="63" t="s">
        <v>13618</v>
      </c>
      <c r="F368" s="63" t="s">
        <v>13619</v>
      </c>
      <c r="G368" s="63" t="s">
        <v>13620</v>
      </c>
      <c r="H368" s="63" t="s">
        <v>13666</v>
      </c>
      <c r="I368" s="63" t="s">
        <v>13667</v>
      </c>
    </row>
    <row r="369" spans="1:9" ht="15" customHeight="1" x14ac:dyDescent="0.3">
      <c r="A369" s="63" t="s">
        <v>13971</v>
      </c>
      <c r="B369" s="63" t="s">
        <v>13972</v>
      </c>
      <c r="C369" s="63" t="s">
        <v>13973</v>
      </c>
      <c r="D369" s="64" t="s">
        <v>12591</v>
      </c>
      <c r="E369" s="63" t="s">
        <v>13618</v>
      </c>
      <c r="F369" s="63" t="s">
        <v>13698</v>
      </c>
      <c r="G369" s="63" t="s">
        <v>13699</v>
      </c>
      <c r="H369" s="63" t="s">
        <v>13822</v>
      </c>
      <c r="I369" s="63" t="s">
        <v>13823</v>
      </c>
    </row>
    <row r="370" spans="1:9" ht="15" customHeight="1" x14ac:dyDescent="0.3">
      <c r="A370" s="63" t="s">
        <v>13974</v>
      </c>
      <c r="B370" s="63" t="s">
        <v>13975</v>
      </c>
      <c r="C370" s="63" t="s">
        <v>13976</v>
      </c>
      <c r="D370" s="64" t="s">
        <v>12591</v>
      </c>
      <c r="E370" s="63" t="s">
        <v>13618</v>
      </c>
      <c r="F370" s="63" t="s">
        <v>13698</v>
      </c>
      <c r="G370" s="63" t="s">
        <v>13699</v>
      </c>
      <c r="H370" s="63" t="s">
        <v>13822</v>
      </c>
      <c r="I370" s="63" t="s">
        <v>13823</v>
      </c>
    </row>
    <row r="371" spans="1:9" ht="15" customHeight="1" x14ac:dyDescent="0.3">
      <c r="A371" s="63" t="s">
        <v>14757</v>
      </c>
      <c r="B371" s="63" t="s">
        <v>14758</v>
      </c>
      <c r="C371" s="63" t="s">
        <v>14759</v>
      </c>
      <c r="D371" s="64" t="s">
        <v>12572</v>
      </c>
      <c r="E371" s="63" t="s">
        <v>14386</v>
      </c>
      <c r="F371" s="63" t="s">
        <v>14505</v>
      </c>
      <c r="G371" s="63" t="s">
        <v>14506</v>
      </c>
      <c r="H371" s="63" t="s">
        <v>14760</v>
      </c>
      <c r="I371" s="63" t="s">
        <v>14761</v>
      </c>
    </row>
    <row r="372" spans="1:9" ht="15" customHeight="1" x14ac:dyDescent="0.3">
      <c r="A372" s="63" t="s">
        <v>14762</v>
      </c>
      <c r="B372" s="63" t="s">
        <v>14763</v>
      </c>
      <c r="C372" s="63" t="s">
        <v>14764</v>
      </c>
      <c r="D372" s="64" t="s">
        <v>12572</v>
      </c>
      <c r="E372" s="63" t="s">
        <v>14386</v>
      </c>
      <c r="F372" s="63" t="s">
        <v>12553</v>
      </c>
      <c r="G372" s="63" t="s">
        <v>14409</v>
      </c>
      <c r="H372" s="63" t="s">
        <v>14749</v>
      </c>
      <c r="I372" s="63" t="s">
        <v>14750</v>
      </c>
    </row>
    <row r="373" spans="1:9" ht="15" customHeight="1" x14ac:dyDescent="0.3">
      <c r="A373" s="63" t="s">
        <v>13977</v>
      </c>
      <c r="B373" s="63" t="s">
        <v>13978</v>
      </c>
      <c r="C373" s="63" t="s">
        <v>13979</v>
      </c>
      <c r="D373" s="64" t="s">
        <v>12591</v>
      </c>
      <c r="E373" s="63" t="s">
        <v>13618</v>
      </c>
      <c r="F373" s="63" t="s">
        <v>13698</v>
      </c>
      <c r="G373" s="63" t="s">
        <v>13699</v>
      </c>
      <c r="H373" s="63" t="s">
        <v>13822</v>
      </c>
      <c r="I373" s="63" t="s">
        <v>13823</v>
      </c>
    </row>
    <row r="374" spans="1:9" ht="15" customHeight="1" x14ac:dyDescent="0.3">
      <c r="A374" s="63" t="s">
        <v>13980</v>
      </c>
      <c r="B374" s="63" t="s">
        <v>13981</v>
      </c>
      <c r="C374" s="63" t="s">
        <v>13982</v>
      </c>
      <c r="D374" s="64" t="s">
        <v>12591</v>
      </c>
      <c r="E374" s="63" t="s">
        <v>13618</v>
      </c>
      <c r="F374" s="63" t="s">
        <v>13674</v>
      </c>
      <c r="G374" s="63" t="s">
        <v>13675</v>
      </c>
      <c r="H374" s="63" t="s">
        <v>13800</v>
      </c>
      <c r="I374" s="63" t="s">
        <v>13801</v>
      </c>
    </row>
    <row r="375" spans="1:9" ht="15" customHeight="1" x14ac:dyDescent="0.3">
      <c r="A375" s="63" t="s">
        <v>13983</v>
      </c>
      <c r="B375" s="63" t="s">
        <v>13984</v>
      </c>
      <c r="C375" s="63" t="s">
        <v>13985</v>
      </c>
      <c r="D375" s="64" t="s">
        <v>12591</v>
      </c>
      <c r="E375" s="63" t="s">
        <v>13618</v>
      </c>
      <c r="F375" s="63" t="s">
        <v>13684</v>
      </c>
      <c r="G375" s="63" t="s">
        <v>13685</v>
      </c>
      <c r="H375" s="63" t="s">
        <v>13792</v>
      </c>
      <c r="I375" s="63" t="s">
        <v>13793</v>
      </c>
    </row>
    <row r="376" spans="1:9" ht="15" customHeight="1" x14ac:dyDescent="0.3">
      <c r="A376" s="63" t="s">
        <v>13986</v>
      </c>
      <c r="B376" s="63" t="s">
        <v>13987</v>
      </c>
      <c r="C376" s="63" t="s">
        <v>13988</v>
      </c>
      <c r="D376" s="64" t="s">
        <v>12591</v>
      </c>
      <c r="E376" s="63" t="s">
        <v>13618</v>
      </c>
      <c r="F376" s="63" t="s">
        <v>13674</v>
      </c>
      <c r="G376" s="63" t="s">
        <v>13675</v>
      </c>
      <c r="H376" s="63" t="s">
        <v>13924</v>
      </c>
      <c r="I376" s="63" t="s">
        <v>13925</v>
      </c>
    </row>
    <row r="377" spans="1:9" ht="15" customHeight="1" x14ac:dyDescent="0.3">
      <c r="A377" s="63" t="s">
        <v>13989</v>
      </c>
      <c r="B377" s="63" t="s">
        <v>13990</v>
      </c>
      <c r="C377" s="63" t="s">
        <v>13991</v>
      </c>
      <c r="D377" s="64" t="s">
        <v>12591</v>
      </c>
      <c r="E377" s="63" t="s">
        <v>13618</v>
      </c>
      <c r="F377" s="63" t="s">
        <v>13619</v>
      </c>
      <c r="G377" s="63" t="s">
        <v>13620</v>
      </c>
      <c r="H377" s="63" t="s">
        <v>13621</v>
      </c>
      <c r="I377" s="63" t="s">
        <v>13622</v>
      </c>
    </row>
    <row r="378" spans="1:9" ht="15" customHeight="1" x14ac:dyDescent="0.3">
      <c r="A378" s="63" t="s">
        <v>13992</v>
      </c>
      <c r="B378" s="63" t="s">
        <v>13993</v>
      </c>
      <c r="C378" s="63" t="s">
        <v>13994</v>
      </c>
      <c r="D378" s="64" t="s">
        <v>12591</v>
      </c>
      <c r="E378" s="63" t="s">
        <v>13618</v>
      </c>
      <c r="F378" s="63" t="s">
        <v>13674</v>
      </c>
      <c r="G378" s="63" t="s">
        <v>13675</v>
      </c>
      <c r="H378" s="63" t="s">
        <v>13924</v>
      </c>
      <c r="I378" s="63" t="s">
        <v>13925</v>
      </c>
    </row>
    <row r="379" spans="1:9" ht="15" customHeight="1" x14ac:dyDescent="0.3">
      <c r="A379" s="63" t="s">
        <v>13153</v>
      </c>
      <c r="B379" s="63" t="s">
        <v>13154</v>
      </c>
      <c r="C379" s="63" t="s">
        <v>13155</v>
      </c>
      <c r="D379" s="64" t="s">
        <v>12565</v>
      </c>
      <c r="E379" s="63" t="s">
        <v>13047</v>
      </c>
      <c r="F379" s="63" t="s">
        <v>13076</v>
      </c>
      <c r="G379" s="63" t="s">
        <v>13077</v>
      </c>
      <c r="H379" s="63" t="s">
        <v>13148</v>
      </c>
      <c r="I379" s="63" t="s">
        <v>13149</v>
      </c>
    </row>
    <row r="380" spans="1:9" ht="15" customHeight="1" x14ac:dyDescent="0.3">
      <c r="A380" s="63" t="s">
        <v>13378</v>
      </c>
      <c r="B380" s="63" t="s">
        <v>13379</v>
      </c>
      <c r="C380" s="63" t="s">
        <v>13380</v>
      </c>
      <c r="D380" s="64" t="s">
        <v>12585</v>
      </c>
      <c r="E380" s="63" t="s">
        <v>13279</v>
      </c>
      <c r="F380" s="63" t="s">
        <v>13344</v>
      </c>
      <c r="G380" s="63" t="s">
        <v>13345</v>
      </c>
      <c r="H380" s="63" t="s">
        <v>13381</v>
      </c>
      <c r="I380" s="63" t="s">
        <v>13382</v>
      </c>
    </row>
    <row r="381" spans="1:9" ht="15" customHeight="1" x14ac:dyDescent="0.3">
      <c r="A381" s="63" t="s">
        <v>13156</v>
      </c>
      <c r="B381" s="63" t="s">
        <v>13157</v>
      </c>
      <c r="C381" s="63" t="s">
        <v>13158</v>
      </c>
      <c r="D381" s="64" t="s">
        <v>12565</v>
      </c>
      <c r="E381" s="63" t="s">
        <v>13047</v>
      </c>
      <c r="F381" s="63" t="s">
        <v>13048</v>
      </c>
      <c r="G381" s="63" t="s">
        <v>13049</v>
      </c>
      <c r="H381" s="63" t="s">
        <v>13050</v>
      </c>
      <c r="I381" s="63" t="s">
        <v>13051</v>
      </c>
    </row>
    <row r="382" spans="1:9" ht="15" customHeight="1" x14ac:dyDescent="0.3">
      <c r="A382" s="63" t="s">
        <v>14765</v>
      </c>
      <c r="B382" s="63" t="s">
        <v>14766</v>
      </c>
      <c r="C382" s="63" t="s">
        <v>14767</v>
      </c>
      <c r="D382" s="64" t="s">
        <v>12572</v>
      </c>
      <c r="E382" s="63" t="s">
        <v>14386</v>
      </c>
      <c r="F382" s="63" t="s">
        <v>12553</v>
      </c>
      <c r="G382" s="63" t="s">
        <v>14409</v>
      </c>
      <c r="H382" s="63" t="s">
        <v>14443</v>
      </c>
      <c r="I382" s="63" t="s">
        <v>14444</v>
      </c>
    </row>
    <row r="383" spans="1:9" ht="15" customHeight="1" x14ac:dyDescent="0.3">
      <c r="A383" s="63" t="s">
        <v>14768</v>
      </c>
      <c r="B383" s="63" t="s">
        <v>14769</v>
      </c>
      <c r="C383" s="63" t="s">
        <v>14770</v>
      </c>
      <c r="D383" s="64" t="s">
        <v>12572</v>
      </c>
      <c r="E383" s="63" t="s">
        <v>14386</v>
      </c>
      <c r="F383" s="63" t="s">
        <v>12553</v>
      </c>
      <c r="G383" s="63" t="s">
        <v>14409</v>
      </c>
      <c r="H383" s="63" t="s">
        <v>14529</v>
      </c>
      <c r="I383" s="63" t="s">
        <v>14530</v>
      </c>
    </row>
    <row r="384" spans="1:9" ht="15" customHeight="1" x14ac:dyDescent="0.3">
      <c r="A384" s="63" t="s">
        <v>13995</v>
      </c>
      <c r="B384" s="63" t="s">
        <v>13996</v>
      </c>
      <c r="C384" s="63" t="s">
        <v>13997</v>
      </c>
      <c r="D384" s="64" t="s">
        <v>12591</v>
      </c>
      <c r="E384" s="63" t="s">
        <v>13618</v>
      </c>
      <c r="F384" s="63" t="s">
        <v>13619</v>
      </c>
      <c r="G384" s="63" t="s">
        <v>13620</v>
      </c>
      <c r="H384" s="63" t="s">
        <v>13621</v>
      </c>
      <c r="I384" s="63" t="s">
        <v>13622</v>
      </c>
    </row>
    <row r="385" spans="1:9" ht="15" customHeight="1" x14ac:dyDescent="0.3">
      <c r="A385" s="63" t="s">
        <v>14771</v>
      </c>
      <c r="B385" s="63" t="s">
        <v>14772</v>
      </c>
      <c r="C385" s="63" t="s">
        <v>14773</v>
      </c>
      <c r="D385" s="64" t="s">
        <v>12572</v>
      </c>
      <c r="E385" s="63" t="s">
        <v>14386</v>
      </c>
      <c r="F385" s="63" t="s">
        <v>14387</v>
      </c>
      <c r="G385" s="63" t="s">
        <v>14388</v>
      </c>
      <c r="H385" s="63" t="s">
        <v>14430</v>
      </c>
      <c r="I385" s="63" t="s">
        <v>14431</v>
      </c>
    </row>
    <row r="386" spans="1:9" ht="15" customHeight="1" x14ac:dyDescent="0.3">
      <c r="A386" s="63" t="s">
        <v>13998</v>
      </c>
      <c r="B386" s="63" t="s">
        <v>13999</v>
      </c>
      <c r="C386" s="63" t="s">
        <v>14000</v>
      </c>
      <c r="D386" s="64" t="s">
        <v>12591</v>
      </c>
      <c r="E386" s="63" t="s">
        <v>13618</v>
      </c>
      <c r="F386" s="63" t="s">
        <v>13698</v>
      </c>
      <c r="G386" s="63" t="s">
        <v>13699</v>
      </c>
      <c r="H386" s="63" t="s">
        <v>13963</v>
      </c>
      <c r="I386" s="63" t="s">
        <v>13964</v>
      </c>
    </row>
    <row r="387" spans="1:9" ht="15" customHeight="1" x14ac:dyDescent="0.3">
      <c r="A387" s="63" t="s">
        <v>14774</v>
      </c>
      <c r="B387" s="63" t="s">
        <v>14775</v>
      </c>
      <c r="C387" s="63" t="s">
        <v>14776</v>
      </c>
      <c r="D387" s="64" t="s">
        <v>12572</v>
      </c>
      <c r="E387" s="63" t="s">
        <v>14386</v>
      </c>
      <c r="F387" s="63" t="s">
        <v>14387</v>
      </c>
      <c r="G387" s="63" t="s">
        <v>14388</v>
      </c>
      <c r="H387" s="63" t="s">
        <v>14467</v>
      </c>
      <c r="I387" s="63" t="s">
        <v>14468</v>
      </c>
    </row>
    <row r="388" spans="1:9" ht="15" customHeight="1" x14ac:dyDescent="0.3">
      <c r="A388" s="63" t="s">
        <v>14777</v>
      </c>
      <c r="B388" s="63" t="s">
        <v>14778</v>
      </c>
      <c r="C388" s="63" t="s">
        <v>14779</v>
      </c>
      <c r="D388" s="64" t="s">
        <v>12572</v>
      </c>
      <c r="E388" s="63" t="s">
        <v>14386</v>
      </c>
      <c r="F388" s="63" t="s">
        <v>14505</v>
      </c>
      <c r="G388" s="63" t="s">
        <v>14506</v>
      </c>
      <c r="H388" s="63" t="s">
        <v>14661</v>
      </c>
      <c r="I388" s="63" t="s">
        <v>14662</v>
      </c>
    </row>
    <row r="389" spans="1:9" ht="15" customHeight="1" x14ac:dyDescent="0.3">
      <c r="A389" s="63" t="s">
        <v>14780</v>
      </c>
      <c r="B389" s="63" t="s">
        <v>14781</v>
      </c>
      <c r="C389" s="63" t="s">
        <v>14782</v>
      </c>
      <c r="D389" s="64" t="s">
        <v>12572</v>
      </c>
      <c r="E389" s="63" t="s">
        <v>14386</v>
      </c>
      <c r="F389" s="63" t="s">
        <v>12553</v>
      </c>
      <c r="G389" s="63" t="s">
        <v>14409</v>
      </c>
      <c r="H389" s="63" t="s">
        <v>14443</v>
      </c>
      <c r="I389" s="63" t="s">
        <v>14444</v>
      </c>
    </row>
    <row r="390" spans="1:9" ht="15" customHeight="1" x14ac:dyDescent="0.3">
      <c r="A390" s="63" t="s">
        <v>14783</v>
      </c>
      <c r="B390" s="63" t="s">
        <v>14784</v>
      </c>
      <c r="C390" s="63" t="s">
        <v>14785</v>
      </c>
      <c r="D390" s="64" t="s">
        <v>12572</v>
      </c>
      <c r="E390" s="63" t="s">
        <v>14386</v>
      </c>
      <c r="F390" s="63" t="s">
        <v>12553</v>
      </c>
      <c r="G390" s="63" t="s">
        <v>14409</v>
      </c>
      <c r="H390" s="63" t="s">
        <v>14601</v>
      </c>
      <c r="I390" s="63" t="s">
        <v>14602</v>
      </c>
    </row>
    <row r="391" spans="1:9" ht="15" customHeight="1" x14ac:dyDescent="0.3">
      <c r="A391" s="63" t="s">
        <v>12752</v>
      </c>
      <c r="B391" s="63" t="s">
        <v>12753</v>
      </c>
      <c r="C391" s="63" t="s">
        <v>12754</v>
      </c>
      <c r="D391" s="64" t="s">
        <v>12586</v>
      </c>
      <c r="E391" s="63" t="s">
        <v>12729</v>
      </c>
      <c r="F391" s="63" t="s">
        <v>12730</v>
      </c>
      <c r="G391" s="63" t="s">
        <v>12587</v>
      </c>
      <c r="H391" s="63" t="s">
        <v>6398</v>
      </c>
      <c r="I391" s="63" t="s">
        <v>12731</v>
      </c>
    </row>
    <row r="392" spans="1:9" ht="15" customHeight="1" x14ac:dyDescent="0.3">
      <c r="A392" s="63" t="s">
        <v>14786</v>
      </c>
      <c r="B392" s="63" t="s">
        <v>14787</v>
      </c>
      <c r="C392" s="63" t="s">
        <v>14788</v>
      </c>
      <c r="D392" s="64" t="s">
        <v>12572</v>
      </c>
      <c r="E392" s="63" t="s">
        <v>14386</v>
      </c>
      <c r="F392" s="63" t="s">
        <v>12553</v>
      </c>
      <c r="G392" s="63" t="s">
        <v>14409</v>
      </c>
      <c r="H392" s="63" t="s">
        <v>14630</v>
      </c>
      <c r="I392" s="63" t="s">
        <v>14631</v>
      </c>
    </row>
    <row r="393" spans="1:9" ht="15" customHeight="1" x14ac:dyDescent="0.3">
      <c r="A393" s="63" t="s">
        <v>14789</v>
      </c>
      <c r="B393" s="63" t="s">
        <v>13590</v>
      </c>
      <c r="C393" s="63" t="s">
        <v>14790</v>
      </c>
      <c r="D393" s="64" t="s">
        <v>12572</v>
      </c>
      <c r="E393" s="63" t="s">
        <v>14386</v>
      </c>
      <c r="F393" s="63" t="s">
        <v>12553</v>
      </c>
      <c r="G393" s="63" t="s">
        <v>14409</v>
      </c>
      <c r="H393" s="63" t="s">
        <v>14443</v>
      </c>
      <c r="I393" s="63" t="s">
        <v>14444</v>
      </c>
    </row>
    <row r="394" spans="1:9" ht="15" customHeight="1" x14ac:dyDescent="0.3">
      <c r="A394" s="63" t="s">
        <v>14791</v>
      </c>
      <c r="B394" s="63" t="s">
        <v>14792</v>
      </c>
      <c r="C394" s="63" t="s">
        <v>14793</v>
      </c>
      <c r="D394" s="64" t="s">
        <v>12572</v>
      </c>
      <c r="E394" s="63" t="s">
        <v>14386</v>
      </c>
      <c r="F394" s="63" t="s">
        <v>12553</v>
      </c>
      <c r="G394" s="63" t="s">
        <v>14409</v>
      </c>
      <c r="H394" s="63" t="s">
        <v>14443</v>
      </c>
      <c r="I394" s="63" t="s">
        <v>14444</v>
      </c>
    </row>
    <row r="395" spans="1:9" ht="15" customHeight="1" x14ac:dyDescent="0.3">
      <c r="A395" s="63" t="s">
        <v>14794</v>
      </c>
      <c r="B395" s="63" t="s">
        <v>14795</v>
      </c>
      <c r="C395" s="63" t="s">
        <v>14796</v>
      </c>
      <c r="D395" s="64" t="s">
        <v>12572</v>
      </c>
      <c r="E395" s="63" t="s">
        <v>14386</v>
      </c>
      <c r="F395" s="63" t="s">
        <v>12553</v>
      </c>
      <c r="G395" s="63" t="s">
        <v>14409</v>
      </c>
      <c r="H395" s="63" t="s">
        <v>14415</v>
      </c>
      <c r="I395" s="63" t="s">
        <v>14416</v>
      </c>
    </row>
    <row r="396" spans="1:9" ht="15" customHeight="1" x14ac:dyDescent="0.3">
      <c r="A396" s="63" t="s">
        <v>13383</v>
      </c>
      <c r="B396" s="63" t="s">
        <v>13384</v>
      </c>
      <c r="C396" s="63" t="s">
        <v>13385</v>
      </c>
      <c r="D396" s="64" t="s">
        <v>12585</v>
      </c>
      <c r="E396" s="63" t="s">
        <v>13279</v>
      </c>
      <c r="F396" s="63" t="s">
        <v>13386</v>
      </c>
      <c r="G396" s="63" t="s">
        <v>13387</v>
      </c>
      <c r="H396" s="63" t="s">
        <v>13388</v>
      </c>
      <c r="I396" s="63" t="s">
        <v>13389</v>
      </c>
    </row>
    <row r="397" spans="1:9" ht="15" customHeight="1" x14ac:dyDescent="0.3">
      <c r="A397" s="63" t="s">
        <v>13159</v>
      </c>
      <c r="B397" s="63" t="s">
        <v>13160</v>
      </c>
      <c r="C397" s="63" t="s">
        <v>13161</v>
      </c>
      <c r="D397" s="64" t="s">
        <v>12565</v>
      </c>
      <c r="E397" s="63" t="s">
        <v>13047</v>
      </c>
      <c r="F397" s="63" t="s">
        <v>13048</v>
      </c>
      <c r="G397" s="63" t="s">
        <v>13049</v>
      </c>
      <c r="H397" s="63" t="s">
        <v>13050</v>
      </c>
      <c r="I397" s="63" t="s">
        <v>13051</v>
      </c>
    </row>
    <row r="398" spans="1:9" ht="15" customHeight="1" x14ac:dyDescent="0.3">
      <c r="A398" s="63" t="s">
        <v>14001</v>
      </c>
      <c r="B398" s="63" t="s">
        <v>14002</v>
      </c>
      <c r="C398" s="63" t="s">
        <v>14003</v>
      </c>
      <c r="D398" s="64" t="s">
        <v>12591</v>
      </c>
      <c r="E398" s="63" t="s">
        <v>13618</v>
      </c>
      <c r="F398" s="63" t="s">
        <v>13684</v>
      </c>
      <c r="G398" s="63" t="s">
        <v>13685</v>
      </c>
      <c r="H398" s="63" t="s">
        <v>13792</v>
      </c>
      <c r="I398" s="63" t="s">
        <v>13793</v>
      </c>
    </row>
    <row r="399" spans="1:9" ht="15" customHeight="1" x14ac:dyDescent="0.3">
      <c r="A399" s="63" t="s">
        <v>14004</v>
      </c>
      <c r="B399" s="63" t="s">
        <v>14005</v>
      </c>
      <c r="C399" s="63" t="s">
        <v>14006</v>
      </c>
      <c r="D399" s="64" t="s">
        <v>12591</v>
      </c>
      <c r="E399" s="63" t="s">
        <v>13618</v>
      </c>
      <c r="F399" s="63" t="s">
        <v>13674</v>
      </c>
      <c r="G399" s="63" t="s">
        <v>13675</v>
      </c>
      <c r="H399" s="63" t="s">
        <v>13800</v>
      </c>
      <c r="I399" s="63" t="s">
        <v>13801</v>
      </c>
    </row>
    <row r="400" spans="1:9" ht="15" customHeight="1" x14ac:dyDescent="0.3">
      <c r="A400" s="63" t="s">
        <v>14797</v>
      </c>
      <c r="B400" s="63" t="s">
        <v>14798</v>
      </c>
      <c r="C400" s="63" t="s">
        <v>14799</v>
      </c>
      <c r="D400" s="64" t="s">
        <v>12572</v>
      </c>
      <c r="E400" s="63" t="s">
        <v>14386</v>
      </c>
      <c r="F400" s="63" t="s">
        <v>12553</v>
      </c>
      <c r="G400" s="63" t="s">
        <v>14409</v>
      </c>
      <c r="H400" s="63" t="s">
        <v>14800</v>
      </c>
      <c r="I400" s="63" t="s">
        <v>14801</v>
      </c>
    </row>
    <row r="401" spans="1:9" ht="15" customHeight="1" x14ac:dyDescent="0.3">
      <c r="A401" s="63" t="s">
        <v>12813</v>
      </c>
      <c r="B401" s="63" t="s">
        <v>12814</v>
      </c>
      <c r="C401" s="63" t="s">
        <v>12814</v>
      </c>
      <c r="D401" s="64" t="s">
        <v>12560</v>
      </c>
      <c r="E401" s="63" t="s">
        <v>12787</v>
      </c>
      <c r="F401" s="63" t="s">
        <v>12787</v>
      </c>
      <c r="G401" s="63" t="s">
        <v>12560</v>
      </c>
      <c r="H401" s="63" t="s">
        <v>12809</v>
      </c>
      <c r="I401" s="63" t="s">
        <v>12810</v>
      </c>
    </row>
    <row r="402" spans="1:9" ht="15" customHeight="1" x14ac:dyDescent="0.3">
      <c r="A402" s="63" t="s">
        <v>13263</v>
      </c>
      <c r="B402" s="63" t="s">
        <v>13264</v>
      </c>
      <c r="C402" s="63" t="s">
        <v>13265</v>
      </c>
      <c r="D402" s="64" t="s">
        <v>12580</v>
      </c>
      <c r="E402" s="63" t="s">
        <v>13254</v>
      </c>
      <c r="F402" s="63" t="s">
        <v>13266</v>
      </c>
      <c r="G402" s="63" t="s">
        <v>12584</v>
      </c>
      <c r="H402" s="63" t="s">
        <v>12706</v>
      </c>
      <c r="I402" s="63" t="s">
        <v>12707</v>
      </c>
    </row>
    <row r="403" spans="1:9" ht="15" customHeight="1" x14ac:dyDescent="0.3">
      <c r="A403" s="63" t="s">
        <v>13589</v>
      </c>
      <c r="B403" s="63" t="s">
        <v>13590</v>
      </c>
      <c r="C403" s="63" t="s">
        <v>13591</v>
      </c>
      <c r="D403" s="64" t="s">
        <v>12579</v>
      </c>
      <c r="E403" s="63" t="s">
        <v>13506</v>
      </c>
      <c r="F403" s="63" t="s">
        <v>13538</v>
      </c>
      <c r="G403" s="63" t="s">
        <v>13539</v>
      </c>
      <c r="H403" s="63" t="s">
        <v>13578</v>
      </c>
      <c r="I403" s="63" t="s">
        <v>13579</v>
      </c>
    </row>
    <row r="404" spans="1:9" ht="15" customHeight="1" x14ac:dyDescent="0.3">
      <c r="A404" s="63" t="s">
        <v>14802</v>
      </c>
      <c r="B404" s="63" t="s">
        <v>14803</v>
      </c>
      <c r="C404" s="63" t="s">
        <v>14804</v>
      </c>
      <c r="D404" s="64" t="s">
        <v>12572</v>
      </c>
      <c r="E404" s="63" t="s">
        <v>14386</v>
      </c>
      <c r="F404" s="63" t="s">
        <v>12553</v>
      </c>
      <c r="G404" s="63" t="s">
        <v>14409</v>
      </c>
      <c r="H404" s="63" t="s">
        <v>14601</v>
      </c>
      <c r="I404" s="63" t="s">
        <v>14602</v>
      </c>
    </row>
    <row r="405" spans="1:9" ht="15" customHeight="1" x14ac:dyDescent="0.3">
      <c r="A405" s="63" t="s">
        <v>14805</v>
      </c>
      <c r="B405" s="63" t="s">
        <v>14806</v>
      </c>
      <c r="C405" s="63" t="s">
        <v>14807</v>
      </c>
      <c r="D405" s="64" t="s">
        <v>12572</v>
      </c>
      <c r="E405" s="63" t="s">
        <v>14386</v>
      </c>
      <c r="F405" s="63" t="s">
        <v>12553</v>
      </c>
      <c r="G405" s="63" t="s">
        <v>14409</v>
      </c>
      <c r="H405" s="63" t="s">
        <v>14443</v>
      </c>
      <c r="I405" s="63" t="s">
        <v>14444</v>
      </c>
    </row>
    <row r="406" spans="1:9" ht="15" customHeight="1" x14ac:dyDescent="0.3">
      <c r="A406" s="63" t="s">
        <v>14808</v>
      </c>
      <c r="B406" s="63" t="s">
        <v>14809</v>
      </c>
      <c r="C406" s="63" t="s">
        <v>14810</v>
      </c>
      <c r="D406" s="64" t="s">
        <v>12572</v>
      </c>
      <c r="E406" s="63" t="s">
        <v>14386</v>
      </c>
      <c r="F406" s="63" t="s">
        <v>12553</v>
      </c>
      <c r="G406" s="63" t="s">
        <v>14409</v>
      </c>
      <c r="H406" s="63" t="s">
        <v>14443</v>
      </c>
      <c r="I406" s="63" t="s">
        <v>14444</v>
      </c>
    </row>
    <row r="407" spans="1:9" ht="15" customHeight="1" x14ac:dyDescent="0.3">
      <c r="A407" s="63" t="s">
        <v>14007</v>
      </c>
      <c r="B407" s="63" t="s">
        <v>14008</v>
      </c>
      <c r="C407" s="63" t="s">
        <v>14008</v>
      </c>
      <c r="D407" s="64" t="s">
        <v>12591</v>
      </c>
      <c r="E407" s="63" t="s">
        <v>13618</v>
      </c>
      <c r="F407" s="63" t="s">
        <v>13698</v>
      </c>
      <c r="G407" s="63" t="s">
        <v>13699</v>
      </c>
      <c r="H407" s="63" t="s">
        <v>13822</v>
      </c>
      <c r="I407" s="63" t="s">
        <v>13823</v>
      </c>
    </row>
    <row r="408" spans="1:9" ht="15" customHeight="1" x14ac:dyDescent="0.3">
      <c r="A408" s="63" t="s">
        <v>12713</v>
      </c>
      <c r="B408" s="63" t="s">
        <v>12714</v>
      </c>
      <c r="C408" s="63" t="s">
        <v>12714</v>
      </c>
      <c r="D408" s="64" t="s">
        <v>12575</v>
      </c>
      <c r="E408" s="63" t="s">
        <v>12715</v>
      </c>
      <c r="F408" s="63" t="s">
        <v>12716</v>
      </c>
      <c r="G408" s="63" t="s">
        <v>12717</v>
      </c>
      <c r="H408" s="63" t="s">
        <v>12718</v>
      </c>
      <c r="I408" s="63" t="s">
        <v>9274</v>
      </c>
    </row>
    <row r="409" spans="1:9" ht="15" customHeight="1" x14ac:dyDescent="0.3">
      <c r="A409" s="63" t="s">
        <v>14811</v>
      </c>
      <c r="B409" s="63" t="s">
        <v>14812</v>
      </c>
      <c r="C409" s="63" t="s">
        <v>14813</v>
      </c>
      <c r="D409" s="64" t="s">
        <v>12572</v>
      </c>
      <c r="E409" s="63" t="s">
        <v>14386</v>
      </c>
      <c r="F409" s="63" t="s">
        <v>12553</v>
      </c>
      <c r="G409" s="63" t="s">
        <v>14409</v>
      </c>
      <c r="H409" s="63" t="s">
        <v>14443</v>
      </c>
      <c r="I409" s="63" t="s">
        <v>14444</v>
      </c>
    </row>
    <row r="410" spans="1:9" ht="15" customHeight="1" x14ac:dyDescent="0.3">
      <c r="A410" s="63" t="s">
        <v>14814</v>
      </c>
      <c r="B410" s="63" t="s">
        <v>14815</v>
      </c>
      <c r="C410" s="63" t="s">
        <v>14816</v>
      </c>
      <c r="D410" s="64" t="s">
        <v>12572</v>
      </c>
      <c r="E410" s="63" t="s">
        <v>14386</v>
      </c>
      <c r="F410" s="63" t="s">
        <v>12553</v>
      </c>
      <c r="G410" s="63" t="s">
        <v>14409</v>
      </c>
      <c r="H410" s="63" t="s">
        <v>14529</v>
      </c>
      <c r="I410" s="63" t="s">
        <v>14530</v>
      </c>
    </row>
    <row r="411" spans="1:9" ht="15" customHeight="1" x14ac:dyDescent="0.3">
      <c r="A411" s="63" t="s">
        <v>14817</v>
      </c>
      <c r="B411" s="63" t="s">
        <v>14818</v>
      </c>
      <c r="C411" s="63" t="s">
        <v>14819</v>
      </c>
      <c r="D411" s="64" t="s">
        <v>12572</v>
      </c>
      <c r="E411" s="63" t="s">
        <v>14386</v>
      </c>
      <c r="F411" s="63" t="s">
        <v>12553</v>
      </c>
      <c r="G411" s="63" t="s">
        <v>14409</v>
      </c>
      <c r="H411" s="63" t="s">
        <v>14529</v>
      </c>
      <c r="I411" s="63" t="s">
        <v>14530</v>
      </c>
    </row>
    <row r="412" spans="1:9" ht="15" customHeight="1" x14ac:dyDescent="0.3">
      <c r="A412" s="63" t="s">
        <v>13162</v>
      </c>
      <c r="B412" s="63" t="s">
        <v>13163</v>
      </c>
      <c r="C412" s="63" t="s">
        <v>13164</v>
      </c>
      <c r="D412" s="64" t="s">
        <v>12565</v>
      </c>
      <c r="E412" s="63" t="s">
        <v>13047</v>
      </c>
      <c r="F412" s="63" t="s">
        <v>13048</v>
      </c>
      <c r="G412" s="63" t="s">
        <v>13049</v>
      </c>
      <c r="H412" s="63" t="s">
        <v>13050</v>
      </c>
      <c r="I412" s="63" t="s">
        <v>13051</v>
      </c>
    </row>
    <row r="413" spans="1:9" ht="15" customHeight="1" x14ac:dyDescent="0.3">
      <c r="A413" s="63" t="s">
        <v>14820</v>
      </c>
      <c r="B413" s="63" t="s">
        <v>14821</v>
      </c>
      <c r="C413" s="63" t="s">
        <v>14822</v>
      </c>
      <c r="D413" s="64" t="s">
        <v>12572</v>
      </c>
      <c r="E413" s="63" t="s">
        <v>14386</v>
      </c>
      <c r="F413" s="63" t="s">
        <v>12553</v>
      </c>
      <c r="G413" s="63" t="s">
        <v>14409</v>
      </c>
      <c r="H413" s="63" t="s">
        <v>14529</v>
      </c>
      <c r="I413" s="63" t="s">
        <v>14530</v>
      </c>
    </row>
    <row r="414" spans="1:9" ht="15" customHeight="1" x14ac:dyDescent="0.3">
      <c r="A414" s="63" t="s">
        <v>14823</v>
      </c>
      <c r="B414" s="63" t="s">
        <v>14824</v>
      </c>
      <c r="C414" s="63" t="s">
        <v>14825</v>
      </c>
      <c r="D414" s="64" t="s">
        <v>12572</v>
      </c>
      <c r="E414" s="63" t="s">
        <v>14386</v>
      </c>
      <c r="F414" s="63" t="s">
        <v>12553</v>
      </c>
      <c r="G414" s="63" t="s">
        <v>14409</v>
      </c>
      <c r="H414" s="63" t="s">
        <v>14443</v>
      </c>
      <c r="I414" s="63" t="s">
        <v>14444</v>
      </c>
    </row>
    <row r="415" spans="1:9" ht="15" customHeight="1" x14ac:dyDescent="0.3">
      <c r="A415" s="63" t="s">
        <v>14826</v>
      </c>
      <c r="B415" s="63" t="s">
        <v>14827</v>
      </c>
      <c r="C415" s="63" t="s">
        <v>14828</v>
      </c>
      <c r="D415" s="64" t="s">
        <v>12572</v>
      </c>
      <c r="E415" s="63" t="s">
        <v>14386</v>
      </c>
      <c r="F415" s="63" t="s">
        <v>12553</v>
      </c>
      <c r="G415" s="63" t="s">
        <v>14409</v>
      </c>
      <c r="H415" s="63" t="s">
        <v>14529</v>
      </c>
      <c r="I415" s="63" t="s">
        <v>14530</v>
      </c>
    </row>
    <row r="416" spans="1:9" ht="15" customHeight="1" x14ac:dyDescent="0.3">
      <c r="A416" s="63" t="s">
        <v>14829</v>
      </c>
      <c r="B416" s="63" t="s">
        <v>14830</v>
      </c>
      <c r="C416" s="63" t="s">
        <v>14831</v>
      </c>
      <c r="D416" s="64" t="s">
        <v>12572</v>
      </c>
      <c r="E416" s="63" t="s">
        <v>14386</v>
      </c>
      <c r="F416" s="63" t="s">
        <v>12553</v>
      </c>
      <c r="G416" s="63" t="s">
        <v>14409</v>
      </c>
      <c r="H416" s="63" t="s">
        <v>14832</v>
      </c>
      <c r="I416" s="63" t="s">
        <v>14833</v>
      </c>
    </row>
    <row r="417" spans="1:9" ht="15" customHeight="1" x14ac:dyDescent="0.3">
      <c r="A417" s="63" t="s">
        <v>14009</v>
      </c>
      <c r="B417" s="63" t="s">
        <v>14010</v>
      </c>
      <c r="C417" s="63" t="s">
        <v>14011</v>
      </c>
      <c r="D417" s="64" t="s">
        <v>12591</v>
      </c>
      <c r="E417" s="63" t="s">
        <v>13618</v>
      </c>
      <c r="F417" s="63" t="s">
        <v>13684</v>
      </c>
      <c r="G417" s="63" t="s">
        <v>13685</v>
      </c>
      <c r="H417" s="63" t="s">
        <v>13686</v>
      </c>
      <c r="I417" s="63" t="s">
        <v>13687</v>
      </c>
    </row>
    <row r="418" spans="1:9" ht="15" customHeight="1" x14ac:dyDescent="0.3">
      <c r="A418" s="63" t="s">
        <v>14834</v>
      </c>
      <c r="B418" s="63" t="s">
        <v>14835</v>
      </c>
      <c r="C418" s="63" t="s">
        <v>14836</v>
      </c>
      <c r="D418" s="64" t="s">
        <v>12572</v>
      </c>
      <c r="E418" s="63" t="s">
        <v>14386</v>
      </c>
      <c r="F418" s="63" t="s">
        <v>12553</v>
      </c>
      <c r="G418" s="63" t="s">
        <v>14409</v>
      </c>
      <c r="H418" s="63" t="s">
        <v>14443</v>
      </c>
      <c r="I418" s="63" t="s">
        <v>14444</v>
      </c>
    </row>
    <row r="419" spans="1:9" ht="15" customHeight="1" x14ac:dyDescent="0.3">
      <c r="A419" s="63" t="s">
        <v>14837</v>
      </c>
      <c r="B419" s="63" t="s">
        <v>14838</v>
      </c>
      <c r="C419" s="63" t="s">
        <v>14839</v>
      </c>
      <c r="D419" s="64" t="s">
        <v>12572</v>
      </c>
      <c r="E419" s="63" t="s">
        <v>14386</v>
      </c>
      <c r="F419" s="63" t="s">
        <v>12553</v>
      </c>
      <c r="G419" s="63" t="s">
        <v>14409</v>
      </c>
      <c r="H419" s="63" t="s">
        <v>14529</v>
      </c>
      <c r="I419" s="63" t="s">
        <v>14530</v>
      </c>
    </row>
    <row r="420" spans="1:9" ht="15" customHeight="1" x14ac:dyDescent="0.3">
      <c r="A420" s="63" t="s">
        <v>14840</v>
      </c>
      <c r="B420" s="63" t="s">
        <v>14841</v>
      </c>
      <c r="C420" s="63" t="s">
        <v>14842</v>
      </c>
      <c r="D420" s="64" t="s">
        <v>12572</v>
      </c>
      <c r="E420" s="63" t="s">
        <v>14386</v>
      </c>
      <c r="F420" s="63" t="s">
        <v>12553</v>
      </c>
      <c r="G420" s="63" t="s">
        <v>14409</v>
      </c>
      <c r="H420" s="63" t="s">
        <v>14601</v>
      </c>
      <c r="I420" s="63" t="s">
        <v>14602</v>
      </c>
    </row>
    <row r="421" spans="1:9" ht="15" customHeight="1" x14ac:dyDescent="0.3">
      <c r="A421" s="63" t="s">
        <v>14012</v>
      </c>
      <c r="B421" s="63" t="s">
        <v>14013</v>
      </c>
      <c r="C421" s="63" t="s">
        <v>14014</v>
      </c>
      <c r="D421" s="64" t="s">
        <v>12591</v>
      </c>
      <c r="E421" s="63" t="s">
        <v>13618</v>
      </c>
      <c r="F421" s="63" t="s">
        <v>13684</v>
      </c>
      <c r="G421" s="63" t="s">
        <v>13685</v>
      </c>
      <c r="H421" s="63" t="s">
        <v>13792</v>
      </c>
      <c r="I421" s="63" t="s">
        <v>13793</v>
      </c>
    </row>
    <row r="422" spans="1:9" ht="15" customHeight="1" x14ac:dyDescent="0.3">
      <c r="A422" s="63" t="s">
        <v>14843</v>
      </c>
      <c r="B422" s="63" t="s">
        <v>14844</v>
      </c>
      <c r="C422" s="63" t="s">
        <v>14845</v>
      </c>
      <c r="D422" s="64" t="s">
        <v>12572</v>
      </c>
      <c r="E422" s="63" t="s">
        <v>14386</v>
      </c>
      <c r="F422" s="63" t="s">
        <v>14387</v>
      </c>
      <c r="G422" s="63" t="s">
        <v>14388</v>
      </c>
      <c r="H422" s="63" t="s">
        <v>14430</v>
      </c>
      <c r="I422" s="63" t="s">
        <v>14431</v>
      </c>
    </row>
    <row r="423" spans="1:9" ht="15" customHeight="1" x14ac:dyDescent="0.3">
      <c r="A423" s="63" t="s">
        <v>13390</v>
      </c>
      <c r="B423" s="63" t="s">
        <v>13391</v>
      </c>
      <c r="C423" s="63" t="s">
        <v>13392</v>
      </c>
      <c r="D423" s="64" t="s">
        <v>12585</v>
      </c>
      <c r="E423" s="63" t="s">
        <v>13279</v>
      </c>
      <c r="F423" s="63" t="s">
        <v>13280</v>
      </c>
      <c r="G423" s="63" t="s">
        <v>13281</v>
      </c>
      <c r="H423" s="63" t="s">
        <v>13393</v>
      </c>
      <c r="I423" s="63" t="s">
        <v>13394</v>
      </c>
    </row>
    <row r="424" spans="1:9" ht="15" customHeight="1" x14ac:dyDescent="0.3">
      <c r="A424" s="63" t="s">
        <v>14015</v>
      </c>
      <c r="B424" s="63" t="s">
        <v>14016</v>
      </c>
      <c r="C424" s="63" t="s">
        <v>14017</v>
      </c>
      <c r="D424" s="64" t="s">
        <v>12591</v>
      </c>
      <c r="E424" s="63" t="s">
        <v>13618</v>
      </c>
      <c r="F424" s="63" t="s">
        <v>13698</v>
      </c>
      <c r="G424" s="63" t="s">
        <v>13699</v>
      </c>
      <c r="H424" s="63" t="s">
        <v>14018</v>
      </c>
      <c r="I424" s="63" t="s">
        <v>14019</v>
      </c>
    </row>
    <row r="425" spans="1:9" ht="15" customHeight="1" x14ac:dyDescent="0.3">
      <c r="A425" s="63" t="s">
        <v>14846</v>
      </c>
      <c r="B425" s="63" t="s">
        <v>14847</v>
      </c>
      <c r="C425" s="63" t="s">
        <v>14848</v>
      </c>
      <c r="D425" s="64" t="s">
        <v>12572</v>
      </c>
      <c r="E425" s="63" t="s">
        <v>14386</v>
      </c>
      <c r="F425" s="63" t="s">
        <v>12553</v>
      </c>
      <c r="G425" s="63" t="s">
        <v>14409</v>
      </c>
      <c r="H425" s="63" t="s">
        <v>14443</v>
      </c>
      <c r="I425" s="63" t="s">
        <v>14444</v>
      </c>
    </row>
    <row r="426" spans="1:9" ht="15" customHeight="1" x14ac:dyDescent="0.3">
      <c r="A426" s="63" t="s">
        <v>14849</v>
      </c>
      <c r="B426" s="63" t="s">
        <v>14850</v>
      </c>
      <c r="C426" s="63" t="s">
        <v>14851</v>
      </c>
      <c r="D426" s="64" t="s">
        <v>12572</v>
      </c>
      <c r="E426" s="63" t="s">
        <v>14386</v>
      </c>
      <c r="F426" s="63" t="s">
        <v>12553</v>
      </c>
      <c r="G426" s="63" t="s">
        <v>14409</v>
      </c>
      <c r="H426" s="63" t="s">
        <v>14539</v>
      </c>
      <c r="I426" s="63" t="s">
        <v>14540</v>
      </c>
    </row>
    <row r="427" spans="1:9" ht="15" customHeight="1" x14ac:dyDescent="0.3">
      <c r="A427" s="63" t="s">
        <v>14852</v>
      </c>
      <c r="B427" s="63" t="s">
        <v>14853</v>
      </c>
      <c r="C427" s="63" t="s">
        <v>14854</v>
      </c>
      <c r="D427" s="64" t="s">
        <v>12572</v>
      </c>
      <c r="E427" s="63" t="s">
        <v>14386</v>
      </c>
      <c r="F427" s="63" t="s">
        <v>12553</v>
      </c>
      <c r="G427" s="63" t="s">
        <v>14409</v>
      </c>
      <c r="H427" s="63" t="s">
        <v>14529</v>
      </c>
      <c r="I427" s="63" t="s">
        <v>14530</v>
      </c>
    </row>
    <row r="428" spans="1:9" ht="15" customHeight="1" x14ac:dyDescent="0.3">
      <c r="A428" s="63" t="s">
        <v>14341</v>
      </c>
      <c r="B428" s="63" t="s">
        <v>14342</v>
      </c>
      <c r="C428" s="63" t="s">
        <v>14343</v>
      </c>
      <c r="D428" s="64" t="s">
        <v>12567</v>
      </c>
      <c r="E428" s="63" t="s">
        <v>14224</v>
      </c>
      <c r="F428" s="63" t="s">
        <v>12552</v>
      </c>
      <c r="G428" s="63" t="s">
        <v>12569</v>
      </c>
      <c r="H428" s="63" t="s">
        <v>14241</v>
      </c>
      <c r="I428" s="63" t="s">
        <v>14242</v>
      </c>
    </row>
    <row r="429" spans="1:9" ht="15" customHeight="1" x14ac:dyDescent="0.3">
      <c r="A429" s="63" t="s">
        <v>14020</v>
      </c>
      <c r="B429" s="63" t="s">
        <v>14021</v>
      </c>
      <c r="C429" s="63" t="s">
        <v>14022</v>
      </c>
      <c r="D429" s="64" t="s">
        <v>12591</v>
      </c>
      <c r="E429" s="63" t="s">
        <v>13618</v>
      </c>
      <c r="F429" s="63" t="s">
        <v>13684</v>
      </c>
      <c r="G429" s="63" t="s">
        <v>13685</v>
      </c>
      <c r="H429" s="63" t="s">
        <v>13792</v>
      </c>
      <c r="I429" s="63" t="s">
        <v>13793</v>
      </c>
    </row>
    <row r="430" spans="1:9" ht="15" customHeight="1" x14ac:dyDescent="0.3">
      <c r="A430" s="63" t="s">
        <v>14855</v>
      </c>
      <c r="B430" s="63" t="s">
        <v>14856</v>
      </c>
      <c r="C430" s="63" t="s">
        <v>14857</v>
      </c>
      <c r="D430" s="64" t="s">
        <v>12572</v>
      </c>
      <c r="E430" s="63" t="s">
        <v>14386</v>
      </c>
      <c r="F430" s="63" t="s">
        <v>14505</v>
      </c>
      <c r="G430" s="63" t="s">
        <v>14506</v>
      </c>
      <c r="H430" s="63" t="s">
        <v>14661</v>
      </c>
      <c r="I430" s="63" t="s">
        <v>14662</v>
      </c>
    </row>
    <row r="431" spans="1:9" ht="15" customHeight="1" x14ac:dyDescent="0.3">
      <c r="A431" s="63" t="s">
        <v>13165</v>
      </c>
      <c r="B431" s="63" t="s">
        <v>13166</v>
      </c>
      <c r="C431" s="63" t="s">
        <v>13167</v>
      </c>
      <c r="D431" s="64" t="s">
        <v>12565</v>
      </c>
      <c r="E431" s="63" t="s">
        <v>13047</v>
      </c>
      <c r="F431" s="63" t="s">
        <v>13076</v>
      </c>
      <c r="G431" s="63" t="s">
        <v>13077</v>
      </c>
      <c r="H431" s="63" t="s">
        <v>13148</v>
      </c>
      <c r="I431" s="63" t="s">
        <v>13149</v>
      </c>
    </row>
    <row r="432" spans="1:9" ht="15" customHeight="1" x14ac:dyDescent="0.3">
      <c r="A432" s="63" t="s">
        <v>13395</v>
      </c>
      <c r="B432" s="63" t="s">
        <v>13396</v>
      </c>
      <c r="C432" s="63" t="s">
        <v>13397</v>
      </c>
      <c r="D432" s="64" t="s">
        <v>12585</v>
      </c>
      <c r="E432" s="63" t="s">
        <v>13279</v>
      </c>
      <c r="F432" s="63" t="s">
        <v>13287</v>
      </c>
      <c r="G432" s="63" t="s">
        <v>13288</v>
      </c>
      <c r="H432" s="63" t="s">
        <v>7586</v>
      </c>
      <c r="I432" s="63" t="s">
        <v>7585</v>
      </c>
    </row>
    <row r="433" spans="1:9" ht="15" customHeight="1" x14ac:dyDescent="0.3">
      <c r="A433" s="63" t="s">
        <v>13168</v>
      </c>
      <c r="B433" s="63" t="s">
        <v>13169</v>
      </c>
      <c r="C433" s="63" t="s">
        <v>13170</v>
      </c>
      <c r="D433" s="64" t="s">
        <v>12565</v>
      </c>
      <c r="E433" s="63" t="s">
        <v>13047</v>
      </c>
      <c r="F433" s="63" t="s">
        <v>13069</v>
      </c>
      <c r="G433" s="63" t="s">
        <v>13070</v>
      </c>
      <c r="H433" s="63" t="s">
        <v>13171</v>
      </c>
      <c r="I433" s="63" t="s">
        <v>13172</v>
      </c>
    </row>
    <row r="434" spans="1:9" ht="15" customHeight="1" x14ac:dyDescent="0.3">
      <c r="A434" s="63" t="s">
        <v>13173</v>
      </c>
      <c r="B434" s="63" t="s">
        <v>13174</v>
      </c>
      <c r="C434" s="63" t="s">
        <v>13175</v>
      </c>
      <c r="D434" s="64" t="s">
        <v>12565</v>
      </c>
      <c r="E434" s="63" t="s">
        <v>13047</v>
      </c>
      <c r="F434" s="63" t="s">
        <v>13048</v>
      </c>
      <c r="G434" s="63" t="s">
        <v>13049</v>
      </c>
      <c r="H434" s="63" t="s">
        <v>13050</v>
      </c>
      <c r="I434" s="63" t="s">
        <v>13051</v>
      </c>
    </row>
    <row r="435" spans="1:9" ht="15" customHeight="1" x14ac:dyDescent="0.3">
      <c r="A435" s="63" t="s">
        <v>14858</v>
      </c>
      <c r="B435" s="63" t="s">
        <v>14859</v>
      </c>
      <c r="C435" s="63" t="s">
        <v>14860</v>
      </c>
      <c r="D435" s="64" t="s">
        <v>12572</v>
      </c>
      <c r="E435" s="63" t="s">
        <v>14386</v>
      </c>
      <c r="F435" s="63" t="s">
        <v>14505</v>
      </c>
      <c r="G435" s="63" t="s">
        <v>14506</v>
      </c>
      <c r="H435" s="63" t="s">
        <v>14661</v>
      </c>
      <c r="I435" s="63" t="s">
        <v>14662</v>
      </c>
    </row>
    <row r="436" spans="1:9" ht="15" customHeight="1" x14ac:dyDescent="0.3">
      <c r="A436" s="63" t="s">
        <v>14861</v>
      </c>
      <c r="B436" s="63" t="s">
        <v>14862</v>
      </c>
      <c r="C436" s="63" t="s">
        <v>14863</v>
      </c>
      <c r="D436" s="64" t="s">
        <v>12572</v>
      </c>
      <c r="E436" s="63" t="s">
        <v>14386</v>
      </c>
      <c r="F436" s="63" t="s">
        <v>12553</v>
      </c>
      <c r="G436" s="63" t="s">
        <v>14409</v>
      </c>
      <c r="H436" s="63" t="s">
        <v>14443</v>
      </c>
      <c r="I436" s="63" t="s">
        <v>14444</v>
      </c>
    </row>
    <row r="437" spans="1:9" ht="15" customHeight="1" x14ac:dyDescent="0.3">
      <c r="A437" s="63" t="s">
        <v>12755</v>
      </c>
      <c r="B437" s="63" t="s">
        <v>12756</v>
      </c>
      <c r="C437" s="63" t="s">
        <v>12757</v>
      </c>
      <c r="D437" s="64" t="s">
        <v>12586</v>
      </c>
      <c r="E437" s="63" t="s">
        <v>12729</v>
      </c>
      <c r="F437" s="63" t="s">
        <v>12730</v>
      </c>
      <c r="G437" s="63" t="s">
        <v>12587</v>
      </c>
      <c r="H437" s="63" t="s">
        <v>12758</v>
      </c>
      <c r="I437" s="63" t="s">
        <v>12759</v>
      </c>
    </row>
    <row r="438" spans="1:9" ht="15" customHeight="1" x14ac:dyDescent="0.3">
      <c r="A438" s="63" t="s">
        <v>13398</v>
      </c>
      <c r="B438" s="63" t="s">
        <v>13399</v>
      </c>
      <c r="C438" s="63" t="s">
        <v>13400</v>
      </c>
      <c r="D438" s="64" t="s">
        <v>12585</v>
      </c>
      <c r="E438" s="63" t="s">
        <v>13279</v>
      </c>
      <c r="F438" s="63" t="s">
        <v>13298</v>
      </c>
      <c r="G438" s="63" t="s">
        <v>13299</v>
      </c>
      <c r="H438" s="63" t="s">
        <v>13319</v>
      </c>
      <c r="I438" s="63" t="s">
        <v>13320</v>
      </c>
    </row>
    <row r="439" spans="1:9" ht="15" customHeight="1" x14ac:dyDescent="0.3">
      <c r="A439" s="63" t="s">
        <v>14023</v>
      </c>
      <c r="B439" s="63" t="s">
        <v>14024</v>
      </c>
      <c r="C439" s="63" t="s">
        <v>14025</v>
      </c>
      <c r="D439" s="64" t="s">
        <v>12591</v>
      </c>
      <c r="E439" s="63" t="s">
        <v>13618</v>
      </c>
      <c r="F439" s="63" t="s">
        <v>13619</v>
      </c>
      <c r="G439" s="63" t="s">
        <v>13620</v>
      </c>
      <c r="H439" s="63" t="s">
        <v>13621</v>
      </c>
      <c r="I439" s="63" t="s">
        <v>13622</v>
      </c>
    </row>
    <row r="440" spans="1:9" ht="15" customHeight="1" x14ac:dyDescent="0.3">
      <c r="A440" s="63" t="s">
        <v>14026</v>
      </c>
      <c r="B440" s="63" t="s">
        <v>14027</v>
      </c>
      <c r="C440" s="63" t="s">
        <v>14028</v>
      </c>
      <c r="D440" s="64" t="s">
        <v>12591</v>
      </c>
      <c r="E440" s="63" t="s">
        <v>13618</v>
      </c>
      <c r="F440" s="63" t="s">
        <v>13698</v>
      </c>
      <c r="G440" s="63" t="s">
        <v>13699</v>
      </c>
      <c r="H440" s="63" t="s">
        <v>13822</v>
      </c>
      <c r="I440" s="63" t="s">
        <v>13823</v>
      </c>
    </row>
    <row r="441" spans="1:9" ht="15" customHeight="1" x14ac:dyDescent="0.3">
      <c r="A441" s="63" t="s">
        <v>12719</v>
      </c>
      <c r="B441" s="63" t="s">
        <v>12720</v>
      </c>
      <c r="C441" s="63" t="s">
        <v>12721</v>
      </c>
      <c r="D441" s="64" t="s">
        <v>12575</v>
      </c>
      <c r="E441" s="63" t="s">
        <v>12715</v>
      </c>
      <c r="F441" s="63" t="s">
        <v>12722</v>
      </c>
      <c r="G441" s="63" t="s">
        <v>12723</v>
      </c>
      <c r="H441" s="63" t="s">
        <v>12724</v>
      </c>
      <c r="I441" s="63" t="s">
        <v>12725</v>
      </c>
    </row>
    <row r="442" spans="1:9" ht="15" customHeight="1" x14ac:dyDescent="0.3">
      <c r="A442" s="63" t="s">
        <v>14864</v>
      </c>
      <c r="B442" s="63" t="s">
        <v>14865</v>
      </c>
      <c r="C442" s="63" t="s">
        <v>14866</v>
      </c>
      <c r="D442" s="64" t="s">
        <v>12572</v>
      </c>
      <c r="E442" s="63" t="s">
        <v>14386</v>
      </c>
      <c r="F442" s="63" t="s">
        <v>14387</v>
      </c>
      <c r="G442" s="63" t="s">
        <v>14388</v>
      </c>
      <c r="H442" s="63" t="s">
        <v>14430</v>
      </c>
      <c r="I442" s="63" t="s">
        <v>14431</v>
      </c>
    </row>
    <row r="443" spans="1:9" ht="15" customHeight="1" x14ac:dyDescent="0.3">
      <c r="A443" s="63" t="s">
        <v>12760</v>
      </c>
      <c r="B443" s="63" t="s">
        <v>12761</v>
      </c>
      <c r="C443" s="63" t="s">
        <v>12762</v>
      </c>
      <c r="D443" s="64" t="s">
        <v>12586</v>
      </c>
      <c r="E443" s="63" t="s">
        <v>12729</v>
      </c>
      <c r="F443" s="63" t="s">
        <v>12735</v>
      </c>
      <c r="G443" s="63" t="s">
        <v>12589</v>
      </c>
      <c r="H443" s="63" t="s">
        <v>12763</v>
      </c>
      <c r="I443" s="63" t="s">
        <v>12764</v>
      </c>
    </row>
    <row r="444" spans="1:9" ht="15" customHeight="1" x14ac:dyDescent="0.3">
      <c r="A444" s="63" t="s">
        <v>12765</v>
      </c>
      <c r="B444" s="63" t="s">
        <v>12766</v>
      </c>
      <c r="C444" s="63" t="s">
        <v>12767</v>
      </c>
      <c r="D444" s="64" t="s">
        <v>12586</v>
      </c>
      <c r="E444" s="63" t="s">
        <v>12729</v>
      </c>
      <c r="F444" s="63" t="s">
        <v>12735</v>
      </c>
      <c r="G444" s="63" t="s">
        <v>12589</v>
      </c>
      <c r="H444" s="63" t="s">
        <v>12763</v>
      </c>
      <c r="I444" s="63" t="s">
        <v>12764</v>
      </c>
    </row>
    <row r="445" spans="1:9" ht="15" customHeight="1" x14ac:dyDescent="0.3">
      <c r="A445" s="63" t="s">
        <v>14029</v>
      </c>
      <c r="B445" s="63" t="s">
        <v>14030</v>
      </c>
      <c r="C445" s="63" t="s">
        <v>14031</v>
      </c>
      <c r="D445" s="64" t="s">
        <v>12591</v>
      </c>
      <c r="E445" s="63" t="s">
        <v>13618</v>
      </c>
      <c r="F445" s="63" t="s">
        <v>14032</v>
      </c>
      <c r="G445" s="63" t="s">
        <v>14033</v>
      </c>
      <c r="H445" s="63" t="s">
        <v>14034</v>
      </c>
      <c r="I445" s="63" t="s">
        <v>14035</v>
      </c>
    </row>
    <row r="446" spans="1:9" ht="15" customHeight="1" x14ac:dyDescent="0.3">
      <c r="A446" s="63" t="s">
        <v>13267</v>
      </c>
      <c r="B446" s="63" t="s">
        <v>13268</v>
      </c>
      <c r="C446" s="63" t="s">
        <v>153</v>
      </c>
      <c r="D446" s="64" t="s">
        <v>12580</v>
      </c>
      <c r="E446" s="63" t="s">
        <v>13254</v>
      </c>
      <c r="F446" s="63" t="s">
        <v>13259</v>
      </c>
      <c r="G446" s="63" t="s">
        <v>13260</v>
      </c>
      <c r="H446" s="63" t="s">
        <v>13269</v>
      </c>
      <c r="I446" s="63" t="s">
        <v>13270</v>
      </c>
    </row>
    <row r="447" spans="1:9" ht="15" customHeight="1" x14ac:dyDescent="0.3">
      <c r="A447" s="63" t="s">
        <v>13592</v>
      </c>
      <c r="B447" s="63" t="s">
        <v>13593</v>
      </c>
      <c r="C447" s="63" t="s">
        <v>13594</v>
      </c>
      <c r="D447" s="64" t="s">
        <v>12579</v>
      </c>
      <c r="E447" s="63" t="s">
        <v>13506</v>
      </c>
      <c r="F447" s="63" t="s">
        <v>13595</v>
      </c>
      <c r="G447" s="63" t="s">
        <v>13596</v>
      </c>
      <c r="H447" s="63" t="s">
        <v>13560</v>
      </c>
      <c r="I447" s="63" t="s">
        <v>13561</v>
      </c>
    </row>
    <row r="448" spans="1:9" ht="15" customHeight="1" x14ac:dyDescent="0.3">
      <c r="A448" s="63" t="s">
        <v>14867</v>
      </c>
      <c r="B448" s="63" t="s">
        <v>14868</v>
      </c>
      <c r="C448" s="63" t="s">
        <v>14869</v>
      </c>
      <c r="D448" s="64" t="s">
        <v>12572</v>
      </c>
      <c r="E448" s="63" t="s">
        <v>14386</v>
      </c>
      <c r="F448" s="63" t="s">
        <v>12553</v>
      </c>
      <c r="G448" s="63" t="s">
        <v>14409</v>
      </c>
      <c r="H448" s="63" t="s">
        <v>14870</v>
      </c>
      <c r="I448" s="63" t="s">
        <v>14871</v>
      </c>
    </row>
    <row r="449" spans="1:9" ht="15" customHeight="1" x14ac:dyDescent="0.3">
      <c r="A449" s="63" t="s">
        <v>14872</v>
      </c>
      <c r="B449" s="63" t="s">
        <v>14873</v>
      </c>
      <c r="C449" s="63" t="s">
        <v>14874</v>
      </c>
      <c r="D449" s="64" t="s">
        <v>12572</v>
      </c>
      <c r="E449" s="63" t="s">
        <v>14386</v>
      </c>
      <c r="F449" s="63" t="s">
        <v>12553</v>
      </c>
      <c r="G449" s="63" t="s">
        <v>14409</v>
      </c>
      <c r="H449" s="63" t="s">
        <v>14749</v>
      </c>
      <c r="I449" s="63" t="s">
        <v>14750</v>
      </c>
    </row>
    <row r="450" spans="1:9" ht="15" customHeight="1" x14ac:dyDescent="0.3">
      <c r="A450" s="63" t="s">
        <v>14036</v>
      </c>
      <c r="B450" s="63" t="s">
        <v>14037</v>
      </c>
      <c r="C450" s="63" t="s">
        <v>14038</v>
      </c>
      <c r="D450" s="64" t="s">
        <v>12591</v>
      </c>
      <c r="E450" s="63" t="s">
        <v>13618</v>
      </c>
      <c r="F450" s="63" t="s">
        <v>13684</v>
      </c>
      <c r="G450" s="63" t="s">
        <v>13685</v>
      </c>
      <c r="H450" s="63" t="s">
        <v>13686</v>
      </c>
      <c r="I450" s="63" t="s">
        <v>13687</v>
      </c>
    </row>
    <row r="451" spans="1:9" ht="15" customHeight="1" x14ac:dyDescent="0.3">
      <c r="A451" s="63" t="s">
        <v>14039</v>
      </c>
      <c r="B451" s="63" t="s">
        <v>14040</v>
      </c>
      <c r="C451" s="63" t="s">
        <v>14041</v>
      </c>
      <c r="D451" s="64" t="s">
        <v>12591</v>
      </c>
      <c r="E451" s="63" t="s">
        <v>13618</v>
      </c>
      <c r="F451" s="63" t="s">
        <v>13674</v>
      </c>
      <c r="G451" s="63" t="s">
        <v>13675</v>
      </c>
      <c r="H451" s="63" t="s">
        <v>13800</v>
      </c>
      <c r="I451" s="63" t="s">
        <v>13801</v>
      </c>
    </row>
    <row r="452" spans="1:9" ht="15" customHeight="1" x14ac:dyDescent="0.3">
      <c r="A452" s="63" t="s">
        <v>14875</v>
      </c>
      <c r="B452" s="63" t="s">
        <v>14876</v>
      </c>
      <c r="C452" s="63" t="s">
        <v>14877</v>
      </c>
      <c r="D452" s="64" t="s">
        <v>12572</v>
      </c>
      <c r="E452" s="63" t="s">
        <v>14386</v>
      </c>
      <c r="F452" s="63" t="s">
        <v>12553</v>
      </c>
      <c r="G452" s="63" t="s">
        <v>14409</v>
      </c>
      <c r="H452" s="63" t="s">
        <v>14870</v>
      </c>
      <c r="I452" s="63" t="s">
        <v>14871</v>
      </c>
    </row>
    <row r="453" spans="1:9" ht="15" customHeight="1" x14ac:dyDescent="0.3">
      <c r="A453" s="63" t="s">
        <v>14042</v>
      </c>
      <c r="B453" s="63" t="s">
        <v>14043</v>
      </c>
      <c r="C453" s="63" t="s">
        <v>14044</v>
      </c>
      <c r="D453" s="64" t="s">
        <v>12591</v>
      </c>
      <c r="E453" s="63" t="s">
        <v>13618</v>
      </c>
      <c r="F453" s="63" t="s">
        <v>13684</v>
      </c>
      <c r="G453" s="63" t="s">
        <v>13685</v>
      </c>
      <c r="H453" s="63" t="s">
        <v>13792</v>
      </c>
      <c r="I453" s="63" t="s">
        <v>13793</v>
      </c>
    </row>
    <row r="454" spans="1:9" ht="15" customHeight="1" x14ac:dyDescent="0.3">
      <c r="A454" s="63" t="s">
        <v>14878</v>
      </c>
      <c r="B454" s="63" t="s">
        <v>14879</v>
      </c>
      <c r="C454" s="63" t="s">
        <v>14880</v>
      </c>
      <c r="D454" s="64" t="s">
        <v>12572</v>
      </c>
      <c r="E454" s="63" t="s">
        <v>14386</v>
      </c>
      <c r="F454" s="63" t="s">
        <v>12553</v>
      </c>
      <c r="G454" s="63" t="s">
        <v>14409</v>
      </c>
      <c r="H454" s="63" t="s">
        <v>14705</v>
      </c>
      <c r="I454" s="63" t="s">
        <v>14706</v>
      </c>
    </row>
    <row r="455" spans="1:9" ht="15" customHeight="1" x14ac:dyDescent="0.3">
      <c r="A455" s="63" t="s">
        <v>14045</v>
      </c>
      <c r="B455" s="63" t="s">
        <v>14046</v>
      </c>
      <c r="C455" s="63" t="s">
        <v>14047</v>
      </c>
      <c r="D455" s="64" t="s">
        <v>12591</v>
      </c>
      <c r="E455" s="63" t="s">
        <v>13618</v>
      </c>
      <c r="F455" s="63" t="s">
        <v>13698</v>
      </c>
      <c r="G455" s="63" t="s">
        <v>13699</v>
      </c>
      <c r="H455" s="63" t="s">
        <v>13822</v>
      </c>
      <c r="I455" s="63" t="s">
        <v>13823</v>
      </c>
    </row>
    <row r="456" spans="1:9" ht="15" customHeight="1" x14ac:dyDescent="0.3">
      <c r="A456" s="63" t="s">
        <v>14048</v>
      </c>
      <c r="B456" s="63" t="s">
        <v>14049</v>
      </c>
      <c r="C456" s="63" t="s">
        <v>14050</v>
      </c>
      <c r="D456" s="64" t="s">
        <v>12591</v>
      </c>
      <c r="E456" s="63" t="s">
        <v>13618</v>
      </c>
      <c r="F456" s="63" t="s">
        <v>13698</v>
      </c>
      <c r="G456" s="63" t="s">
        <v>13699</v>
      </c>
      <c r="H456" s="63" t="s">
        <v>13822</v>
      </c>
      <c r="I456" s="63" t="s">
        <v>13823</v>
      </c>
    </row>
    <row r="457" spans="1:9" ht="15" customHeight="1" x14ac:dyDescent="0.3">
      <c r="A457" s="63" t="s">
        <v>12815</v>
      </c>
      <c r="B457" s="63" t="s">
        <v>12816</v>
      </c>
      <c r="C457" s="63" t="s">
        <v>12817</v>
      </c>
      <c r="D457" s="64" t="s">
        <v>12560</v>
      </c>
      <c r="E457" s="63" t="s">
        <v>12787</v>
      </c>
      <c r="F457" s="63" t="s">
        <v>12787</v>
      </c>
      <c r="G457" s="63" t="s">
        <v>12560</v>
      </c>
      <c r="H457" s="63" t="s">
        <v>12809</v>
      </c>
      <c r="I457" s="63" t="s">
        <v>12810</v>
      </c>
    </row>
    <row r="458" spans="1:9" ht="15" customHeight="1" x14ac:dyDescent="0.3">
      <c r="A458" s="63" t="s">
        <v>14051</v>
      </c>
      <c r="B458" s="63" t="s">
        <v>14052</v>
      </c>
      <c r="C458" s="63" t="s">
        <v>14053</v>
      </c>
      <c r="D458" s="64" t="s">
        <v>12591</v>
      </c>
      <c r="E458" s="63" t="s">
        <v>13618</v>
      </c>
      <c r="F458" s="63" t="s">
        <v>13684</v>
      </c>
      <c r="G458" s="63" t="s">
        <v>13685</v>
      </c>
      <c r="H458" s="63" t="s">
        <v>13686</v>
      </c>
      <c r="I458" s="63" t="s">
        <v>13687</v>
      </c>
    </row>
    <row r="459" spans="1:9" ht="15" customHeight="1" x14ac:dyDescent="0.3">
      <c r="A459" s="63" t="s">
        <v>14881</v>
      </c>
      <c r="B459" s="63" t="s">
        <v>14882</v>
      </c>
      <c r="C459" s="63" t="s">
        <v>14883</v>
      </c>
      <c r="D459" s="64" t="s">
        <v>12572</v>
      </c>
      <c r="E459" s="63" t="s">
        <v>14386</v>
      </c>
      <c r="F459" s="63" t="s">
        <v>12553</v>
      </c>
      <c r="G459" s="63" t="s">
        <v>14409</v>
      </c>
      <c r="H459" s="63" t="s">
        <v>14749</v>
      </c>
      <c r="I459" s="63" t="s">
        <v>14750</v>
      </c>
    </row>
    <row r="460" spans="1:9" ht="15" customHeight="1" x14ac:dyDescent="0.3">
      <c r="A460" s="63" t="s">
        <v>13401</v>
      </c>
      <c r="B460" s="63" t="s">
        <v>13402</v>
      </c>
      <c r="C460" s="63" t="s">
        <v>13403</v>
      </c>
      <c r="D460" s="64" t="s">
        <v>12585</v>
      </c>
      <c r="E460" s="63" t="s">
        <v>13279</v>
      </c>
      <c r="F460" s="63" t="s">
        <v>13298</v>
      </c>
      <c r="G460" s="63" t="s">
        <v>13299</v>
      </c>
      <c r="H460" s="63" t="s">
        <v>13319</v>
      </c>
      <c r="I460" s="63" t="s">
        <v>13320</v>
      </c>
    </row>
    <row r="461" spans="1:9" ht="15" customHeight="1" x14ac:dyDescent="0.3">
      <c r="A461" s="63" t="s">
        <v>12856</v>
      </c>
      <c r="B461" s="63" t="s">
        <v>12857</v>
      </c>
      <c r="C461" s="63" t="s">
        <v>12858</v>
      </c>
      <c r="D461" s="64" t="s">
        <v>12562</v>
      </c>
      <c r="E461" s="63" t="s">
        <v>12855</v>
      </c>
      <c r="F461" s="63" t="s">
        <v>12855</v>
      </c>
      <c r="G461" s="63" t="s">
        <v>12562</v>
      </c>
      <c r="H461" s="63" t="s">
        <v>12801</v>
      </c>
      <c r="I461" s="63" t="s">
        <v>12802</v>
      </c>
    </row>
    <row r="462" spans="1:9" ht="15" customHeight="1" x14ac:dyDescent="0.3">
      <c r="A462" s="63" t="s">
        <v>13176</v>
      </c>
      <c r="B462" s="63" t="s">
        <v>13177</v>
      </c>
      <c r="C462" s="63" t="s">
        <v>13178</v>
      </c>
      <c r="D462" s="64" t="s">
        <v>12565</v>
      </c>
      <c r="E462" s="63" t="s">
        <v>13047</v>
      </c>
      <c r="F462" s="63" t="s">
        <v>13055</v>
      </c>
      <c r="G462" s="63" t="s">
        <v>13056</v>
      </c>
      <c r="H462" s="63" t="s">
        <v>13179</v>
      </c>
      <c r="I462" s="63" t="s">
        <v>13180</v>
      </c>
    </row>
    <row r="463" spans="1:9" ht="15" customHeight="1" x14ac:dyDescent="0.3">
      <c r="A463" s="63" t="s">
        <v>13597</v>
      </c>
      <c r="B463" s="63" t="s">
        <v>13598</v>
      </c>
      <c r="C463" s="63" t="s">
        <v>13599</v>
      </c>
      <c r="D463" s="64" t="s">
        <v>12579</v>
      </c>
      <c r="E463" s="63" t="s">
        <v>13506</v>
      </c>
      <c r="F463" s="63" t="s">
        <v>13538</v>
      </c>
      <c r="G463" s="63" t="s">
        <v>13539</v>
      </c>
      <c r="H463" s="63" t="s">
        <v>13578</v>
      </c>
      <c r="I463" s="63" t="s">
        <v>13579</v>
      </c>
    </row>
    <row r="464" spans="1:9" ht="15" customHeight="1" x14ac:dyDescent="0.3">
      <c r="A464" s="63" t="s">
        <v>14054</v>
      </c>
      <c r="B464" s="63" t="s">
        <v>14055</v>
      </c>
      <c r="C464" s="63" t="s">
        <v>14056</v>
      </c>
      <c r="D464" s="64" t="s">
        <v>12591</v>
      </c>
      <c r="E464" s="63" t="s">
        <v>13618</v>
      </c>
      <c r="F464" s="63" t="s">
        <v>13698</v>
      </c>
      <c r="G464" s="63" t="s">
        <v>13699</v>
      </c>
      <c r="H464" s="63" t="s">
        <v>13822</v>
      </c>
      <c r="I464" s="63" t="s">
        <v>13823</v>
      </c>
    </row>
    <row r="465" spans="1:9" ht="15" customHeight="1" x14ac:dyDescent="0.3">
      <c r="A465" s="63" t="s">
        <v>14057</v>
      </c>
      <c r="B465" s="63" t="s">
        <v>14058</v>
      </c>
      <c r="C465" s="63" t="s">
        <v>14059</v>
      </c>
      <c r="D465" s="64" t="s">
        <v>12591</v>
      </c>
      <c r="E465" s="63" t="s">
        <v>13618</v>
      </c>
      <c r="F465" s="63" t="s">
        <v>13684</v>
      </c>
      <c r="G465" s="63" t="s">
        <v>13685</v>
      </c>
      <c r="H465" s="63" t="s">
        <v>13686</v>
      </c>
      <c r="I465" s="63" t="s">
        <v>13687</v>
      </c>
    </row>
    <row r="466" spans="1:9" ht="15" customHeight="1" x14ac:dyDescent="0.3">
      <c r="A466" s="63" t="s">
        <v>14060</v>
      </c>
      <c r="B466" s="63" t="s">
        <v>14061</v>
      </c>
      <c r="C466" s="63" t="s">
        <v>14062</v>
      </c>
      <c r="D466" s="64" t="s">
        <v>12591</v>
      </c>
      <c r="E466" s="63" t="s">
        <v>13618</v>
      </c>
      <c r="F466" s="63" t="s">
        <v>13684</v>
      </c>
      <c r="G466" s="63" t="s">
        <v>13685</v>
      </c>
      <c r="H466" s="63" t="s">
        <v>13686</v>
      </c>
      <c r="I466" s="63" t="s">
        <v>13687</v>
      </c>
    </row>
    <row r="467" spans="1:9" ht="15" customHeight="1" x14ac:dyDescent="0.3">
      <c r="A467" s="63" t="s">
        <v>13181</v>
      </c>
      <c r="B467" s="63" t="s">
        <v>13182</v>
      </c>
      <c r="C467" s="63" t="s">
        <v>13183</v>
      </c>
      <c r="D467" s="64" t="s">
        <v>12565</v>
      </c>
      <c r="E467" s="63" t="s">
        <v>13047</v>
      </c>
      <c r="F467" s="63" t="s">
        <v>13184</v>
      </c>
      <c r="G467" s="63" t="s">
        <v>13185</v>
      </c>
      <c r="H467" s="63" t="s">
        <v>13186</v>
      </c>
      <c r="I467" s="63" t="s">
        <v>13187</v>
      </c>
    </row>
    <row r="468" spans="1:9" ht="15" customHeight="1" x14ac:dyDescent="0.3">
      <c r="A468" s="63" t="s">
        <v>12835</v>
      </c>
      <c r="B468" s="63" t="s">
        <v>12836</v>
      </c>
      <c r="C468" s="63" t="s">
        <v>12837</v>
      </c>
      <c r="D468" s="64" t="s">
        <v>12563</v>
      </c>
      <c r="E468" s="63" t="s">
        <v>12824</v>
      </c>
      <c r="F468" s="63" t="s">
        <v>12824</v>
      </c>
      <c r="G468" s="63" t="s">
        <v>12825</v>
      </c>
      <c r="H468" s="63" t="s">
        <v>12809</v>
      </c>
      <c r="I468" s="63" t="s">
        <v>12810</v>
      </c>
    </row>
    <row r="469" spans="1:9" ht="15" customHeight="1" x14ac:dyDescent="0.3">
      <c r="A469" s="63" t="s">
        <v>12859</v>
      </c>
      <c r="B469" s="63" t="s">
        <v>12860</v>
      </c>
      <c r="C469" s="63" t="s">
        <v>12861</v>
      </c>
      <c r="D469" s="64" t="s">
        <v>12562</v>
      </c>
      <c r="E469" s="63" t="s">
        <v>12855</v>
      </c>
      <c r="F469" s="63" t="s">
        <v>12855</v>
      </c>
      <c r="G469" s="63" t="s">
        <v>12562</v>
      </c>
      <c r="H469" s="63" t="s">
        <v>12809</v>
      </c>
      <c r="I469" s="63" t="s">
        <v>12810</v>
      </c>
    </row>
    <row r="470" spans="1:9" ht="15" customHeight="1" x14ac:dyDescent="0.3">
      <c r="A470" s="63" t="s">
        <v>14063</v>
      </c>
      <c r="B470" s="63" t="s">
        <v>14064</v>
      </c>
      <c r="C470" s="63" t="s">
        <v>14065</v>
      </c>
      <c r="D470" s="64" t="s">
        <v>12591</v>
      </c>
      <c r="E470" s="63" t="s">
        <v>13618</v>
      </c>
      <c r="F470" s="63" t="s">
        <v>13619</v>
      </c>
      <c r="G470" s="63" t="s">
        <v>13620</v>
      </c>
      <c r="H470" s="63" t="s">
        <v>13621</v>
      </c>
      <c r="I470" s="63" t="s">
        <v>13622</v>
      </c>
    </row>
    <row r="471" spans="1:9" ht="15" customHeight="1" x14ac:dyDescent="0.3">
      <c r="A471" s="63" t="s">
        <v>12818</v>
      </c>
      <c r="B471" s="63" t="s">
        <v>12819</v>
      </c>
      <c r="C471" s="63" t="s">
        <v>12820</v>
      </c>
      <c r="D471" s="64" t="s">
        <v>12560</v>
      </c>
      <c r="E471" s="63" t="s">
        <v>12787</v>
      </c>
      <c r="F471" s="63" t="s">
        <v>12787</v>
      </c>
      <c r="G471" s="63" t="s">
        <v>12560</v>
      </c>
      <c r="H471" s="63" t="s">
        <v>12809</v>
      </c>
      <c r="I471" s="63" t="s">
        <v>12810</v>
      </c>
    </row>
    <row r="472" spans="1:9" ht="15" customHeight="1" x14ac:dyDescent="0.3">
      <c r="A472" s="63" t="s">
        <v>14066</v>
      </c>
      <c r="B472" s="63" t="s">
        <v>14067</v>
      </c>
      <c r="C472" s="63" t="s">
        <v>14068</v>
      </c>
      <c r="D472" s="64" t="s">
        <v>12591</v>
      </c>
      <c r="E472" s="63" t="s">
        <v>13618</v>
      </c>
      <c r="F472" s="63" t="s">
        <v>13619</v>
      </c>
      <c r="G472" s="63" t="s">
        <v>13620</v>
      </c>
      <c r="H472" s="63" t="s">
        <v>13621</v>
      </c>
      <c r="I472" s="63" t="s">
        <v>13622</v>
      </c>
    </row>
    <row r="473" spans="1:9" ht="15" customHeight="1" x14ac:dyDescent="0.3">
      <c r="A473" s="63" t="s">
        <v>12838</v>
      </c>
      <c r="B473" s="63" t="s">
        <v>12839</v>
      </c>
      <c r="C473" s="63" t="s">
        <v>12840</v>
      </c>
      <c r="D473" s="64" t="s">
        <v>12563</v>
      </c>
      <c r="E473" s="63" t="s">
        <v>12824</v>
      </c>
      <c r="F473" s="63" t="s">
        <v>12824</v>
      </c>
      <c r="G473" s="63" t="s">
        <v>12825</v>
      </c>
      <c r="H473" s="63" t="s">
        <v>12801</v>
      </c>
      <c r="I473" s="63" t="s">
        <v>12802</v>
      </c>
    </row>
    <row r="474" spans="1:9" ht="15" customHeight="1" x14ac:dyDescent="0.3">
      <c r="A474" s="63" t="s">
        <v>12862</v>
      </c>
      <c r="B474" s="63" t="s">
        <v>12863</v>
      </c>
      <c r="C474" s="63" t="s">
        <v>12864</v>
      </c>
      <c r="D474" s="64" t="s">
        <v>12562</v>
      </c>
      <c r="E474" s="63" t="s">
        <v>12855</v>
      </c>
      <c r="F474" s="63" t="s">
        <v>12855</v>
      </c>
      <c r="G474" s="63" t="s">
        <v>12562</v>
      </c>
      <c r="H474" s="63" t="s">
        <v>12809</v>
      </c>
      <c r="I474" s="63" t="s">
        <v>12810</v>
      </c>
    </row>
    <row r="475" spans="1:9" ht="15" customHeight="1" x14ac:dyDescent="0.3">
      <c r="A475" s="63" t="s">
        <v>12865</v>
      </c>
      <c r="B475" s="63" t="s">
        <v>12866</v>
      </c>
      <c r="C475" s="63" t="s">
        <v>12867</v>
      </c>
      <c r="D475" s="64" t="s">
        <v>12562</v>
      </c>
      <c r="E475" s="63" t="s">
        <v>12855</v>
      </c>
      <c r="F475" s="63" t="s">
        <v>12855</v>
      </c>
      <c r="G475" s="63" t="s">
        <v>12562</v>
      </c>
      <c r="H475" s="63" t="s">
        <v>12801</v>
      </c>
      <c r="I475" s="63" t="s">
        <v>12802</v>
      </c>
    </row>
    <row r="476" spans="1:9" ht="15" customHeight="1" x14ac:dyDescent="0.3">
      <c r="A476" s="63" t="s">
        <v>12673</v>
      </c>
      <c r="B476" s="63" t="s">
        <v>12674</v>
      </c>
      <c r="C476" s="63" t="s">
        <v>12675</v>
      </c>
      <c r="D476" s="64" t="s">
        <v>12574</v>
      </c>
      <c r="E476" s="63" t="s">
        <v>12616</v>
      </c>
      <c r="F476" s="63" t="s">
        <v>12632</v>
      </c>
      <c r="G476" s="63" t="s">
        <v>12633</v>
      </c>
      <c r="H476" s="63" t="s">
        <v>12676</v>
      </c>
      <c r="I476" s="63" t="s">
        <v>12656</v>
      </c>
    </row>
    <row r="477" spans="1:9" ht="15" customHeight="1" x14ac:dyDescent="0.3">
      <c r="A477" s="63" t="s">
        <v>13600</v>
      </c>
      <c r="B477" s="63" t="s">
        <v>13601</v>
      </c>
      <c r="C477" s="63" t="s">
        <v>13601</v>
      </c>
      <c r="D477" s="64" t="s">
        <v>12579</v>
      </c>
      <c r="E477" s="63" t="s">
        <v>13506</v>
      </c>
      <c r="F477" s="63" t="s">
        <v>13544</v>
      </c>
      <c r="G477" s="63" t="s">
        <v>13545</v>
      </c>
      <c r="H477" s="63" t="s">
        <v>13602</v>
      </c>
      <c r="I477" s="63" t="s">
        <v>13603</v>
      </c>
    </row>
    <row r="478" spans="1:9" ht="15" customHeight="1" x14ac:dyDescent="0.3">
      <c r="A478" s="63" t="s">
        <v>12868</v>
      </c>
      <c r="B478" s="63" t="s">
        <v>12869</v>
      </c>
      <c r="C478" s="63" t="s">
        <v>12870</v>
      </c>
      <c r="D478" s="64" t="s">
        <v>12562</v>
      </c>
      <c r="E478" s="63" t="s">
        <v>12855</v>
      </c>
      <c r="F478" s="63" t="s">
        <v>12855</v>
      </c>
      <c r="G478" s="63" t="s">
        <v>12562</v>
      </c>
      <c r="H478" s="63" t="s">
        <v>12809</v>
      </c>
      <c r="I478" s="63" t="s">
        <v>12810</v>
      </c>
    </row>
    <row r="479" spans="1:9" ht="15" customHeight="1" x14ac:dyDescent="0.3">
      <c r="A479" s="63" t="s">
        <v>14069</v>
      </c>
      <c r="B479" s="63" t="s">
        <v>14070</v>
      </c>
      <c r="C479" s="63" t="s">
        <v>14071</v>
      </c>
      <c r="D479" s="64" t="s">
        <v>12591</v>
      </c>
      <c r="E479" s="63" t="s">
        <v>13618</v>
      </c>
      <c r="F479" s="63" t="s">
        <v>13674</v>
      </c>
      <c r="G479" s="63" t="s">
        <v>13675</v>
      </c>
      <c r="H479" s="63" t="s">
        <v>13924</v>
      </c>
      <c r="I479" s="63" t="s">
        <v>13925</v>
      </c>
    </row>
    <row r="480" spans="1:9" ht="15" customHeight="1" x14ac:dyDescent="0.3">
      <c r="A480" s="63" t="s">
        <v>13188</v>
      </c>
      <c r="B480" s="63" t="s">
        <v>13189</v>
      </c>
      <c r="C480" s="63" t="s">
        <v>13190</v>
      </c>
      <c r="D480" s="64" t="s">
        <v>12565</v>
      </c>
      <c r="E480" s="63" t="s">
        <v>13047</v>
      </c>
      <c r="F480" s="63" t="s">
        <v>13184</v>
      </c>
      <c r="G480" s="63" t="s">
        <v>13185</v>
      </c>
      <c r="H480" s="63" t="s">
        <v>13186</v>
      </c>
      <c r="I480" s="63" t="s">
        <v>13187</v>
      </c>
    </row>
    <row r="481" spans="1:9" ht="15" customHeight="1" x14ac:dyDescent="0.3">
      <c r="A481" s="63" t="s">
        <v>14884</v>
      </c>
      <c r="B481" s="63" t="s">
        <v>14885</v>
      </c>
      <c r="C481" s="63" t="s">
        <v>14886</v>
      </c>
      <c r="D481" s="64" t="s">
        <v>12572</v>
      </c>
      <c r="E481" s="63" t="s">
        <v>14386</v>
      </c>
      <c r="F481" s="63" t="s">
        <v>12553</v>
      </c>
      <c r="G481" s="63" t="s">
        <v>14409</v>
      </c>
      <c r="H481" s="63" t="s">
        <v>14529</v>
      </c>
      <c r="I481" s="63" t="s">
        <v>14530</v>
      </c>
    </row>
    <row r="482" spans="1:9" ht="15" customHeight="1" x14ac:dyDescent="0.3">
      <c r="A482" s="63" t="s">
        <v>13191</v>
      </c>
      <c r="B482" s="63" t="s">
        <v>13192</v>
      </c>
      <c r="C482" s="63" t="s">
        <v>13193</v>
      </c>
      <c r="D482" s="64" t="s">
        <v>12565</v>
      </c>
      <c r="E482" s="63" t="s">
        <v>13047</v>
      </c>
      <c r="F482" s="63" t="s">
        <v>13076</v>
      </c>
      <c r="G482" s="63" t="s">
        <v>13077</v>
      </c>
      <c r="H482" s="63" t="s">
        <v>13148</v>
      </c>
      <c r="I482" s="63" t="s">
        <v>13149</v>
      </c>
    </row>
    <row r="483" spans="1:9" ht="15" customHeight="1" x14ac:dyDescent="0.3">
      <c r="A483" s="63" t="s">
        <v>12891</v>
      </c>
      <c r="B483" s="63" t="s">
        <v>12892</v>
      </c>
      <c r="C483" s="63" t="s">
        <v>12893</v>
      </c>
      <c r="D483" s="64" t="s">
        <v>12561</v>
      </c>
      <c r="E483" s="63" t="s">
        <v>12879</v>
      </c>
      <c r="F483" s="63" t="s">
        <v>12879</v>
      </c>
      <c r="G483" s="63" t="s">
        <v>12561</v>
      </c>
      <c r="H483" s="63" t="s">
        <v>12809</v>
      </c>
      <c r="I483" s="63" t="s">
        <v>12810</v>
      </c>
    </row>
    <row r="484" spans="1:9" ht="15" customHeight="1" x14ac:dyDescent="0.3">
      <c r="A484" s="63" t="s">
        <v>12677</v>
      </c>
      <c r="B484" s="63" t="s">
        <v>12678</v>
      </c>
      <c r="C484" s="63" t="s">
        <v>12679</v>
      </c>
      <c r="D484" s="64" t="s">
        <v>12574</v>
      </c>
      <c r="E484" s="63" t="s">
        <v>12616</v>
      </c>
      <c r="F484" s="63" t="s">
        <v>12632</v>
      </c>
      <c r="G484" s="63" t="s">
        <v>12633</v>
      </c>
      <c r="H484" s="63" t="s">
        <v>12680</v>
      </c>
      <c r="I484" s="63" t="s">
        <v>12656</v>
      </c>
    </row>
    <row r="485" spans="1:9" ht="15" customHeight="1" x14ac:dyDescent="0.3">
      <c r="A485" s="63" t="s">
        <v>14887</v>
      </c>
      <c r="B485" s="63" t="s">
        <v>14888</v>
      </c>
      <c r="C485" s="63" t="s">
        <v>14889</v>
      </c>
      <c r="D485" s="64" t="s">
        <v>12572</v>
      </c>
      <c r="E485" s="63" t="s">
        <v>14386</v>
      </c>
      <c r="F485" s="63" t="s">
        <v>12553</v>
      </c>
      <c r="G485" s="63" t="s">
        <v>14409</v>
      </c>
      <c r="H485" s="63" t="s">
        <v>14443</v>
      </c>
      <c r="I485" s="63" t="s">
        <v>14444</v>
      </c>
    </row>
    <row r="486" spans="1:9" ht="15" customHeight="1" x14ac:dyDescent="0.3">
      <c r="A486" s="63" t="s">
        <v>13194</v>
      </c>
      <c r="B486" s="63" t="s">
        <v>13195</v>
      </c>
      <c r="C486" s="63" t="s">
        <v>13196</v>
      </c>
      <c r="D486" s="64" t="s">
        <v>12565</v>
      </c>
      <c r="E486" s="63" t="s">
        <v>13047</v>
      </c>
      <c r="F486" s="63" t="s">
        <v>13055</v>
      </c>
      <c r="G486" s="63" t="s">
        <v>13056</v>
      </c>
      <c r="H486" s="63" t="s">
        <v>13179</v>
      </c>
      <c r="I486" s="63" t="s">
        <v>13180</v>
      </c>
    </row>
    <row r="487" spans="1:9" ht="15" customHeight="1" x14ac:dyDescent="0.3">
      <c r="A487" s="63" t="s">
        <v>13197</v>
      </c>
      <c r="B487" s="63" t="s">
        <v>13198</v>
      </c>
      <c r="C487" s="63" t="s">
        <v>13199</v>
      </c>
      <c r="D487" s="64" t="s">
        <v>12565</v>
      </c>
      <c r="E487" s="63" t="s">
        <v>13047</v>
      </c>
      <c r="F487" s="63" t="s">
        <v>13076</v>
      </c>
      <c r="G487" s="63" t="s">
        <v>13077</v>
      </c>
      <c r="H487" s="63" t="s">
        <v>13200</v>
      </c>
      <c r="I487" s="63" t="s">
        <v>13201</v>
      </c>
    </row>
    <row r="488" spans="1:9" ht="15" customHeight="1" x14ac:dyDescent="0.3">
      <c r="A488" s="63" t="s">
        <v>13425</v>
      </c>
      <c r="B488" s="63" t="s">
        <v>13426</v>
      </c>
      <c r="C488" s="63" t="s">
        <v>13427</v>
      </c>
      <c r="D488" s="64" t="s">
        <v>13415</v>
      </c>
      <c r="E488" s="63" t="s">
        <v>13416</v>
      </c>
      <c r="F488" s="63" t="s">
        <v>12548</v>
      </c>
      <c r="G488" s="63" t="s">
        <v>12583</v>
      </c>
      <c r="H488" s="63" t="s">
        <v>13428</v>
      </c>
      <c r="I488" s="63" t="s">
        <v>13429</v>
      </c>
    </row>
    <row r="489" spans="1:9" ht="15" customHeight="1" x14ac:dyDescent="0.3">
      <c r="A489" s="63" t="s">
        <v>12871</v>
      </c>
      <c r="B489" s="63" t="s">
        <v>12872</v>
      </c>
      <c r="C489" s="63" t="s">
        <v>12872</v>
      </c>
      <c r="D489" s="64" t="s">
        <v>12562</v>
      </c>
      <c r="E489" s="63" t="s">
        <v>12855</v>
      </c>
      <c r="F489" s="63" t="s">
        <v>12855</v>
      </c>
      <c r="G489" s="63" t="s">
        <v>12562</v>
      </c>
      <c r="H489" s="63" t="s">
        <v>12788</v>
      </c>
      <c r="I489" s="63" t="s">
        <v>12789</v>
      </c>
    </row>
    <row r="490" spans="1:9" ht="15" customHeight="1" x14ac:dyDescent="0.3">
      <c r="A490" s="63" t="s">
        <v>14072</v>
      </c>
      <c r="B490" s="63" t="s">
        <v>14073</v>
      </c>
      <c r="C490" s="63" t="s">
        <v>14074</v>
      </c>
      <c r="D490" s="64" t="s">
        <v>12591</v>
      </c>
      <c r="E490" s="63" t="s">
        <v>13618</v>
      </c>
      <c r="F490" s="63" t="s">
        <v>13674</v>
      </c>
      <c r="G490" s="63" t="s">
        <v>13675</v>
      </c>
      <c r="H490" s="63" t="s">
        <v>13924</v>
      </c>
      <c r="I490" s="63" t="s">
        <v>13925</v>
      </c>
    </row>
    <row r="491" spans="1:9" ht="15" customHeight="1" x14ac:dyDescent="0.3">
      <c r="A491" s="63" t="s">
        <v>13271</v>
      </c>
      <c r="B491" s="63" t="s">
        <v>13272</v>
      </c>
      <c r="C491" s="63" t="s">
        <v>13273</v>
      </c>
      <c r="D491" s="64" t="s">
        <v>12580</v>
      </c>
      <c r="E491" s="63" t="s">
        <v>13254</v>
      </c>
      <c r="F491" s="63" t="s">
        <v>13255</v>
      </c>
      <c r="G491" s="63" t="s">
        <v>12582</v>
      </c>
      <c r="H491" s="63" t="s">
        <v>13274</v>
      </c>
      <c r="I491" s="63" t="s">
        <v>13275</v>
      </c>
    </row>
    <row r="492" spans="1:9" ht="15" customHeight="1" x14ac:dyDescent="0.3">
      <c r="A492" s="63" t="s">
        <v>13404</v>
      </c>
      <c r="B492" s="63" t="s">
        <v>13405</v>
      </c>
      <c r="C492" s="63" t="s">
        <v>13406</v>
      </c>
      <c r="D492" s="64" t="s">
        <v>12585</v>
      </c>
      <c r="E492" s="63" t="s">
        <v>13279</v>
      </c>
      <c r="F492" s="63" t="s">
        <v>13287</v>
      </c>
      <c r="G492" s="63" t="s">
        <v>13288</v>
      </c>
      <c r="H492" s="63" t="s">
        <v>13407</v>
      </c>
      <c r="I492" s="63" t="s">
        <v>13408</v>
      </c>
    </row>
    <row r="493" spans="1:9" ht="15" customHeight="1" x14ac:dyDescent="0.3">
      <c r="A493" s="63" t="s">
        <v>12841</v>
      </c>
      <c r="B493" s="63" t="s">
        <v>12842</v>
      </c>
      <c r="C493" s="63" t="s">
        <v>12843</v>
      </c>
      <c r="D493" s="64" t="s">
        <v>12563</v>
      </c>
      <c r="E493" s="63" t="s">
        <v>12824</v>
      </c>
      <c r="F493" s="63" t="s">
        <v>12824</v>
      </c>
      <c r="G493" s="63" t="s">
        <v>12825</v>
      </c>
      <c r="H493" s="63" t="s">
        <v>12809</v>
      </c>
      <c r="I493" s="63" t="s">
        <v>12810</v>
      </c>
    </row>
    <row r="494" spans="1:9" ht="15" customHeight="1" x14ac:dyDescent="0.3">
      <c r="A494" s="63" t="s">
        <v>13202</v>
      </c>
      <c r="B494" s="63" t="s">
        <v>13203</v>
      </c>
      <c r="C494" s="63" t="s">
        <v>13204</v>
      </c>
      <c r="D494" s="64" t="s">
        <v>12565</v>
      </c>
      <c r="E494" s="63" t="s">
        <v>13047</v>
      </c>
      <c r="F494" s="63" t="s">
        <v>13069</v>
      </c>
      <c r="G494" s="63" t="s">
        <v>13070</v>
      </c>
      <c r="H494" s="63" t="s">
        <v>13205</v>
      </c>
      <c r="I494" s="63" t="s">
        <v>13206</v>
      </c>
    </row>
    <row r="495" spans="1:9" ht="15" customHeight="1" x14ac:dyDescent="0.3">
      <c r="A495" s="63" t="s">
        <v>14075</v>
      </c>
      <c r="B495" s="63" t="s">
        <v>14076</v>
      </c>
      <c r="C495" s="63" t="s">
        <v>14077</v>
      </c>
      <c r="D495" s="64" t="s">
        <v>12591</v>
      </c>
      <c r="E495" s="63" t="s">
        <v>13618</v>
      </c>
      <c r="F495" s="63" t="s">
        <v>13684</v>
      </c>
      <c r="G495" s="63" t="s">
        <v>13685</v>
      </c>
      <c r="H495" s="63" t="s">
        <v>13792</v>
      </c>
      <c r="I495" s="63" t="s">
        <v>13793</v>
      </c>
    </row>
    <row r="496" spans="1:9" ht="15" customHeight="1" x14ac:dyDescent="0.3">
      <c r="A496" s="63" t="s">
        <v>13207</v>
      </c>
      <c r="B496" s="63" t="s">
        <v>13208</v>
      </c>
      <c r="C496" s="63" t="s">
        <v>13209</v>
      </c>
      <c r="D496" s="64" t="s">
        <v>12565</v>
      </c>
      <c r="E496" s="63" t="s">
        <v>13047</v>
      </c>
      <c r="F496" s="63" t="s">
        <v>13210</v>
      </c>
      <c r="G496" s="63" t="s">
        <v>13211</v>
      </c>
      <c r="H496" s="63" t="s">
        <v>13212</v>
      </c>
      <c r="I496" s="63" t="s">
        <v>13213</v>
      </c>
    </row>
    <row r="497" spans="1:9" ht="15" customHeight="1" x14ac:dyDescent="0.3">
      <c r="A497" s="63" t="s">
        <v>14078</v>
      </c>
      <c r="B497" s="63" t="s">
        <v>14079</v>
      </c>
      <c r="C497" s="63" t="s">
        <v>14080</v>
      </c>
      <c r="D497" s="64" t="s">
        <v>12591</v>
      </c>
      <c r="E497" s="63" t="s">
        <v>13618</v>
      </c>
      <c r="F497" s="63" t="s">
        <v>13619</v>
      </c>
      <c r="G497" s="63" t="s">
        <v>13620</v>
      </c>
      <c r="H497" s="63" t="s">
        <v>13666</v>
      </c>
      <c r="I497" s="63" t="s">
        <v>13667</v>
      </c>
    </row>
    <row r="498" spans="1:9" ht="15" customHeight="1" x14ac:dyDescent="0.3">
      <c r="A498" s="63" t="s">
        <v>14081</v>
      </c>
      <c r="B498" s="63" t="s">
        <v>13021</v>
      </c>
      <c r="C498" s="63" t="s">
        <v>14082</v>
      </c>
      <c r="D498" s="64" t="s">
        <v>12591</v>
      </c>
      <c r="E498" s="63" t="s">
        <v>13618</v>
      </c>
      <c r="F498" s="63" t="s">
        <v>13619</v>
      </c>
      <c r="G498" s="63" t="s">
        <v>13620</v>
      </c>
      <c r="H498" s="63" t="s">
        <v>13621</v>
      </c>
      <c r="I498" s="63" t="s">
        <v>13622</v>
      </c>
    </row>
    <row r="499" spans="1:9" ht="15" customHeight="1" x14ac:dyDescent="0.3">
      <c r="A499" s="63" t="s">
        <v>13214</v>
      </c>
      <c r="B499" s="63" t="s">
        <v>13215</v>
      </c>
      <c r="C499" s="63" t="s">
        <v>13216</v>
      </c>
      <c r="D499" s="64" t="s">
        <v>12565</v>
      </c>
      <c r="E499" s="63" t="s">
        <v>13047</v>
      </c>
      <c r="F499" s="63" t="s">
        <v>13076</v>
      </c>
      <c r="G499" s="63" t="s">
        <v>13077</v>
      </c>
      <c r="H499" s="63" t="s">
        <v>13148</v>
      </c>
      <c r="I499" s="63" t="s">
        <v>13149</v>
      </c>
    </row>
    <row r="500" spans="1:9" ht="15" customHeight="1" x14ac:dyDescent="0.3">
      <c r="A500" s="63" t="s">
        <v>13430</v>
      </c>
      <c r="B500" s="63" t="s">
        <v>13431</v>
      </c>
      <c r="C500" s="63" t="s">
        <v>13432</v>
      </c>
      <c r="D500" s="64" t="s">
        <v>13415</v>
      </c>
      <c r="E500" s="63" t="s">
        <v>13416</v>
      </c>
      <c r="F500" s="63" t="s">
        <v>13421</v>
      </c>
      <c r="G500" s="63" t="s">
        <v>13422</v>
      </c>
      <c r="H500" s="63" t="s">
        <v>13433</v>
      </c>
      <c r="I500" s="63" t="s">
        <v>13434</v>
      </c>
    </row>
    <row r="501" spans="1:9" ht="15" customHeight="1" x14ac:dyDescent="0.3">
      <c r="A501" s="63" t="s">
        <v>13217</v>
      </c>
      <c r="B501" s="63" t="s">
        <v>13218</v>
      </c>
      <c r="C501" s="63" t="s">
        <v>13219</v>
      </c>
      <c r="D501" s="64" t="s">
        <v>12565</v>
      </c>
      <c r="E501" s="63" t="s">
        <v>13047</v>
      </c>
      <c r="F501" s="63" t="s">
        <v>13076</v>
      </c>
      <c r="G501" s="63" t="s">
        <v>13077</v>
      </c>
      <c r="H501" s="63" t="s">
        <v>13148</v>
      </c>
      <c r="I501" s="63" t="s">
        <v>13149</v>
      </c>
    </row>
    <row r="502" spans="1:9" ht="15" customHeight="1" x14ac:dyDescent="0.3">
      <c r="A502" s="63" t="s">
        <v>13220</v>
      </c>
      <c r="B502" s="63" t="s">
        <v>13221</v>
      </c>
      <c r="C502" s="63" t="s">
        <v>13222</v>
      </c>
      <c r="D502" s="64" t="s">
        <v>12565</v>
      </c>
      <c r="E502" s="63" t="s">
        <v>13047</v>
      </c>
      <c r="F502" s="63" t="s">
        <v>13055</v>
      </c>
      <c r="G502" s="63" t="s">
        <v>13056</v>
      </c>
      <c r="H502" s="63" t="s">
        <v>13179</v>
      </c>
      <c r="I502" s="63" t="s">
        <v>13180</v>
      </c>
    </row>
    <row r="503" spans="1:9" ht="15" customHeight="1" x14ac:dyDescent="0.3">
      <c r="A503" s="63" t="s">
        <v>13223</v>
      </c>
      <c r="B503" s="63" t="s">
        <v>13224</v>
      </c>
      <c r="C503" s="63" t="s">
        <v>13225</v>
      </c>
      <c r="D503" s="64" t="s">
        <v>12565</v>
      </c>
      <c r="E503" s="63" t="s">
        <v>13047</v>
      </c>
      <c r="F503" s="63" t="s">
        <v>13055</v>
      </c>
      <c r="G503" s="63" t="s">
        <v>13056</v>
      </c>
      <c r="H503" s="63" t="s">
        <v>13179</v>
      </c>
      <c r="I503" s="63" t="s">
        <v>13180</v>
      </c>
    </row>
    <row r="504" spans="1:9" ht="15" customHeight="1" x14ac:dyDescent="0.3">
      <c r="A504" s="63" t="s">
        <v>14083</v>
      </c>
      <c r="B504" s="63" t="s">
        <v>14084</v>
      </c>
      <c r="C504" s="63" t="s">
        <v>14085</v>
      </c>
      <c r="D504" s="64" t="s">
        <v>12591</v>
      </c>
      <c r="E504" s="63" t="s">
        <v>13618</v>
      </c>
      <c r="F504" s="63" t="s">
        <v>13633</v>
      </c>
      <c r="G504" s="63" t="s">
        <v>13634</v>
      </c>
      <c r="H504" s="63" t="s">
        <v>14086</v>
      </c>
      <c r="I504" s="63" t="s">
        <v>14087</v>
      </c>
    </row>
    <row r="505" spans="1:9" ht="15" customHeight="1" x14ac:dyDescent="0.3">
      <c r="A505" s="63" t="s">
        <v>14890</v>
      </c>
      <c r="B505" s="63" t="s">
        <v>14891</v>
      </c>
      <c r="C505" s="63" t="s">
        <v>14892</v>
      </c>
      <c r="D505" s="64" t="s">
        <v>12572</v>
      </c>
      <c r="E505" s="63" t="s">
        <v>14386</v>
      </c>
      <c r="F505" s="63" t="s">
        <v>14505</v>
      </c>
      <c r="G505" s="63" t="s">
        <v>14506</v>
      </c>
      <c r="H505" s="63" t="s">
        <v>14507</v>
      </c>
      <c r="I505" s="63" t="s">
        <v>14508</v>
      </c>
    </row>
    <row r="506" spans="1:9" ht="15" customHeight="1" x14ac:dyDescent="0.3">
      <c r="A506" s="63" t="s">
        <v>13435</v>
      </c>
      <c r="B506" s="63" t="s">
        <v>13436</v>
      </c>
      <c r="C506" s="63" t="s">
        <v>13437</v>
      </c>
      <c r="D506" s="64" t="s">
        <v>13415</v>
      </c>
      <c r="E506" s="63" t="s">
        <v>13416</v>
      </c>
      <c r="F506" s="63" t="s">
        <v>12548</v>
      </c>
      <c r="G506" s="63" t="s">
        <v>12583</v>
      </c>
      <c r="H506" s="63" t="s">
        <v>13428</v>
      </c>
      <c r="I506" s="63" t="s">
        <v>13429</v>
      </c>
    </row>
    <row r="507" spans="1:9" ht="15" customHeight="1" x14ac:dyDescent="0.3">
      <c r="A507" s="63" t="s">
        <v>12844</v>
      </c>
      <c r="B507" s="63" t="s">
        <v>12845</v>
      </c>
      <c r="C507" s="63" t="s">
        <v>12845</v>
      </c>
      <c r="D507" s="64" t="s">
        <v>12563</v>
      </c>
      <c r="E507" s="63" t="s">
        <v>12824</v>
      </c>
      <c r="F507" s="63" t="s">
        <v>12824</v>
      </c>
      <c r="G507" s="63" t="s">
        <v>12825</v>
      </c>
      <c r="H507" s="63" t="s">
        <v>12809</v>
      </c>
      <c r="I507" s="63" t="s">
        <v>12810</v>
      </c>
    </row>
    <row r="508" spans="1:9" ht="15" customHeight="1" x14ac:dyDescent="0.3">
      <c r="A508" s="63" t="s">
        <v>14893</v>
      </c>
      <c r="B508" s="63" t="s">
        <v>14894</v>
      </c>
      <c r="C508" s="63" t="s">
        <v>14895</v>
      </c>
      <c r="D508" s="64" t="s">
        <v>12572</v>
      </c>
      <c r="E508" s="63" t="s">
        <v>14386</v>
      </c>
      <c r="F508" s="63" t="s">
        <v>12553</v>
      </c>
      <c r="G508" s="63" t="s">
        <v>14409</v>
      </c>
      <c r="H508" s="63" t="s">
        <v>14443</v>
      </c>
      <c r="I508" s="63" t="s">
        <v>14444</v>
      </c>
    </row>
    <row r="509" spans="1:9" ht="15" customHeight="1" x14ac:dyDescent="0.3">
      <c r="A509" s="63" t="s">
        <v>14896</v>
      </c>
      <c r="B509" s="63" t="s">
        <v>14897</v>
      </c>
      <c r="C509" s="63" t="s">
        <v>14898</v>
      </c>
      <c r="D509" s="64" t="s">
        <v>12572</v>
      </c>
      <c r="E509" s="63" t="s">
        <v>14386</v>
      </c>
      <c r="F509" s="63" t="s">
        <v>12553</v>
      </c>
      <c r="G509" s="63" t="s">
        <v>14409</v>
      </c>
      <c r="H509" s="63" t="s">
        <v>14529</v>
      </c>
      <c r="I509" s="63" t="s">
        <v>14530</v>
      </c>
    </row>
    <row r="510" spans="1:9" ht="15" customHeight="1" x14ac:dyDescent="0.3">
      <c r="A510" s="63" t="s">
        <v>13226</v>
      </c>
      <c r="B510" s="63" t="s">
        <v>13227</v>
      </c>
      <c r="C510" s="63" t="s">
        <v>13227</v>
      </c>
      <c r="D510" s="64" t="s">
        <v>12565</v>
      </c>
      <c r="E510" s="63" t="s">
        <v>13047</v>
      </c>
      <c r="F510" s="63" t="s">
        <v>13047</v>
      </c>
      <c r="G510" s="63" t="s">
        <v>12565</v>
      </c>
      <c r="H510" s="63" t="s">
        <v>13228</v>
      </c>
      <c r="I510" s="63" t="s">
        <v>13229</v>
      </c>
    </row>
    <row r="511" spans="1:9" ht="15" customHeight="1" x14ac:dyDescent="0.3">
      <c r="A511" s="63" t="s">
        <v>14088</v>
      </c>
      <c r="B511" s="63" t="s">
        <v>14089</v>
      </c>
      <c r="C511" s="63" t="s">
        <v>14090</v>
      </c>
      <c r="D511" s="64" t="s">
        <v>12591</v>
      </c>
      <c r="E511" s="63" t="s">
        <v>13618</v>
      </c>
      <c r="F511" s="63" t="s">
        <v>13684</v>
      </c>
      <c r="G511" s="63" t="s">
        <v>13685</v>
      </c>
      <c r="H511" s="63" t="s">
        <v>13792</v>
      </c>
      <c r="I511" s="63" t="s">
        <v>13793</v>
      </c>
    </row>
    <row r="512" spans="1:9" ht="15" customHeight="1" x14ac:dyDescent="0.3">
      <c r="A512" s="63" t="s">
        <v>14091</v>
      </c>
      <c r="B512" s="63" t="s">
        <v>14092</v>
      </c>
      <c r="C512" s="63" t="s">
        <v>14093</v>
      </c>
      <c r="D512" s="64" t="s">
        <v>12591</v>
      </c>
      <c r="E512" s="63" t="s">
        <v>13618</v>
      </c>
      <c r="F512" s="63" t="s">
        <v>13684</v>
      </c>
      <c r="G512" s="63" t="s">
        <v>13685</v>
      </c>
      <c r="H512" s="63" t="s">
        <v>13792</v>
      </c>
      <c r="I512" s="63" t="s">
        <v>13793</v>
      </c>
    </row>
    <row r="513" spans="1:9" ht="15" customHeight="1" x14ac:dyDescent="0.3">
      <c r="A513" s="63" t="s">
        <v>14094</v>
      </c>
      <c r="B513" s="63" t="s">
        <v>14095</v>
      </c>
      <c r="C513" s="63" t="s">
        <v>14096</v>
      </c>
      <c r="D513" s="64" t="s">
        <v>12591</v>
      </c>
      <c r="E513" s="63" t="s">
        <v>13618</v>
      </c>
      <c r="F513" s="63" t="s">
        <v>13684</v>
      </c>
      <c r="G513" s="63" t="s">
        <v>13685</v>
      </c>
      <c r="H513" s="63" t="s">
        <v>13792</v>
      </c>
      <c r="I513" s="63" t="s">
        <v>13793</v>
      </c>
    </row>
    <row r="514" spans="1:9" ht="15" customHeight="1" x14ac:dyDescent="0.3">
      <c r="A514" s="63" t="s">
        <v>14097</v>
      </c>
      <c r="B514" s="63" t="s">
        <v>14098</v>
      </c>
      <c r="C514" s="63" t="s">
        <v>14099</v>
      </c>
      <c r="D514" s="64" t="s">
        <v>12591</v>
      </c>
      <c r="E514" s="63" t="s">
        <v>13618</v>
      </c>
      <c r="F514" s="63" t="s">
        <v>14100</v>
      </c>
      <c r="G514" s="63" t="s">
        <v>14101</v>
      </c>
      <c r="H514" s="63" t="s">
        <v>14102</v>
      </c>
      <c r="I514" s="63" t="s">
        <v>14103</v>
      </c>
    </row>
    <row r="515" spans="1:9" ht="15" customHeight="1" x14ac:dyDescent="0.3">
      <c r="A515" s="63" t="s">
        <v>14104</v>
      </c>
      <c r="B515" s="63" t="s">
        <v>14105</v>
      </c>
      <c r="C515" s="63" t="s">
        <v>14106</v>
      </c>
      <c r="D515" s="64" t="s">
        <v>12591</v>
      </c>
      <c r="E515" s="63" t="s">
        <v>13618</v>
      </c>
      <c r="F515" s="63" t="s">
        <v>13619</v>
      </c>
      <c r="G515" s="63" t="s">
        <v>13620</v>
      </c>
      <c r="H515" s="63" t="s">
        <v>13621</v>
      </c>
      <c r="I515" s="63" t="s">
        <v>13622</v>
      </c>
    </row>
    <row r="516" spans="1:9" ht="15" customHeight="1" x14ac:dyDescent="0.3">
      <c r="A516" s="63" t="s">
        <v>14899</v>
      </c>
      <c r="B516" s="63" t="s">
        <v>14900</v>
      </c>
      <c r="C516" s="63" t="s">
        <v>14901</v>
      </c>
      <c r="D516" s="64" t="s">
        <v>12572</v>
      </c>
      <c r="E516" s="63" t="s">
        <v>14386</v>
      </c>
      <c r="F516" s="63" t="s">
        <v>12553</v>
      </c>
      <c r="G516" s="63" t="s">
        <v>14409</v>
      </c>
      <c r="H516" s="63" t="s">
        <v>14601</v>
      </c>
      <c r="I516" s="63" t="s">
        <v>14602</v>
      </c>
    </row>
    <row r="517" spans="1:9" ht="15" customHeight="1" x14ac:dyDescent="0.3">
      <c r="A517" s="63" t="s">
        <v>14902</v>
      </c>
      <c r="B517" s="63" t="s">
        <v>14903</v>
      </c>
      <c r="C517" s="63" t="s">
        <v>14904</v>
      </c>
      <c r="D517" s="64" t="s">
        <v>12572</v>
      </c>
      <c r="E517" s="63" t="s">
        <v>14386</v>
      </c>
      <c r="F517" s="63" t="s">
        <v>12553</v>
      </c>
      <c r="G517" s="63" t="s">
        <v>14409</v>
      </c>
      <c r="H517" s="63" t="s">
        <v>14443</v>
      </c>
      <c r="I517" s="63" t="s">
        <v>14444</v>
      </c>
    </row>
    <row r="518" spans="1:9" ht="15" customHeight="1" x14ac:dyDescent="0.3">
      <c r="A518" s="63" t="s">
        <v>14905</v>
      </c>
      <c r="B518" s="63" t="s">
        <v>14906</v>
      </c>
      <c r="C518" s="63" t="s">
        <v>14907</v>
      </c>
      <c r="D518" s="64" t="s">
        <v>12572</v>
      </c>
      <c r="E518" s="63" t="s">
        <v>14386</v>
      </c>
      <c r="F518" s="63" t="s">
        <v>12553</v>
      </c>
      <c r="G518" s="63" t="s">
        <v>14409</v>
      </c>
      <c r="H518" s="63" t="s">
        <v>14529</v>
      </c>
      <c r="I518" s="63" t="s">
        <v>14530</v>
      </c>
    </row>
    <row r="519" spans="1:9" ht="15" customHeight="1" x14ac:dyDescent="0.3">
      <c r="A519" s="63" t="s">
        <v>13230</v>
      </c>
      <c r="B519" s="63" t="s">
        <v>13231</v>
      </c>
      <c r="C519" s="63" t="s">
        <v>13232</v>
      </c>
      <c r="D519" s="64" t="s">
        <v>12565</v>
      </c>
      <c r="E519" s="63" t="s">
        <v>13047</v>
      </c>
      <c r="F519" s="63" t="s">
        <v>13184</v>
      </c>
      <c r="G519" s="63" t="s">
        <v>13185</v>
      </c>
      <c r="H519" s="63" t="s">
        <v>13186</v>
      </c>
      <c r="I519" s="63" t="s">
        <v>13187</v>
      </c>
    </row>
    <row r="520" spans="1:9" ht="15" customHeight="1" x14ac:dyDescent="0.3">
      <c r="A520" s="63" t="s">
        <v>14908</v>
      </c>
      <c r="B520" s="63" t="s">
        <v>14909</v>
      </c>
      <c r="C520" s="63" t="s">
        <v>14910</v>
      </c>
      <c r="D520" s="64" t="s">
        <v>12572</v>
      </c>
      <c r="E520" s="63" t="s">
        <v>14386</v>
      </c>
      <c r="F520" s="63" t="s">
        <v>12553</v>
      </c>
      <c r="G520" s="63" t="s">
        <v>14409</v>
      </c>
      <c r="H520" s="63" t="s">
        <v>14601</v>
      </c>
      <c r="I520" s="63" t="s">
        <v>14602</v>
      </c>
    </row>
    <row r="521" spans="1:9" ht="15" customHeight="1" x14ac:dyDescent="0.3">
      <c r="A521" s="63" t="s">
        <v>14911</v>
      </c>
      <c r="B521" s="63" t="s">
        <v>14912</v>
      </c>
      <c r="C521" s="63" t="s">
        <v>14913</v>
      </c>
      <c r="D521" s="64" t="s">
        <v>12572</v>
      </c>
      <c r="E521" s="63" t="s">
        <v>14386</v>
      </c>
      <c r="F521" s="63" t="s">
        <v>12553</v>
      </c>
      <c r="G521" s="63" t="s">
        <v>14409</v>
      </c>
      <c r="H521" s="63" t="s">
        <v>14529</v>
      </c>
      <c r="I521" s="63" t="s">
        <v>14530</v>
      </c>
    </row>
    <row r="522" spans="1:9" ht="15" customHeight="1" x14ac:dyDescent="0.3">
      <c r="A522" s="63" t="s">
        <v>14914</v>
      </c>
      <c r="B522" s="63" t="s">
        <v>14915</v>
      </c>
      <c r="C522" s="63" t="s">
        <v>14916</v>
      </c>
      <c r="D522" s="64" t="s">
        <v>12572</v>
      </c>
      <c r="E522" s="63" t="s">
        <v>14386</v>
      </c>
      <c r="F522" s="63" t="s">
        <v>12553</v>
      </c>
      <c r="G522" s="63" t="s">
        <v>14409</v>
      </c>
      <c r="H522" s="63" t="s">
        <v>14443</v>
      </c>
      <c r="I522" s="63" t="s">
        <v>14444</v>
      </c>
    </row>
    <row r="523" spans="1:9" ht="15" customHeight="1" x14ac:dyDescent="0.3">
      <c r="A523" s="63" t="s">
        <v>14917</v>
      </c>
      <c r="B523" s="63" t="s">
        <v>14918</v>
      </c>
      <c r="C523" s="63" t="s">
        <v>14919</v>
      </c>
      <c r="D523" s="64" t="s">
        <v>12572</v>
      </c>
      <c r="E523" s="63" t="s">
        <v>14386</v>
      </c>
      <c r="F523" s="63" t="s">
        <v>12553</v>
      </c>
      <c r="G523" s="63" t="s">
        <v>14409</v>
      </c>
      <c r="H523" s="63" t="s">
        <v>14443</v>
      </c>
      <c r="I523" s="63" t="s">
        <v>14444</v>
      </c>
    </row>
    <row r="524" spans="1:9" ht="15" customHeight="1" x14ac:dyDescent="0.3">
      <c r="A524" s="63" t="s">
        <v>14920</v>
      </c>
      <c r="B524" s="63" t="s">
        <v>14921</v>
      </c>
      <c r="C524" s="63" t="s">
        <v>14922</v>
      </c>
      <c r="D524" s="64" t="s">
        <v>12572</v>
      </c>
      <c r="E524" s="63" t="s">
        <v>14386</v>
      </c>
      <c r="F524" s="63" t="s">
        <v>12553</v>
      </c>
      <c r="G524" s="63" t="s">
        <v>14409</v>
      </c>
      <c r="H524" s="63" t="s">
        <v>14601</v>
      </c>
      <c r="I524" s="63" t="s">
        <v>14602</v>
      </c>
    </row>
    <row r="525" spans="1:9" ht="15" customHeight="1" x14ac:dyDescent="0.3">
      <c r="A525" s="63" t="s">
        <v>13233</v>
      </c>
      <c r="B525" s="63" t="s">
        <v>13234</v>
      </c>
      <c r="C525" s="63" t="s">
        <v>13235</v>
      </c>
      <c r="D525" s="64" t="s">
        <v>12565</v>
      </c>
      <c r="E525" s="63" t="s">
        <v>13047</v>
      </c>
      <c r="F525" s="63" t="s">
        <v>13210</v>
      </c>
      <c r="G525" s="63" t="s">
        <v>13211</v>
      </c>
      <c r="H525" s="63" t="s">
        <v>13236</v>
      </c>
      <c r="I525" s="63" t="s">
        <v>13237</v>
      </c>
    </row>
    <row r="526" spans="1:9" ht="15" customHeight="1" x14ac:dyDescent="0.3">
      <c r="A526" s="63" t="s">
        <v>14107</v>
      </c>
      <c r="B526" s="63" t="s">
        <v>14108</v>
      </c>
      <c r="C526" s="63" t="s">
        <v>14109</v>
      </c>
      <c r="D526" s="64" t="s">
        <v>12591</v>
      </c>
      <c r="E526" s="63" t="s">
        <v>13618</v>
      </c>
      <c r="F526" s="63" t="s">
        <v>13674</v>
      </c>
      <c r="G526" s="63" t="s">
        <v>13675</v>
      </c>
      <c r="H526" s="63" t="s">
        <v>13924</v>
      </c>
      <c r="I526" s="63" t="s">
        <v>13925</v>
      </c>
    </row>
    <row r="527" spans="1:9" ht="15" customHeight="1" x14ac:dyDescent="0.3">
      <c r="A527" s="63" t="s">
        <v>13238</v>
      </c>
      <c r="B527" s="63" t="s">
        <v>13239</v>
      </c>
      <c r="C527" s="63" t="s">
        <v>13240</v>
      </c>
      <c r="D527" s="64" t="s">
        <v>12565</v>
      </c>
      <c r="E527" s="63" t="s">
        <v>13047</v>
      </c>
      <c r="F527" s="63" t="s">
        <v>13089</v>
      </c>
      <c r="G527" s="63" t="s">
        <v>13090</v>
      </c>
      <c r="H527" s="63" t="s">
        <v>13091</v>
      </c>
      <c r="I527" s="63" t="s">
        <v>13092</v>
      </c>
    </row>
    <row r="528" spans="1:9" ht="15" customHeight="1" x14ac:dyDescent="0.3">
      <c r="A528" s="63" t="s">
        <v>14110</v>
      </c>
      <c r="B528" s="63" t="s">
        <v>14111</v>
      </c>
      <c r="C528" s="63" t="s">
        <v>14112</v>
      </c>
      <c r="D528" s="64" t="s">
        <v>12591</v>
      </c>
      <c r="E528" s="63" t="s">
        <v>13618</v>
      </c>
      <c r="F528" s="63" t="s">
        <v>13684</v>
      </c>
      <c r="G528" s="63" t="s">
        <v>13685</v>
      </c>
      <c r="H528" s="63" t="s">
        <v>13792</v>
      </c>
      <c r="I528" s="63" t="s">
        <v>13793</v>
      </c>
    </row>
    <row r="529" spans="1:9" ht="15" customHeight="1" x14ac:dyDescent="0.3">
      <c r="A529" s="63" t="s">
        <v>15062</v>
      </c>
      <c r="B529" s="63" t="s">
        <v>15063</v>
      </c>
      <c r="C529" s="63" t="s">
        <v>15063</v>
      </c>
      <c r="D529" s="64" t="s">
        <v>12573</v>
      </c>
      <c r="E529" s="63" t="s">
        <v>15059</v>
      </c>
      <c r="F529" s="63" t="s">
        <v>15064</v>
      </c>
      <c r="G529" s="63" t="s">
        <v>15065</v>
      </c>
      <c r="H529" s="63" t="s">
        <v>15066</v>
      </c>
      <c r="I529" s="63" t="s">
        <v>15067</v>
      </c>
    </row>
    <row r="530" spans="1:9" ht="15" customHeight="1" x14ac:dyDescent="0.3">
      <c r="A530" s="63" t="s">
        <v>14923</v>
      </c>
      <c r="B530" s="63" t="s">
        <v>14924</v>
      </c>
      <c r="C530" s="63" t="s">
        <v>14925</v>
      </c>
      <c r="D530" s="64" t="s">
        <v>12572</v>
      </c>
      <c r="E530" s="63" t="s">
        <v>14386</v>
      </c>
      <c r="F530" s="63" t="s">
        <v>12553</v>
      </c>
      <c r="G530" s="63" t="s">
        <v>14409</v>
      </c>
      <c r="H530" s="63" t="s">
        <v>14601</v>
      </c>
      <c r="I530" s="63" t="s">
        <v>14602</v>
      </c>
    </row>
    <row r="531" spans="1:9" ht="15" customHeight="1" x14ac:dyDescent="0.3">
      <c r="A531" s="63" t="s">
        <v>14926</v>
      </c>
      <c r="B531" s="63" t="s">
        <v>14927</v>
      </c>
      <c r="C531" s="63" t="s">
        <v>14928</v>
      </c>
      <c r="D531" s="64" t="s">
        <v>12572</v>
      </c>
      <c r="E531" s="63" t="s">
        <v>14386</v>
      </c>
      <c r="F531" s="63" t="s">
        <v>14387</v>
      </c>
      <c r="G531" s="63" t="s">
        <v>14388</v>
      </c>
      <c r="H531" s="63" t="s">
        <v>14430</v>
      </c>
      <c r="I531" s="63" t="s">
        <v>14431</v>
      </c>
    </row>
    <row r="532" spans="1:9" ht="15" customHeight="1" x14ac:dyDescent="0.3">
      <c r="A532" s="63" t="s">
        <v>14929</v>
      </c>
      <c r="B532" s="63" t="s">
        <v>14930</v>
      </c>
      <c r="C532" s="63" t="s">
        <v>14931</v>
      </c>
      <c r="D532" s="64" t="s">
        <v>12572</v>
      </c>
      <c r="E532" s="63" t="s">
        <v>14386</v>
      </c>
      <c r="F532" s="63" t="s">
        <v>14505</v>
      </c>
      <c r="G532" s="63" t="s">
        <v>14506</v>
      </c>
      <c r="H532" s="63" t="s">
        <v>14507</v>
      </c>
      <c r="I532" s="63" t="s">
        <v>14508</v>
      </c>
    </row>
    <row r="533" spans="1:9" ht="15" customHeight="1" x14ac:dyDescent="0.3">
      <c r="A533" s="63" t="s">
        <v>14932</v>
      </c>
      <c r="B533" s="63" t="s">
        <v>14933</v>
      </c>
      <c r="C533" s="63" t="s">
        <v>14934</v>
      </c>
      <c r="D533" s="64" t="s">
        <v>12572</v>
      </c>
      <c r="E533" s="63" t="s">
        <v>14386</v>
      </c>
      <c r="F533" s="63" t="s">
        <v>12553</v>
      </c>
      <c r="G533" s="63" t="s">
        <v>14409</v>
      </c>
      <c r="H533" s="63" t="s">
        <v>14443</v>
      </c>
      <c r="I533" s="63" t="s">
        <v>14444</v>
      </c>
    </row>
    <row r="534" spans="1:9" ht="15" customHeight="1" x14ac:dyDescent="0.3">
      <c r="A534" s="63" t="s">
        <v>14935</v>
      </c>
      <c r="B534" s="63" t="s">
        <v>14936</v>
      </c>
      <c r="C534" s="63" t="s">
        <v>14937</v>
      </c>
      <c r="D534" s="64" t="s">
        <v>12572</v>
      </c>
      <c r="E534" s="63" t="s">
        <v>14386</v>
      </c>
      <c r="F534" s="63" t="s">
        <v>12553</v>
      </c>
      <c r="G534" s="63" t="s">
        <v>14409</v>
      </c>
      <c r="H534" s="63" t="s">
        <v>14630</v>
      </c>
      <c r="I534" s="63" t="s">
        <v>14938</v>
      </c>
    </row>
    <row r="535" spans="1:9" ht="15" customHeight="1" x14ac:dyDescent="0.3">
      <c r="A535" s="63" t="s">
        <v>14939</v>
      </c>
      <c r="B535" s="63" t="s">
        <v>14940</v>
      </c>
      <c r="C535" s="63" t="s">
        <v>14941</v>
      </c>
      <c r="D535" s="64" t="s">
        <v>12572</v>
      </c>
      <c r="E535" s="63" t="s">
        <v>14386</v>
      </c>
      <c r="F535" s="63" t="s">
        <v>12553</v>
      </c>
      <c r="G535" s="63" t="s">
        <v>14409</v>
      </c>
      <c r="H535" s="63" t="s">
        <v>14443</v>
      </c>
      <c r="I535" s="63" t="s">
        <v>14444</v>
      </c>
    </row>
    <row r="536" spans="1:9" ht="15" customHeight="1" x14ac:dyDescent="0.3">
      <c r="A536" s="63" t="s">
        <v>13487</v>
      </c>
      <c r="B536" s="63" t="s">
        <v>13488</v>
      </c>
      <c r="C536" s="63" t="s">
        <v>13489</v>
      </c>
      <c r="D536" s="64" t="s">
        <v>12578</v>
      </c>
      <c r="E536" s="63" t="s">
        <v>13451</v>
      </c>
      <c r="F536" s="63" t="s">
        <v>13452</v>
      </c>
      <c r="G536" s="63" t="s">
        <v>13453</v>
      </c>
      <c r="H536" s="63" t="s">
        <v>13454</v>
      </c>
      <c r="I536" s="63" t="s">
        <v>13455</v>
      </c>
    </row>
    <row r="537" spans="1:9" ht="15" customHeight="1" x14ac:dyDescent="0.3">
      <c r="A537" s="63" t="s">
        <v>14942</v>
      </c>
      <c r="B537" s="63" t="s">
        <v>14943</v>
      </c>
      <c r="C537" s="63" t="s">
        <v>14944</v>
      </c>
      <c r="D537" s="64" t="s">
        <v>12572</v>
      </c>
      <c r="E537" s="63" t="s">
        <v>14386</v>
      </c>
      <c r="F537" s="63" t="s">
        <v>12553</v>
      </c>
      <c r="G537" s="63" t="s">
        <v>14409</v>
      </c>
      <c r="H537" s="63" t="s">
        <v>14529</v>
      </c>
      <c r="I537" s="63" t="s">
        <v>14530</v>
      </c>
    </row>
    <row r="538" spans="1:9" ht="15" customHeight="1" x14ac:dyDescent="0.3">
      <c r="A538" s="63" t="s">
        <v>14945</v>
      </c>
      <c r="B538" s="63" t="s">
        <v>14946</v>
      </c>
      <c r="C538" s="63" t="s">
        <v>14947</v>
      </c>
      <c r="D538" s="64" t="s">
        <v>12572</v>
      </c>
      <c r="E538" s="63" t="s">
        <v>14386</v>
      </c>
      <c r="F538" s="63" t="s">
        <v>12553</v>
      </c>
      <c r="G538" s="63" t="s">
        <v>14409</v>
      </c>
      <c r="H538" s="63" t="s">
        <v>14601</v>
      </c>
      <c r="I538" s="63" t="s">
        <v>14602</v>
      </c>
    </row>
    <row r="539" spans="1:9" ht="15" customHeight="1" x14ac:dyDescent="0.3">
      <c r="A539" s="63" t="s">
        <v>14948</v>
      </c>
      <c r="B539" s="63" t="s">
        <v>14949</v>
      </c>
      <c r="C539" s="63" t="s">
        <v>14950</v>
      </c>
      <c r="D539" s="64" t="s">
        <v>12572</v>
      </c>
      <c r="E539" s="63" t="s">
        <v>14386</v>
      </c>
      <c r="F539" s="63" t="s">
        <v>12553</v>
      </c>
      <c r="G539" s="63" t="s">
        <v>14409</v>
      </c>
      <c r="H539" s="63" t="s">
        <v>14443</v>
      </c>
      <c r="I539" s="63" t="s">
        <v>14444</v>
      </c>
    </row>
    <row r="540" spans="1:9" ht="15" customHeight="1" x14ac:dyDescent="0.3">
      <c r="A540" s="63" t="s">
        <v>14951</v>
      </c>
      <c r="B540" s="63" t="s">
        <v>14952</v>
      </c>
      <c r="C540" s="63" t="s">
        <v>14953</v>
      </c>
      <c r="D540" s="64" t="s">
        <v>12572</v>
      </c>
      <c r="E540" s="63" t="s">
        <v>14386</v>
      </c>
      <c r="F540" s="63" t="s">
        <v>14505</v>
      </c>
      <c r="G540" s="63" t="s">
        <v>14506</v>
      </c>
      <c r="H540" s="63" t="s">
        <v>14661</v>
      </c>
      <c r="I540" s="63" t="s">
        <v>14662</v>
      </c>
    </row>
    <row r="541" spans="1:9" ht="15" customHeight="1" x14ac:dyDescent="0.3">
      <c r="A541" s="63" t="s">
        <v>14344</v>
      </c>
      <c r="B541" s="63" t="s">
        <v>14345</v>
      </c>
      <c r="C541" s="63" t="s">
        <v>14346</v>
      </c>
      <c r="D541" s="64" t="s">
        <v>12567</v>
      </c>
      <c r="E541" s="63" t="s">
        <v>14224</v>
      </c>
      <c r="F541" s="63" t="s">
        <v>14347</v>
      </c>
      <c r="G541" s="63" t="s">
        <v>12567</v>
      </c>
      <c r="H541" s="63" t="s">
        <v>14348</v>
      </c>
      <c r="I541" s="63" t="s">
        <v>14349</v>
      </c>
    </row>
    <row r="542" spans="1:9" ht="15" customHeight="1" x14ac:dyDescent="0.3">
      <c r="A542" s="63" t="s">
        <v>13604</v>
      </c>
      <c r="B542" s="63" t="s">
        <v>13605</v>
      </c>
      <c r="C542" s="63" t="s">
        <v>13606</v>
      </c>
      <c r="D542" s="64" t="s">
        <v>12579</v>
      </c>
      <c r="E542" s="63" t="s">
        <v>13506</v>
      </c>
      <c r="F542" s="63" t="s">
        <v>13595</v>
      </c>
      <c r="G542" s="63" t="s">
        <v>13596</v>
      </c>
      <c r="H542" s="63" t="s">
        <v>13607</v>
      </c>
      <c r="I542" s="63" t="s">
        <v>13608</v>
      </c>
    </row>
    <row r="543" spans="1:9" ht="15" customHeight="1" x14ac:dyDescent="0.3">
      <c r="A543" s="63" t="s">
        <v>14954</v>
      </c>
      <c r="B543" s="63" t="s">
        <v>14955</v>
      </c>
      <c r="C543" s="63" t="s">
        <v>14956</v>
      </c>
      <c r="D543" s="64" t="s">
        <v>12572</v>
      </c>
      <c r="E543" s="63" t="s">
        <v>14386</v>
      </c>
      <c r="F543" s="63" t="s">
        <v>12553</v>
      </c>
      <c r="G543" s="63" t="s">
        <v>14409</v>
      </c>
      <c r="H543" s="63" t="s">
        <v>14443</v>
      </c>
      <c r="I543" s="63" t="s">
        <v>14444</v>
      </c>
    </row>
    <row r="544" spans="1:9" ht="15" customHeight="1" x14ac:dyDescent="0.3">
      <c r="A544" s="63" t="s">
        <v>12681</v>
      </c>
      <c r="B544" s="63" t="s">
        <v>12682</v>
      </c>
      <c r="C544" s="63" t="s">
        <v>12683</v>
      </c>
      <c r="D544" s="64" t="s">
        <v>12574</v>
      </c>
      <c r="E544" s="63" t="s">
        <v>12616</v>
      </c>
      <c r="F544" s="63" t="s">
        <v>12617</v>
      </c>
      <c r="G544" s="63" t="s">
        <v>12618</v>
      </c>
      <c r="H544" s="63" t="s">
        <v>12619</v>
      </c>
      <c r="I544" s="63" t="s">
        <v>12620</v>
      </c>
    </row>
    <row r="545" spans="1:9" ht="15" customHeight="1" x14ac:dyDescent="0.3">
      <c r="A545" s="63" t="s">
        <v>12684</v>
      </c>
      <c r="B545" s="63" t="s">
        <v>12685</v>
      </c>
      <c r="C545" s="63" t="s">
        <v>12686</v>
      </c>
      <c r="D545" s="64" t="s">
        <v>12574</v>
      </c>
      <c r="E545" s="63" t="s">
        <v>12616</v>
      </c>
      <c r="F545" s="63" t="s">
        <v>12617</v>
      </c>
      <c r="G545" s="63" t="s">
        <v>12618</v>
      </c>
      <c r="H545" s="63" t="s">
        <v>12624</v>
      </c>
      <c r="I545" s="63" t="s">
        <v>12625</v>
      </c>
    </row>
    <row r="546" spans="1:9" ht="15" customHeight="1" x14ac:dyDescent="0.3">
      <c r="A546" s="63" t="s">
        <v>13609</v>
      </c>
      <c r="B546" s="63" t="s">
        <v>13610</v>
      </c>
      <c r="C546" s="63" t="s">
        <v>13611</v>
      </c>
      <c r="D546" s="64" t="s">
        <v>12579</v>
      </c>
      <c r="E546" s="63" t="s">
        <v>13506</v>
      </c>
      <c r="F546" s="63" t="s">
        <v>13538</v>
      </c>
      <c r="G546" s="63" t="s">
        <v>13539</v>
      </c>
      <c r="H546" s="63" t="s">
        <v>13578</v>
      </c>
      <c r="I546" s="63" t="s">
        <v>13579</v>
      </c>
    </row>
    <row r="547" spans="1:9" ht="15" customHeight="1" x14ac:dyDescent="0.3">
      <c r="A547" s="63" t="s">
        <v>14957</v>
      </c>
      <c r="B547" s="63" t="s">
        <v>14958</v>
      </c>
      <c r="C547" s="63" t="s">
        <v>14959</v>
      </c>
      <c r="D547" s="64" t="s">
        <v>12572</v>
      </c>
      <c r="E547" s="63" t="s">
        <v>14386</v>
      </c>
      <c r="F547" s="63" t="s">
        <v>12553</v>
      </c>
      <c r="G547" s="63" t="s">
        <v>14409</v>
      </c>
      <c r="H547" s="63" t="s">
        <v>14443</v>
      </c>
      <c r="I547" s="63" t="s">
        <v>14444</v>
      </c>
    </row>
    <row r="548" spans="1:9" ht="15" customHeight="1" x14ac:dyDescent="0.3">
      <c r="A548" s="63" t="s">
        <v>14960</v>
      </c>
      <c r="B548" s="63" t="s">
        <v>14961</v>
      </c>
      <c r="C548" s="63" t="s">
        <v>14962</v>
      </c>
      <c r="D548" s="64" t="s">
        <v>12572</v>
      </c>
      <c r="E548" s="63" t="s">
        <v>14386</v>
      </c>
      <c r="F548" s="63" t="s">
        <v>12553</v>
      </c>
      <c r="G548" s="63" t="s">
        <v>14409</v>
      </c>
      <c r="H548" s="63" t="s">
        <v>14443</v>
      </c>
      <c r="I548" s="63" t="s">
        <v>14444</v>
      </c>
    </row>
    <row r="549" spans="1:9" ht="15" customHeight="1" x14ac:dyDescent="0.3">
      <c r="A549" s="63" t="s">
        <v>14963</v>
      </c>
      <c r="B549" s="63" t="s">
        <v>14964</v>
      </c>
      <c r="C549" s="63" t="s">
        <v>14965</v>
      </c>
      <c r="D549" s="64" t="s">
        <v>12572</v>
      </c>
      <c r="E549" s="63" t="s">
        <v>14386</v>
      </c>
      <c r="F549" s="63" t="s">
        <v>12553</v>
      </c>
      <c r="G549" s="63" t="s">
        <v>14409</v>
      </c>
      <c r="H549" s="63" t="s">
        <v>14443</v>
      </c>
      <c r="I549" s="63" t="s">
        <v>14444</v>
      </c>
    </row>
    <row r="550" spans="1:9" ht="15" customHeight="1" x14ac:dyDescent="0.3">
      <c r="A550" s="63" t="s">
        <v>14966</v>
      </c>
      <c r="B550" s="63" t="s">
        <v>14967</v>
      </c>
      <c r="C550" s="63" t="s">
        <v>14968</v>
      </c>
      <c r="D550" s="64" t="s">
        <v>12572</v>
      </c>
      <c r="E550" s="63" t="s">
        <v>14386</v>
      </c>
      <c r="F550" s="63" t="s">
        <v>14505</v>
      </c>
      <c r="G550" s="63" t="s">
        <v>14506</v>
      </c>
      <c r="H550" s="63" t="s">
        <v>14661</v>
      </c>
      <c r="I550" s="63" t="s">
        <v>14662</v>
      </c>
    </row>
    <row r="551" spans="1:9" ht="15" customHeight="1" x14ac:dyDescent="0.3">
      <c r="A551" s="63" t="s">
        <v>14969</v>
      </c>
      <c r="B551" s="63" t="s">
        <v>14970</v>
      </c>
      <c r="C551" s="63" t="s">
        <v>14971</v>
      </c>
      <c r="D551" s="64" t="s">
        <v>12572</v>
      </c>
      <c r="E551" s="63" t="s">
        <v>14386</v>
      </c>
      <c r="F551" s="63" t="s">
        <v>12553</v>
      </c>
      <c r="G551" s="63" t="s">
        <v>14409</v>
      </c>
      <c r="H551" s="63" t="s">
        <v>14529</v>
      </c>
      <c r="I551" s="63" t="s">
        <v>14530</v>
      </c>
    </row>
    <row r="552" spans="1:9" ht="15" customHeight="1" x14ac:dyDescent="0.3">
      <c r="A552" s="63" t="s">
        <v>14972</v>
      </c>
      <c r="B552" s="63" t="s">
        <v>14973</v>
      </c>
      <c r="C552" s="63" t="s">
        <v>14974</v>
      </c>
      <c r="D552" s="64" t="s">
        <v>12572</v>
      </c>
      <c r="E552" s="63" t="s">
        <v>14386</v>
      </c>
      <c r="F552" s="63" t="s">
        <v>12553</v>
      </c>
      <c r="G552" s="63" t="s">
        <v>14409</v>
      </c>
      <c r="H552" s="63" t="s">
        <v>14529</v>
      </c>
      <c r="I552" s="63" t="s">
        <v>14530</v>
      </c>
    </row>
    <row r="553" spans="1:9" ht="15" customHeight="1" x14ac:dyDescent="0.3">
      <c r="A553" s="63" t="s">
        <v>14975</v>
      </c>
      <c r="B553" s="63" t="s">
        <v>14976</v>
      </c>
      <c r="C553" s="63" t="s">
        <v>14977</v>
      </c>
      <c r="D553" s="64" t="s">
        <v>12572</v>
      </c>
      <c r="E553" s="63" t="s">
        <v>14386</v>
      </c>
      <c r="F553" s="63" t="s">
        <v>12553</v>
      </c>
      <c r="G553" s="63" t="s">
        <v>14409</v>
      </c>
      <c r="H553" s="63" t="s">
        <v>14529</v>
      </c>
      <c r="I553" s="63" t="s">
        <v>14530</v>
      </c>
    </row>
    <row r="554" spans="1:9" ht="15" customHeight="1" x14ac:dyDescent="0.3">
      <c r="A554" s="63" t="s">
        <v>14978</v>
      </c>
      <c r="B554" s="63" t="s">
        <v>14979</v>
      </c>
      <c r="C554" s="63" t="s">
        <v>14980</v>
      </c>
      <c r="D554" s="64" t="s">
        <v>12572</v>
      </c>
      <c r="E554" s="63" t="s">
        <v>14386</v>
      </c>
      <c r="F554" s="63" t="s">
        <v>12553</v>
      </c>
      <c r="G554" s="63" t="s">
        <v>14409</v>
      </c>
      <c r="H554" s="63" t="s">
        <v>14443</v>
      </c>
      <c r="I554" s="63" t="s">
        <v>14444</v>
      </c>
    </row>
    <row r="555" spans="1:9" ht="15" customHeight="1" x14ac:dyDescent="0.3">
      <c r="A555" s="63" t="s">
        <v>14981</v>
      </c>
      <c r="B555" s="63" t="s">
        <v>14982</v>
      </c>
      <c r="C555" s="63" t="s">
        <v>14983</v>
      </c>
      <c r="D555" s="64" t="s">
        <v>12572</v>
      </c>
      <c r="E555" s="63" t="s">
        <v>14386</v>
      </c>
      <c r="F555" s="63" t="s">
        <v>12553</v>
      </c>
      <c r="G555" s="63" t="s">
        <v>14409</v>
      </c>
      <c r="H555" s="63" t="s">
        <v>14443</v>
      </c>
      <c r="I555" s="63" t="s">
        <v>14444</v>
      </c>
    </row>
    <row r="556" spans="1:9" ht="15" customHeight="1" x14ac:dyDescent="0.3">
      <c r="A556" s="63" t="s">
        <v>14984</v>
      </c>
      <c r="B556" s="63" t="s">
        <v>14985</v>
      </c>
      <c r="C556" s="63" t="s">
        <v>14986</v>
      </c>
      <c r="D556" s="64" t="s">
        <v>12572</v>
      </c>
      <c r="E556" s="63" t="s">
        <v>14386</v>
      </c>
      <c r="F556" s="63" t="s">
        <v>12553</v>
      </c>
      <c r="G556" s="63" t="s">
        <v>14409</v>
      </c>
      <c r="H556" s="63" t="s">
        <v>14443</v>
      </c>
      <c r="I556" s="63" t="s">
        <v>14444</v>
      </c>
    </row>
    <row r="557" spans="1:9" ht="15" customHeight="1" x14ac:dyDescent="0.3">
      <c r="A557" s="63" t="s">
        <v>14987</v>
      </c>
      <c r="B557" s="63" t="s">
        <v>14988</v>
      </c>
      <c r="C557" s="63" t="s">
        <v>14989</v>
      </c>
      <c r="D557" s="64" t="s">
        <v>12572</v>
      </c>
      <c r="E557" s="63" t="s">
        <v>14386</v>
      </c>
      <c r="F557" s="63" t="s">
        <v>12553</v>
      </c>
      <c r="G557" s="63" t="s">
        <v>14409</v>
      </c>
      <c r="H557" s="63" t="s">
        <v>14601</v>
      </c>
      <c r="I557" s="63" t="s">
        <v>14602</v>
      </c>
    </row>
    <row r="558" spans="1:9" ht="15" customHeight="1" x14ac:dyDescent="0.3">
      <c r="A558" s="63" t="s">
        <v>13612</v>
      </c>
      <c r="B558" s="63" t="s">
        <v>13613</v>
      </c>
      <c r="C558" s="63" t="s">
        <v>13614</v>
      </c>
      <c r="D558" s="64" t="s">
        <v>12579</v>
      </c>
      <c r="E558" s="63" t="s">
        <v>13506</v>
      </c>
      <c r="F558" s="63" t="s">
        <v>13538</v>
      </c>
      <c r="G558" s="63" t="s">
        <v>13539</v>
      </c>
      <c r="H558" s="63" t="s">
        <v>13578</v>
      </c>
      <c r="I558" s="63" t="s">
        <v>13579</v>
      </c>
    </row>
    <row r="559" spans="1:9" ht="15" customHeight="1" x14ac:dyDescent="0.3">
      <c r="A559" s="63" t="s">
        <v>14990</v>
      </c>
      <c r="B559" s="63" t="s">
        <v>14991</v>
      </c>
      <c r="C559" s="63" t="s">
        <v>14992</v>
      </c>
      <c r="D559" s="64" t="s">
        <v>12572</v>
      </c>
      <c r="E559" s="63" t="s">
        <v>14386</v>
      </c>
      <c r="F559" s="63" t="s">
        <v>12553</v>
      </c>
      <c r="G559" s="63" t="s">
        <v>14409</v>
      </c>
      <c r="H559" s="63" t="s">
        <v>14443</v>
      </c>
      <c r="I559" s="63" t="s">
        <v>14444</v>
      </c>
    </row>
    <row r="560" spans="1:9" ht="15" customHeight="1" x14ac:dyDescent="0.3">
      <c r="A560" s="63" t="s">
        <v>14993</v>
      </c>
      <c r="B560" s="63" t="s">
        <v>14994</v>
      </c>
      <c r="C560" s="63" t="s">
        <v>14995</v>
      </c>
      <c r="D560" s="64" t="s">
        <v>12572</v>
      </c>
      <c r="E560" s="63" t="s">
        <v>14386</v>
      </c>
      <c r="F560" s="63" t="s">
        <v>12553</v>
      </c>
      <c r="G560" s="63" t="s">
        <v>14409</v>
      </c>
      <c r="H560" s="63" t="s">
        <v>14705</v>
      </c>
      <c r="I560" s="63" t="s">
        <v>14706</v>
      </c>
    </row>
    <row r="561" spans="1:9" ht="15" customHeight="1" x14ac:dyDescent="0.3">
      <c r="A561" s="63" t="s">
        <v>14113</v>
      </c>
      <c r="B561" s="63" t="s">
        <v>14114</v>
      </c>
      <c r="C561" s="63" t="s">
        <v>14115</v>
      </c>
      <c r="D561" s="64" t="s">
        <v>12591</v>
      </c>
      <c r="E561" s="63" t="s">
        <v>13618</v>
      </c>
      <c r="F561" s="63" t="s">
        <v>13674</v>
      </c>
      <c r="G561" s="63" t="s">
        <v>13675</v>
      </c>
      <c r="H561" s="63" t="s">
        <v>13924</v>
      </c>
      <c r="I561" s="63" t="s">
        <v>13925</v>
      </c>
    </row>
    <row r="562" spans="1:9" ht="15" customHeight="1" x14ac:dyDescent="0.3">
      <c r="A562" s="63" t="s">
        <v>14996</v>
      </c>
      <c r="B562" s="63" t="s">
        <v>14997</v>
      </c>
      <c r="C562" s="63" t="s">
        <v>14998</v>
      </c>
      <c r="D562" s="64" t="s">
        <v>12572</v>
      </c>
      <c r="E562" s="63" t="s">
        <v>14386</v>
      </c>
      <c r="F562" s="63" t="s">
        <v>12553</v>
      </c>
      <c r="G562" s="63" t="s">
        <v>14409</v>
      </c>
      <c r="H562" s="63" t="s">
        <v>14601</v>
      </c>
      <c r="I562" s="63" t="s">
        <v>14602</v>
      </c>
    </row>
    <row r="563" spans="1:9" ht="15" customHeight="1" x14ac:dyDescent="0.3">
      <c r="A563" s="63" t="s">
        <v>14999</v>
      </c>
      <c r="B563" s="63" t="s">
        <v>15000</v>
      </c>
      <c r="C563" s="63" t="s">
        <v>15001</v>
      </c>
      <c r="D563" s="64" t="s">
        <v>12572</v>
      </c>
      <c r="E563" s="63" t="s">
        <v>14386</v>
      </c>
      <c r="F563" s="63" t="s">
        <v>12553</v>
      </c>
      <c r="G563" s="63" t="s">
        <v>14409</v>
      </c>
      <c r="H563" s="63" t="s">
        <v>14443</v>
      </c>
      <c r="I563" s="63" t="s">
        <v>14444</v>
      </c>
    </row>
    <row r="564" spans="1:9" ht="15" customHeight="1" x14ac:dyDescent="0.3">
      <c r="A564" s="63" t="s">
        <v>15002</v>
      </c>
      <c r="B564" s="63" t="s">
        <v>15003</v>
      </c>
      <c r="C564" s="63" t="s">
        <v>15004</v>
      </c>
      <c r="D564" s="64" t="s">
        <v>12572</v>
      </c>
      <c r="E564" s="63" t="s">
        <v>14386</v>
      </c>
      <c r="F564" s="63" t="s">
        <v>12553</v>
      </c>
      <c r="G564" s="63" t="s">
        <v>14409</v>
      </c>
      <c r="H564" s="63" t="s">
        <v>14443</v>
      </c>
      <c r="I564" s="63" t="s">
        <v>14444</v>
      </c>
    </row>
    <row r="565" spans="1:9" ht="15" customHeight="1" x14ac:dyDescent="0.3">
      <c r="A565" s="63" t="s">
        <v>15005</v>
      </c>
      <c r="B565" s="63" t="s">
        <v>15006</v>
      </c>
      <c r="C565" s="63" t="s">
        <v>15007</v>
      </c>
      <c r="D565" s="64" t="s">
        <v>12572</v>
      </c>
      <c r="E565" s="63" t="s">
        <v>14386</v>
      </c>
      <c r="F565" s="63" t="s">
        <v>12553</v>
      </c>
      <c r="G565" s="63" t="s">
        <v>14409</v>
      </c>
      <c r="H565" s="63" t="s">
        <v>14443</v>
      </c>
      <c r="I565" s="63" t="s">
        <v>14444</v>
      </c>
    </row>
    <row r="566" spans="1:9" ht="15" customHeight="1" x14ac:dyDescent="0.3">
      <c r="A566" s="63" t="s">
        <v>15008</v>
      </c>
      <c r="B566" s="63" t="s">
        <v>15009</v>
      </c>
      <c r="C566" s="63" t="s">
        <v>15010</v>
      </c>
      <c r="D566" s="64" t="s">
        <v>12572</v>
      </c>
      <c r="E566" s="63" t="s">
        <v>14386</v>
      </c>
      <c r="F566" s="63" t="s">
        <v>12553</v>
      </c>
      <c r="G566" s="63" t="s">
        <v>14409</v>
      </c>
      <c r="H566" s="63" t="s">
        <v>14601</v>
      </c>
      <c r="I566" s="63" t="s">
        <v>14602</v>
      </c>
    </row>
    <row r="567" spans="1:9" ht="15" customHeight="1" x14ac:dyDescent="0.3">
      <c r="A567" s="63" t="s">
        <v>15011</v>
      </c>
      <c r="B567" s="63" t="s">
        <v>15012</v>
      </c>
      <c r="C567" s="63" t="s">
        <v>15013</v>
      </c>
      <c r="D567" s="64" t="s">
        <v>12572</v>
      </c>
      <c r="E567" s="63" t="s">
        <v>14386</v>
      </c>
      <c r="F567" s="63" t="s">
        <v>12553</v>
      </c>
      <c r="G567" s="63" t="s">
        <v>14409</v>
      </c>
      <c r="H567" s="63" t="s">
        <v>14443</v>
      </c>
      <c r="I567" s="63" t="s">
        <v>14444</v>
      </c>
    </row>
    <row r="568" spans="1:9" ht="15" customHeight="1" x14ac:dyDescent="0.3">
      <c r="A568" s="63" t="s">
        <v>15014</v>
      </c>
      <c r="B568" s="63" t="s">
        <v>15015</v>
      </c>
      <c r="C568" s="63" t="s">
        <v>15016</v>
      </c>
      <c r="D568" s="64" t="s">
        <v>12572</v>
      </c>
      <c r="E568" s="63" t="s">
        <v>14386</v>
      </c>
      <c r="F568" s="63" t="s">
        <v>12553</v>
      </c>
      <c r="G568" s="63" t="s">
        <v>14409</v>
      </c>
      <c r="H568" s="63" t="s">
        <v>14443</v>
      </c>
      <c r="I568" s="63" t="s">
        <v>14444</v>
      </c>
    </row>
    <row r="569" spans="1:9" ht="15" customHeight="1" x14ac:dyDescent="0.3">
      <c r="A569" s="63" t="s">
        <v>15017</v>
      </c>
      <c r="B569" s="63" t="s">
        <v>15018</v>
      </c>
      <c r="C569" s="63" t="s">
        <v>15019</v>
      </c>
      <c r="D569" s="64" t="s">
        <v>12572</v>
      </c>
      <c r="E569" s="63" t="s">
        <v>14386</v>
      </c>
      <c r="F569" s="63" t="s">
        <v>12553</v>
      </c>
      <c r="G569" s="63" t="s">
        <v>14409</v>
      </c>
      <c r="H569" s="63" t="s">
        <v>14705</v>
      </c>
      <c r="I569" s="63" t="s">
        <v>14706</v>
      </c>
    </row>
    <row r="570" spans="1:9" ht="15" customHeight="1" x14ac:dyDescent="0.3">
      <c r="A570" s="63" t="s">
        <v>15020</v>
      </c>
      <c r="B570" s="63" t="s">
        <v>15021</v>
      </c>
      <c r="C570" s="63" t="s">
        <v>15022</v>
      </c>
      <c r="D570" s="64" t="s">
        <v>12572</v>
      </c>
      <c r="E570" s="63" t="s">
        <v>14386</v>
      </c>
      <c r="F570" s="63" t="s">
        <v>12553</v>
      </c>
      <c r="G570" s="63" t="s">
        <v>14409</v>
      </c>
      <c r="H570" s="63" t="s">
        <v>14749</v>
      </c>
      <c r="I570" s="63" t="s">
        <v>14750</v>
      </c>
    </row>
    <row r="571" spans="1:9" ht="15" customHeight="1" x14ac:dyDescent="0.3">
      <c r="A571" s="63" t="s">
        <v>15023</v>
      </c>
      <c r="B571" s="63" t="s">
        <v>15024</v>
      </c>
      <c r="C571" s="63" t="s">
        <v>15025</v>
      </c>
      <c r="D571" s="64" t="s">
        <v>12572</v>
      </c>
      <c r="E571" s="63" t="s">
        <v>14386</v>
      </c>
      <c r="F571" s="63" t="s">
        <v>12553</v>
      </c>
      <c r="G571" s="63" t="s">
        <v>14409</v>
      </c>
      <c r="H571" s="63" t="s">
        <v>14443</v>
      </c>
      <c r="I571" s="63" t="s">
        <v>14444</v>
      </c>
    </row>
    <row r="572" spans="1:9" ht="15" customHeight="1" x14ac:dyDescent="0.3">
      <c r="A572" s="63" t="s">
        <v>14116</v>
      </c>
      <c r="B572" s="63" t="s">
        <v>14117</v>
      </c>
      <c r="C572" s="63" t="s">
        <v>14118</v>
      </c>
      <c r="D572" s="64" t="s">
        <v>12591</v>
      </c>
      <c r="E572" s="63" t="s">
        <v>13618</v>
      </c>
      <c r="F572" s="63" t="s">
        <v>14119</v>
      </c>
      <c r="G572" s="63" t="s">
        <v>14120</v>
      </c>
      <c r="H572" s="63" t="s">
        <v>14121</v>
      </c>
      <c r="I572" s="63" t="s">
        <v>14122</v>
      </c>
    </row>
    <row r="573" spans="1:9" ht="15" customHeight="1" x14ac:dyDescent="0.3">
      <c r="A573" s="63" t="s">
        <v>14123</v>
      </c>
      <c r="B573" s="63" t="s">
        <v>14124</v>
      </c>
      <c r="C573" s="63" t="s">
        <v>14125</v>
      </c>
      <c r="D573" s="64" t="s">
        <v>12591</v>
      </c>
      <c r="E573" s="63" t="s">
        <v>13618</v>
      </c>
      <c r="F573" s="63" t="s">
        <v>13674</v>
      </c>
      <c r="G573" s="63" t="s">
        <v>13675</v>
      </c>
      <c r="H573" s="63" t="s">
        <v>13924</v>
      </c>
      <c r="I573" s="63" t="s">
        <v>13925</v>
      </c>
    </row>
    <row r="574" spans="1:9" ht="15" customHeight="1" x14ac:dyDescent="0.3">
      <c r="A574" s="63" t="s">
        <v>15026</v>
      </c>
      <c r="B574" s="63" t="s">
        <v>15027</v>
      </c>
      <c r="C574" s="63" t="s">
        <v>15028</v>
      </c>
      <c r="D574" s="64" t="s">
        <v>12572</v>
      </c>
      <c r="E574" s="63" t="s">
        <v>14386</v>
      </c>
      <c r="F574" s="63" t="s">
        <v>12553</v>
      </c>
      <c r="G574" s="63" t="s">
        <v>14409</v>
      </c>
      <c r="H574" s="63" t="s">
        <v>14705</v>
      </c>
      <c r="I574" s="63" t="s">
        <v>14706</v>
      </c>
    </row>
    <row r="575" spans="1:9" ht="15" customHeight="1" x14ac:dyDescent="0.3">
      <c r="A575" s="63" t="s">
        <v>15029</v>
      </c>
      <c r="B575" s="63" t="s">
        <v>15030</v>
      </c>
      <c r="C575" s="63" t="s">
        <v>15031</v>
      </c>
      <c r="D575" s="64" t="s">
        <v>12572</v>
      </c>
      <c r="E575" s="63" t="s">
        <v>14386</v>
      </c>
      <c r="F575" s="63" t="s">
        <v>12553</v>
      </c>
      <c r="G575" s="63" t="s">
        <v>14409</v>
      </c>
      <c r="H575" s="63" t="s">
        <v>14705</v>
      </c>
      <c r="I575" s="63" t="s">
        <v>14706</v>
      </c>
    </row>
    <row r="576" spans="1:9" ht="15" customHeight="1" x14ac:dyDescent="0.3">
      <c r="A576" s="63" t="s">
        <v>14126</v>
      </c>
      <c r="B576" s="63" t="s">
        <v>14127</v>
      </c>
      <c r="C576" s="63" t="s">
        <v>14128</v>
      </c>
      <c r="D576" s="64" t="s">
        <v>12591</v>
      </c>
      <c r="E576" s="63" t="s">
        <v>13618</v>
      </c>
      <c r="F576" s="63" t="s">
        <v>13674</v>
      </c>
      <c r="G576" s="63" t="s">
        <v>13675</v>
      </c>
      <c r="H576" s="63" t="s">
        <v>13924</v>
      </c>
      <c r="I576" s="63" t="s">
        <v>13925</v>
      </c>
    </row>
    <row r="577" spans="1:9" ht="15" customHeight="1" x14ac:dyDescent="0.3">
      <c r="A577" s="63" t="s">
        <v>14129</v>
      </c>
      <c r="B577" s="63" t="s">
        <v>14130</v>
      </c>
      <c r="C577" s="63" t="s">
        <v>14131</v>
      </c>
      <c r="D577" s="64" t="s">
        <v>12591</v>
      </c>
      <c r="E577" s="63" t="s">
        <v>13618</v>
      </c>
      <c r="F577" s="63" t="s">
        <v>13674</v>
      </c>
      <c r="G577" s="63" t="s">
        <v>13675</v>
      </c>
      <c r="H577" s="63" t="s">
        <v>13924</v>
      </c>
      <c r="I577" s="63" t="s">
        <v>13925</v>
      </c>
    </row>
    <row r="578" spans="1:9" ht="15" customHeight="1" x14ac:dyDescent="0.3">
      <c r="A578" s="63" t="s">
        <v>13241</v>
      </c>
      <c r="B578" s="63" t="s">
        <v>13242</v>
      </c>
      <c r="C578" s="63" t="s">
        <v>13243</v>
      </c>
      <c r="D578" s="64" t="s">
        <v>12565</v>
      </c>
      <c r="E578" s="63" t="s">
        <v>13047</v>
      </c>
      <c r="F578" s="63" t="s">
        <v>13069</v>
      </c>
      <c r="G578" s="63" t="s">
        <v>13070</v>
      </c>
      <c r="H578" s="63" t="s">
        <v>13205</v>
      </c>
      <c r="I578" s="63" t="s">
        <v>13206</v>
      </c>
    </row>
    <row r="579" spans="1:9" ht="15" customHeight="1" x14ac:dyDescent="0.3">
      <c r="A579" s="63" t="s">
        <v>15032</v>
      </c>
      <c r="B579" s="63" t="s">
        <v>15033</v>
      </c>
      <c r="C579" s="63" t="s">
        <v>15034</v>
      </c>
      <c r="D579" s="64" t="s">
        <v>12572</v>
      </c>
      <c r="E579" s="63" t="s">
        <v>14386</v>
      </c>
      <c r="F579" s="63" t="s">
        <v>12553</v>
      </c>
      <c r="G579" s="63" t="s">
        <v>14409</v>
      </c>
      <c r="H579" s="63" t="s">
        <v>14705</v>
      </c>
      <c r="I579" s="63" t="s">
        <v>14706</v>
      </c>
    </row>
    <row r="580" spans="1:9" ht="15" customHeight="1" x14ac:dyDescent="0.3">
      <c r="A580" s="63" t="s">
        <v>15035</v>
      </c>
      <c r="B580" s="63" t="s">
        <v>15036</v>
      </c>
      <c r="C580" s="63" t="s">
        <v>15037</v>
      </c>
      <c r="D580" s="64" t="s">
        <v>12572</v>
      </c>
      <c r="E580" s="63" t="s">
        <v>14386</v>
      </c>
      <c r="F580" s="63" t="s">
        <v>12553</v>
      </c>
      <c r="G580" s="63" t="s">
        <v>14409</v>
      </c>
      <c r="H580" s="63" t="s">
        <v>14749</v>
      </c>
      <c r="I580" s="63" t="s">
        <v>14750</v>
      </c>
    </row>
    <row r="581" spans="1:9" ht="15" customHeight="1" x14ac:dyDescent="0.3">
      <c r="A581" s="63" t="s">
        <v>13490</v>
      </c>
      <c r="B581" s="63" t="s">
        <v>13491</v>
      </c>
      <c r="C581" s="63" t="s">
        <v>13492</v>
      </c>
      <c r="D581" s="64" t="s">
        <v>12578</v>
      </c>
      <c r="E581" s="63" t="s">
        <v>13451</v>
      </c>
      <c r="F581" s="63" t="s">
        <v>13452</v>
      </c>
      <c r="G581" s="63" t="s">
        <v>13453</v>
      </c>
      <c r="H581" s="63" t="s">
        <v>13454</v>
      </c>
      <c r="I581" s="63" t="s">
        <v>13455</v>
      </c>
    </row>
    <row r="582" spans="1:9" ht="15" customHeight="1" x14ac:dyDescent="0.3">
      <c r="A582" s="63" t="s">
        <v>14132</v>
      </c>
      <c r="B582" s="63" t="s">
        <v>14133</v>
      </c>
      <c r="C582" s="63" t="s">
        <v>14134</v>
      </c>
      <c r="D582" s="64" t="s">
        <v>12591</v>
      </c>
      <c r="E582" s="63" t="s">
        <v>13618</v>
      </c>
      <c r="F582" s="63" t="s">
        <v>13619</v>
      </c>
      <c r="G582" s="63" t="s">
        <v>13620</v>
      </c>
      <c r="H582" s="63" t="s">
        <v>13621</v>
      </c>
      <c r="I582" s="63" t="s">
        <v>13622</v>
      </c>
    </row>
    <row r="583" spans="1:9" ht="15" customHeight="1" x14ac:dyDescent="0.3">
      <c r="A583" s="63" t="s">
        <v>15038</v>
      </c>
      <c r="B583" s="63" t="s">
        <v>15039</v>
      </c>
      <c r="C583" s="63" t="s">
        <v>15040</v>
      </c>
      <c r="D583" s="64" t="s">
        <v>12572</v>
      </c>
      <c r="E583" s="63" t="s">
        <v>14386</v>
      </c>
      <c r="F583" s="63" t="s">
        <v>12553</v>
      </c>
      <c r="G583" s="63" t="s">
        <v>14409</v>
      </c>
      <c r="H583" s="63" t="s">
        <v>14443</v>
      </c>
      <c r="I583" s="63" t="s">
        <v>14444</v>
      </c>
    </row>
    <row r="584" spans="1:9" ht="15" customHeight="1" x14ac:dyDescent="0.3">
      <c r="A584" s="63" t="s">
        <v>15041</v>
      </c>
      <c r="B584" s="63" t="s">
        <v>15042</v>
      </c>
      <c r="C584" s="63" t="s">
        <v>15043</v>
      </c>
      <c r="D584" s="64" t="s">
        <v>12572</v>
      </c>
      <c r="E584" s="63" t="s">
        <v>14386</v>
      </c>
      <c r="F584" s="63" t="s">
        <v>14387</v>
      </c>
      <c r="G584" s="63" t="s">
        <v>14388</v>
      </c>
      <c r="H584" s="63" t="s">
        <v>14399</v>
      </c>
      <c r="I584" s="63" t="s">
        <v>14400</v>
      </c>
    </row>
    <row r="585" spans="1:9" ht="15" customHeight="1" x14ac:dyDescent="0.3">
      <c r="A585" s="63" t="s">
        <v>14135</v>
      </c>
      <c r="B585" s="63" t="s">
        <v>14136</v>
      </c>
      <c r="C585" s="63" t="s">
        <v>14137</v>
      </c>
      <c r="D585" s="64" t="s">
        <v>12591</v>
      </c>
      <c r="E585" s="63" t="s">
        <v>13618</v>
      </c>
      <c r="F585" s="63" t="s">
        <v>13698</v>
      </c>
      <c r="G585" s="63" t="s">
        <v>13699</v>
      </c>
      <c r="H585" s="63" t="s">
        <v>13822</v>
      </c>
      <c r="I585" s="63" t="s">
        <v>13823</v>
      </c>
    </row>
    <row r="586" spans="1:9" ht="15" customHeight="1" x14ac:dyDescent="0.3">
      <c r="A586" s="63" t="s">
        <v>14138</v>
      </c>
      <c r="B586" s="63" t="s">
        <v>14139</v>
      </c>
      <c r="C586" s="63" t="s">
        <v>14140</v>
      </c>
      <c r="D586" s="64" t="s">
        <v>12591</v>
      </c>
      <c r="E586" s="63" t="s">
        <v>13618</v>
      </c>
      <c r="F586" s="63" t="s">
        <v>13684</v>
      </c>
      <c r="G586" s="63" t="s">
        <v>13685</v>
      </c>
      <c r="H586" s="63" t="s">
        <v>13792</v>
      </c>
      <c r="I586" s="63" t="s">
        <v>13793</v>
      </c>
    </row>
    <row r="587" spans="1:9" ht="15" customHeight="1" x14ac:dyDescent="0.3">
      <c r="A587" s="63" t="s">
        <v>14141</v>
      </c>
      <c r="B587" s="63" t="s">
        <v>14142</v>
      </c>
      <c r="C587" s="63" t="s">
        <v>14143</v>
      </c>
      <c r="D587" s="64" t="s">
        <v>12591</v>
      </c>
      <c r="E587" s="63" t="s">
        <v>13618</v>
      </c>
      <c r="F587" s="63" t="s">
        <v>13684</v>
      </c>
      <c r="G587" s="63" t="s">
        <v>13685</v>
      </c>
      <c r="H587" s="63" t="s">
        <v>13792</v>
      </c>
      <c r="I587" s="63" t="s">
        <v>13793</v>
      </c>
    </row>
    <row r="588" spans="1:9" ht="15" customHeight="1" x14ac:dyDescent="0.3">
      <c r="A588" s="63" t="s">
        <v>14144</v>
      </c>
      <c r="B588" s="63" t="s">
        <v>14145</v>
      </c>
      <c r="C588" s="63" t="s">
        <v>14146</v>
      </c>
      <c r="D588" s="64" t="s">
        <v>12591</v>
      </c>
      <c r="E588" s="63" t="s">
        <v>13618</v>
      </c>
      <c r="F588" s="63" t="s">
        <v>13684</v>
      </c>
      <c r="G588" s="63" t="s">
        <v>13685</v>
      </c>
      <c r="H588" s="63" t="s">
        <v>13792</v>
      </c>
      <c r="I588" s="63" t="s">
        <v>13793</v>
      </c>
    </row>
    <row r="589" spans="1:9" ht="15" customHeight="1" x14ac:dyDescent="0.3">
      <c r="A589" s="63" t="s">
        <v>14147</v>
      </c>
      <c r="B589" s="63" t="s">
        <v>14148</v>
      </c>
      <c r="C589" s="63" t="s">
        <v>14149</v>
      </c>
      <c r="D589" s="64" t="s">
        <v>12591</v>
      </c>
      <c r="E589" s="63" t="s">
        <v>13618</v>
      </c>
      <c r="F589" s="63" t="s">
        <v>13691</v>
      </c>
      <c r="G589" s="63" t="s">
        <v>13692</v>
      </c>
      <c r="H589" s="63" t="s">
        <v>14150</v>
      </c>
      <c r="I589" s="63" t="s">
        <v>14151</v>
      </c>
    </row>
    <row r="590" spans="1:9" ht="15" customHeight="1" x14ac:dyDescent="0.3">
      <c r="A590" s="63" t="s">
        <v>13409</v>
      </c>
      <c r="B590" s="63" t="s">
        <v>13410</v>
      </c>
      <c r="C590" s="63" t="s">
        <v>13411</v>
      </c>
      <c r="D590" s="64" t="s">
        <v>12585</v>
      </c>
      <c r="E590" s="63" t="s">
        <v>13279</v>
      </c>
      <c r="F590" s="63" t="s">
        <v>13344</v>
      </c>
      <c r="G590" s="63" t="s">
        <v>13345</v>
      </c>
      <c r="H590" s="63" t="s">
        <v>13381</v>
      </c>
      <c r="I590" s="63" t="s">
        <v>13382</v>
      </c>
    </row>
    <row r="591" spans="1:9" ht="15" customHeight="1" x14ac:dyDescent="0.3">
      <c r="A591" s="63" t="s">
        <v>14215</v>
      </c>
      <c r="B591" s="63" t="s">
        <v>14216</v>
      </c>
      <c r="C591" s="63" t="s">
        <v>14217</v>
      </c>
      <c r="D591" s="64" t="s">
        <v>12593</v>
      </c>
      <c r="E591" s="63" t="s">
        <v>14218</v>
      </c>
      <c r="F591" s="63" t="s">
        <v>12555</v>
      </c>
      <c r="G591" s="63" t="s">
        <v>12593</v>
      </c>
      <c r="H591" s="63" t="s">
        <v>14219</v>
      </c>
      <c r="I591" s="63" t="s">
        <v>14220</v>
      </c>
    </row>
    <row r="592" spans="1:9" ht="15" customHeight="1" x14ac:dyDescent="0.3">
      <c r="A592" s="63" t="s">
        <v>14152</v>
      </c>
      <c r="B592" s="63" t="s">
        <v>14153</v>
      </c>
      <c r="C592" s="63" t="s">
        <v>14154</v>
      </c>
      <c r="D592" s="64" t="s">
        <v>12591</v>
      </c>
      <c r="E592" s="63" t="s">
        <v>13618</v>
      </c>
      <c r="F592" s="63" t="s">
        <v>13619</v>
      </c>
      <c r="G592" s="63" t="s">
        <v>13620</v>
      </c>
      <c r="H592" s="63" t="s">
        <v>13621</v>
      </c>
      <c r="I592" s="63" t="s">
        <v>13622</v>
      </c>
    </row>
    <row r="593" spans="1:9" ht="15" customHeight="1" x14ac:dyDescent="0.3">
      <c r="A593" s="63" t="s">
        <v>12873</v>
      </c>
      <c r="B593" s="63" t="s">
        <v>12874</v>
      </c>
      <c r="C593" s="63" t="s">
        <v>12875</v>
      </c>
      <c r="D593" s="64" t="s">
        <v>12562</v>
      </c>
      <c r="E593" s="63" t="s">
        <v>12855</v>
      </c>
      <c r="F593" s="63" t="s">
        <v>12855</v>
      </c>
      <c r="G593" s="63" t="s">
        <v>12562</v>
      </c>
      <c r="H593" s="63" t="s">
        <v>12809</v>
      </c>
      <c r="I593" s="63" t="s">
        <v>12810</v>
      </c>
    </row>
    <row r="594" spans="1:9" ht="15" customHeight="1" x14ac:dyDescent="0.3">
      <c r="A594" s="63" t="s">
        <v>12687</v>
      </c>
      <c r="B594" s="63" t="s">
        <v>12688</v>
      </c>
      <c r="C594" s="63" t="s">
        <v>12689</v>
      </c>
      <c r="D594" s="64" t="s">
        <v>12574</v>
      </c>
      <c r="E594" s="63" t="s">
        <v>12616</v>
      </c>
      <c r="F594" s="63" t="s">
        <v>12632</v>
      </c>
      <c r="G594" s="63" t="s">
        <v>12633</v>
      </c>
      <c r="H594" s="63" t="s">
        <v>12690</v>
      </c>
      <c r="I594" s="63" t="s">
        <v>12691</v>
      </c>
    </row>
    <row r="595" spans="1:9" ht="15" customHeight="1" x14ac:dyDescent="0.3">
      <c r="A595" s="63" t="s">
        <v>14350</v>
      </c>
      <c r="B595" s="63" t="s">
        <v>14351</v>
      </c>
      <c r="C595" s="63" t="s">
        <v>14352</v>
      </c>
      <c r="D595" s="64" t="s">
        <v>12567</v>
      </c>
      <c r="E595" s="63" t="s">
        <v>14224</v>
      </c>
      <c r="F595" s="63" t="s">
        <v>14225</v>
      </c>
      <c r="G595" s="63" t="s">
        <v>12570</v>
      </c>
      <c r="H595" s="63" t="s">
        <v>14353</v>
      </c>
      <c r="I595" s="63" t="s">
        <v>14354</v>
      </c>
    </row>
    <row r="596" spans="1:9" ht="15" customHeight="1" x14ac:dyDescent="0.3">
      <c r="A596" s="63" t="s">
        <v>14355</v>
      </c>
      <c r="B596" s="63" t="s">
        <v>14356</v>
      </c>
      <c r="C596" s="63" t="s">
        <v>14357</v>
      </c>
      <c r="D596" s="64" t="s">
        <v>12567</v>
      </c>
      <c r="E596" s="63" t="s">
        <v>14224</v>
      </c>
      <c r="F596" s="63" t="s">
        <v>14225</v>
      </c>
      <c r="G596" s="63" t="s">
        <v>12570</v>
      </c>
      <c r="H596" s="63" t="s">
        <v>14358</v>
      </c>
      <c r="I596" s="63" t="s">
        <v>14359</v>
      </c>
    </row>
    <row r="597" spans="1:9" ht="15" customHeight="1" x14ac:dyDescent="0.3">
      <c r="A597" s="63" t="s">
        <v>15044</v>
      </c>
      <c r="B597" s="63" t="s">
        <v>15045</v>
      </c>
      <c r="C597" s="63" t="s">
        <v>15045</v>
      </c>
      <c r="D597" s="64" t="s">
        <v>12572</v>
      </c>
      <c r="E597" s="63" t="s">
        <v>14386</v>
      </c>
      <c r="F597" s="63" t="s">
        <v>15046</v>
      </c>
      <c r="G597" s="63" t="s">
        <v>15047</v>
      </c>
      <c r="H597" s="63" t="s">
        <v>15048</v>
      </c>
      <c r="I597" s="63" t="s">
        <v>15049</v>
      </c>
    </row>
    <row r="598" spans="1:9" ht="15" customHeight="1" x14ac:dyDescent="0.3">
      <c r="A598" s="63" t="s">
        <v>14360</v>
      </c>
      <c r="B598" s="63" t="s">
        <v>14361</v>
      </c>
      <c r="C598" s="63" t="s">
        <v>14362</v>
      </c>
      <c r="D598" s="64" t="s">
        <v>12567</v>
      </c>
      <c r="E598" s="63" t="s">
        <v>14224</v>
      </c>
      <c r="F598" s="63" t="s">
        <v>14225</v>
      </c>
      <c r="G598" s="63" t="s">
        <v>12570</v>
      </c>
      <c r="H598" s="63" t="s">
        <v>6398</v>
      </c>
      <c r="I598" s="63" t="s">
        <v>12731</v>
      </c>
    </row>
    <row r="599" spans="1:9" ht="15" customHeight="1" x14ac:dyDescent="0.3">
      <c r="A599" s="63" t="s">
        <v>14363</v>
      </c>
      <c r="B599" s="63" t="s">
        <v>14364</v>
      </c>
      <c r="C599" s="63" t="s">
        <v>14365</v>
      </c>
      <c r="D599" s="64" t="s">
        <v>12567</v>
      </c>
      <c r="E599" s="63" t="s">
        <v>14224</v>
      </c>
      <c r="F599" s="63" t="s">
        <v>14225</v>
      </c>
      <c r="G599" s="63" t="s">
        <v>12570</v>
      </c>
      <c r="H599" s="63" t="s">
        <v>6398</v>
      </c>
      <c r="I599" s="63" t="s">
        <v>12731</v>
      </c>
    </row>
    <row r="600" spans="1:9" ht="15" customHeight="1" x14ac:dyDescent="0.3">
      <c r="A600" s="63" t="s">
        <v>14366</v>
      </c>
      <c r="B600" s="63" t="s">
        <v>14367</v>
      </c>
      <c r="C600" s="63" t="s">
        <v>14368</v>
      </c>
      <c r="D600" s="64" t="s">
        <v>12567</v>
      </c>
      <c r="E600" s="63" t="s">
        <v>14224</v>
      </c>
      <c r="F600" s="63" t="s">
        <v>14225</v>
      </c>
      <c r="G600" s="63" t="s">
        <v>12570</v>
      </c>
      <c r="H600" s="63" t="s">
        <v>6398</v>
      </c>
      <c r="I600" s="63" t="s">
        <v>12731</v>
      </c>
    </row>
    <row r="601" spans="1:9" ht="15" customHeight="1" x14ac:dyDescent="0.3">
      <c r="A601" s="63" t="s">
        <v>13031</v>
      </c>
      <c r="B601" s="63" t="s">
        <v>13032</v>
      </c>
      <c r="C601" s="63" t="s">
        <v>13033</v>
      </c>
      <c r="D601" s="64" t="s">
        <v>12594</v>
      </c>
      <c r="E601" s="63" t="s">
        <v>13028</v>
      </c>
      <c r="F601" s="63" t="s">
        <v>13034</v>
      </c>
      <c r="G601" s="63" t="s">
        <v>13035</v>
      </c>
      <c r="H601" s="63" t="s">
        <v>13036</v>
      </c>
      <c r="I601" s="63" t="s">
        <v>13037</v>
      </c>
    </row>
    <row r="602" spans="1:9" ht="15" customHeight="1" x14ac:dyDescent="0.3">
      <c r="A602" s="63" t="s">
        <v>13038</v>
      </c>
      <c r="B602" s="63" t="s">
        <v>13039</v>
      </c>
      <c r="C602" s="63" t="s">
        <v>13040</v>
      </c>
      <c r="D602" s="64" t="s">
        <v>12594</v>
      </c>
      <c r="E602" s="63" t="s">
        <v>13028</v>
      </c>
      <c r="F602" s="63" t="s">
        <v>13041</v>
      </c>
      <c r="G602" s="63" t="s">
        <v>13042</v>
      </c>
      <c r="H602" s="63" t="s">
        <v>13043</v>
      </c>
      <c r="I602" s="63" t="s">
        <v>9021</v>
      </c>
    </row>
    <row r="603" spans="1:9" ht="15" customHeight="1" x14ac:dyDescent="0.3">
      <c r="A603" s="63" t="s">
        <v>12768</v>
      </c>
      <c r="B603" s="63" t="s">
        <v>12769</v>
      </c>
      <c r="C603" s="63" t="s">
        <v>12770</v>
      </c>
      <c r="D603" s="64" t="s">
        <v>12586</v>
      </c>
      <c r="E603" s="63" t="s">
        <v>12729</v>
      </c>
      <c r="F603" s="63" t="s">
        <v>12730</v>
      </c>
      <c r="G603" s="63" t="s">
        <v>12587</v>
      </c>
      <c r="H603" s="63" t="s">
        <v>12741</v>
      </c>
      <c r="I603" s="63" t="s">
        <v>12742</v>
      </c>
    </row>
    <row r="604" spans="1:9" ht="15" customHeight="1" x14ac:dyDescent="0.3">
      <c r="A604" s="63" t="s">
        <v>12781</v>
      </c>
      <c r="B604" s="63" t="s">
        <v>12782</v>
      </c>
      <c r="C604" s="63" t="s">
        <v>12783</v>
      </c>
      <c r="D604" s="64" t="s">
        <v>12590</v>
      </c>
      <c r="E604" s="63" t="s">
        <v>12779</v>
      </c>
      <c r="F604" s="63" t="s">
        <v>12779</v>
      </c>
      <c r="G604" s="63" t="s">
        <v>12590</v>
      </c>
      <c r="H604" s="63" t="s">
        <v>12780</v>
      </c>
      <c r="I604" s="63" t="s">
        <v>12550</v>
      </c>
    </row>
    <row r="605" spans="1:9" ht="15" customHeight="1" x14ac:dyDescent="0.3">
      <c r="A605" s="63" t="s">
        <v>12846</v>
      </c>
      <c r="B605" s="63" t="s">
        <v>12847</v>
      </c>
      <c r="C605" s="63" t="s">
        <v>12848</v>
      </c>
      <c r="D605" s="64" t="s">
        <v>12559</v>
      </c>
      <c r="E605" s="63" t="s">
        <v>12849</v>
      </c>
      <c r="F605" s="63" t="s">
        <v>12849</v>
      </c>
      <c r="G605" s="63" t="s">
        <v>12559</v>
      </c>
      <c r="H605" s="63" t="s">
        <v>12850</v>
      </c>
      <c r="I605" s="63" t="s">
        <v>12851</v>
      </c>
    </row>
    <row r="606" spans="1:9" ht="15" customHeight="1" x14ac:dyDescent="0.3">
      <c r="A606" s="63" t="s">
        <v>15068</v>
      </c>
      <c r="B606" s="63" t="s">
        <v>15069</v>
      </c>
      <c r="C606" s="63" t="s">
        <v>15070</v>
      </c>
      <c r="D606" s="64" t="s">
        <v>12573</v>
      </c>
      <c r="E606" s="63" t="s">
        <v>15059</v>
      </c>
      <c r="F606" s="63" t="s">
        <v>15071</v>
      </c>
      <c r="G606" s="63" t="s">
        <v>15072</v>
      </c>
      <c r="H606" s="63" t="s">
        <v>6333</v>
      </c>
      <c r="I606" s="63" t="s">
        <v>15073</v>
      </c>
    </row>
    <row r="607" spans="1:9" ht="15" customHeight="1" x14ac:dyDescent="0.3">
      <c r="A607" s="63" t="s">
        <v>13493</v>
      </c>
      <c r="B607" s="63" t="s">
        <v>13494</v>
      </c>
      <c r="C607" s="63" t="s">
        <v>13495</v>
      </c>
      <c r="D607" s="64" t="s">
        <v>12578</v>
      </c>
      <c r="E607" s="63" t="s">
        <v>13451</v>
      </c>
      <c r="F607" s="63" t="s">
        <v>13452</v>
      </c>
      <c r="G607" s="63" t="s">
        <v>13453</v>
      </c>
      <c r="H607" s="63" t="s">
        <v>13454</v>
      </c>
      <c r="I607" s="63" t="s">
        <v>13455</v>
      </c>
    </row>
    <row r="608" spans="1:9" ht="15" customHeight="1" x14ac:dyDescent="0.3">
      <c r="A608" s="63" t="s">
        <v>13496</v>
      </c>
      <c r="B608" s="63" t="s">
        <v>13497</v>
      </c>
      <c r="C608" s="63" t="s">
        <v>13498</v>
      </c>
      <c r="D608" s="64" t="s">
        <v>12578</v>
      </c>
      <c r="E608" s="63" t="s">
        <v>13451</v>
      </c>
      <c r="F608" s="63" t="s">
        <v>12554</v>
      </c>
      <c r="G608" s="63" t="s">
        <v>13499</v>
      </c>
      <c r="H608" s="63" t="s">
        <v>13454</v>
      </c>
      <c r="I608" s="63" t="s">
        <v>13455</v>
      </c>
    </row>
    <row r="609" spans="1:9" ht="15" customHeight="1" x14ac:dyDescent="0.3">
      <c r="A609" s="63" t="s">
        <v>13500</v>
      </c>
      <c r="B609" s="63" t="s">
        <v>13501</v>
      </c>
      <c r="C609" s="63" t="s">
        <v>13502</v>
      </c>
      <c r="D609" s="64" t="s">
        <v>12578</v>
      </c>
      <c r="E609" s="63" t="s">
        <v>13451</v>
      </c>
      <c r="F609" s="63" t="s">
        <v>13452</v>
      </c>
      <c r="G609" s="63" t="s">
        <v>13453</v>
      </c>
      <c r="H609" s="63" t="s">
        <v>13454</v>
      </c>
      <c r="I609" s="63" t="s">
        <v>13455</v>
      </c>
    </row>
    <row r="610" spans="1:9" ht="15" customHeight="1" x14ac:dyDescent="0.3">
      <c r="A610" s="63" t="s">
        <v>14369</v>
      </c>
      <c r="B610" s="63" t="s">
        <v>14370</v>
      </c>
      <c r="C610" s="63" t="s">
        <v>14371</v>
      </c>
      <c r="D610" s="64" t="s">
        <v>12567</v>
      </c>
      <c r="E610" s="63" t="s">
        <v>14224</v>
      </c>
      <c r="F610" s="63" t="s">
        <v>14225</v>
      </c>
      <c r="G610" s="63" t="s">
        <v>12570</v>
      </c>
      <c r="H610" s="63" t="s">
        <v>6398</v>
      </c>
      <c r="I610" s="63" t="s">
        <v>12731</v>
      </c>
    </row>
    <row r="611" spans="1:9" ht="15" customHeight="1" x14ac:dyDescent="0.3">
      <c r="A611" s="63" t="s">
        <v>14372</v>
      </c>
      <c r="B611" s="63" t="s">
        <v>14373</v>
      </c>
      <c r="C611" s="63" t="s">
        <v>14374</v>
      </c>
      <c r="D611" s="64" t="s">
        <v>12567</v>
      </c>
      <c r="E611" s="63" t="s">
        <v>14224</v>
      </c>
      <c r="F611" s="63" t="s">
        <v>14225</v>
      </c>
      <c r="G611" s="63" t="s">
        <v>12570</v>
      </c>
      <c r="H611" s="63" t="s">
        <v>14375</v>
      </c>
      <c r="I611" s="63" t="s">
        <v>14376</v>
      </c>
    </row>
    <row r="612" spans="1:9" ht="15" customHeight="1" x14ac:dyDescent="0.3">
      <c r="A612" s="63" t="s">
        <v>14377</v>
      </c>
      <c r="B612" s="63" t="s">
        <v>14378</v>
      </c>
      <c r="C612" s="63" t="s">
        <v>14379</v>
      </c>
      <c r="D612" s="64" t="s">
        <v>12567</v>
      </c>
      <c r="E612" s="63" t="s">
        <v>14224</v>
      </c>
      <c r="F612" s="63" t="s">
        <v>14225</v>
      </c>
      <c r="G612" s="63" t="s">
        <v>12570</v>
      </c>
      <c r="H612" s="63" t="s">
        <v>6398</v>
      </c>
      <c r="I612" s="63" t="s">
        <v>12731</v>
      </c>
    </row>
    <row r="613" spans="1:9" ht="15" customHeight="1" x14ac:dyDescent="0.3">
      <c r="A613" s="63" t="s">
        <v>14155</v>
      </c>
      <c r="B613" s="63" t="s">
        <v>14156</v>
      </c>
      <c r="C613" s="63" t="s">
        <v>14157</v>
      </c>
      <c r="D613" s="64" t="s">
        <v>12591</v>
      </c>
      <c r="E613" s="63" t="s">
        <v>13618</v>
      </c>
      <c r="F613" s="63" t="s">
        <v>13619</v>
      </c>
      <c r="G613" s="63" t="s">
        <v>13620</v>
      </c>
      <c r="H613" s="63" t="s">
        <v>13621</v>
      </c>
      <c r="I613" s="63" t="s">
        <v>13622</v>
      </c>
    </row>
    <row r="614" spans="1:9" ht="15" customHeight="1" x14ac:dyDescent="0.3">
      <c r="A614" s="63" t="s">
        <v>15050</v>
      </c>
      <c r="B614" s="63" t="s">
        <v>15051</v>
      </c>
      <c r="C614" s="63" t="s">
        <v>15052</v>
      </c>
      <c r="D614" s="64" t="s">
        <v>12572</v>
      </c>
      <c r="E614" s="63" t="s">
        <v>14386</v>
      </c>
      <c r="F614" s="63" t="s">
        <v>14505</v>
      </c>
      <c r="G614" s="63" t="s">
        <v>14506</v>
      </c>
      <c r="H614" s="63" t="s">
        <v>14661</v>
      </c>
      <c r="I614" s="63" t="s">
        <v>14662</v>
      </c>
    </row>
    <row r="615" spans="1:9" ht="15" customHeight="1" x14ac:dyDescent="0.3">
      <c r="A615" s="63" t="s">
        <v>14158</v>
      </c>
      <c r="B615" s="63" t="s">
        <v>14159</v>
      </c>
      <c r="C615" s="63" t="s">
        <v>14160</v>
      </c>
      <c r="D615" s="64" t="s">
        <v>12591</v>
      </c>
      <c r="E615" s="63" t="s">
        <v>13618</v>
      </c>
      <c r="F615" s="63" t="s">
        <v>14161</v>
      </c>
      <c r="G615" s="63" t="s">
        <v>14162</v>
      </c>
      <c r="H615" s="63" t="s">
        <v>14163</v>
      </c>
      <c r="I615" s="63" t="s">
        <v>12707</v>
      </c>
    </row>
    <row r="616" spans="1:9" ht="15" customHeight="1" x14ac:dyDescent="0.3">
      <c r="A616" s="63" t="s">
        <v>13438</v>
      </c>
      <c r="B616" s="63" t="s">
        <v>13439</v>
      </c>
      <c r="C616" s="63" t="s">
        <v>13439</v>
      </c>
      <c r="D616" s="64" t="s">
        <v>13415</v>
      </c>
      <c r="E616" s="63" t="s">
        <v>13416</v>
      </c>
      <c r="F616" s="63" t="s">
        <v>12548</v>
      </c>
      <c r="G616" s="63" t="s">
        <v>12583</v>
      </c>
      <c r="H616" s="63" t="s">
        <v>13440</v>
      </c>
      <c r="I616" s="63" t="s">
        <v>13441</v>
      </c>
    </row>
    <row r="617" spans="1:9" ht="15" customHeight="1" x14ac:dyDescent="0.3">
      <c r="A617" s="63" t="s">
        <v>14164</v>
      </c>
      <c r="B617" s="63" t="s">
        <v>14165</v>
      </c>
      <c r="C617" s="63" t="s">
        <v>14166</v>
      </c>
      <c r="D617" s="64" t="s">
        <v>12591</v>
      </c>
      <c r="E617" s="63" t="s">
        <v>13618</v>
      </c>
      <c r="F617" s="63" t="s">
        <v>13619</v>
      </c>
      <c r="G617" s="63" t="s">
        <v>13620</v>
      </c>
      <c r="H617" s="63" t="s">
        <v>13621</v>
      </c>
      <c r="I617" s="63" t="s">
        <v>13622</v>
      </c>
    </row>
    <row r="618" spans="1:9" ht="15" customHeight="1" x14ac:dyDescent="0.3">
      <c r="A618" s="63" t="s">
        <v>14167</v>
      </c>
      <c r="B618" s="63" t="s">
        <v>14168</v>
      </c>
      <c r="C618" s="63" t="s">
        <v>14169</v>
      </c>
      <c r="D618" s="64" t="s">
        <v>12591</v>
      </c>
      <c r="E618" s="63" t="s">
        <v>13618</v>
      </c>
      <c r="F618" s="63" t="s">
        <v>13619</v>
      </c>
      <c r="G618" s="63" t="s">
        <v>13620</v>
      </c>
      <c r="H618" s="63" t="s">
        <v>13621</v>
      </c>
      <c r="I618" s="63" t="s">
        <v>13622</v>
      </c>
    </row>
    <row r="619" spans="1:9" ht="15" customHeight="1" x14ac:dyDescent="0.3">
      <c r="A619" s="63" t="s">
        <v>14170</v>
      </c>
      <c r="B619" s="63" t="s">
        <v>14171</v>
      </c>
      <c r="C619" s="63" t="s">
        <v>14172</v>
      </c>
      <c r="D619" s="64" t="s">
        <v>12591</v>
      </c>
      <c r="E619" s="63" t="s">
        <v>13618</v>
      </c>
      <c r="F619" s="63" t="s">
        <v>13619</v>
      </c>
      <c r="G619" s="63" t="s">
        <v>13620</v>
      </c>
      <c r="H619" s="63" t="s">
        <v>13621</v>
      </c>
      <c r="I619" s="63" t="s">
        <v>13622</v>
      </c>
    </row>
    <row r="620" spans="1:9" ht="15" customHeight="1" x14ac:dyDescent="0.3">
      <c r="A620" s="63" t="s">
        <v>14173</v>
      </c>
      <c r="B620" s="63" t="s">
        <v>14174</v>
      </c>
      <c r="C620" s="63" t="s">
        <v>14175</v>
      </c>
      <c r="D620" s="64" t="s">
        <v>12591</v>
      </c>
      <c r="E620" s="63" t="s">
        <v>13618</v>
      </c>
      <c r="F620" s="63" t="s">
        <v>13619</v>
      </c>
      <c r="G620" s="63" t="s">
        <v>13620</v>
      </c>
      <c r="H620" s="63" t="s">
        <v>13621</v>
      </c>
      <c r="I620" s="63" t="s">
        <v>13622</v>
      </c>
    </row>
    <row r="621" spans="1:9" ht="15" customHeight="1" x14ac:dyDescent="0.3">
      <c r="A621" s="63" t="s">
        <v>14176</v>
      </c>
      <c r="B621" s="63" t="s">
        <v>14177</v>
      </c>
      <c r="C621" s="63" t="s">
        <v>14178</v>
      </c>
      <c r="D621" s="64" t="s">
        <v>12591</v>
      </c>
      <c r="E621" s="63" t="s">
        <v>13618</v>
      </c>
      <c r="F621" s="63" t="s">
        <v>13684</v>
      </c>
      <c r="G621" s="63" t="s">
        <v>13685</v>
      </c>
      <c r="H621" s="63" t="s">
        <v>13792</v>
      </c>
      <c r="I621" s="63" t="s">
        <v>13793</v>
      </c>
    </row>
    <row r="622" spans="1:9" ht="15" customHeight="1" x14ac:dyDescent="0.3">
      <c r="A622" s="63" t="s">
        <v>14179</v>
      </c>
      <c r="B622" s="63" t="s">
        <v>14180</v>
      </c>
      <c r="C622" s="63" t="s">
        <v>14181</v>
      </c>
      <c r="D622" s="64" t="s">
        <v>12591</v>
      </c>
      <c r="E622" s="63" t="s">
        <v>13618</v>
      </c>
      <c r="F622" s="63" t="s">
        <v>13684</v>
      </c>
      <c r="G622" s="63" t="s">
        <v>13685</v>
      </c>
      <c r="H622" s="63" t="s">
        <v>13792</v>
      </c>
      <c r="I622" s="63" t="s">
        <v>13793</v>
      </c>
    </row>
    <row r="623" spans="1:9" ht="15" customHeight="1" x14ac:dyDescent="0.3">
      <c r="A623" s="63" t="s">
        <v>14182</v>
      </c>
      <c r="B623" s="63" t="s">
        <v>14183</v>
      </c>
      <c r="C623" s="63" t="s">
        <v>14184</v>
      </c>
      <c r="D623" s="64" t="s">
        <v>12591</v>
      </c>
      <c r="E623" s="63" t="s">
        <v>13618</v>
      </c>
      <c r="F623" s="63" t="s">
        <v>13684</v>
      </c>
      <c r="G623" s="63" t="s">
        <v>13685</v>
      </c>
      <c r="H623" s="63" t="s">
        <v>13792</v>
      </c>
      <c r="I623" s="63" t="s">
        <v>13793</v>
      </c>
    </row>
    <row r="624" spans="1:9" ht="15" customHeight="1" x14ac:dyDescent="0.3">
      <c r="A624" s="63" t="s">
        <v>12692</v>
      </c>
      <c r="B624" s="63" t="s">
        <v>12693</v>
      </c>
      <c r="C624" s="63" t="s">
        <v>12694</v>
      </c>
      <c r="D624" s="64" t="s">
        <v>12566</v>
      </c>
      <c r="E624" s="63" t="s">
        <v>12695</v>
      </c>
      <c r="F624" s="63" t="s">
        <v>12696</v>
      </c>
      <c r="G624" s="63" t="s">
        <v>12697</v>
      </c>
      <c r="H624" s="63" t="s">
        <v>12698</v>
      </c>
      <c r="I624" s="63" t="s">
        <v>12699</v>
      </c>
    </row>
    <row r="625" spans="1:9" ht="15" customHeight="1" x14ac:dyDescent="0.3">
      <c r="A625" s="63" t="s">
        <v>13442</v>
      </c>
      <c r="B625" s="63" t="s">
        <v>13443</v>
      </c>
      <c r="C625" s="63" t="s">
        <v>13443</v>
      </c>
      <c r="D625" s="64" t="s">
        <v>13415</v>
      </c>
      <c r="E625" s="63" t="s">
        <v>13416</v>
      </c>
      <c r="F625" s="63" t="s">
        <v>12548</v>
      </c>
      <c r="G625" s="63" t="s">
        <v>12583</v>
      </c>
      <c r="H625" s="63" t="s">
        <v>13428</v>
      </c>
      <c r="I625" s="63" t="s">
        <v>13444</v>
      </c>
    </row>
    <row r="626" spans="1:9" ht="15" customHeight="1" x14ac:dyDescent="0.3">
      <c r="A626" s="63" t="s">
        <v>15053</v>
      </c>
      <c r="B626" s="63" t="s">
        <v>15054</v>
      </c>
      <c r="C626" s="63" t="s">
        <v>15055</v>
      </c>
      <c r="D626" s="64" t="s">
        <v>12572</v>
      </c>
      <c r="E626" s="63" t="s">
        <v>14386</v>
      </c>
      <c r="F626" s="63" t="s">
        <v>14387</v>
      </c>
      <c r="G626" s="63" t="s">
        <v>14388</v>
      </c>
      <c r="H626" s="63" t="s">
        <v>14399</v>
      </c>
      <c r="I626" s="63" t="s">
        <v>14400</v>
      </c>
    </row>
    <row r="627" spans="1:9" ht="15" customHeight="1" x14ac:dyDescent="0.3">
      <c r="A627" s="63" t="s">
        <v>14185</v>
      </c>
      <c r="B627" s="63" t="s">
        <v>14186</v>
      </c>
      <c r="C627" s="63" t="s">
        <v>14187</v>
      </c>
      <c r="D627" s="64" t="s">
        <v>12591</v>
      </c>
      <c r="E627" s="63" t="s">
        <v>13618</v>
      </c>
      <c r="F627" s="63" t="s">
        <v>13684</v>
      </c>
      <c r="G627" s="63" t="s">
        <v>13685</v>
      </c>
      <c r="H627" s="63" t="s">
        <v>13792</v>
      </c>
      <c r="I627" s="63" t="s">
        <v>13793</v>
      </c>
    </row>
    <row r="628" spans="1:9" ht="15" customHeight="1" x14ac:dyDescent="0.3">
      <c r="A628" s="63" t="s">
        <v>14188</v>
      </c>
      <c r="B628" s="63" t="s">
        <v>14189</v>
      </c>
      <c r="C628" s="63" t="s">
        <v>14190</v>
      </c>
      <c r="D628" s="64" t="s">
        <v>12591</v>
      </c>
      <c r="E628" s="63" t="s">
        <v>13618</v>
      </c>
      <c r="F628" s="63" t="s">
        <v>13619</v>
      </c>
      <c r="G628" s="63" t="s">
        <v>13620</v>
      </c>
      <c r="H628" s="63" t="s">
        <v>13621</v>
      </c>
      <c r="I628" s="63" t="s">
        <v>13622</v>
      </c>
    </row>
    <row r="629" spans="1:9" ht="15" customHeight="1" x14ac:dyDescent="0.3">
      <c r="A629" s="63" t="s">
        <v>14191</v>
      </c>
      <c r="B629" s="63" t="s">
        <v>14192</v>
      </c>
      <c r="C629" s="63" t="s">
        <v>14193</v>
      </c>
      <c r="D629" s="64" t="s">
        <v>12591</v>
      </c>
      <c r="E629" s="63" t="s">
        <v>13618</v>
      </c>
      <c r="F629" s="63" t="s">
        <v>13619</v>
      </c>
      <c r="G629" s="63" t="s">
        <v>13620</v>
      </c>
      <c r="H629" s="63" t="s">
        <v>13621</v>
      </c>
      <c r="I629" s="63" t="s">
        <v>13622</v>
      </c>
    </row>
    <row r="630" spans="1:9" ht="15" customHeight="1" x14ac:dyDescent="0.3">
      <c r="A630" s="63" t="s">
        <v>14194</v>
      </c>
      <c r="B630" s="63" t="s">
        <v>14195</v>
      </c>
      <c r="C630" s="63" t="s">
        <v>14196</v>
      </c>
      <c r="D630" s="64" t="s">
        <v>12591</v>
      </c>
      <c r="E630" s="63" t="s">
        <v>13618</v>
      </c>
      <c r="F630" s="63" t="s">
        <v>13619</v>
      </c>
      <c r="G630" s="63" t="s">
        <v>13620</v>
      </c>
      <c r="H630" s="63" t="s">
        <v>13621</v>
      </c>
      <c r="I630" s="63" t="s">
        <v>13622</v>
      </c>
    </row>
    <row r="631" spans="1:9" ht="15" customHeight="1" x14ac:dyDescent="0.3">
      <c r="A631" s="63" t="s">
        <v>14197</v>
      </c>
      <c r="B631" s="63" t="s">
        <v>14198</v>
      </c>
      <c r="C631" s="63" t="s">
        <v>14199</v>
      </c>
      <c r="D631" s="64" t="s">
        <v>12591</v>
      </c>
      <c r="E631" s="63" t="s">
        <v>13618</v>
      </c>
      <c r="F631" s="63" t="s">
        <v>13698</v>
      </c>
      <c r="G631" s="63" t="s">
        <v>13699</v>
      </c>
      <c r="H631" s="63" t="s">
        <v>13963</v>
      </c>
      <c r="I631" s="63" t="s">
        <v>13964</v>
      </c>
    </row>
    <row r="632" spans="1:9" ht="15" customHeight="1" x14ac:dyDescent="0.3">
      <c r="A632" s="63" t="s">
        <v>14200</v>
      </c>
      <c r="B632" s="63" t="s">
        <v>14201</v>
      </c>
      <c r="C632" s="63" t="s">
        <v>14202</v>
      </c>
      <c r="D632" s="64" t="s">
        <v>12591</v>
      </c>
      <c r="E632" s="63" t="s">
        <v>13618</v>
      </c>
      <c r="F632" s="63" t="s">
        <v>13698</v>
      </c>
      <c r="G632" s="63" t="s">
        <v>13699</v>
      </c>
      <c r="H632" s="63" t="s">
        <v>13963</v>
      </c>
      <c r="I632" s="63" t="s">
        <v>13964</v>
      </c>
    </row>
    <row r="633" spans="1:9" ht="15" customHeight="1" x14ac:dyDescent="0.3">
      <c r="A633" s="63" t="s">
        <v>12771</v>
      </c>
      <c r="B633" s="63" t="s">
        <v>12772</v>
      </c>
      <c r="C633" s="63" t="s">
        <v>12773</v>
      </c>
      <c r="D633" s="64" t="s">
        <v>12586</v>
      </c>
      <c r="E633" s="63" t="s">
        <v>12729</v>
      </c>
      <c r="F633" s="63" t="s">
        <v>12730</v>
      </c>
      <c r="G633" s="63" t="s">
        <v>12587</v>
      </c>
      <c r="H633" s="63" t="s">
        <v>12774</v>
      </c>
      <c r="I633" s="63" t="s">
        <v>12775</v>
      </c>
    </row>
    <row r="634" spans="1:9" ht="15" customHeight="1" x14ac:dyDescent="0.3">
      <c r="A634" s="63" t="s">
        <v>14380</v>
      </c>
      <c r="B634" s="63" t="s">
        <v>14381</v>
      </c>
      <c r="C634" s="63" t="s">
        <v>14382</v>
      </c>
      <c r="D634" s="64" t="s">
        <v>12567</v>
      </c>
      <c r="E634" s="63" t="s">
        <v>14224</v>
      </c>
      <c r="F634" s="63" t="s">
        <v>14225</v>
      </c>
      <c r="G634" s="63" t="s">
        <v>12570</v>
      </c>
      <c r="H634" s="63" t="s">
        <v>14263</v>
      </c>
      <c r="I634" s="63" t="s">
        <v>14264</v>
      </c>
    </row>
    <row r="635" spans="1:9" ht="15" customHeight="1" x14ac:dyDescent="0.3">
      <c r="A635" s="63" t="s">
        <v>13445</v>
      </c>
      <c r="B635" s="63" t="s">
        <v>13446</v>
      </c>
      <c r="C635" s="63" t="s">
        <v>13447</v>
      </c>
      <c r="D635" s="64" t="s">
        <v>13415</v>
      </c>
      <c r="E635" s="63" t="s">
        <v>13416</v>
      </c>
      <c r="F635" s="63" t="s">
        <v>13421</v>
      </c>
      <c r="G635" s="63" t="s">
        <v>13422</v>
      </c>
      <c r="H635" s="63" t="s">
        <v>13423</v>
      </c>
      <c r="I635" s="63" t="s">
        <v>13424</v>
      </c>
    </row>
    <row r="636" spans="1:9" ht="15" customHeight="1" x14ac:dyDescent="0.3">
      <c r="A636" s="63" t="s">
        <v>14203</v>
      </c>
      <c r="B636" s="63" t="s">
        <v>14204</v>
      </c>
      <c r="C636" s="63" t="s">
        <v>14205</v>
      </c>
      <c r="D636" s="64" t="s">
        <v>12591</v>
      </c>
      <c r="E636" s="63" t="s">
        <v>13618</v>
      </c>
      <c r="F636" s="63" t="s">
        <v>13698</v>
      </c>
      <c r="G636" s="63" t="s">
        <v>13699</v>
      </c>
      <c r="H636" s="63" t="s">
        <v>13822</v>
      </c>
      <c r="I636" s="63" t="s">
        <v>13823</v>
      </c>
    </row>
    <row r="637" spans="1:9" ht="15" customHeight="1" x14ac:dyDescent="0.3">
      <c r="A637" s="63" t="s">
        <v>14206</v>
      </c>
      <c r="B637" s="63" t="s">
        <v>14207</v>
      </c>
      <c r="C637" s="63" t="s">
        <v>14208</v>
      </c>
      <c r="D637" s="64" t="s">
        <v>12591</v>
      </c>
      <c r="E637" s="63" t="s">
        <v>13618</v>
      </c>
      <c r="F637" s="63" t="s">
        <v>13698</v>
      </c>
      <c r="G637" s="63" t="s">
        <v>13699</v>
      </c>
      <c r="H637" s="63" t="s">
        <v>13822</v>
      </c>
      <c r="I637" s="63" t="s">
        <v>13823</v>
      </c>
    </row>
    <row r="638" spans="1:9" ht="15" customHeight="1" x14ac:dyDescent="0.3">
      <c r="A638" s="63" t="s">
        <v>14209</v>
      </c>
      <c r="B638" s="63" t="s">
        <v>14210</v>
      </c>
      <c r="C638" s="63" t="s">
        <v>14211</v>
      </c>
      <c r="D638" s="64" t="s">
        <v>12591</v>
      </c>
      <c r="E638" s="63" t="s">
        <v>13618</v>
      </c>
      <c r="F638" s="63" t="s">
        <v>13619</v>
      </c>
      <c r="G638" s="63" t="s">
        <v>13620</v>
      </c>
      <c r="H638" s="63" t="s">
        <v>13621</v>
      </c>
      <c r="I638" s="63" t="s">
        <v>13622</v>
      </c>
    </row>
    <row r="639" spans="1:9" ht="15" customHeight="1" x14ac:dyDescent="0.3">
      <c r="A639" s="63" t="s">
        <v>14212</v>
      </c>
      <c r="B639" s="63" t="s">
        <v>14213</v>
      </c>
      <c r="C639" s="63" t="s">
        <v>14214</v>
      </c>
      <c r="D639" s="64" t="s">
        <v>12591</v>
      </c>
      <c r="E639" s="63" t="s">
        <v>13618</v>
      </c>
      <c r="F639" s="63" t="s">
        <v>13619</v>
      </c>
      <c r="G639" s="63" t="s">
        <v>13620</v>
      </c>
      <c r="H639" s="63" t="s">
        <v>13621</v>
      </c>
      <c r="I639" s="63" t="s">
        <v>13622</v>
      </c>
    </row>
    <row r="640" spans="1:9" ht="10.95" customHeight="1" x14ac:dyDescent="0.3">
      <c r="A640" s="61"/>
      <c r="B640" s="61"/>
      <c r="C640" s="61"/>
      <c r="D640" s="61"/>
      <c r="E640" s="61"/>
      <c r="F640" s="61"/>
      <c r="G640" s="61"/>
      <c r="H640" s="61"/>
      <c r="I640" s="61"/>
    </row>
    <row r="641" ht="10.95" customHeight="1" x14ac:dyDescent="0.3"/>
  </sheetData>
  <autoFilter ref="A1:I639" xr:uid="{31804093-BBD2-40EC-A99A-3A5FEEDFF4F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5450-3347-4720-878B-9643B88ECCDD}">
  <dimension ref="A1:I458"/>
  <sheetViews>
    <sheetView topLeftCell="A426" workbookViewId="0">
      <selection activeCell="C2" sqref="C2:C456"/>
    </sheetView>
  </sheetViews>
  <sheetFormatPr defaultColWidth="8.109375" defaultRowHeight="14.4" x14ac:dyDescent="0.3"/>
  <cols>
    <col min="1" max="1" width="10" style="19" customWidth="1"/>
    <col min="2" max="2" width="31.6640625" style="19" customWidth="1"/>
    <col min="3" max="3" width="31.77734375" style="19" customWidth="1"/>
    <col min="4" max="4" width="21" style="19" customWidth="1"/>
    <col min="5" max="5" width="19.77734375" style="19" customWidth="1"/>
    <col min="6" max="6" width="30.109375" style="19" customWidth="1"/>
    <col min="7" max="7" width="19" style="19" customWidth="1"/>
    <col min="8" max="8" width="30.109375" style="19" customWidth="1"/>
    <col min="9" max="9" width="25.6640625" style="19" customWidth="1"/>
  </cols>
  <sheetData>
    <row r="1" spans="1:9" s="23" customFormat="1" ht="54" customHeight="1" x14ac:dyDescent="0.3">
      <c r="A1" s="62" t="s">
        <v>12604</v>
      </c>
      <c r="B1" s="62" t="s">
        <v>12605</v>
      </c>
      <c r="C1" s="62" t="s">
        <v>12606</v>
      </c>
      <c r="D1" s="62" t="s">
        <v>12607</v>
      </c>
      <c r="E1" s="62" t="s">
        <v>12608</v>
      </c>
      <c r="F1" s="62" t="s">
        <v>12609</v>
      </c>
      <c r="G1" s="62" t="s">
        <v>12610</v>
      </c>
      <c r="H1" s="62" t="s">
        <v>12611</v>
      </c>
      <c r="I1" s="62" t="s">
        <v>12612</v>
      </c>
    </row>
    <row r="2" spans="1:9" ht="10.95" customHeight="1" x14ac:dyDescent="0.3">
      <c r="A2" s="63" t="s">
        <v>15591</v>
      </c>
      <c r="B2" s="63" t="s">
        <v>15592</v>
      </c>
      <c r="C2" s="63" t="s">
        <v>15593</v>
      </c>
      <c r="D2" s="64" t="s">
        <v>15594</v>
      </c>
      <c r="E2" s="63" t="s">
        <v>15595</v>
      </c>
      <c r="F2" s="63" t="s">
        <v>15596</v>
      </c>
      <c r="G2" s="63" t="s">
        <v>15597</v>
      </c>
      <c r="H2" s="63" t="s">
        <v>15598</v>
      </c>
      <c r="I2" s="63" t="s">
        <v>7749</v>
      </c>
    </row>
    <row r="3" spans="1:9" ht="10.95" customHeight="1" x14ac:dyDescent="0.3">
      <c r="A3" s="63" t="s">
        <v>15599</v>
      </c>
      <c r="B3" s="63" t="s">
        <v>15600</v>
      </c>
      <c r="C3" s="63" t="s">
        <v>15601</v>
      </c>
      <c r="D3" s="64" t="s">
        <v>15594</v>
      </c>
      <c r="E3" s="63" t="s">
        <v>15595</v>
      </c>
      <c r="F3" s="63" t="s">
        <v>15596</v>
      </c>
      <c r="G3" s="63" t="s">
        <v>15597</v>
      </c>
      <c r="H3" s="63" t="s">
        <v>15598</v>
      </c>
      <c r="I3" s="63" t="s">
        <v>7749</v>
      </c>
    </row>
    <row r="4" spans="1:9" ht="10.95" customHeight="1" x14ac:dyDescent="0.3">
      <c r="A4" s="63" t="s">
        <v>15602</v>
      </c>
      <c r="B4" s="63" t="s">
        <v>15603</v>
      </c>
      <c r="C4" s="63" t="s">
        <v>15604</v>
      </c>
      <c r="D4" s="64" t="s">
        <v>15594</v>
      </c>
      <c r="E4" s="63" t="s">
        <v>15595</v>
      </c>
      <c r="F4" s="63" t="s">
        <v>15596</v>
      </c>
      <c r="G4" s="63" t="s">
        <v>15597</v>
      </c>
      <c r="H4" s="63" t="s">
        <v>15598</v>
      </c>
      <c r="I4" s="63" t="s">
        <v>7749</v>
      </c>
    </row>
    <row r="5" spans="1:9" ht="10.95" customHeight="1" x14ac:dyDescent="0.3">
      <c r="A5" s="63" t="s">
        <v>15605</v>
      </c>
      <c r="B5" s="63" t="s">
        <v>15606</v>
      </c>
      <c r="C5" s="63" t="s">
        <v>15607</v>
      </c>
      <c r="D5" s="64" t="s">
        <v>15594</v>
      </c>
      <c r="E5" s="63" t="s">
        <v>15595</v>
      </c>
      <c r="F5" s="63" t="s">
        <v>15608</v>
      </c>
      <c r="G5" s="63" t="s">
        <v>15609</v>
      </c>
      <c r="H5" s="63" t="s">
        <v>15598</v>
      </c>
      <c r="I5" s="63" t="s">
        <v>7749</v>
      </c>
    </row>
    <row r="6" spans="1:9" ht="10.95" customHeight="1" x14ac:dyDescent="0.3">
      <c r="A6" s="63" t="s">
        <v>15610</v>
      </c>
      <c r="B6" s="63" t="s">
        <v>15611</v>
      </c>
      <c r="C6" s="63" t="s">
        <v>15612</v>
      </c>
      <c r="D6" s="64" t="s">
        <v>15594</v>
      </c>
      <c r="E6" s="63" t="s">
        <v>15595</v>
      </c>
      <c r="F6" s="63" t="s">
        <v>15608</v>
      </c>
      <c r="G6" s="63" t="s">
        <v>15609</v>
      </c>
      <c r="H6" s="63" t="s">
        <v>15598</v>
      </c>
      <c r="I6" s="63" t="s">
        <v>7749</v>
      </c>
    </row>
    <row r="7" spans="1:9" ht="10.95" customHeight="1" x14ac:dyDescent="0.3">
      <c r="A7" s="63" t="s">
        <v>15613</v>
      </c>
      <c r="B7" s="63" t="s">
        <v>15614</v>
      </c>
      <c r="C7" s="63" t="s">
        <v>15615</v>
      </c>
      <c r="D7" s="64" t="s">
        <v>15594</v>
      </c>
      <c r="E7" s="63" t="s">
        <v>15595</v>
      </c>
      <c r="F7" s="63" t="s">
        <v>15608</v>
      </c>
      <c r="G7" s="63" t="s">
        <v>15609</v>
      </c>
      <c r="H7" s="63" t="s">
        <v>15598</v>
      </c>
      <c r="I7" s="63" t="s">
        <v>7749</v>
      </c>
    </row>
    <row r="8" spans="1:9" ht="10.95" customHeight="1" x14ac:dyDescent="0.3">
      <c r="A8" s="63" t="s">
        <v>15616</v>
      </c>
      <c r="B8" s="63" t="s">
        <v>15617</v>
      </c>
      <c r="C8" s="63" t="s">
        <v>15618</v>
      </c>
      <c r="D8" s="64" t="s">
        <v>15594</v>
      </c>
      <c r="E8" s="63" t="s">
        <v>15595</v>
      </c>
      <c r="F8" s="63" t="s">
        <v>15608</v>
      </c>
      <c r="G8" s="63" t="s">
        <v>15609</v>
      </c>
      <c r="H8" s="63" t="s">
        <v>15598</v>
      </c>
      <c r="I8" s="63" t="s">
        <v>7749</v>
      </c>
    </row>
    <row r="9" spans="1:9" ht="10.95" customHeight="1" x14ac:dyDescent="0.3">
      <c r="A9" s="63" t="s">
        <v>15619</v>
      </c>
      <c r="B9" s="63" t="s">
        <v>15620</v>
      </c>
      <c r="C9" s="63" t="s">
        <v>15621</v>
      </c>
      <c r="D9" s="64" t="s">
        <v>15594</v>
      </c>
      <c r="E9" s="63" t="s">
        <v>15595</v>
      </c>
      <c r="F9" s="63" t="s">
        <v>15608</v>
      </c>
      <c r="G9" s="63" t="s">
        <v>15609</v>
      </c>
      <c r="H9" s="63" t="s">
        <v>15598</v>
      </c>
      <c r="I9" s="63" t="s">
        <v>7749</v>
      </c>
    </row>
    <row r="10" spans="1:9" ht="10.95" customHeight="1" x14ac:dyDescent="0.3">
      <c r="A10" s="63" t="s">
        <v>15622</v>
      </c>
      <c r="B10" s="63" t="s">
        <v>15623</v>
      </c>
      <c r="C10" s="63" t="s">
        <v>15624</v>
      </c>
      <c r="D10" s="64" t="s">
        <v>15594</v>
      </c>
      <c r="E10" s="63" t="s">
        <v>15595</v>
      </c>
      <c r="F10" s="63" t="s">
        <v>15608</v>
      </c>
      <c r="G10" s="63" t="s">
        <v>15609</v>
      </c>
      <c r="H10" s="63" t="s">
        <v>15598</v>
      </c>
      <c r="I10" s="63" t="s">
        <v>7749</v>
      </c>
    </row>
    <row r="11" spans="1:9" ht="10.95" customHeight="1" x14ac:dyDescent="0.3">
      <c r="A11" s="63" t="s">
        <v>15625</v>
      </c>
      <c r="B11" s="63" t="s">
        <v>15626</v>
      </c>
      <c r="C11" s="63" t="s">
        <v>15627</v>
      </c>
      <c r="D11" s="64" t="s">
        <v>15594</v>
      </c>
      <c r="E11" s="63" t="s">
        <v>15595</v>
      </c>
      <c r="F11" s="63" t="s">
        <v>15608</v>
      </c>
      <c r="G11" s="63" t="s">
        <v>15609</v>
      </c>
      <c r="H11" s="63" t="s">
        <v>15598</v>
      </c>
      <c r="I11" s="63" t="s">
        <v>7749</v>
      </c>
    </row>
    <row r="12" spans="1:9" ht="10.95" customHeight="1" x14ac:dyDescent="0.3">
      <c r="A12" s="63" t="s">
        <v>15628</v>
      </c>
      <c r="B12" s="63" t="s">
        <v>15629</v>
      </c>
      <c r="C12" s="63" t="s">
        <v>15630</v>
      </c>
      <c r="D12" s="64" t="s">
        <v>15594</v>
      </c>
      <c r="E12" s="63" t="s">
        <v>15595</v>
      </c>
      <c r="F12" s="63" t="s">
        <v>15608</v>
      </c>
      <c r="G12" s="63" t="s">
        <v>15609</v>
      </c>
      <c r="H12" s="63" t="s">
        <v>15598</v>
      </c>
      <c r="I12" s="63" t="s">
        <v>7749</v>
      </c>
    </row>
    <row r="13" spans="1:9" ht="10.95" customHeight="1" x14ac:dyDescent="0.3">
      <c r="A13" s="63" t="s">
        <v>15631</v>
      </c>
      <c r="B13" s="63" t="s">
        <v>15632</v>
      </c>
      <c r="C13" s="63" t="s">
        <v>15633</v>
      </c>
      <c r="D13" s="64" t="s">
        <v>15594</v>
      </c>
      <c r="E13" s="63" t="s">
        <v>15595</v>
      </c>
      <c r="F13" s="63" t="s">
        <v>15608</v>
      </c>
      <c r="G13" s="63" t="s">
        <v>15609</v>
      </c>
      <c r="H13" s="63" t="s">
        <v>15598</v>
      </c>
      <c r="I13" s="63" t="s">
        <v>7749</v>
      </c>
    </row>
    <row r="14" spans="1:9" ht="10.95" customHeight="1" x14ac:dyDescent="0.3">
      <c r="A14" s="63" t="s">
        <v>15634</v>
      </c>
      <c r="B14" s="63" t="s">
        <v>15635</v>
      </c>
      <c r="C14" s="63" t="s">
        <v>15636</v>
      </c>
      <c r="D14" s="64" t="s">
        <v>15594</v>
      </c>
      <c r="E14" s="63" t="s">
        <v>15595</v>
      </c>
      <c r="F14" s="63" t="s">
        <v>15608</v>
      </c>
      <c r="G14" s="63" t="s">
        <v>15609</v>
      </c>
      <c r="H14" s="63" t="s">
        <v>15598</v>
      </c>
      <c r="I14" s="63" t="s">
        <v>7749</v>
      </c>
    </row>
    <row r="15" spans="1:9" ht="10.95" customHeight="1" x14ac:dyDescent="0.3">
      <c r="A15" s="63" t="s">
        <v>15637</v>
      </c>
      <c r="B15" s="63" t="s">
        <v>15638</v>
      </c>
      <c r="C15" s="63" t="s">
        <v>15639</v>
      </c>
      <c r="D15" s="64" t="s">
        <v>15594</v>
      </c>
      <c r="E15" s="63" t="s">
        <v>15595</v>
      </c>
      <c r="F15" s="63" t="s">
        <v>15608</v>
      </c>
      <c r="G15" s="63" t="s">
        <v>15609</v>
      </c>
      <c r="H15" s="63" t="s">
        <v>15598</v>
      </c>
      <c r="I15" s="63" t="s">
        <v>7749</v>
      </c>
    </row>
    <row r="16" spans="1:9" ht="10.95" customHeight="1" x14ac:dyDescent="0.3">
      <c r="A16" s="63" t="s">
        <v>15640</v>
      </c>
      <c r="B16" s="63" t="s">
        <v>15641</v>
      </c>
      <c r="C16" s="63" t="s">
        <v>15642</v>
      </c>
      <c r="D16" s="64" t="s">
        <v>15594</v>
      </c>
      <c r="E16" s="63" t="s">
        <v>15595</v>
      </c>
      <c r="F16" s="63" t="s">
        <v>15608</v>
      </c>
      <c r="G16" s="63" t="s">
        <v>15609</v>
      </c>
      <c r="H16" s="63" t="s">
        <v>15598</v>
      </c>
      <c r="I16" s="63" t="s">
        <v>7749</v>
      </c>
    </row>
    <row r="17" spans="1:9" ht="10.95" customHeight="1" x14ac:dyDescent="0.3">
      <c r="A17" s="63" t="s">
        <v>15643</v>
      </c>
      <c r="B17" s="63" t="s">
        <v>15644</v>
      </c>
      <c r="C17" s="63" t="s">
        <v>15645</v>
      </c>
      <c r="D17" s="64" t="s">
        <v>15594</v>
      </c>
      <c r="E17" s="63" t="s">
        <v>15595</v>
      </c>
      <c r="F17" s="63" t="s">
        <v>15608</v>
      </c>
      <c r="G17" s="63" t="s">
        <v>15609</v>
      </c>
      <c r="H17" s="63" t="s">
        <v>15598</v>
      </c>
      <c r="I17" s="63" t="s">
        <v>7749</v>
      </c>
    </row>
    <row r="18" spans="1:9" ht="10.95" customHeight="1" x14ac:dyDescent="0.3">
      <c r="A18" s="63" t="s">
        <v>15646</v>
      </c>
      <c r="B18" s="63" t="s">
        <v>15647</v>
      </c>
      <c r="C18" s="63" t="s">
        <v>15648</v>
      </c>
      <c r="D18" s="64" t="s">
        <v>15594</v>
      </c>
      <c r="E18" s="63" t="s">
        <v>15595</v>
      </c>
      <c r="F18" s="63" t="s">
        <v>15608</v>
      </c>
      <c r="G18" s="63" t="s">
        <v>15609</v>
      </c>
      <c r="H18" s="63" t="s">
        <v>15598</v>
      </c>
      <c r="I18" s="63" t="s">
        <v>7749</v>
      </c>
    </row>
    <row r="19" spans="1:9" ht="10.95" customHeight="1" x14ac:dyDescent="0.3">
      <c r="A19" s="63" t="s">
        <v>15649</v>
      </c>
      <c r="B19" s="63" t="s">
        <v>15650</v>
      </c>
      <c r="C19" s="63" t="s">
        <v>15651</v>
      </c>
      <c r="D19" s="64" t="s">
        <v>15594</v>
      </c>
      <c r="E19" s="63" t="s">
        <v>15595</v>
      </c>
      <c r="F19" s="63" t="s">
        <v>15608</v>
      </c>
      <c r="G19" s="63" t="s">
        <v>15609</v>
      </c>
      <c r="H19" s="63" t="s">
        <v>15598</v>
      </c>
      <c r="I19" s="63" t="s">
        <v>7749</v>
      </c>
    </row>
    <row r="20" spans="1:9" ht="10.95" customHeight="1" x14ac:dyDescent="0.3">
      <c r="A20" s="63" t="s">
        <v>15652</v>
      </c>
      <c r="B20" s="63" t="s">
        <v>15653</v>
      </c>
      <c r="C20" s="63" t="s">
        <v>15654</v>
      </c>
      <c r="D20" s="64" t="s">
        <v>15594</v>
      </c>
      <c r="E20" s="63" t="s">
        <v>15595</v>
      </c>
      <c r="F20" s="63" t="s">
        <v>15608</v>
      </c>
      <c r="G20" s="63" t="s">
        <v>15609</v>
      </c>
      <c r="H20" s="63" t="s">
        <v>15598</v>
      </c>
      <c r="I20" s="63" t="s">
        <v>7749</v>
      </c>
    </row>
    <row r="21" spans="1:9" ht="10.95" customHeight="1" x14ac:dyDescent="0.3">
      <c r="A21" s="63" t="s">
        <v>15655</v>
      </c>
      <c r="B21" s="63" t="s">
        <v>15018</v>
      </c>
      <c r="C21" s="63" t="s">
        <v>15656</v>
      </c>
      <c r="D21" s="64" t="s">
        <v>15594</v>
      </c>
      <c r="E21" s="63" t="s">
        <v>15595</v>
      </c>
      <c r="F21" s="63" t="s">
        <v>15608</v>
      </c>
      <c r="G21" s="63" t="s">
        <v>15609</v>
      </c>
      <c r="H21" s="63" t="s">
        <v>15598</v>
      </c>
      <c r="I21" s="63" t="s">
        <v>7749</v>
      </c>
    </row>
    <row r="22" spans="1:9" ht="10.95" customHeight="1" x14ac:dyDescent="0.3">
      <c r="A22" s="63" t="s">
        <v>15657</v>
      </c>
      <c r="B22" s="63" t="s">
        <v>15658</v>
      </c>
      <c r="C22" s="63" t="s">
        <v>15659</v>
      </c>
      <c r="D22" s="64" t="s">
        <v>15594</v>
      </c>
      <c r="E22" s="63" t="s">
        <v>15595</v>
      </c>
      <c r="F22" s="63" t="s">
        <v>15608</v>
      </c>
      <c r="G22" s="63" t="s">
        <v>15609</v>
      </c>
      <c r="H22" s="63" t="s">
        <v>15598</v>
      </c>
      <c r="I22" s="63" t="s">
        <v>7749</v>
      </c>
    </row>
    <row r="23" spans="1:9" ht="10.95" customHeight="1" x14ac:dyDescent="0.3">
      <c r="A23" s="63" t="s">
        <v>15660</v>
      </c>
      <c r="B23" s="63" t="s">
        <v>15661</v>
      </c>
      <c r="C23" s="63" t="s">
        <v>15662</v>
      </c>
      <c r="D23" s="64" t="s">
        <v>15594</v>
      </c>
      <c r="E23" s="63" t="s">
        <v>15595</v>
      </c>
      <c r="F23" s="63" t="s">
        <v>15608</v>
      </c>
      <c r="G23" s="63" t="s">
        <v>15609</v>
      </c>
      <c r="H23" s="63" t="s">
        <v>15598</v>
      </c>
      <c r="I23" s="63" t="s">
        <v>7749</v>
      </c>
    </row>
    <row r="24" spans="1:9" ht="10.95" customHeight="1" x14ac:dyDescent="0.3">
      <c r="A24" s="63" t="s">
        <v>15663</v>
      </c>
      <c r="B24" s="63" t="s">
        <v>15664</v>
      </c>
      <c r="C24" s="63" t="s">
        <v>15665</v>
      </c>
      <c r="D24" s="64" t="s">
        <v>15594</v>
      </c>
      <c r="E24" s="63" t="s">
        <v>15595</v>
      </c>
      <c r="F24" s="63" t="s">
        <v>15608</v>
      </c>
      <c r="G24" s="63" t="s">
        <v>15609</v>
      </c>
      <c r="H24" s="63" t="s">
        <v>15598</v>
      </c>
      <c r="I24" s="63" t="s">
        <v>7749</v>
      </c>
    </row>
    <row r="25" spans="1:9" ht="10.95" customHeight="1" x14ac:dyDescent="0.3">
      <c r="A25" s="63" t="s">
        <v>15666</v>
      </c>
      <c r="B25" s="63" t="s">
        <v>15667</v>
      </c>
      <c r="C25" s="63" t="s">
        <v>15668</v>
      </c>
      <c r="D25" s="64" t="s">
        <v>15594</v>
      </c>
      <c r="E25" s="63" t="s">
        <v>15595</v>
      </c>
      <c r="F25" s="63" t="s">
        <v>15608</v>
      </c>
      <c r="G25" s="63" t="s">
        <v>15609</v>
      </c>
      <c r="H25" s="63" t="s">
        <v>15598</v>
      </c>
      <c r="I25" s="63" t="s">
        <v>7749</v>
      </c>
    </row>
    <row r="26" spans="1:9" ht="10.95" customHeight="1" x14ac:dyDescent="0.3">
      <c r="A26" s="63" t="s">
        <v>15669</v>
      </c>
      <c r="B26" s="63" t="s">
        <v>15670</v>
      </c>
      <c r="C26" s="63" t="s">
        <v>15671</v>
      </c>
      <c r="D26" s="64" t="s">
        <v>15594</v>
      </c>
      <c r="E26" s="63" t="s">
        <v>15595</v>
      </c>
      <c r="F26" s="63" t="s">
        <v>15608</v>
      </c>
      <c r="G26" s="63" t="s">
        <v>15609</v>
      </c>
      <c r="H26" s="63" t="s">
        <v>15598</v>
      </c>
      <c r="I26" s="63" t="s">
        <v>7749</v>
      </c>
    </row>
    <row r="27" spans="1:9" ht="10.95" customHeight="1" x14ac:dyDescent="0.3">
      <c r="A27" s="63" t="s">
        <v>15672</v>
      </c>
      <c r="B27" s="63" t="s">
        <v>15673</v>
      </c>
      <c r="C27" s="63" t="s">
        <v>15674</v>
      </c>
      <c r="D27" s="64" t="s">
        <v>15594</v>
      </c>
      <c r="E27" s="63" t="s">
        <v>15595</v>
      </c>
      <c r="F27" s="63" t="s">
        <v>15608</v>
      </c>
      <c r="G27" s="63" t="s">
        <v>15609</v>
      </c>
      <c r="H27" s="63" t="s">
        <v>15598</v>
      </c>
      <c r="I27" s="63" t="s">
        <v>7749</v>
      </c>
    </row>
    <row r="28" spans="1:9" ht="10.95" customHeight="1" x14ac:dyDescent="0.3">
      <c r="A28" s="63" t="s">
        <v>15675</v>
      </c>
      <c r="B28" s="63" t="s">
        <v>15676</v>
      </c>
      <c r="C28" s="63" t="s">
        <v>15677</v>
      </c>
      <c r="D28" s="64" t="s">
        <v>15594</v>
      </c>
      <c r="E28" s="63" t="s">
        <v>15595</v>
      </c>
      <c r="F28" s="63" t="s">
        <v>15608</v>
      </c>
      <c r="G28" s="63" t="s">
        <v>15609</v>
      </c>
      <c r="H28" s="63" t="s">
        <v>15598</v>
      </c>
      <c r="I28" s="63" t="s">
        <v>7749</v>
      </c>
    </row>
    <row r="29" spans="1:9" ht="10.95" customHeight="1" x14ac:dyDescent="0.3">
      <c r="A29" s="63" t="s">
        <v>15678</v>
      </c>
      <c r="B29" s="63" t="s">
        <v>15679</v>
      </c>
      <c r="C29" s="63" t="s">
        <v>15680</v>
      </c>
      <c r="D29" s="64" t="s">
        <v>15594</v>
      </c>
      <c r="E29" s="63" t="s">
        <v>15595</v>
      </c>
      <c r="F29" s="63" t="s">
        <v>15608</v>
      </c>
      <c r="G29" s="63" t="s">
        <v>15609</v>
      </c>
      <c r="H29" s="63" t="s">
        <v>15598</v>
      </c>
      <c r="I29" s="63" t="s">
        <v>7749</v>
      </c>
    </row>
    <row r="30" spans="1:9" ht="10.95" customHeight="1" x14ac:dyDescent="0.3">
      <c r="A30" s="63" t="s">
        <v>15681</v>
      </c>
      <c r="B30" s="63" t="s">
        <v>15682</v>
      </c>
      <c r="C30" s="63" t="s">
        <v>15683</v>
      </c>
      <c r="D30" s="64" t="s">
        <v>15594</v>
      </c>
      <c r="E30" s="63" t="s">
        <v>15595</v>
      </c>
      <c r="F30" s="63" t="s">
        <v>15608</v>
      </c>
      <c r="G30" s="63" t="s">
        <v>15609</v>
      </c>
      <c r="H30" s="63" t="s">
        <v>15598</v>
      </c>
      <c r="I30" s="63" t="s">
        <v>7749</v>
      </c>
    </row>
    <row r="31" spans="1:9" ht="10.95" customHeight="1" x14ac:dyDescent="0.3">
      <c r="A31" s="63" t="s">
        <v>15684</v>
      </c>
      <c r="B31" s="63" t="s">
        <v>15685</v>
      </c>
      <c r="C31" s="63" t="s">
        <v>15686</v>
      </c>
      <c r="D31" s="64" t="s">
        <v>15594</v>
      </c>
      <c r="E31" s="63" t="s">
        <v>15595</v>
      </c>
      <c r="F31" s="63" t="s">
        <v>15608</v>
      </c>
      <c r="G31" s="63" t="s">
        <v>15609</v>
      </c>
      <c r="H31" s="63" t="s">
        <v>15598</v>
      </c>
      <c r="I31" s="63" t="s">
        <v>7749</v>
      </c>
    </row>
    <row r="32" spans="1:9" ht="10.95" customHeight="1" x14ac:dyDescent="0.3">
      <c r="A32" s="63" t="s">
        <v>17000</v>
      </c>
      <c r="B32" s="65"/>
      <c r="C32" s="63" t="s">
        <v>17001</v>
      </c>
      <c r="D32" s="64" t="s">
        <v>15594</v>
      </c>
      <c r="E32" s="63" t="s">
        <v>15595</v>
      </c>
      <c r="F32" s="63" t="s">
        <v>15608</v>
      </c>
      <c r="G32" s="63" t="s">
        <v>15609</v>
      </c>
      <c r="H32" s="63" t="s">
        <v>15598</v>
      </c>
      <c r="I32" s="63" t="s">
        <v>7749</v>
      </c>
    </row>
    <row r="33" spans="1:9" ht="10.95" customHeight="1" x14ac:dyDescent="0.3">
      <c r="A33" s="63" t="s">
        <v>17002</v>
      </c>
      <c r="B33" s="65"/>
      <c r="C33" s="63" t="s">
        <v>17003</v>
      </c>
      <c r="D33" s="64" t="s">
        <v>15594</v>
      </c>
      <c r="E33" s="63" t="s">
        <v>15595</v>
      </c>
      <c r="F33" s="63" t="s">
        <v>15608</v>
      </c>
      <c r="G33" s="63" t="s">
        <v>15609</v>
      </c>
      <c r="H33" s="63" t="s">
        <v>15598</v>
      </c>
      <c r="I33" s="63" t="s">
        <v>7749</v>
      </c>
    </row>
    <row r="34" spans="1:9" ht="10.95" customHeight="1" x14ac:dyDescent="0.3">
      <c r="A34" s="63" t="s">
        <v>17004</v>
      </c>
      <c r="B34" s="65"/>
      <c r="C34" s="63" t="s">
        <v>17005</v>
      </c>
      <c r="D34" s="64" t="s">
        <v>15594</v>
      </c>
      <c r="E34" s="63" t="s">
        <v>15595</v>
      </c>
      <c r="F34" s="63" t="s">
        <v>15608</v>
      </c>
      <c r="G34" s="63" t="s">
        <v>15609</v>
      </c>
      <c r="H34" s="63" t="s">
        <v>15598</v>
      </c>
      <c r="I34" s="63" t="s">
        <v>7749</v>
      </c>
    </row>
    <row r="35" spans="1:9" ht="10.95" customHeight="1" x14ac:dyDescent="0.3">
      <c r="A35" s="63" t="s">
        <v>17006</v>
      </c>
      <c r="B35" s="65"/>
      <c r="C35" s="63" t="s">
        <v>17007</v>
      </c>
      <c r="D35" s="64" t="s">
        <v>15594</v>
      </c>
      <c r="E35" s="63" t="s">
        <v>15595</v>
      </c>
      <c r="F35" s="63" t="s">
        <v>15608</v>
      </c>
      <c r="G35" s="63" t="s">
        <v>15609</v>
      </c>
      <c r="H35" s="63" t="s">
        <v>15598</v>
      </c>
      <c r="I35" s="63" t="s">
        <v>7749</v>
      </c>
    </row>
    <row r="36" spans="1:9" ht="10.95" customHeight="1" x14ac:dyDescent="0.3">
      <c r="A36" s="63" t="s">
        <v>17008</v>
      </c>
      <c r="B36" s="65"/>
      <c r="C36" s="63" t="s">
        <v>17009</v>
      </c>
      <c r="D36" s="64" t="s">
        <v>15594</v>
      </c>
      <c r="E36" s="63" t="s">
        <v>15595</v>
      </c>
      <c r="F36" s="63" t="s">
        <v>15608</v>
      </c>
      <c r="G36" s="63" t="s">
        <v>15609</v>
      </c>
      <c r="H36" s="63" t="s">
        <v>15598</v>
      </c>
      <c r="I36" s="63" t="s">
        <v>7749</v>
      </c>
    </row>
    <row r="37" spans="1:9" ht="10.95" customHeight="1" x14ac:dyDescent="0.3">
      <c r="A37" s="63" t="s">
        <v>17010</v>
      </c>
      <c r="B37" s="65"/>
      <c r="C37" s="63" t="s">
        <v>17011</v>
      </c>
      <c r="D37" s="64" t="s">
        <v>15594</v>
      </c>
      <c r="E37" s="63" t="s">
        <v>15595</v>
      </c>
      <c r="F37" s="63" t="s">
        <v>15608</v>
      </c>
      <c r="G37" s="63" t="s">
        <v>15609</v>
      </c>
      <c r="H37" s="63" t="s">
        <v>15598</v>
      </c>
      <c r="I37" s="63" t="s">
        <v>7749</v>
      </c>
    </row>
    <row r="38" spans="1:9" ht="10.95" customHeight="1" x14ac:dyDescent="0.3">
      <c r="A38" s="63" t="s">
        <v>17012</v>
      </c>
      <c r="B38" s="65"/>
      <c r="C38" s="63" t="s">
        <v>17013</v>
      </c>
      <c r="D38" s="64" t="s">
        <v>15594</v>
      </c>
      <c r="E38" s="63" t="s">
        <v>15595</v>
      </c>
      <c r="F38" s="63" t="s">
        <v>15608</v>
      </c>
      <c r="G38" s="63" t="s">
        <v>15609</v>
      </c>
      <c r="H38" s="63" t="s">
        <v>15598</v>
      </c>
      <c r="I38" s="63" t="s">
        <v>7749</v>
      </c>
    </row>
    <row r="39" spans="1:9" ht="10.95" customHeight="1" x14ac:dyDescent="0.3">
      <c r="A39" s="63" t="s">
        <v>17014</v>
      </c>
      <c r="B39" s="65"/>
      <c r="C39" s="63" t="s">
        <v>17015</v>
      </c>
      <c r="D39" s="64" t="s">
        <v>15594</v>
      </c>
      <c r="E39" s="63" t="s">
        <v>15595</v>
      </c>
      <c r="F39" s="63" t="s">
        <v>15608</v>
      </c>
      <c r="G39" s="63" t="s">
        <v>15609</v>
      </c>
      <c r="H39" s="63" t="s">
        <v>15598</v>
      </c>
      <c r="I39" s="63" t="s">
        <v>7749</v>
      </c>
    </row>
    <row r="40" spans="1:9" ht="10.95" customHeight="1" x14ac:dyDescent="0.3">
      <c r="A40" s="63" t="s">
        <v>15687</v>
      </c>
      <c r="B40" s="63" t="s">
        <v>15688</v>
      </c>
      <c r="C40" s="63" t="s">
        <v>15689</v>
      </c>
      <c r="D40" s="64" t="s">
        <v>15594</v>
      </c>
      <c r="E40" s="63" t="s">
        <v>15595</v>
      </c>
      <c r="F40" s="63" t="s">
        <v>15608</v>
      </c>
      <c r="G40" s="63" t="s">
        <v>15609</v>
      </c>
      <c r="H40" s="63" t="s">
        <v>15598</v>
      </c>
      <c r="I40" s="63" t="s">
        <v>7749</v>
      </c>
    </row>
    <row r="41" spans="1:9" ht="10.95" customHeight="1" x14ac:dyDescent="0.3">
      <c r="A41" s="63" t="s">
        <v>15690</v>
      </c>
      <c r="B41" s="63" t="s">
        <v>15691</v>
      </c>
      <c r="C41" s="63" t="s">
        <v>15692</v>
      </c>
      <c r="D41" s="64" t="s">
        <v>15594</v>
      </c>
      <c r="E41" s="63" t="s">
        <v>15595</v>
      </c>
      <c r="F41" s="63" t="s">
        <v>15608</v>
      </c>
      <c r="G41" s="63" t="s">
        <v>15609</v>
      </c>
      <c r="H41" s="63" t="s">
        <v>15598</v>
      </c>
      <c r="I41" s="63" t="s">
        <v>7749</v>
      </c>
    </row>
    <row r="42" spans="1:9" ht="10.95" customHeight="1" x14ac:dyDescent="0.3">
      <c r="A42" s="63" t="s">
        <v>15693</v>
      </c>
      <c r="B42" s="63" t="s">
        <v>15694</v>
      </c>
      <c r="C42" s="63" t="s">
        <v>15695</v>
      </c>
      <c r="D42" s="64" t="s">
        <v>15594</v>
      </c>
      <c r="E42" s="63" t="s">
        <v>15595</v>
      </c>
      <c r="F42" s="63" t="s">
        <v>15608</v>
      </c>
      <c r="G42" s="63" t="s">
        <v>15609</v>
      </c>
      <c r="H42" s="63" t="s">
        <v>15598</v>
      </c>
      <c r="I42" s="63" t="s">
        <v>7749</v>
      </c>
    </row>
    <row r="43" spans="1:9" ht="10.95" customHeight="1" x14ac:dyDescent="0.3">
      <c r="A43" s="63" t="s">
        <v>15696</v>
      </c>
      <c r="B43" s="63" t="s">
        <v>15697</v>
      </c>
      <c r="C43" s="63" t="s">
        <v>15698</v>
      </c>
      <c r="D43" s="64" t="s">
        <v>15594</v>
      </c>
      <c r="E43" s="63" t="s">
        <v>15595</v>
      </c>
      <c r="F43" s="63" t="s">
        <v>15608</v>
      </c>
      <c r="G43" s="63" t="s">
        <v>15609</v>
      </c>
      <c r="H43" s="63" t="s">
        <v>15598</v>
      </c>
      <c r="I43" s="63" t="s">
        <v>7749</v>
      </c>
    </row>
    <row r="44" spans="1:9" ht="10.95" customHeight="1" x14ac:dyDescent="0.3">
      <c r="A44" s="63" t="s">
        <v>15699</v>
      </c>
      <c r="B44" s="63" t="s">
        <v>15700</v>
      </c>
      <c r="C44" s="63" t="s">
        <v>15701</v>
      </c>
      <c r="D44" s="64" t="s">
        <v>15594</v>
      </c>
      <c r="E44" s="63" t="s">
        <v>15595</v>
      </c>
      <c r="F44" s="63" t="s">
        <v>15608</v>
      </c>
      <c r="G44" s="63" t="s">
        <v>15609</v>
      </c>
      <c r="H44" s="63" t="s">
        <v>15598</v>
      </c>
      <c r="I44" s="63" t="s">
        <v>7749</v>
      </c>
    </row>
    <row r="45" spans="1:9" ht="10.95" customHeight="1" x14ac:dyDescent="0.3">
      <c r="A45" s="63" t="s">
        <v>15702</v>
      </c>
      <c r="B45" s="63" t="s">
        <v>15703</v>
      </c>
      <c r="C45" s="63" t="s">
        <v>15704</v>
      </c>
      <c r="D45" s="64" t="s">
        <v>15594</v>
      </c>
      <c r="E45" s="63" t="s">
        <v>15595</v>
      </c>
      <c r="F45" s="63" t="s">
        <v>15608</v>
      </c>
      <c r="G45" s="63" t="s">
        <v>15609</v>
      </c>
      <c r="H45" s="63" t="s">
        <v>15598</v>
      </c>
      <c r="I45" s="63" t="s">
        <v>7749</v>
      </c>
    </row>
    <row r="46" spans="1:9" ht="10.95" customHeight="1" x14ac:dyDescent="0.3">
      <c r="A46" s="63" t="s">
        <v>15705</v>
      </c>
      <c r="B46" s="63" t="s">
        <v>15706</v>
      </c>
      <c r="C46" s="63" t="s">
        <v>15707</v>
      </c>
      <c r="D46" s="64" t="s">
        <v>15594</v>
      </c>
      <c r="E46" s="63" t="s">
        <v>15595</v>
      </c>
      <c r="F46" s="63" t="s">
        <v>15608</v>
      </c>
      <c r="G46" s="63" t="s">
        <v>15609</v>
      </c>
      <c r="H46" s="63" t="s">
        <v>15598</v>
      </c>
      <c r="I46" s="63" t="s">
        <v>7749</v>
      </c>
    </row>
    <row r="47" spans="1:9" ht="10.95" customHeight="1" x14ac:dyDescent="0.3">
      <c r="A47" s="63" t="s">
        <v>15708</v>
      </c>
      <c r="B47" s="63" t="s">
        <v>15709</v>
      </c>
      <c r="C47" s="63" t="s">
        <v>15710</v>
      </c>
      <c r="D47" s="64" t="s">
        <v>15594</v>
      </c>
      <c r="E47" s="63" t="s">
        <v>15595</v>
      </c>
      <c r="F47" s="63" t="s">
        <v>15608</v>
      </c>
      <c r="G47" s="63" t="s">
        <v>15609</v>
      </c>
      <c r="H47" s="63" t="s">
        <v>15598</v>
      </c>
      <c r="I47" s="63" t="s">
        <v>7749</v>
      </c>
    </row>
    <row r="48" spans="1:9" ht="10.95" customHeight="1" x14ac:dyDescent="0.3">
      <c r="A48" s="63" t="s">
        <v>15711</v>
      </c>
      <c r="B48" s="63" t="s">
        <v>15712</v>
      </c>
      <c r="C48" s="63" t="s">
        <v>15713</v>
      </c>
      <c r="D48" s="64" t="s">
        <v>15594</v>
      </c>
      <c r="E48" s="63" t="s">
        <v>15595</v>
      </c>
      <c r="F48" s="63" t="s">
        <v>15608</v>
      </c>
      <c r="G48" s="63" t="s">
        <v>15609</v>
      </c>
      <c r="H48" s="63" t="s">
        <v>15598</v>
      </c>
      <c r="I48" s="63" t="s">
        <v>7749</v>
      </c>
    </row>
    <row r="49" spans="1:9" ht="10.95" customHeight="1" x14ac:dyDescent="0.3">
      <c r="A49" s="63" t="s">
        <v>15714</v>
      </c>
      <c r="B49" s="63" t="s">
        <v>15715</v>
      </c>
      <c r="C49" s="63" t="s">
        <v>15716</v>
      </c>
      <c r="D49" s="64" t="s">
        <v>15594</v>
      </c>
      <c r="E49" s="63" t="s">
        <v>15595</v>
      </c>
      <c r="F49" s="63" t="s">
        <v>15608</v>
      </c>
      <c r="G49" s="63" t="s">
        <v>15609</v>
      </c>
      <c r="H49" s="63" t="s">
        <v>15598</v>
      </c>
      <c r="I49" s="63" t="s">
        <v>7749</v>
      </c>
    </row>
    <row r="50" spans="1:9" ht="10.95" customHeight="1" x14ac:dyDescent="0.3">
      <c r="A50" s="63" t="s">
        <v>15717</v>
      </c>
      <c r="B50" s="63" t="s">
        <v>15718</v>
      </c>
      <c r="C50" s="63" t="s">
        <v>15719</v>
      </c>
      <c r="D50" s="64" t="s">
        <v>15594</v>
      </c>
      <c r="E50" s="63" t="s">
        <v>15595</v>
      </c>
      <c r="F50" s="63" t="s">
        <v>15608</v>
      </c>
      <c r="G50" s="63" t="s">
        <v>15609</v>
      </c>
      <c r="H50" s="63" t="s">
        <v>15598</v>
      </c>
      <c r="I50" s="63" t="s">
        <v>7749</v>
      </c>
    </row>
    <row r="51" spans="1:9" ht="10.95" customHeight="1" x14ac:dyDescent="0.3">
      <c r="A51" s="63" t="s">
        <v>15720</v>
      </c>
      <c r="B51" s="63" t="s">
        <v>15721</v>
      </c>
      <c r="C51" s="63" t="s">
        <v>15722</v>
      </c>
      <c r="D51" s="64" t="s">
        <v>15594</v>
      </c>
      <c r="E51" s="63" t="s">
        <v>15595</v>
      </c>
      <c r="F51" s="63" t="s">
        <v>15608</v>
      </c>
      <c r="G51" s="63" t="s">
        <v>15609</v>
      </c>
      <c r="H51" s="63" t="s">
        <v>15598</v>
      </c>
      <c r="I51" s="63" t="s">
        <v>7749</v>
      </c>
    </row>
    <row r="52" spans="1:9" ht="10.95" customHeight="1" x14ac:dyDescent="0.3">
      <c r="A52" s="63" t="s">
        <v>15723</v>
      </c>
      <c r="B52" s="63" t="s">
        <v>15724</v>
      </c>
      <c r="C52" s="63" t="s">
        <v>15725</v>
      </c>
      <c r="D52" s="64" t="s">
        <v>15594</v>
      </c>
      <c r="E52" s="63" t="s">
        <v>15595</v>
      </c>
      <c r="F52" s="63" t="s">
        <v>15608</v>
      </c>
      <c r="G52" s="63" t="s">
        <v>15609</v>
      </c>
      <c r="H52" s="63" t="s">
        <v>15598</v>
      </c>
      <c r="I52" s="63" t="s">
        <v>7749</v>
      </c>
    </row>
    <row r="53" spans="1:9" ht="10.95" customHeight="1" x14ac:dyDescent="0.3">
      <c r="A53" s="63" t="s">
        <v>15726</v>
      </c>
      <c r="B53" s="63" t="s">
        <v>15727</v>
      </c>
      <c r="C53" s="63" t="s">
        <v>15728</v>
      </c>
      <c r="D53" s="64" t="s">
        <v>15594</v>
      </c>
      <c r="E53" s="63" t="s">
        <v>15595</v>
      </c>
      <c r="F53" s="63" t="s">
        <v>15608</v>
      </c>
      <c r="G53" s="63" t="s">
        <v>15609</v>
      </c>
      <c r="H53" s="63" t="s">
        <v>15598</v>
      </c>
      <c r="I53" s="63" t="s">
        <v>7749</v>
      </c>
    </row>
    <row r="54" spans="1:9" ht="10.95" customHeight="1" x14ac:dyDescent="0.3">
      <c r="A54" s="63" t="s">
        <v>15729</v>
      </c>
      <c r="B54" s="63" t="s">
        <v>15730</v>
      </c>
      <c r="C54" s="63" t="s">
        <v>15731</v>
      </c>
      <c r="D54" s="64" t="s">
        <v>15594</v>
      </c>
      <c r="E54" s="63" t="s">
        <v>15595</v>
      </c>
      <c r="F54" s="63" t="s">
        <v>15608</v>
      </c>
      <c r="G54" s="63" t="s">
        <v>15609</v>
      </c>
      <c r="H54" s="63" t="s">
        <v>15598</v>
      </c>
      <c r="I54" s="63" t="s">
        <v>7749</v>
      </c>
    </row>
    <row r="55" spans="1:9" ht="10.95" customHeight="1" x14ac:dyDescent="0.3">
      <c r="A55" s="63" t="s">
        <v>15732</v>
      </c>
      <c r="B55" s="63" t="s">
        <v>15733</v>
      </c>
      <c r="C55" s="63" t="s">
        <v>15734</v>
      </c>
      <c r="D55" s="64" t="s">
        <v>15594</v>
      </c>
      <c r="E55" s="63" t="s">
        <v>15595</v>
      </c>
      <c r="F55" s="63" t="s">
        <v>15608</v>
      </c>
      <c r="G55" s="63" t="s">
        <v>15609</v>
      </c>
      <c r="H55" s="63" t="s">
        <v>15598</v>
      </c>
      <c r="I55" s="63" t="s">
        <v>7749</v>
      </c>
    </row>
    <row r="56" spans="1:9" ht="10.95" customHeight="1" x14ac:dyDescent="0.3">
      <c r="A56" s="63" t="s">
        <v>15735</v>
      </c>
      <c r="B56" s="63" t="s">
        <v>15736</v>
      </c>
      <c r="C56" s="63" t="s">
        <v>15737</v>
      </c>
      <c r="D56" s="64" t="s">
        <v>15594</v>
      </c>
      <c r="E56" s="63" t="s">
        <v>15595</v>
      </c>
      <c r="F56" s="63" t="s">
        <v>15608</v>
      </c>
      <c r="G56" s="63" t="s">
        <v>15609</v>
      </c>
      <c r="H56" s="63" t="s">
        <v>15598</v>
      </c>
      <c r="I56" s="63" t="s">
        <v>7749</v>
      </c>
    </row>
    <row r="57" spans="1:9" ht="10.95" customHeight="1" x14ac:dyDescent="0.3">
      <c r="A57" s="63" t="s">
        <v>15738</v>
      </c>
      <c r="B57" s="63" t="s">
        <v>15739</v>
      </c>
      <c r="C57" s="63" t="s">
        <v>15740</v>
      </c>
      <c r="D57" s="64" t="s">
        <v>15594</v>
      </c>
      <c r="E57" s="63" t="s">
        <v>15595</v>
      </c>
      <c r="F57" s="63" t="s">
        <v>15608</v>
      </c>
      <c r="G57" s="63" t="s">
        <v>15609</v>
      </c>
      <c r="H57" s="63" t="s">
        <v>15598</v>
      </c>
      <c r="I57" s="63" t="s">
        <v>7749</v>
      </c>
    </row>
    <row r="58" spans="1:9" ht="10.95" customHeight="1" x14ac:dyDescent="0.3">
      <c r="A58" s="63" t="s">
        <v>15741</v>
      </c>
      <c r="B58" s="63" t="s">
        <v>15742</v>
      </c>
      <c r="C58" s="63" t="s">
        <v>15743</v>
      </c>
      <c r="D58" s="64" t="s">
        <v>15594</v>
      </c>
      <c r="E58" s="63" t="s">
        <v>15595</v>
      </c>
      <c r="F58" s="63" t="s">
        <v>15608</v>
      </c>
      <c r="G58" s="63" t="s">
        <v>15609</v>
      </c>
      <c r="H58" s="63" t="s">
        <v>15598</v>
      </c>
      <c r="I58" s="63" t="s">
        <v>7749</v>
      </c>
    </row>
    <row r="59" spans="1:9" ht="10.95" customHeight="1" x14ac:dyDescent="0.3">
      <c r="A59" s="63" t="s">
        <v>15744</v>
      </c>
      <c r="B59" s="63" t="s">
        <v>15745</v>
      </c>
      <c r="C59" s="63" t="s">
        <v>15746</v>
      </c>
      <c r="D59" s="64" t="s">
        <v>15594</v>
      </c>
      <c r="E59" s="63" t="s">
        <v>15595</v>
      </c>
      <c r="F59" s="63" t="s">
        <v>15608</v>
      </c>
      <c r="G59" s="63" t="s">
        <v>15609</v>
      </c>
      <c r="H59" s="63" t="s">
        <v>15598</v>
      </c>
      <c r="I59" s="63" t="s">
        <v>7749</v>
      </c>
    </row>
    <row r="60" spans="1:9" ht="10.95" customHeight="1" x14ac:dyDescent="0.3">
      <c r="A60" s="63" t="s">
        <v>15747</v>
      </c>
      <c r="B60" s="63" t="s">
        <v>15748</v>
      </c>
      <c r="C60" s="63" t="s">
        <v>15749</v>
      </c>
      <c r="D60" s="64" t="s">
        <v>15594</v>
      </c>
      <c r="E60" s="63" t="s">
        <v>15595</v>
      </c>
      <c r="F60" s="63" t="s">
        <v>15608</v>
      </c>
      <c r="G60" s="63" t="s">
        <v>15609</v>
      </c>
      <c r="H60" s="63" t="s">
        <v>15598</v>
      </c>
      <c r="I60" s="63" t="s">
        <v>7749</v>
      </c>
    </row>
    <row r="61" spans="1:9" ht="10.95" customHeight="1" x14ac:dyDescent="0.3">
      <c r="A61" s="63" t="s">
        <v>15750</v>
      </c>
      <c r="B61" s="63" t="s">
        <v>15751</v>
      </c>
      <c r="C61" s="63" t="s">
        <v>15752</v>
      </c>
      <c r="D61" s="64" t="s">
        <v>15594</v>
      </c>
      <c r="E61" s="63" t="s">
        <v>15595</v>
      </c>
      <c r="F61" s="63" t="s">
        <v>15608</v>
      </c>
      <c r="G61" s="63" t="s">
        <v>15609</v>
      </c>
      <c r="H61" s="63" t="s">
        <v>15598</v>
      </c>
      <c r="I61" s="63" t="s">
        <v>7749</v>
      </c>
    </row>
    <row r="62" spans="1:9" ht="22.05" customHeight="1" x14ac:dyDescent="0.3">
      <c r="A62" s="63" t="s">
        <v>15753</v>
      </c>
      <c r="B62" s="63" t="s">
        <v>15754</v>
      </c>
      <c r="C62" s="63" t="s">
        <v>15755</v>
      </c>
      <c r="D62" s="64" t="s">
        <v>15594</v>
      </c>
      <c r="E62" s="63" t="s">
        <v>15595</v>
      </c>
      <c r="F62" s="63" t="s">
        <v>15756</v>
      </c>
      <c r="G62" s="63" t="s">
        <v>15757</v>
      </c>
      <c r="H62" s="63" t="s">
        <v>15758</v>
      </c>
      <c r="I62" s="63" t="s">
        <v>7749</v>
      </c>
    </row>
    <row r="63" spans="1:9" ht="10.95" customHeight="1" x14ac:dyDescent="0.3">
      <c r="A63" s="63" t="s">
        <v>15759</v>
      </c>
      <c r="B63" s="63" t="s">
        <v>15760</v>
      </c>
      <c r="C63" s="63" t="s">
        <v>15761</v>
      </c>
      <c r="D63" s="64" t="s">
        <v>15594</v>
      </c>
      <c r="E63" s="63" t="s">
        <v>15595</v>
      </c>
      <c r="F63" s="63" t="s">
        <v>15608</v>
      </c>
      <c r="G63" s="63" t="s">
        <v>15609</v>
      </c>
      <c r="H63" s="63" t="s">
        <v>15598</v>
      </c>
      <c r="I63" s="63" t="s">
        <v>7749</v>
      </c>
    </row>
    <row r="64" spans="1:9" ht="10.95" customHeight="1" x14ac:dyDescent="0.3">
      <c r="A64" s="63" t="s">
        <v>15762</v>
      </c>
      <c r="B64" s="63" t="s">
        <v>15763</v>
      </c>
      <c r="C64" s="63" t="s">
        <v>15764</v>
      </c>
      <c r="D64" s="64" t="s">
        <v>15594</v>
      </c>
      <c r="E64" s="63" t="s">
        <v>15595</v>
      </c>
      <c r="F64" s="63" t="s">
        <v>15608</v>
      </c>
      <c r="G64" s="63" t="s">
        <v>15609</v>
      </c>
      <c r="H64" s="63" t="s">
        <v>15598</v>
      </c>
      <c r="I64" s="63" t="s">
        <v>7749</v>
      </c>
    </row>
    <row r="65" spans="1:9" ht="10.95" customHeight="1" x14ac:dyDescent="0.3">
      <c r="A65" s="63" t="s">
        <v>15765</v>
      </c>
      <c r="B65" s="63" t="s">
        <v>15766</v>
      </c>
      <c r="C65" s="63" t="s">
        <v>15767</v>
      </c>
      <c r="D65" s="64" t="s">
        <v>15594</v>
      </c>
      <c r="E65" s="63" t="s">
        <v>15595</v>
      </c>
      <c r="F65" s="63" t="s">
        <v>15608</v>
      </c>
      <c r="G65" s="63" t="s">
        <v>15609</v>
      </c>
      <c r="H65" s="63" t="s">
        <v>15598</v>
      </c>
      <c r="I65" s="63" t="s">
        <v>7749</v>
      </c>
    </row>
    <row r="66" spans="1:9" ht="10.95" customHeight="1" x14ac:dyDescent="0.3">
      <c r="A66" s="63" t="s">
        <v>15768</v>
      </c>
      <c r="B66" s="63" t="s">
        <v>15769</v>
      </c>
      <c r="C66" s="63" t="s">
        <v>15770</v>
      </c>
      <c r="D66" s="64" t="s">
        <v>15594</v>
      </c>
      <c r="E66" s="63" t="s">
        <v>15595</v>
      </c>
      <c r="F66" s="63" t="s">
        <v>15608</v>
      </c>
      <c r="G66" s="63" t="s">
        <v>15609</v>
      </c>
      <c r="H66" s="63" t="s">
        <v>15598</v>
      </c>
      <c r="I66" s="63" t="s">
        <v>7749</v>
      </c>
    </row>
    <row r="67" spans="1:9" ht="10.95" customHeight="1" x14ac:dyDescent="0.3">
      <c r="A67" s="63" t="s">
        <v>15771</v>
      </c>
      <c r="B67" s="63" t="s">
        <v>15772</v>
      </c>
      <c r="C67" s="63" t="s">
        <v>15773</v>
      </c>
      <c r="D67" s="64" t="s">
        <v>15594</v>
      </c>
      <c r="E67" s="63" t="s">
        <v>15595</v>
      </c>
      <c r="F67" s="63" t="s">
        <v>15608</v>
      </c>
      <c r="G67" s="63" t="s">
        <v>15609</v>
      </c>
      <c r="H67" s="63" t="s">
        <v>15598</v>
      </c>
      <c r="I67" s="63" t="s">
        <v>7749</v>
      </c>
    </row>
    <row r="68" spans="1:9" ht="10.95" customHeight="1" x14ac:dyDescent="0.3">
      <c r="A68" s="63" t="s">
        <v>15774</v>
      </c>
      <c r="B68" s="63" t="s">
        <v>15775</v>
      </c>
      <c r="C68" s="63" t="s">
        <v>15776</v>
      </c>
      <c r="D68" s="64" t="s">
        <v>15594</v>
      </c>
      <c r="E68" s="63" t="s">
        <v>15595</v>
      </c>
      <c r="F68" s="63" t="s">
        <v>15608</v>
      </c>
      <c r="G68" s="63" t="s">
        <v>15609</v>
      </c>
      <c r="H68" s="63" t="s">
        <v>15598</v>
      </c>
      <c r="I68" s="63" t="s">
        <v>7749</v>
      </c>
    </row>
    <row r="69" spans="1:9" ht="10.95" customHeight="1" x14ac:dyDescent="0.3">
      <c r="A69" s="63" t="s">
        <v>15777</v>
      </c>
      <c r="B69" s="63" t="s">
        <v>15778</v>
      </c>
      <c r="C69" s="63" t="s">
        <v>15779</v>
      </c>
      <c r="D69" s="64" t="s">
        <v>15594</v>
      </c>
      <c r="E69" s="63" t="s">
        <v>15595</v>
      </c>
      <c r="F69" s="63" t="s">
        <v>15608</v>
      </c>
      <c r="G69" s="63" t="s">
        <v>15609</v>
      </c>
      <c r="H69" s="63" t="s">
        <v>15598</v>
      </c>
      <c r="I69" s="63" t="s">
        <v>7749</v>
      </c>
    </row>
    <row r="70" spans="1:9" ht="10.95" customHeight="1" x14ac:dyDescent="0.3">
      <c r="A70" s="63" t="s">
        <v>15780</v>
      </c>
      <c r="B70" s="63" t="s">
        <v>15781</v>
      </c>
      <c r="C70" s="63" t="s">
        <v>15782</v>
      </c>
      <c r="D70" s="64" t="s">
        <v>15594</v>
      </c>
      <c r="E70" s="63" t="s">
        <v>15595</v>
      </c>
      <c r="F70" s="63" t="s">
        <v>15608</v>
      </c>
      <c r="G70" s="63" t="s">
        <v>15609</v>
      </c>
      <c r="H70" s="63" t="s">
        <v>15598</v>
      </c>
      <c r="I70" s="63" t="s">
        <v>7749</v>
      </c>
    </row>
    <row r="71" spans="1:9" ht="10.95" customHeight="1" x14ac:dyDescent="0.3">
      <c r="A71" s="63" t="s">
        <v>15783</v>
      </c>
      <c r="B71" s="63" t="s">
        <v>15784</v>
      </c>
      <c r="C71" s="63" t="s">
        <v>15785</v>
      </c>
      <c r="D71" s="64" t="s">
        <v>15594</v>
      </c>
      <c r="E71" s="63" t="s">
        <v>15595</v>
      </c>
      <c r="F71" s="63" t="s">
        <v>15608</v>
      </c>
      <c r="G71" s="63" t="s">
        <v>15609</v>
      </c>
      <c r="H71" s="63" t="s">
        <v>15598</v>
      </c>
      <c r="I71" s="63" t="s">
        <v>7749</v>
      </c>
    </row>
    <row r="72" spans="1:9" ht="10.95" customHeight="1" x14ac:dyDescent="0.3">
      <c r="A72" s="63" t="s">
        <v>15786</v>
      </c>
      <c r="B72" s="63" t="s">
        <v>15787</v>
      </c>
      <c r="C72" s="63" t="s">
        <v>15788</v>
      </c>
      <c r="D72" s="64" t="s">
        <v>15594</v>
      </c>
      <c r="E72" s="63" t="s">
        <v>15595</v>
      </c>
      <c r="F72" s="63" t="s">
        <v>15608</v>
      </c>
      <c r="G72" s="63" t="s">
        <v>15609</v>
      </c>
      <c r="H72" s="63" t="s">
        <v>15598</v>
      </c>
      <c r="I72" s="63" t="s">
        <v>7749</v>
      </c>
    </row>
    <row r="73" spans="1:9" ht="10.95" customHeight="1" x14ac:dyDescent="0.3">
      <c r="A73" s="63" t="s">
        <v>15789</v>
      </c>
      <c r="B73" s="63" t="s">
        <v>15790</v>
      </c>
      <c r="C73" s="63" t="s">
        <v>15791</v>
      </c>
      <c r="D73" s="64" t="s">
        <v>15594</v>
      </c>
      <c r="E73" s="63" t="s">
        <v>15595</v>
      </c>
      <c r="F73" s="63" t="s">
        <v>15608</v>
      </c>
      <c r="G73" s="63" t="s">
        <v>15609</v>
      </c>
      <c r="H73" s="63" t="s">
        <v>15598</v>
      </c>
      <c r="I73" s="63" t="s">
        <v>7749</v>
      </c>
    </row>
    <row r="74" spans="1:9" ht="10.95" customHeight="1" x14ac:dyDescent="0.3">
      <c r="A74" s="63" t="s">
        <v>15792</v>
      </c>
      <c r="B74" s="63" t="s">
        <v>15793</v>
      </c>
      <c r="C74" s="63" t="s">
        <v>15794</v>
      </c>
      <c r="D74" s="64" t="s">
        <v>15594</v>
      </c>
      <c r="E74" s="63" t="s">
        <v>15595</v>
      </c>
      <c r="F74" s="63" t="s">
        <v>15608</v>
      </c>
      <c r="G74" s="63" t="s">
        <v>15609</v>
      </c>
      <c r="H74" s="63" t="s">
        <v>15598</v>
      </c>
      <c r="I74" s="63" t="s">
        <v>7749</v>
      </c>
    </row>
    <row r="75" spans="1:9" ht="10.95" customHeight="1" x14ac:dyDescent="0.3">
      <c r="A75" s="63" t="s">
        <v>15795</v>
      </c>
      <c r="B75" s="63" t="s">
        <v>15796</v>
      </c>
      <c r="C75" s="63" t="s">
        <v>15797</v>
      </c>
      <c r="D75" s="64" t="s">
        <v>15594</v>
      </c>
      <c r="E75" s="63" t="s">
        <v>15595</v>
      </c>
      <c r="F75" s="63" t="s">
        <v>15608</v>
      </c>
      <c r="G75" s="63" t="s">
        <v>15609</v>
      </c>
      <c r="H75" s="63" t="s">
        <v>15598</v>
      </c>
      <c r="I75" s="63" t="s">
        <v>7749</v>
      </c>
    </row>
    <row r="76" spans="1:9" ht="10.95" customHeight="1" x14ac:dyDescent="0.3">
      <c r="A76" s="63" t="s">
        <v>15798</v>
      </c>
      <c r="B76" s="63" t="s">
        <v>15799</v>
      </c>
      <c r="C76" s="63" t="s">
        <v>15800</v>
      </c>
      <c r="D76" s="64" t="s">
        <v>15594</v>
      </c>
      <c r="E76" s="63" t="s">
        <v>15595</v>
      </c>
      <c r="F76" s="63" t="s">
        <v>15608</v>
      </c>
      <c r="G76" s="63" t="s">
        <v>15609</v>
      </c>
      <c r="H76" s="63" t="s">
        <v>15598</v>
      </c>
      <c r="I76" s="63" t="s">
        <v>7749</v>
      </c>
    </row>
    <row r="77" spans="1:9" ht="10.95" customHeight="1" x14ac:dyDescent="0.3">
      <c r="A77" s="63" t="s">
        <v>15801</v>
      </c>
      <c r="B77" s="63" t="s">
        <v>15802</v>
      </c>
      <c r="C77" s="63" t="s">
        <v>15803</v>
      </c>
      <c r="D77" s="64" t="s">
        <v>15594</v>
      </c>
      <c r="E77" s="63" t="s">
        <v>15595</v>
      </c>
      <c r="F77" s="63" t="s">
        <v>15608</v>
      </c>
      <c r="G77" s="63" t="s">
        <v>15609</v>
      </c>
      <c r="H77" s="63" t="s">
        <v>15598</v>
      </c>
      <c r="I77" s="63" t="s">
        <v>7749</v>
      </c>
    </row>
    <row r="78" spans="1:9" ht="10.95" customHeight="1" x14ac:dyDescent="0.3">
      <c r="A78" s="63" t="s">
        <v>15804</v>
      </c>
      <c r="B78" s="63" t="s">
        <v>15805</v>
      </c>
      <c r="C78" s="63" t="s">
        <v>15806</v>
      </c>
      <c r="D78" s="64" t="s">
        <v>15594</v>
      </c>
      <c r="E78" s="63" t="s">
        <v>15595</v>
      </c>
      <c r="F78" s="63" t="s">
        <v>15608</v>
      </c>
      <c r="G78" s="63" t="s">
        <v>15609</v>
      </c>
      <c r="H78" s="63" t="s">
        <v>15598</v>
      </c>
      <c r="I78" s="63" t="s">
        <v>7749</v>
      </c>
    </row>
    <row r="79" spans="1:9" ht="10.95" customHeight="1" x14ac:dyDescent="0.3">
      <c r="A79" s="63" t="s">
        <v>15807</v>
      </c>
      <c r="B79" s="63" t="s">
        <v>15808</v>
      </c>
      <c r="C79" s="63" t="s">
        <v>15809</v>
      </c>
      <c r="D79" s="64" t="s">
        <v>15594</v>
      </c>
      <c r="E79" s="63" t="s">
        <v>15595</v>
      </c>
      <c r="F79" s="63" t="s">
        <v>15608</v>
      </c>
      <c r="G79" s="63" t="s">
        <v>15609</v>
      </c>
      <c r="H79" s="63" t="s">
        <v>15598</v>
      </c>
      <c r="I79" s="63" t="s">
        <v>7749</v>
      </c>
    </row>
    <row r="80" spans="1:9" ht="10.95" customHeight="1" x14ac:dyDescent="0.3">
      <c r="A80" s="63" t="s">
        <v>15810</v>
      </c>
      <c r="B80" s="63" t="s">
        <v>15811</v>
      </c>
      <c r="C80" s="63" t="s">
        <v>15812</v>
      </c>
      <c r="D80" s="64" t="s">
        <v>15594</v>
      </c>
      <c r="E80" s="63" t="s">
        <v>15595</v>
      </c>
      <c r="F80" s="63" t="s">
        <v>15608</v>
      </c>
      <c r="G80" s="63" t="s">
        <v>15609</v>
      </c>
      <c r="H80" s="63" t="s">
        <v>15598</v>
      </c>
      <c r="I80" s="63" t="s">
        <v>7749</v>
      </c>
    </row>
    <row r="81" spans="1:9" ht="10.95" customHeight="1" x14ac:dyDescent="0.3">
      <c r="A81" s="63" t="s">
        <v>15813</v>
      </c>
      <c r="B81" s="63" t="s">
        <v>15814</v>
      </c>
      <c r="C81" s="63" t="s">
        <v>15815</v>
      </c>
      <c r="D81" s="64" t="s">
        <v>15594</v>
      </c>
      <c r="E81" s="63" t="s">
        <v>15595</v>
      </c>
      <c r="F81" s="63" t="s">
        <v>15608</v>
      </c>
      <c r="G81" s="63" t="s">
        <v>15609</v>
      </c>
      <c r="H81" s="63" t="s">
        <v>15598</v>
      </c>
      <c r="I81" s="63" t="s">
        <v>7749</v>
      </c>
    </row>
    <row r="82" spans="1:9" ht="10.95" customHeight="1" x14ac:dyDescent="0.3">
      <c r="A82" s="63" t="s">
        <v>15816</v>
      </c>
      <c r="B82" s="63" t="s">
        <v>15817</v>
      </c>
      <c r="C82" s="63" t="s">
        <v>15818</v>
      </c>
      <c r="D82" s="64" t="s">
        <v>15594</v>
      </c>
      <c r="E82" s="63" t="s">
        <v>15595</v>
      </c>
      <c r="F82" s="63" t="s">
        <v>15608</v>
      </c>
      <c r="G82" s="63" t="s">
        <v>15609</v>
      </c>
      <c r="H82" s="63" t="s">
        <v>15598</v>
      </c>
      <c r="I82" s="63" t="s">
        <v>7749</v>
      </c>
    </row>
    <row r="83" spans="1:9" ht="10.95" customHeight="1" x14ac:dyDescent="0.3">
      <c r="A83" s="63" t="s">
        <v>15819</v>
      </c>
      <c r="B83" s="63" t="s">
        <v>15820</v>
      </c>
      <c r="C83" s="63" t="s">
        <v>15821</v>
      </c>
      <c r="D83" s="64" t="s">
        <v>15594</v>
      </c>
      <c r="E83" s="63" t="s">
        <v>15595</v>
      </c>
      <c r="F83" s="63" t="s">
        <v>15608</v>
      </c>
      <c r="G83" s="63" t="s">
        <v>15609</v>
      </c>
      <c r="H83" s="63" t="s">
        <v>15598</v>
      </c>
      <c r="I83" s="63" t="s">
        <v>7749</v>
      </c>
    </row>
    <row r="84" spans="1:9" ht="10.95" customHeight="1" x14ac:dyDescent="0.3">
      <c r="A84" s="63" t="s">
        <v>15822</v>
      </c>
      <c r="B84" s="63" t="s">
        <v>15823</v>
      </c>
      <c r="C84" s="63" t="s">
        <v>15824</v>
      </c>
      <c r="D84" s="64" t="s">
        <v>15594</v>
      </c>
      <c r="E84" s="63" t="s">
        <v>15595</v>
      </c>
      <c r="F84" s="63" t="s">
        <v>15608</v>
      </c>
      <c r="G84" s="63" t="s">
        <v>15609</v>
      </c>
      <c r="H84" s="63" t="s">
        <v>15598</v>
      </c>
      <c r="I84" s="63" t="s">
        <v>7749</v>
      </c>
    </row>
    <row r="85" spans="1:9" ht="10.95" customHeight="1" x14ac:dyDescent="0.3">
      <c r="A85" s="63" t="s">
        <v>15825</v>
      </c>
      <c r="B85" s="63" t="s">
        <v>15826</v>
      </c>
      <c r="C85" s="63" t="s">
        <v>15827</v>
      </c>
      <c r="D85" s="64" t="s">
        <v>15594</v>
      </c>
      <c r="E85" s="63" t="s">
        <v>15595</v>
      </c>
      <c r="F85" s="63" t="s">
        <v>15608</v>
      </c>
      <c r="G85" s="63" t="s">
        <v>15609</v>
      </c>
      <c r="H85" s="63" t="s">
        <v>15598</v>
      </c>
      <c r="I85" s="63" t="s">
        <v>7749</v>
      </c>
    </row>
    <row r="86" spans="1:9" ht="10.95" customHeight="1" x14ac:dyDescent="0.3">
      <c r="A86" s="63" t="s">
        <v>15828</v>
      </c>
      <c r="B86" s="63" t="s">
        <v>15829</v>
      </c>
      <c r="C86" s="63" t="s">
        <v>15830</v>
      </c>
      <c r="D86" s="64" t="s">
        <v>15594</v>
      </c>
      <c r="E86" s="63" t="s">
        <v>15595</v>
      </c>
      <c r="F86" s="63" t="s">
        <v>15608</v>
      </c>
      <c r="G86" s="63" t="s">
        <v>15609</v>
      </c>
      <c r="H86" s="63" t="s">
        <v>15598</v>
      </c>
      <c r="I86" s="63" t="s">
        <v>7749</v>
      </c>
    </row>
    <row r="87" spans="1:9" ht="10.95" customHeight="1" x14ac:dyDescent="0.3">
      <c r="A87" s="63" t="s">
        <v>15831</v>
      </c>
      <c r="B87" s="63" t="s">
        <v>15832</v>
      </c>
      <c r="C87" s="63" t="s">
        <v>15833</v>
      </c>
      <c r="D87" s="64" t="s">
        <v>15594</v>
      </c>
      <c r="E87" s="63" t="s">
        <v>15595</v>
      </c>
      <c r="F87" s="63" t="s">
        <v>15608</v>
      </c>
      <c r="G87" s="63" t="s">
        <v>15609</v>
      </c>
      <c r="H87" s="63" t="s">
        <v>15598</v>
      </c>
      <c r="I87" s="63" t="s">
        <v>7749</v>
      </c>
    </row>
    <row r="88" spans="1:9" ht="10.95" customHeight="1" x14ac:dyDescent="0.3">
      <c r="A88" s="63" t="s">
        <v>15834</v>
      </c>
      <c r="B88" s="63" t="s">
        <v>15835</v>
      </c>
      <c r="C88" s="63" t="s">
        <v>15836</v>
      </c>
      <c r="D88" s="64" t="s">
        <v>15594</v>
      </c>
      <c r="E88" s="63" t="s">
        <v>15595</v>
      </c>
      <c r="F88" s="63" t="s">
        <v>15608</v>
      </c>
      <c r="G88" s="63" t="s">
        <v>15609</v>
      </c>
      <c r="H88" s="63" t="s">
        <v>15598</v>
      </c>
      <c r="I88" s="63" t="s">
        <v>7749</v>
      </c>
    </row>
    <row r="89" spans="1:9" ht="10.95" customHeight="1" x14ac:dyDescent="0.3">
      <c r="A89" s="63" t="s">
        <v>15837</v>
      </c>
      <c r="B89" s="63" t="s">
        <v>15838</v>
      </c>
      <c r="C89" s="63" t="s">
        <v>15839</v>
      </c>
      <c r="D89" s="64" t="s">
        <v>15594</v>
      </c>
      <c r="E89" s="63" t="s">
        <v>15595</v>
      </c>
      <c r="F89" s="63" t="s">
        <v>15608</v>
      </c>
      <c r="G89" s="63" t="s">
        <v>15609</v>
      </c>
      <c r="H89" s="63" t="s">
        <v>15598</v>
      </c>
      <c r="I89" s="63" t="s">
        <v>7749</v>
      </c>
    </row>
    <row r="90" spans="1:9" ht="10.95" customHeight="1" x14ac:dyDescent="0.3">
      <c r="A90" s="63" t="s">
        <v>15840</v>
      </c>
      <c r="B90" s="63" t="s">
        <v>15841</v>
      </c>
      <c r="C90" s="63" t="s">
        <v>15842</v>
      </c>
      <c r="D90" s="64" t="s">
        <v>15594</v>
      </c>
      <c r="E90" s="63" t="s">
        <v>15595</v>
      </c>
      <c r="F90" s="63" t="s">
        <v>15608</v>
      </c>
      <c r="G90" s="63" t="s">
        <v>15609</v>
      </c>
      <c r="H90" s="63" t="s">
        <v>15598</v>
      </c>
      <c r="I90" s="63" t="s">
        <v>7749</v>
      </c>
    </row>
    <row r="91" spans="1:9" ht="10.95" customHeight="1" x14ac:dyDescent="0.3">
      <c r="A91" s="63" t="s">
        <v>15843</v>
      </c>
      <c r="B91" s="63" t="s">
        <v>15844</v>
      </c>
      <c r="C91" s="63" t="s">
        <v>15845</v>
      </c>
      <c r="D91" s="64" t="s">
        <v>15594</v>
      </c>
      <c r="E91" s="63" t="s">
        <v>15595</v>
      </c>
      <c r="F91" s="63" t="s">
        <v>15608</v>
      </c>
      <c r="G91" s="63" t="s">
        <v>15609</v>
      </c>
      <c r="H91" s="63" t="s">
        <v>15598</v>
      </c>
      <c r="I91" s="63" t="s">
        <v>7749</v>
      </c>
    </row>
    <row r="92" spans="1:9" ht="10.95" customHeight="1" x14ac:dyDescent="0.3">
      <c r="A92" s="63" t="s">
        <v>15846</v>
      </c>
      <c r="B92" s="63" t="s">
        <v>15847</v>
      </c>
      <c r="C92" s="63" t="s">
        <v>15848</v>
      </c>
      <c r="D92" s="64" t="s">
        <v>15594</v>
      </c>
      <c r="E92" s="63" t="s">
        <v>15595</v>
      </c>
      <c r="F92" s="63" t="s">
        <v>15608</v>
      </c>
      <c r="G92" s="63" t="s">
        <v>15609</v>
      </c>
      <c r="H92" s="63" t="s">
        <v>15598</v>
      </c>
      <c r="I92" s="63" t="s">
        <v>7749</v>
      </c>
    </row>
    <row r="93" spans="1:9" ht="10.95" customHeight="1" x14ac:dyDescent="0.3">
      <c r="A93" s="63" t="s">
        <v>15849</v>
      </c>
      <c r="B93" s="63" t="s">
        <v>15850</v>
      </c>
      <c r="C93" s="63" t="s">
        <v>15851</v>
      </c>
      <c r="D93" s="64" t="s">
        <v>15594</v>
      </c>
      <c r="E93" s="63" t="s">
        <v>15595</v>
      </c>
      <c r="F93" s="63" t="s">
        <v>15608</v>
      </c>
      <c r="G93" s="63" t="s">
        <v>15609</v>
      </c>
      <c r="H93" s="63" t="s">
        <v>15598</v>
      </c>
      <c r="I93" s="63" t="s">
        <v>7749</v>
      </c>
    </row>
    <row r="94" spans="1:9" ht="10.95" customHeight="1" x14ac:dyDescent="0.3">
      <c r="A94" s="63" t="s">
        <v>15852</v>
      </c>
      <c r="B94" s="63" t="s">
        <v>15853</v>
      </c>
      <c r="C94" s="63" t="s">
        <v>15854</v>
      </c>
      <c r="D94" s="64" t="s">
        <v>15594</v>
      </c>
      <c r="E94" s="63" t="s">
        <v>15595</v>
      </c>
      <c r="F94" s="63" t="s">
        <v>15608</v>
      </c>
      <c r="G94" s="63" t="s">
        <v>15609</v>
      </c>
      <c r="H94" s="63" t="s">
        <v>15598</v>
      </c>
      <c r="I94" s="63" t="s">
        <v>7749</v>
      </c>
    </row>
    <row r="95" spans="1:9" ht="10.95" customHeight="1" x14ac:dyDescent="0.3">
      <c r="A95" s="63" t="s">
        <v>15855</v>
      </c>
      <c r="B95" s="63" t="s">
        <v>15856</v>
      </c>
      <c r="C95" s="63" t="s">
        <v>15857</v>
      </c>
      <c r="D95" s="64" t="s">
        <v>15594</v>
      </c>
      <c r="E95" s="63" t="s">
        <v>15595</v>
      </c>
      <c r="F95" s="63" t="s">
        <v>15608</v>
      </c>
      <c r="G95" s="63" t="s">
        <v>15609</v>
      </c>
      <c r="H95" s="63" t="s">
        <v>15598</v>
      </c>
      <c r="I95" s="63" t="s">
        <v>7749</v>
      </c>
    </row>
    <row r="96" spans="1:9" ht="10.95" customHeight="1" x14ac:dyDescent="0.3">
      <c r="A96" s="63" t="s">
        <v>15858</v>
      </c>
      <c r="B96" s="63" t="s">
        <v>15859</v>
      </c>
      <c r="C96" s="63" t="s">
        <v>15860</v>
      </c>
      <c r="D96" s="64" t="s">
        <v>15594</v>
      </c>
      <c r="E96" s="63" t="s">
        <v>15595</v>
      </c>
      <c r="F96" s="63" t="s">
        <v>15608</v>
      </c>
      <c r="G96" s="63" t="s">
        <v>15609</v>
      </c>
      <c r="H96" s="63" t="s">
        <v>15598</v>
      </c>
      <c r="I96" s="63" t="s">
        <v>7749</v>
      </c>
    </row>
    <row r="97" spans="1:9" ht="10.95" customHeight="1" x14ac:dyDescent="0.3">
      <c r="A97" s="63" t="s">
        <v>15861</v>
      </c>
      <c r="B97" s="63" t="s">
        <v>15862</v>
      </c>
      <c r="C97" s="63" t="s">
        <v>15863</v>
      </c>
      <c r="D97" s="64" t="s">
        <v>15594</v>
      </c>
      <c r="E97" s="63" t="s">
        <v>15595</v>
      </c>
      <c r="F97" s="63" t="s">
        <v>15608</v>
      </c>
      <c r="G97" s="63" t="s">
        <v>15609</v>
      </c>
      <c r="H97" s="63" t="s">
        <v>15598</v>
      </c>
      <c r="I97" s="63" t="s">
        <v>7749</v>
      </c>
    </row>
    <row r="98" spans="1:9" ht="10.95" customHeight="1" x14ac:dyDescent="0.3">
      <c r="A98" s="63" t="s">
        <v>15864</v>
      </c>
      <c r="B98" s="63" t="s">
        <v>15865</v>
      </c>
      <c r="C98" s="63" t="s">
        <v>15866</v>
      </c>
      <c r="D98" s="64" t="s">
        <v>15594</v>
      </c>
      <c r="E98" s="63" t="s">
        <v>15595</v>
      </c>
      <c r="F98" s="63" t="s">
        <v>15608</v>
      </c>
      <c r="G98" s="63" t="s">
        <v>15609</v>
      </c>
      <c r="H98" s="63" t="s">
        <v>15598</v>
      </c>
      <c r="I98" s="63" t="s">
        <v>7749</v>
      </c>
    </row>
    <row r="99" spans="1:9" ht="22.05" customHeight="1" x14ac:dyDescent="0.3">
      <c r="A99" s="63" t="s">
        <v>15867</v>
      </c>
      <c r="B99" s="63" t="s">
        <v>15868</v>
      </c>
      <c r="C99" s="63" t="s">
        <v>15869</v>
      </c>
      <c r="D99" s="64" t="s">
        <v>15594</v>
      </c>
      <c r="E99" s="63" t="s">
        <v>15595</v>
      </c>
      <c r="F99" s="63" t="s">
        <v>15756</v>
      </c>
      <c r="G99" s="63" t="s">
        <v>15757</v>
      </c>
      <c r="H99" s="63" t="s">
        <v>15758</v>
      </c>
      <c r="I99" s="63" t="s">
        <v>7749</v>
      </c>
    </row>
    <row r="100" spans="1:9" ht="10.95" customHeight="1" x14ac:dyDescent="0.3">
      <c r="A100" s="63" t="s">
        <v>15870</v>
      </c>
      <c r="B100" s="63" t="s">
        <v>15871</v>
      </c>
      <c r="C100" s="63" t="s">
        <v>15872</v>
      </c>
      <c r="D100" s="64" t="s">
        <v>15594</v>
      </c>
      <c r="E100" s="63" t="s">
        <v>15595</v>
      </c>
      <c r="F100" s="63" t="s">
        <v>15608</v>
      </c>
      <c r="G100" s="63" t="s">
        <v>15609</v>
      </c>
      <c r="H100" s="63" t="s">
        <v>15598</v>
      </c>
      <c r="I100" s="63" t="s">
        <v>7749</v>
      </c>
    </row>
    <row r="101" spans="1:9" ht="22.05" customHeight="1" x14ac:dyDescent="0.3">
      <c r="A101" s="63" t="s">
        <v>15873</v>
      </c>
      <c r="B101" s="63" t="s">
        <v>15874</v>
      </c>
      <c r="C101" s="63" t="s">
        <v>15875</v>
      </c>
      <c r="D101" s="64" t="s">
        <v>15594</v>
      </c>
      <c r="E101" s="63" t="s">
        <v>15595</v>
      </c>
      <c r="F101" s="63" t="s">
        <v>15756</v>
      </c>
      <c r="G101" s="63" t="s">
        <v>15757</v>
      </c>
      <c r="H101" s="63" t="s">
        <v>15758</v>
      </c>
      <c r="I101" s="63" t="s">
        <v>7749</v>
      </c>
    </row>
    <row r="102" spans="1:9" ht="10.95" customHeight="1" x14ac:dyDescent="0.3">
      <c r="A102" s="63" t="s">
        <v>15876</v>
      </c>
      <c r="B102" s="63" t="s">
        <v>15877</v>
      </c>
      <c r="C102" s="63" t="s">
        <v>15878</v>
      </c>
      <c r="D102" s="64" t="s">
        <v>15594</v>
      </c>
      <c r="E102" s="63" t="s">
        <v>15595</v>
      </c>
      <c r="F102" s="63" t="s">
        <v>15608</v>
      </c>
      <c r="G102" s="63" t="s">
        <v>15609</v>
      </c>
      <c r="H102" s="63" t="s">
        <v>15879</v>
      </c>
      <c r="I102" s="63" t="s">
        <v>15880</v>
      </c>
    </row>
    <row r="103" spans="1:9" ht="10.95" customHeight="1" x14ac:dyDescent="0.3">
      <c r="A103" s="63" t="s">
        <v>15881</v>
      </c>
      <c r="B103" s="63" t="s">
        <v>15882</v>
      </c>
      <c r="C103" s="63" t="s">
        <v>15883</v>
      </c>
      <c r="D103" s="64" t="s">
        <v>15594</v>
      </c>
      <c r="E103" s="63" t="s">
        <v>15595</v>
      </c>
      <c r="F103" s="63" t="s">
        <v>15608</v>
      </c>
      <c r="G103" s="63" t="s">
        <v>15609</v>
      </c>
      <c r="H103" s="63" t="s">
        <v>15598</v>
      </c>
      <c r="I103" s="63" t="s">
        <v>7749</v>
      </c>
    </row>
    <row r="104" spans="1:9" ht="10.95" customHeight="1" x14ac:dyDescent="0.3">
      <c r="A104" s="63" t="s">
        <v>15884</v>
      </c>
      <c r="B104" s="63" t="s">
        <v>15885</v>
      </c>
      <c r="C104" s="63" t="s">
        <v>15886</v>
      </c>
      <c r="D104" s="64" t="s">
        <v>15594</v>
      </c>
      <c r="E104" s="63" t="s">
        <v>15595</v>
      </c>
      <c r="F104" s="63" t="s">
        <v>15608</v>
      </c>
      <c r="G104" s="63" t="s">
        <v>15609</v>
      </c>
      <c r="H104" s="63" t="s">
        <v>15598</v>
      </c>
      <c r="I104" s="63" t="s">
        <v>7749</v>
      </c>
    </row>
    <row r="105" spans="1:9" ht="10.95" customHeight="1" x14ac:dyDescent="0.3">
      <c r="A105" s="63" t="s">
        <v>15887</v>
      </c>
      <c r="B105" s="63" t="s">
        <v>15888</v>
      </c>
      <c r="C105" s="63" t="s">
        <v>15888</v>
      </c>
      <c r="D105" s="64" t="s">
        <v>15594</v>
      </c>
      <c r="E105" s="63" t="s">
        <v>15595</v>
      </c>
      <c r="F105" s="63" t="s">
        <v>15608</v>
      </c>
      <c r="G105" s="63" t="s">
        <v>15609</v>
      </c>
      <c r="H105" s="63" t="s">
        <v>15598</v>
      </c>
      <c r="I105" s="63" t="s">
        <v>7749</v>
      </c>
    </row>
    <row r="106" spans="1:9" ht="10.95" customHeight="1" x14ac:dyDescent="0.3">
      <c r="A106" s="63" t="s">
        <v>15889</v>
      </c>
      <c r="B106" s="63" t="s">
        <v>15890</v>
      </c>
      <c r="C106" s="63" t="s">
        <v>15891</v>
      </c>
      <c r="D106" s="64" t="s">
        <v>15594</v>
      </c>
      <c r="E106" s="63" t="s">
        <v>15595</v>
      </c>
      <c r="F106" s="63" t="s">
        <v>15608</v>
      </c>
      <c r="G106" s="63" t="s">
        <v>15609</v>
      </c>
      <c r="H106" s="63" t="s">
        <v>15598</v>
      </c>
      <c r="I106" s="63" t="s">
        <v>7749</v>
      </c>
    </row>
    <row r="107" spans="1:9" ht="10.95" customHeight="1" x14ac:dyDescent="0.3">
      <c r="A107" s="63" t="s">
        <v>15892</v>
      </c>
      <c r="B107" s="63" t="s">
        <v>15893</v>
      </c>
      <c r="C107" s="63" t="s">
        <v>15894</v>
      </c>
      <c r="D107" s="64" t="s">
        <v>15594</v>
      </c>
      <c r="E107" s="63" t="s">
        <v>15595</v>
      </c>
      <c r="F107" s="63" t="s">
        <v>15608</v>
      </c>
      <c r="G107" s="63" t="s">
        <v>15609</v>
      </c>
      <c r="H107" s="63" t="s">
        <v>15598</v>
      </c>
      <c r="I107" s="63" t="s">
        <v>7749</v>
      </c>
    </row>
    <row r="108" spans="1:9" ht="10.95" customHeight="1" x14ac:dyDescent="0.3">
      <c r="A108" s="63" t="s">
        <v>15895</v>
      </c>
      <c r="B108" s="63" t="s">
        <v>15896</v>
      </c>
      <c r="C108" s="63" t="s">
        <v>15897</v>
      </c>
      <c r="D108" s="64" t="s">
        <v>15594</v>
      </c>
      <c r="E108" s="63" t="s">
        <v>15595</v>
      </c>
      <c r="F108" s="63" t="s">
        <v>15608</v>
      </c>
      <c r="G108" s="63" t="s">
        <v>15609</v>
      </c>
      <c r="H108" s="63" t="s">
        <v>15598</v>
      </c>
      <c r="I108" s="63" t="s">
        <v>7749</v>
      </c>
    </row>
    <row r="109" spans="1:9" ht="10.95" customHeight="1" x14ac:dyDescent="0.3">
      <c r="A109" s="63" t="s">
        <v>15898</v>
      </c>
      <c r="B109" s="63" t="s">
        <v>15899</v>
      </c>
      <c r="C109" s="63" t="s">
        <v>15900</v>
      </c>
      <c r="D109" s="64" t="s">
        <v>15594</v>
      </c>
      <c r="E109" s="63" t="s">
        <v>15595</v>
      </c>
      <c r="F109" s="63" t="s">
        <v>15608</v>
      </c>
      <c r="G109" s="63" t="s">
        <v>15609</v>
      </c>
      <c r="H109" s="63" t="s">
        <v>15598</v>
      </c>
      <c r="I109" s="63" t="s">
        <v>7749</v>
      </c>
    </row>
    <row r="110" spans="1:9" ht="10.95" customHeight="1" x14ac:dyDescent="0.3">
      <c r="A110" s="63" t="s">
        <v>15901</v>
      </c>
      <c r="B110" s="63" t="s">
        <v>15902</v>
      </c>
      <c r="C110" s="63" t="s">
        <v>15903</v>
      </c>
      <c r="D110" s="64" t="s">
        <v>15594</v>
      </c>
      <c r="E110" s="63" t="s">
        <v>15595</v>
      </c>
      <c r="F110" s="63" t="s">
        <v>15608</v>
      </c>
      <c r="G110" s="63" t="s">
        <v>15609</v>
      </c>
      <c r="H110" s="63" t="s">
        <v>15598</v>
      </c>
      <c r="I110" s="63" t="s">
        <v>7749</v>
      </c>
    </row>
    <row r="111" spans="1:9" ht="10.95" customHeight="1" x14ac:dyDescent="0.3">
      <c r="A111" s="63" t="s">
        <v>15904</v>
      </c>
      <c r="B111" s="63" t="s">
        <v>15905</v>
      </c>
      <c r="C111" s="63" t="s">
        <v>15906</v>
      </c>
      <c r="D111" s="64" t="s">
        <v>15594</v>
      </c>
      <c r="E111" s="63" t="s">
        <v>15595</v>
      </c>
      <c r="F111" s="63" t="s">
        <v>15608</v>
      </c>
      <c r="G111" s="63" t="s">
        <v>15609</v>
      </c>
      <c r="H111" s="63" t="s">
        <v>15598</v>
      </c>
      <c r="I111" s="63" t="s">
        <v>7749</v>
      </c>
    </row>
    <row r="112" spans="1:9" ht="10.95" customHeight="1" x14ac:dyDescent="0.3">
      <c r="A112" s="63" t="s">
        <v>15907</v>
      </c>
      <c r="B112" s="63" t="s">
        <v>15908</v>
      </c>
      <c r="C112" s="63" t="s">
        <v>15909</v>
      </c>
      <c r="D112" s="64" t="s">
        <v>15594</v>
      </c>
      <c r="E112" s="63" t="s">
        <v>15595</v>
      </c>
      <c r="F112" s="63" t="s">
        <v>15608</v>
      </c>
      <c r="G112" s="63" t="s">
        <v>15609</v>
      </c>
      <c r="H112" s="63" t="s">
        <v>15598</v>
      </c>
      <c r="I112" s="63" t="s">
        <v>7749</v>
      </c>
    </row>
    <row r="113" spans="1:9" ht="10.95" customHeight="1" x14ac:dyDescent="0.3">
      <c r="A113" s="63" t="s">
        <v>15910</v>
      </c>
      <c r="B113" s="63" t="s">
        <v>15911</v>
      </c>
      <c r="C113" s="63" t="s">
        <v>15912</v>
      </c>
      <c r="D113" s="64" t="s">
        <v>15594</v>
      </c>
      <c r="E113" s="63" t="s">
        <v>15595</v>
      </c>
      <c r="F113" s="63" t="s">
        <v>15608</v>
      </c>
      <c r="G113" s="63" t="s">
        <v>15609</v>
      </c>
      <c r="H113" s="63" t="s">
        <v>15598</v>
      </c>
      <c r="I113" s="63" t="s">
        <v>7749</v>
      </c>
    </row>
    <row r="114" spans="1:9" ht="10.95" customHeight="1" x14ac:dyDescent="0.3">
      <c r="A114" s="63" t="s">
        <v>15913</v>
      </c>
      <c r="B114" s="63" t="s">
        <v>15914</v>
      </c>
      <c r="C114" s="63" t="s">
        <v>15915</v>
      </c>
      <c r="D114" s="64" t="s">
        <v>15594</v>
      </c>
      <c r="E114" s="63" t="s">
        <v>15595</v>
      </c>
      <c r="F114" s="63" t="s">
        <v>15608</v>
      </c>
      <c r="G114" s="63" t="s">
        <v>15609</v>
      </c>
      <c r="H114" s="63" t="s">
        <v>15598</v>
      </c>
      <c r="I114" s="63" t="s">
        <v>7749</v>
      </c>
    </row>
    <row r="115" spans="1:9" ht="10.95" customHeight="1" x14ac:dyDescent="0.3">
      <c r="A115" s="63" t="s">
        <v>15916</v>
      </c>
      <c r="B115" s="63" t="s">
        <v>15917</v>
      </c>
      <c r="C115" s="63" t="s">
        <v>15918</v>
      </c>
      <c r="D115" s="64" t="s">
        <v>15594</v>
      </c>
      <c r="E115" s="63" t="s">
        <v>15595</v>
      </c>
      <c r="F115" s="63" t="s">
        <v>15608</v>
      </c>
      <c r="G115" s="63" t="s">
        <v>15609</v>
      </c>
      <c r="H115" s="63" t="s">
        <v>15879</v>
      </c>
      <c r="I115" s="63" t="s">
        <v>15880</v>
      </c>
    </row>
    <row r="116" spans="1:9" ht="10.95" customHeight="1" x14ac:dyDescent="0.3">
      <c r="A116" s="63" t="s">
        <v>15919</v>
      </c>
      <c r="B116" s="63" t="s">
        <v>15920</v>
      </c>
      <c r="C116" s="63" t="s">
        <v>15921</v>
      </c>
      <c r="D116" s="64" t="s">
        <v>15594</v>
      </c>
      <c r="E116" s="63" t="s">
        <v>15595</v>
      </c>
      <c r="F116" s="63" t="s">
        <v>15608</v>
      </c>
      <c r="G116" s="63" t="s">
        <v>15609</v>
      </c>
      <c r="H116" s="63" t="s">
        <v>15598</v>
      </c>
      <c r="I116" s="63" t="s">
        <v>7749</v>
      </c>
    </row>
    <row r="117" spans="1:9" ht="10.95" customHeight="1" x14ac:dyDescent="0.3">
      <c r="A117" s="63" t="s">
        <v>15922</v>
      </c>
      <c r="B117" s="63" t="s">
        <v>15923</v>
      </c>
      <c r="C117" s="63" t="s">
        <v>15924</v>
      </c>
      <c r="D117" s="64" t="s">
        <v>15594</v>
      </c>
      <c r="E117" s="63" t="s">
        <v>15595</v>
      </c>
      <c r="F117" s="63" t="s">
        <v>15608</v>
      </c>
      <c r="G117" s="63" t="s">
        <v>15609</v>
      </c>
      <c r="H117" s="63" t="s">
        <v>15598</v>
      </c>
      <c r="I117" s="63" t="s">
        <v>7749</v>
      </c>
    </row>
    <row r="118" spans="1:9" ht="10.95" customHeight="1" x14ac:dyDescent="0.3">
      <c r="A118" s="63" t="s">
        <v>15925</v>
      </c>
      <c r="B118" s="63" t="s">
        <v>15926</v>
      </c>
      <c r="C118" s="63" t="s">
        <v>15927</v>
      </c>
      <c r="D118" s="64" t="s">
        <v>15594</v>
      </c>
      <c r="E118" s="63" t="s">
        <v>15595</v>
      </c>
      <c r="F118" s="63" t="s">
        <v>15608</v>
      </c>
      <c r="G118" s="63" t="s">
        <v>15609</v>
      </c>
      <c r="H118" s="63" t="s">
        <v>15598</v>
      </c>
      <c r="I118" s="63" t="s">
        <v>7749</v>
      </c>
    </row>
    <row r="119" spans="1:9" ht="10.95" customHeight="1" x14ac:dyDescent="0.3">
      <c r="A119" s="63" t="s">
        <v>15928</v>
      </c>
      <c r="B119" s="63" t="s">
        <v>15929</v>
      </c>
      <c r="C119" s="63" t="s">
        <v>15930</v>
      </c>
      <c r="D119" s="64" t="s">
        <v>15594</v>
      </c>
      <c r="E119" s="63" t="s">
        <v>15595</v>
      </c>
      <c r="F119" s="63" t="s">
        <v>15608</v>
      </c>
      <c r="G119" s="63" t="s">
        <v>15609</v>
      </c>
      <c r="H119" s="63" t="s">
        <v>15879</v>
      </c>
      <c r="I119" s="63" t="s">
        <v>15880</v>
      </c>
    </row>
    <row r="120" spans="1:9" ht="22.05" customHeight="1" x14ac:dyDescent="0.3">
      <c r="A120" s="63" t="s">
        <v>15931</v>
      </c>
      <c r="B120" s="63" t="s">
        <v>15932</v>
      </c>
      <c r="C120" s="63" t="s">
        <v>15932</v>
      </c>
      <c r="D120" s="64" t="s">
        <v>15594</v>
      </c>
      <c r="E120" s="63" t="s">
        <v>15595</v>
      </c>
      <c r="F120" s="63" t="s">
        <v>15608</v>
      </c>
      <c r="G120" s="63" t="s">
        <v>15609</v>
      </c>
      <c r="H120" s="63" t="s">
        <v>15598</v>
      </c>
      <c r="I120" s="63" t="s">
        <v>7749</v>
      </c>
    </row>
    <row r="121" spans="1:9" ht="10.95" customHeight="1" x14ac:dyDescent="0.3">
      <c r="A121" s="63" t="s">
        <v>15933</v>
      </c>
      <c r="B121" s="63" t="s">
        <v>15934</v>
      </c>
      <c r="C121" s="63" t="s">
        <v>15935</v>
      </c>
      <c r="D121" s="64" t="s">
        <v>15594</v>
      </c>
      <c r="E121" s="63" t="s">
        <v>15595</v>
      </c>
      <c r="F121" s="63" t="s">
        <v>15608</v>
      </c>
      <c r="G121" s="63" t="s">
        <v>15609</v>
      </c>
      <c r="H121" s="63" t="s">
        <v>15598</v>
      </c>
      <c r="I121" s="63" t="s">
        <v>7749</v>
      </c>
    </row>
    <row r="122" spans="1:9" ht="10.95" customHeight="1" x14ac:dyDescent="0.3">
      <c r="A122" s="63" t="s">
        <v>15936</v>
      </c>
      <c r="B122" s="63" t="s">
        <v>15937</v>
      </c>
      <c r="C122" s="63" t="s">
        <v>15938</v>
      </c>
      <c r="D122" s="64" t="s">
        <v>15594</v>
      </c>
      <c r="E122" s="63" t="s">
        <v>15595</v>
      </c>
      <c r="F122" s="63" t="s">
        <v>15608</v>
      </c>
      <c r="G122" s="63" t="s">
        <v>15609</v>
      </c>
      <c r="H122" s="63" t="s">
        <v>15598</v>
      </c>
      <c r="I122" s="63" t="s">
        <v>7749</v>
      </c>
    </row>
    <row r="123" spans="1:9" ht="10.95" customHeight="1" x14ac:dyDescent="0.3">
      <c r="A123" s="63" t="s">
        <v>15939</v>
      </c>
      <c r="B123" s="63" t="s">
        <v>15940</v>
      </c>
      <c r="C123" s="63" t="s">
        <v>15941</v>
      </c>
      <c r="D123" s="64" t="s">
        <v>15594</v>
      </c>
      <c r="E123" s="63" t="s">
        <v>15595</v>
      </c>
      <c r="F123" s="63" t="s">
        <v>15608</v>
      </c>
      <c r="G123" s="63" t="s">
        <v>15609</v>
      </c>
      <c r="H123" s="63" t="s">
        <v>15598</v>
      </c>
      <c r="I123" s="63" t="s">
        <v>7749</v>
      </c>
    </row>
    <row r="124" spans="1:9" ht="22.05" customHeight="1" x14ac:dyDescent="0.3">
      <c r="A124" s="63" t="s">
        <v>15942</v>
      </c>
      <c r="B124" s="63" t="s">
        <v>15943</v>
      </c>
      <c r="C124" s="63" t="s">
        <v>15944</v>
      </c>
      <c r="D124" s="64" t="s">
        <v>15594</v>
      </c>
      <c r="E124" s="63" t="s">
        <v>15595</v>
      </c>
      <c r="F124" s="63" t="s">
        <v>15756</v>
      </c>
      <c r="G124" s="63" t="s">
        <v>15757</v>
      </c>
      <c r="H124" s="63" t="s">
        <v>15758</v>
      </c>
      <c r="I124" s="63" t="s">
        <v>7749</v>
      </c>
    </row>
    <row r="125" spans="1:9" ht="22.05" customHeight="1" x14ac:dyDescent="0.3">
      <c r="A125" s="63" t="s">
        <v>15945</v>
      </c>
      <c r="B125" s="63" t="s">
        <v>15946</v>
      </c>
      <c r="C125" s="63" t="s">
        <v>15947</v>
      </c>
      <c r="D125" s="64" t="s">
        <v>15594</v>
      </c>
      <c r="E125" s="63" t="s">
        <v>15595</v>
      </c>
      <c r="F125" s="63" t="s">
        <v>15756</v>
      </c>
      <c r="G125" s="63" t="s">
        <v>15757</v>
      </c>
      <c r="H125" s="63" t="s">
        <v>15758</v>
      </c>
      <c r="I125" s="63" t="s">
        <v>7749</v>
      </c>
    </row>
    <row r="126" spans="1:9" ht="22.05" customHeight="1" x14ac:dyDescent="0.3">
      <c r="A126" s="63" t="s">
        <v>15948</v>
      </c>
      <c r="B126" s="63" t="s">
        <v>15949</v>
      </c>
      <c r="C126" s="63" t="s">
        <v>15950</v>
      </c>
      <c r="D126" s="64" t="s">
        <v>15594</v>
      </c>
      <c r="E126" s="63" t="s">
        <v>15595</v>
      </c>
      <c r="F126" s="63" t="s">
        <v>15756</v>
      </c>
      <c r="G126" s="63" t="s">
        <v>15757</v>
      </c>
      <c r="H126" s="63" t="s">
        <v>15758</v>
      </c>
      <c r="I126" s="63" t="s">
        <v>7749</v>
      </c>
    </row>
    <row r="127" spans="1:9" ht="10.95" customHeight="1" x14ac:dyDescent="0.3">
      <c r="A127" s="63" t="s">
        <v>15951</v>
      </c>
      <c r="B127" s="63" t="s">
        <v>15952</v>
      </c>
      <c r="C127" s="63" t="s">
        <v>15953</v>
      </c>
      <c r="D127" s="64" t="s">
        <v>15594</v>
      </c>
      <c r="E127" s="63" t="s">
        <v>15595</v>
      </c>
      <c r="F127" s="63" t="s">
        <v>15608</v>
      </c>
      <c r="G127" s="63" t="s">
        <v>15609</v>
      </c>
      <c r="H127" s="63" t="s">
        <v>15598</v>
      </c>
      <c r="I127" s="63" t="s">
        <v>7749</v>
      </c>
    </row>
    <row r="128" spans="1:9" ht="10.95" customHeight="1" x14ac:dyDescent="0.3">
      <c r="A128" s="63" t="s">
        <v>15954</v>
      </c>
      <c r="B128" s="63" t="s">
        <v>15955</v>
      </c>
      <c r="C128" s="63" t="s">
        <v>15956</v>
      </c>
      <c r="D128" s="64" t="s">
        <v>15594</v>
      </c>
      <c r="E128" s="63" t="s">
        <v>15595</v>
      </c>
      <c r="F128" s="63" t="s">
        <v>15608</v>
      </c>
      <c r="G128" s="63" t="s">
        <v>15609</v>
      </c>
      <c r="H128" s="63" t="s">
        <v>15598</v>
      </c>
      <c r="I128" s="63" t="s">
        <v>7749</v>
      </c>
    </row>
    <row r="129" spans="1:9" ht="10.95" customHeight="1" x14ac:dyDescent="0.3">
      <c r="A129" s="63" t="s">
        <v>15957</v>
      </c>
      <c r="B129" s="63" t="s">
        <v>15958</v>
      </c>
      <c r="C129" s="63" t="s">
        <v>15959</v>
      </c>
      <c r="D129" s="64" t="s">
        <v>15594</v>
      </c>
      <c r="E129" s="63" t="s">
        <v>15595</v>
      </c>
      <c r="F129" s="63" t="s">
        <v>15608</v>
      </c>
      <c r="G129" s="63" t="s">
        <v>15609</v>
      </c>
      <c r="H129" s="63" t="s">
        <v>15598</v>
      </c>
      <c r="I129" s="63" t="s">
        <v>7749</v>
      </c>
    </row>
    <row r="130" spans="1:9" ht="10.95" customHeight="1" x14ac:dyDescent="0.3">
      <c r="A130" s="63" t="s">
        <v>15960</v>
      </c>
      <c r="B130" s="63" t="s">
        <v>15961</v>
      </c>
      <c r="C130" s="63" t="s">
        <v>15962</v>
      </c>
      <c r="D130" s="64" t="s">
        <v>15594</v>
      </c>
      <c r="E130" s="63" t="s">
        <v>15595</v>
      </c>
      <c r="F130" s="63" t="s">
        <v>15608</v>
      </c>
      <c r="G130" s="63" t="s">
        <v>15609</v>
      </c>
      <c r="H130" s="63" t="s">
        <v>15598</v>
      </c>
      <c r="I130" s="63" t="s">
        <v>7749</v>
      </c>
    </row>
    <row r="131" spans="1:9" ht="10.95" customHeight="1" x14ac:dyDescent="0.3">
      <c r="A131" s="63" t="s">
        <v>15963</v>
      </c>
      <c r="B131" s="63" t="s">
        <v>15964</v>
      </c>
      <c r="C131" s="63" t="s">
        <v>15965</v>
      </c>
      <c r="D131" s="64" t="s">
        <v>15594</v>
      </c>
      <c r="E131" s="63" t="s">
        <v>15595</v>
      </c>
      <c r="F131" s="63" t="s">
        <v>15608</v>
      </c>
      <c r="G131" s="63" t="s">
        <v>15609</v>
      </c>
      <c r="H131" s="63" t="s">
        <v>15598</v>
      </c>
      <c r="I131" s="63" t="s">
        <v>7749</v>
      </c>
    </row>
    <row r="132" spans="1:9" ht="10.95" customHeight="1" x14ac:dyDescent="0.3">
      <c r="A132" s="63" t="s">
        <v>15966</v>
      </c>
      <c r="B132" s="63" t="s">
        <v>15967</v>
      </c>
      <c r="C132" s="63" t="s">
        <v>15968</v>
      </c>
      <c r="D132" s="64" t="s">
        <v>15594</v>
      </c>
      <c r="E132" s="63" t="s">
        <v>15595</v>
      </c>
      <c r="F132" s="63" t="s">
        <v>15608</v>
      </c>
      <c r="G132" s="63" t="s">
        <v>15609</v>
      </c>
      <c r="H132" s="63" t="s">
        <v>15598</v>
      </c>
      <c r="I132" s="63" t="s">
        <v>7749</v>
      </c>
    </row>
    <row r="133" spans="1:9" ht="22.05" customHeight="1" x14ac:dyDescent="0.3">
      <c r="A133" s="63" t="s">
        <v>15969</v>
      </c>
      <c r="B133" s="63" t="s">
        <v>15970</v>
      </c>
      <c r="C133" s="63" t="s">
        <v>15971</v>
      </c>
      <c r="D133" s="64" t="s">
        <v>15594</v>
      </c>
      <c r="E133" s="63" t="s">
        <v>15595</v>
      </c>
      <c r="F133" s="63" t="s">
        <v>15756</v>
      </c>
      <c r="G133" s="63" t="s">
        <v>15757</v>
      </c>
      <c r="H133" s="63" t="s">
        <v>15758</v>
      </c>
      <c r="I133" s="63" t="s">
        <v>7749</v>
      </c>
    </row>
    <row r="134" spans="1:9" ht="22.05" customHeight="1" x14ac:dyDescent="0.3">
      <c r="A134" s="63" t="s">
        <v>15972</v>
      </c>
      <c r="B134" s="63" t="s">
        <v>15973</v>
      </c>
      <c r="C134" s="63" t="s">
        <v>15974</v>
      </c>
      <c r="D134" s="64" t="s">
        <v>15594</v>
      </c>
      <c r="E134" s="63" t="s">
        <v>15595</v>
      </c>
      <c r="F134" s="63" t="s">
        <v>15756</v>
      </c>
      <c r="G134" s="63" t="s">
        <v>15757</v>
      </c>
      <c r="H134" s="63" t="s">
        <v>15758</v>
      </c>
      <c r="I134" s="63" t="s">
        <v>7749</v>
      </c>
    </row>
    <row r="135" spans="1:9" ht="10.95" customHeight="1" x14ac:dyDescent="0.3">
      <c r="A135" s="63" t="s">
        <v>15975</v>
      </c>
      <c r="B135" s="63" t="s">
        <v>13373</v>
      </c>
      <c r="C135" s="63" t="s">
        <v>15976</v>
      </c>
      <c r="D135" s="64" t="s">
        <v>15594</v>
      </c>
      <c r="E135" s="63" t="s">
        <v>15595</v>
      </c>
      <c r="F135" s="63" t="s">
        <v>15608</v>
      </c>
      <c r="G135" s="63" t="s">
        <v>15609</v>
      </c>
      <c r="H135" s="63" t="s">
        <v>15977</v>
      </c>
      <c r="I135" s="63" t="s">
        <v>15978</v>
      </c>
    </row>
    <row r="136" spans="1:9" ht="10.95" customHeight="1" x14ac:dyDescent="0.3">
      <c r="A136" s="63" t="s">
        <v>15979</v>
      </c>
      <c r="B136" s="63" t="s">
        <v>15980</v>
      </c>
      <c r="C136" s="63" t="s">
        <v>15981</v>
      </c>
      <c r="D136" s="64" t="s">
        <v>15594</v>
      </c>
      <c r="E136" s="63" t="s">
        <v>15595</v>
      </c>
      <c r="F136" s="63" t="s">
        <v>15608</v>
      </c>
      <c r="G136" s="63" t="s">
        <v>15609</v>
      </c>
      <c r="H136" s="63" t="s">
        <v>15598</v>
      </c>
      <c r="I136" s="63" t="s">
        <v>7749</v>
      </c>
    </row>
    <row r="137" spans="1:9" ht="10.95" customHeight="1" x14ac:dyDescent="0.3">
      <c r="A137" s="63" t="s">
        <v>15982</v>
      </c>
      <c r="B137" s="63" t="s">
        <v>15983</v>
      </c>
      <c r="C137" s="63" t="s">
        <v>15984</v>
      </c>
      <c r="D137" s="64" t="s">
        <v>15594</v>
      </c>
      <c r="E137" s="63" t="s">
        <v>15595</v>
      </c>
      <c r="F137" s="63" t="s">
        <v>15608</v>
      </c>
      <c r="G137" s="63" t="s">
        <v>15609</v>
      </c>
      <c r="H137" s="63" t="s">
        <v>15598</v>
      </c>
      <c r="I137" s="63" t="s">
        <v>7749</v>
      </c>
    </row>
    <row r="138" spans="1:9" ht="10.95" customHeight="1" x14ac:dyDescent="0.3">
      <c r="A138" s="63" t="s">
        <v>15985</v>
      </c>
      <c r="B138" s="63" t="s">
        <v>15986</v>
      </c>
      <c r="C138" s="63" t="s">
        <v>15987</v>
      </c>
      <c r="D138" s="64" t="s">
        <v>15594</v>
      </c>
      <c r="E138" s="63" t="s">
        <v>15595</v>
      </c>
      <c r="F138" s="63" t="s">
        <v>15608</v>
      </c>
      <c r="G138" s="63" t="s">
        <v>15609</v>
      </c>
      <c r="H138" s="63" t="s">
        <v>15598</v>
      </c>
      <c r="I138" s="63" t="s">
        <v>7749</v>
      </c>
    </row>
    <row r="139" spans="1:9" ht="22.05" customHeight="1" x14ac:dyDescent="0.3">
      <c r="A139" s="63" t="s">
        <v>15988</v>
      </c>
      <c r="B139" s="63" t="s">
        <v>15989</v>
      </c>
      <c r="C139" s="63" t="s">
        <v>15990</v>
      </c>
      <c r="D139" s="64" t="s">
        <v>15594</v>
      </c>
      <c r="E139" s="63" t="s">
        <v>15595</v>
      </c>
      <c r="F139" s="63" t="s">
        <v>15756</v>
      </c>
      <c r="G139" s="63" t="s">
        <v>15757</v>
      </c>
      <c r="H139" s="63" t="s">
        <v>15758</v>
      </c>
      <c r="I139" s="63" t="s">
        <v>7749</v>
      </c>
    </row>
    <row r="140" spans="1:9" ht="10.95" customHeight="1" x14ac:dyDescent="0.3">
      <c r="A140" s="63" t="s">
        <v>15991</v>
      </c>
      <c r="B140" s="63" t="s">
        <v>15992</v>
      </c>
      <c r="C140" s="63" t="s">
        <v>15993</v>
      </c>
      <c r="D140" s="64" t="s">
        <v>15594</v>
      </c>
      <c r="E140" s="63" t="s">
        <v>15595</v>
      </c>
      <c r="F140" s="63" t="s">
        <v>15608</v>
      </c>
      <c r="G140" s="63" t="s">
        <v>15609</v>
      </c>
      <c r="H140" s="63" t="s">
        <v>15598</v>
      </c>
      <c r="I140" s="63" t="s">
        <v>7749</v>
      </c>
    </row>
    <row r="141" spans="1:9" ht="22.05" customHeight="1" x14ac:dyDescent="0.3">
      <c r="A141" s="63" t="s">
        <v>15994</v>
      </c>
      <c r="B141" s="63" t="s">
        <v>15995</v>
      </c>
      <c r="C141" s="63" t="s">
        <v>15996</v>
      </c>
      <c r="D141" s="64" t="s">
        <v>15594</v>
      </c>
      <c r="E141" s="63" t="s">
        <v>15595</v>
      </c>
      <c r="F141" s="63" t="s">
        <v>15756</v>
      </c>
      <c r="G141" s="63" t="s">
        <v>15757</v>
      </c>
      <c r="H141" s="63" t="s">
        <v>15758</v>
      </c>
      <c r="I141" s="63" t="s">
        <v>7749</v>
      </c>
    </row>
    <row r="142" spans="1:9" ht="22.05" customHeight="1" x14ac:dyDescent="0.3">
      <c r="A142" s="63" t="s">
        <v>15997</v>
      </c>
      <c r="B142" s="63" t="s">
        <v>15998</v>
      </c>
      <c r="C142" s="63" t="s">
        <v>15999</v>
      </c>
      <c r="D142" s="64" t="s">
        <v>15594</v>
      </c>
      <c r="E142" s="63" t="s">
        <v>15595</v>
      </c>
      <c r="F142" s="63" t="s">
        <v>15756</v>
      </c>
      <c r="G142" s="63" t="s">
        <v>15757</v>
      </c>
      <c r="H142" s="63" t="s">
        <v>15758</v>
      </c>
      <c r="I142" s="63" t="s">
        <v>7749</v>
      </c>
    </row>
    <row r="143" spans="1:9" ht="22.05" customHeight="1" x14ac:dyDescent="0.3">
      <c r="A143" s="63" t="s">
        <v>16000</v>
      </c>
      <c r="B143" s="63" t="s">
        <v>16001</v>
      </c>
      <c r="C143" s="63" t="s">
        <v>16002</v>
      </c>
      <c r="D143" s="64" t="s">
        <v>15594</v>
      </c>
      <c r="E143" s="63" t="s">
        <v>15595</v>
      </c>
      <c r="F143" s="63" t="s">
        <v>15756</v>
      </c>
      <c r="G143" s="63" t="s">
        <v>15757</v>
      </c>
      <c r="H143" s="63" t="s">
        <v>15758</v>
      </c>
      <c r="I143" s="63" t="s">
        <v>7749</v>
      </c>
    </row>
    <row r="144" spans="1:9" ht="22.05" customHeight="1" x14ac:dyDescent="0.3">
      <c r="A144" s="63" t="s">
        <v>16003</v>
      </c>
      <c r="B144" s="63" t="s">
        <v>16004</v>
      </c>
      <c r="C144" s="63" t="s">
        <v>16005</v>
      </c>
      <c r="D144" s="64" t="s">
        <v>15594</v>
      </c>
      <c r="E144" s="63" t="s">
        <v>15595</v>
      </c>
      <c r="F144" s="63" t="s">
        <v>15756</v>
      </c>
      <c r="G144" s="63" t="s">
        <v>15757</v>
      </c>
      <c r="H144" s="63" t="s">
        <v>15758</v>
      </c>
      <c r="I144" s="63" t="s">
        <v>7749</v>
      </c>
    </row>
    <row r="145" spans="1:9" ht="22.05" customHeight="1" x14ac:dyDescent="0.3">
      <c r="A145" s="63" t="s">
        <v>16006</v>
      </c>
      <c r="B145" s="63" t="s">
        <v>16007</v>
      </c>
      <c r="C145" s="63" t="s">
        <v>16008</v>
      </c>
      <c r="D145" s="64" t="s">
        <v>15594</v>
      </c>
      <c r="E145" s="63" t="s">
        <v>15595</v>
      </c>
      <c r="F145" s="63" t="s">
        <v>15756</v>
      </c>
      <c r="G145" s="63" t="s">
        <v>15757</v>
      </c>
      <c r="H145" s="63" t="s">
        <v>15758</v>
      </c>
      <c r="I145" s="63" t="s">
        <v>7749</v>
      </c>
    </row>
    <row r="146" spans="1:9" ht="10.95" customHeight="1" x14ac:dyDescent="0.3">
      <c r="A146" s="63" t="s">
        <v>16009</v>
      </c>
      <c r="B146" s="63" t="s">
        <v>16010</v>
      </c>
      <c r="C146" s="63" t="s">
        <v>16011</v>
      </c>
      <c r="D146" s="64" t="s">
        <v>15594</v>
      </c>
      <c r="E146" s="63" t="s">
        <v>15595</v>
      </c>
      <c r="F146" s="63" t="s">
        <v>15608</v>
      </c>
      <c r="G146" s="63" t="s">
        <v>15609</v>
      </c>
      <c r="H146" s="63" t="s">
        <v>15598</v>
      </c>
      <c r="I146" s="63" t="s">
        <v>7749</v>
      </c>
    </row>
    <row r="147" spans="1:9" ht="10.95" customHeight="1" x14ac:dyDescent="0.3">
      <c r="A147" s="63" t="s">
        <v>17016</v>
      </c>
      <c r="B147" s="63" t="s">
        <v>17017</v>
      </c>
      <c r="C147" s="63" t="s">
        <v>17018</v>
      </c>
      <c r="D147" s="64" t="s">
        <v>15594</v>
      </c>
      <c r="E147" s="63" t="s">
        <v>15595</v>
      </c>
      <c r="F147" s="63" t="s">
        <v>15608</v>
      </c>
      <c r="G147" s="63" t="s">
        <v>15609</v>
      </c>
      <c r="H147" s="63" t="s">
        <v>15598</v>
      </c>
      <c r="I147" s="63" t="s">
        <v>7749</v>
      </c>
    </row>
    <row r="148" spans="1:9" ht="22.05" customHeight="1" x14ac:dyDescent="0.3">
      <c r="A148" s="63" t="s">
        <v>16012</v>
      </c>
      <c r="B148" s="63" t="s">
        <v>16013</v>
      </c>
      <c r="C148" s="63" t="s">
        <v>16014</v>
      </c>
      <c r="D148" s="64" t="s">
        <v>15594</v>
      </c>
      <c r="E148" s="63" t="s">
        <v>15595</v>
      </c>
      <c r="F148" s="63" t="s">
        <v>15756</v>
      </c>
      <c r="G148" s="63" t="s">
        <v>15757</v>
      </c>
      <c r="H148" s="63" t="s">
        <v>15758</v>
      </c>
      <c r="I148" s="63" t="s">
        <v>7749</v>
      </c>
    </row>
    <row r="149" spans="1:9" ht="22.05" customHeight="1" x14ac:dyDescent="0.3">
      <c r="A149" s="63" t="s">
        <v>16015</v>
      </c>
      <c r="B149" s="63" t="s">
        <v>16016</v>
      </c>
      <c r="C149" s="63" t="s">
        <v>16017</v>
      </c>
      <c r="D149" s="64" t="s">
        <v>15594</v>
      </c>
      <c r="E149" s="63" t="s">
        <v>15595</v>
      </c>
      <c r="F149" s="63" t="s">
        <v>15756</v>
      </c>
      <c r="G149" s="63" t="s">
        <v>15757</v>
      </c>
      <c r="H149" s="63" t="s">
        <v>15758</v>
      </c>
      <c r="I149" s="63" t="s">
        <v>7749</v>
      </c>
    </row>
    <row r="150" spans="1:9" ht="10.95" customHeight="1" x14ac:dyDescent="0.3">
      <c r="A150" s="63" t="s">
        <v>16018</v>
      </c>
      <c r="B150" s="63" t="s">
        <v>16019</v>
      </c>
      <c r="C150" s="63" t="s">
        <v>16020</v>
      </c>
      <c r="D150" s="64" t="s">
        <v>15594</v>
      </c>
      <c r="E150" s="63" t="s">
        <v>15595</v>
      </c>
      <c r="F150" s="63" t="s">
        <v>15608</v>
      </c>
      <c r="G150" s="63" t="s">
        <v>15609</v>
      </c>
      <c r="H150" s="63" t="s">
        <v>15598</v>
      </c>
      <c r="I150" s="63" t="s">
        <v>7749</v>
      </c>
    </row>
    <row r="151" spans="1:9" ht="10.95" customHeight="1" x14ac:dyDescent="0.3">
      <c r="A151" s="63" t="s">
        <v>16021</v>
      </c>
      <c r="B151" s="63" t="s">
        <v>16022</v>
      </c>
      <c r="C151" s="63" t="s">
        <v>16023</v>
      </c>
      <c r="D151" s="64" t="s">
        <v>15594</v>
      </c>
      <c r="E151" s="63" t="s">
        <v>15595</v>
      </c>
      <c r="F151" s="63" t="s">
        <v>15608</v>
      </c>
      <c r="G151" s="63" t="s">
        <v>15609</v>
      </c>
      <c r="H151" s="63" t="s">
        <v>15598</v>
      </c>
      <c r="I151" s="63" t="s">
        <v>7749</v>
      </c>
    </row>
    <row r="152" spans="1:9" ht="10.95" customHeight="1" x14ac:dyDescent="0.3">
      <c r="A152" s="63" t="s">
        <v>16024</v>
      </c>
      <c r="B152" s="63" t="s">
        <v>16025</v>
      </c>
      <c r="C152" s="63" t="s">
        <v>16026</v>
      </c>
      <c r="D152" s="64" t="s">
        <v>15594</v>
      </c>
      <c r="E152" s="63" t="s">
        <v>15595</v>
      </c>
      <c r="F152" s="63" t="s">
        <v>15608</v>
      </c>
      <c r="G152" s="63" t="s">
        <v>15609</v>
      </c>
      <c r="H152" s="63" t="s">
        <v>15598</v>
      </c>
      <c r="I152" s="63" t="s">
        <v>7749</v>
      </c>
    </row>
    <row r="153" spans="1:9" ht="22.05" customHeight="1" x14ac:dyDescent="0.3">
      <c r="A153" s="63" t="s">
        <v>16027</v>
      </c>
      <c r="B153" s="63" t="s">
        <v>16028</v>
      </c>
      <c r="C153" s="63" t="s">
        <v>16029</v>
      </c>
      <c r="D153" s="64" t="s">
        <v>15594</v>
      </c>
      <c r="E153" s="63" t="s">
        <v>15595</v>
      </c>
      <c r="F153" s="63" t="s">
        <v>15756</v>
      </c>
      <c r="G153" s="63" t="s">
        <v>15757</v>
      </c>
      <c r="H153" s="63" t="s">
        <v>15758</v>
      </c>
      <c r="I153" s="63" t="s">
        <v>7749</v>
      </c>
    </row>
    <row r="154" spans="1:9" ht="10.95" customHeight="1" x14ac:dyDescent="0.3">
      <c r="A154" s="63" t="s">
        <v>16030</v>
      </c>
      <c r="B154" s="63" t="s">
        <v>16031</v>
      </c>
      <c r="C154" s="63" t="s">
        <v>16032</v>
      </c>
      <c r="D154" s="64" t="s">
        <v>15594</v>
      </c>
      <c r="E154" s="63" t="s">
        <v>15595</v>
      </c>
      <c r="F154" s="63" t="s">
        <v>15608</v>
      </c>
      <c r="G154" s="63" t="s">
        <v>15609</v>
      </c>
      <c r="H154" s="63" t="s">
        <v>15598</v>
      </c>
      <c r="I154" s="63" t="s">
        <v>7749</v>
      </c>
    </row>
    <row r="155" spans="1:9" ht="10.95" customHeight="1" x14ac:dyDescent="0.3">
      <c r="A155" s="63" t="s">
        <v>16033</v>
      </c>
      <c r="B155" s="63" t="s">
        <v>16034</v>
      </c>
      <c r="C155" s="63" t="s">
        <v>16035</v>
      </c>
      <c r="D155" s="64" t="s">
        <v>15594</v>
      </c>
      <c r="E155" s="63" t="s">
        <v>15595</v>
      </c>
      <c r="F155" s="63" t="s">
        <v>15608</v>
      </c>
      <c r="G155" s="63" t="s">
        <v>15609</v>
      </c>
      <c r="H155" s="63" t="s">
        <v>15598</v>
      </c>
      <c r="I155" s="63" t="s">
        <v>7749</v>
      </c>
    </row>
    <row r="156" spans="1:9" ht="10.95" customHeight="1" x14ac:dyDescent="0.3">
      <c r="A156" s="63" t="s">
        <v>16036</v>
      </c>
      <c r="B156" s="63" t="s">
        <v>16037</v>
      </c>
      <c r="C156" s="63" t="s">
        <v>16038</v>
      </c>
      <c r="D156" s="64" t="s">
        <v>15594</v>
      </c>
      <c r="E156" s="63" t="s">
        <v>15595</v>
      </c>
      <c r="F156" s="63" t="s">
        <v>15608</v>
      </c>
      <c r="G156" s="63" t="s">
        <v>15609</v>
      </c>
      <c r="H156" s="63" t="s">
        <v>15598</v>
      </c>
      <c r="I156" s="63" t="s">
        <v>7749</v>
      </c>
    </row>
    <row r="157" spans="1:9" ht="10.95" customHeight="1" x14ac:dyDescent="0.3">
      <c r="A157" s="63" t="s">
        <v>16039</v>
      </c>
      <c r="B157" s="63" t="s">
        <v>16040</v>
      </c>
      <c r="C157" s="63" t="s">
        <v>16041</v>
      </c>
      <c r="D157" s="64" t="s">
        <v>15594</v>
      </c>
      <c r="E157" s="63" t="s">
        <v>15595</v>
      </c>
      <c r="F157" s="63" t="s">
        <v>15608</v>
      </c>
      <c r="G157" s="63" t="s">
        <v>15609</v>
      </c>
      <c r="H157" s="63" t="s">
        <v>15598</v>
      </c>
      <c r="I157" s="63" t="s">
        <v>7749</v>
      </c>
    </row>
    <row r="158" spans="1:9" ht="10.95" customHeight="1" x14ac:dyDescent="0.3">
      <c r="A158" s="63" t="s">
        <v>16042</v>
      </c>
      <c r="B158" s="63" t="s">
        <v>16043</v>
      </c>
      <c r="C158" s="63" t="s">
        <v>16044</v>
      </c>
      <c r="D158" s="64" t="s">
        <v>15594</v>
      </c>
      <c r="E158" s="63" t="s">
        <v>15595</v>
      </c>
      <c r="F158" s="63" t="s">
        <v>15608</v>
      </c>
      <c r="G158" s="63" t="s">
        <v>15609</v>
      </c>
      <c r="H158" s="63" t="s">
        <v>15598</v>
      </c>
      <c r="I158" s="63" t="s">
        <v>7749</v>
      </c>
    </row>
    <row r="159" spans="1:9" ht="22.05" customHeight="1" x14ac:dyDescent="0.3">
      <c r="A159" s="63" t="s">
        <v>16045</v>
      </c>
      <c r="B159" s="63" t="s">
        <v>16046</v>
      </c>
      <c r="C159" s="63" t="s">
        <v>16047</v>
      </c>
      <c r="D159" s="64" t="s">
        <v>15594</v>
      </c>
      <c r="E159" s="63" t="s">
        <v>15595</v>
      </c>
      <c r="F159" s="63" t="s">
        <v>15608</v>
      </c>
      <c r="G159" s="63" t="s">
        <v>15609</v>
      </c>
      <c r="H159" s="63" t="s">
        <v>15879</v>
      </c>
      <c r="I159" s="63" t="s">
        <v>15880</v>
      </c>
    </row>
    <row r="160" spans="1:9" ht="10.95" customHeight="1" x14ac:dyDescent="0.3">
      <c r="A160" s="63" t="s">
        <v>16048</v>
      </c>
      <c r="B160" s="63" t="s">
        <v>16049</v>
      </c>
      <c r="C160" s="63" t="s">
        <v>16050</v>
      </c>
      <c r="D160" s="64" t="s">
        <v>15594</v>
      </c>
      <c r="E160" s="63" t="s">
        <v>15595</v>
      </c>
      <c r="F160" s="63" t="s">
        <v>15608</v>
      </c>
      <c r="G160" s="63" t="s">
        <v>15609</v>
      </c>
      <c r="H160" s="63" t="s">
        <v>15598</v>
      </c>
      <c r="I160" s="63" t="s">
        <v>7749</v>
      </c>
    </row>
    <row r="161" spans="1:9" ht="22.05" customHeight="1" x14ac:dyDescent="0.3">
      <c r="A161" s="63" t="s">
        <v>16051</v>
      </c>
      <c r="B161" s="63" t="s">
        <v>16052</v>
      </c>
      <c r="C161" s="63" t="s">
        <v>16053</v>
      </c>
      <c r="D161" s="64" t="s">
        <v>15594</v>
      </c>
      <c r="E161" s="63" t="s">
        <v>15595</v>
      </c>
      <c r="F161" s="63" t="s">
        <v>15756</v>
      </c>
      <c r="G161" s="63" t="s">
        <v>15757</v>
      </c>
      <c r="H161" s="63" t="s">
        <v>15758</v>
      </c>
      <c r="I161" s="63" t="s">
        <v>7749</v>
      </c>
    </row>
    <row r="162" spans="1:9" ht="22.05" customHeight="1" x14ac:dyDescent="0.3">
      <c r="A162" s="63" t="s">
        <v>16054</v>
      </c>
      <c r="B162" s="63" t="s">
        <v>16055</v>
      </c>
      <c r="C162" s="63" t="s">
        <v>16056</v>
      </c>
      <c r="D162" s="64" t="s">
        <v>15594</v>
      </c>
      <c r="E162" s="63" t="s">
        <v>15595</v>
      </c>
      <c r="F162" s="63" t="s">
        <v>15756</v>
      </c>
      <c r="G162" s="63" t="s">
        <v>15757</v>
      </c>
      <c r="H162" s="63" t="s">
        <v>15758</v>
      </c>
      <c r="I162" s="63" t="s">
        <v>7749</v>
      </c>
    </row>
    <row r="163" spans="1:9" ht="10.95" customHeight="1" x14ac:dyDescent="0.3">
      <c r="A163" s="63" t="s">
        <v>16057</v>
      </c>
      <c r="B163" s="63" t="s">
        <v>16058</v>
      </c>
      <c r="C163" s="63" t="s">
        <v>16059</v>
      </c>
      <c r="D163" s="64" t="s">
        <v>15594</v>
      </c>
      <c r="E163" s="63" t="s">
        <v>15595</v>
      </c>
      <c r="F163" s="63" t="s">
        <v>15608</v>
      </c>
      <c r="G163" s="63" t="s">
        <v>15609</v>
      </c>
      <c r="H163" s="63" t="s">
        <v>15598</v>
      </c>
      <c r="I163" s="63" t="s">
        <v>7749</v>
      </c>
    </row>
    <row r="164" spans="1:9" ht="10.95" customHeight="1" x14ac:dyDescent="0.3">
      <c r="A164" s="63" t="s">
        <v>16060</v>
      </c>
      <c r="B164" s="63" t="s">
        <v>16061</v>
      </c>
      <c r="C164" s="63" t="s">
        <v>16062</v>
      </c>
      <c r="D164" s="64" t="s">
        <v>15594</v>
      </c>
      <c r="E164" s="63" t="s">
        <v>15595</v>
      </c>
      <c r="F164" s="63" t="s">
        <v>15608</v>
      </c>
      <c r="G164" s="63" t="s">
        <v>15609</v>
      </c>
      <c r="H164" s="63" t="s">
        <v>15598</v>
      </c>
      <c r="I164" s="63" t="s">
        <v>7749</v>
      </c>
    </row>
    <row r="165" spans="1:9" ht="22.05" customHeight="1" x14ac:dyDescent="0.3">
      <c r="A165" s="63" t="s">
        <v>16063</v>
      </c>
      <c r="B165" s="63" t="s">
        <v>16064</v>
      </c>
      <c r="C165" s="63" t="s">
        <v>16065</v>
      </c>
      <c r="D165" s="64" t="s">
        <v>15594</v>
      </c>
      <c r="E165" s="63" t="s">
        <v>15595</v>
      </c>
      <c r="F165" s="63" t="s">
        <v>15756</v>
      </c>
      <c r="G165" s="63" t="s">
        <v>15757</v>
      </c>
      <c r="H165" s="63" t="s">
        <v>15758</v>
      </c>
      <c r="I165" s="63" t="s">
        <v>7749</v>
      </c>
    </row>
    <row r="166" spans="1:9" ht="10.95" customHeight="1" x14ac:dyDescent="0.3">
      <c r="A166" s="63" t="s">
        <v>16066</v>
      </c>
      <c r="B166" s="63" t="s">
        <v>16067</v>
      </c>
      <c r="C166" s="63" t="s">
        <v>16068</v>
      </c>
      <c r="D166" s="64" t="s">
        <v>15594</v>
      </c>
      <c r="E166" s="63" t="s">
        <v>15595</v>
      </c>
      <c r="F166" s="63" t="s">
        <v>15608</v>
      </c>
      <c r="G166" s="63" t="s">
        <v>15609</v>
      </c>
      <c r="H166" s="63" t="s">
        <v>16069</v>
      </c>
      <c r="I166" s="63" t="s">
        <v>16070</v>
      </c>
    </row>
    <row r="167" spans="1:9" ht="10.95" customHeight="1" x14ac:dyDescent="0.3">
      <c r="A167" s="63" t="s">
        <v>16071</v>
      </c>
      <c r="B167" s="63" t="s">
        <v>16072</v>
      </c>
      <c r="C167" s="63" t="s">
        <v>16073</v>
      </c>
      <c r="D167" s="64" t="s">
        <v>15594</v>
      </c>
      <c r="E167" s="63" t="s">
        <v>15595</v>
      </c>
      <c r="F167" s="63" t="s">
        <v>15608</v>
      </c>
      <c r="G167" s="63" t="s">
        <v>15609</v>
      </c>
      <c r="H167" s="63" t="s">
        <v>16069</v>
      </c>
      <c r="I167" s="63" t="s">
        <v>16070</v>
      </c>
    </row>
    <row r="168" spans="1:9" ht="22.05" customHeight="1" x14ac:dyDescent="0.3">
      <c r="A168" s="63" t="s">
        <v>16074</v>
      </c>
      <c r="B168" s="63" t="s">
        <v>16075</v>
      </c>
      <c r="C168" s="63" t="s">
        <v>16076</v>
      </c>
      <c r="D168" s="64" t="s">
        <v>15594</v>
      </c>
      <c r="E168" s="63" t="s">
        <v>15595</v>
      </c>
      <c r="F168" s="63" t="s">
        <v>15608</v>
      </c>
      <c r="G168" s="63" t="s">
        <v>15609</v>
      </c>
      <c r="H168" s="63" t="s">
        <v>15598</v>
      </c>
      <c r="I168" s="63" t="s">
        <v>7749</v>
      </c>
    </row>
    <row r="169" spans="1:9" ht="10.95" customHeight="1" x14ac:dyDescent="0.3">
      <c r="A169" s="63" t="s">
        <v>16077</v>
      </c>
      <c r="B169" s="63" t="s">
        <v>16078</v>
      </c>
      <c r="C169" s="63" t="s">
        <v>16079</v>
      </c>
      <c r="D169" s="64" t="s">
        <v>15594</v>
      </c>
      <c r="E169" s="63" t="s">
        <v>15595</v>
      </c>
      <c r="F169" s="63" t="s">
        <v>15608</v>
      </c>
      <c r="G169" s="63" t="s">
        <v>15609</v>
      </c>
      <c r="H169" s="63" t="s">
        <v>16069</v>
      </c>
      <c r="I169" s="63" t="s">
        <v>16070</v>
      </c>
    </row>
    <row r="170" spans="1:9" ht="10.95" customHeight="1" x14ac:dyDescent="0.3">
      <c r="A170" s="63" t="s">
        <v>16080</v>
      </c>
      <c r="B170" s="63" t="s">
        <v>16081</v>
      </c>
      <c r="C170" s="63" t="s">
        <v>16082</v>
      </c>
      <c r="D170" s="64" t="s">
        <v>15594</v>
      </c>
      <c r="E170" s="63" t="s">
        <v>15595</v>
      </c>
      <c r="F170" s="63" t="s">
        <v>15608</v>
      </c>
      <c r="G170" s="63" t="s">
        <v>15609</v>
      </c>
      <c r="H170" s="63" t="s">
        <v>16069</v>
      </c>
      <c r="I170" s="63" t="s">
        <v>16070</v>
      </c>
    </row>
    <row r="171" spans="1:9" ht="10.95" customHeight="1" x14ac:dyDescent="0.3">
      <c r="A171" s="63" t="s">
        <v>16083</v>
      </c>
      <c r="B171" s="63" t="s">
        <v>16084</v>
      </c>
      <c r="C171" s="63" t="s">
        <v>16085</v>
      </c>
      <c r="D171" s="64" t="s">
        <v>15594</v>
      </c>
      <c r="E171" s="63" t="s">
        <v>15595</v>
      </c>
      <c r="F171" s="63" t="s">
        <v>15608</v>
      </c>
      <c r="G171" s="63" t="s">
        <v>15609</v>
      </c>
      <c r="H171" s="63" t="s">
        <v>15598</v>
      </c>
      <c r="I171" s="63" t="s">
        <v>7749</v>
      </c>
    </row>
    <row r="172" spans="1:9" ht="10.95" customHeight="1" x14ac:dyDescent="0.3">
      <c r="A172" s="63" t="s">
        <v>16086</v>
      </c>
      <c r="B172" s="63" t="s">
        <v>16087</v>
      </c>
      <c r="C172" s="63" t="s">
        <v>16088</v>
      </c>
      <c r="D172" s="64" t="s">
        <v>15594</v>
      </c>
      <c r="E172" s="63" t="s">
        <v>15595</v>
      </c>
      <c r="F172" s="63" t="s">
        <v>15608</v>
      </c>
      <c r="G172" s="63" t="s">
        <v>15609</v>
      </c>
      <c r="H172" s="63" t="s">
        <v>15598</v>
      </c>
      <c r="I172" s="63" t="s">
        <v>7749</v>
      </c>
    </row>
    <row r="173" spans="1:9" ht="10.95" customHeight="1" x14ac:dyDescent="0.3">
      <c r="A173" s="63" t="s">
        <v>16089</v>
      </c>
      <c r="B173" s="63" t="s">
        <v>16090</v>
      </c>
      <c r="C173" s="63" t="s">
        <v>16091</v>
      </c>
      <c r="D173" s="64" t="s">
        <v>15594</v>
      </c>
      <c r="E173" s="63" t="s">
        <v>15595</v>
      </c>
      <c r="F173" s="63" t="s">
        <v>15608</v>
      </c>
      <c r="G173" s="63" t="s">
        <v>15609</v>
      </c>
      <c r="H173" s="63" t="s">
        <v>15598</v>
      </c>
      <c r="I173" s="63" t="s">
        <v>7749</v>
      </c>
    </row>
    <row r="174" spans="1:9" ht="10.95" customHeight="1" x14ac:dyDescent="0.3">
      <c r="A174" s="63" t="s">
        <v>16092</v>
      </c>
      <c r="B174" s="63" t="s">
        <v>16093</v>
      </c>
      <c r="C174" s="63" t="s">
        <v>16094</v>
      </c>
      <c r="D174" s="64" t="s">
        <v>15594</v>
      </c>
      <c r="E174" s="63" t="s">
        <v>15595</v>
      </c>
      <c r="F174" s="63" t="s">
        <v>15608</v>
      </c>
      <c r="G174" s="63" t="s">
        <v>15609</v>
      </c>
      <c r="H174" s="63" t="s">
        <v>16095</v>
      </c>
      <c r="I174" s="63" t="s">
        <v>16096</v>
      </c>
    </row>
    <row r="175" spans="1:9" ht="10.95" customHeight="1" x14ac:dyDescent="0.3">
      <c r="A175" s="63" t="s">
        <v>16097</v>
      </c>
      <c r="B175" s="63" t="s">
        <v>16098</v>
      </c>
      <c r="C175" s="63" t="s">
        <v>16099</v>
      </c>
      <c r="D175" s="64" t="s">
        <v>15594</v>
      </c>
      <c r="E175" s="63" t="s">
        <v>15595</v>
      </c>
      <c r="F175" s="63" t="s">
        <v>15608</v>
      </c>
      <c r="G175" s="63" t="s">
        <v>15609</v>
      </c>
      <c r="H175" s="63" t="s">
        <v>16069</v>
      </c>
      <c r="I175" s="63" t="s">
        <v>16070</v>
      </c>
    </row>
    <row r="176" spans="1:9" ht="10.95" customHeight="1" x14ac:dyDescent="0.3">
      <c r="A176" s="63" t="s">
        <v>16100</v>
      </c>
      <c r="B176" s="63" t="s">
        <v>15030</v>
      </c>
      <c r="C176" s="63" t="s">
        <v>16101</v>
      </c>
      <c r="D176" s="64" t="s">
        <v>15594</v>
      </c>
      <c r="E176" s="63" t="s">
        <v>15595</v>
      </c>
      <c r="F176" s="63" t="s">
        <v>15608</v>
      </c>
      <c r="G176" s="63" t="s">
        <v>15609</v>
      </c>
      <c r="H176" s="63" t="s">
        <v>15598</v>
      </c>
      <c r="I176" s="63" t="s">
        <v>7749</v>
      </c>
    </row>
    <row r="177" spans="1:9" ht="10.95" customHeight="1" x14ac:dyDescent="0.3">
      <c r="A177" s="63" t="s">
        <v>16102</v>
      </c>
      <c r="B177" s="63" t="s">
        <v>16103</v>
      </c>
      <c r="C177" s="63" t="s">
        <v>16104</v>
      </c>
      <c r="D177" s="64" t="s">
        <v>15594</v>
      </c>
      <c r="E177" s="63" t="s">
        <v>15595</v>
      </c>
      <c r="F177" s="63" t="s">
        <v>15608</v>
      </c>
      <c r="G177" s="63" t="s">
        <v>15609</v>
      </c>
      <c r="H177" s="63" t="s">
        <v>16069</v>
      </c>
      <c r="I177" s="63" t="s">
        <v>16070</v>
      </c>
    </row>
    <row r="178" spans="1:9" ht="10.95" customHeight="1" x14ac:dyDescent="0.3">
      <c r="A178" s="63" t="s">
        <v>16105</v>
      </c>
      <c r="B178" s="63" t="s">
        <v>16106</v>
      </c>
      <c r="C178" s="63" t="s">
        <v>16107</v>
      </c>
      <c r="D178" s="64" t="s">
        <v>15594</v>
      </c>
      <c r="E178" s="63" t="s">
        <v>15595</v>
      </c>
      <c r="F178" s="63" t="s">
        <v>15608</v>
      </c>
      <c r="G178" s="63" t="s">
        <v>15609</v>
      </c>
      <c r="H178" s="63" t="s">
        <v>15977</v>
      </c>
      <c r="I178" s="63" t="s">
        <v>15978</v>
      </c>
    </row>
    <row r="179" spans="1:9" ht="10.95" customHeight="1" x14ac:dyDescent="0.3">
      <c r="A179" s="63" t="s">
        <v>16108</v>
      </c>
      <c r="B179" s="63" t="s">
        <v>16109</v>
      </c>
      <c r="C179" s="63" t="s">
        <v>16110</v>
      </c>
      <c r="D179" s="64" t="s">
        <v>15594</v>
      </c>
      <c r="E179" s="63" t="s">
        <v>15595</v>
      </c>
      <c r="F179" s="63" t="s">
        <v>15608</v>
      </c>
      <c r="G179" s="63" t="s">
        <v>15609</v>
      </c>
      <c r="H179" s="63" t="s">
        <v>15598</v>
      </c>
      <c r="I179" s="63" t="s">
        <v>7749</v>
      </c>
    </row>
    <row r="180" spans="1:9" ht="10.95" customHeight="1" x14ac:dyDescent="0.3">
      <c r="A180" s="63" t="s">
        <v>16111</v>
      </c>
      <c r="B180" s="63" t="s">
        <v>16112</v>
      </c>
      <c r="C180" s="63" t="s">
        <v>16113</v>
      </c>
      <c r="D180" s="64" t="s">
        <v>15594</v>
      </c>
      <c r="E180" s="63" t="s">
        <v>15595</v>
      </c>
      <c r="F180" s="63" t="s">
        <v>15608</v>
      </c>
      <c r="G180" s="63" t="s">
        <v>15609</v>
      </c>
      <c r="H180" s="63" t="s">
        <v>16069</v>
      </c>
      <c r="I180" s="63" t="s">
        <v>16070</v>
      </c>
    </row>
    <row r="181" spans="1:9" ht="10.95" customHeight="1" x14ac:dyDescent="0.3">
      <c r="A181" s="63" t="s">
        <v>16114</v>
      </c>
      <c r="B181" s="63" t="s">
        <v>16115</v>
      </c>
      <c r="C181" s="63" t="s">
        <v>16116</v>
      </c>
      <c r="D181" s="64" t="s">
        <v>15594</v>
      </c>
      <c r="E181" s="63" t="s">
        <v>15595</v>
      </c>
      <c r="F181" s="63" t="s">
        <v>15608</v>
      </c>
      <c r="G181" s="63" t="s">
        <v>15609</v>
      </c>
      <c r="H181" s="63" t="s">
        <v>15598</v>
      </c>
      <c r="I181" s="63" t="s">
        <v>7749</v>
      </c>
    </row>
    <row r="182" spans="1:9" ht="22.05" customHeight="1" x14ac:dyDescent="0.3">
      <c r="A182" s="63" t="s">
        <v>16117</v>
      </c>
      <c r="B182" s="63" t="s">
        <v>16118</v>
      </c>
      <c r="C182" s="63" t="s">
        <v>16119</v>
      </c>
      <c r="D182" s="64" t="s">
        <v>15594</v>
      </c>
      <c r="E182" s="63" t="s">
        <v>15595</v>
      </c>
      <c r="F182" s="63" t="s">
        <v>15608</v>
      </c>
      <c r="G182" s="63" t="s">
        <v>15609</v>
      </c>
      <c r="H182" s="63" t="s">
        <v>15879</v>
      </c>
      <c r="I182" s="63" t="s">
        <v>15880</v>
      </c>
    </row>
    <row r="183" spans="1:9" ht="10.95" customHeight="1" x14ac:dyDescent="0.3">
      <c r="A183" s="63" t="s">
        <v>16120</v>
      </c>
      <c r="B183" s="63" t="s">
        <v>16121</v>
      </c>
      <c r="C183" s="63" t="s">
        <v>16122</v>
      </c>
      <c r="D183" s="64" t="s">
        <v>15594</v>
      </c>
      <c r="E183" s="63" t="s">
        <v>15595</v>
      </c>
      <c r="F183" s="63" t="s">
        <v>15608</v>
      </c>
      <c r="G183" s="63" t="s">
        <v>15609</v>
      </c>
      <c r="H183" s="63" t="s">
        <v>15598</v>
      </c>
      <c r="I183" s="63" t="s">
        <v>7749</v>
      </c>
    </row>
    <row r="184" spans="1:9" ht="10.95" customHeight="1" x14ac:dyDescent="0.3">
      <c r="A184" s="63" t="s">
        <v>16123</v>
      </c>
      <c r="B184" s="63" t="s">
        <v>16124</v>
      </c>
      <c r="C184" s="63" t="s">
        <v>16125</v>
      </c>
      <c r="D184" s="64" t="s">
        <v>15594</v>
      </c>
      <c r="E184" s="63" t="s">
        <v>15595</v>
      </c>
      <c r="F184" s="63" t="s">
        <v>15608</v>
      </c>
      <c r="G184" s="63" t="s">
        <v>15609</v>
      </c>
      <c r="H184" s="63" t="s">
        <v>15598</v>
      </c>
      <c r="I184" s="63" t="s">
        <v>7749</v>
      </c>
    </row>
    <row r="185" spans="1:9" ht="10.95" customHeight="1" x14ac:dyDescent="0.3">
      <c r="A185" s="63" t="s">
        <v>16126</v>
      </c>
      <c r="B185" s="63" t="s">
        <v>16127</v>
      </c>
      <c r="C185" s="63" t="s">
        <v>16128</v>
      </c>
      <c r="D185" s="64" t="s">
        <v>15594</v>
      </c>
      <c r="E185" s="63" t="s">
        <v>15595</v>
      </c>
      <c r="F185" s="63" t="s">
        <v>15608</v>
      </c>
      <c r="G185" s="63" t="s">
        <v>15609</v>
      </c>
      <c r="H185" s="63" t="s">
        <v>16095</v>
      </c>
      <c r="I185" s="63" t="s">
        <v>16096</v>
      </c>
    </row>
    <row r="186" spans="1:9" ht="22.05" customHeight="1" x14ac:dyDescent="0.3">
      <c r="A186" s="63" t="s">
        <v>16129</v>
      </c>
      <c r="B186" s="63" t="s">
        <v>16130</v>
      </c>
      <c r="C186" s="63" t="s">
        <v>16131</v>
      </c>
      <c r="D186" s="64" t="s">
        <v>15594</v>
      </c>
      <c r="E186" s="63" t="s">
        <v>15595</v>
      </c>
      <c r="F186" s="63" t="s">
        <v>15756</v>
      </c>
      <c r="G186" s="63" t="s">
        <v>15757</v>
      </c>
      <c r="H186" s="63" t="s">
        <v>15758</v>
      </c>
      <c r="I186" s="63" t="s">
        <v>7749</v>
      </c>
    </row>
    <row r="187" spans="1:9" ht="10.95" customHeight="1" x14ac:dyDescent="0.3">
      <c r="A187" s="63" t="s">
        <v>16132</v>
      </c>
      <c r="B187" s="63" t="s">
        <v>16133</v>
      </c>
      <c r="C187" s="63" t="s">
        <v>16134</v>
      </c>
      <c r="D187" s="64" t="s">
        <v>15594</v>
      </c>
      <c r="E187" s="63" t="s">
        <v>15595</v>
      </c>
      <c r="F187" s="63" t="s">
        <v>15608</v>
      </c>
      <c r="G187" s="63" t="s">
        <v>15609</v>
      </c>
      <c r="H187" s="63" t="s">
        <v>16069</v>
      </c>
      <c r="I187" s="63" t="s">
        <v>16070</v>
      </c>
    </row>
    <row r="188" spans="1:9" ht="10.95" customHeight="1" x14ac:dyDescent="0.3">
      <c r="A188" s="63" t="s">
        <v>16135</v>
      </c>
      <c r="B188" s="63" t="s">
        <v>16136</v>
      </c>
      <c r="C188" s="63" t="s">
        <v>16137</v>
      </c>
      <c r="D188" s="64" t="s">
        <v>15594</v>
      </c>
      <c r="E188" s="63" t="s">
        <v>15595</v>
      </c>
      <c r="F188" s="63" t="s">
        <v>15608</v>
      </c>
      <c r="G188" s="63" t="s">
        <v>15609</v>
      </c>
      <c r="H188" s="63" t="s">
        <v>15598</v>
      </c>
      <c r="I188" s="63" t="s">
        <v>7749</v>
      </c>
    </row>
    <row r="189" spans="1:9" ht="10.95" customHeight="1" x14ac:dyDescent="0.3">
      <c r="A189" s="63" t="s">
        <v>16138</v>
      </c>
      <c r="B189" s="63" t="s">
        <v>16139</v>
      </c>
      <c r="C189" s="63" t="s">
        <v>16140</v>
      </c>
      <c r="D189" s="64" t="s">
        <v>15594</v>
      </c>
      <c r="E189" s="63" t="s">
        <v>15595</v>
      </c>
      <c r="F189" s="63" t="s">
        <v>15608</v>
      </c>
      <c r="G189" s="63" t="s">
        <v>15609</v>
      </c>
      <c r="H189" s="63" t="s">
        <v>15598</v>
      </c>
      <c r="I189" s="63" t="s">
        <v>7749</v>
      </c>
    </row>
    <row r="190" spans="1:9" ht="10.95" customHeight="1" x14ac:dyDescent="0.3">
      <c r="A190" s="63" t="s">
        <v>16141</v>
      </c>
      <c r="B190" s="63" t="s">
        <v>16142</v>
      </c>
      <c r="C190" s="63" t="s">
        <v>16143</v>
      </c>
      <c r="D190" s="64" t="s">
        <v>15594</v>
      </c>
      <c r="E190" s="63" t="s">
        <v>15595</v>
      </c>
      <c r="F190" s="63" t="s">
        <v>15608</v>
      </c>
      <c r="G190" s="63" t="s">
        <v>15609</v>
      </c>
      <c r="H190" s="63" t="s">
        <v>16069</v>
      </c>
      <c r="I190" s="63" t="s">
        <v>16070</v>
      </c>
    </row>
    <row r="191" spans="1:9" ht="10.95" customHeight="1" x14ac:dyDescent="0.3">
      <c r="A191" s="63" t="s">
        <v>16144</v>
      </c>
      <c r="B191" s="63" t="s">
        <v>16145</v>
      </c>
      <c r="C191" s="63" t="s">
        <v>16146</v>
      </c>
      <c r="D191" s="64" t="s">
        <v>15594</v>
      </c>
      <c r="E191" s="63" t="s">
        <v>15595</v>
      </c>
      <c r="F191" s="63" t="s">
        <v>15608</v>
      </c>
      <c r="G191" s="63" t="s">
        <v>15609</v>
      </c>
      <c r="H191" s="63" t="s">
        <v>15598</v>
      </c>
      <c r="I191" s="63" t="s">
        <v>7749</v>
      </c>
    </row>
    <row r="192" spans="1:9" ht="10.95" customHeight="1" x14ac:dyDescent="0.3">
      <c r="A192" s="63" t="s">
        <v>16147</v>
      </c>
      <c r="B192" s="63" t="s">
        <v>16148</v>
      </c>
      <c r="C192" s="63" t="s">
        <v>16149</v>
      </c>
      <c r="D192" s="64" t="s">
        <v>15594</v>
      </c>
      <c r="E192" s="63" t="s">
        <v>15595</v>
      </c>
      <c r="F192" s="63" t="s">
        <v>15608</v>
      </c>
      <c r="G192" s="63" t="s">
        <v>15609</v>
      </c>
      <c r="H192" s="63" t="s">
        <v>16069</v>
      </c>
      <c r="I192" s="63" t="s">
        <v>16070</v>
      </c>
    </row>
    <row r="193" spans="1:9" ht="10.95" customHeight="1" x14ac:dyDescent="0.3">
      <c r="A193" s="63" t="s">
        <v>16150</v>
      </c>
      <c r="B193" s="63" t="s">
        <v>16151</v>
      </c>
      <c r="C193" s="63" t="s">
        <v>16152</v>
      </c>
      <c r="D193" s="64" t="s">
        <v>15594</v>
      </c>
      <c r="E193" s="63" t="s">
        <v>15595</v>
      </c>
      <c r="F193" s="63" t="s">
        <v>15608</v>
      </c>
      <c r="G193" s="63" t="s">
        <v>15609</v>
      </c>
      <c r="H193" s="63" t="s">
        <v>15598</v>
      </c>
      <c r="I193" s="63" t="s">
        <v>7749</v>
      </c>
    </row>
    <row r="194" spans="1:9" ht="10.95" customHeight="1" x14ac:dyDescent="0.3">
      <c r="A194" s="63" t="s">
        <v>16153</v>
      </c>
      <c r="B194" s="63" t="s">
        <v>16154</v>
      </c>
      <c r="C194" s="63" t="s">
        <v>16155</v>
      </c>
      <c r="D194" s="64" t="s">
        <v>15594</v>
      </c>
      <c r="E194" s="63" t="s">
        <v>15595</v>
      </c>
      <c r="F194" s="63" t="s">
        <v>15608</v>
      </c>
      <c r="G194" s="63" t="s">
        <v>15609</v>
      </c>
      <c r="H194" s="63" t="s">
        <v>15598</v>
      </c>
      <c r="I194" s="63" t="s">
        <v>7749</v>
      </c>
    </row>
    <row r="195" spans="1:9" ht="10.95" customHeight="1" x14ac:dyDescent="0.3">
      <c r="A195" s="63" t="s">
        <v>16156</v>
      </c>
      <c r="B195" s="63" t="s">
        <v>16157</v>
      </c>
      <c r="C195" s="63" t="s">
        <v>16158</v>
      </c>
      <c r="D195" s="64" t="s">
        <v>15594</v>
      </c>
      <c r="E195" s="63" t="s">
        <v>15595</v>
      </c>
      <c r="F195" s="63" t="s">
        <v>15608</v>
      </c>
      <c r="G195" s="63" t="s">
        <v>15609</v>
      </c>
      <c r="H195" s="63" t="s">
        <v>16069</v>
      </c>
      <c r="I195" s="63" t="s">
        <v>16070</v>
      </c>
    </row>
    <row r="196" spans="1:9" ht="22.05" customHeight="1" x14ac:dyDescent="0.3">
      <c r="A196" s="63" t="s">
        <v>16159</v>
      </c>
      <c r="B196" s="63" t="s">
        <v>16160</v>
      </c>
      <c r="C196" s="63" t="s">
        <v>16161</v>
      </c>
      <c r="D196" s="64" t="s">
        <v>15594</v>
      </c>
      <c r="E196" s="63" t="s">
        <v>15595</v>
      </c>
      <c r="F196" s="63" t="s">
        <v>15756</v>
      </c>
      <c r="G196" s="63" t="s">
        <v>15757</v>
      </c>
      <c r="H196" s="63" t="s">
        <v>15758</v>
      </c>
      <c r="I196" s="63" t="s">
        <v>7749</v>
      </c>
    </row>
    <row r="197" spans="1:9" ht="22.05" customHeight="1" x14ac:dyDescent="0.3">
      <c r="A197" s="63" t="s">
        <v>16162</v>
      </c>
      <c r="B197" s="63" t="s">
        <v>16163</v>
      </c>
      <c r="C197" s="63" t="s">
        <v>16164</v>
      </c>
      <c r="D197" s="64" t="s">
        <v>15594</v>
      </c>
      <c r="E197" s="63" t="s">
        <v>15595</v>
      </c>
      <c r="F197" s="63" t="s">
        <v>15756</v>
      </c>
      <c r="G197" s="63" t="s">
        <v>15757</v>
      </c>
      <c r="H197" s="63" t="s">
        <v>15758</v>
      </c>
      <c r="I197" s="63" t="s">
        <v>7749</v>
      </c>
    </row>
    <row r="198" spans="1:9" ht="10.95" customHeight="1" x14ac:dyDescent="0.3">
      <c r="A198" s="63" t="s">
        <v>16165</v>
      </c>
      <c r="B198" s="63" t="s">
        <v>16166</v>
      </c>
      <c r="C198" s="63" t="s">
        <v>16167</v>
      </c>
      <c r="D198" s="64" t="s">
        <v>15594</v>
      </c>
      <c r="E198" s="63" t="s">
        <v>15595</v>
      </c>
      <c r="F198" s="63" t="s">
        <v>15608</v>
      </c>
      <c r="G198" s="63" t="s">
        <v>15609</v>
      </c>
      <c r="H198" s="63" t="s">
        <v>15598</v>
      </c>
      <c r="I198" s="63" t="s">
        <v>7749</v>
      </c>
    </row>
    <row r="199" spans="1:9" ht="22.05" customHeight="1" x14ac:dyDescent="0.3">
      <c r="A199" s="63" t="s">
        <v>16168</v>
      </c>
      <c r="B199" s="63" t="s">
        <v>16169</v>
      </c>
      <c r="C199" s="63" t="s">
        <v>16170</v>
      </c>
      <c r="D199" s="64" t="s">
        <v>15594</v>
      </c>
      <c r="E199" s="63" t="s">
        <v>15595</v>
      </c>
      <c r="F199" s="63" t="s">
        <v>15756</v>
      </c>
      <c r="G199" s="63" t="s">
        <v>15757</v>
      </c>
      <c r="H199" s="63" t="s">
        <v>15758</v>
      </c>
      <c r="I199" s="63" t="s">
        <v>7749</v>
      </c>
    </row>
    <row r="200" spans="1:9" ht="10.95" customHeight="1" x14ac:dyDescent="0.3">
      <c r="A200" s="63" t="s">
        <v>16171</v>
      </c>
      <c r="B200" s="63" t="s">
        <v>16172</v>
      </c>
      <c r="C200" s="63" t="s">
        <v>16173</v>
      </c>
      <c r="D200" s="64" t="s">
        <v>15594</v>
      </c>
      <c r="E200" s="63" t="s">
        <v>15595</v>
      </c>
      <c r="F200" s="63" t="s">
        <v>15608</v>
      </c>
      <c r="G200" s="63" t="s">
        <v>15609</v>
      </c>
      <c r="H200" s="63" t="s">
        <v>16069</v>
      </c>
      <c r="I200" s="63" t="s">
        <v>16070</v>
      </c>
    </row>
    <row r="201" spans="1:9" ht="10.95" customHeight="1" x14ac:dyDescent="0.3">
      <c r="A201" s="63" t="s">
        <v>16174</v>
      </c>
      <c r="B201" s="63" t="s">
        <v>16175</v>
      </c>
      <c r="C201" s="63" t="s">
        <v>16176</v>
      </c>
      <c r="D201" s="64" t="s">
        <v>15594</v>
      </c>
      <c r="E201" s="63" t="s">
        <v>15595</v>
      </c>
      <c r="F201" s="63" t="s">
        <v>15608</v>
      </c>
      <c r="G201" s="63" t="s">
        <v>15609</v>
      </c>
      <c r="H201" s="63" t="s">
        <v>15598</v>
      </c>
      <c r="I201" s="63" t="s">
        <v>7749</v>
      </c>
    </row>
    <row r="202" spans="1:9" ht="10.95" customHeight="1" x14ac:dyDescent="0.3">
      <c r="A202" s="63" t="s">
        <v>16177</v>
      </c>
      <c r="B202" s="63" t="s">
        <v>16178</v>
      </c>
      <c r="C202" s="63" t="s">
        <v>16179</v>
      </c>
      <c r="D202" s="64" t="s">
        <v>15594</v>
      </c>
      <c r="E202" s="63" t="s">
        <v>15595</v>
      </c>
      <c r="F202" s="63" t="s">
        <v>15608</v>
      </c>
      <c r="G202" s="63" t="s">
        <v>15609</v>
      </c>
      <c r="H202" s="63" t="s">
        <v>16069</v>
      </c>
      <c r="I202" s="63" t="s">
        <v>16070</v>
      </c>
    </row>
    <row r="203" spans="1:9" ht="10.95" customHeight="1" x14ac:dyDescent="0.3">
      <c r="A203" s="63" t="s">
        <v>16180</v>
      </c>
      <c r="B203" s="63" t="s">
        <v>16181</v>
      </c>
      <c r="C203" s="63" t="s">
        <v>16182</v>
      </c>
      <c r="D203" s="64" t="s">
        <v>15594</v>
      </c>
      <c r="E203" s="63" t="s">
        <v>15595</v>
      </c>
      <c r="F203" s="63" t="s">
        <v>15608</v>
      </c>
      <c r="G203" s="63" t="s">
        <v>15609</v>
      </c>
      <c r="H203" s="63" t="s">
        <v>16069</v>
      </c>
      <c r="I203" s="63" t="s">
        <v>16070</v>
      </c>
    </row>
    <row r="204" spans="1:9" ht="10.95" customHeight="1" x14ac:dyDescent="0.3">
      <c r="A204" s="63" t="s">
        <v>16183</v>
      </c>
      <c r="B204" s="63" t="s">
        <v>16184</v>
      </c>
      <c r="C204" s="63" t="s">
        <v>16185</v>
      </c>
      <c r="D204" s="64" t="s">
        <v>15594</v>
      </c>
      <c r="E204" s="63" t="s">
        <v>15595</v>
      </c>
      <c r="F204" s="63" t="s">
        <v>15608</v>
      </c>
      <c r="G204" s="63" t="s">
        <v>15609</v>
      </c>
      <c r="H204" s="63" t="s">
        <v>15879</v>
      </c>
      <c r="I204" s="63" t="s">
        <v>15880</v>
      </c>
    </row>
    <row r="205" spans="1:9" ht="22.05" customHeight="1" x14ac:dyDescent="0.3">
      <c r="A205" s="63" t="s">
        <v>16186</v>
      </c>
      <c r="B205" s="63" t="s">
        <v>16187</v>
      </c>
      <c r="C205" s="63" t="s">
        <v>16188</v>
      </c>
      <c r="D205" s="64" t="s">
        <v>15594</v>
      </c>
      <c r="E205" s="63" t="s">
        <v>15595</v>
      </c>
      <c r="F205" s="63" t="s">
        <v>15608</v>
      </c>
      <c r="G205" s="63" t="s">
        <v>15609</v>
      </c>
      <c r="H205" s="63" t="s">
        <v>15879</v>
      </c>
      <c r="I205" s="63" t="s">
        <v>15880</v>
      </c>
    </row>
    <row r="206" spans="1:9" ht="10.95" customHeight="1" x14ac:dyDescent="0.3">
      <c r="A206" s="63" t="s">
        <v>16189</v>
      </c>
      <c r="B206" s="63" t="s">
        <v>16190</v>
      </c>
      <c r="C206" s="63" t="s">
        <v>16191</v>
      </c>
      <c r="D206" s="64" t="s">
        <v>15594</v>
      </c>
      <c r="E206" s="63" t="s">
        <v>15595</v>
      </c>
      <c r="F206" s="63" t="s">
        <v>15608</v>
      </c>
      <c r="G206" s="63" t="s">
        <v>15609</v>
      </c>
      <c r="H206" s="63" t="s">
        <v>16069</v>
      </c>
      <c r="I206" s="63" t="s">
        <v>16070</v>
      </c>
    </row>
    <row r="207" spans="1:9" ht="10.95" customHeight="1" x14ac:dyDescent="0.3">
      <c r="A207" s="63" t="s">
        <v>16192</v>
      </c>
      <c r="B207" s="63" t="s">
        <v>16193</v>
      </c>
      <c r="C207" s="63" t="s">
        <v>16194</v>
      </c>
      <c r="D207" s="64" t="s">
        <v>15594</v>
      </c>
      <c r="E207" s="63" t="s">
        <v>15595</v>
      </c>
      <c r="F207" s="63" t="s">
        <v>15608</v>
      </c>
      <c r="G207" s="63" t="s">
        <v>15609</v>
      </c>
      <c r="H207" s="63" t="s">
        <v>15598</v>
      </c>
      <c r="I207" s="63" t="s">
        <v>7749</v>
      </c>
    </row>
    <row r="208" spans="1:9" ht="10.95" customHeight="1" x14ac:dyDescent="0.3">
      <c r="A208" s="63" t="s">
        <v>16195</v>
      </c>
      <c r="B208" s="63" t="s">
        <v>16196</v>
      </c>
      <c r="C208" s="63" t="s">
        <v>16197</v>
      </c>
      <c r="D208" s="64" t="s">
        <v>15594</v>
      </c>
      <c r="E208" s="63" t="s">
        <v>15595</v>
      </c>
      <c r="F208" s="63" t="s">
        <v>15608</v>
      </c>
      <c r="G208" s="63" t="s">
        <v>15609</v>
      </c>
      <c r="H208" s="63" t="s">
        <v>15598</v>
      </c>
      <c r="I208" s="63" t="s">
        <v>7749</v>
      </c>
    </row>
    <row r="209" spans="1:9" ht="10.95" customHeight="1" x14ac:dyDescent="0.3">
      <c r="A209" s="63" t="s">
        <v>16198</v>
      </c>
      <c r="B209" s="63" t="s">
        <v>16199</v>
      </c>
      <c r="C209" s="63" t="s">
        <v>16200</v>
      </c>
      <c r="D209" s="64" t="s">
        <v>15594</v>
      </c>
      <c r="E209" s="63" t="s">
        <v>15595</v>
      </c>
      <c r="F209" s="63" t="s">
        <v>15608</v>
      </c>
      <c r="G209" s="63" t="s">
        <v>15609</v>
      </c>
      <c r="H209" s="63" t="s">
        <v>15598</v>
      </c>
      <c r="I209" s="63" t="s">
        <v>7749</v>
      </c>
    </row>
    <row r="210" spans="1:9" ht="10.95" customHeight="1" x14ac:dyDescent="0.3">
      <c r="A210" s="63" t="s">
        <v>16201</v>
      </c>
      <c r="B210" s="63" t="s">
        <v>16202</v>
      </c>
      <c r="C210" s="63" t="s">
        <v>16203</v>
      </c>
      <c r="D210" s="64" t="s">
        <v>15594</v>
      </c>
      <c r="E210" s="63" t="s">
        <v>15595</v>
      </c>
      <c r="F210" s="63" t="s">
        <v>15608</v>
      </c>
      <c r="G210" s="63" t="s">
        <v>15609</v>
      </c>
      <c r="H210" s="63" t="s">
        <v>15598</v>
      </c>
      <c r="I210" s="63" t="s">
        <v>7749</v>
      </c>
    </row>
    <row r="211" spans="1:9" ht="10.95" customHeight="1" x14ac:dyDescent="0.3">
      <c r="A211" s="63" t="s">
        <v>16204</v>
      </c>
      <c r="B211" s="63" t="s">
        <v>16205</v>
      </c>
      <c r="C211" s="63" t="s">
        <v>16206</v>
      </c>
      <c r="D211" s="64" t="s">
        <v>15594</v>
      </c>
      <c r="E211" s="63" t="s">
        <v>15595</v>
      </c>
      <c r="F211" s="63" t="s">
        <v>15608</v>
      </c>
      <c r="G211" s="63" t="s">
        <v>15609</v>
      </c>
      <c r="H211" s="63" t="s">
        <v>15598</v>
      </c>
      <c r="I211" s="63" t="s">
        <v>7749</v>
      </c>
    </row>
    <row r="212" spans="1:9" ht="10.95" customHeight="1" x14ac:dyDescent="0.3">
      <c r="A212" s="63" t="s">
        <v>16207</v>
      </c>
      <c r="B212" s="63" t="s">
        <v>16208</v>
      </c>
      <c r="C212" s="63" t="s">
        <v>16209</v>
      </c>
      <c r="D212" s="64" t="s">
        <v>15594</v>
      </c>
      <c r="E212" s="63" t="s">
        <v>15595</v>
      </c>
      <c r="F212" s="63" t="s">
        <v>15608</v>
      </c>
      <c r="G212" s="63" t="s">
        <v>15609</v>
      </c>
      <c r="H212" s="63" t="s">
        <v>15598</v>
      </c>
      <c r="I212" s="63" t="s">
        <v>7749</v>
      </c>
    </row>
    <row r="213" spans="1:9" ht="10.95" customHeight="1" x14ac:dyDescent="0.3">
      <c r="A213" s="63" t="s">
        <v>16210</v>
      </c>
      <c r="B213" s="63" t="s">
        <v>16211</v>
      </c>
      <c r="C213" s="63" t="s">
        <v>16212</v>
      </c>
      <c r="D213" s="64" t="s">
        <v>15594</v>
      </c>
      <c r="E213" s="63" t="s">
        <v>15595</v>
      </c>
      <c r="F213" s="63" t="s">
        <v>15608</v>
      </c>
      <c r="G213" s="63" t="s">
        <v>15609</v>
      </c>
      <c r="H213" s="63" t="s">
        <v>16069</v>
      </c>
      <c r="I213" s="63" t="s">
        <v>16070</v>
      </c>
    </row>
    <row r="214" spans="1:9" ht="10.95" customHeight="1" x14ac:dyDescent="0.3">
      <c r="A214" s="63" t="s">
        <v>16213</v>
      </c>
      <c r="B214" s="63" t="s">
        <v>16214</v>
      </c>
      <c r="C214" s="63" t="s">
        <v>16215</v>
      </c>
      <c r="D214" s="64" t="s">
        <v>15594</v>
      </c>
      <c r="E214" s="63" t="s">
        <v>15595</v>
      </c>
      <c r="F214" s="63" t="s">
        <v>15608</v>
      </c>
      <c r="G214" s="63" t="s">
        <v>15609</v>
      </c>
      <c r="H214" s="63" t="s">
        <v>15598</v>
      </c>
      <c r="I214" s="63" t="s">
        <v>7749</v>
      </c>
    </row>
    <row r="215" spans="1:9" ht="10.95" customHeight="1" x14ac:dyDescent="0.3">
      <c r="A215" s="63" t="s">
        <v>16216</v>
      </c>
      <c r="B215" s="63" t="s">
        <v>16217</v>
      </c>
      <c r="C215" s="63" t="s">
        <v>16218</v>
      </c>
      <c r="D215" s="64" t="s">
        <v>15594</v>
      </c>
      <c r="E215" s="63" t="s">
        <v>15595</v>
      </c>
      <c r="F215" s="63" t="s">
        <v>15608</v>
      </c>
      <c r="G215" s="63" t="s">
        <v>15609</v>
      </c>
      <c r="H215" s="63" t="s">
        <v>16069</v>
      </c>
      <c r="I215" s="63" t="s">
        <v>16070</v>
      </c>
    </row>
    <row r="216" spans="1:9" ht="10.95" customHeight="1" x14ac:dyDescent="0.3">
      <c r="A216" s="63" t="s">
        <v>16219</v>
      </c>
      <c r="B216" s="63" t="s">
        <v>16220</v>
      </c>
      <c r="C216" s="63" t="s">
        <v>16221</v>
      </c>
      <c r="D216" s="64" t="s">
        <v>15594</v>
      </c>
      <c r="E216" s="63" t="s">
        <v>15595</v>
      </c>
      <c r="F216" s="63" t="s">
        <v>15608</v>
      </c>
      <c r="G216" s="63" t="s">
        <v>15609</v>
      </c>
      <c r="H216" s="63" t="s">
        <v>15598</v>
      </c>
      <c r="I216" s="63" t="s">
        <v>7749</v>
      </c>
    </row>
    <row r="217" spans="1:9" ht="10.95" customHeight="1" x14ac:dyDescent="0.3">
      <c r="A217" s="63" t="s">
        <v>16222</v>
      </c>
      <c r="B217" s="63" t="s">
        <v>16223</v>
      </c>
      <c r="C217" s="63" t="s">
        <v>16224</v>
      </c>
      <c r="D217" s="64" t="s">
        <v>15594</v>
      </c>
      <c r="E217" s="63" t="s">
        <v>15595</v>
      </c>
      <c r="F217" s="63" t="s">
        <v>15608</v>
      </c>
      <c r="G217" s="63" t="s">
        <v>15609</v>
      </c>
      <c r="H217" s="63" t="s">
        <v>15598</v>
      </c>
      <c r="I217" s="63" t="s">
        <v>7749</v>
      </c>
    </row>
    <row r="218" spans="1:9" ht="10.95" customHeight="1" x14ac:dyDescent="0.3">
      <c r="A218" s="63" t="s">
        <v>16225</v>
      </c>
      <c r="B218" s="63" t="s">
        <v>16226</v>
      </c>
      <c r="C218" s="63" t="s">
        <v>16227</v>
      </c>
      <c r="D218" s="64" t="s">
        <v>15594</v>
      </c>
      <c r="E218" s="63" t="s">
        <v>15595</v>
      </c>
      <c r="F218" s="63" t="s">
        <v>15608</v>
      </c>
      <c r="G218" s="63" t="s">
        <v>15609</v>
      </c>
      <c r="H218" s="63" t="s">
        <v>15598</v>
      </c>
      <c r="I218" s="63" t="s">
        <v>7749</v>
      </c>
    </row>
    <row r="219" spans="1:9" ht="10.95" customHeight="1" x14ac:dyDescent="0.3">
      <c r="A219" s="63" t="s">
        <v>16228</v>
      </c>
      <c r="B219" s="63" t="s">
        <v>16229</v>
      </c>
      <c r="C219" s="63" t="s">
        <v>16230</v>
      </c>
      <c r="D219" s="64" t="s">
        <v>15594</v>
      </c>
      <c r="E219" s="63" t="s">
        <v>15595</v>
      </c>
      <c r="F219" s="63" t="s">
        <v>15608</v>
      </c>
      <c r="G219" s="63" t="s">
        <v>15609</v>
      </c>
      <c r="H219" s="63" t="s">
        <v>15598</v>
      </c>
      <c r="I219" s="63" t="s">
        <v>7749</v>
      </c>
    </row>
    <row r="220" spans="1:9" ht="10.95" customHeight="1" x14ac:dyDescent="0.3">
      <c r="A220" s="63" t="s">
        <v>16231</v>
      </c>
      <c r="B220" s="63" t="s">
        <v>16232</v>
      </c>
      <c r="C220" s="63" t="s">
        <v>16233</v>
      </c>
      <c r="D220" s="64" t="s">
        <v>15594</v>
      </c>
      <c r="E220" s="63" t="s">
        <v>15595</v>
      </c>
      <c r="F220" s="63" t="s">
        <v>15608</v>
      </c>
      <c r="G220" s="63" t="s">
        <v>15609</v>
      </c>
      <c r="H220" s="63" t="s">
        <v>16069</v>
      </c>
      <c r="I220" s="63" t="s">
        <v>16070</v>
      </c>
    </row>
    <row r="221" spans="1:9" ht="10.95" customHeight="1" x14ac:dyDescent="0.3">
      <c r="A221" s="63" t="s">
        <v>16234</v>
      </c>
      <c r="B221" s="63" t="s">
        <v>16235</v>
      </c>
      <c r="C221" s="63" t="s">
        <v>16236</v>
      </c>
      <c r="D221" s="64" t="s">
        <v>15594</v>
      </c>
      <c r="E221" s="63" t="s">
        <v>15595</v>
      </c>
      <c r="F221" s="63" t="s">
        <v>15608</v>
      </c>
      <c r="G221" s="63" t="s">
        <v>15609</v>
      </c>
      <c r="H221" s="63" t="s">
        <v>15879</v>
      </c>
      <c r="I221" s="63" t="s">
        <v>15880</v>
      </c>
    </row>
    <row r="222" spans="1:9" ht="10.95" customHeight="1" x14ac:dyDescent="0.3">
      <c r="A222" s="63" t="s">
        <v>16237</v>
      </c>
      <c r="B222" s="63" t="s">
        <v>16238</v>
      </c>
      <c r="C222" s="63" t="s">
        <v>16239</v>
      </c>
      <c r="D222" s="64" t="s">
        <v>15594</v>
      </c>
      <c r="E222" s="63" t="s">
        <v>15595</v>
      </c>
      <c r="F222" s="63" t="s">
        <v>15608</v>
      </c>
      <c r="G222" s="63" t="s">
        <v>15609</v>
      </c>
      <c r="H222" s="63" t="s">
        <v>16069</v>
      </c>
      <c r="I222" s="63" t="s">
        <v>16070</v>
      </c>
    </row>
    <row r="223" spans="1:9" ht="22.05" customHeight="1" x14ac:dyDescent="0.3">
      <c r="A223" s="63" t="s">
        <v>16240</v>
      </c>
      <c r="B223" s="63" t="s">
        <v>16241</v>
      </c>
      <c r="C223" s="63" t="s">
        <v>16242</v>
      </c>
      <c r="D223" s="64" t="s">
        <v>15594</v>
      </c>
      <c r="E223" s="63" t="s">
        <v>15595</v>
      </c>
      <c r="F223" s="63" t="s">
        <v>15756</v>
      </c>
      <c r="G223" s="63" t="s">
        <v>15757</v>
      </c>
      <c r="H223" s="63" t="s">
        <v>15758</v>
      </c>
      <c r="I223" s="63" t="s">
        <v>7749</v>
      </c>
    </row>
    <row r="224" spans="1:9" ht="10.95" customHeight="1" x14ac:dyDescent="0.3">
      <c r="A224" s="63" t="s">
        <v>16243</v>
      </c>
      <c r="B224" s="63" t="s">
        <v>16244</v>
      </c>
      <c r="C224" s="63" t="s">
        <v>16245</v>
      </c>
      <c r="D224" s="64" t="s">
        <v>15594</v>
      </c>
      <c r="E224" s="63" t="s">
        <v>15595</v>
      </c>
      <c r="F224" s="63" t="s">
        <v>15608</v>
      </c>
      <c r="G224" s="63" t="s">
        <v>15609</v>
      </c>
      <c r="H224" s="63" t="s">
        <v>16069</v>
      </c>
      <c r="I224" s="63" t="s">
        <v>16070</v>
      </c>
    </row>
    <row r="225" spans="1:9" ht="10.95" customHeight="1" x14ac:dyDescent="0.3">
      <c r="A225" s="63" t="s">
        <v>16246</v>
      </c>
      <c r="B225" s="63" t="s">
        <v>16247</v>
      </c>
      <c r="C225" s="63" t="s">
        <v>16248</v>
      </c>
      <c r="D225" s="64" t="s">
        <v>15594</v>
      </c>
      <c r="E225" s="63" t="s">
        <v>15595</v>
      </c>
      <c r="F225" s="63" t="s">
        <v>15608</v>
      </c>
      <c r="G225" s="63" t="s">
        <v>15609</v>
      </c>
      <c r="H225" s="63" t="s">
        <v>15598</v>
      </c>
      <c r="I225" s="63" t="s">
        <v>7749</v>
      </c>
    </row>
    <row r="226" spans="1:9" ht="10.95" customHeight="1" x14ac:dyDescent="0.3">
      <c r="A226" s="63" t="s">
        <v>16249</v>
      </c>
      <c r="B226" s="63" t="s">
        <v>16250</v>
      </c>
      <c r="C226" s="63" t="s">
        <v>16251</v>
      </c>
      <c r="D226" s="64" t="s">
        <v>15594</v>
      </c>
      <c r="E226" s="63" t="s">
        <v>15595</v>
      </c>
      <c r="F226" s="63" t="s">
        <v>15608</v>
      </c>
      <c r="G226" s="63" t="s">
        <v>15609</v>
      </c>
      <c r="H226" s="63" t="s">
        <v>15598</v>
      </c>
      <c r="I226" s="63" t="s">
        <v>7749</v>
      </c>
    </row>
    <row r="227" spans="1:9" ht="22.05" customHeight="1" x14ac:dyDescent="0.3">
      <c r="A227" s="63" t="s">
        <v>16252</v>
      </c>
      <c r="B227" s="63" t="s">
        <v>16253</v>
      </c>
      <c r="C227" s="63" t="s">
        <v>16254</v>
      </c>
      <c r="D227" s="64" t="s">
        <v>15594</v>
      </c>
      <c r="E227" s="63" t="s">
        <v>15595</v>
      </c>
      <c r="F227" s="63" t="s">
        <v>15756</v>
      </c>
      <c r="G227" s="63" t="s">
        <v>15757</v>
      </c>
      <c r="H227" s="63" t="s">
        <v>15879</v>
      </c>
      <c r="I227" s="63" t="s">
        <v>15880</v>
      </c>
    </row>
    <row r="228" spans="1:9" ht="10.95" customHeight="1" x14ac:dyDescent="0.3">
      <c r="A228" s="63" t="s">
        <v>16255</v>
      </c>
      <c r="B228" s="63" t="s">
        <v>16256</v>
      </c>
      <c r="C228" s="63" t="s">
        <v>16257</v>
      </c>
      <c r="D228" s="64" t="s">
        <v>15594</v>
      </c>
      <c r="E228" s="63" t="s">
        <v>15595</v>
      </c>
      <c r="F228" s="63" t="s">
        <v>15608</v>
      </c>
      <c r="G228" s="63" t="s">
        <v>15609</v>
      </c>
      <c r="H228" s="63" t="s">
        <v>15598</v>
      </c>
      <c r="I228" s="63" t="s">
        <v>7749</v>
      </c>
    </row>
    <row r="229" spans="1:9" ht="10.95" customHeight="1" x14ac:dyDescent="0.3">
      <c r="A229" s="63" t="s">
        <v>16258</v>
      </c>
      <c r="B229" s="63" t="s">
        <v>15853</v>
      </c>
      <c r="C229" s="63" t="s">
        <v>16259</v>
      </c>
      <c r="D229" s="64" t="s">
        <v>15594</v>
      </c>
      <c r="E229" s="63" t="s">
        <v>15595</v>
      </c>
      <c r="F229" s="63" t="s">
        <v>15608</v>
      </c>
      <c r="G229" s="63" t="s">
        <v>15609</v>
      </c>
      <c r="H229" s="63" t="s">
        <v>16095</v>
      </c>
      <c r="I229" s="63" t="s">
        <v>16096</v>
      </c>
    </row>
    <row r="230" spans="1:9" ht="10.95" customHeight="1" x14ac:dyDescent="0.3">
      <c r="A230" s="63" t="s">
        <v>16260</v>
      </c>
      <c r="B230" s="63" t="s">
        <v>16261</v>
      </c>
      <c r="C230" s="63" t="s">
        <v>16262</v>
      </c>
      <c r="D230" s="64" t="s">
        <v>15594</v>
      </c>
      <c r="E230" s="63" t="s">
        <v>15595</v>
      </c>
      <c r="F230" s="63" t="s">
        <v>15608</v>
      </c>
      <c r="G230" s="63" t="s">
        <v>15609</v>
      </c>
      <c r="H230" s="63" t="s">
        <v>16095</v>
      </c>
      <c r="I230" s="63" t="s">
        <v>16096</v>
      </c>
    </row>
    <row r="231" spans="1:9" ht="22.05" customHeight="1" x14ac:dyDescent="0.3">
      <c r="A231" s="63" t="s">
        <v>16263</v>
      </c>
      <c r="B231" s="63" t="s">
        <v>16264</v>
      </c>
      <c r="C231" s="63" t="s">
        <v>16265</v>
      </c>
      <c r="D231" s="64" t="s">
        <v>15594</v>
      </c>
      <c r="E231" s="63" t="s">
        <v>15595</v>
      </c>
      <c r="F231" s="63" t="s">
        <v>15756</v>
      </c>
      <c r="G231" s="63" t="s">
        <v>15757</v>
      </c>
      <c r="H231" s="63" t="s">
        <v>16095</v>
      </c>
      <c r="I231" s="63" t="s">
        <v>16096</v>
      </c>
    </row>
    <row r="232" spans="1:9" ht="10.95" customHeight="1" x14ac:dyDescent="0.3">
      <c r="A232" s="63" t="s">
        <v>16266</v>
      </c>
      <c r="B232" s="63" t="s">
        <v>16267</v>
      </c>
      <c r="C232" s="63" t="s">
        <v>16268</v>
      </c>
      <c r="D232" s="64" t="s">
        <v>15594</v>
      </c>
      <c r="E232" s="63" t="s">
        <v>15595</v>
      </c>
      <c r="F232" s="63" t="s">
        <v>15608</v>
      </c>
      <c r="G232" s="63" t="s">
        <v>15609</v>
      </c>
      <c r="H232" s="63" t="s">
        <v>15598</v>
      </c>
      <c r="I232" s="63" t="s">
        <v>7749</v>
      </c>
    </row>
    <row r="233" spans="1:9" ht="10.95" customHeight="1" x14ac:dyDescent="0.3">
      <c r="A233" s="63" t="s">
        <v>16269</v>
      </c>
      <c r="B233" s="63" t="s">
        <v>16270</v>
      </c>
      <c r="C233" s="63" t="s">
        <v>16271</v>
      </c>
      <c r="D233" s="64" t="s">
        <v>15594</v>
      </c>
      <c r="E233" s="63" t="s">
        <v>15595</v>
      </c>
      <c r="F233" s="63" t="s">
        <v>15608</v>
      </c>
      <c r="G233" s="63" t="s">
        <v>15609</v>
      </c>
      <c r="H233" s="63" t="s">
        <v>15598</v>
      </c>
      <c r="I233" s="63" t="s">
        <v>7749</v>
      </c>
    </row>
    <row r="234" spans="1:9" ht="10.95" customHeight="1" x14ac:dyDescent="0.3">
      <c r="A234" s="63" t="s">
        <v>16272</v>
      </c>
      <c r="B234" s="63" t="s">
        <v>16273</v>
      </c>
      <c r="C234" s="63" t="s">
        <v>16274</v>
      </c>
      <c r="D234" s="64" t="s">
        <v>15594</v>
      </c>
      <c r="E234" s="63" t="s">
        <v>15595</v>
      </c>
      <c r="F234" s="63" t="s">
        <v>15608</v>
      </c>
      <c r="G234" s="63" t="s">
        <v>15609</v>
      </c>
      <c r="H234" s="63" t="s">
        <v>16069</v>
      </c>
      <c r="I234" s="63" t="s">
        <v>16070</v>
      </c>
    </row>
    <row r="235" spans="1:9" ht="22.05" customHeight="1" x14ac:dyDescent="0.3">
      <c r="A235" s="63" t="s">
        <v>16275</v>
      </c>
      <c r="B235" s="63" t="s">
        <v>16276</v>
      </c>
      <c r="C235" s="63" t="s">
        <v>16277</v>
      </c>
      <c r="D235" s="64" t="s">
        <v>15594</v>
      </c>
      <c r="E235" s="63" t="s">
        <v>15595</v>
      </c>
      <c r="F235" s="63" t="s">
        <v>15608</v>
      </c>
      <c r="G235" s="63" t="s">
        <v>15609</v>
      </c>
      <c r="H235" s="63" t="s">
        <v>15598</v>
      </c>
      <c r="I235" s="63" t="s">
        <v>7749</v>
      </c>
    </row>
    <row r="236" spans="1:9" ht="33" customHeight="1" x14ac:dyDescent="0.3">
      <c r="A236" s="63" t="s">
        <v>16278</v>
      </c>
      <c r="B236" s="63" t="s">
        <v>13349</v>
      </c>
      <c r="C236" s="63" t="s">
        <v>16279</v>
      </c>
      <c r="D236" s="64" t="s">
        <v>15594</v>
      </c>
      <c r="E236" s="63" t="s">
        <v>15595</v>
      </c>
      <c r="F236" s="63" t="s">
        <v>15608</v>
      </c>
      <c r="G236" s="63" t="s">
        <v>15609</v>
      </c>
      <c r="H236" s="63" t="s">
        <v>15598</v>
      </c>
      <c r="I236" s="63" t="s">
        <v>7749</v>
      </c>
    </row>
    <row r="237" spans="1:9" ht="10.95" customHeight="1" x14ac:dyDescent="0.3">
      <c r="A237" s="63" t="s">
        <v>16280</v>
      </c>
      <c r="B237" s="63" t="s">
        <v>16281</v>
      </c>
      <c r="C237" s="63" t="s">
        <v>16282</v>
      </c>
      <c r="D237" s="64" t="s">
        <v>15594</v>
      </c>
      <c r="E237" s="63" t="s">
        <v>15595</v>
      </c>
      <c r="F237" s="63" t="s">
        <v>15608</v>
      </c>
      <c r="G237" s="63" t="s">
        <v>15609</v>
      </c>
      <c r="H237" s="63" t="s">
        <v>15598</v>
      </c>
      <c r="I237" s="63" t="s">
        <v>7749</v>
      </c>
    </row>
    <row r="238" spans="1:9" ht="10.95" customHeight="1" x14ac:dyDescent="0.3">
      <c r="A238" s="63" t="s">
        <v>16283</v>
      </c>
      <c r="B238" s="63" t="s">
        <v>16284</v>
      </c>
      <c r="C238" s="63" t="s">
        <v>16285</v>
      </c>
      <c r="D238" s="64" t="s">
        <v>15594</v>
      </c>
      <c r="E238" s="63" t="s">
        <v>15595</v>
      </c>
      <c r="F238" s="63" t="s">
        <v>15608</v>
      </c>
      <c r="G238" s="63" t="s">
        <v>15609</v>
      </c>
      <c r="H238" s="63" t="s">
        <v>15598</v>
      </c>
      <c r="I238" s="63" t="s">
        <v>7749</v>
      </c>
    </row>
    <row r="239" spans="1:9" ht="10.95" customHeight="1" x14ac:dyDescent="0.3">
      <c r="A239" s="63" t="s">
        <v>16286</v>
      </c>
      <c r="B239" s="63" t="s">
        <v>16287</v>
      </c>
      <c r="C239" s="63" t="s">
        <v>16288</v>
      </c>
      <c r="D239" s="64" t="s">
        <v>15594</v>
      </c>
      <c r="E239" s="63" t="s">
        <v>15595</v>
      </c>
      <c r="F239" s="63" t="s">
        <v>15608</v>
      </c>
      <c r="G239" s="63" t="s">
        <v>15609</v>
      </c>
      <c r="H239" s="63" t="s">
        <v>15598</v>
      </c>
      <c r="I239" s="63" t="s">
        <v>7749</v>
      </c>
    </row>
    <row r="240" spans="1:9" ht="10.95" customHeight="1" x14ac:dyDescent="0.3">
      <c r="A240" s="63" t="s">
        <v>16289</v>
      </c>
      <c r="B240" s="63" t="s">
        <v>16290</v>
      </c>
      <c r="C240" s="63" t="s">
        <v>16291</v>
      </c>
      <c r="D240" s="64" t="s">
        <v>15594</v>
      </c>
      <c r="E240" s="63" t="s">
        <v>15595</v>
      </c>
      <c r="F240" s="63" t="s">
        <v>15608</v>
      </c>
      <c r="G240" s="63" t="s">
        <v>15609</v>
      </c>
      <c r="H240" s="63" t="s">
        <v>15598</v>
      </c>
      <c r="I240" s="63" t="s">
        <v>7749</v>
      </c>
    </row>
    <row r="241" spans="1:9" ht="10.95" customHeight="1" x14ac:dyDescent="0.3">
      <c r="A241" s="63" t="s">
        <v>17019</v>
      </c>
      <c r="B241" s="63" t="s">
        <v>17020</v>
      </c>
      <c r="C241" s="63" t="s">
        <v>17021</v>
      </c>
      <c r="D241" s="64" t="s">
        <v>15594</v>
      </c>
      <c r="E241" s="63" t="s">
        <v>15595</v>
      </c>
      <c r="F241" s="63" t="s">
        <v>15608</v>
      </c>
      <c r="G241" s="63" t="s">
        <v>15609</v>
      </c>
      <c r="H241" s="63" t="s">
        <v>15598</v>
      </c>
      <c r="I241" s="63" t="s">
        <v>7749</v>
      </c>
    </row>
    <row r="242" spans="1:9" ht="10.95" customHeight="1" x14ac:dyDescent="0.3">
      <c r="A242" s="63" t="s">
        <v>16292</v>
      </c>
      <c r="B242" s="63" t="s">
        <v>16293</v>
      </c>
      <c r="C242" s="63" t="s">
        <v>16294</v>
      </c>
      <c r="D242" s="64" t="s">
        <v>15594</v>
      </c>
      <c r="E242" s="63" t="s">
        <v>15595</v>
      </c>
      <c r="F242" s="63" t="s">
        <v>15608</v>
      </c>
      <c r="G242" s="63" t="s">
        <v>15609</v>
      </c>
      <c r="H242" s="63" t="s">
        <v>15598</v>
      </c>
      <c r="I242" s="63" t="s">
        <v>7749</v>
      </c>
    </row>
    <row r="243" spans="1:9" ht="22.05" customHeight="1" x14ac:dyDescent="0.3">
      <c r="A243" s="63" t="s">
        <v>16295</v>
      </c>
      <c r="B243" s="63" t="s">
        <v>16296</v>
      </c>
      <c r="C243" s="63" t="s">
        <v>16297</v>
      </c>
      <c r="D243" s="64" t="s">
        <v>15594</v>
      </c>
      <c r="E243" s="63" t="s">
        <v>15595</v>
      </c>
      <c r="F243" s="63" t="s">
        <v>15756</v>
      </c>
      <c r="G243" s="63" t="s">
        <v>15757</v>
      </c>
      <c r="H243" s="63" t="s">
        <v>15758</v>
      </c>
      <c r="I243" s="63" t="s">
        <v>7749</v>
      </c>
    </row>
    <row r="244" spans="1:9" ht="10.95" customHeight="1" x14ac:dyDescent="0.3">
      <c r="A244" s="63" t="s">
        <v>16298</v>
      </c>
      <c r="B244" s="63" t="s">
        <v>16299</v>
      </c>
      <c r="C244" s="63" t="s">
        <v>16300</v>
      </c>
      <c r="D244" s="64" t="s">
        <v>15594</v>
      </c>
      <c r="E244" s="63" t="s">
        <v>15595</v>
      </c>
      <c r="F244" s="63" t="s">
        <v>15608</v>
      </c>
      <c r="G244" s="63" t="s">
        <v>15609</v>
      </c>
      <c r="H244" s="63" t="s">
        <v>15977</v>
      </c>
      <c r="I244" s="63" t="s">
        <v>15978</v>
      </c>
    </row>
    <row r="245" spans="1:9" ht="10.95" customHeight="1" x14ac:dyDescent="0.3">
      <c r="A245" s="63" t="s">
        <v>16301</v>
      </c>
      <c r="B245" s="63" t="s">
        <v>16302</v>
      </c>
      <c r="C245" s="63" t="s">
        <v>16303</v>
      </c>
      <c r="D245" s="64" t="s">
        <v>15594</v>
      </c>
      <c r="E245" s="63" t="s">
        <v>15595</v>
      </c>
      <c r="F245" s="63" t="s">
        <v>15608</v>
      </c>
      <c r="G245" s="63" t="s">
        <v>15609</v>
      </c>
      <c r="H245" s="63" t="s">
        <v>15977</v>
      </c>
      <c r="I245" s="63" t="s">
        <v>15978</v>
      </c>
    </row>
    <row r="246" spans="1:9" ht="10.95" customHeight="1" x14ac:dyDescent="0.3">
      <c r="A246" s="63" t="s">
        <v>16304</v>
      </c>
      <c r="B246" s="63" t="s">
        <v>16305</v>
      </c>
      <c r="C246" s="63" t="s">
        <v>16306</v>
      </c>
      <c r="D246" s="64" t="s">
        <v>15594</v>
      </c>
      <c r="E246" s="63" t="s">
        <v>15595</v>
      </c>
      <c r="F246" s="63" t="s">
        <v>15608</v>
      </c>
      <c r="G246" s="63" t="s">
        <v>15609</v>
      </c>
      <c r="H246" s="63" t="s">
        <v>15977</v>
      </c>
      <c r="I246" s="63" t="s">
        <v>15978</v>
      </c>
    </row>
    <row r="247" spans="1:9" ht="10.95" customHeight="1" x14ac:dyDescent="0.3">
      <c r="A247" s="63" t="s">
        <v>16307</v>
      </c>
      <c r="B247" s="63" t="s">
        <v>16308</v>
      </c>
      <c r="C247" s="63" t="s">
        <v>16309</v>
      </c>
      <c r="D247" s="64" t="s">
        <v>15594</v>
      </c>
      <c r="E247" s="63" t="s">
        <v>15595</v>
      </c>
      <c r="F247" s="63" t="s">
        <v>15608</v>
      </c>
      <c r="G247" s="63" t="s">
        <v>15609</v>
      </c>
      <c r="H247" s="63" t="s">
        <v>16069</v>
      </c>
      <c r="I247" s="63" t="s">
        <v>16070</v>
      </c>
    </row>
    <row r="248" spans="1:9" ht="10.95" customHeight="1" x14ac:dyDescent="0.3">
      <c r="A248" s="63" t="s">
        <v>16310</v>
      </c>
      <c r="B248" s="63" t="s">
        <v>15667</v>
      </c>
      <c r="C248" s="63" t="s">
        <v>16311</v>
      </c>
      <c r="D248" s="64" t="s">
        <v>15594</v>
      </c>
      <c r="E248" s="63" t="s">
        <v>15595</v>
      </c>
      <c r="F248" s="63" t="s">
        <v>15608</v>
      </c>
      <c r="G248" s="63" t="s">
        <v>15609</v>
      </c>
      <c r="H248" s="63" t="s">
        <v>16069</v>
      </c>
      <c r="I248" s="63" t="s">
        <v>16070</v>
      </c>
    </row>
    <row r="249" spans="1:9" ht="10.95" customHeight="1" x14ac:dyDescent="0.3">
      <c r="A249" s="63" t="s">
        <v>16312</v>
      </c>
      <c r="B249" s="63" t="s">
        <v>16313</v>
      </c>
      <c r="C249" s="63" t="s">
        <v>16314</v>
      </c>
      <c r="D249" s="64" t="s">
        <v>15594</v>
      </c>
      <c r="E249" s="63" t="s">
        <v>15595</v>
      </c>
      <c r="F249" s="63" t="s">
        <v>15608</v>
      </c>
      <c r="G249" s="63" t="s">
        <v>15609</v>
      </c>
      <c r="H249" s="63" t="s">
        <v>15598</v>
      </c>
      <c r="I249" s="63" t="s">
        <v>7749</v>
      </c>
    </row>
    <row r="250" spans="1:9" ht="10.95" customHeight="1" x14ac:dyDescent="0.3">
      <c r="A250" s="63" t="s">
        <v>16315</v>
      </c>
      <c r="B250" s="63" t="s">
        <v>16316</v>
      </c>
      <c r="C250" s="63" t="s">
        <v>16317</v>
      </c>
      <c r="D250" s="64" t="s">
        <v>15594</v>
      </c>
      <c r="E250" s="63" t="s">
        <v>15595</v>
      </c>
      <c r="F250" s="63" t="s">
        <v>15608</v>
      </c>
      <c r="G250" s="63" t="s">
        <v>15609</v>
      </c>
      <c r="H250" s="63" t="s">
        <v>15598</v>
      </c>
      <c r="I250" s="63" t="s">
        <v>7749</v>
      </c>
    </row>
    <row r="251" spans="1:9" ht="10.95" customHeight="1" x14ac:dyDescent="0.3">
      <c r="A251" s="63" t="s">
        <v>16318</v>
      </c>
      <c r="B251" s="63" t="s">
        <v>16319</v>
      </c>
      <c r="C251" s="63" t="s">
        <v>16320</v>
      </c>
      <c r="D251" s="64" t="s">
        <v>15594</v>
      </c>
      <c r="E251" s="63" t="s">
        <v>15595</v>
      </c>
      <c r="F251" s="63" t="s">
        <v>15608</v>
      </c>
      <c r="G251" s="63" t="s">
        <v>15609</v>
      </c>
      <c r="H251" s="63" t="s">
        <v>15598</v>
      </c>
      <c r="I251" s="63" t="s">
        <v>7749</v>
      </c>
    </row>
    <row r="252" spans="1:9" ht="10.95" customHeight="1" x14ac:dyDescent="0.3">
      <c r="A252" s="63" t="s">
        <v>16321</v>
      </c>
      <c r="B252" s="63" t="s">
        <v>16322</v>
      </c>
      <c r="C252" s="63" t="s">
        <v>16323</v>
      </c>
      <c r="D252" s="64" t="s">
        <v>15594</v>
      </c>
      <c r="E252" s="63" t="s">
        <v>15595</v>
      </c>
      <c r="F252" s="63" t="s">
        <v>15608</v>
      </c>
      <c r="G252" s="63" t="s">
        <v>15609</v>
      </c>
      <c r="H252" s="63" t="s">
        <v>15977</v>
      </c>
      <c r="I252" s="63" t="s">
        <v>15978</v>
      </c>
    </row>
    <row r="253" spans="1:9" ht="10.95" customHeight="1" x14ac:dyDescent="0.3">
      <c r="A253" s="63" t="s">
        <v>16324</v>
      </c>
      <c r="B253" s="63" t="s">
        <v>16325</v>
      </c>
      <c r="C253" s="63" t="s">
        <v>16326</v>
      </c>
      <c r="D253" s="64" t="s">
        <v>15594</v>
      </c>
      <c r="E253" s="63" t="s">
        <v>15595</v>
      </c>
      <c r="F253" s="63" t="s">
        <v>16327</v>
      </c>
      <c r="G253" s="63" t="s">
        <v>16328</v>
      </c>
      <c r="H253" s="63" t="s">
        <v>16069</v>
      </c>
      <c r="I253" s="63" t="s">
        <v>16070</v>
      </c>
    </row>
    <row r="254" spans="1:9" ht="10.95" customHeight="1" x14ac:dyDescent="0.3">
      <c r="A254" s="63" t="s">
        <v>16329</v>
      </c>
      <c r="B254" s="63" t="s">
        <v>16330</v>
      </c>
      <c r="C254" s="63" t="s">
        <v>16331</v>
      </c>
      <c r="D254" s="64" t="s">
        <v>15594</v>
      </c>
      <c r="E254" s="63" t="s">
        <v>15595</v>
      </c>
      <c r="F254" s="63" t="s">
        <v>15608</v>
      </c>
      <c r="G254" s="63" t="s">
        <v>15609</v>
      </c>
      <c r="H254" s="63" t="s">
        <v>16069</v>
      </c>
      <c r="I254" s="63" t="s">
        <v>16070</v>
      </c>
    </row>
    <row r="255" spans="1:9" ht="10.95" customHeight="1" x14ac:dyDescent="0.3">
      <c r="A255" s="63" t="s">
        <v>16332</v>
      </c>
      <c r="B255" s="63" t="s">
        <v>16333</v>
      </c>
      <c r="C255" s="63" t="s">
        <v>16334</v>
      </c>
      <c r="D255" s="64" t="s">
        <v>15594</v>
      </c>
      <c r="E255" s="63" t="s">
        <v>15595</v>
      </c>
      <c r="F255" s="63" t="s">
        <v>15608</v>
      </c>
      <c r="G255" s="63" t="s">
        <v>15609</v>
      </c>
      <c r="H255" s="63" t="s">
        <v>15879</v>
      </c>
      <c r="I255" s="63" t="s">
        <v>15880</v>
      </c>
    </row>
    <row r="256" spans="1:9" ht="22.05" customHeight="1" x14ac:dyDescent="0.3">
      <c r="A256" s="63" t="s">
        <v>16335</v>
      </c>
      <c r="B256" s="63" t="s">
        <v>16336</v>
      </c>
      <c r="C256" s="63" t="s">
        <v>16337</v>
      </c>
      <c r="D256" s="64" t="s">
        <v>15594</v>
      </c>
      <c r="E256" s="63" t="s">
        <v>15595</v>
      </c>
      <c r="F256" s="63" t="s">
        <v>15756</v>
      </c>
      <c r="G256" s="63" t="s">
        <v>15757</v>
      </c>
      <c r="H256" s="63" t="s">
        <v>15758</v>
      </c>
      <c r="I256" s="63" t="s">
        <v>7749</v>
      </c>
    </row>
    <row r="257" spans="1:9" ht="10.95" customHeight="1" x14ac:dyDescent="0.3">
      <c r="A257" s="63" t="s">
        <v>16338</v>
      </c>
      <c r="B257" s="63" t="s">
        <v>16339</v>
      </c>
      <c r="C257" s="63" t="s">
        <v>16340</v>
      </c>
      <c r="D257" s="64" t="s">
        <v>15594</v>
      </c>
      <c r="E257" s="63" t="s">
        <v>15595</v>
      </c>
      <c r="F257" s="63" t="s">
        <v>15608</v>
      </c>
      <c r="G257" s="63" t="s">
        <v>15609</v>
      </c>
      <c r="H257" s="63" t="s">
        <v>15879</v>
      </c>
      <c r="I257" s="63" t="s">
        <v>15880</v>
      </c>
    </row>
    <row r="258" spans="1:9" ht="22.05" customHeight="1" x14ac:dyDescent="0.3">
      <c r="A258" s="63" t="s">
        <v>16341</v>
      </c>
      <c r="B258" s="63" t="s">
        <v>16342</v>
      </c>
      <c r="C258" s="63" t="s">
        <v>16343</v>
      </c>
      <c r="D258" s="64" t="s">
        <v>15594</v>
      </c>
      <c r="E258" s="63" t="s">
        <v>15595</v>
      </c>
      <c r="F258" s="63" t="s">
        <v>15756</v>
      </c>
      <c r="G258" s="63" t="s">
        <v>15757</v>
      </c>
      <c r="H258" s="63" t="s">
        <v>15758</v>
      </c>
      <c r="I258" s="63" t="s">
        <v>7749</v>
      </c>
    </row>
    <row r="259" spans="1:9" ht="10.95" customHeight="1" x14ac:dyDescent="0.3">
      <c r="A259" s="63" t="s">
        <v>16344</v>
      </c>
      <c r="B259" s="63" t="s">
        <v>16345</v>
      </c>
      <c r="C259" s="63" t="s">
        <v>16346</v>
      </c>
      <c r="D259" s="64" t="s">
        <v>15594</v>
      </c>
      <c r="E259" s="63" t="s">
        <v>15595</v>
      </c>
      <c r="F259" s="63" t="s">
        <v>15608</v>
      </c>
      <c r="G259" s="63" t="s">
        <v>15609</v>
      </c>
      <c r="H259" s="63" t="s">
        <v>15977</v>
      </c>
      <c r="I259" s="63" t="s">
        <v>15978</v>
      </c>
    </row>
    <row r="260" spans="1:9" ht="10.95" customHeight="1" x14ac:dyDescent="0.3">
      <c r="A260" s="63" t="s">
        <v>16347</v>
      </c>
      <c r="B260" s="63" t="s">
        <v>16348</v>
      </c>
      <c r="C260" s="63" t="s">
        <v>16349</v>
      </c>
      <c r="D260" s="64" t="s">
        <v>15594</v>
      </c>
      <c r="E260" s="63" t="s">
        <v>15595</v>
      </c>
      <c r="F260" s="63" t="s">
        <v>15608</v>
      </c>
      <c r="G260" s="63" t="s">
        <v>15609</v>
      </c>
      <c r="H260" s="63" t="s">
        <v>15879</v>
      </c>
      <c r="I260" s="63" t="s">
        <v>15880</v>
      </c>
    </row>
    <row r="261" spans="1:9" ht="10.95" customHeight="1" x14ac:dyDescent="0.3">
      <c r="A261" s="63" t="s">
        <v>16350</v>
      </c>
      <c r="B261" s="63" t="s">
        <v>16351</v>
      </c>
      <c r="C261" s="63" t="s">
        <v>16352</v>
      </c>
      <c r="D261" s="64" t="s">
        <v>15594</v>
      </c>
      <c r="E261" s="63" t="s">
        <v>15595</v>
      </c>
      <c r="F261" s="63" t="s">
        <v>15608</v>
      </c>
      <c r="G261" s="63" t="s">
        <v>15609</v>
      </c>
      <c r="H261" s="63" t="s">
        <v>16095</v>
      </c>
      <c r="I261" s="63" t="s">
        <v>16096</v>
      </c>
    </row>
    <row r="262" spans="1:9" ht="22.05" customHeight="1" x14ac:dyDescent="0.3">
      <c r="A262" s="63" t="s">
        <v>16353</v>
      </c>
      <c r="B262" s="63" t="s">
        <v>16354</v>
      </c>
      <c r="C262" s="63" t="s">
        <v>16355</v>
      </c>
      <c r="D262" s="64" t="s">
        <v>15594</v>
      </c>
      <c r="E262" s="63" t="s">
        <v>15595</v>
      </c>
      <c r="F262" s="63" t="s">
        <v>15608</v>
      </c>
      <c r="G262" s="63" t="s">
        <v>15609</v>
      </c>
      <c r="H262" s="63" t="s">
        <v>15879</v>
      </c>
      <c r="I262" s="63" t="s">
        <v>15880</v>
      </c>
    </row>
    <row r="263" spans="1:9" ht="10.95" customHeight="1" x14ac:dyDescent="0.3">
      <c r="A263" s="63" t="s">
        <v>16356</v>
      </c>
      <c r="B263" s="63" t="s">
        <v>16357</v>
      </c>
      <c r="C263" s="63" t="s">
        <v>16358</v>
      </c>
      <c r="D263" s="64" t="s">
        <v>15594</v>
      </c>
      <c r="E263" s="63" t="s">
        <v>15595</v>
      </c>
      <c r="F263" s="63" t="s">
        <v>15608</v>
      </c>
      <c r="G263" s="63" t="s">
        <v>15609</v>
      </c>
      <c r="H263" s="63" t="s">
        <v>15598</v>
      </c>
      <c r="I263" s="63" t="s">
        <v>7749</v>
      </c>
    </row>
    <row r="264" spans="1:9" ht="10.95" customHeight="1" x14ac:dyDescent="0.3">
      <c r="A264" s="63" t="s">
        <v>16359</v>
      </c>
      <c r="B264" s="63" t="s">
        <v>16360</v>
      </c>
      <c r="C264" s="63" t="s">
        <v>16361</v>
      </c>
      <c r="D264" s="64" t="s">
        <v>15594</v>
      </c>
      <c r="E264" s="63" t="s">
        <v>15595</v>
      </c>
      <c r="F264" s="63" t="s">
        <v>15608</v>
      </c>
      <c r="G264" s="63" t="s">
        <v>15609</v>
      </c>
      <c r="H264" s="63" t="s">
        <v>15598</v>
      </c>
      <c r="I264" s="63" t="s">
        <v>7749</v>
      </c>
    </row>
    <row r="265" spans="1:9" ht="10.95" customHeight="1" x14ac:dyDescent="0.3">
      <c r="A265" s="63" t="s">
        <v>16362</v>
      </c>
      <c r="B265" s="63" t="s">
        <v>16363</v>
      </c>
      <c r="C265" s="63" t="s">
        <v>16364</v>
      </c>
      <c r="D265" s="64" t="s">
        <v>15594</v>
      </c>
      <c r="E265" s="63" t="s">
        <v>15595</v>
      </c>
      <c r="F265" s="63" t="s">
        <v>15608</v>
      </c>
      <c r="G265" s="63" t="s">
        <v>15609</v>
      </c>
      <c r="H265" s="63" t="s">
        <v>15598</v>
      </c>
      <c r="I265" s="63" t="s">
        <v>7749</v>
      </c>
    </row>
    <row r="266" spans="1:9" ht="10.95" customHeight="1" x14ac:dyDescent="0.3">
      <c r="A266" s="63" t="s">
        <v>16365</v>
      </c>
      <c r="B266" s="63" t="s">
        <v>16366</v>
      </c>
      <c r="C266" s="63" t="s">
        <v>16367</v>
      </c>
      <c r="D266" s="64" t="s">
        <v>15594</v>
      </c>
      <c r="E266" s="63" t="s">
        <v>15595</v>
      </c>
      <c r="F266" s="63" t="s">
        <v>15608</v>
      </c>
      <c r="G266" s="63" t="s">
        <v>15609</v>
      </c>
      <c r="H266" s="63" t="s">
        <v>16095</v>
      </c>
      <c r="I266" s="63" t="s">
        <v>16096</v>
      </c>
    </row>
    <row r="267" spans="1:9" ht="10.95" customHeight="1" x14ac:dyDescent="0.3">
      <c r="A267" s="63" t="s">
        <v>16368</v>
      </c>
      <c r="B267" s="63" t="s">
        <v>16369</v>
      </c>
      <c r="C267" s="63" t="s">
        <v>16370</v>
      </c>
      <c r="D267" s="64" t="s">
        <v>15594</v>
      </c>
      <c r="E267" s="63" t="s">
        <v>15595</v>
      </c>
      <c r="F267" s="63" t="s">
        <v>15608</v>
      </c>
      <c r="G267" s="63" t="s">
        <v>15609</v>
      </c>
      <c r="H267" s="63" t="s">
        <v>16095</v>
      </c>
      <c r="I267" s="63" t="s">
        <v>16096</v>
      </c>
    </row>
    <row r="268" spans="1:9" ht="10.95" customHeight="1" x14ac:dyDescent="0.3">
      <c r="A268" s="63" t="s">
        <v>16371</v>
      </c>
      <c r="B268" s="63" t="s">
        <v>16372</v>
      </c>
      <c r="C268" s="63" t="s">
        <v>16373</v>
      </c>
      <c r="D268" s="64" t="s">
        <v>15594</v>
      </c>
      <c r="E268" s="63" t="s">
        <v>15595</v>
      </c>
      <c r="F268" s="63" t="s">
        <v>15608</v>
      </c>
      <c r="G268" s="63" t="s">
        <v>15609</v>
      </c>
      <c r="H268" s="63" t="s">
        <v>16095</v>
      </c>
      <c r="I268" s="63" t="s">
        <v>16096</v>
      </c>
    </row>
    <row r="269" spans="1:9" ht="10.95" customHeight="1" x14ac:dyDescent="0.3">
      <c r="A269" s="63" t="s">
        <v>16374</v>
      </c>
      <c r="B269" s="63" t="s">
        <v>16375</v>
      </c>
      <c r="C269" s="63" t="s">
        <v>16376</v>
      </c>
      <c r="D269" s="64" t="s">
        <v>15594</v>
      </c>
      <c r="E269" s="63" t="s">
        <v>15595</v>
      </c>
      <c r="F269" s="63" t="s">
        <v>15608</v>
      </c>
      <c r="G269" s="63" t="s">
        <v>15609</v>
      </c>
      <c r="H269" s="63" t="s">
        <v>15879</v>
      </c>
      <c r="I269" s="63" t="s">
        <v>15880</v>
      </c>
    </row>
    <row r="270" spans="1:9" ht="22.05" customHeight="1" x14ac:dyDescent="0.3">
      <c r="A270" s="63" t="s">
        <v>16377</v>
      </c>
      <c r="B270" s="63" t="s">
        <v>16378</v>
      </c>
      <c r="C270" s="63" t="s">
        <v>16379</v>
      </c>
      <c r="D270" s="64" t="s">
        <v>15594</v>
      </c>
      <c r="E270" s="63" t="s">
        <v>15595</v>
      </c>
      <c r="F270" s="63" t="s">
        <v>15608</v>
      </c>
      <c r="G270" s="63" t="s">
        <v>15609</v>
      </c>
      <c r="H270" s="63" t="s">
        <v>15598</v>
      </c>
      <c r="I270" s="63" t="s">
        <v>7749</v>
      </c>
    </row>
    <row r="271" spans="1:9" ht="10.95" customHeight="1" x14ac:dyDescent="0.3">
      <c r="A271" s="63" t="s">
        <v>16380</v>
      </c>
      <c r="B271" s="63" t="s">
        <v>16381</v>
      </c>
      <c r="C271" s="63" t="s">
        <v>16382</v>
      </c>
      <c r="D271" s="64" t="s">
        <v>15594</v>
      </c>
      <c r="E271" s="63" t="s">
        <v>15595</v>
      </c>
      <c r="F271" s="63" t="s">
        <v>15608</v>
      </c>
      <c r="G271" s="63" t="s">
        <v>15609</v>
      </c>
      <c r="H271" s="63" t="s">
        <v>16069</v>
      </c>
      <c r="I271" s="63" t="s">
        <v>16070</v>
      </c>
    </row>
    <row r="272" spans="1:9" ht="10.95" customHeight="1" x14ac:dyDescent="0.3">
      <c r="A272" s="63" t="s">
        <v>16383</v>
      </c>
      <c r="B272" s="63" t="s">
        <v>16384</v>
      </c>
      <c r="C272" s="63" t="s">
        <v>16385</v>
      </c>
      <c r="D272" s="64" t="s">
        <v>15594</v>
      </c>
      <c r="E272" s="63" t="s">
        <v>15595</v>
      </c>
      <c r="F272" s="63" t="s">
        <v>15608</v>
      </c>
      <c r="G272" s="63" t="s">
        <v>15609</v>
      </c>
      <c r="H272" s="63" t="s">
        <v>15598</v>
      </c>
      <c r="I272" s="63" t="s">
        <v>7749</v>
      </c>
    </row>
    <row r="273" spans="1:9" ht="10.95" customHeight="1" x14ac:dyDescent="0.3">
      <c r="A273" s="63" t="s">
        <v>16386</v>
      </c>
      <c r="B273" s="63" t="s">
        <v>16387</v>
      </c>
      <c r="C273" s="63" t="s">
        <v>16388</v>
      </c>
      <c r="D273" s="64" t="s">
        <v>15594</v>
      </c>
      <c r="E273" s="63" t="s">
        <v>15595</v>
      </c>
      <c r="F273" s="63" t="s">
        <v>15608</v>
      </c>
      <c r="G273" s="63" t="s">
        <v>15609</v>
      </c>
      <c r="H273" s="63" t="s">
        <v>16095</v>
      </c>
      <c r="I273" s="63" t="s">
        <v>16096</v>
      </c>
    </row>
    <row r="274" spans="1:9" ht="10.95" customHeight="1" x14ac:dyDescent="0.3">
      <c r="A274" s="63" t="s">
        <v>16389</v>
      </c>
      <c r="B274" s="63" t="s">
        <v>16390</v>
      </c>
      <c r="C274" s="63" t="s">
        <v>16391</v>
      </c>
      <c r="D274" s="64" t="s">
        <v>15594</v>
      </c>
      <c r="E274" s="63" t="s">
        <v>15595</v>
      </c>
      <c r="F274" s="63" t="s">
        <v>15608</v>
      </c>
      <c r="G274" s="63" t="s">
        <v>15609</v>
      </c>
      <c r="H274" s="63" t="s">
        <v>16095</v>
      </c>
      <c r="I274" s="63" t="s">
        <v>16096</v>
      </c>
    </row>
    <row r="275" spans="1:9" ht="10.95" customHeight="1" x14ac:dyDescent="0.3">
      <c r="A275" s="63" t="s">
        <v>16392</v>
      </c>
      <c r="B275" s="63" t="s">
        <v>16393</v>
      </c>
      <c r="C275" s="63" t="s">
        <v>16394</v>
      </c>
      <c r="D275" s="64" t="s">
        <v>15594</v>
      </c>
      <c r="E275" s="63" t="s">
        <v>15595</v>
      </c>
      <c r="F275" s="63" t="s">
        <v>15608</v>
      </c>
      <c r="G275" s="63" t="s">
        <v>15609</v>
      </c>
      <c r="H275" s="63" t="s">
        <v>16095</v>
      </c>
      <c r="I275" s="63" t="s">
        <v>16096</v>
      </c>
    </row>
    <row r="276" spans="1:9" ht="10.95" customHeight="1" x14ac:dyDescent="0.3">
      <c r="A276" s="63" t="s">
        <v>16395</v>
      </c>
      <c r="B276" s="63" t="s">
        <v>16396</v>
      </c>
      <c r="C276" s="63" t="s">
        <v>16397</v>
      </c>
      <c r="D276" s="64" t="s">
        <v>15594</v>
      </c>
      <c r="E276" s="63" t="s">
        <v>15595</v>
      </c>
      <c r="F276" s="63" t="s">
        <v>15608</v>
      </c>
      <c r="G276" s="63" t="s">
        <v>15609</v>
      </c>
      <c r="H276" s="63" t="s">
        <v>15598</v>
      </c>
      <c r="I276" s="63" t="s">
        <v>7749</v>
      </c>
    </row>
    <row r="277" spans="1:9" ht="22.05" customHeight="1" x14ac:dyDescent="0.3">
      <c r="A277" s="63" t="s">
        <v>16398</v>
      </c>
      <c r="B277" s="63" t="s">
        <v>16399</v>
      </c>
      <c r="C277" s="63" t="s">
        <v>16400</v>
      </c>
      <c r="D277" s="64" t="s">
        <v>15594</v>
      </c>
      <c r="E277" s="63" t="s">
        <v>15595</v>
      </c>
      <c r="F277" s="63" t="s">
        <v>15756</v>
      </c>
      <c r="G277" s="63" t="s">
        <v>15757</v>
      </c>
      <c r="H277" s="63" t="s">
        <v>15758</v>
      </c>
      <c r="I277" s="63" t="s">
        <v>7749</v>
      </c>
    </row>
    <row r="278" spans="1:9" ht="10.95" customHeight="1" x14ac:dyDescent="0.3">
      <c r="A278" s="63" t="s">
        <v>16401</v>
      </c>
      <c r="B278" s="63" t="s">
        <v>16402</v>
      </c>
      <c r="C278" s="63" t="s">
        <v>16403</v>
      </c>
      <c r="D278" s="64" t="s">
        <v>15594</v>
      </c>
      <c r="E278" s="63" t="s">
        <v>15595</v>
      </c>
      <c r="F278" s="63" t="s">
        <v>15608</v>
      </c>
      <c r="G278" s="63" t="s">
        <v>15609</v>
      </c>
      <c r="H278" s="63" t="s">
        <v>15879</v>
      </c>
      <c r="I278" s="63" t="s">
        <v>15880</v>
      </c>
    </row>
    <row r="279" spans="1:9" ht="22.05" customHeight="1" x14ac:dyDescent="0.3">
      <c r="A279" s="63" t="s">
        <v>16404</v>
      </c>
      <c r="B279" s="63" t="s">
        <v>16405</v>
      </c>
      <c r="C279" s="63" t="s">
        <v>16406</v>
      </c>
      <c r="D279" s="64" t="s">
        <v>15594</v>
      </c>
      <c r="E279" s="63" t="s">
        <v>15595</v>
      </c>
      <c r="F279" s="63" t="s">
        <v>15756</v>
      </c>
      <c r="G279" s="63" t="s">
        <v>15757</v>
      </c>
      <c r="H279" s="63" t="s">
        <v>15758</v>
      </c>
      <c r="I279" s="63" t="s">
        <v>7749</v>
      </c>
    </row>
    <row r="280" spans="1:9" ht="22.05" customHeight="1" x14ac:dyDescent="0.3">
      <c r="A280" s="63" t="s">
        <v>16407</v>
      </c>
      <c r="B280" s="63" t="s">
        <v>16408</v>
      </c>
      <c r="C280" s="63" t="s">
        <v>16409</v>
      </c>
      <c r="D280" s="64" t="s">
        <v>15594</v>
      </c>
      <c r="E280" s="63" t="s">
        <v>15595</v>
      </c>
      <c r="F280" s="63" t="s">
        <v>15756</v>
      </c>
      <c r="G280" s="63" t="s">
        <v>15757</v>
      </c>
      <c r="H280" s="63" t="s">
        <v>15758</v>
      </c>
      <c r="I280" s="63" t="s">
        <v>7749</v>
      </c>
    </row>
    <row r="281" spans="1:9" ht="10.95" customHeight="1" x14ac:dyDescent="0.3">
      <c r="A281" s="63" t="s">
        <v>16410</v>
      </c>
      <c r="B281" s="63" t="s">
        <v>16411</v>
      </c>
      <c r="C281" s="63" t="s">
        <v>16412</v>
      </c>
      <c r="D281" s="64" t="s">
        <v>15594</v>
      </c>
      <c r="E281" s="63" t="s">
        <v>15595</v>
      </c>
      <c r="F281" s="63" t="s">
        <v>15608</v>
      </c>
      <c r="G281" s="63" t="s">
        <v>15609</v>
      </c>
      <c r="H281" s="63" t="s">
        <v>16095</v>
      </c>
      <c r="I281" s="63" t="s">
        <v>16096</v>
      </c>
    </row>
    <row r="282" spans="1:9" ht="22.05" customHeight="1" x14ac:dyDescent="0.3">
      <c r="A282" s="63" t="s">
        <v>16413</v>
      </c>
      <c r="B282" s="63" t="s">
        <v>16414</v>
      </c>
      <c r="C282" s="63" t="s">
        <v>16415</v>
      </c>
      <c r="D282" s="64" t="s">
        <v>15594</v>
      </c>
      <c r="E282" s="63" t="s">
        <v>15595</v>
      </c>
      <c r="F282" s="63" t="s">
        <v>15756</v>
      </c>
      <c r="G282" s="63" t="s">
        <v>15757</v>
      </c>
      <c r="H282" s="63" t="s">
        <v>15758</v>
      </c>
      <c r="I282" s="63" t="s">
        <v>7749</v>
      </c>
    </row>
    <row r="283" spans="1:9" ht="22.05" customHeight="1" x14ac:dyDescent="0.3">
      <c r="A283" s="63" t="s">
        <v>16416</v>
      </c>
      <c r="B283" s="63" t="s">
        <v>16417</v>
      </c>
      <c r="C283" s="63" t="s">
        <v>16418</v>
      </c>
      <c r="D283" s="64" t="s">
        <v>15594</v>
      </c>
      <c r="E283" s="63" t="s">
        <v>15595</v>
      </c>
      <c r="F283" s="63" t="s">
        <v>15756</v>
      </c>
      <c r="G283" s="63" t="s">
        <v>15757</v>
      </c>
      <c r="H283" s="63" t="s">
        <v>15758</v>
      </c>
      <c r="I283" s="63" t="s">
        <v>7749</v>
      </c>
    </row>
    <row r="284" spans="1:9" ht="22.05" customHeight="1" x14ac:dyDescent="0.3">
      <c r="A284" s="63" t="s">
        <v>16419</v>
      </c>
      <c r="B284" s="63" t="s">
        <v>15030</v>
      </c>
      <c r="C284" s="63" t="s">
        <v>16420</v>
      </c>
      <c r="D284" s="64" t="s">
        <v>15594</v>
      </c>
      <c r="E284" s="63" t="s">
        <v>15595</v>
      </c>
      <c r="F284" s="63" t="s">
        <v>15756</v>
      </c>
      <c r="G284" s="63" t="s">
        <v>15757</v>
      </c>
      <c r="H284" s="63" t="s">
        <v>16095</v>
      </c>
      <c r="I284" s="63" t="s">
        <v>16096</v>
      </c>
    </row>
    <row r="285" spans="1:9" ht="22.05" customHeight="1" x14ac:dyDescent="0.3">
      <c r="A285" s="63" t="s">
        <v>16421</v>
      </c>
      <c r="B285" s="63" t="s">
        <v>16422</v>
      </c>
      <c r="C285" s="63" t="s">
        <v>16423</v>
      </c>
      <c r="D285" s="64" t="s">
        <v>15594</v>
      </c>
      <c r="E285" s="63" t="s">
        <v>15595</v>
      </c>
      <c r="F285" s="63" t="s">
        <v>15756</v>
      </c>
      <c r="G285" s="63" t="s">
        <v>15757</v>
      </c>
      <c r="H285" s="63" t="s">
        <v>16095</v>
      </c>
      <c r="I285" s="63" t="s">
        <v>16096</v>
      </c>
    </row>
    <row r="286" spans="1:9" ht="22.05" customHeight="1" x14ac:dyDescent="0.3">
      <c r="A286" s="63" t="s">
        <v>16424</v>
      </c>
      <c r="B286" s="63" t="s">
        <v>16425</v>
      </c>
      <c r="C286" s="63" t="s">
        <v>16426</v>
      </c>
      <c r="D286" s="64" t="s">
        <v>15594</v>
      </c>
      <c r="E286" s="63" t="s">
        <v>15595</v>
      </c>
      <c r="F286" s="63" t="s">
        <v>15756</v>
      </c>
      <c r="G286" s="63" t="s">
        <v>15757</v>
      </c>
      <c r="H286" s="63" t="s">
        <v>15758</v>
      </c>
      <c r="I286" s="63" t="s">
        <v>7749</v>
      </c>
    </row>
    <row r="287" spans="1:9" ht="22.05" customHeight="1" x14ac:dyDescent="0.3">
      <c r="A287" s="63" t="s">
        <v>16427</v>
      </c>
      <c r="B287" s="63" t="s">
        <v>16428</v>
      </c>
      <c r="C287" s="63" t="s">
        <v>16429</v>
      </c>
      <c r="D287" s="64" t="s">
        <v>15594</v>
      </c>
      <c r="E287" s="63" t="s">
        <v>15595</v>
      </c>
      <c r="F287" s="63" t="s">
        <v>15756</v>
      </c>
      <c r="G287" s="63" t="s">
        <v>15757</v>
      </c>
      <c r="H287" s="63" t="s">
        <v>15758</v>
      </c>
      <c r="I287" s="63" t="s">
        <v>7749</v>
      </c>
    </row>
    <row r="288" spans="1:9" ht="22.05" customHeight="1" x14ac:dyDescent="0.3">
      <c r="A288" s="63" t="s">
        <v>16430</v>
      </c>
      <c r="B288" s="63" t="s">
        <v>16431</v>
      </c>
      <c r="C288" s="63" t="s">
        <v>16432</v>
      </c>
      <c r="D288" s="64" t="s">
        <v>15594</v>
      </c>
      <c r="E288" s="63" t="s">
        <v>15595</v>
      </c>
      <c r="F288" s="63" t="s">
        <v>15756</v>
      </c>
      <c r="G288" s="63" t="s">
        <v>15757</v>
      </c>
      <c r="H288" s="63" t="s">
        <v>15758</v>
      </c>
      <c r="I288" s="63" t="s">
        <v>7749</v>
      </c>
    </row>
    <row r="289" spans="1:9" ht="22.05" customHeight="1" x14ac:dyDescent="0.3">
      <c r="A289" s="63" t="s">
        <v>16433</v>
      </c>
      <c r="B289" s="63" t="s">
        <v>16434</v>
      </c>
      <c r="C289" s="63" t="s">
        <v>16435</v>
      </c>
      <c r="D289" s="64" t="s">
        <v>15594</v>
      </c>
      <c r="E289" s="63" t="s">
        <v>15595</v>
      </c>
      <c r="F289" s="63" t="s">
        <v>15756</v>
      </c>
      <c r="G289" s="63" t="s">
        <v>15757</v>
      </c>
      <c r="H289" s="63" t="s">
        <v>15758</v>
      </c>
      <c r="I289" s="63" t="s">
        <v>7749</v>
      </c>
    </row>
    <row r="290" spans="1:9" ht="10.95" customHeight="1" x14ac:dyDescent="0.3">
      <c r="A290" s="63" t="s">
        <v>16436</v>
      </c>
      <c r="B290" s="63" t="s">
        <v>16437</v>
      </c>
      <c r="C290" s="63" t="s">
        <v>16438</v>
      </c>
      <c r="D290" s="64" t="s">
        <v>15594</v>
      </c>
      <c r="E290" s="63" t="s">
        <v>15595</v>
      </c>
      <c r="F290" s="63" t="s">
        <v>15608</v>
      </c>
      <c r="G290" s="63" t="s">
        <v>15609</v>
      </c>
      <c r="H290" s="63" t="s">
        <v>15879</v>
      </c>
      <c r="I290" s="63" t="s">
        <v>15880</v>
      </c>
    </row>
    <row r="291" spans="1:9" ht="22.05" customHeight="1" x14ac:dyDescent="0.3">
      <c r="A291" s="63" t="s">
        <v>16439</v>
      </c>
      <c r="B291" s="63" t="s">
        <v>16440</v>
      </c>
      <c r="C291" s="63" t="s">
        <v>16441</v>
      </c>
      <c r="D291" s="64" t="s">
        <v>15594</v>
      </c>
      <c r="E291" s="63" t="s">
        <v>15595</v>
      </c>
      <c r="F291" s="63" t="s">
        <v>15756</v>
      </c>
      <c r="G291" s="63" t="s">
        <v>15757</v>
      </c>
      <c r="H291" s="63" t="s">
        <v>15758</v>
      </c>
      <c r="I291" s="63" t="s">
        <v>7749</v>
      </c>
    </row>
    <row r="292" spans="1:9" ht="22.05" customHeight="1" x14ac:dyDescent="0.3">
      <c r="A292" s="63" t="s">
        <v>16442</v>
      </c>
      <c r="B292" s="63" t="s">
        <v>16443</v>
      </c>
      <c r="C292" s="63" t="s">
        <v>16444</v>
      </c>
      <c r="D292" s="64" t="s">
        <v>15594</v>
      </c>
      <c r="E292" s="63" t="s">
        <v>15595</v>
      </c>
      <c r="F292" s="63" t="s">
        <v>15756</v>
      </c>
      <c r="G292" s="63" t="s">
        <v>15757</v>
      </c>
      <c r="H292" s="63" t="s">
        <v>15758</v>
      </c>
      <c r="I292" s="63" t="s">
        <v>7749</v>
      </c>
    </row>
    <row r="293" spans="1:9" ht="22.05" customHeight="1" x14ac:dyDescent="0.3">
      <c r="A293" s="63" t="s">
        <v>16445</v>
      </c>
      <c r="B293" s="63" t="s">
        <v>16446</v>
      </c>
      <c r="C293" s="63" t="s">
        <v>16447</v>
      </c>
      <c r="D293" s="64" t="s">
        <v>15594</v>
      </c>
      <c r="E293" s="63" t="s">
        <v>15595</v>
      </c>
      <c r="F293" s="63" t="s">
        <v>15756</v>
      </c>
      <c r="G293" s="63" t="s">
        <v>15757</v>
      </c>
      <c r="H293" s="63" t="s">
        <v>15758</v>
      </c>
      <c r="I293" s="63" t="s">
        <v>7749</v>
      </c>
    </row>
    <row r="294" spans="1:9" ht="22.05" customHeight="1" x14ac:dyDescent="0.3">
      <c r="A294" s="63" t="s">
        <v>16448</v>
      </c>
      <c r="B294" s="63" t="s">
        <v>16449</v>
      </c>
      <c r="C294" s="63" t="s">
        <v>16450</v>
      </c>
      <c r="D294" s="64" t="s">
        <v>15594</v>
      </c>
      <c r="E294" s="63" t="s">
        <v>15595</v>
      </c>
      <c r="F294" s="63" t="s">
        <v>15756</v>
      </c>
      <c r="G294" s="63" t="s">
        <v>15757</v>
      </c>
      <c r="H294" s="63" t="s">
        <v>15758</v>
      </c>
      <c r="I294" s="63" t="s">
        <v>7749</v>
      </c>
    </row>
    <row r="295" spans="1:9" ht="22.05" customHeight="1" x14ac:dyDescent="0.3">
      <c r="A295" s="63" t="s">
        <v>16451</v>
      </c>
      <c r="B295" s="63" t="s">
        <v>16452</v>
      </c>
      <c r="C295" s="63" t="s">
        <v>16453</v>
      </c>
      <c r="D295" s="64" t="s">
        <v>15594</v>
      </c>
      <c r="E295" s="63" t="s">
        <v>15595</v>
      </c>
      <c r="F295" s="63" t="s">
        <v>15756</v>
      </c>
      <c r="G295" s="63" t="s">
        <v>15757</v>
      </c>
      <c r="H295" s="63" t="s">
        <v>15879</v>
      </c>
      <c r="I295" s="63" t="s">
        <v>15880</v>
      </c>
    </row>
    <row r="296" spans="1:9" ht="22.05" customHeight="1" x14ac:dyDescent="0.3">
      <c r="A296" s="63" t="s">
        <v>16454</v>
      </c>
      <c r="B296" s="63" t="s">
        <v>16455</v>
      </c>
      <c r="C296" s="63" t="s">
        <v>16456</v>
      </c>
      <c r="D296" s="64" t="s">
        <v>15594</v>
      </c>
      <c r="E296" s="63" t="s">
        <v>15595</v>
      </c>
      <c r="F296" s="63" t="s">
        <v>15756</v>
      </c>
      <c r="G296" s="63" t="s">
        <v>15757</v>
      </c>
      <c r="H296" s="63" t="s">
        <v>15758</v>
      </c>
      <c r="I296" s="63" t="s">
        <v>7749</v>
      </c>
    </row>
    <row r="297" spans="1:9" ht="10.95" customHeight="1" x14ac:dyDescent="0.3">
      <c r="A297" s="63" t="s">
        <v>16457</v>
      </c>
      <c r="B297" s="63" t="s">
        <v>16458</v>
      </c>
      <c r="C297" s="63" t="s">
        <v>16459</v>
      </c>
      <c r="D297" s="64" t="s">
        <v>15594</v>
      </c>
      <c r="E297" s="63" t="s">
        <v>15595</v>
      </c>
      <c r="F297" s="63" t="s">
        <v>15608</v>
      </c>
      <c r="G297" s="63" t="s">
        <v>15609</v>
      </c>
      <c r="H297" s="63" t="s">
        <v>15598</v>
      </c>
      <c r="I297" s="63" t="s">
        <v>7749</v>
      </c>
    </row>
    <row r="298" spans="1:9" ht="22.05" customHeight="1" x14ac:dyDescent="0.3">
      <c r="A298" s="63" t="s">
        <v>16460</v>
      </c>
      <c r="B298" s="63" t="s">
        <v>16461</v>
      </c>
      <c r="C298" s="63" t="s">
        <v>16462</v>
      </c>
      <c r="D298" s="64" t="s">
        <v>15594</v>
      </c>
      <c r="E298" s="63" t="s">
        <v>15595</v>
      </c>
      <c r="F298" s="63" t="s">
        <v>15756</v>
      </c>
      <c r="G298" s="63" t="s">
        <v>15757</v>
      </c>
      <c r="H298" s="63" t="s">
        <v>15758</v>
      </c>
      <c r="I298" s="63" t="s">
        <v>7749</v>
      </c>
    </row>
    <row r="299" spans="1:9" ht="22.05" customHeight="1" x14ac:dyDescent="0.3">
      <c r="A299" s="63" t="s">
        <v>16463</v>
      </c>
      <c r="B299" s="63" t="s">
        <v>16464</v>
      </c>
      <c r="C299" s="63" t="s">
        <v>16465</v>
      </c>
      <c r="D299" s="64" t="s">
        <v>15594</v>
      </c>
      <c r="E299" s="63" t="s">
        <v>15595</v>
      </c>
      <c r="F299" s="63" t="s">
        <v>15756</v>
      </c>
      <c r="G299" s="63" t="s">
        <v>15757</v>
      </c>
      <c r="H299" s="63" t="s">
        <v>15758</v>
      </c>
      <c r="I299" s="63" t="s">
        <v>7749</v>
      </c>
    </row>
    <row r="300" spans="1:9" ht="22.05" customHeight="1" x14ac:dyDescent="0.3">
      <c r="A300" s="63" t="s">
        <v>16466</v>
      </c>
      <c r="B300" s="63" t="s">
        <v>16467</v>
      </c>
      <c r="C300" s="63" t="s">
        <v>16468</v>
      </c>
      <c r="D300" s="64" t="s">
        <v>15594</v>
      </c>
      <c r="E300" s="63" t="s">
        <v>15595</v>
      </c>
      <c r="F300" s="63" t="s">
        <v>15756</v>
      </c>
      <c r="G300" s="63" t="s">
        <v>15757</v>
      </c>
      <c r="H300" s="63" t="s">
        <v>15758</v>
      </c>
      <c r="I300" s="63" t="s">
        <v>7749</v>
      </c>
    </row>
    <row r="301" spans="1:9" ht="10.95" customHeight="1" x14ac:dyDescent="0.3">
      <c r="A301" s="63" t="s">
        <v>16469</v>
      </c>
      <c r="B301" s="63" t="s">
        <v>16470</v>
      </c>
      <c r="C301" s="63" t="s">
        <v>16471</v>
      </c>
      <c r="D301" s="64" t="s">
        <v>15594</v>
      </c>
      <c r="E301" s="63" t="s">
        <v>15595</v>
      </c>
      <c r="F301" s="63" t="s">
        <v>15608</v>
      </c>
      <c r="G301" s="63" t="s">
        <v>15609</v>
      </c>
      <c r="H301" s="63" t="s">
        <v>15598</v>
      </c>
      <c r="I301" s="63" t="s">
        <v>7749</v>
      </c>
    </row>
    <row r="302" spans="1:9" ht="22.05" customHeight="1" x14ac:dyDescent="0.3">
      <c r="A302" s="63" t="s">
        <v>16472</v>
      </c>
      <c r="B302" s="63" t="s">
        <v>16473</v>
      </c>
      <c r="C302" s="63" t="s">
        <v>16474</v>
      </c>
      <c r="D302" s="64" t="s">
        <v>15594</v>
      </c>
      <c r="E302" s="63" t="s">
        <v>15595</v>
      </c>
      <c r="F302" s="63" t="s">
        <v>15756</v>
      </c>
      <c r="G302" s="63" t="s">
        <v>15757</v>
      </c>
      <c r="H302" s="63" t="s">
        <v>15758</v>
      </c>
      <c r="I302" s="63" t="s">
        <v>7749</v>
      </c>
    </row>
    <row r="303" spans="1:9" ht="22.05" customHeight="1" x14ac:dyDescent="0.3">
      <c r="A303" s="63" t="s">
        <v>16475</v>
      </c>
      <c r="B303" s="63" t="s">
        <v>16476</v>
      </c>
      <c r="C303" s="63" t="s">
        <v>16477</v>
      </c>
      <c r="D303" s="64" t="s">
        <v>15594</v>
      </c>
      <c r="E303" s="63" t="s">
        <v>15595</v>
      </c>
      <c r="F303" s="63" t="s">
        <v>15756</v>
      </c>
      <c r="G303" s="63" t="s">
        <v>15757</v>
      </c>
      <c r="H303" s="63" t="s">
        <v>15758</v>
      </c>
      <c r="I303" s="63" t="s">
        <v>7749</v>
      </c>
    </row>
    <row r="304" spans="1:9" ht="10.95" customHeight="1" x14ac:dyDescent="0.3">
      <c r="A304" s="63" t="s">
        <v>16478</v>
      </c>
      <c r="B304" s="63" t="s">
        <v>16479</v>
      </c>
      <c r="C304" s="63" t="s">
        <v>16480</v>
      </c>
      <c r="D304" s="64" t="s">
        <v>15594</v>
      </c>
      <c r="E304" s="63" t="s">
        <v>15595</v>
      </c>
      <c r="F304" s="63" t="s">
        <v>15608</v>
      </c>
      <c r="G304" s="63" t="s">
        <v>15609</v>
      </c>
      <c r="H304" s="63" t="s">
        <v>15598</v>
      </c>
      <c r="I304" s="63" t="s">
        <v>7749</v>
      </c>
    </row>
    <row r="305" spans="1:9" ht="22.05" customHeight="1" x14ac:dyDescent="0.3">
      <c r="A305" s="63" t="s">
        <v>16481</v>
      </c>
      <c r="B305" s="63" t="s">
        <v>16482</v>
      </c>
      <c r="C305" s="63" t="s">
        <v>16483</v>
      </c>
      <c r="D305" s="64" t="s">
        <v>15594</v>
      </c>
      <c r="E305" s="63" t="s">
        <v>15595</v>
      </c>
      <c r="F305" s="63" t="s">
        <v>15756</v>
      </c>
      <c r="G305" s="63" t="s">
        <v>15757</v>
      </c>
      <c r="H305" s="63" t="s">
        <v>15758</v>
      </c>
      <c r="I305" s="63" t="s">
        <v>7749</v>
      </c>
    </row>
    <row r="306" spans="1:9" ht="10.95" customHeight="1" x14ac:dyDescent="0.3">
      <c r="A306" s="63" t="s">
        <v>16484</v>
      </c>
      <c r="B306" s="63" t="s">
        <v>16485</v>
      </c>
      <c r="C306" s="63" t="s">
        <v>16486</v>
      </c>
      <c r="D306" s="64" t="s">
        <v>15594</v>
      </c>
      <c r="E306" s="63" t="s">
        <v>15595</v>
      </c>
      <c r="F306" s="63" t="s">
        <v>15608</v>
      </c>
      <c r="G306" s="63" t="s">
        <v>15609</v>
      </c>
      <c r="H306" s="63" t="s">
        <v>15598</v>
      </c>
      <c r="I306" s="63" t="s">
        <v>7749</v>
      </c>
    </row>
    <row r="307" spans="1:9" ht="22.05" customHeight="1" x14ac:dyDescent="0.3">
      <c r="A307" s="63" t="s">
        <v>16487</v>
      </c>
      <c r="B307" s="63" t="s">
        <v>16488</v>
      </c>
      <c r="C307" s="63" t="s">
        <v>16489</v>
      </c>
      <c r="D307" s="64" t="s">
        <v>15594</v>
      </c>
      <c r="E307" s="63" t="s">
        <v>15595</v>
      </c>
      <c r="F307" s="63" t="s">
        <v>15756</v>
      </c>
      <c r="G307" s="63" t="s">
        <v>15757</v>
      </c>
      <c r="H307" s="63" t="s">
        <v>15758</v>
      </c>
      <c r="I307" s="63" t="s">
        <v>7749</v>
      </c>
    </row>
    <row r="308" spans="1:9" ht="22.05" customHeight="1" x14ac:dyDescent="0.3">
      <c r="A308" s="63" t="s">
        <v>16490</v>
      </c>
      <c r="B308" s="63" t="s">
        <v>16491</v>
      </c>
      <c r="C308" s="63" t="s">
        <v>16492</v>
      </c>
      <c r="D308" s="64" t="s">
        <v>15594</v>
      </c>
      <c r="E308" s="63" t="s">
        <v>15595</v>
      </c>
      <c r="F308" s="63" t="s">
        <v>15756</v>
      </c>
      <c r="G308" s="63" t="s">
        <v>15757</v>
      </c>
      <c r="H308" s="63" t="s">
        <v>15758</v>
      </c>
      <c r="I308" s="63" t="s">
        <v>7749</v>
      </c>
    </row>
    <row r="309" spans="1:9" ht="22.05" customHeight="1" x14ac:dyDescent="0.3">
      <c r="A309" s="63" t="s">
        <v>16493</v>
      </c>
      <c r="B309" s="63" t="s">
        <v>16494</v>
      </c>
      <c r="C309" s="63" t="s">
        <v>16495</v>
      </c>
      <c r="D309" s="64" t="s">
        <v>15594</v>
      </c>
      <c r="E309" s="63" t="s">
        <v>15595</v>
      </c>
      <c r="F309" s="63" t="s">
        <v>15756</v>
      </c>
      <c r="G309" s="63" t="s">
        <v>15757</v>
      </c>
      <c r="H309" s="63" t="s">
        <v>15758</v>
      </c>
      <c r="I309" s="63" t="s">
        <v>7749</v>
      </c>
    </row>
    <row r="310" spans="1:9" ht="22.05" customHeight="1" x14ac:dyDescent="0.3">
      <c r="A310" s="63" t="s">
        <v>16496</v>
      </c>
      <c r="B310" s="63" t="s">
        <v>16497</v>
      </c>
      <c r="C310" s="63" t="s">
        <v>16498</v>
      </c>
      <c r="D310" s="64" t="s">
        <v>15594</v>
      </c>
      <c r="E310" s="63" t="s">
        <v>15595</v>
      </c>
      <c r="F310" s="63" t="s">
        <v>15756</v>
      </c>
      <c r="G310" s="63" t="s">
        <v>15757</v>
      </c>
      <c r="H310" s="63" t="s">
        <v>15758</v>
      </c>
      <c r="I310" s="63" t="s">
        <v>7749</v>
      </c>
    </row>
    <row r="311" spans="1:9" ht="22.05" customHeight="1" x14ac:dyDescent="0.3">
      <c r="A311" s="63" t="s">
        <v>16499</v>
      </c>
      <c r="B311" s="63" t="s">
        <v>16500</v>
      </c>
      <c r="C311" s="63" t="s">
        <v>16501</v>
      </c>
      <c r="D311" s="64" t="s">
        <v>15594</v>
      </c>
      <c r="E311" s="63" t="s">
        <v>15595</v>
      </c>
      <c r="F311" s="63" t="s">
        <v>15756</v>
      </c>
      <c r="G311" s="63" t="s">
        <v>15757</v>
      </c>
      <c r="H311" s="63" t="s">
        <v>15758</v>
      </c>
      <c r="I311" s="63" t="s">
        <v>7749</v>
      </c>
    </row>
    <row r="312" spans="1:9" ht="22.05" customHeight="1" x14ac:dyDescent="0.3">
      <c r="A312" s="63" t="s">
        <v>16502</v>
      </c>
      <c r="B312" s="63" t="s">
        <v>16503</v>
      </c>
      <c r="C312" s="63" t="s">
        <v>16504</v>
      </c>
      <c r="D312" s="64" t="s">
        <v>15594</v>
      </c>
      <c r="E312" s="63" t="s">
        <v>15595</v>
      </c>
      <c r="F312" s="63" t="s">
        <v>15756</v>
      </c>
      <c r="G312" s="63" t="s">
        <v>15757</v>
      </c>
      <c r="H312" s="63" t="s">
        <v>15758</v>
      </c>
      <c r="I312" s="63" t="s">
        <v>7749</v>
      </c>
    </row>
    <row r="313" spans="1:9" ht="22.05" customHeight="1" x14ac:dyDescent="0.3">
      <c r="A313" s="63" t="s">
        <v>16505</v>
      </c>
      <c r="B313" s="63" t="s">
        <v>16506</v>
      </c>
      <c r="C313" s="63" t="s">
        <v>16507</v>
      </c>
      <c r="D313" s="64" t="s">
        <v>15594</v>
      </c>
      <c r="E313" s="63" t="s">
        <v>15595</v>
      </c>
      <c r="F313" s="63" t="s">
        <v>15756</v>
      </c>
      <c r="G313" s="63" t="s">
        <v>15757</v>
      </c>
      <c r="H313" s="63" t="s">
        <v>15758</v>
      </c>
      <c r="I313" s="63" t="s">
        <v>7749</v>
      </c>
    </row>
    <row r="314" spans="1:9" ht="22.05" customHeight="1" x14ac:dyDescent="0.3">
      <c r="A314" s="63" t="s">
        <v>16508</v>
      </c>
      <c r="B314" s="63" t="s">
        <v>16509</v>
      </c>
      <c r="C314" s="63" t="s">
        <v>16510</v>
      </c>
      <c r="D314" s="64" t="s">
        <v>15594</v>
      </c>
      <c r="E314" s="63" t="s">
        <v>15595</v>
      </c>
      <c r="F314" s="63" t="s">
        <v>15756</v>
      </c>
      <c r="G314" s="63" t="s">
        <v>15757</v>
      </c>
      <c r="H314" s="63" t="s">
        <v>15758</v>
      </c>
      <c r="I314" s="63" t="s">
        <v>7749</v>
      </c>
    </row>
    <row r="315" spans="1:9" ht="22.05" customHeight="1" x14ac:dyDescent="0.3">
      <c r="A315" s="63" t="s">
        <v>16511</v>
      </c>
      <c r="B315" s="63" t="s">
        <v>16512</v>
      </c>
      <c r="C315" s="63" t="s">
        <v>16513</v>
      </c>
      <c r="D315" s="64" t="s">
        <v>15594</v>
      </c>
      <c r="E315" s="63" t="s">
        <v>15595</v>
      </c>
      <c r="F315" s="63" t="s">
        <v>15756</v>
      </c>
      <c r="G315" s="63" t="s">
        <v>15757</v>
      </c>
      <c r="H315" s="63" t="s">
        <v>15758</v>
      </c>
      <c r="I315" s="63" t="s">
        <v>7749</v>
      </c>
    </row>
    <row r="316" spans="1:9" ht="10.95" customHeight="1" x14ac:dyDescent="0.3">
      <c r="A316" s="63" t="s">
        <v>16514</v>
      </c>
      <c r="B316" s="63" t="s">
        <v>16515</v>
      </c>
      <c r="C316" s="63" t="s">
        <v>16516</v>
      </c>
      <c r="D316" s="64" t="s">
        <v>15594</v>
      </c>
      <c r="E316" s="63" t="s">
        <v>15595</v>
      </c>
      <c r="F316" s="63" t="s">
        <v>15608</v>
      </c>
      <c r="G316" s="63" t="s">
        <v>15609</v>
      </c>
      <c r="H316" s="63" t="s">
        <v>16095</v>
      </c>
      <c r="I316" s="63" t="s">
        <v>16096</v>
      </c>
    </row>
    <row r="317" spans="1:9" ht="22.05" customHeight="1" x14ac:dyDescent="0.3">
      <c r="A317" s="63" t="s">
        <v>16517</v>
      </c>
      <c r="B317" s="63" t="s">
        <v>16518</v>
      </c>
      <c r="C317" s="63" t="s">
        <v>16519</v>
      </c>
      <c r="D317" s="64" t="s">
        <v>15594</v>
      </c>
      <c r="E317" s="63" t="s">
        <v>15595</v>
      </c>
      <c r="F317" s="63" t="s">
        <v>15756</v>
      </c>
      <c r="G317" s="63" t="s">
        <v>15757</v>
      </c>
      <c r="H317" s="63" t="s">
        <v>15758</v>
      </c>
      <c r="I317" s="63" t="s">
        <v>7749</v>
      </c>
    </row>
    <row r="318" spans="1:9" ht="22.05" customHeight="1" x14ac:dyDescent="0.3">
      <c r="A318" s="63" t="s">
        <v>16520</v>
      </c>
      <c r="B318" s="63" t="s">
        <v>16521</v>
      </c>
      <c r="C318" s="63" t="s">
        <v>16522</v>
      </c>
      <c r="D318" s="64" t="s">
        <v>15594</v>
      </c>
      <c r="E318" s="63" t="s">
        <v>15595</v>
      </c>
      <c r="F318" s="63" t="s">
        <v>15756</v>
      </c>
      <c r="G318" s="63" t="s">
        <v>15757</v>
      </c>
      <c r="H318" s="63" t="s">
        <v>15758</v>
      </c>
      <c r="I318" s="63" t="s">
        <v>7749</v>
      </c>
    </row>
    <row r="319" spans="1:9" ht="22.05" customHeight="1" x14ac:dyDescent="0.3">
      <c r="A319" s="63" t="s">
        <v>16523</v>
      </c>
      <c r="B319" s="63" t="s">
        <v>16524</v>
      </c>
      <c r="C319" s="63" t="s">
        <v>16525</v>
      </c>
      <c r="D319" s="64" t="s">
        <v>15594</v>
      </c>
      <c r="E319" s="63" t="s">
        <v>15595</v>
      </c>
      <c r="F319" s="63" t="s">
        <v>15756</v>
      </c>
      <c r="G319" s="63" t="s">
        <v>15757</v>
      </c>
      <c r="H319" s="63" t="s">
        <v>15758</v>
      </c>
      <c r="I319" s="63" t="s">
        <v>7749</v>
      </c>
    </row>
    <row r="320" spans="1:9" ht="22.05" customHeight="1" x14ac:dyDescent="0.3">
      <c r="A320" s="63" t="s">
        <v>16526</v>
      </c>
      <c r="B320" s="63" t="s">
        <v>16527</v>
      </c>
      <c r="C320" s="63" t="s">
        <v>16528</v>
      </c>
      <c r="D320" s="64" t="s">
        <v>15594</v>
      </c>
      <c r="E320" s="63" t="s">
        <v>15595</v>
      </c>
      <c r="F320" s="63" t="s">
        <v>15756</v>
      </c>
      <c r="G320" s="63" t="s">
        <v>15757</v>
      </c>
      <c r="H320" s="63" t="s">
        <v>15758</v>
      </c>
      <c r="I320" s="63" t="s">
        <v>7749</v>
      </c>
    </row>
    <row r="321" spans="1:9" ht="22.05" customHeight="1" x14ac:dyDescent="0.3">
      <c r="A321" s="63" t="s">
        <v>16529</v>
      </c>
      <c r="B321" s="63" t="s">
        <v>16530</v>
      </c>
      <c r="C321" s="63" t="s">
        <v>16531</v>
      </c>
      <c r="D321" s="64" t="s">
        <v>15594</v>
      </c>
      <c r="E321" s="63" t="s">
        <v>15595</v>
      </c>
      <c r="F321" s="63" t="s">
        <v>15756</v>
      </c>
      <c r="G321" s="63" t="s">
        <v>15757</v>
      </c>
      <c r="H321" s="63" t="s">
        <v>15758</v>
      </c>
      <c r="I321" s="63" t="s">
        <v>7749</v>
      </c>
    </row>
    <row r="322" spans="1:9" ht="22.05" customHeight="1" x14ac:dyDescent="0.3">
      <c r="A322" s="63" t="s">
        <v>16532</v>
      </c>
      <c r="B322" s="63" t="s">
        <v>16533</v>
      </c>
      <c r="C322" s="63" t="s">
        <v>16534</v>
      </c>
      <c r="D322" s="64" t="s">
        <v>15594</v>
      </c>
      <c r="E322" s="63" t="s">
        <v>15595</v>
      </c>
      <c r="F322" s="63" t="s">
        <v>15756</v>
      </c>
      <c r="G322" s="63" t="s">
        <v>15757</v>
      </c>
      <c r="H322" s="63" t="s">
        <v>15758</v>
      </c>
      <c r="I322" s="63" t="s">
        <v>7749</v>
      </c>
    </row>
    <row r="323" spans="1:9" ht="22.05" customHeight="1" x14ac:dyDescent="0.3">
      <c r="A323" s="63" t="s">
        <v>16535</v>
      </c>
      <c r="B323" s="63" t="s">
        <v>16536</v>
      </c>
      <c r="C323" s="63" t="s">
        <v>16537</v>
      </c>
      <c r="D323" s="64" t="s">
        <v>15594</v>
      </c>
      <c r="E323" s="63" t="s">
        <v>15595</v>
      </c>
      <c r="F323" s="63" t="s">
        <v>15756</v>
      </c>
      <c r="G323" s="63" t="s">
        <v>15757</v>
      </c>
      <c r="H323" s="63" t="s">
        <v>15758</v>
      </c>
      <c r="I323" s="63" t="s">
        <v>7749</v>
      </c>
    </row>
    <row r="324" spans="1:9" ht="22.05" customHeight="1" x14ac:dyDescent="0.3">
      <c r="A324" s="63" t="s">
        <v>16538</v>
      </c>
      <c r="B324" s="63" t="s">
        <v>16539</v>
      </c>
      <c r="C324" s="63" t="s">
        <v>16540</v>
      </c>
      <c r="D324" s="64" t="s">
        <v>15594</v>
      </c>
      <c r="E324" s="63" t="s">
        <v>15595</v>
      </c>
      <c r="F324" s="63" t="s">
        <v>15756</v>
      </c>
      <c r="G324" s="63" t="s">
        <v>15757</v>
      </c>
      <c r="H324" s="63" t="s">
        <v>15758</v>
      </c>
      <c r="I324" s="63" t="s">
        <v>7749</v>
      </c>
    </row>
    <row r="325" spans="1:9" ht="22.05" customHeight="1" x14ac:dyDescent="0.3">
      <c r="A325" s="63" t="s">
        <v>16541</v>
      </c>
      <c r="B325" s="63" t="s">
        <v>16542</v>
      </c>
      <c r="C325" s="63" t="s">
        <v>16543</v>
      </c>
      <c r="D325" s="64" t="s">
        <v>15594</v>
      </c>
      <c r="E325" s="63" t="s">
        <v>15595</v>
      </c>
      <c r="F325" s="63" t="s">
        <v>15756</v>
      </c>
      <c r="G325" s="63" t="s">
        <v>15757</v>
      </c>
      <c r="H325" s="63" t="s">
        <v>16095</v>
      </c>
      <c r="I325" s="63" t="s">
        <v>16096</v>
      </c>
    </row>
    <row r="326" spans="1:9" ht="22.05" customHeight="1" x14ac:dyDescent="0.3">
      <c r="A326" s="63" t="s">
        <v>16544</v>
      </c>
      <c r="B326" s="63" t="s">
        <v>16545</v>
      </c>
      <c r="C326" s="63" t="s">
        <v>16546</v>
      </c>
      <c r="D326" s="64" t="s">
        <v>15594</v>
      </c>
      <c r="E326" s="63" t="s">
        <v>15595</v>
      </c>
      <c r="F326" s="63" t="s">
        <v>15756</v>
      </c>
      <c r="G326" s="63" t="s">
        <v>15757</v>
      </c>
      <c r="H326" s="63" t="s">
        <v>15879</v>
      </c>
      <c r="I326" s="63" t="s">
        <v>15880</v>
      </c>
    </row>
    <row r="327" spans="1:9" ht="22.05" customHeight="1" x14ac:dyDescent="0.3">
      <c r="A327" s="63" t="s">
        <v>16547</v>
      </c>
      <c r="B327" s="63" t="s">
        <v>16548</v>
      </c>
      <c r="C327" s="63" t="s">
        <v>16549</v>
      </c>
      <c r="D327" s="64" t="s">
        <v>15594</v>
      </c>
      <c r="E327" s="63" t="s">
        <v>15595</v>
      </c>
      <c r="F327" s="63" t="s">
        <v>15756</v>
      </c>
      <c r="G327" s="63" t="s">
        <v>15757</v>
      </c>
      <c r="H327" s="63" t="s">
        <v>15879</v>
      </c>
      <c r="I327" s="63" t="s">
        <v>15880</v>
      </c>
    </row>
    <row r="328" spans="1:9" ht="10.95" customHeight="1" x14ac:dyDescent="0.3">
      <c r="A328" s="63" t="s">
        <v>16550</v>
      </c>
      <c r="B328" s="63" t="s">
        <v>15629</v>
      </c>
      <c r="C328" s="63" t="s">
        <v>16551</v>
      </c>
      <c r="D328" s="64" t="s">
        <v>15594</v>
      </c>
      <c r="E328" s="63" t="s">
        <v>15595</v>
      </c>
      <c r="F328" s="63" t="s">
        <v>15608</v>
      </c>
      <c r="G328" s="63" t="s">
        <v>15609</v>
      </c>
      <c r="H328" s="63" t="s">
        <v>16095</v>
      </c>
      <c r="I328" s="63" t="s">
        <v>16096</v>
      </c>
    </row>
    <row r="329" spans="1:9" ht="10.95" customHeight="1" x14ac:dyDescent="0.3">
      <c r="A329" s="63" t="s">
        <v>16552</v>
      </c>
      <c r="B329" s="63" t="s">
        <v>16553</v>
      </c>
      <c r="C329" s="63" t="s">
        <v>16554</v>
      </c>
      <c r="D329" s="64" t="s">
        <v>15594</v>
      </c>
      <c r="E329" s="63" t="s">
        <v>15595</v>
      </c>
      <c r="F329" s="63" t="s">
        <v>15608</v>
      </c>
      <c r="G329" s="63" t="s">
        <v>15609</v>
      </c>
      <c r="H329" s="63" t="s">
        <v>16095</v>
      </c>
      <c r="I329" s="63" t="s">
        <v>16096</v>
      </c>
    </row>
    <row r="330" spans="1:9" ht="22.05" customHeight="1" x14ac:dyDescent="0.3">
      <c r="A330" s="63" t="s">
        <v>16555</v>
      </c>
      <c r="B330" s="63" t="s">
        <v>16556</v>
      </c>
      <c r="C330" s="63" t="s">
        <v>16557</v>
      </c>
      <c r="D330" s="64" t="s">
        <v>15594</v>
      </c>
      <c r="E330" s="63" t="s">
        <v>15595</v>
      </c>
      <c r="F330" s="63" t="s">
        <v>15756</v>
      </c>
      <c r="G330" s="63" t="s">
        <v>15757</v>
      </c>
      <c r="H330" s="63" t="s">
        <v>15758</v>
      </c>
      <c r="I330" s="63" t="s">
        <v>7749</v>
      </c>
    </row>
    <row r="331" spans="1:9" ht="22.05" customHeight="1" x14ac:dyDescent="0.3">
      <c r="A331" s="63" t="s">
        <v>16558</v>
      </c>
      <c r="B331" s="63" t="s">
        <v>16559</v>
      </c>
      <c r="C331" s="63" t="s">
        <v>16560</v>
      </c>
      <c r="D331" s="64" t="s">
        <v>15594</v>
      </c>
      <c r="E331" s="63" t="s">
        <v>15595</v>
      </c>
      <c r="F331" s="63" t="s">
        <v>15756</v>
      </c>
      <c r="G331" s="63" t="s">
        <v>15757</v>
      </c>
      <c r="H331" s="63" t="s">
        <v>15758</v>
      </c>
      <c r="I331" s="63" t="s">
        <v>7749</v>
      </c>
    </row>
    <row r="332" spans="1:9" ht="22.05" customHeight="1" x14ac:dyDescent="0.3">
      <c r="A332" s="63" t="s">
        <v>16561</v>
      </c>
      <c r="B332" s="63" t="s">
        <v>16562</v>
      </c>
      <c r="C332" s="63" t="s">
        <v>16563</v>
      </c>
      <c r="D332" s="64" t="s">
        <v>15594</v>
      </c>
      <c r="E332" s="63" t="s">
        <v>15595</v>
      </c>
      <c r="F332" s="63" t="s">
        <v>15756</v>
      </c>
      <c r="G332" s="63" t="s">
        <v>15757</v>
      </c>
      <c r="H332" s="63" t="s">
        <v>15758</v>
      </c>
      <c r="I332" s="63" t="s">
        <v>7749</v>
      </c>
    </row>
    <row r="333" spans="1:9" ht="22.05" customHeight="1" x14ac:dyDescent="0.3">
      <c r="A333" s="63" t="s">
        <v>16564</v>
      </c>
      <c r="B333" s="63" t="s">
        <v>16565</v>
      </c>
      <c r="C333" s="63" t="s">
        <v>16566</v>
      </c>
      <c r="D333" s="64" t="s">
        <v>15594</v>
      </c>
      <c r="E333" s="63" t="s">
        <v>15595</v>
      </c>
      <c r="F333" s="63" t="s">
        <v>15756</v>
      </c>
      <c r="G333" s="63" t="s">
        <v>15757</v>
      </c>
      <c r="H333" s="63" t="s">
        <v>15758</v>
      </c>
      <c r="I333" s="63" t="s">
        <v>7749</v>
      </c>
    </row>
    <row r="334" spans="1:9" ht="22.05" customHeight="1" x14ac:dyDescent="0.3">
      <c r="A334" s="63" t="s">
        <v>16567</v>
      </c>
      <c r="B334" s="63" t="s">
        <v>16568</v>
      </c>
      <c r="C334" s="63" t="s">
        <v>16569</v>
      </c>
      <c r="D334" s="64" t="s">
        <v>15594</v>
      </c>
      <c r="E334" s="63" t="s">
        <v>15595</v>
      </c>
      <c r="F334" s="63" t="s">
        <v>15756</v>
      </c>
      <c r="G334" s="63" t="s">
        <v>15757</v>
      </c>
      <c r="H334" s="63" t="s">
        <v>15758</v>
      </c>
      <c r="I334" s="63" t="s">
        <v>7749</v>
      </c>
    </row>
    <row r="335" spans="1:9" ht="22.05" customHeight="1" x14ac:dyDescent="0.3">
      <c r="A335" s="63" t="s">
        <v>16570</v>
      </c>
      <c r="B335" s="63" t="s">
        <v>16571</v>
      </c>
      <c r="C335" s="63" t="s">
        <v>16572</v>
      </c>
      <c r="D335" s="64" t="s">
        <v>15594</v>
      </c>
      <c r="E335" s="63" t="s">
        <v>15595</v>
      </c>
      <c r="F335" s="63" t="s">
        <v>15756</v>
      </c>
      <c r="G335" s="63" t="s">
        <v>15757</v>
      </c>
      <c r="H335" s="63" t="s">
        <v>15758</v>
      </c>
      <c r="I335" s="63" t="s">
        <v>7749</v>
      </c>
    </row>
    <row r="336" spans="1:9" ht="22.05" customHeight="1" x14ac:dyDescent="0.3">
      <c r="A336" s="63" t="s">
        <v>16573</v>
      </c>
      <c r="B336" s="63" t="s">
        <v>16574</v>
      </c>
      <c r="C336" s="63" t="s">
        <v>16575</v>
      </c>
      <c r="D336" s="64" t="s">
        <v>15594</v>
      </c>
      <c r="E336" s="63" t="s">
        <v>15595</v>
      </c>
      <c r="F336" s="63" t="s">
        <v>15756</v>
      </c>
      <c r="G336" s="63" t="s">
        <v>15757</v>
      </c>
      <c r="H336" s="63" t="s">
        <v>15758</v>
      </c>
      <c r="I336" s="63" t="s">
        <v>7749</v>
      </c>
    </row>
    <row r="337" spans="1:9" ht="22.05" customHeight="1" x14ac:dyDescent="0.3">
      <c r="A337" s="63" t="s">
        <v>16576</v>
      </c>
      <c r="B337" s="63" t="s">
        <v>16577</v>
      </c>
      <c r="C337" s="63" t="s">
        <v>16578</v>
      </c>
      <c r="D337" s="64" t="s">
        <v>15594</v>
      </c>
      <c r="E337" s="63" t="s">
        <v>15595</v>
      </c>
      <c r="F337" s="63" t="s">
        <v>15756</v>
      </c>
      <c r="G337" s="63" t="s">
        <v>15757</v>
      </c>
      <c r="H337" s="63" t="s">
        <v>15758</v>
      </c>
      <c r="I337" s="63" t="s">
        <v>7749</v>
      </c>
    </row>
    <row r="338" spans="1:9" ht="10.95" customHeight="1" x14ac:dyDescent="0.3">
      <c r="A338" s="63" t="s">
        <v>16579</v>
      </c>
      <c r="B338" s="63" t="s">
        <v>16580</v>
      </c>
      <c r="C338" s="63" t="s">
        <v>16581</v>
      </c>
      <c r="D338" s="64" t="s">
        <v>15594</v>
      </c>
      <c r="E338" s="63" t="s">
        <v>15595</v>
      </c>
      <c r="F338" s="63" t="s">
        <v>15608</v>
      </c>
      <c r="G338" s="63" t="s">
        <v>15609</v>
      </c>
      <c r="H338" s="63" t="s">
        <v>16069</v>
      </c>
      <c r="I338" s="63" t="s">
        <v>16070</v>
      </c>
    </row>
    <row r="339" spans="1:9" ht="10.95" customHeight="1" x14ac:dyDescent="0.3">
      <c r="A339" s="63" t="s">
        <v>16582</v>
      </c>
      <c r="B339" s="63" t="s">
        <v>16583</v>
      </c>
      <c r="C339" s="63" t="s">
        <v>16584</v>
      </c>
      <c r="D339" s="64" t="s">
        <v>15594</v>
      </c>
      <c r="E339" s="63" t="s">
        <v>15595</v>
      </c>
      <c r="F339" s="63" t="s">
        <v>15608</v>
      </c>
      <c r="G339" s="63" t="s">
        <v>15609</v>
      </c>
      <c r="H339" s="63" t="s">
        <v>16095</v>
      </c>
      <c r="I339" s="63" t="s">
        <v>16096</v>
      </c>
    </row>
    <row r="340" spans="1:9" ht="22.05" customHeight="1" x14ac:dyDescent="0.3">
      <c r="A340" s="63" t="s">
        <v>16585</v>
      </c>
      <c r="B340" s="63" t="s">
        <v>16586</v>
      </c>
      <c r="C340" s="63" t="s">
        <v>16587</v>
      </c>
      <c r="D340" s="64" t="s">
        <v>15594</v>
      </c>
      <c r="E340" s="63" t="s">
        <v>15595</v>
      </c>
      <c r="F340" s="63" t="s">
        <v>15756</v>
      </c>
      <c r="G340" s="63" t="s">
        <v>15757</v>
      </c>
      <c r="H340" s="63" t="s">
        <v>15758</v>
      </c>
      <c r="I340" s="63" t="s">
        <v>7749</v>
      </c>
    </row>
    <row r="341" spans="1:9" ht="22.05" customHeight="1" x14ac:dyDescent="0.3">
      <c r="A341" s="63" t="s">
        <v>16588</v>
      </c>
      <c r="B341" s="63" t="s">
        <v>16589</v>
      </c>
      <c r="C341" s="63" t="s">
        <v>16590</v>
      </c>
      <c r="D341" s="64" t="s">
        <v>15594</v>
      </c>
      <c r="E341" s="63" t="s">
        <v>15595</v>
      </c>
      <c r="F341" s="63" t="s">
        <v>15756</v>
      </c>
      <c r="G341" s="63" t="s">
        <v>15757</v>
      </c>
      <c r="H341" s="63" t="s">
        <v>15758</v>
      </c>
      <c r="I341" s="63" t="s">
        <v>7749</v>
      </c>
    </row>
    <row r="342" spans="1:9" ht="22.05" customHeight="1" x14ac:dyDescent="0.3">
      <c r="A342" s="63" t="s">
        <v>16591</v>
      </c>
      <c r="B342" s="63" t="s">
        <v>16592</v>
      </c>
      <c r="C342" s="63" t="s">
        <v>16593</v>
      </c>
      <c r="D342" s="64" t="s">
        <v>15594</v>
      </c>
      <c r="E342" s="63" t="s">
        <v>15595</v>
      </c>
      <c r="F342" s="63" t="s">
        <v>15756</v>
      </c>
      <c r="G342" s="63" t="s">
        <v>15757</v>
      </c>
      <c r="H342" s="63" t="s">
        <v>15977</v>
      </c>
      <c r="I342" s="63" t="s">
        <v>15978</v>
      </c>
    </row>
    <row r="343" spans="1:9" ht="22.05" customHeight="1" x14ac:dyDescent="0.3">
      <c r="A343" s="63" t="s">
        <v>16594</v>
      </c>
      <c r="B343" s="63" t="s">
        <v>16595</v>
      </c>
      <c r="C343" s="63" t="s">
        <v>16596</v>
      </c>
      <c r="D343" s="64" t="s">
        <v>15594</v>
      </c>
      <c r="E343" s="63" t="s">
        <v>15595</v>
      </c>
      <c r="F343" s="63" t="s">
        <v>15756</v>
      </c>
      <c r="G343" s="63" t="s">
        <v>15757</v>
      </c>
      <c r="H343" s="63" t="s">
        <v>15758</v>
      </c>
      <c r="I343" s="63" t="s">
        <v>7749</v>
      </c>
    </row>
    <row r="344" spans="1:9" ht="22.05" customHeight="1" x14ac:dyDescent="0.3">
      <c r="A344" s="63" t="s">
        <v>16597</v>
      </c>
      <c r="B344" s="63" t="s">
        <v>16598</v>
      </c>
      <c r="C344" s="63" t="s">
        <v>16599</v>
      </c>
      <c r="D344" s="64" t="s">
        <v>15594</v>
      </c>
      <c r="E344" s="63" t="s">
        <v>15595</v>
      </c>
      <c r="F344" s="63" t="s">
        <v>15756</v>
      </c>
      <c r="G344" s="63" t="s">
        <v>15757</v>
      </c>
      <c r="H344" s="63" t="s">
        <v>15758</v>
      </c>
      <c r="I344" s="63" t="s">
        <v>7749</v>
      </c>
    </row>
    <row r="345" spans="1:9" ht="22.05" customHeight="1" x14ac:dyDescent="0.3">
      <c r="A345" s="63" t="s">
        <v>16600</v>
      </c>
      <c r="B345" s="63" t="s">
        <v>16601</v>
      </c>
      <c r="C345" s="63" t="s">
        <v>16602</v>
      </c>
      <c r="D345" s="64" t="s">
        <v>15594</v>
      </c>
      <c r="E345" s="63" t="s">
        <v>15595</v>
      </c>
      <c r="F345" s="63" t="s">
        <v>15756</v>
      </c>
      <c r="G345" s="63" t="s">
        <v>15757</v>
      </c>
      <c r="H345" s="63" t="s">
        <v>15758</v>
      </c>
      <c r="I345" s="63" t="s">
        <v>7749</v>
      </c>
    </row>
    <row r="346" spans="1:9" ht="22.05" customHeight="1" x14ac:dyDescent="0.3">
      <c r="A346" s="63" t="s">
        <v>16603</v>
      </c>
      <c r="B346" s="63" t="s">
        <v>16604</v>
      </c>
      <c r="C346" s="63" t="s">
        <v>16605</v>
      </c>
      <c r="D346" s="64" t="s">
        <v>15594</v>
      </c>
      <c r="E346" s="63" t="s">
        <v>15595</v>
      </c>
      <c r="F346" s="63" t="s">
        <v>15608</v>
      </c>
      <c r="G346" s="63" t="s">
        <v>15609</v>
      </c>
      <c r="H346" s="63" t="s">
        <v>16095</v>
      </c>
      <c r="I346" s="63" t="s">
        <v>16096</v>
      </c>
    </row>
    <row r="347" spans="1:9" ht="10.95" customHeight="1" x14ac:dyDescent="0.3">
      <c r="A347" s="63" t="s">
        <v>16606</v>
      </c>
      <c r="B347" s="63" t="s">
        <v>16607</v>
      </c>
      <c r="C347" s="63" t="s">
        <v>16608</v>
      </c>
      <c r="D347" s="64" t="s">
        <v>15594</v>
      </c>
      <c r="E347" s="63" t="s">
        <v>15595</v>
      </c>
      <c r="F347" s="63" t="s">
        <v>15608</v>
      </c>
      <c r="G347" s="63" t="s">
        <v>15609</v>
      </c>
      <c r="H347" s="63" t="s">
        <v>16095</v>
      </c>
      <c r="I347" s="63" t="s">
        <v>16096</v>
      </c>
    </row>
    <row r="348" spans="1:9" ht="10.95" customHeight="1" x14ac:dyDescent="0.3">
      <c r="A348" s="63" t="s">
        <v>16609</v>
      </c>
      <c r="B348" s="63" t="s">
        <v>16610</v>
      </c>
      <c r="C348" s="63" t="s">
        <v>16611</v>
      </c>
      <c r="D348" s="64" t="s">
        <v>15594</v>
      </c>
      <c r="E348" s="63" t="s">
        <v>15595</v>
      </c>
      <c r="F348" s="63" t="s">
        <v>15608</v>
      </c>
      <c r="G348" s="63" t="s">
        <v>15609</v>
      </c>
      <c r="H348" s="63" t="s">
        <v>16095</v>
      </c>
      <c r="I348" s="63" t="s">
        <v>16096</v>
      </c>
    </row>
    <row r="349" spans="1:9" ht="22.05" customHeight="1" x14ac:dyDescent="0.3">
      <c r="A349" s="63" t="s">
        <v>16612</v>
      </c>
      <c r="B349" s="63" t="s">
        <v>16613</v>
      </c>
      <c r="C349" s="63" t="s">
        <v>16614</v>
      </c>
      <c r="D349" s="64" t="s">
        <v>15594</v>
      </c>
      <c r="E349" s="63" t="s">
        <v>15595</v>
      </c>
      <c r="F349" s="63" t="s">
        <v>15756</v>
      </c>
      <c r="G349" s="63" t="s">
        <v>15757</v>
      </c>
      <c r="H349" s="63" t="s">
        <v>15758</v>
      </c>
      <c r="I349" s="63" t="s">
        <v>7749</v>
      </c>
    </row>
    <row r="350" spans="1:9" ht="22.05" customHeight="1" x14ac:dyDescent="0.3">
      <c r="A350" s="63" t="s">
        <v>16615</v>
      </c>
      <c r="B350" s="63" t="s">
        <v>16616</v>
      </c>
      <c r="C350" s="63" t="s">
        <v>16617</v>
      </c>
      <c r="D350" s="64" t="s">
        <v>15594</v>
      </c>
      <c r="E350" s="63" t="s">
        <v>15595</v>
      </c>
      <c r="F350" s="63" t="s">
        <v>15756</v>
      </c>
      <c r="G350" s="63" t="s">
        <v>15757</v>
      </c>
      <c r="H350" s="63" t="s">
        <v>15758</v>
      </c>
      <c r="I350" s="63" t="s">
        <v>7749</v>
      </c>
    </row>
    <row r="351" spans="1:9" ht="10.95" customHeight="1" x14ac:dyDescent="0.3">
      <c r="A351" s="63" t="s">
        <v>16618</v>
      </c>
      <c r="B351" s="63" t="s">
        <v>14940</v>
      </c>
      <c r="C351" s="63" t="s">
        <v>16619</v>
      </c>
      <c r="D351" s="64" t="s">
        <v>15594</v>
      </c>
      <c r="E351" s="63" t="s">
        <v>15595</v>
      </c>
      <c r="F351" s="63" t="s">
        <v>15608</v>
      </c>
      <c r="G351" s="63" t="s">
        <v>15609</v>
      </c>
      <c r="H351" s="63" t="s">
        <v>16095</v>
      </c>
      <c r="I351" s="63" t="s">
        <v>16096</v>
      </c>
    </row>
    <row r="352" spans="1:9" ht="22.05" customHeight="1" x14ac:dyDescent="0.3">
      <c r="A352" s="63" t="s">
        <v>16620</v>
      </c>
      <c r="B352" s="63" t="s">
        <v>16621</v>
      </c>
      <c r="C352" s="63" t="s">
        <v>16622</v>
      </c>
      <c r="D352" s="64" t="s">
        <v>15594</v>
      </c>
      <c r="E352" s="63" t="s">
        <v>15595</v>
      </c>
      <c r="F352" s="63" t="s">
        <v>15756</v>
      </c>
      <c r="G352" s="63" t="s">
        <v>15757</v>
      </c>
      <c r="H352" s="63" t="s">
        <v>15758</v>
      </c>
      <c r="I352" s="63" t="s">
        <v>7749</v>
      </c>
    </row>
    <row r="353" spans="1:9" ht="22.05" customHeight="1" x14ac:dyDescent="0.3">
      <c r="A353" s="63" t="s">
        <v>16623</v>
      </c>
      <c r="B353" s="63" t="s">
        <v>16624</v>
      </c>
      <c r="C353" s="63" t="s">
        <v>16625</v>
      </c>
      <c r="D353" s="64" t="s">
        <v>15594</v>
      </c>
      <c r="E353" s="63" t="s">
        <v>15595</v>
      </c>
      <c r="F353" s="63" t="s">
        <v>15756</v>
      </c>
      <c r="G353" s="63" t="s">
        <v>15757</v>
      </c>
      <c r="H353" s="63" t="s">
        <v>15758</v>
      </c>
      <c r="I353" s="63" t="s">
        <v>7749</v>
      </c>
    </row>
    <row r="354" spans="1:9" ht="10.95" customHeight="1" x14ac:dyDescent="0.3">
      <c r="A354" s="63" t="s">
        <v>16626</v>
      </c>
      <c r="B354" s="63" t="s">
        <v>16627</v>
      </c>
      <c r="C354" s="63" t="s">
        <v>16628</v>
      </c>
      <c r="D354" s="64" t="s">
        <v>15594</v>
      </c>
      <c r="E354" s="63" t="s">
        <v>15595</v>
      </c>
      <c r="F354" s="63" t="s">
        <v>15608</v>
      </c>
      <c r="G354" s="63" t="s">
        <v>15609</v>
      </c>
      <c r="H354" s="63" t="s">
        <v>16095</v>
      </c>
      <c r="I354" s="63" t="s">
        <v>16096</v>
      </c>
    </row>
    <row r="355" spans="1:9" ht="10.95" customHeight="1" x14ac:dyDescent="0.3">
      <c r="A355" s="63" t="s">
        <v>16629</v>
      </c>
      <c r="B355" s="63" t="s">
        <v>16630</v>
      </c>
      <c r="C355" s="63" t="s">
        <v>16631</v>
      </c>
      <c r="D355" s="64" t="s">
        <v>15594</v>
      </c>
      <c r="E355" s="63" t="s">
        <v>15595</v>
      </c>
      <c r="F355" s="63" t="s">
        <v>15608</v>
      </c>
      <c r="G355" s="63" t="s">
        <v>15609</v>
      </c>
      <c r="H355" s="63" t="s">
        <v>16069</v>
      </c>
      <c r="I355" s="63" t="s">
        <v>16070</v>
      </c>
    </row>
    <row r="356" spans="1:9" ht="10.95" customHeight="1" x14ac:dyDescent="0.3">
      <c r="A356" s="63" t="s">
        <v>16632</v>
      </c>
      <c r="B356" s="63" t="s">
        <v>13151</v>
      </c>
      <c r="C356" s="63" t="s">
        <v>16633</v>
      </c>
      <c r="D356" s="64" t="s">
        <v>15594</v>
      </c>
      <c r="E356" s="63" t="s">
        <v>15595</v>
      </c>
      <c r="F356" s="63" t="s">
        <v>15608</v>
      </c>
      <c r="G356" s="63" t="s">
        <v>15609</v>
      </c>
      <c r="H356" s="63" t="s">
        <v>16069</v>
      </c>
      <c r="I356" s="63" t="s">
        <v>16070</v>
      </c>
    </row>
    <row r="357" spans="1:9" ht="22.05" customHeight="1" x14ac:dyDescent="0.3">
      <c r="A357" s="63" t="s">
        <v>16634</v>
      </c>
      <c r="B357" s="63" t="s">
        <v>16635</v>
      </c>
      <c r="C357" s="63" t="s">
        <v>16636</v>
      </c>
      <c r="D357" s="64" t="s">
        <v>15594</v>
      </c>
      <c r="E357" s="63" t="s">
        <v>15595</v>
      </c>
      <c r="F357" s="63" t="s">
        <v>15756</v>
      </c>
      <c r="G357" s="63" t="s">
        <v>15757</v>
      </c>
      <c r="H357" s="63" t="s">
        <v>15758</v>
      </c>
      <c r="I357" s="63" t="s">
        <v>7749</v>
      </c>
    </row>
    <row r="358" spans="1:9" ht="22.05" customHeight="1" x14ac:dyDescent="0.3">
      <c r="A358" s="63" t="s">
        <v>16637</v>
      </c>
      <c r="B358" s="63" t="s">
        <v>16638</v>
      </c>
      <c r="C358" s="63" t="s">
        <v>16639</v>
      </c>
      <c r="D358" s="64" t="s">
        <v>15594</v>
      </c>
      <c r="E358" s="63" t="s">
        <v>15595</v>
      </c>
      <c r="F358" s="63" t="s">
        <v>15756</v>
      </c>
      <c r="G358" s="63" t="s">
        <v>15757</v>
      </c>
      <c r="H358" s="63" t="s">
        <v>15758</v>
      </c>
      <c r="I358" s="63" t="s">
        <v>7749</v>
      </c>
    </row>
    <row r="359" spans="1:9" ht="22.05" customHeight="1" x14ac:dyDescent="0.3">
      <c r="A359" s="63" t="s">
        <v>16640</v>
      </c>
      <c r="B359" s="63" t="s">
        <v>16641</v>
      </c>
      <c r="C359" s="63" t="s">
        <v>16642</v>
      </c>
      <c r="D359" s="64" t="s">
        <v>15594</v>
      </c>
      <c r="E359" s="63" t="s">
        <v>15595</v>
      </c>
      <c r="F359" s="63" t="s">
        <v>15756</v>
      </c>
      <c r="G359" s="63" t="s">
        <v>15757</v>
      </c>
      <c r="H359" s="63" t="s">
        <v>15758</v>
      </c>
      <c r="I359" s="63" t="s">
        <v>7749</v>
      </c>
    </row>
    <row r="360" spans="1:9" ht="10.95" customHeight="1" x14ac:dyDescent="0.3">
      <c r="A360" s="63" t="s">
        <v>16643</v>
      </c>
      <c r="B360" s="63" t="s">
        <v>16644</v>
      </c>
      <c r="C360" s="63" t="s">
        <v>16645</v>
      </c>
      <c r="D360" s="64" t="s">
        <v>15594</v>
      </c>
      <c r="E360" s="63" t="s">
        <v>15595</v>
      </c>
      <c r="F360" s="63" t="s">
        <v>15608</v>
      </c>
      <c r="G360" s="63" t="s">
        <v>15609</v>
      </c>
      <c r="H360" s="63" t="s">
        <v>16095</v>
      </c>
      <c r="I360" s="63" t="s">
        <v>16096</v>
      </c>
    </row>
    <row r="361" spans="1:9" ht="10.95" customHeight="1" x14ac:dyDescent="0.3">
      <c r="A361" s="63" t="s">
        <v>16646</v>
      </c>
      <c r="B361" s="63" t="s">
        <v>16647</v>
      </c>
      <c r="C361" s="63" t="s">
        <v>16648</v>
      </c>
      <c r="D361" s="64" t="s">
        <v>15594</v>
      </c>
      <c r="E361" s="63" t="s">
        <v>15595</v>
      </c>
      <c r="F361" s="63" t="s">
        <v>15608</v>
      </c>
      <c r="G361" s="63" t="s">
        <v>15609</v>
      </c>
      <c r="H361" s="63" t="s">
        <v>16095</v>
      </c>
      <c r="I361" s="63" t="s">
        <v>16096</v>
      </c>
    </row>
    <row r="362" spans="1:9" ht="10.95" customHeight="1" x14ac:dyDescent="0.3">
      <c r="A362" s="63" t="s">
        <v>16649</v>
      </c>
      <c r="B362" s="63" t="s">
        <v>16650</v>
      </c>
      <c r="C362" s="63" t="s">
        <v>16651</v>
      </c>
      <c r="D362" s="64" t="s">
        <v>15594</v>
      </c>
      <c r="E362" s="63" t="s">
        <v>15595</v>
      </c>
      <c r="F362" s="63" t="s">
        <v>15608</v>
      </c>
      <c r="G362" s="63" t="s">
        <v>15609</v>
      </c>
      <c r="H362" s="63" t="s">
        <v>15879</v>
      </c>
      <c r="I362" s="63" t="s">
        <v>15880</v>
      </c>
    </row>
    <row r="363" spans="1:9" ht="22.05" customHeight="1" x14ac:dyDescent="0.3">
      <c r="A363" s="63" t="s">
        <v>16652</v>
      </c>
      <c r="B363" s="63" t="s">
        <v>16653</v>
      </c>
      <c r="C363" s="63" t="s">
        <v>16654</v>
      </c>
      <c r="D363" s="64" t="s">
        <v>15594</v>
      </c>
      <c r="E363" s="63" t="s">
        <v>15595</v>
      </c>
      <c r="F363" s="63" t="s">
        <v>15756</v>
      </c>
      <c r="G363" s="63" t="s">
        <v>15757</v>
      </c>
      <c r="H363" s="63" t="s">
        <v>15758</v>
      </c>
      <c r="I363" s="63" t="s">
        <v>7749</v>
      </c>
    </row>
    <row r="364" spans="1:9" ht="22.05" customHeight="1" x14ac:dyDescent="0.3">
      <c r="A364" s="63" t="s">
        <v>16655</v>
      </c>
      <c r="B364" s="63" t="s">
        <v>16656</v>
      </c>
      <c r="C364" s="63" t="s">
        <v>16657</v>
      </c>
      <c r="D364" s="64" t="s">
        <v>15594</v>
      </c>
      <c r="E364" s="63" t="s">
        <v>15595</v>
      </c>
      <c r="F364" s="63" t="s">
        <v>15756</v>
      </c>
      <c r="G364" s="63" t="s">
        <v>15757</v>
      </c>
      <c r="H364" s="63" t="s">
        <v>15758</v>
      </c>
      <c r="I364" s="63" t="s">
        <v>7749</v>
      </c>
    </row>
    <row r="365" spans="1:9" ht="22.05" customHeight="1" x14ac:dyDescent="0.3">
      <c r="A365" s="63" t="s">
        <v>16658</v>
      </c>
      <c r="B365" s="63" t="s">
        <v>16659</v>
      </c>
      <c r="C365" s="63" t="s">
        <v>16660</v>
      </c>
      <c r="D365" s="64" t="s">
        <v>15594</v>
      </c>
      <c r="E365" s="63" t="s">
        <v>15595</v>
      </c>
      <c r="F365" s="63" t="s">
        <v>15756</v>
      </c>
      <c r="G365" s="63" t="s">
        <v>15757</v>
      </c>
      <c r="H365" s="63" t="s">
        <v>15758</v>
      </c>
      <c r="I365" s="63" t="s">
        <v>7749</v>
      </c>
    </row>
    <row r="366" spans="1:9" ht="22.05" customHeight="1" x14ac:dyDescent="0.3">
      <c r="A366" s="63" t="s">
        <v>16661</v>
      </c>
      <c r="B366" s="63" t="s">
        <v>16662</v>
      </c>
      <c r="C366" s="63" t="s">
        <v>16663</v>
      </c>
      <c r="D366" s="64" t="s">
        <v>15594</v>
      </c>
      <c r="E366" s="63" t="s">
        <v>15595</v>
      </c>
      <c r="F366" s="63" t="s">
        <v>15756</v>
      </c>
      <c r="G366" s="63" t="s">
        <v>15757</v>
      </c>
      <c r="H366" s="63" t="s">
        <v>15758</v>
      </c>
      <c r="I366" s="63" t="s">
        <v>7749</v>
      </c>
    </row>
    <row r="367" spans="1:9" ht="22.05" customHeight="1" x14ac:dyDescent="0.3">
      <c r="A367" s="63" t="s">
        <v>16664</v>
      </c>
      <c r="B367" s="63" t="s">
        <v>16665</v>
      </c>
      <c r="C367" s="63" t="s">
        <v>16666</v>
      </c>
      <c r="D367" s="64" t="s">
        <v>15594</v>
      </c>
      <c r="E367" s="63" t="s">
        <v>15595</v>
      </c>
      <c r="F367" s="63" t="s">
        <v>15756</v>
      </c>
      <c r="G367" s="63" t="s">
        <v>15757</v>
      </c>
      <c r="H367" s="63" t="s">
        <v>15758</v>
      </c>
      <c r="I367" s="63" t="s">
        <v>7749</v>
      </c>
    </row>
    <row r="368" spans="1:9" ht="10.95" customHeight="1" x14ac:dyDescent="0.3">
      <c r="A368" s="63" t="s">
        <v>16667</v>
      </c>
      <c r="B368" s="63" t="s">
        <v>16668</v>
      </c>
      <c r="C368" s="63" t="s">
        <v>16669</v>
      </c>
      <c r="D368" s="64" t="s">
        <v>15594</v>
      </c>
      <c r="E368" s="63" t="s">
        <v>15595</v>
      </c>
      <c r="F368" s="63" t="s">
        <v>15608</v>
      </c>
      <c r="G368" s="63" t="s">
        <v>15609</v>
      </c>
      <c r="H368" s="63" t="s">
        <v>16095</v>
      </c>
      <c r="I368" s="63" t="s">
        <v>16096</v>
      </c>
    </row>
    <row r="369" spans="1:9" ht="10.95" customHeight="1" x14ac:dyDescent="0.3">
      <c r="A369" s="63" t="s">
        <v>16670</v>
      </c>
      <c r="B369" s="63" t="s">
        <v>16671</v>
      </c>
      <c r="C369" s="63" t="s">
        <v>16672</v>
      </c>
      <c r="D369" s="64" t="s">
        <v>15594</v>
      </c>
      <c r="E369" s="63" t="s">
        <v>15595</v>
      </c>
      <c r="F369" s="63" t="s">
        <v>15608</v>
      </c>
      <c r="G369" s="63" t="s">
        <v>15609</v>
      </c>
      <c r="H369" s="63" t="s">
        <v>16095</v>
      </c>
      <c r="I369" s="63" t="s">
        <v>16096</v>
      </c>
    </row>
    <row r="370" spans="1:9" ht="10.95" customHeight="1" x14ac:dyDescent="0.3">
      <c r="A370" s="63" t="s">
        <v>16673</v>
      </c>
      <c r="B370" s="63" t="s">
        <v>16674</v>
      </c>
      <c r="C370" s="63" t="s">
        <v>16675</v>
      </c>
      <c r="D370" s="64" t="s">
        <v>15594</v>
      </c>
      <c r="E370" s="63" t="s">
        <v>15595</v>
      </c>
      <c r="F370" s="63" t="s">
        <v>15608</v>
      </c>
      <c r="G370" s="63" t="s">
        <v>15609</v>
      </c>
      <c r="H370" s="63" t="s">
        <v>16095</v>
      </c>
      <c r="I370" s="63" t="s">
        <v>16096</v>
      </c>
    </row>
    <row r="371" spans="1:9" ht="22.05" customHeight="1" x14ac:dyDescent="0.3">
      <c r="A371" s="63" t="s">
        <v>16676</v>
      </c>
      <c r="B371" s="63" t="s">
        <v>16677</v>
      </c>
      <c r="C371" s="63" t="s">
        <v>16678</v>
      </c>
      <c r="D371" s="64" t="s">
        <v>15594</v>
      </c>
      <c r="E371" s="63" t="s">
        <v>15595</v>
      </c>
      <c r="F371" s="63" t="s">
        <v>15756</v>
      </c>
      <c r="G371" s="63" t="s">
        <v>15757</v>
      </c>
      <c r="H371" s="63" t="s">
        <v>15758</v>
      </c>
      <c r="I371" s="63" t="s">
        <v>7749</v>
      </c>
    </row>
    <row r="372" spans="1:9" ht="22.05" customHeight="1" x14ac:dyDescent="0.3">
      <c r="A372" s="63" t="s">
        <v>16679</v>
      </c>
      <c r="B372" s="63" t="s">
        <v>16680</v>
      </c>
      <c r="C372" s="63" t="s">
        <v>16681</v>
      </c>
      <c r="D372" s="64" t="s">
        <v>15594</v>
      </c>
      <c r="E372" s="63" t="s">
        <v>15595</v>
      </c>
      <c r="F372" s="63" t="s">
        <v>15756</v>
      </c>
      <c r="G372" s="63" t="s">
        <v>15757</v>
      </c>
      <c r="H372" s="63" t="s">
        <v>15758</v>
      </c>
      <c r="I372" s="63" t="s">
        <v>7749</v>
      </c>
    </row>
    <row r="373" spans="1:9" ht="22.05" customHeight="1" x14ac:dyDescent="0.3">
      <c r="A373" s="63" t="s">
        <v>16682</v>
      </c>
      <c r="B373" s="63" t="s">
        <v>16683</v>
      </c>
      <c r="C373" s="63" t="s">
        <v>16684</v>
      </c>
      <c r="D373" s="64" t="s">
        <v>15594</v>
      </c>
      <c r="E373" s="63" t="s">
        <v>15595</v>
      </c>
      <c r="F373" s="63" t="s">
        <v>15756</v>
      </c>
      <c r="G373" s="63" t="s">
        <v>15757</v>
      </c>
      <c r="H373" s="63" t="s">
        <v>15758</v>
      </c>
      <c r="I373" s="63" t="s">
        <v>7749</v>
      </c>
    </row>
    <row r="374" spans="1:9" ht="22.05" customHeight="1" x14ac:dyDescent="0.3">
      <c r="A374" s="63" t="s">
        <v>16685</v>
      </c>
      <c r="B374" s="63" t="s">
        <v>16686</v>
      </c>
      <c r="C374" s="63" t="s">
        <v>16687</v>
      </c>
      <c r="D374" s="64" t="s">
        <v>15594</v>
      </c>
      <c r="E374" s="63" t="s">
        <v>15595</v>
      </c>
      <c r="F374" s="63" t="s">
        <v>15756</v>
      </c>
      <c r="G374" s="63" t="s">
        <v>15757</v>
      </c>
      <c r="H374" s="63" t="s">
        <v>15758</v>
      </c>
      <c r="I374" s="63" t="s">
        <v>7749</v>
      </c>
    </row>
    <row r="375" spans="1:9" ht="22.05" customHeight="1" x14ac:dyDescent="0.3">
      <c r="A375" s="63" t="s">
        <v>16688</v>
      </c>
      <c r="B375" s="63" t="s">
        <v>16689</v>
      </c>
      <c r="C375" s="63" t="s">
        <v>16690</v>
      </c>
      <c r="D375" s="64" t="s">
        <v>15594</v>
      </c>
      <c r="E375" s="63" t="s">
        <v>15595</v>
      </c>
      <c r="F375" s="63" t="s">
        <v>15756</v>
      </c>
      <c r="G375" s="63" t="s">
        <v>15757</v>
      </c>
      <c r="H375" s="63" t="s">
        <v>15758</v>
      </c>
      <c r="I375" s="63" t="s">
        <v>7749</v>
      </c>
    </row>
    <row r="376" spans="1:9" ht="10.95" customHeight="1" x14ac:dyDescent="0.3">
      <c r="A376" s="63" t="s">
        <v>16691</v>
      </c>
      <c r="B376" s="63" t="s">
        <v>16692</v>
      </c>
      <c r="C376" s="63" t="s">
        <v>16693</v>
      </c>
      <c r="D376" s="64" t="s">
        <v>15594</v>
      </c>
      <c r="E376" s="63" t="s">
        <v>15595</v>
      </c>
      <c r="F376" s="63" t="s">
        <v>15608</v>
      </c>
      <c r="G376" s="63" t="s">
        <v>15609</v>
      </c>
      <c r="H376" s="63" t="s">
        <v>15598</v>
      </c>
      <c r="I376" s="63" t="s">
        <v>7749</v>
      </c>
    </row>
    <row r="377" spans="1:9" ht="10.95" customHeight="1" x14ac:dyDescent="0.3">
      <c r="A377" s="63" t="s">
        <v>16694</v>
      </c>
      <c r="B377" s="63" t="s">
        <v>16695</v>
      </c>
      <c r="C377" s="63" t="s">
        <v>16696</v>
      </c>
      <c r="D377" s="64" t="s">
        <v>15594</v>
      </c>
      <c r="E377" s="63" t="s">
        <v>15595</v>
      </c>
      <c r="F377" s="63" t="s">
        <v>15608</v>
      </c>
      <c r="G377" s="63" t="s">
        <v>15609</v>
      </c>
      <c r="H377" s="63" t="s">
        <v>16095</v>
      </c>
      <c r="I377" s="63" t="s">
        <v>16096</v>
      </c>
    </row>
    <row r="378" spans="1:9" ht="22.05" customHeight="1" x14ac:dyDescent="0.3">
      <c r="A378" s="63" t="s">
        <v>16697</v>
      </c>
      <c r="B378" s="63" t="s">
        <v>16698</v>
      </c>
      <c r="C378" s="63" t="s">
        <v>16699</v>
      </c>
      <c r="D378" s="64" t="s">
        <v>15594</v>
      </c>
      <c r="E378" s="63" t="s">
        <v>15595</v>
      </c>
      <c r="F378" s="63" t="s">
        <v>15756</v>
      </c>
      <c r="G378" s="63" t="s">
        <v>15757</v>
      </c>
      <c r="H378" s="63" t="s">
        <v>15758</v>
      </c>
      <c r="I378" s="63" t="s">
        <v>7749</v>
      </c>
    </row>
    <row r="379" spans="1:9" ht="22.05" customHeight="1" x14ac:dyDescent="0.3">
      <c r="A379" s="63" t="s">
        <v>16700</v>
      </c>
      <c r="B379" s="63" t="s">
        <v>16701</v>
      </c>
      <c r="C379" s="63" t="s">
        <v>16702</v>
      </c>
      <c r="D379" s="64" t="s">
        <v>15594</v>
      </c>
      <c r="E379" s="63" t="s">
        <v>15595</v>
      </c>
      <c r="F379" s="63" t="s">
        <v>15756</v>
      </c>
      <c r="G379" s="63" t="s">
        <v>15757</v>
      </c>
      <c r="H379" s="63" t="s">
        <v>15758</v>
      </c>
      <c r="I379" s="63" t="s">
        <v>7749</v>
      </c>
    </row>
    <row r="380" spans="1:9" ht="10.95" customHeight="1" x14ac:dyDescent="0.3">
      <c r="A380" s="63" t="s">
        <v>16703</v>
      </c>
      <c r="B380" s="63" t="s">
        <v>16704</v>
      </c>
      <c r="C380" s="63" t="s">
        <v>16705</v>
      </c>
      <c r="D380" s="64" t="s">
        <v>15594</v>
      </c>
      <c r="E380" s="63" t="s">
        <v>15595</v>
      </c>
      <c r="F380" s="63" t="s">
        <v>15608</v>
      </c>
      <c r="G380" s="63" t="s">
        <v>15609</v>
      </c>
      <c r="H380" s="63" t="s">
        <v>16095</v>
      </c>
      <c r="I380" s="63" t="s">
        <v>16096</v>
      </c>
    </row>
    <row r="381" spans="1:9" ht="22.05" customHeight="1" x14ac:dyDescent="0.3">
      <c r="A381" s="63" t="s">
        <v>16706</v>
      </c>
      <c r="B381" s="63" t="s">
        <v>16707</v>
      </c>
      <c r="C381" s="63" t="s">
        <v>16708</v>
      </c>
      <c r="D381" s="64" t="s">
        <v>15594</v>
      </c>
      <c r="E381" s="63" t="s">
        <v>15595</v>
      </c>
      <c r="F381" s="63" t="s">
        <v>15756</v>
      </c>
      <c r="G381" s="63" t="s">
        <v>15757</v>
      </c>
      <c r="H381" s="63" t="s">
        <v>15758</v>
      </c>
      <c r="I381" s="63" t="s">
        <v>7749</v>
      </c>
    </row>
    <row r="382" spans="1:9" ht="10.95" customHeight="1" x14ac:dyDescent="0.3">
      <c r="A382" s="63" t="s">
        <v>16709</v>
      </c>
      <c r="B382" s="63" t="s">
        <v>16710</v>
      </c>
      <c r="C382" s="63" t="s">
        <v>16711</v>
      </c>
      <c r="D382" s="64" t="s">
        <v>15594</v>
      </c>
      <c r="E382" s="63" t="s">
        <v>15595</v>
      </c>
      <c r="F382" s="63" t="s">
        <v>15608</v>
      </c>
      <c r="G382" s="63" t="s">
        <v>15609</v>
      </c>
      <c r="H382" s="63" t="s">
        <v>15879</v>
      </c>
      <c r="I382" s="63" t="s">
        <v>15880</v>
      </c>
    </row>
    <row r="383" spans="1:9" ht="22.05" customHeight="1" x14ac:dyDescent="0.3">
      <c r="A383" s="63" t="s">
        <v>16712</v>
      </c>
      <c r="B383" s="63" t="s">
        <v>16713</v>
      </c>
      <c r="C383" s="63" t="s">
        <v>16714</v>
      </c>
      <c r="D383" s="64" t="s">
        <v>15594</v>
      </c>
      <c r="E383" s="63" t="s">
        <v>15595</v>
      </c>
      <c r="F383" s="63" t="s">
        <v>15756</v>
      </c>
      <c r="G383" s="63" t="s">
        <v>15757</v>
      </c>
      <c r="H383" s="63" t="s">
        <v>15758</v>
      </c>
      <c r="I383" s="63" t="s">
        <v>7749</v>
      </c>
    </row>
    <row r="384" spans="1:9" ht="22.05" customHeight="1" x14ac:dyDescent="0.3">
      <c r="A384" s="63" t="s">
        <v>16715</v>
      </c>
      <c r="B384" s="63" t="s">
        <v>16716</v>
      </c>
      <c r="C384" s="63" t="s">
        <v>16717</v>
      </c>
      <c r="D384" s="64" t="s">
        <v>15594</v>
      </c>
      <c r="E384" s="63" t="s">
        <v>15595</v>
      </c>
      <c r="F384" s="63" t="s">
        <v>15756</v>
      </c>
      <c r="G384" s="63" t="s">
        <v>15757</v>
      </c>
      <c r="H384" s="63" t="s">
        <v>15758</v>
      </c>
      <c r="I384" s="63" t="s">
        <v>7749</v>
      </c>
    </row>
    <row r="385" spans="1:9" ht="22.05" customHeight="1" x14ac:dyDescent="0.3">
      <c r="A385" s="63" t="s">
        <v>16718</v>
      </c>
      <c r="B385" s="63" t="s">
        <v>16719</v>
      </c>
      <c r="C385" s="63" t="s">
        <v>16720</v>
      </c>
      <c r="D385" s="64" t="s">
        <v>15594</v>
      </c>
      <c r="E385" s="63" t="s">
        <v>15595</v>
      </c>
      <c r="F385" s="63" t="s">
        <v>15756</v>
      </c>
      <c r="G385" s="63" t="s">
        <v>15757</v>
      </c>
      <c r="H385" s="63" t="s">
        <v>15758</v>
      </c>
      <c r="I385" s="63" t="s">
        <v>7749</v>
      </c>
    </row>
    <row r="386" spans="1:9" ht="22.05" customHeight="1" x14ac:dyDescent="0.3">
      <c r="A386" s="63" t="s">
        <v>16721</v>
      </c>
      <c r="B386" s="63" t="s">
        <v>16722</v>
      </c>
      <c r="C386" s="63" t="s">
        <v>16723</v>
      </c>
      <c r="D386" s="64" t="s">
        <v>15594</v>
      </c>
      <c r="E386" s="63" t="s">
        <v>15595</v>
      </c>
      <c r="F386" s="63" t="s">
        <v>15756</v>
      </c>
      <c r="G386" s="63" t="s">
        <v>15757</v>
      </c>
      <c r="H386" s="63" t="s">
        <v>15758</v>
      </c>
      <c r="I386" s="63" t="s">
        <v>7749</v>
      </c>
    </row>
    <row r="387" spans="1:9" ht="22.05" customHeight="1" x14ac:dyDescent="0.3">
      <c r="A387" s="63" t="s">
        <v>16724</v>
      </c>
      <c r="B387" s="63" t="s">
        <v>16725</v>
      </c>
      <c r="C387" s="63" t="s">
        <v>16726</v>
      </c>
      <c r="D387" s="64" t="s">
        <v>15594</v>
      </c>
      <c r="E387" s="63" t="s">
        <v>15595</v>
      </c>
      <c r="F387" s="63" t="s">
        <v>15756</v>
      </c>
      <c r="G387" s="63" t="s">
        <v>15757</v>
      </c>
      <c r="H387" s="63" t="s">
        <v>15758</v>
      </c>
      <c r="I387" s="63" t="s">
        <v>7749</v>
      </c>
    </row>
    <row r="388" spans="1:9" ht="22.05" customHeight="1" x14ac:dyDescent="0.3">
      <c r="A388" s="63" t="s">
        <v>16727</v>
      </c>
      <c r="B388" s="63" t="s">
        <v>16728</v>
      </c>
      <c r="C388" s="63" t="s">
        <v>16729</v>
      </c>
      <c r="D388" s="64" t="s">
        <v>15594</v>
      </c>
      <c r="E388" s="63" t="s">
        <v>15595</v>
      </c>
      <c r="F388" s="63" t="s">
        <v>15756</v>
      </c>
      <c r="G388" s="63" t="s">
        <v>15757</v>
      </c>
      <c r="H388" s="63" t="s">
        <v>15758</v>
      </c>
      <c r="I388" s="63" t="s">
        <v>7749</v>
      </c>
    </row>
    <row r="389" spans="1:9" ht="22.05" customHeight="1" x14ac:dyDescent="0.3">
      <c r="A389" s="63" t="s">
        <v>16730</v>
      </c>
      <c r="B389" s="63" t="s">
        <v>16731</v>
      </c>
      <c r="C389" s="63" t="s">
        <v>16732</v>
      </c>
      <c r="D389" s="64" t="s">
        <v>15594</v>
      </c>
      <c r="E389" s="63" t="s">
        <v>15595</v>
      </c>
      <c r="F389" s="63" t="s">
        <v>15756</v>
      </c>
      <c r="G389" s="63" t="s">
        <v>15757</v>
      </c>
      <c r="H389" s="63" t="s">
        <v>15758</v>
      </c>
      <c r="I389" s="63" t="s">
        <v>7749</v>
      </c>
    </row>
    <row r="390" spans="1:9" ht="22.05" customHeight="1" x14ac:dyDescent="0.3">
      <c r="A390" s="63" t="s">
        <v>16733</v>
      </c>
      <c r="B390" s="63" t="s">
        <v>16734</v>
      </c>
      <c r="C390" s="63" t="s">
        <v>16735</v>
      </c>
      <c r="D390" s="64" t="s">
        <v>15594</v>
      </c>
      <c r="E390" s="63" t="s">
        <v>15595</v>
      </c>
      <c r="F390" s="63" t="s">
        <v>15756</v>
      </c>
      <c r="G390" s="63" t="s">
        <v>15757</v>
      </c>
      <c r="H390" s="63" t="s">
        <v>15758</v>
      </c>
      <c r="I390" s="63" t="s">
        <v>7749</v>
      </c>
    </row>
    <row r="391" spans="1:9" ht="22.05" customHeight="1" x14ac:dyDescent="0.3">
      <c r="A391" s="63" t="s">
        <v>16736</v>
      </c>
      <c r="B391" s="63" t="s">
        <v>16737</v>
      </c>
      <c r="C391" s="63" t="s">
        <v>16738</v>
      </c>
      <c r="D391" s="64" t="s">
        <v>15594</v>
      </c>
      <c r="E391" s="63" t="s">
        <v>15595</v>
      </c>
      <c r="F391" s="63" t="s">
        <v>15756</v>
      </c>
      <c r="G391" s="63" t="s">
        <v>15757</v>
      </c>
      <c r="H391" s="63" t="s">
        <v>15758</v>
      </c>
      <c r="I391" s="63" t="s">
        <v>7749</v>
      </c>
    </row>
    <row r="392" spans="1:9" ht="22.05" customHeight="1" x14ac:dyDescent="0.3">
      <c r="A392" s="63" t="s">
        <v>16739</v>
      </c>
      <c r="B392" s="63" t="s">
        <v>16740</v>
      </c>
      <c r="C392" s="63" t="s">
        <v>16741</v>
      </c>
      <c r="D392" s="64" t="s">
        <v>15594</v>
      </c>
      <c r="E392" s="63" t="s">
        <v>15595</v>
      </c>
      <c r="F392" s="63" t="s">
        <v>15756</v>
      </c>
      <c r="G392" s="63" t="s">
        <v>15757</v>
      </c>
      <c r="H392" s="63" t="s">
        <v>15758</v>
      </c>
      <c r="I392" s="63" t="s">
        <v>7749</v>
      </c>
    </row>
    <row r="393" spans="1:9" ht="22.05" customHeight="1" x14ac:dyDescent="0.3">
      <c r="A393" s="63" t="s">
        <v>16742</v>
      </c>
      <c r="B393" s="63" t="s">
        <v>16743</v>
      </c>
      <c r="C393" s="63" t="s">
        <v>16744</v>
      </c>
      <c r="D393" s="64" t="s">
        <v>15594</v>
      </c>
      <c r="E393" s="63" t="s">
        <v>15595</v>
      </c>
      <c r="F393" s="63" t="s">
        <v>15756</v>
      </c>
      <c r="G393" s="63" t="s">
        <v>15757</v>
      </c>
      <c r="H393" s="63" t="s">
        <v>15758</v>
      </c>
      <c r="I393" s="63" t="s">
        <v>7749</v>
      </c>
    </row>
    <row r="394" spans="1:9" ht="22.05" customHeight="1" x14ac:dyDescent="0.3">
      <c r="A394" s="63" t="s">
        <v>16745</v>
      </c>
      <c r="B394" s="63" t="s">
        <v>16746</v>
      </c>
      <c r="C394" s="63" t="s">
        <v>16747</v>
      </c>
      <c r="D394" s="64" t="s">
        <v>15594</v>
      </c>
      <c r="E394" s="63" t="s">
        <v>15595</v>
      </c>
      <c r="F394" s="63" t="s">
        <v>15756</v>
      </c>
      <c r="G394" s="63" t="s">
        <v>15757</v>
      </c>
      <c r="H394" s="63" t="s">
        <v>15758</v>
      </c>
      <c r="I394" s="63" t="s">
        <v>7749</v>
      </c>
    </row>
    <row r="395" spans="1:9" ht="10.95" customHeight="1" x14ac:dyDescent="0.3">
      <c r="A395" s="63" t="s">
        <v>16748</v>
      </c>
      <c r="B395" s="63" t="s">
        <v>16749</v>
      </c>
      <c r="C395" s="63" t="s">
        <v>16750</v>
      </c>
      <c r="D395" s="64" t="s">
        <v>15594</v>
      </c>
      <c r="E395" s="63" t="s">
        <v>15595</v>
      </c>
      <c r="F395" s="63" t="s">
        <v>15608</v>
      </c>
      <c r="G395" s="63" t="s">
        <v>15609</v>
      </c>
      <c r="H395" s="63" t="s">
        <v>15879</v>
      </c>
      <c r="I395" s="63" t="s">
        <v>15880</v>
      </c>
    </row>
    <row r="396" spans="1:9" ht="22.05" customHeight="1" x14ac:dyDescent="0.3">
      <c r="A396" s="63" t="s">
        <v>16751</v>
      </c>
      <c r="B396" s="63" t="s">
        <v>16752</v>
      </c>
      <c r="C396" s="63" t="s">
        <v>16753</v>
      </c>
      <c r="D396" s="64" t="s">
        <v>15594</v>
      </c>
      <c r="E396" s="63" t="s">
        <v>15595</v>
      </c>
      <c r="F396" s="63" t="s">
        <v>15756</v>
      </c>
      <c r="G396" s="63" t="s">
        <v>15757</v>
      </c>
      <c r="H396" s="63" t="s">
        <v>15758</v>
      </c>
      <c r="I396" s="63" t="s">
        <v>7749</v>
      </c>
    </row>
    <row r="397" spans="1:9" ht="22.05" customHeight="1" x14ac:dyDescent="0.3">
      <c r="A397" s="63" t="s">
        <v>16754</v>
      </c>
      <c r="B397" s="63" t="s">
        <v>16755</v>
      </c>
      <c r="C397" s="63" t="s">
        <v>16756</v>
      </c>
      <c r="D397" s="64" t="s">
        <v>15594</v>
      </c>
      <c r="E397" s="63" t="s">
        <v>15595</v>
      </c>
      <c r="F397" s="63" t="s">
        <v>15756</v>
      </c>
      <c r="G397" s="63" t="s">
        <v>15757</v>
      </c>
      <c r="H397" s="63" t="s">
        <v>15758</v>
      </c>
      <c r="I397" s="63" t="s">
        <v>7749</v>
      </c>
    </row>
    <row r="398" spans="1:9" ht="22.05" customHeight="1" x14ac:dyDescent="0.3">
      <c r="A398" s="63" t="s">
        <v>16757</v>
      </c>
      <c r="B398" s="63" t="s">
        <v>16758</v>
      </c>
      <c r="C398" s="63" t="s">
        <v>16759</v>
      </c>
      <c r="D398" s="64" t="s">
        <v>15594</v>
      </c>
      <c r="E398" s="63" t="s">
        <v>15595</v>
      </c>
      <c r="F398" s="63" t="s">
        <v>15756</v>
      </c>
      <c r="G398" s="63" t="s">
        <v>15757</v>
      </c>
      <c r="H398" s="63" t="s">
        <v>15758</v>
      </c>
      <c r="I398" s="63" t="s">
        <v>7749</v>
      </c>
    </row>
    <row r="399" spans="1:9" ht="10.95" customHeight="1" x14ac:dyDescent="0.3">
      <c r="A399" s="63" t="s">
        <v>16760</v>
      </c>
      <c r="B399" s="63" t="s">
        <v>16761</v>
      </c>
      <c r="C399" s="63" t="s">
        <v>16762</v>
      </c>
      <c r="D399" s="64" t="s">
        <v>15594</v>
      </c>
      <c r="E399" s="63" t="s">
        <v>15595</v>
      </c>
      <c r="F399" s="63" t="s">
        <v>15608</v>
      </c>
      <c r="G399" s="63" t="s">
        <v>15609</v>
      </c>
      <c r="H399" s="63" t="s">
        <v>15879</v>
      </c>
      <c r="I399" s="63" t="s">
        <v>15880</v>
      </c>
    </row>
    <row r="400" spans="1:9" ht="10.95" customHeight="1" x14ac:dyDescent="0.3">
      <c r="A400" s="63" t="s">
        <v>16763</v>
      </c>
      <c r="B400" s="63" t="s">
        <v>16764</v>
      </c>
      <c r="C400" s="63" t="s">
        <v>16765</v>
      </c>
      <c r="D400" s="64" t="s">
        <v>15594</v>
      </c>
      <c r="E400" s="63" t="s">
        <v>15595</v>
      </c>
      <c r="F400" s="63" t="s">
        <v>15608</v>
      </c>
      <c r="G400" s="63" t="s">
        <v>15609</v>
      </c>
      <c r="H400" s="63" t="s">
        <v>15879</v>
      </c>
      <c r="I400" s="63" t="s">
        <v>15880</v>
      </c>
    </row>
    <row r="401" spans="1:9" ht="10.95" customHeight="1" x14ac:dyDescent="0.3">
      <c r="A401" s="63" t="s">
        <v>16766</v>
      </c>
      <c r="B401" s="63" t="s">
        <v>16767</v>
      </c>
      <c r="C401" s="63" t="s">
        <v>16768</v>
      </c>
      <c r="D401" s="64" t="s">
        <v>15594</v>
      </c>
      <c r="E401" s="63" t="s">
        <v>15595</v>
      </c>
      <c r="F401" s="63" t="s">
        <v>15608</v>
      </c>
      <c r="G401" s="63" t="s">
        <v>15609</v>
      </c>
      <c r="H401" s="63" t="s">
        <v>16095</v>
      </c>
      <c r="I401" s="63" t="s">
        <v>16096</v>
      </c>
    </row>
    <row r="402" spans="1:9" ht="22.05" customHeight="1" x14ac:dyDescent="0.3">
      <c r="A402" s="63" t="s">
        <v>16769</v>
      </c>
      <c r="B402" s="63" t="s">
        <v>16770</v>
      </c>
      <c r="C402" s="63" t="s">
        <v>16771</v>
      </c>
      <c r="D402" s="64" t="s">
        <v>15594</v>
      </c>
      <c r="E402" s="63" t="s">
        <v>15595</v>
      </c>
      <c r="F402" s="63" t="s">
        <v>15756</v>
      </c>
      <c r="G402" s="63" t="s">
        <v>15757</v>
      </c>
      <c r="H402" s="63" t="s">
        <v>15758</v>
      </c>
      <c r="I402" s="63" t="s">
        <v>7749</v>
      </c>
    </row>
    <row r="403" spans="1:9" ht="22.05" customHeight="1" x14ac:dyDescent="0.3">
      <c r="A403" s="63" t="s">
        <v>16772</v>
      </c>
      <c r="B403" s="63" t="s">
        <v>16773</v>
      </c>
      <c r="C403" s="63" t="s">
        <v>16774</v>
      </c>
      <c r="D403" s="64" t="s">
        <v>15594</v>
      </c>
      <c r="E403" s="63" t="s">
        <v>15595</v>
      </c>
      <c r="F403" s="63" t="s">
        <v>15756</v>
      </c>
      <c r="G403" s="63" t="s">
        <v>15757</v>
      </c>
      <c r="H403" s="63" t="s">
        <v>15758</v>
      </c>
      <c r="I403" s="63" t="s">
        <v>7749</v>
      </c>
    </row>
    <row r="404" spans="1:9" ht="22.05" customHeight="1" x14ac:dyDescent="0.3">
      <c r="A404" s="63" t="s">
        <v>16775</v>
      </c>
      <c r="B404" s="63" t="s">
        <v>16776</v>
      </c>
      <c r="C404" s="63" t="s">
        <v>16777</v>
      </c>
      <c r="D404" s="64" t="s">
        <v>15594</v>
      </c>
      <c r="E404" s="63" t="s">
        <v>15595</v>
      </c>
      <c r="F404" s="63" t="s">
        <v>15756</v>
      </c>
      <c r="G404" s="63" t="s">
        <v>15757</v>
      </c>
      <c r="H404" s="63" t="s">
        <v>15758</v>
      </c>
      <c r="I404" s="63" t="s">
        <v>7749</v>
      </c>
    </row>
    <row r="405" spans="1:9" ht="10.95" customHeight="1" x14ac:dyDescent="0.3">
      <c r="A405" s="63" t="s">
        <v>16778</v>
      </c>
      <c r="B405" s="63" t="s">
        <v>16779</v>
      </c>
      <c r="C405" s="63" t="s">
        <v>16780</v>
      </c>
      <c r="D405" s="64" t="s">
        <v>15594</v>
      </c>
      <c r="E405" s="63" t="s">
        <v>15595</v>
      </c>
      <c r="F405" s="63" t="s">
        <v>15608</v>
      </c>
      <c r="G405" s="63" t="s">
        <v>15609</v>
      </c>
      <c r="H405" s="63" t="s">
        <v>16095</v>
      </c>
      <c r="I405" s="63" t="s">
        <v>16096</v>
      </c>
    </row>
    <row r="406" spans="1:9" ht="22.05" customHeight="1" x14ac:dyDescent="0.3">
      <c r="A406" s="63" t="s">
        <v>16781</v>
      </c>
      <c r="B406" s="63" t="s">
        <v>16782</v>
      </c>
      <c r="C406" s="63" t="s">
        <v>16782</v>
      </c>
      <c r="D406" s="64" t="s">
        <v>15594</v>
      </c>
      <c r="E406" s="63" t="s">
        <v>15595</v>
      </c>
      <c r="F406" s="63" t="s">
        <v>15756</v>
      </c>
      <c r="G406" s="63" t="s">
        <v>15757</v>
      </c>
      <c r="H406" s="63" t="s">
        <v>15758</v>
      </c>
      <c r="I406" s="63" t="s">
        <v>7749</v>
      </c>
    </row>
    <row r="407" spans="1:9" ht="22.05" customHeight="1" x14ac:dyDescent="0.3">
      <c r="A407" s="63" t="s">
        <v>16783</v>
      </c>
      <c r="B407" s="63" t="s">
        <v>16784</v>
      </c>
      <c r="C407" s="63" t="s">
        <v>16785</v>
      </c>
      <c r="D407" s="64" t="s">
        <v>15594</v>
      </c>
      <c r="E407" s="63" t="s">
        <v>15595</v>
      </c>
      <c r="F407" s="63" t="s">
        <v>15756</v>
      </c>
      <c r="G407" s="63" t="s">
        <v>15757</v>
      </c>
      <c r="H407" s="63" t="s">
        <v>15977</v>
      </c>
      <c r="I407" s="63" t="s">
        <v>15978</v>
      </c>
    </row>
    <row r="408" spans="1:9" ht="22.05" customHeight="1" x14ac:dyDescent="0.3">
      <c r="A408" s="63" t="s">
        <v>16786</v>
      </c>
      <c r="B408" s="63" t="s">
        <v>16787</v>
      </c>
      <c r="C408" s="63" t="s">
        <v>16788</v>
      </c>
      <c r="D408" s="64" t="s">
        <v>15594</v>
      </c>
      <c r="E408" s="63" t="s">
        <v>15595</v>
      </c>
      <c r="F408" s="63" t="s">
        <v>15756</v>
      </c>
      <c r="G408" s="63" t="s">
        <v>15757</v>
      </c>
      <c r="H408" s="63" t="s">
        <v>15977</v>
      </c>
      <c r="I408" s="63" t="s">
        <v>15978</v>
      </c>
    </row>
    <row r="409" spans="1:9" ht="22.05" customHeight="1" x14ac:dyDescent="0.3">
      <c r="A409" s="63" t="s">
        <v>16789</v>
      </c>
      <c r="B409" s="63" t="s">
        <v>16790</v>
      </c>
      <c r="C409" s="63" t="s">
        <v>16791</v>
      </c>
      <c r="D409" s="64" t="s">
        <v>15594</v>
      </c>
      <c r="E409" s="63" t="s">
        <v>15595</v>
      </c>
      <c r="F409" s="63" t="s">
        <v>15756</v>
      </c>
      <c r="G409" s="63" t="s">
        <v>15757</v>
      </c>
      <c r="H409" s="63" t="s">
        <v>15758</v>
      </c>
      <c r="I409" s="63" t="s">
        <v>7749</v>
      </c>
    </row>
    <row r="410" spans="1:9" ht="22.05" customHeight="1" x14ac:dyDescent="0.3">
      <c r="A410" s="63" t="s">
        <v>16792</v>
      </c>
      <c r="B410" s="63" t="s">
        <v>16793</v>
      </c>
      <c r="C410" s="63" t="s">
        <v>16794</v>
      </c>
      <c r="D410" s="64" t="s">
        <v>15594</v>
      </c>
      <c r="E410" s="63" t="s">
        <v>15595</v>
      </c>
      <c r="F410" s="63" t="s">
        <v>15756</v>
      </c>
      <c r="G410" s="63" t="s">
        <v>15757</v>
      </c>
      <c r="H410" s="63" t="s">
        <v>15758</v>
      </c>
      <c r="I410" s="63" t="s">
        <v>7749</v>
      </c>
    </row>
    <row r="411" spans="1:9" ht="22.05" customHeight="1" x14ac:dyDescent="0.3">
      <c r="A411" s="63" t="s">
        <v>16795</v>
      </c>
      <c r="B411" s="63" t="s">
        <v>16796</v>
      </c>
      <c r="C411" s="63" t="s">
        <v>16797</v>
      </c>
      <c r="D411" s="64" t="s">
        <v>15594</v>
      </c>
      <c r="E411" s="63" t="s">
        <v>15595</v>
      </c>
      <c r="F411" s="63" t="s">
        <v>15756</v>
      </c>
      <c r="G411" s="63" t="s">
        <v>15757</v>
      </c>
      <c r="H411" s="63" t="s">
        <v>15758</v>
      </c>
      <c r="I411" s="63" t="s">
        <v>7749</v>
      </c>
    </row>
    <row r="412" spans="1:9" ht="22.05" customHeight="1" x14ac:dyDescent="0.3">
      <c r="A412" s="63" t="s">
        <v>16798</v>
      </c>
      <c r="B412" s="63" t="s">
        <v>16799</v>
      </c>
      <c r="C412" s="63" t="s">
        <v>16800</v>
      </c>
      <c r="D412" s="64" t="s">
        <v>15594</v>
      </c>
      <c r="E412" s="63" t="s">
        <v>15595</v>
      </c>
      <c r="F412" s="63" t="s">
        <v>15756</v>
      </c>
      <c r="G412" s="63" t="s">
        <v>15757</v>
      </c>
      <c r="H412" s="63" t="s">
        <v>15758</v>
      </c>
      <c r="I412" s="63" t="s">
        <v>7749</v>
      </c>
    </row>
    <row r="413" spans="1:9" ht="22.05" customHeight="1" x14ac:dyDescent="0.3">
      <c r="A413" s="63" t="s">
        <v>16801</v>
      </c>
      <c r="B413" s="63" t="s">
        <v>16802</v>
      </c>
      <c r="C413" s="63" t="s">
        <v>16803</v>
      </c>
      <c r="D413" s="64" t="s">
        <v>15594</v>
      </c>
      <c r="E413" s="63" t="s">
        <v>15595</v>
      </c>
      <c r="F413" s="63" t="s">
        <v>15756</v>
      </c>
      <c r="G413" s="63" t="s">
        <v>15757</v>
      </c>
      <c r="H413" s="63" t="s">
        <v>15758</v>
      </c>
      <c r="I413" s="63" t="s">
        <v>7749</v>
      </c>
    </row>
    <row r="414" spans="1:9" ht="22.05" customHeight="1" x14ac:dyDescent="0.3">
      <c r="A414" s="63" t="s">
        <v>16804</v>
      </c>
      <c r="B414" s="63" t="s">
        <v>16805</v>
      </c>
      <c r="C414" s="63" t="s">
        <v>16806</v>
      </c>
      <c r="D414" s="64" t="s">
        <v>15594</v>
      </c>
      <c r="E414" s="63" t="s">
        <v>15595</v>
      </c>
      <c r="F414" s="63" t="s">
        <v>15756</v>
      </c>
      <c r="G414" s="63" t="s">
        <v>15757</v>
      </c>
      <c r="H414" s="63" t="s">
        <v>15758</v>
      </c>
      <c r="I414" s="63" t="s">
        <v>7749</v>
      </c>
    </row>
    <row r="415" spans="1:9" ht="22.05" customHeight="1" x14ac:dyDescent="0.3">
      <c r="A415" s="63" t="s">
        <v>16807</v>
      </c>
      <c r="B415" s="63" t="s">
        <v>16808</v>
      </c>
      <c r="C415" s="63" t="s">
        <v>16809</v>
      </c>
      <c r="D415" s="64" t="s">
        <v>15594</v>
      </c>
      <c r="E415" s="63" t="s">
        <v>15595</v>
      </c>
      <c r="F415" s="63" t="s">
        <v>15756</v>
      </c>
      <c r="G415" s="63" t="s">
        <v>15757</v>
      </c>
      <c r="H415" s="63" t="s">
        <v>15758</v>
      </c>
      <c r="I415" s="63" t="s">
        <v>7749</v>
      </c>
    </row>
    <row r="416" spans="1:9" ht="22.05" customHeight="1" x14ac:dyDescent="0.3">
      <c r="A416" s="63" t="s">
        <v>16810</v>
      </c>
      <c r="B416" s="63" t="s">
        <v>16811</v>
      </c>
      <c r="C416" s="63" t="s">
        <v>16812</v>
      </c>
      <c r="D416" s="64" t="s">
        <v>15594</v>
      </c>
      <c r="E416" s="63" t="s">
        <v>15595</v>
      </c>
      <c r="F416" s="63" t="s">
        <v>15756</v>
      </c>
      <c r="G416" s="63" t="s">
        <v>15757</v>
      </c>
      <c r="H416" s="63" t="s">
        <v>15758</v>
      </c>
      <c r="I416" s="63" t="s">
        <v>7749</v>
      </c>
    </row>
    <row r="417" spans="1:9" ht="10.95" customHeight="1" x14ac:dyDescent="0.3">
      <c r="A417" s="63" t="s">
        <v>16813</v>
      </c>
      <c r="B417" s="63" t="s">
        <v>15823</v>
      </c>
      <c r="C417" s="63" t="s">
        <v>16814</v>
      </c>
      <c r="D417" s="64" t="s">
        <v>15594</v>
      </c>
      <c r="E417" s="63" t="s">
        <v>15595</v>
      </c>
      <c r="F417" s="63" t="s">
        <v>15608</v>
      </c>
      <c r="G417" s="63" t="s">
        <v>15609</v>
      </c>
      <c r="H417" s="63" t="s">
        <v>15879</v>
      </c>
      <c r="I417" s="63" t="s">
        <v>15880</v>
      </c>
    </row>
    <row r="418" spans="1:9" ht="22.05" customHeight="1" x14ac:dyDescent="0.3">
      <c r="A418" s="63" t="s">
        <v>16815</v>
      </c>
      <c r="B418" s="63" t="s">
        <v>16816</v>
      </c>
      <c r="C418" s="63" t="s">
        <v>16817</v>
      </c>
      <c r="D418" s="64" t="s">
        <v>15594</v>
      </c>
      <c r="E418" s="63" t="s">
        <v>15595</v>
      </c>
      <c r="F418" s="63" t="s">
        <v>15756</v>
      </c>
      <c r="G418" s="63" t="s">
        <v>15757</v>
      </c>
      <c r="H418" s="63" t="s">
        <v>15977</v>
      </c>
      <c r="I418" s="63" t="s">
        <v>15978</v>
      </c>
    </row>
    <row r="419" spans="1:9" ht="22.05" customHeight="1" x14ac:dyDescent="0.3">
      <c r="A419" s="63" t="s">
        <v>16818</v>
      </c>
      <c r="B419" s="63" t="s">
        <v>16819</v>
      </c>
      <c r="C419" s="63" t="s">
        <v>16820</v>
      </c>
      <c r="D419" s="64" t="s">
        <v>15594</v>
      </c>
      <c r="E419" s="63" t="s">
        <v>15595</v>
      </c>
      <c r="F419" s="63" t="s">
        <v>15756</v>
      </c>
      <c r="G419" s="63" t="s">
        <v>15757</v>
      </c>
      <c r="H419" s="63" t="s">
        <v>15977</v>
      </c>
      <c r="I419" s="63" t="s">
        <v>15978</v>
      </c>
    </row>
    <row r="420" spans="1:9" ht="22.05" customHeight="1" x14ac:dyDescent="0.3">
      <c r="A420" s="63" t="s">
        <v>16821</v>
      </c>
      <c r="B420" s="63" t="s">
        <v>16822</v>
      </c>
      <c r="C420" s="63" t="s">
        <v>16823</v>
      </c>
      <c r="D420" s="64" t="s">
        <v>15594</v>
      </c>
      <c r="E420" s="63" t="s">
        <v>15595</v>
      </c>
      <c r="F420" s="63" t="s">
        <v>15756</v>
      </c>
      <c r="G420" s="63" t="s">
        <v>15757</v>
      </c>
      <c r="H420" s="63" t="s">
        <v>15977</v>
      </c>
      <c r="I420" s="63" t="s">
        <v>15978</v>
      </c>
    </row>
    <row r="421" spans="1:9" ht="22.05" customHeight="1" x14ac:dyDescent="0.3">
      <c r="A421" s="63" t="s">
        <v>16824</v>
      </c>
      <c r="B421" s="63" t="s">
        <v>16825</v>
      </c>
      <c r="C421" s="63" t="s">
        <v>16826</v>
      </c>
      <c r="D421" s="64" t="s">
        <v>15594</v>
      </c>
      <c r="E421" s="63" t="s">
        <v>15595</v>
      </c>
      <c r="F421" s="63" t="s">
        <v>15756</v>
      </c>
      <c r="G421" s="63" t="s">
        <v>15757</v>
      </c>
      <c r="H421" s="63" t="s">
        <v>15758</v>
      </c>
      <c r="I421" s="63" t="s">
        <v>7749</v>
      </c>
    </row>
    <row r="422" spans="1:9" ht="22.05" customHeight="1" x14ac:dyDescent="0.3">
      <c r="A422" s="63" t="s">
        <v>16827</v>
      </c>
      <c r="B422" s="63" t="s">
        <v>16828</v>
      </c>
      <c r="C422" s="63" t="s">
        <v>16829</v>
      </c>
      <c r="D422" s="64" t="s">
        <v>15594</v>
      </c>
      <c r="E422" s="63" t="s">
        <v>15595</v>
      </c>
      <c r="F422" s="63" t="s">
        <v>15756</v>
      </c>
      <c r="G422" s="63" t="s">
        <v>15757</v>
      </c>
      <c r="H422" s="63" t="s">
        <v>15758</v>
      </c>
      <c r="I422" s="63" t="s">
        <v>7749</v>
      </c>
    </row>
    <row r="423" spans="1:9" ht="10.95" customHeight="1" x14ac:dyDescent="0.3">
      <c r="A423" s="63" t="s">
        <v>16830</v>
      </c>
      <c r="B423" s="63" t="s">
        <v>16831</v>
      </c>
      <c r="C423" s="63" t="s">
        <v>16832</v>
      </c>
      <c r="D423" s="64" t="s">
        <v>15594</v>
      </c>
      <c r="E423" s="63" t="s">
        <v>15595</v>
      </c>
      <c r="F423" s="63" t="s">
        <v>15608</v>
      </c>
      <c r="G423" s="63" t="s">
        <v>15609</v>
      </c>
      <c r="H423" s="63" t="s">
        <v>16095</v>
      </c>
      <c r="I423" s="63" t="s">
        <v>16096</v>
      </c>
    </row>
    <row r="424" spans="1:9" ht="22.05" customHeight="1" x14ac:dyDescent="0.3">
      <c r="A424" s="63" t="s">
        <v>16833</v>
      </c>
      <c r="B424" s="63" t="s">
        <v>16834</v>
      </c>
      <c r="C424" s="63" t="s">
        <v>16835</v>
      </c>
      <c r="D424" s="64" t="s">
        <v>15594</v>
      </c>
      <c r="E424" s="63" t="s">
        <v>15595</v>
      </c>
      <c r="F424" s="63" t="s">
        <v>15756</v>
      </c>
      <c r="G424" s="63" t="s">
        <v>15757</v>
      </c>
      <c r="H424" s="63" t="s">
        <v>15758</v>
      </c>
      <c r="I424" s="63" t="s">
        <v>7749</v>
      </c>
    </row>
    <row r="425" spans="1:9" ht="22.05" customHeight="1" x14ac:dyDescent="0.3">
      <c r="A425" s="63" t="s">
        <v>16836</v>
      </c>
      <c r="B425" s="63" t="s">
        <v>16837</v>
      </c>
      <c r="C425" s="63" t="s">
        <v>16838</v>
      </c>
      <c r="D425" s="64" t="s">
        <v>15594</v>
      </c>
      <c r="E425" s="63" t="s">
        <v>15595</v>
      </c>
      <c r="F425" s="63" t="s">
        <v>15756</v>
      </c>
      <c r="G425" s="63" t="s">
        <v>15757</v>
      </c>
      <c r="H425" s="63" t="s">
        <v>15758</v>
      </c>
      <c r="I425" s="63" t="s">
        <v>7749</v>
      </c>
    </row>
    <row r="426" spans="1:9" ht="22.05" customHeight="1" x14ac:dyDescent="0.3">
      <c r="A426" s="63" t="s">
        <v>16839</v>
      </c>
      <c r="B426" s="63" t="s">
        <v>16840</v>
      </c>
      <c r="C426" s="63" t="s">
        <v>16841</v>
      </c>
      <c r="D426" s="64" t="s">
        <v>15594</v>
      </c>
      <c r="E426" s="63" t="s">
        <v>15595</v>
      </c>
      <c r="F426" s="63" t="s">
        <v>15756</v>
      </c>
      <c r="G426" s="63" t="s">
        <v>15757</v>
      </c>
      <c r="H426" s="63" t="s">
        <v>15758</v>
      </c>
      <c r="I426" s="63" t="s">
        <v>7749</v>
      </c>
    </row>
    <row r="427" spans="1:9" ht="22.05" customHeight="1" x14ac:dyDescent="0.3">
      <c r="A427" s="63" t="s">
        <v>16842</v>
      </c>
      <c r="B427" s="63" t="s">
        <v>16843</v>
      </c>
      <c r="C427" s="63" t="s">
        <v>16844</v>
      </c>
      <c r="D427" s="64" t="s">
        <v>15594</v>
      </c>
      <c r="E427" s="63" t="s">
        <v>15595</v>
      </c>
      <c r="F427" s="63" t="s">
        <v>15756</v>
      </c>
      <c r="G427" s="63" t="s">
        <v>15757</v>
      </c>
      <c r="H427" s="63" t="s">
        <v>15758</v>
      </c>
      <c r="I427" s="63" t="s">
        <v>7749</v>
      </c>
    </row>
    <row r="428" spans="1:9" ht="10.95" customHeight="1" x14ac:dyDescent="0.3">
      <c r="A428" s="63" t="s">
        <v>16845</v>
      </c>
      <c r="B428" s="63" t="s">
        <v>16846</v>
      </c>
      <c r="C428" s="63" t="s">
        <v>16847</v>
      </c>
      <c r="D428" s="64" t="s">
        <v>15594</v>
      </c>
      <c r="E428" s="63" t="s">
        <v>15595</v>
      </c>
      <c r="F428" s="63" t="s">
        <v>15608</v>
      </c>
      <c r="G428" s="63" t="s">
        <v>15609</v>
      </c>
      <c r="H428" s="63" t="s">
        <v>15977</v>
      </c>
      <c r="I428" s="63" t="s">
        <v>15978</v>
      </c>
    </row>
    <row r="429" spans="1:9" ht="10.95" customHeight="1" x14ac:dyDescent="0.3">
      <c r="A429" s="63" t="s">
        <v>16848</v>
      </c>
      <c r="B429" s="63" t="s">
        <v>16849</v>
      </c>
      <c r="C429" s="63" t="s">
        <v>16850</v>
      </c>
      <c r="D429" s="64" t="s">
        <v>15594</v>
      </c>
      <c r="E429" s="63" t="s">
        <v>15595</v>
      </c>
      <c r="F429" s="63" t="s">
        <v>15608</v>
      </c>
      <c r="G429" s="63" t="s">
        <v>15609</v>
      </c>
      <c r="H429" s="63" t="s">
        <v>15977</v>
      </c>
      <c r="I429" s="63" t="s">
        <v>15978</v>
      </c>
    </row>
    <row r="430" spans="1:9" ht="10.95" customHeight="1" x14ac:dyDescent="0.3">
      <c r="A430" s="63" t="s">
        <v>16851</v>
      </c>
      <c r="B430" s="63" t="s">
        <v>16852</v>
      </c>
      <c r="C430" s="63" t="s">
        <v>16853</v>
      </c>
      <c r="D430" s="64" t="s">
        <v>15594</v>
      </c>
      <c r="E430" s="63" t="s">
        <v>15595</v>
      </c>
      <c r="F430" s="63" t="s">
        <v>15608</v>
      </c>
      <c r="G430" s="63" t="s">
        <v>15609</v>
      </c>
      <c r="H430" s="63" t="s">
        <v>16069</v>
      </c>
      <c r="I430" s="63" t="s">
        <v>16070</v>
      </c>
    </row>
    <row r="431" spans="1:9" ht="10.95" customHeight="1" x14ac:dyDescent="0.3">
      <c r="A431" s="63" t="s">
        <v>16854</v>
      </c>
      <c r="B431" s="63" t="s">
        <v>16855</v>
      </c>
      <c r="C431" s="63" t="s">
        <v>16856</v>
      </c>
      <c r="D431" s="64" t="s">
        <v>15594</v>
      </c>
      <c r="E431" s="63" t="s">
        <v>15595</v>
      </c>
      <c r="F431" s="63" t="s">
        <v>15608</v>
      </c>
      <c r="G431" s="63" t="s">
        <v>15609</v>
      </c>
      <c r="H431" s="63" t="s">
        <v>16069</v>
      </c>
      <c r="I431" s="63" t="s">
        <v>16070</v>
      </c>
    </row>
    <row r="432" spans="1:9" ht="10.95" customHeight="1" x14ac:dyDescent="0.3">
      <c r="A432" s="63" t="s">
        <v>16857</v>
      </c>
      <c r="B432" s="63" t="s">
        <v>16858</v>
      </c>
      <c r="C432" s="63" t="s">
        <v>16859</v>
      </c>
      <c r="D432" s="64" t="s">
        <v>15594</v>
      </c>
      <c r="E432" s="63" t="s">
        <v>15595</v>
      </c>
      <c r="F432" s="63" t="s">
        <v>15608</v>
      </c>
      <c r="G432" s="63" t="s">
        <v>15609</v>
      </c>
      <c r="H432" s="63" t="s">
        <v>15977</v>
      </c>
      <c r="I432" s="63" t="s">
        <v>15978</v>
      </c>
    </row>
    <row r="433" spans="1:9" ht="10.95" customHeight="1" x14ac:dyDescent="0.3">
      <c r="A433" s="63" t="s">
        <v>16860</v>
      </c>
      <c r="B433" s="63" t="s">
        <v>16861</v>
      </c>
      <c r="C433" s="63" t="s">
        <v>16862</v>
      </c>
      <c r="D433" s="64" t="s">
        <v>15594</v>
      </c>
      <c r="E433" s="63" t="s">
        <v>15595</v>
      </c>
      <c r="F433" s="63" t="s">
        <v>15608</v>
      </c>
      <c r="G433" s="63" t="s">
        <v>15609</v>
      </c>
      <c r="H433" s="63" t="s">
        <v>15598</v>
      </c>
      <c r="I433" s="63" t="s">
        <v>7749</v>
      </c>
    </row>
    <row r="434" spans="1:9" ht="10.95" customHeight="1" x14ac:dyDescent="0.3">
      <c r="A434" s="63" t="s">
        <v>16863</v>
      </c>
      <c r="B434" s="63" t="s">
        <v>16864</v>
      </c>
      <c r="C434" s="63" t="s">
        <v>16865</v>
      </c>
      <c r="D434" s="64" t="s">
        <v>15594</v>
      </c>
      <c r="E434" s="63" t="s">
        <v>15595</v>
      </c>
      <c r="F434" s="63" t="s">
        <v>15608</v>
      </c>
      <c r="G434" s="63" t="s">
        <v>15609</v>
      </c>
      <c r="H434" s="63" t="s">
        <v>15598</v>
      </c>
      <c r="I434" s="63" t="s">
        <v>7749</v>
      </c>
    </row>
    <row r="435" spans="1:9" ht="10.95" customHeight="1" x14ac:dyDescent="0.3">
      <c r="A435" s="63" t="s">
        <v>16866</v>
      </c>
      <c r="B435" s="63" t="s">
        <v>16867</v>
      </c>
      <c r="C435" s="63" t="s">
        <v>16868</v>
      </c>
      <c r="D435" s="64" t="s">
        <v>15594</v>
      </c>
      <c r="E435" s="63" t="s">
        <v>15595</v>
      </c>
      <c r="F435" s="63" t="s">
        <v>15608</v>
      </c>
      <c r="G435" s="63" t="s">
        <v>15609</v>
      </c>
      <c r="H435" s="63" t="s">
        <v>15598</v>
      </c>
      <c r="I435" s="63" t="s">
        <v>7749</v>
      </c>
    </row>
    <row r="436" spans="1:9" ht="10.95" customHeight="1" x14ac:dyDescent="0.3">
      <c r="A436" s="63" t="s">
        <v>16869</v>
      </c>
      <c r="B436" s="63" t="s">
        <v>16870</v>
      </c>
      <c r="C436" s="63" t="s">
        <v>16871</v>
      </c>
      <c r="D436" s="64" t="s">
        <v>15594</v>
      </c>
      <c r="E436" s="63" t="s">
        <v>15595</v>
      </c>
      <c r="F436" s="63" t="s">
        <v>15608</v>
      </c>
      <c r="G436" s="63" t="s">
        <v>15609</v>
      </c>
      <c r="H436" s="63" t="s">
        <v>15598</v>
      </c>
      <c r="I436" s="63" t="s">
        <v>7749</v>
      </c>
    </row>
    <row r="437" spans="1:9" ht="10.95" customHeight="1" x14ac:dyDescent="0.3">
      <c r="A437" s="63" t="s">
        <v>16872</v>
      </c>
      <c r="B437" s="63" t="s">
        <v>16873</v>
      </c>
      <c r="C437" s="63" t="s">
        <v>16874</v>
      </c>
      <c r="D437" s="64" t="s">
        <v>15594</v>
      </c>
      <c r="E437" s="63" t="s">
        <v>15595</v>
      </c>
      <c r="F437" s="63" t="s">
        <v>15608</v>
      </c>
      <c r="G437" s="63" t="s">
        <v>15609</v>
      </c>
      <c r="H437" s="63" t="s">
        <v>16069</v>
      </c>
      <c r="I437" s="63" t="s">
        <v>16070</v>
      </c>
    </row>
    <row r="438" spans="1:9" ht="10.95" customHeight="1" x14ac:dyDescent="0.3">
      <c r="A438" s="63" t="s">
        <v>16875</v>
      </c>
      <c r="B438" s="63" t="s">
        <v>16876</v>
      </c>
      <c r="C438" s="63" t="s">
        <v>16877</v>
      </c>
      <c r="D438" s="64" t="s">
        <v>15594</v>
      </c>
      <c r="E438" s="63" t="s">
        <v>15595</v>
      </c>
      <c r="F438" s="63" t="s">
        <v>15608</v>
      </c>
      <c r="G438" s="63" t="s">
        <v>15609</v>
      </c>
      <c r="H438" s="63" t="s">
        <v>15977</v>
      </c>
      <c r="I438" s="63" t="s">
        <v>15978</v>
      </c>
    </row>
    <row r="439" spans="1:9" ht="10.95" customHeight="1" x14ac:dyDescent="0.3">
      <c r="A439" s="63" t="s">
        <v>16878</v>
      </c>
      <c r="B439" s="63" t="s">
        <v>16879</v>
      </c>
      <c r="C439" s="63" t="s">
        <v>16880</v>
      </c>
      <c r="D439" s="64" t="s">
        <v>15594</v>
      </c>
      <c r="E439" s="63" t="s">
        <v>15595</v>
      </c>
      <c r="F439" s="63" t="s">
        <v>15608</v>
      </c>
      <c r="G439" s="63" t="s">
        <v>15609</v>
      </c>
      <c r="H439" s="63" t="s">
        <v>15598</v>
      </c>
      <c r="I439" s="63" t="s">
        <v>7749</v>
      </c>
    </row>
    <row r="440" spans="1:9" ht="10.95" customHeight="1" x14ac:dyDescent="0.3">
      <c r="A440" s="63" t="s">
        <v>16881</v>
      </c>
      <c r="B440" s="63" t="s">
        <v>16882</v>
      </c>
      <c r="C440" s="63" t="s">
        <v>16883</v>
      </c>
      <c r="D440" s="64" t="s">
        <v>15594</v>
      </c>
      <c r="E440" s="63" t="s">
        <v>15595</v>
      </c>
      <c r="F440" s="63" t="s">
        <v>15608</v>
      </c>
      <c r="G440" s="63" t="s">
        <v>15609</v>
      </c>
      <c r="H440" s="63" t="s">
        <v>15598</v>
      </c>
      <c r="I440" s="63" t="s">
        <v>7749</v>
      </c>
    </row>
    <row r="441" spans="1:9" ht="10.95" customHeight="1" x14ac:dyDescent="0.3">
      <c r="A441" s="63" t="s">
        <v>16884</v>
      </c>
      <c r="B441" s="63" t="s">
        <v>16885</v>
      </c>
      <c r="C441" s="63" t="s">
        <v>16886</v>
      </c>
      <c r="D441" s="64" t="s">
        <v>15594</v>
      </c>
      <c r="E441" s="63" t="s">
        <v>15595</v>
      </c>
      <c r="F441" s="63" t="s">
        <v>15608</v>
      </c>
      <c r="G441" s="63" t="s">
        <v>15609</v>
      </c>
      <c r="H441" s="63" t="s">
        <v>15598</v>
      </c>
      <c r="I441" s="63" t="s">
        <v>7749</v>
      </c>
    </row>
    <row r="442" spans="1:9" ht="10.95" customHeight="1" x14ac:dyDescent="0.3">
      <c r="A442" s="63" t="s">
        <v>16887</v>
      </c>
      <c r="B442" s="63" t="s">
        <v>16888</v>
      </c>
      <c r="C442" s="63" t="s">
        <v>16889</v>
      </c>
      <c r="D442" s="64" t="s">
        <v>15594</v>
      </c>
      <c r="E442" s="63" t="s">
        <v>15595</v>
      </c>
      <c r="F442" s="63" t="s">
        <v>15608</v>
      </c>
      <c r="G442" s="63" t="s">
        <v>15609</v>
      </c>
      <c r="H442" s="63" t="s">
        <v>15598</v>
      </c>
      <c r="I442" s="63" t="s">
        <v>7749</v>
      </c>
    </row>
    <row r="443" spans="1:9" ht="10.95" customHeight="1" x14ac:dyDescent="0.3">
      <c r="A443" s="63" t="s">
        <v>16890</v>
      </c>
      <c r="B443" s="63" t="s">
        <v>16891</v>
      </c>
      <c r="C443" s="63" t="s">
        <v>16892</v>
      </c>
      <c r="D443" s="64" t="s">
        <v>15594</v>
      </c>
      <c r="E443" s="63" t="s">
        <v>15595</v>
      </c>
      <c r="F443" s="63" t="s">
        <v>15608</v>
      </c>
      <c r="G443" s="63" t="s">
        <v>15609</v>
      </c>
      <c r="H443" s="63" t="s">
        <v>15977</v>
      </c>
      <c r="I443" s="63" t="s">
        <v>15978</v>
      </c>
    </row>
    <row r="444" spans="1:9" ht="10.95" customHeight="1" x14ac:dyDescent="0.3">
      <c r="A444" s="63" t="s">
        <v>16893</v>
      </c>
      <c r="B444" s="63" t="s">
        <v>16894</v>
      </c>
      <c r="C444" s="63" t="s">
        <v>16895</v>
      </c>
      <c r="D444" s="64" t="s">
        <v>15594</v>
      </c>
      <c r="E444" s="63" t="s">
        <v>15595</v>
      </c>
      <c r="F444" s="63" t="s">
        <v>15608</v>
      </c>
      <c r="G444" s="63" t="s">
        <v>15609</v>
      </c>
      <c r="H444" s="63" t="s">
        <v>15598</v>
      </c>
      <c r="I444" s="63" t="s">
        <v>7749</v>
      </c>
    </row>
    <row r="445" spans="1:9" ht="10.95" customHeight="1" x14ac:dyDescent="0.3">
      <c r="A445" s="63" t="s">
        <v>16896</v>
      </c>
      <c r="B445" s="63" t="s">
        <v>16897</v>
      </c>
      <c r="C445" s="63" t="s">
        <v>16898</v>
      </c>
      <c r="D445" s="64" t="s">
        <v>15594</v>
      </c>
      <c r="E445" s="63" t="s">
        <v>15595</v>
      </c>
      <c r="F445" s="63" t="s">
        <v>15608</v>
      </c>
      <c r="G445" s="63" t="s">
        <v>15609</v>
      </c>
      <c r="H445" s="63" t="s">
        <v>15598</v>
      </c>
      <c r="I445" s="63" t="s">
        <v>7749</v>
      </c>
    </row>
    <row r="446" spans="1:9" ht="10.95" customHeight="1" x14ac:dyDescent="0.3">
      <c r="A446" s="63" t="s">
        <v>16899</v>
      </c>
      <c r="B446" s="63" t="s">
        <v>16900</v>
      </c>
      <c r="C446" s="63" t="s">
        <v>16901</v>
      </c>
      <c r="D446" s="64" t="s">
        <v>15594</v>
      </c>
      <c r="E446" s="63" t="s">
        <v>15595</v>
      </c>
      <c r="F446" s="63" t="s">
        <v>15608</v>
      </c>
      <c r="G446" s="63" t="s">
        <v>15609</v>
      </c>
      <c r="H446" s="63" t="s">
        <v>15598</v>
      </c>
      <c r="I446" s="63" t="s">
        <v>7749</v>
      </c>
    </row>
    <row r="447" spans="1:9" ht="10.95" customHeight="1" x14ac:dyDescent="0.3">
      <c r="A447" s="63" t="s">
        <v>16902</v>
      </c>
      <c r="B447" s="63" t="s">
        <v>16903</v>
      </c>
      <c r="C447" s="63" t="s">
        <v>16904</v>
      </c>
      <c r="D447" s="64" t="s">
        <v>15594</v>
      </c>
      <c r="E447" s="63" t="s">
        <v>15595</v>
      </c>
      <c r="F447" s="63" t="s">
        <v>15608</v>
      </c>
      <c r="G447" s="63" t="s">
        <v>15609</v>
      </c>
      <c r="H447" s="63" t="s">
        <v>15598</v>
      </c>
      <c r="I447" s="63" t="s">
        <v>7749</v>
      </c>
    </row>
    <row r="448" spans="1:9" ht="10.95" customHeight="1" x14ac:dyDescent="0.3">
      <c r="A448" s="63" t="s">
        <v>16905</v>
      </c>
      <c r="B448" s="63" t="s">
        <v>16906</v>
      </c>
      <c r="C448" s="63" t="s">
        <v>16907</v>
      </c>
      <c r="D448" s="64" t="s">
        <v>15594</v>
      </c>
      <c r="E448" s="63" t="s">
        <v>15595</v>
      </c>
      <c r="F448" s="63" t="s">
        <v>15608</v>
      </c>
      <c r="G448" s="63" t="s">
        <v>15609</v>
      </c>
      <c r="H448" s="63" t="s">
        <v>15598</v>
      </c>
      <c r="I448" s="63" t="s">
        <v>7749</v>
      </c>
    </row>
    <row r="449" spans="1:9" ht="10.95" customHeight="1" x14ac:dyDescent="0.3">
      <c r="A449" s="63" t="s">
        <v>16908</v>
      </c>
      <c r="B449" s="63" t="s">
        <v>16909</v>
      </c>
      <c r="C449" s="63" t="s">
        <v>16910</v>
      </c>
      <c r="D449" s="64" t="s">
        <v>15594</v>
      </c>
      <c r="E449" s="63" t="s">
        <v>15595</v>
      </c>
      <c r="F449" s="63" t="s">
        <v>15608</v>
      </c>
      <c r="G449" s="63" t="s">
        <v>15609</v>
      </c>
      <c r="H449" s="63" t="s">
        <v>15598</v>
      </c>
      <c r="I449" s="63" t="s">
        <v>7749</v>
      </c>
    </row>
    <row r="450" spans="1:9" ht="10.95" customHeight="1" x14ac:dyDescent="0.3">
      <c r="A450" s="63" t="s">
        <v>16911</v>
      </c>
      <c r="B450" s="63" t="s">
        <v>16912</v>
      </c>
      <c r="C450" s="63" t="s">
        <v>16913</v>
      </c>
      <c r="D450" s="64" t="s">
        <v>15594</v>
      </c>
      <c r="E450" s="63" t="s">
        <v>15595</v>
      </c>
      <c r="F450" s="63" t="s">
        <v>15608</v>
      </c>
      <c r="G450" s="63" t="s">
        <v>15609</v>
      </c>
      <c r="H450" s="63" t="s">
        <v>15598</v>
      </c>
      <c r="I450" s="63" t="s">
        <v>7749</v>
      </c>
    </row>
    <row r="451" spans="1:9" ht="10.95" customHeight="1" x14ac:dyDescent="0.3">
      <c r="A451" s="63" t="s">
        <v>16914</v>
      </c>
      <c r="B451" s="63" t="s">
        <v>16915</v>
      </c>
      <c r="C451" s="63" t="s">
        <v>16916</v>
      </c>
      <c r="D451" s="64" t="s">
        <v>15594</v>
      </c>
      <c r="E451" s="63" t="s">
        <v>15595</v>
      </c>
      <c r="F451" s="63" t="s">
        <v>15608</v>
      </c>
      <c r="G451" s="63" t="s">
        <v>15609</v>
      </c>
      <c r="H451" s="63" t="s">
        <v>15598</v>
      </c>
      <c r="I451" s="63" t="s">
        <v>7749</v>
      </c>
    </row>
    <row r="452" spans="1:9" ht="10.95" customHeight="1" x14ac:dyDescent="0.3">
      <c r="A452" s="63" t="s">
        <v>16917</v>
      </c>
      <c r="B452" s="63" t="s">
        <v>16918</v>
      </c>
      <c r="C452" s="63" t="s">
        <v>16919</v>
      </c>
      <c r="D452" s="64" t="s">
        <v>15594</v>
      </c>
      <c r="E452" s="63" t="s">
        <v>15595</v>
      </c>
      <c r="F452" s="63" t="s">
        <v>15608</v>
      </c>
      <c r="G452" s="63" t="s">
        <v>15609</v>
      </c>
      <c r="H452" s="63" t="s">
        <v>15598</v>
      </c>
      <c r="I452" s="63" t="s">
        <v>7749</v>
      </c>
    </row>
    <row r="453" spans="1:9" ht="10.95" customHeight="1" x14ac:dyDescent="0.3">
      <c r="A453" s="63" t="s">
        <v>16920</v>
      </c>
      <c r="B453" s="63" t="s">
        <v>16921</v>
      </c>
      <c r="C453" s="63" t="s">
        <v>16922</v>
      </c>
      <c r="D453" s="64" t="s">
        <v>15594</v>
      </c>
      <c r="E453" s="63" t="s">
        <v>15595</v>
      </c>
      <c r="F453" s="63" t="s">
        <v>15608</v>
      </c>
      <c r="G453" s="63" t="s">
        <v>15609</v>
      </c>
      <c r="H453" s="63" t="s">
        <v>15598</v>
      </c>
      <c r="I453" s="63" t="s">
        <v>7749</v>
      </c>
    </row>
    <row r="454" spans="1:9" ht="10.95" customHeight="1" x14ac:dyDescent="0.3">
      <c r="A454" s="63" t="s">
        <v>16923</v>
      </c>
      <c r="B454" s="63" t="s">
        <v>16924</v>
      </c>
      <c r="C454" s="63" t="s">
        <v>16925</v>
      </c>
      <c r="D454" s="64" t="s">
        <v>15594</v>
      </c>
      <c r="E454" s="63" t="s">
        <v>15595</v>
      </c>
      <c r="F454" s="63" t="s">
        <v>15608</v>
      </c>
      <c r="G454" s="63" t="s">
        <v>15609</v>
      </c>
      <c r="H454" s="63" t="s">
        <v>15598</v>
      </c>
      <c r="I454" s="63" t="s">
        <v>7749</v>
      </c>
    </row>
    <row r="455" spans="1:9" ht="10.95" customHeight="1" x14ac:dyDescent="0.3">
      <c r="A455" s="63" t="s">
        <v>16926</v>
      </c>
      <c r="B455" s="63" t="s">
        <v>16927</v>
      </c>
      <c r="C455" s="63" t="s">
        <v>16928</v>
      </c>
      <c r="D455" s="64" t="s">
        <v>15594</v>
      </c>
      <c r="E455" s="63" t="s">
        <v>15595</v>
      </c>
      <c r="F455" s="63" t="s">
        <v>15608</v>
      </c>
      <c r="G455" s="63" t="s">
        <v>15609</v>
      </c>
      <c r="H455" s="63" t="s">
        <v>15598</v>
      </c>
      <c r="I455" s="63" t="s">
        <v>7749</v>
      </c>
    </row>
    <row r="456" spans="1:9" ht="10.95" customHeight="1" x14ac:dyDescent="0.3">
      <c r="A456" s="63" t="s">
        <v>16929</v>
      </c>
      <c r="B456" s="63" t="s">
        <v>16930</v>
      </c>
      <c r="C456" s="63" t="s">
        <v>16931</v>
      </c>
      <c r="D456" s="64" t="s">
        <v>15594</v>
      </c>
      <c r="E456" s="63" t="s">
        <v>15595</v>
      </c>
      <c r="F456" s="63" t="s">
        <v>15608</v>
      </c>
      <c r="G456" s="63" t="s">
        <v>15609</v>
      </c>
      <c r="H456" s="63" t="s">
        <v>15598</v>
      </c>
      <c r="I456" s="63" t="s">
        <v>7749</v>
      </c>
    </row>
    <row r="457" spans="1:9" ht="10.95" customHeight="1" x14ac:dyDescent="0.3">
      <c r="A457" s="61"/>
      <c r="B457" s="61"/>
      <c r="C457" s="61"/>
      <c r="D457" s="61"/>
      <c r="E457" s="61"/>
      <c r="F457" s="61"/>
      <c r="G457" s="61"/>
      <c r="H457" s="61"/>
      <c r="I457" s="61"/>
    </row>
    <row r="458" spans="1:9" ht="10.9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BB93-1F31-4C00-92E1-096E723DD207}">
  <dimension ref="A1:I142"/>
  <sheetViews>
    <sheetView workbookViewId="0">
      <selection activeCell="E12" sqref="E12"/>
    </sheetView>
  </sheetViews>
  <sheetFormatPr defaultColWidth="8.109375" defaultRowHeight="14.4" x14ac:dyDescent="0.3"/>
  <cols>
    <col min="1" max="1" width="10" style="19" customWidth="1"/>
    <col min="2" max="2" width="31.6640625" style="19" customWidth="1"/>
    <col min="3" max="3" width="31.77734375" style="19" customWidth="1"/>
    <col min="4" max="4" width="21" style="19" customWidth="1"/>
    <col min="5" max="5" width="19.77734375" style="19" customWidth="1"/>
    <col min="6" max="6" width="30.109375" style="19" customWidth="1"/>
    <col min="7" max="7" width="19" style="19" customWidth="1"/>
    <col min="8" max="8" width="30.109375" style="19" customWidth="1"/>
    <col min="9" max="9" width="25.6640625" style="19" customWidth="1"/>
  </cols>
  <sheetData>
    <row r="1" spans="1:9" s="23" customFormat="1" ht="54" customHeight="1" x14ac:dyDescent="0.3">
      <c r="A1" s="62" t="s">
        <v>12604</v>
      </c>
      <c r="B1" s="62" t="s">
        <v>12605</v>
      </c>
      <c r="C1" s="62" t="s">
        <v>12606</v>
      </c>
      <c r="D1" s="62" t="s">
        <v>12607</v>
      </c>
      <c r="E1" s="62" t="s">
        <v>12608</v>
      </c>
      <c r="F1" s="62" t="s">
        <v>12609</v>
      </c>
      <c r="G1" s="62" t="s">
        <v>12610</v>
      </c>
      <c r="H1" s="62" t="s">
        <v>12611</v>
      </c>
      <c r="I1" s="62" t="s">
        <v>12612</v>
      </c>
    </row>
    <row r="2" spans="1:9" ht="15" customHeight="1" x14ac:dyDescent="0.3">
      <c r="A2" s="63" t="s">
        <v>15074</v>
      </c>
      <c r="B2" s="63" t="s">
        <v>15075</v>
      </c>
      <c r="C2" s="63" t="s">
        <v>15075</v>
      </c>
      <c r="D2" s="64" t="s">
        <v>12573</v>
      </c>
      <c r="E2" s="63" t="s">
        <v>15059</v>
      </c>
      <c r="F2" s="63" t="s">
        <v>15076</v>
      </c>
      <c r="G2" s="63" t="s">
        <v>15077</v>
      </c>
      <c r="H2" s="63" t="s">
        <v>15078</v>
      </c>
      <c r="I2" s="63" t="s">
        <v>15079</v>
      </c>
    </row>
    <row r="3" spans="1:9" ht="15" customHeight="1" x14ac:dyDescent="0.3">
      <c r="A3" s="63" t="s">
        <v>15080</v>
      </c>
      <c r="B3" s="63" t="s">
        <v>15081</v>
      </c>
      <c r="C3" s="63" t="s">
        <v>15082</v>
      </c>
      <c r="D3" s="64" t="s">
        <v>12579</v>
      </c>
      <c r="E3" s="63" t="s">
        <v>13506</v>
      </c>
      <c r="F3" s="63" t="s">
        <v>15083</v>
      </c>
      <c r="G3" s="63" t="s">
        <v>15084</v>
      </c>
      <c r="H3" s="63" t="s">
        <v>15085</v>
      </c>
      <c r="I3" s="63" t="s">
        <v>15086</v>
      </c>
    </row>
    <row r="4" spans="1:9" ht="15" customHeight="1" x14ac:dyDescent="0.3">
      <c r="A4" s="63" t="s">
        <v>15087</v>
      </c>
      <c r="B4" s="63" t="s">
        <v>15088</v>
      </c>
      <c r="C4" s="63" t="s">
        <v>15089</v>
      </c>
      <c r="D4" s="64" t="s">
        <v>12579</v>
      </c>
      <c r="E4" s="63" t="s">
        <v>13506</v>
      </c>
      <c r="F4" s="63" t="s">
        <v>15090</v>
      </c>
      <c r="G4" s="63" t="s">
        <v>15091</v>
      </c>
      <c r="H4" s="63" t="s">
        <v>15092</v>
      </c>
      <c r="I4" s="63" t="s">
        <v>15092</v>
      </c>
    </row>
    <row r="5" spans="1:9" ht="15" customHeight="1" x14ac:dyDescent="0.3">
      <c r="A5" s="63" t="s">
        <v>15093</v>
      </c>
      <c r="B5" s="63" t="s">
        <v>15094</v>
      </c>
      <c r="C5" s="63" t="s">
        <v>15095</v>
      </c>
      <c r="D5" s="64" t="s">
        <v>12579</v>
      </c>
      <c r="E5" s="63" t="s">
        <v>13506</v>
      </c>
      <c r="F5" s="63" t="s">
        <v>15096</v>
      </c>
      <c r="G5" s="63" t="s">
        <v>15097</v>
      </c>
      <c r="H5" s="63" t="s">
        <v>15098</v>
      </c>
      <c r="I5" s="63" t="s">
        <v>15099</v>
      </c>
    </row>
    <row r="6" spans="1:9" ht="15" customHeight="1" x14ac:dyDescent="0.3">
      <c r="A6" s="63" t="s">
        <v>15100</v>
      </c>
      <c r="B6" s="63" t="s">
        <v>15101</v>
      </c>
      <c r="C6" s="63" t="s">
        <v>15102</v>
      </c>
      <c r="D6" s="64" t="s">
        <v>12579</v>
      </c>
      <c r="E6" s="63" t="s">
        <v>13506</v>
      </c>
      <c r="F6" s="63" t="s">
        <v>15103</v>
      </c>
      <c r="G6" s="63" t="s">
        <v>15104</v>
      </c>
      <c r="H6" s="63" t="s">
        <v>13523</v>
      </c>
      <c r="I6" s="63" t="s">
        <v>13524</v>
      </c>
    </row>
    <row r="7" spans="1:9" ht="15" customHeight="1" x14ac:dyDescent="0.3">
      <c r="A7" s="63" t="s">
        <v>15105</v>
      </c>
      <c r="B7" s="63" t="s">
        <v>15106</v>
      </c>
      <c r="C7" s="63" t="s">
        <v>15107</v>
      </c>
      <c r="D7" s="64" t="s">
        <v>12578</v>
      </c>
      <c r="E7" s="63" t="s">
        <v>13451</v>
      </c>
      <c r="F7" s="63" t="s">
        <v>13464</v>
      </c>
      <c r="G7" s="63" t="s">
        <v>13465</v>
      </c>
      <c r="H7" s="63" t="s">
        <v>15108</v>
      </c>
      <c r="I7" s="63" t="s">
        <v>15109</v>
      </c>
    </row>
    <row r="8" spans="1:9" ht="15" customHeight="1" x14ac:dyDescent="0.3">
      <c r="A8" s="63" t="s">
        <v>15110</v>
      </c>
      <c r="B8" s="63" t="s">
        <v>15111</v>
      </c>
      <c r="C8" s="63" t="s">
        <v>15112</v>
      </c>
      <c r="D8" s="64" t="s">
        <v>12579</v>
      </c>
      <c r="E8" s="63" t="s">
        <v>13506</v>
      </c>
      <c r="F8" s="63" t="s">
        <v>15113</v>
      </c>
      <c r="G8" s="63" t="s">
        <v>15114</v>
      </c>
      <c r="H8" s="63" t="s">
        <v>15115</v>
      </c>
      <c r="I8" s="63" t="s">
        <v>15115</v>
      </c>
    </row>
    <row r="9" spans="1:9" ht="15" customHeight="1" x14ac:dyDescent="0.3">
      <c r="A9" s="63" t="s">
        <v>15116</v>
      </c>
      <c r="B9" s="63" t="s">
        <v>15117</v>
      </c>
      <c r="C9" s="63" t="s">
        <v>15118</v>
      </c>
      <c r="D9" s="64" t="s">
        <v>12579</v>
      </c>
      <c r="E9" s="63" t="s">
        <v>13506</v>
      </c>
      <c r="F9" s="63" t="s">
        <v>15113</v>
      </c>
      <c r="G9" s="63" t="s">
        <v>15114</v>
      </c>
      <c r="H9" s="63" t="s">
        <v>15115</v>
      </c>
      <c r="I9" s="63" t="s">
        <v>15115</v>
      </c>
    </row>
    <row r="10" spans="1:9" ht="15" customHeight="1" x14ac:dyDescent="0.3">
      <c r="A10" s="63" t="s">
        <v>15119</v>
      </c>
      <c r="B10" s="63" t="s">
        <v>15120</v>
      </c>
      <c r="C10" s="63" t="s">
        <v>15121</v>
      </c>
      <c r="D10" s="64" t="s">
        <v>12579</v>
      </c>
      <c r="E10" s="63" t="s">
        <v>13506</v>
      </c>
      <c r="F10" s="63" t="s">
        <v>13531</v>
      </c>
      <c r="G10" s="63" t="s">
        <v>13532</v>
      </c>
      <c r="H10" s="63" t="s">
        <v>15122</v>
      </c>
      <c r="I10" s="63" t="s">
        <v>15123</v>
      </c>
    </row>
    <row r="11" spans="1:9" ht="15" customHeight="1" x14ac:dyDescent="0.3">
      <c r="A11" s="63" t="s">
        <v>15124</v>
      </c>
      <c r="B11" s="63" t="s">
        <v>15125</v>
      </c>
      <c r="C11" s="63" t="s">
        <v>15126</v>
      </c>
      <c r="D11" s="64" t="s">
        <v>12579</v>
      </c>
      <c r="E11" s="63" t="s">
        <v>13506</v>
      </c>
      <c r="F11" s="63" t="s">
        <v>15083</v>
      </c>
      <c r="G11" s="63" t="s">
        <v>15084</v>
      </c>
      <c r="H11" s="63" t="s">
        <v>15115</v>
      </c>
      <c r="I11" s="63" t="s">
        <v>15115</v>
      </c>
    </row>
    <row r="12" spans="1:9" ht="15" customHeight="1" x14ac:dyDescent="0.3">
      <c r="A12" s="63" t="s">
        <v>15127</v>
      </c>
      <c r="B12" s="63" t="s">
        <v>15128</v>
      </c>
      <c r="C12" s="63" t="s">
        <v>15129</v>
      </c>
      <c r="D12" s="64" t="s">
        <v>12579</v>
      </c>
      <c r="E12" s="63" t="s">
        <v>13506</v>
      </c>
      <c r="F12" s="63" t="s">
        <v>13544</v>
      </c>
      <c r="G12" s="63" t="s">
        <v>13545</v>
      </c>
      <c r="H12" s="63" t="s">
        <v>15130</v>
      </c>
      <c r="I12" s="63" t="s">
        <v>15130</v>
      </c>
    </row>
    <row r="13" spans="1:9" ht="15" customHeight="1" x14ac:dyDescent="0.3">
      <c r="A13" s="63" t="s">
        <v>15131</v>
      </c>
      <c r="B13" s="63" t="s">
        <v>15132</v>
      </c>
      <c r="C13" s="63" t="s">
        <v>15133</v>
      </c>
      <c r="D13" s="64" t="s">
        <v>12579</v>
      </c>
      <c r="E13" s="63" t="s">
        <v>13506</v>
      </c>
      <c r="F13" s="63" t="s">
        <v>15090</v>
      </c>
      <c r="G13" s="63" t="s">
        <v>15091</v>
      </c>
      <c r="H13" s="63" t="s">
        <v>15122</v>
      </c>
      <c r="I13" s="63" t="s">
        <v>15123</v>
      </c>
    </row>
    <row r="14" spans="1:9" ht="15" customHeight="1" x14ac:dyDescent="0.3">
      <c r="A14" s="63" t="s">
        <v>15134</v>
      </c>
      <c r="B14" s="63" t="s">
        <v>15135</v>
      </c>
      <c r="C14" s="63" t="s">
        <v>15136</v>
      </c>
      <c r="D14" s="64" t="s">
        <v>12579</v>
      </c>
      <c r="E14" s="63" t="s">
        <v>13506</v>
      </c>
      <c r="F14" s="63" t="s">
        <v>15103</v>
      </c>
      <c r="G14" s="63" t="s">
        <v>15104</v>
      </c>
      <c r="H14" s="63" t="s">
        <v>13533</v>
      </c>
      <c r="I14" s="63" t="s">
        <v>13534</v>
      </c>
    </row>
    <row r="15" spans="1:9" ht="15" customHeight="1" x14ac:dyDescent="0.3">
      <c r="A15" s="63" t="s">
        <v>15137</v>
      </c>
      <c r="B15" s="63" t="s">
        <v>15138</v>
      </c>
      <c r="C15" s="63" t="s">
        <v>15139</v>
      </c>
      <c r="D15" s="64" t="s">
        <v>12573</v>
      </c>
      <c r="E15" s="63" t="s">
        <v>15059</v>
      </c>
      <c r="F15" s="63" t="s">
        <v>15064</v>
      </c>
      <c r="G15" s="63" t="s">
        <v>15065</v>
      </c>
      <c r="H15" s="63" t="s">
        <v>15140</v>
      </c>
      <c r="I15" s="63" t="s">
        <v>15141</v>
      </c>
    </row>
    <row r="16" spans="1:9" ht="15" customHeight="1" x14ac:dyDescent="0.3">
      <c r="A16" s="63" t="s">
        <v>15142</v>
      </c>
      <c r="B16" s="63" t="s">
        <v>15143</v>
      </c>
      <c r="C16" s="63" t="s">
        <v>15144</v>
      </c>
      <c r="D16" s="64" t="s">
        <v>12579</v>
      </c>
      <c r="E16" s="63" t="s">
        <v>13506</v>
      </c>
      <c r="F16" s="63" t="s">
        <v>15113</v>
      </c>
      <c r="G16" s="63" t="s">
        <v>15114</v>
      </c>
      <c r="H16" s="63" t="s">
        <v>15122</v>
      </c>
      <c r="I16" s="63" t="s">
        <v>15123</v>
      </c>
    </row>
    <row r="17" spans="1:9" ht="15" customHeight="1" x14ac:dyDescent="0.3">
      <c r="A17" s="63" t="s">
        <v>15145</v>
      </c>
      <c r="B17" s="63" t="s">
        <v>15146</v>
      </c>
      <c r="C17" s="63" t="s">
        <v>15147</v>
      </c>
      <c r="D17" s="64" t="s">
        <v>12579</v>
      </c>
      <c r="E17" s="63" t="s">
        <v>13506</v>
      </c>
      <c r="F17" s="63" t="s">
        <v>15113</v>
      </c>
      <c r="G17" s="63" t="s">
        <v>15114</v>
      </c>
      <c r="H17" s="63" t="s">
        <v>15122</v>
      </c>
      <c r="I17" s="63" t="s">
        <v>15123</v>
      </c>
    </row>
    <row r="18" spans="1:9" ht="15" customHeight="1" x14ac:dyDescent="0.3">
      <c r="A18" s="63" t="s">
        <v>15148</v>
      </c>
      <c r="B18" s="63" t="s">
        <v>15149</v>
      </c>
      <c r="C18" s="63" t="s">
        <v>15150</v>
      </c>
      <c r="D18" s="64" t="s">
        <v>12574</v>
      </c>
      <c r="E18" s="63" t="s">
        <v>12616</v>
      </c>
      <c r="F18" s="63" t="s">
        <v>15151</v>
      </c>
      <c r="G18" s="63" t="s">
        <v>15152</v>
      </c>
      <c r="H18" s="63" t="s">
        <v>6661</v>
      </c>
      <c r="I18" s="63" t="s">
        <v>15153</v>
      </c>
    </row>
    <row r="19" spans="1:9" ht="15" customHeight="1" x14ac:dyDescent="0.3">
      <c r="A19" s="63" t="s">
        <v>15154</v>
      </c>
      <c r="B19" s="63" t="s">
        <v>15155</v>
      </c>
      <c r="C19" s="63" t="s">
        <v>15156</v>
      </c>
      <c r="D19" s="64" t="s">
        <v>12579</v>
      </c>
      <c r="E19" s="63" t="s">
        <v>13506</v>
      </c>
      <c r="F19" s="63" t="s">
        <v>15157</v>
      </c>
      <c r="G19" s="63" t="s">
        <v>15158</v>
      </c>
      <c r="H19" s="63" t="s">
        <v>15159</v>
      </c>
      <c r="I19" s="63" t="s">
        <v>15160</v>
      </c>
    </row>
    <row r="20" spans="1:9" ht="15" customHeight="1" x14ac:dyDescent="0.3">
      <c r="A20" s="63" t="s">
        <v>15161</v>
      </c>
      <c r="B20" s="63" t="s">
        <v>15162</v>
      </c>
      <c r="C20" s="63" t="s">
        <v>15163</v>
      </c>
      <c r="D20" s="64" t="s">
        <v>12579</v>
      </c>
      <c r="E20" s="63" t="s">
        <v>13506</v>
      </c>
      <c r="F20" s="63" t="s">
        <v>15113</v>
      </c>
      <c r="G20" s="63" t="s">
        <v>15114</v>
      </c>
      <c r="H20" s="63" t="s">
        <v>15159</v>
      </c>
      <c r="I20" s="63" t="s">
        <v>15160</v>
      </c>
    </row>
    <row r="21" spans="1:9" ht="15" customHeight="1" x14ac:dyDescent="0.3">
      <c r="A21" s="63" t="s">
        <v>15164</v>
      </c>
      <c r="B21" s="63" t="s">
        <v>15165</v>
      </c>
      <c r="C21" s="63" t="s">
        <v>15166</v>
      </c>
      <c r="D21" s="64" t="s">
        <v>12579</v>
      </c>
      <c r="E21" s="63" t="s">
        <v>13506</v>
      </c>
      <c r="F21" s="63" t="s">
        <v>13558</v>
      </c>
      <c r="G21" s="63" t="s">
        <v>13559</v>
      </c>
      <c r="H21" s="63" t="s">
        <v>15122</v>
      </c>
      <c r="I21" s="63" t="s">
        <v>15123</v>
      </c>
    </row>
    <row r="22" spans="1:9" ht="15" customHeight="1" x14ac:dyDescent="0.3">
      <c r="A22" s="63" t="s">
        <v>15167</v>
      </c>
      <c r="B22" s="63" t="s">
        <v>15168</v>
      </c>
      <c r="C22" s="63" t="s">
        <v>15169</v>
      </c>
      <c r="D22" s="64" t="s">
        <v>12579</v>
      </c>
      <c r="E22" s="63" t="s">
        <v>13506</v>
      </c>
      <c r="F22" s="63" t="s">
        <v>15113</v>
      </c>
      <c r="G22" s="63" t="s">
        <v>15114</v>
      </c>
      <c r="H22" s="63" t="s">
        <v>15115</v>
      </c>
      <c r="I22" s="63" t="s">
        <v>15115</v>
      </c>
    </row>
    <row r="23" spans="1:9" ht="15" customHeight="1" x14ac:dyDescent="0.3">
      <c r="A23" s="63" t="s">
        <v>15170</v>
      </c>
      <c r="B23" s="63" t="s">
        <v>15171</v>
      </c>
      <c r="C23" s="63" t="s">
        <v>15172</v>
      </c>
      <c r="D23" s="64" t="s">
        <v>12579</v>
      </c>
      <c r="E23" s="63" t="s">
        <v>13506</v>
      </c>
      <c r="F23" s="63" t="s">
        <v>15173</v>
      </c>
      <c r="G23" s="63" t="s">
        <v>15174</v>
      </c>
      <c r="H23" s="63" t="s">
        <v>15175</v>
      </c>
      <c r="I23" s="63" t="s">
        <v>15176</v>
      </c>
    </row>
    <row r="24" spans="1:9" ht="15" customHeight="1" x14ac:dyDescent="0.3">
      <c r="A24" s="63" t="s">
        <v>15177</v>
      </c>
      <c r="B24" s="63" t="s">
        <v>15178</v>
      </c>
      <c r="C24" s="63" t="s">
        <v>15179</v>
      </c>
      <c r="D24" s="64" t="s">
        <v>12579</v>
      </c>
      <c r="E24" s="63" t="s">
        <v>13506</v>
      </c>
      <c r="F24" s="63" t="s">
        <v>13531</v>
      </c>
      <c r="G24" s="63" t="s">
        <v>13532</v>
      </c>
      <c r="H24" s="63" t="s">
        <v>15180</v>
      </c>
      <c r="I24" s="63" t="s">
        <v>15181</v>
      </c>
    </row>
    <row r="25" spans="1:9" ht="15" customHeight="1" x14ac:dyDescent="0.3">
      <c r="A25" s="63" t="s">
        <v>15182</v>
      </c>
      <c r="B25" s="63" t="s">
        <v>15183</v>
      </c>
      <c r="C25" s="63" t="s">
        <v>15183</v>
      </c>
      <c r="D25" s="64" t="s">
        <v>12579</v>
      </c>
      <c r="E25" s="63" t="s">
        <v>13506</v>
      </c>
      <c r="F25" s="63" t="s">
        <v>15103</v>
      </c>
      <c r="G25" s="63" t="s">
        <v>15104</v>
      </c>
      <c r="H25" s="63" t="s">
        <v>15122</v>
      </c>
      <c r="I25" s="63" t="s">
        <v>15123</v>
      </c>
    </row>
    <row r="26" spans="1:9" ht="15" customHeight="1" x14ac:dyDescent="0.3">
      <c r="A26" s="63" t="s">
        <v>15184</v>
      </c>
      <c r="B26" s="63" t="s">
        <v>15185</v>
      </c>
      <c r="C26" s="63" t="s">
        <v>15186</v>
      </c>
      <c r="D26" s="64" t="s">
        <v>12579</v>
      </c>
      <c r="E26" s="63" t="s">
        <v>13506</v>
      </c>
      <c r="F26" s="63" t="s">
        <v>15157</v>
      </c>
      <c r="G26" s="63" t="s">
        <v>15158</v>
      </c>
      <c r="H26" s="63" t="s">
        <v>6485</v>
      </c>
      <c r="I26" s="63" t="s">
        <v>13574</v>
      </c>
    </row>
    <row r="27" spans="1:9" ht="15" customHeight="1" x14ac:dyDescent="0.3">
      <c r="A27" s="63" t="s">
        <v>15187</v>
      </c>
      <c r="B27" s="63" t="s">
        <v>15188</v>
      </c>
      <c r="C27" s="63" t="s">
        <v>15189</v>
      </c>
      <c r="D27" s="64" t="s">
        <v>12578</v>
      </c>
      <c r="E27" s="63" t="s">
        <v>13451</v>
      </c>
      <c r="F27" s="63" t="s">
        <v>13464</v>
      </c>
      <c r="G27" s="63" t="s">
        <v>13465</v>
      </c>
      <c r="H27" s="63" t="s">
        <v>15190</v>
      </c>
      <c r="I27" s="63" t="s">
        <v>15191</v>
      </c>
    </row>
    <row r="28" spans="1:9" ht="15" customHeight="1" x14ac:dyDescent="0.3">
      <c r="A28" s="63" t="s">
        <v>15192</v>
      </c>
      <c r="B28" s="63" t="s">
        <v>15193</v>
      </c>
      <c r="C28" s="63" t="s">
        <v>15194</v>
      </c>
      <c r="D28" s="64" t="s">
        <v>12579</v>
      </c>
      <c r="E28" s="63" t="s">
        <v>13506</v>
      </c>
      <c r="F28" s="63" t="s">
        <v>15195</v>
      </c>
      <c r="G28" s="63" t="s">
        <v>15196</v>
      </c>
      <c r="H28" s="63" t="s">
        <v>15197</v>
      </c>
      <c r="I28" s="63" t="s">
        <v>15197</v>
      </c>
    </row>
    <row r="29" spans="1:9" ht="15" customHeight="1" x14ac:dyDescent="0.3">
      <c r="A29" s="63" t="s">
        <v>15198</v>
      </c>
      <c r="B29" s="63" t="s">
        <v>15199</v>
      </c>
      <c r="C29" s="63" t="s">
        <v>15199</v>
      </c>
      <c r="D29" s="64" t="s">
        <v>12579</v>
      </c>
      <c r="E29" s="63" t="s">
        <v>13506</v>
      </c>
      <c r="F29" s="63" t="s">
        <v>15090</v>
      </c>
      <c r="G29" s="63" t="s">
        <v>15091</v>
      </c>
      <c r="H29" s="63" t="s">
        <v>15200</v>
      </c>
      <c r="I29" s="63" t="s">
        <v>15201</v>
      </c>
    </row>
    <row r="30" spans="1:9" ht="15" customHeight="1" x14ac:dyDescent="0.3">
      <c r="A30" s="63" t="s">
        <v>15202</v>
      </c>
      <c r="B30" s="63" t="s">
        <v>15203</v>
      </c>
      <c r="C30" s="63" t="s">
        <v>15203</v>
      </c>
      <c r="D30" s="64" t="s">
        <v>12574</v>
      </c>
      <c r="E30" s="63" t="s">
        <v>12616</v>
      </c>
      <c r="F30" s="63" t="s">
        <v>12632</v>
      </c>
      <c r="G30" s="63" t="s">
        <v>12633</v>
      </c>
      <c r="H30" s="63" t="s">
        <v>15204</v>
      </c>
      <c r="I30" s="63" t="s">
        <v>15205</v>
      </c>
    </row>
    <row r="31" spans="1:9" ht="15" customHeight="1" x14ac:dyDescent="0.3">
      <c r="A31" s="63" t="s">
        <v>15206</v>
      </c>
      <c r="B31" s="63" t="s">
        <v>15207</v>
      </c>
      <c r="C31" s="63" t="s">
        <v>15208</v>
      </c>
      <c r="D31" s="64" t="s">
        <v>12574</v>
      </c>
      <c r="E31" s="63" t="s">
        <v>12616</v>
      </c>
      <c r="F31" s="63" t="s">
        <v>15151</v>
      </c>
      <c r="G31" s="63" t="s">
        <v>15152</v>
      </c>
      <c r="H31" s="63" t="s">
        <v>15209</v>
      </c>
      <c r="I31" s="63" t="s">
        <v>15210</v>
      </c>
    </row>
    <row r="32" spans="1:9" ht="15" customHeight="1" x14ac:dyDescent="0.3">
      <c r="A32" s="63" t="s">
        <v>15211</v>
      </c>
      <c r="B32" s="63" t="s">
        <v>15212</v>
      </c>
      <c r="C32" s="63" t="s">
        <v>15213</v>
      </c>
      <c r="D32" s="64" t="s">
        <v>12579</v>
      </c>
      <c r="E32" s="63" t="s">
        <v>13506</v>
      </c>
      <c r="F32" s="63" t="s">
        <v>15113</v>
      </c>
      <c r="G32" s="63" t="s">
        <v>15114</v>
      </c>
      <c r="H32" s="63" t="s">
        <v>15214</v>
      </c>
      <c r="I32" s="63" t="s">
        <v>15214</v>
      </c>
    </row>
    <row r="33" spans="1:9" ht="15" customHeight="1" x14ac:dyDescent="0.3">
      <c r="A33" s="63" t="s">
        <v>15215</v>
      </c>
      <c r="B33" s="63" t="s">
        <v>15216</v>
      </c>
      <c r="C33" s="63" t="s">
        <v>15217</v>
      </c>
      <c r="D33" s="64" t="s">
        <v>12579</v>
      </c>
      <c r="E33" s="63" t="s">
        <v>13506</v>
      </c>
      <c r="F33" s="63" t="s">
        <v>13544</v>
      </c>
      <c r="G33" s="63" t="s">
        <v>13545</v>
      </c>
      <c r="H33" s="63" t="s">
        <v>15218</v>
      </c>
      <c r="I33" s="63" t="s">
        <v>15219</v>
      </c>
    </row>
    <row r="34" spans="1:9" ht="15" customHeight="1" x14ac:dyDescent="0.3">
      <c r="A34" s="63" t="s">
        <v>15220</v>
      </c>
      <c r="B34" s="63" t="s">
        <v>15221</v>
      </c>
      <c r="C34" s="63" t="s">
        <v>15222</v>
      </c>
      <c r="D34" s="64" t="s">
        <v>12579</v>
      </c>
      <c r="E34" s="63" t="s">
        <v>13506</v>
      </c>
      <c r="F34" s="63" t="s">
        <v>15083</v>
      </c>
      <c r="G34" s="63" t="s">
        <v>15084</v>
      </c>
      <c r="H34" s="63" t="s">
        <v>15200</v>
      </c>
      <c r="I34" s="63" t="s">
        <v>15201</v>
      </c>
    </row>
    <row r="35" spans="1:9" ht="15" customHeight="1" x14ac:dyDescent="0.3">
      <c r="A35" s="63" t="s">
        <v>15223</v>
      </c>
      <c r="B35" s="63" t="s">
        <v>15224</v>
      </c>
      <c r="C35" s="63" t="s">
        <v>15225</v>
      </c>
      <c r="D35" s="64" t="s">
        <v>12579</v>
      </c>
      <c r="E35" s="63" t="s">
        <v>13506</v>
      </c>
      <c r="F35" s="63" t="s">
        <v>15113</v>
      </c>
      <c r="G35" s="63" t="s">
        <v>15114</v>
      </c>
      <c r="H35" s="63" t="s">
        <v>15214</v>
      </c>
      <c r="I35" s="63" t="s">
        <v>15214</v>
      </c>
    </row>
    <row r="36" spans="1:9" ht="15" customHeight="1" x14ac:dyDescent="0.3">
      <c r="A36" s="63" t="s">
        <v>15226</v>
      </c>
      <c r="B36" s="63" t="s">
        <v>15227</v>
      </c>
      <c r="C36" s="63" t="s">
        <v>15228</v>
      </c>
      <c r="D36" s="64" t="s">
        <v>12579</v>
      </c>
      <c r="E36" s="63" t="s">
        <v>13506</v>
      </c>
      <c r="F36" s="63" t="s">
        <v>15083</v>
      </c>
      <c r="G36" s="63" t="s">
        <v>15084</v>
      </c>
      <c r="H36" s="63" t="s">
        <v>15214</v>
      </c>
      <c r="I36" s="63" t="s">
        <v>15214</v>
      </c>
    </row>
    <row r="37" spans="1:9" ht="15" customHeight="1" x14ac:dyDescent="0.3">
      <c r="A37" s="63" t="s">
        <v>15229</v>
      </c>
      <c r="B37" s="63" t="s">
        <v>15230</v>
      </c>
      <c r="C37" s="63" t="s">
        <v>15231</v>
      </c>
      <c r="D37" s="64" t="s">
        <v>12579</v>
      </c>
      <c r="E37" s="63" t="s">
        <v>13506</v>
      </c>
      <c r="F37" s="63" t="s">
        <v>15103</v>
      </c>
      <c r="G37" s="63" t="s">
        <v>15104</v>
      </c>
      <c r="H37" s="63" t="s">
        <v>15232</v>
      </c>
      <c r="I37" s="63" t="s">
        <v>15232</v>
      </c>
    </row>
    <row r="38" spans="1:9" ht="15" customHeight="1" x14ac:dyDescent="0.3">
      <c r="A38" s="63" t="s">
        <v>15233</v>
      </c>
      <c r="B38" s="63" t="s">
        <v>15234</v>
      </c>
      <c r="C38" s="63" t="s">
        <v>15235</v>
      </c>
      <c r="D38" s="64" t="s">
        <v>12578</v>
      </c>
      <c r="E38" s="63" t="s">
        <v>13451</v>
      </c>
      <c r="F38" s="63" t="s">
        <v>13464</v>
      </c>
      <c r="G38" s="63" t="s">
        <v>13465</v>
      </c>
      <c r="H38" s="63" t="s">
        <v>15236</v>
      </c>
      <c r="I38" s="63" t="s">
        <v>15237</v>
      </c>
    </row>
    <row r="39" spans="1:9" ht="15" customHeight="1" x14ac:dyDescent="0.3">
      <c r="A39" s="63" t="s">
        <v>15238</v>
      </c>
      <c r="B39" s="63" t="s">
        <v>15239</v>
      </c>
      <c r="C39" s="63" t="s">
        <v>15240</v>
      </c>
      <c r="D39" s="64" t="s">
        <v>12579</v>
      </c>
      <c r="E39" s="63" t="s">
        <v>13506</v>
      </c>
      <c r="F39" s="63" t="s">
        <v>13544</v>
      </c>
      <c r="G39" s="63" t="s">
        <v>13545</v>
      </c>
      <c r="H39" s="63" t="s">
        <v>15241</v>
      </c>
      <c r="I39" s="63" t="s">
        <v>15242</v>
      </c>
    </row>
    <row r="40" spans="1:9" ht="15" customHeight="1" x14ac:dyDescent="0.3">
      <c r="A40" s="63" t="s">
        <v>15243</v>
      </c>
      <c r="B40" s="63" t="s">
        <v>15244</v>
      </c>
      <c r="C40" s="63" t="s">
        <v>15245</v>
      </c>
      <c r="D40" s="64" t="s">
        <v>12574</v>
      </c>
      <c r="E40" s="63" t="s">
        <v>12616</v>
      </c>
      <c r="F40" s="63" t="s">
        <v>15151</v>
      </c>
      <c r="G40" s="63" t="s">
        <v>15152</v>
      </c>
      <c r="H40" s="63" t="s">
        <v>6661</v>
      </c>
      <c r="I40" s="63" t="s">
        <v>15153</v>
      </c>
    </row>
    <row r="41" spans="1:9" ht="15" customHeight="1" x14ac:dyDescent="0.3">
      <c r="A41" s="63" t="s">
        <v>15246</v>
      </c>
      <c r="B41" s="63" t="s">
        <v>15247</v>
      </c>
      <c r="C41" s="63" t="s">
        <v>15247</v>
      </c>
      <c r="D41" s="64" t="s">
        <v>12579</v>
      </c>
      <c r="E41" s="63" t="s">
        <v>13506</v>
      </c>
      <c r="F41" s="63" t="s">
        <v>13595</v>
      </c>
      <c r="G41" s="63" t="s">
        <v>13596</v>
      </c>
      <c r="H41" s="63" t="s">
        <v>15122</v>
      </c>
      <c r="I41" s="63" t="s">
        <v>15123</v>
      </c>
    </row>
    <row r="42" spans="1:9" ht="15" customHeight="1" x14ac:dyDescent="0.3">
      <c r="A42" s="63" t="s">
        <v>15248</v>
      </c>
      <c r="B42" s="63" t="s">
        <v>15249</v>
      </c>
      <c r="C42" s="63" t="s">
        <v>15250</v>
      </c>
      <c r="D42" s="64" t="s">
        <v>12579</v>
      </c>
      <c r="E42" s="63" t="s">
        <v>13506</v>
      </c>
      <c r="F42" s="63" t="s">
        <v>15103</v>
      </c>
      <c r="G42" s="63" t="s">
        <v>15104</v>
      </c>
      <c r="H42" s="63" t="s">
        <v>15232</v>
      </c>
      <c r="I42" s="63" t="s">
        <v>15232</v>
      </c>
    </row>
    <row r="43" spans="1:9" ht="15" customHeight="1" x14ac:dyDescent="0.3">
      <c r="A43" s="63" t="s">
        <v>15251</v>
      </c>
      <c r="B43" s="63" t="s">
        <v>15252</v>
      </c>
      <c r="C43" s="63" t="s">
        <v>15253</v>
      </c>
      <c r="D43" s="64" t="s">
        <v>12579</v>
      </c>
      <c r="E43" s="63" t="s">
        <v>13506</v>
      </c>
      <c r="F43" s="63" t="s">
        <v>13558</v>
      </c>
      <c r="G43" s="63" t="s">
        <v>13559</v>
      </c>
      <c r="H43" s="63" t="s">
        <v>15232</v>
      </c>
      <c r="I43" s="63" t="s">
        <v>15232</v>
      </c>
    </row>
    <row r="44" spans="1:9" ht="15" customHeight="1" x14ac:dyDescent="0.3">
      <c r="A44" s="63" t="s">
        <v>15254</v>
      </c>
      <c r="B44" s="63" t="s">
        <v>15255</v>
      </c>
      <c r="C44" s="63" t="s">
        <v>15255</v>
      </c>
      <c r="D44" s="64" t="s">
        <v>12579</v>
      </c>
      <c r="E44" s="63" t="s">
        <v>13506</v>
      </c>
      <c r="F44" s="63" t="s">
        <v>13595</v>
      </c>
      <c r="G44" s="63" t="s">
        <v>13596</v>
      </c>
      <c r="H44" s="63" t="s">
        <v>15115</v>
      </c>
      <c r="I44" s="63" t="s">
        <v>15115</v>
      </c>
    </row>
    <row r="45" spans="1:9" ht="15" customHeight="1" x14ac:dyDescent="0.3">
      <c r="A45" s="63" t="s">
        <v>15256</v>
      </c>
      <c r="B45" s="63" t="s">
        <v>15257</v>
      </c>
      <c r="C45" s="63" t="s">
        <v>15258</v>
      </c>
      <c r="D45" s="64" t="s">
        <v>12579</v>
      </c>
      <c r="E45" s="63" t="s">
        <v>13506</v>
      </c>
      <c r="F45" s="63" t="s">
        <v>15103</v>
      </c>
      <c r="G45" s="63" t="s">
        <v>15104</v>
      </c>
      <c r="H45" s="63" t="s">
        <v>15122</v>
      </c>
      <c r="I45" s="63" t="s">
        <v>15123</v>
      </c>
    </row>
    <row r="46" spans="1:9" ht="15" customHeight="1" x14ac:dyDescent="0.3">
      <c r="A46" s="63" t="s">
        <v>15259</v>
      </c>
      <c r="B46" s="63" t="s">
        <v>15260</v>
      </c>
      <c r="C46" s="63" t="s">
        <v>15261</v>
      </c>
      <c r="D46" s="64" t="s">
        <v>12574</v>
      </c>
      <c r="E46" s="63" t="s">
        <v>12616</v>
      </c>
      <c r="F46" s="63" t="s">
        <v>15151</v>
      </c>
      <c r="G46" s="63" t="s">
        <v>15152</v>
      </c>
      <c r="H46" s="63" t="s">
        <v>15262</v>
      </c>
      <c r="I46" s="63" t="s">
        <v>15263</v>
      </c>
    </row>
    <row r="47" spans="1:9" ht="15" customHeight="1" x14ac:dyDescent="0.3">
      <c r="A47" s="63" t="s">
        <v>15264</v>
      </c>
      <c r="B47" s="63" t="s">
        <v>15265</v>
      </c>
      <c r="C47" s="63" t="s">
        <v>15266</v>
      </c>
      <c r="D47" s="64" t="s">
        <v>12579</v>
      </c>
      <c r="E47" s="63" t="s">
        <v>13506</v>
      </c>
      <c r="F47" s="63" t="s">
        <v>15113</v>
      </c>
      <c r="G47" s="63" t="s">
        <v>15114</v>
      </c>
      <c r="H47" s="63" t="s">
        <v>15214</v>
      </c>
      <c r="I47" s="63" t="s">
        <v>15214</v>
      </c>
    </row>
    <row r="48" spans="1:9" ht="15" customHeight="1" x14ac:dyDescent="0.3">
      <c r="A48" s="63" t="s">
        <v>15267</v>
      </c>
      <c r="B48" s="63" t="s">
        <v>15268</v>
      </c>
      <c r="C48" s="63" t="s">
        <v>15269</v>
      </c>
      <c r="D48" s="64" t="s">
        <v>12579</v>
      </c>
      <c r="E48" s="63" t="s">
        <v>13506</v>
      </c>
      <c r="F48" s="63" t="s">
        <v>15090</v>
      </c>
      <c r="G48" s="63" t="s">
        <v>15091</v>
      </c>
      <c r="H48" s="63" t="s">
        <v>15214</v>
      </c>
      <c r="I48" s="63" t="s">
        <v>15214</v>
      </c>
    </row>
    <row r="49" spans="1:9" ht="15" customHeight="1" x14ac:dyDescent="0.3">
      <c r="A49" s="63" t="s">
        <v>15270</v>
      </c>
      <c r="B49" s="63" t="s">
        <v>15271</v>
      </c>
      <c r="C49" s="63" t="s">
        <v>15271</v>
      </c>
      <c r="D49" s="64" t="s">
        <v>15272</v>
      </c>
      <c r="E49" s="63" t="s">
        <v>15273</v>
      </c>
      <c r="F49" s="63" t="s">
        <v>15274</v>
      </c>
      <c r="G49" s="63" t="s">
        <v>15275</v>
      </c>
      <c r="H49" s="63" t="s">
        <v>15159</v>
      </c>
      <c r="I49" s="63" t="s">
        <v>15160</v>
      </c>
    </row>
    <row r="50" spans="1:9" ht="15" customHeight="1" x14ac:dyDescent="0.3">
      <c r="A50" s="63" t="s">
        <v>15276</v>
      </c>
      <c r="B50" s="63" t="s">
        <v>15277</v>
      </c>
      <c r="C50" s="63" t="s">
        <v>15277</v>
      </c>
      <c r="D50" s="64" t="s">
        <v>12579</v>
      </c>
      <c r="E50" s="63" t="s">
        <v>13506</v>
      </c>
      <c r="F50" s="63" t="s">
        <v>15090</v>
      </c>
      <c r="G50" s="63" t="s">
        <v>15091</v>
      </c>
      <c r="H50" s="63" t="s">
        <v>15115</v>
      </c>
      <c r="I50" s="63" t="s">
        <v>15115</v>
      </c>
    </row>
    <row r="51" spans="1:9" ht="15" customHeight="1" x14ac:dyDescent="0.3">
      <c r="A51" s="63" t="s">
        <v>15278</v>
      </c>
      <c r="B51" s="63" t="s">
        <v>15279</v>
      </c>
      <c r="C51" s="63" t="s">
        <v>15280</v>
      </c>
      <c r="D51" s="64" t="s">
        <v>12577</v>
      </c>
      <c r="E51" s="63" t="s">
        <v>12703</v>
      </c>
      <c r="F51" s="63" t="s">
        <v>12704</v>
      </c>
      <c r="G51" s="63" t="s">
        <v>12705</v>
      </c>
      <c r="H51" s="63" t="s">
        <v>15281</v>
      </c>
      <c r="I51" s="63" t="s">
        <v>15282</v>
      </c>
    </row>
    <row r="52" spans="1:9" ht="15" customHeight="1" x14ac:dyDescent="0.3">
      <c r="A52" s="63" t="s">
        <v>15283</v>
      </c>
      <c r="B52" s="63" t="s">
        <v>15284</v>
      </c>
      <c r="C52" s="63" t="s">
        <v>15285</v>
      </c>
      <c r="D52" s="64" t="s">
        <v>12579</v>
      </c>
      <c r="E52" s="63" t="s">
        <v>13506</v>
      </c>
      <c r="F52" s="63" t="s">
        <v>15195</v>
      </c>
      <c r="G52" s="63" t="s">
        <v>15196</v>
      </c>
      <c r="H52" s="63" t="s">
        <v>15122</v>
      </c>
      <c r="I52" s="63" t="s">
        <v>15123</v>
      </c>
    </row>
    <row r="53" spans="1:9" ht="15" customHeight="1" x14ac:dyDescent="0.3">
      <c r="A53" s="63" t="s">
        <v>15286</v>
      </c>
      <c r="B53" s="63" t="s">
        <v>15287</v>
      </c>
      <c r="C53" s="63" t="s">
        <v>15288</v>
      </c>
      <c r="D53" s="64" t="s">
        <v>12559</v>
      </c>
      <c r="E53" s="63" t="s">
        <v>12849</v>
      </c>
      <c r="F53" s="63" t="s">
        <v>15289</v>
      </c>
      <c r="G53" s="63" t="s">
        <v>15290</v>
      </c>
      <c r="H53" s="63" t="s">
        <v>15281</v>
      </c>
      <c r="I53" s="63" t="s">
        <v>15282</v>
      </c>
    </row>
    <row r="54" spans="1:9" ht="15" customHeight="1" x14ac:dyDescent="0.3">
      <c r="A54" s="63" t="s">
        <v>15291</v>
      </c>
      <c r="B54" s="63" t="s">
        <v>15292</v>
      </c>
      <c r="C54" s="63" t="s">
        <v>15293</v>
      </c>
      <c r="D54" s="64" t="s">
        <v>12579</v>
      </c>
      <c r="E54" s="63" t="s">
        <v>13506</v>
      </c>
      <c r="F54" s="63" t="s">
        <v>15294</v>
      </c>
      <c r="G54" s="63" t="s">
        <v>15295</v>
      </c>
      <c r="H54" s="63" t="s">
        <v>13561</v>
      </c>
      <c r="I54" s="63" t="s">
        <v>13561</v>
      </c>
    </row>
    <row r="55" spans="1:9" ht="15" customHeight="1" x14ac:dyDescent="0.3">
      <c r="A55" s="63" t="s">
        <v>15296</v>
      </c>
      <c r="B55" s="63" t="s">
        <v>15297</v>
      </c>
      <c r="C55" s="63" t="s">
        <v>15298</v>
      </c>
      <c r="D55" s="64" t="s">
        <v>12577</v>
      </c>
      <c r="E55" s="63" t="s">
        <v>12703</v>
      </c>
      <c r="F55" s="63" t="s">
        <v>12711</v>
      </c>
      <c r="G55" s="63" t="s">
        <v>12712</v>
      </c>
      <c r="H55" s="63" t="s">
        <v>6479</v>
      </c>
      <c r="I55" s="63" t="s">
        <v>12707</v>
      </c>
    </row>
    <row r="56" spans="1:9" ht="15" customHeight="1" x14ac:dyDescent="0.3">
      <c r="A56" s="63" t="s">
        <v>15299</v>
      </c>
      <c r="B56" s="63" t="s">
        <v>15300</v>
      </c>
      <c r="C56" s="63" t="s">
        <v>15301</v>
      </c>
      <c r="D56" s="64" t="s">
        <v>12579</v>
      </c>
      <c r="E56" s="63" t="s">
        <v>13506</v>
      </c>
      <c r="F56" s="63" t="s">
        <v>13595</v>
      </c>
      <c r="G56" s="63" t="s">
        <v>13596</v>
      </c>
      <c r="H56" s="63" t="s">
        <v>15214</v>
      </c>
      <c r="I56" s="63" t="s">
        <v>15214</v>
      </c>
    </row>
    <row r="57" spans="1:9" ht="15" customHeight="1" x14ac:dyDescent="0.3">
      <c r="A57" s="63" t="s">
        <v>15302</v>
      </c>
      <c r="B57" s="63" t="s">
        <v>15303</v>
      </c>
      <c r="C57" s="63" t="s">
        <v>15304</v>
      </c>
      <c r="D57" s="64" t="s">
        <v>12579</v>
      </c>
      <c r="E57" s="63" t="s">
        <v>13506</v>
      </c>
      <c r="F57" s="63" t="s">
        <v>15103</v>
      </c>
      <c r="G57" s="63" t="s">
        <v>15104</v>
      </c>
      <c r="H57" s="63" t="s">
        <v>15159</v>
      </c>
      <c r="I57" s="63" t="s">
        <v>15160</v>
      </c>
    </row>
    <row r="58" spans="1:9" ht="15" customHeight="1" x14ac:dyDescent="0.3">
      <c r="A58" s="63" t="s">
        <v>15305</v>
      </c>
      <c r="B58" s="63" t="s">
        <v>15306</v>
      </c>
      <c r="C58" s="63" t="s">
        <v>15306</v>
      </c>
      <c r="D58" s="64" t="s">
        <v>12578</v>
      </c>
      <c r="E58" s="63" t="s">
        <v>13451</v>
      </c>
      <c r="F58" s="63" t="s">
        <v>13464</v>
      </c>
      <c r="G58" s="63" t="s">
        <v>13465</v>
      </c>
      <c r="H58" s="63" t="s">
        <v>15108</v>
      </c>
      <c r="I58" s="63" t="s">
        <v>15109</v>
      </c>
    </row>
    <row r="59" spans="1:9" ht="15" customHeight="1" x14ac:dyDescent="0.3">
      <c r="A59" s="63" t="s">
        <v>15307</v>
      </c>
      <c r="B59" s="63" t="s">
        <v>15308</v>
      </c>
      <c r="C59" s="63" t="s">
        <v>15308</v>
      </c>
      <c r="D59" s="64" t="s">
        <v>12579</v>
      </c>
      <c r="E59" s="63" t="s">
        <v>13506</v>
      </c>
      <c r="F59" s="63" t="s">
        <v>15090</v>
      </c>
      <c r="G59" s="63" t="s">
        <v>15091</v>
      </c>
      <c r="H59" s="63" t="s">
        <v>15122</v>
      </c>
      <c r="I59" s="63" t="s">
        <v>15123</v>
      </c>
    </row>
    <row r="60" spans="1:9" ht="15" customHeight="1" x14ac:dyDescent="0.3">
      <c r="A60" s="63" t="s">
        <v>15309</v>
      </c>
      <c r="B60" s="63" t="s">
        <v>15310</v>
      </c>
      <c r="C60" s="63" t="s">
        <v>15311</v>
      </c>
      <c r="D60" s="64" t="s">
        <v>12579</v>
      </c>
      <c r="E60" s="63" t="s">
        <v>13506</v>
      </c>
      <c r="F60" s="63" t="s">
        <v>15103</v>
      </c>
      <c r="G60" s="63" t="s">
        <v>15104</v>
      </c>
      <c r="H60" s="63" t="s">
        <v>13523</v>
      </c>
      <c r="I60" s="63" t="s">
        <v>13524</v>
      </c>
    </row>
    <row r="61" spans="1:9" ht="15" customHeight="1" x14ac:dyDescent="0.3">
      <c r="A61" s="63" t="s">
        <v>15312</v>
      </c>
      <c r="B61" s="63" t="s">
        <v>15313</v>
      </c>
      <c r="C61" s="63" t="s">
        <v>15313</v>
      </c>
      <c r="D61" s="64" t="s">
        <v>12579</v>
      </c>
      <c r="E61" s="63" t="s">
        <v>13506</v>
      </c>
      <c r="F61" s="63" t="s">
        <v>15103</v>
      </c>
      <c r="G61" s="63" t="s">
        <v>15104</v>
      </c>
      <c r="H61" s="63" t="s">
        <v>15122</v>
      </c>
      <c r="I61" s="63" t="s">
        <v>15123</v>
      </c>
    </row>
    <row r="62" spans="1:9" ht="15" customHeight="1" x14ac:dyDescent="0.3">
      <c r="A62" s="63" t="s">
        <v>15314</v>
      </c>
      <c r="B62" s="63" t="s">
        <v>15315</v>
      </c>
      <c r="C62" s="63" t="s">
        <v>15315</v>
      </c>
      <c r="D62" s="64" t="s">
        <v>12577</v>
      </c>
      <c r="E62" s="63" t="s">
        <v>12703</v>
      </c>
      <c r="F62" s="63" t="s">
        <v>15316</v>
      </c>
      <c r="G62" s="63" t="s">
        <v>15317</v>
      </c>
      <c r="H62" s="63" t="s">
        <v>15318</v>
      </c>
      <c r="I62" s="63" t="s">
        <v>15319</v>
      </c>
    </row>
    <row r="63" spans="1:9" ht="15" customHeight="1" x14ac:dyDescent="0.3">
      <c r="A63" s="63" t="s">
        <v>15320</v>
      </c>
      <c r="B63" s="63" t="s">
        <v>15321</v>
      </c>
      <c r="C63" s="63" t="s">
        <v>15322</v>
      </c>
      <c r="D63" s="64" t="s">
        <v>12579</v>
      </c>
      <c r="E63" s="63" t="s">
        <v>13506</v>
      </c>
      <c r="F63" s="63" t="s">
        <v>15157</v>
      </c>
      <c r="G63" s="63" t="s">
        <v>15158</v>
      </c>
      <c r="H63" s="63" t="s">
        <v>15214</v>
      </c>
      <c r="I63" s="63" t="s">
        <v>15214</v>
      </c>
    </row>
    <row r="64" spans="1:9" ht="15" customHeight="1" x14ac:dyDescent="0.3">
      <c r="A64" s="63" t="s">
        <v>15323</v>
      </c>
      <c r="B64" s="63" t="s">
        <v>15324</v>
      </c>
      <c r="C64" s="63" t="s">
        <v>15325</v>
      </c>
      <c r="D64" s="64" t="s">
        <v>12579</v>
      </c>
      <c r="E64" s="63" t="s">
        <v>13506</v>
      </c>
      <c r="F64" s="63" t="s">
        <v>15326</v>
      </c>
      <c r="G64" s="63" t="s">
        <v>15327</v>
      </c>
      <c r="H64" s="63" t="s">
        <v>13561</v>
      </c>
      <c r="I64" s="63" t="s">
        <v>13561</v>
      </c>
    </row>
    <row r="65" spans="1:9" ht="15" customHeight="1" x14ac:dyDescent="0.3">
      <c r="A65" s="63" t="s">
        <v>15328</v>
      </c>
      <c r="B65" s="63" t="s">
        <v>15329</v>
      </c>
      <c r="C65" s="63" t="s">
        <v>15330</v>
      </c>
      <c r="D65" s="64" t="s">
        <v>12594</v>
      </c>
      <c r="E65" s="63" t="s">
        <v>13028</v>
      </c>
      <c r="F65" s="63" t="s">
        <v>15331</v>
      </c>
      <c r="G65" s="63" t="s">
        <v>15332</v>
      </c>
      <c r="H65" s="63" t="s">
        <v>6479</v>
      </c>
      <c r="I65" s="63" t="s">
        <v>12707</v>
      </c>
    </row>
    <row r="66" spans="1:9" ht="15" customHeight="1" x14ac:dyDescent="0.3">
      <c r="A66" s="63" t="s">
        <v>15333</v>
      </c>
      <c r="B66" s="63" t="s">
        <v>15334</v>
      </c>
      <c r="C66" s="63" t="s">
        <v>15335</v>
      </c>
      <c r="D66" s="64" t="s">
        <v>12579</v>
      </c>
      <c r="E66" s="63" t="s">
        <v>13506</v>
      </c>
      <c r="F66" s="63" t="s">
        <v>13595</v>
      </c>
      <c r="G66" s="63" t="s">
        <v>13596</v>
      </c>
      <c r="H66" s="63" t="s">
        <v>13523</v>
      </c>
      <c r="I66" s="63" t="s">
        <v>13524</v>
      </c>
    </row>
    <row r="67" spans="1:9" ht="15" customHeight="1" x14ac:dyDescent="0.3">
      <c r="A67" s="63" t="s">
        <v>15336</v>
      </c>
      <c r="B67" s="63" t="s">
        <v>15337</v>
      </c>
      <c r="C67" s="63" t="s">
        <v>15338</v>
      </c>
      <c r="D67" s="64" t="s">
        <v>12579</v>
      </c>
      <c r="E67" s="63" t="s">
        <v>13506</v>
      </c>
      <c r="F67" s="63" t="s">
        <v>15113</v>
      </c>
      <c r="G67" s="63" t="s">
        <v>15114</v>
      </c>
      <c r="H67" s="63" t="s">
        <v>15122</v>
      </c>
      <c r="I67" s="63" t="s">
        <v>15123</v>
      </c>
    </row>
    <row r="68" spans="1:9" ht="15" customHeight="1" x14ac:dyDescent="0.3">
      <c r="A68" s="63" t="s">
        <v>15339</v>
      </c>
      <c r="B68" s="63" t="s">
        <v>15340</v>
      </c>
      <c r="C68" s="63" t="s">
        <v>15341</v>
      </c>
      <c r="D68" s="64" t="s">
        <v>12579</v>
      </c>
      <c r="E68" s="63" t="s">
        <v>13506</v>
      </c>
      <c r="F68" s="63" t="s">
        <v>15103</v>
      </c>
      <c r="G68" s="63" t="s">
        <v>15104</v>
      </c>
      <c r="H68" s="63" t="s">
        <v>15122</v>
      </c>
      <c r="I68" s="63" t="s">
        <v>15123</v>
      </c>
    </row>
    <row r="69" spans="1:9" ht="15" customHeight="1" x14ac:dyDescent="0.3">
      <c r="A69" s="63" t="s">
        <v>15342</v>
      </c>
      <c r="B69" s="63" t="s">
        <v>15343</v>
      </c>
      <c r="C69" s="63" t="s">
        <v>15344</v>
      </c>
      <c r="D69" s="64" t="s">
        <v>12579</v>
      </c>
      <c r="E69" s="63" t="s">
        <v>13506</v>
      </c>
      <c r="F69" s="63" t="s">
        <v>15157</v>
      </c>
      <c r="G69" s="63" t="s">
        <v>15158</v>
      </c>
      <c r="H69" s="63" t="s">
        <v>15345</v>
      </c>
      <c r="I69" s="63" t="s">
        <v>15345</v>
      </c>
    </row>
    <row r="70" spans="1:9" ht="15" customHeight="1" x14ac:dyDescent="0.3">
      <c r="A70" s="63" t="s">
        <v>15346</v>
      </c>
      <c r="B70" s="63" t="s">
        <v>15347</v>
      </c>
      <c r="C70" s="63" t="s">
        <v>15348</v>
      </c>
      <c r="D70" s="64" t="s">
        <v>12578</v>
      </c>
      <c r="E70" s="63" t="s">
        <v>13451</v>
      </c>
      <c r="F70" s="63" t="s">
        <v>13464</v>
      </c>
      <c r="G70" s="63" t="s">
        <v>13465</v>
      </c>
      <c r="H70" s="63" t="s">
        <v>15349</v>
      </c>
      <c r="I70" s="63" t="s">
        <v>15350</v>
      </c>
    </row>
    <row r="71" spans="1:9" ht="15" customHeight="1" x14ac:dyDescent="0.3">
      <c r="A71" s="63" t="s">
        <v>15351</v>
      </c>
      <c r="B71" s="63" t="s">
        <v>15352</v>
      </c>
      <c r="C71" s="63" t="s">
        <v>15353</v>
      </c>
      <c r="D71" s="64" t="s">
        <v>12579</v>
      </c>
      <c r="E71" s="63" t="s">
        <v>13506</v>
      </c>
      <c r="F71" s="63" t="s">
        <v>15103</v>
      </c>
      <c r="G71" s="63" t="s">
        <v>15104</v>
      </c>
      <c r="H71" s="63" t="s">
        <v>15232</v>
      </c>
      <c r="I71" s="63" t="s">
        <v>15232</v>
      </c>
    </row>
    <row r="72" spans="1:9" ht="15" customHeight="1" x14ac:dyDescent="0.3">
      <c r="A72" s="63" t="s">
        <v>15354</v>
      </c>
      <c r="B72" s="63" t="s">
        <v>15355</v>
      </c>
      <c r="C72" s="63" t="s">
        <v>15356</v>
      </c>
      <c r="D72" s="64" t="s">
        <v>12578</v>
      </c>
      <c r="E72" s="63" t="s">
        <v>13451</v>
      </c>
      <c r="F72" s="63" t="s">
        <v>13475</v>
      </c>
      <c r="G72" s="63" t="s">
        <v>13476</v>
      </c>
      <c r="H72" s="63" t="s">
        <v>15357</v>
      </c>
      <c r="I72" s="63" t="s">
        <v>15357</v>
      </c>
    </row>
    <row r="73" spans="1:9" ht="15" customHeight="1" x14ac:dyDescent="0.3">
      <c r="A73" s="63" t="s">
        <v>15358</v>
      </c>
      <c r="B73" s="63" t="s">
        <v>15359</v>
      </c>
      <c r="C73" s="63" t="s">
        <v>15360</v>
      </c>
      <c r="D73" s="64" t="s">
        <v>12579</v>
      </c>
      <c r="E73" s="63" t="s">
        <v>13506</v>
      </c>
      <c r="F73" s="63" t="s">
        <v>15083</v>
      </c>
      <c r="G73" s="63" t="s">
        <v>15084</v>
      </c>
      <c r="H73" s="63" t="s">
        <v>13561</v>
      </c>
      <c r="I73" s="63" t="s">
        <v>13561</v>
      </c>
    </row>
    <row r="74" spans="1:9" ht="15" customHeight="1" x14ac:dyDescent="0.3">
      <c r="A74" s="63" t="s">
        <v>15361</v>
      </c>
      <c r="B74" s="63" t="s">
        <v>15362</v>
      </c>
      <c r="C74" s="63" t="s">
        <v>15363</v>
      </c>
      <c r="D74" s="64" t="s">
        <v>12579</v>
      </c>
      <c r="E74" s="63" t="s">
        <v>13506</v>
      </c>
      <c r="F74" s="63" t="s">
        <v>15364</v>
      </c>
      <c r="G74" s="63" t="s">
        <v>15365</v>
      </c>
      <c r="H74" s="63" t="s">
        <v>15122</v>
      </c>
      <c r="I74" s="63" t="s">
        <v>15123</v>
      </c>
    </row>
    <row r="75" spans="1:9" ht="15" customHeight="1" x14ac:dyDescent="0.3">
      <c r="A75" s="63" t="s">
        <v>15366</v>
      </c>
      <c r="B75" s="63" t="s">
        <v>15367</v>
      </c>
      <c r="C75" s="63" t="s">
        <v>15368</v>
      </c>
      <c r="D75" s="64" t="s">
        <v>12579</v>
      </c>
      <c r="E75" s="63" t="s">
        <v>13506</v>
      </c>
      <c r="F75" s="63" t="s">
        <v>13531</v>
      </c>
      <c r="G75" s="63" t="s">
        <v>13532</v>
      </c>
      <c r="H75" s="63" t="s">
        <v>15122</v>
      </c>
      <c r="I75" s="63" t="s">
        <v>15123</v>
      </c>
    </row>
    <row r="76" spans="1:9" ht="15" customHeight="1" x14ac:dyDescent="0.3">
      <c r="A76" s="63" t="s">
        <v>15369</v>
      </c>
      <c r="B76" s="63" t="s">
        <v>15370</v>
      </c>
      <c r="C76" s="63" t="s">
        <v>15371</v>
      </c>
      <c r="D76" s="64" t="s">
        <v>12579</v>
      </c>
      <c r="E76" s="63" t="s">
        <v>13506</v>
      </c>
      <c r="F76" s="63" t="s">
        <v>15195</v>
      </c>
      <c r="G76" s="63" t="s">
        <v>15196</v>
      </c>
      <c r="H76" s="63" t="s">
        <v>13561</v>
      </c>
      <c r="I76" s="63" t="s">
        <v>13561</v>
      </c>
    </row>
    <row r="77" spans="1:9" ht="15" customHeight="1" x14ac:dyDescent="0.3">
      <c r="A77" s="63" t="s">
        <v>15372</v>
      </c>
      <c r="B77" s="63" t="s">
        <v>15373</v>
      </c>
      <c r="C77" s="63" t="s">
        <v>15374</v>
      </c>
      <c r="D77" s="64" t="s">
        <v>12579</v>
      </c>
      <c r="E77" s="63" t="s">
        <v>13506</v>
      </c>
      <c r="F77" s="63" t="s">
        <v>13514</v>
      </c>
      <c r="G77" s="63" t="s">
        <v>13515</v>
      </c>
      <c r="H77" s="63" t="s">
        <v>13561</v>
      </c>
      <c r="I77" s="63" t="s">
        <v>13561</v>
      </c>
    </row>
    <row r="78" spans="1:9" ht="15" customHeight="1" x14ac:dyDescent="0.3">
      <c r="A78" s="63" t="s">
        <v>15375</v>
      </c>
      <c r="B78" s="63" t="s">
        <v>15376</v>
      </c>
      <c r="C78" s="63" t="s">
        <v>15377</v>
      </c>
      <c r="D78" s="64" t="s">
        <v>12574</v>
      </c>
      <c r="E78" s="63" t="s">
        <v>12616</v>
      </c>
      <c r="F78" s="63" t="s">
        <v>12632</v>
      </c>
      <c r="G78" s="63" t="s">
        <v>12633</v>
      </c>
      <c r="H78" s="63" t="s">
        <v>15204</v>
      </c>
      <c r="I78" s="63" t="s">
        <v>15205</v>
      </c>
    </row>
    <row r="79" spans="1:9" ht="15" customHeight="1" x14ac:dyDescent="0.3">
      <c r="A79" s="63" t="s">
        <v>15378</v>
      </c>
      <c r="B79" s="63" t="s">
        <v>15379</v>
      </c>
      <c r="C79" s="63" t="s">
        <v>15380</v>
      </c>
      <c r="D79" s="64" t="s">
        <v>12579</v>
      </c>
      <c r="E79" s="63" t="s">
        <v>13506</v>
      </c>
      <c r="F79" s="63" t="s">
        <v>15113</v>
      </c>
      <c r="G79" s="63" t="s">
        <v>15114</v>
      </c>
      <c r="H79" s="63" t="s">
        <v>15232</v>
      </c>
      <c r="I79" s="63" t="s">
        <v>15232</v>
      </c>
    </row>
    <row r="80" spans="1:9" ht="15" customHeight="1" x14ac:dyDescent="0.3">
      <c r="A80" s="63" t="s">
        <v>15381</v>
      </c>
      <c r="B80" s="63" t="s">
        <v>15382</v>
      </c>
      <c r="C80" s="63" t="s">
        <v>15383</v>
      </c>
      <c r="D80" s="64" t="s">
        <v>12578</v>
      </c>
      <c r="E80" s="63" t="s">
        <v>13451</v>
      </c>
      <c r="F80" s="63" t="s">
        <v>13464</v>
      </c>
      <c r="G80" s="63" t="s">
        <v>13465</v>
      </c>
      <c r="H80" s="63" t="s">
        <v>15108</v>
      </c>
      <c r="I80" s="63" t="s">
        <v>15109</v>
      </c>
    </row>
    <row r="81" spans="1:9" ht="15" customHeight="1" x14ac:dyDescent="0.3">
      <c r="A81" s="63" t="s">
        <v>15384</v>
      </c>
      <c r="B81" s="63" t="s">
        <v>15385</v>
      </c>
      <c r="C81" s="63" t="s">
        <v>15386</v>
      </c>
      <c r="D81" s="64" t="s">
        <v>12579</v>
      </c>
      <c r="E81" s="63" t="s">
        <v>13506</v>
      </c>
      <c r="F81" s="63" t="s">
        <v>15157</v>
      </c>
      <c r="G81" s="63" t="s">
        <v>15158</v>
      </c>
      <c r="H81" s="63" t="s">
        <v>15122</v>
      </c>
      <c r="I81" s="63" t="s">
        <v>15123</v>
      </c>
    </row>
    <row r="82" spans="1:9" ht="15" customHeight="1" x14ac:dyDescent="0.3">
      <c r="A82" s="63" t="s">
        <v>15387</v>
      </c>
      <c r="B82" s="63" t="s">
        <v>15388</v>
      </c>
      <c r="C82" s="63" t="s">
        <v>15389</v>
      </c>
      <c r="D82" s="64" t="s">
        <v>12579</v>
      </c>
      <c r="E82" s="63" t="s">
        <v>13506</v>
      </c>
      <c r="F82" s="63" t="s">
        <v>15103</v>
      </c>
      <c r="G82" s="63" t="s">
        <v>15104</v>
      </c>
      <c r="H82" s="63" t="s">
        <v>15130</v>
      </c>
      <c r="I82" s="63" t="s">
        <v>15130</v>
      </c>
    </row>
    <row r="83" spans="1:9" ht="15" customHeight="1" x14ac:dyDescent="0.3">
      <c r="A83" s="63" t="s">
        <v>15390</v>
      </c>
      <c r="B83" s="63" t="s">
        <v>15391</v>
      </c>
      <c r="C83" s="63" t="s">
        <v>15392</v>
      </c>
      <c r="D83" s="64" t="s">
        <v>12574</v>
      </c>
      <c r="E83" s="63" t="s">
        <v>12616</v>
      </c>
      <c r="F83" s="63" t="s">
        <v>12632</v>
      </c>
      <c r="G83" s="63" t="s">
        <v>12633</v>
      </c>
      <c r="H83" s="63" t="s">
        <v>7195</v>
      </c>
      <c r="I83" s="63" t="s">
        <v>12656</v>
      </c>
    </row>
    <row r="84" spans="1:9" ht="15" customHeight="1" x14ac:dyDescent="0.3">
      <c r="A84" s="63" t="s">
        <v>15393</v>
      </c>
      <c r="B84" s="63" t="s">
        <v>15394</v>
      </c>
      <c r="C84" s="63" t="s">
        <v>15395</v>
      </c>
      <c r="D84" s="64" t="s">
        <v>12579</v>
      </c>
      <c r="E84" s="63" t="s">
        <v>13506</v>
      </c>
      <c r="F84" s="63" t="s">
        <v>15195</v>
      </c>
      <c r="G84" s="63" t="s">
        <v>15196</v>
      </c>
      <c r="H84" s="63" t="s">
        <v>15122</v>
      </c>
      <c r="I84" s="63" t="s">
        <v>15123</v>
      </c>
    </row>
    <row r="85" spans="1:9" ht="15" customHeight="1" x14ac:dyDescent="0.3">
      <c r="A85" s="63" t="s">
        <v>15396</v>
      </c>
      <c r="B85" s="63" t="s">
        <v>15397</v>
      </c>
      <c r="C85" s="63" t="s">
        <v>15398</v>
      </c>
      <c r="D85" s="64" t="s">
        <v>12579</v>
      </c>
      <c r="E85" s="63" t="s">
        <v>13506</v>
      </c>
      <c r="F85" s="63" t="s">
        <v>15090</v>
      </c>
      <c r="G85" s="63" t="s">
        <v>15091</v>
      </c>
      <c r="H85" s="63" t="s">
        <v>15122</v>
      </c>
      <c r="I85" s="63" t="s">
        <v>15123</v>
      </c>
    </row>
    <row r="86" spans="1:9" ht="15" customHeight="1" x14ac:dyDescent="0.3">
      <c r="A86" s="63" t="s">
        <v>15399</v>
      </c>
      <c r="B86" s="63" t="s">
        <v>15400</v>
      </c>
      <c r="C86" s="63" t="s">
        <v>15401</v>
      </c>
      <c r="D86" s="64" t="s">
        <v>15272</v>
      </c>
      <c r="E86" s="63" t="s">
        <v>15273</v>
      </c>
      <c r="F86" s="63" t="s">
        <v>15274</v>
      </c>
      <c r="G86" s="63" t="s">
        <v>15275</v>
      </c>
      <c r="H86" s="63" t="s">
        <v>15159</v>
      </c>
      <c r="I86" s="63" t="s">
        <v>15160</v>
      </c>
    </row>
    <row r="87" spans="1:9" ht="15" customHeight="1" x14ac:dyDescent="0.3">
      <c r="A87" s="63" t="s">
        <v>15402</v>
      </c>
      <c r="B87" s="63" t="s">
        <v>15403</v>
      </c>
      <c r="C87" s="63" t="s">
        <v>15403</v>
      </c>
      <c r="D87" s="64" t="s">
        <v>12574</v>
      </c>
      <c r="E87" s="63" t="s">
        <v>12616</v>
      </c>
      <c r="F87" s="63" t="s">
        <v>12632</v>
      </c>
      <c r="G87" s="63" t="s">
        <v>12633</v>
      </c>
      <c r="H87" s="63" t="s">
        <v>15404</v>
      </c>
      <c r="I87" s="63" t="s">
        <v>15405</v>
      </c>
    </row>
    <row r="88" spans="1:9" ht="15" customHeight="1" x14ac:dyDescent="0.3">
      <c r="A88" s="63" t="s">
        <v>15406</v>
      </c>
      <c r="B88" s="63" t="s">
        <v>15407</v>
      </c>
      <c r="C88" s="63" t="s">
        <v>15408</v>
      </c>
      <c r="D88" s="64" t="s">
        <v>12577</v>
      </c>
      <c r="E88" s="63" t="s">
        <v>12703</v>
      </c>
      <c r="F88" s="63" t="s">
        <v>15316</v>
      </c>
      <c r="G88" s="63" t="s">
        <v>15317</v>
      </c>
      <c r="H88" s="63" t="s">
        <v>6479</v>
      </c>
      <c r="I88" s="63" t="s">
        <v>12707</v>
      </c>
    </row>
    <row r="89" spans="1:9" ht="15" customHeight="1" x14ac:dyDescent="0.3">
      <c r="A89" s="63" t="s">
        <v>15409</v>
      </c>
      <c r="B89" s="63" t="s">
        <v>15410</v>
      </c>
      <c r="C89" s="63" t="s">
        <v>15411</v>
      </c>
      <c r="D89" s="64" t="s">
        <v>12579</v>
      </c>
      <c r="E89" s="63" t="s">
        <v>13506</v>
      </c>
      <c r="F89" s="63" t="s">
        <v>15195</v>
      </c>
      <c r="G89" s="63" t="s">
        <v>15196</v>
      </c>
      <c r="H89" s="63" t="s">
        <v>15197</v>
      </c>
      <c r="I89" s="63" t="s">
        <v>15197</v>
      </c>
    </row>
    <row r="90" spans="1:9" ht="15" customHeight="1" x14ac:dyDescent="0.3">
      <c r="A90" s="63" t="s">
        <v>15412</v>
      </c>
      <c r="B90" s="63" t="s">
        <v>15413</v>
      </c>
      <c r="C90" s="63" t="s">
        <v>15414</v>
      </c>
      <c r="D90" s="64" t="s">
        <v>12579</v>
      </c>
      <c r="E90" s="63" t="s">
        <v>13506</v>
      </c>
      <c r="F90" s="63" t="s">
        <v>13514</v>
      </c>
      <c r="G90" s="63" t="s">
        <v>13515</v>
      </c>
      <c r="H90" s="63" t="s">
        <v>13561</v>
      </c>
      <c r="I90" s="63" t="s">
        <v>13561</v>
      </c>
    </row>
    <row r="91" spans="1:9" ht="15" customHeight="1" x14ac:dyDescent="0.3">
      <c r="A91" s="63" t="s">
        <v>15415</v>
      </c>
      <c r="B91" s="63" t="s">
        <v>15416</v>
      </c>
      <c r="C91" s="63" t="s">
        <v>15417</v>
      </c>
      <c r="D91" s="64" t="s">
        <v>12579</v>
      </c>
      <c r="E91" s="63" t="s">
        <v>13506</v>
      </c>
      <c r="F91" s="63" t="s">
        <v>15103</v>
      </c>
      <c r="G91" s="63" t="s">
        <v>15104</v>
      </c>
      <c r="H91" s="63" t="s">
        <v>15122</v>
      </c>
      <c r="I91" s="63" t="s">
        <v>15123</v>
      </c>
    </row>
    <row r="92" spans="1:9" ht="15" customHeight="1" x14ac:dyDescent="0.3">
      <c r="A92" s="63" t="s">
        <v>15418</v>
      </c>
      <c r="B92" s="63" t="s">
        <v>15419</v>
      </c>
      <c r="C92" s="63" t="s">
        <v>15420</v>
      </c>
      <c r="D92" s="64" t="s">
        <v>12579</v>
      </c>
      <c r="E92" s="63" t="s">
        <v>13506</v>
      </c>
      <c r="F92" s="63" t="s">
        <v>15113</v>
      </c>
      <c r="G92" s="63" t="s">
        <v>15114</v>
      </c>
      <c r="H92" s="63" t="s">
        <v>15232</v>
      </c>
      <c r="I92" s="63" t="s">
        <v>15232</v>
      </c>
    </row>
    <row r="93" spans="1:9" ht="15" customHeight="1" x14ac:dyDescent="0.3">
      <c r="A93" s="63" t="s">
        <v>15421</v>
      </c>
      <c r="B93" s="63" t="s">
        <v>15422</v>
      </c>
      <c r="C93" s="63" t="s">
        <v>15423</v>
      </c>
      <c r="D93" s="64" t="s">
        <v>12579</v>
      </c>
      <c r="E93" s="63" t="s">
        <v>13506</v>
      </c>
      <c r="F93" s="63" t="s">
        <v>15103</v>
      </c>
      <c r="G93" s="63" t="s">
        <v>15104</v>
      </c>
      <c r="H93" s="63" t="s">
        <v>15130</v>
      </c>
      <c r="I93" s="63" t="s">
        <v>15130</v>
      </c>
    </row>
    <row r="94" spans="1:9" ht="15" customHeight="1" x14ac:dyDescent="0.3">
      <c r="A94" s="63" t="s">
        <v>15424</v>
      </c>
      <c r="B94" s="63" t="s">
        <v>15425</v>
      </c>
      <c r="C94" s="63" t="s">
        <v>15426</v>
      </c>
      <c r="D94" s="64" t="s">
        <v>12579</v>
      </c>
      <c r="E94" s="63" t="s">
        <v>13506</v>
      </c>
      <c r="F94" s="63" t="s">
        <v>13595</v>
      </c>
      <c r="G94" s="63" t="s">
        <v>13596</v>
      </c>
      <c r="H94" s="63" t="s">
        <v>15122</v>
      </c>
      <c r="I94" s="63" t="s">
        <v>15123</v>
      </c>
    </row>
    <row r="95" spans="1:9" ht="15" customHeight="1" x14ac:dyDescent="0.3">
      <c r="A95" s="63" t="s">
        <v>15427</v>
      </c>
      <c r="B95" s="63" t="s">
        <v>15428</v>
      </c>
      <c r="C95" s="63" t="s">
        <v>15429</v>
      </c>
      <c r="D95" s="64" t="s">
        <v>12579</v>
      </c>
      <c r="E95" s="63" t="s">
        <v>13506</v>
      </c>
      <c r="F95" s="63" t="s">
        <v>15113</v>
      </c>
      <c r="G95" s="63" t="s">
        <v>15114</v>
      </c>
      <c r="H95" s="63" t="s">
        <v>15159</v>
      </c>
      <c r="I95" s="63" t="s">
        <v>15160</v>
      </c>
    </row>
    <row r="96" spans="1:9" ht="15" customHeight="1" x14ac:dyDescent="0.3">
      <c r="A96" s="63" t="s">
        <v>15430</v>
      </c>
      <c r="B96" s="63" t="s">
        <v>15431</v>
      </c>
      <c r="C96" s="63" t="s">
        <v>15432</v>
      </c>
      <c r="D96" s="64" t="s">
        <v>12579</v>
      </c>
      <c r="E96" s="63" t="s">
        <v>13506</v>
      </c>
      <c r="F96" s="63" t="s">
        <v>15326</v>
      </c>
      <c r="G96" s="63" t="s">
        <v>15327</v>
      </c>
      <c r="H96" s="63" t="s">
        <v>15122</v>
      </c>
      <c r="I96" s="63" t="s">
        <v>15123</v>
      </c>
    </row>
    <row r="97" spans="1:9" ht="15" customHeight="1" x14ac:dyDescent="0.3">
      <c r="A97" s="63" t="s">
        <v>15433</v>
      </c>
      <c r="B97" s="63" t="s">
        <v>15434</v>
      </c>
      <c r="C97" s="63" t="s">
        <v>15435</v>
      </c>
      <c r="D97" s="64" t="s">
        <v>12579</v>
      </c>
      <c r="E97" s="63" t="s">
        <v>13506</v>
      </c>
      <c r="F97" s="63" t="s">
        <v>15103</v>
      </c>
      <c r="G97" s="63" t="s">
        <v>15104</v>
      </c>
      <c r="H97" s="63" t="s">
        <v>15232</v>
      </c>
      <c r="I97" s="63" t="s">
        <v>15232</v>
      </c>
    </row>
    <row r="98" spans="1:9" ht="15" customHeight="1" x14ac:dyDescent="0.3">
      <c r="A98" s="63" t="s">
        <v>15436</v>
      </c>
      <c r="B98" s="63" t="s">
        <v>15437</v>
      </c>
      <c r="C98" s="63" t="s">
        <v>15438</v>
      </c>
      <c r="D98" s="64" t="s">
        <v>12579</v>
      </c>
      <c r="E98" s="63" t="s">
        <v>13506</v>
      </c>
      <c r="F98" s="63" t="s">
        <v>13595</v>
      </c>
      <c r="G98" s="63" t="s">
        <v>13596</v>
      </c>
      <c r="H98" s="63" t="s">
        <v>15232</v>
      </c>
      <c r="I98" s="63" t="s">
        <v>15232</v>
      </c>
    </row>
    <row r="99" spans="1:9" ht="15" customHeight="1" x14ac:dyDescent="0.3">
      <c r="A99" s="63" t="s">
        <v>15439</v>
      </c>
      <c r="B99" s="63" t="s">
        <v>15440</v>
      </c>
      <c r="C99" s="63" t="s">
        <v>15441</v>
      </c>
      <c r="D99" s="64" t="s">
        <v>12579</v>
      </c>
      <c r="E99" s="63" t="s">
        <v>13506</v>
      </c>
      <c r="F99" s="63" t="s">
        <v>15195</v>
      </c>
      <c r="G99" s="63" t="s">
        <v>15196</v>
      </c>
      <c r="H99" s="63" t="s">
        <v>15122</v>
      </c>
      <c r="I99" s="63" t="s">
        <v>15123</v>
      </c>
    </row>
    <row r="100" spans="1:9" ht="15" customHeight="1" x14ac:dyDescent="0.3">
      <c r="A100" s="63" t="s">
        <v>15442</v>
      </c>
      <c r="B100" s="63" t="s">
        <v>15443</v>
      </c>
      <c r="C100" s="63" t="s">
        <v>15444</v>
      </c>
      <c r="D100" s="64" t="s">
        <v>12579</v>
      </c>
      <c r="E100" s="63" t="s">
        <v>13506</v>
      </c>
      <c r="F100" s="63" t="s">
        <v>15113</v>
      </c>
      <c r="G100" s="63" t="s">
        <v>15114</v>
      </c>
      <c r="H100" s="63" t="s">
        <v>15122</v>
      </c>
      <c r="I100" s="63" t="s">
        <v>15123</v>
      </c>
    </row>
    <row r="101" spans="1:9" ht="15" customHeight="1" x14ac:dyDescent="0.3">
      <c r="A101" s="63" t="s">
        <v>15445</v>
      </c>
      <c r="B101" s="63" t="s">
        <v>15446</v>
      </c>
      <c r="C101" s="63" t="s">
        <v>15447</v>
      </c>
      <c r="D101" s="64" t="s">
        <v>12579</v>
      </c>
      <c r="E101" s="63" t="s">
        <v>13506</v>
      </c>
      <c r="F101" s="63" t="s">
        <v>15113</v>
      </c>
      <c r="G101" s="63" t="s">
        <v>15114</v>
      </c>
      <c r="H101" s="63" t="s">
        <v>15232</v>
      </c>
      <c r="I101" s="63" t="s">
        <v>15232</v>
      </c>
    </row>
    <row r="102" spans="1:9" ht="15" customHeight="1" x14ac:dyDescent="0.3">
      <c r="A102" s="63" t="s">
        <v>15448</v>
      </c>
      <c r="B102" s="63" t="s">
        <v>15449</v>
      </c>
      <c r="C102" s="63" t="s">
        <v>15450</v>
      </c>
      <c r="D102" s="64" t="s">
        <v>12574</v>
      </c>
      <c r="E102" s="63" t="s">
        <v>12616</v>
      </c>
      <c r="F102" s="63" t="s">
        <v>12632</v>
      </c>
      <c r="G102" s="63" t="s">
        <v>12633</v>
      </c>
      <c r="H102" s="63" t="s">
        <v>15451</v>
      </c>
      <c r="I102" s="63" t="s">
        <v>15452</v>
      </c>
    </row>
    <row r="103" spans="1:9" ht="15" customHeight="1" x14ac:dyDescent="0.3">
      <c r="A103" s="63" t="s">
        <v>15453</v>
      </c>
      <c r="B103" s="63" t="s">
        <v>15454</v>
      </c>
      <c r="C103" s="63" t="s">
        <v>15455</v>
      </c>
      <c r="D103" s="64" t="s">
        <v>12579</v>
      </c>
      <c r="E103" s="63" t="s">
        <v>13506</v>
      </c>
      <c r="F103" s="63" t="s">
        <v>13564</v>
      </c>
      <c r="G103" s="63" t="s">
        <v>13565</v>
      </c>
      <c r="H103" s="63" t="s">
        <v>13561</v>
      </c>
      <c r="I103" s="63" t="s">
        <v>13561</v>
      </c>
    </row>
    <row r="104" spans="1:9" ht="15" customHeight="1" x14ac:dyDescent="0.3">
      <c r="A104" s="63" t="s">
        <v>15456</v>
      </c>
      <c r="B104" s="63" t="s">
        <v>15457</v>
      </c>
      <c r="C104" s="63" t="s">
        <v>15458</v>
      </c>
      <c r="D104" s="64" t="s">
        <v>12579</v>
      </c>
      <c r="E104" s="63" t="s">
        <v>13506</v>
      </c>
      <c r="F104" s="63" t="s">
        <v>13531</v>
      </c>
      <c r="G104" s="63" t="s">
        <v>13532</v>
      </c>
      <c r="H104" s="63" t="s">
        <v>15459</v>
      </c>
      <c r="I104" s="63" t="s">
        <v>15460</v>
      </c>
    </row>
    <row r="105" spans="1:9" ht="15" customHeight="1" x14ac:dyDescent="0.3">
      <c r="A105" s="63" t="s">
        <v>15461</v>
      </c>
      <c r="B105" s="63" t="s">
        <v>15462</v>
      </c>
      <c r="C105" s="63" t="s">
        <v>15463</v>
      </c>
      <c r="D105" s="64" t="s">
        <v>12579</v>
      </c>
      <c r="E105" s="63" t="s">
        <v>13506</v>
      </c>
      <c r="F105" s="63" t="s">
        <v>15096</v>
      </c>
      <c r="G105" s="63" t="s">
        <v>15097</v>
      </c>
      <c r="H105" s="63" t="s">
        <v>15232</v>
      </c>
      <c r="I105" s="63" t="s">
        <v>15232</v>
      </c>
    </row>
    <row r="106" spans="1:9" ht="15" customHeight="1" x14ac:dyDescent="0.3">
      <c r="A106" s="63" t="s">
        <v>15464</v>
      </c>
      <c r="B106" s="63" t="s">
        <v>15465</v>
      </c>
      <c r="C106" s="63" t="s">
        <v>15466</v>
      </c>
      <c r="D106" s="64" t="s">
        <v>12579</v>
      </c>
      <c r="E106" s="63" t="s">
        <v>13506</v>
      </c>
      <c r="F106" s="63" t="s">
        <v>15195</v>
      </c>
      <c r="G106" s="63" t="s">
        <v>15196</v>
      </c>
      <c r="H106" s="63" t="s">
        <v>15197</v>
      </c>
      <c r="I106" s="63" t="s">
        <v>15197</v>
      </c>
    </row>
    <row r="107" spans="1:9" ht="15" customHeight="1" x14ac:dyDescent="0.3">
      <c r="A107" s="63" t="s">
        <v>15467</v>
      </c>
      <c r="B107" s="63" t="s">
        <v>15468</v>
      </c>
      <c r="C107" s="63" t="s">
        <v>15469</v>
      </c>
      <c r="D107" s="64" t="s">
        <v>12579</v>
      </c>
      <c r="E107" s="63" t="s">
        <v>13506</v>
      </c>
      <c r="F107" s="63" t="s">
        <v>15157</v>
      </c>
      <c r="G107" s="63" t="s">
        <v>15158</v>
      </c>
      <c r="H107" s="63" t="s">
        <v>15197</v>
      </c>
      <c r="I107" s="63" t="s">
        <v>15197</v>
      </c>
    </row>
    <row r="108" spans="1:9" ht="15" customHeight="1" x14ac:dyDescent="0.3">
      <c r="A108" s="63" t="s">
        <v>15470</v>
      </c>
      <c r="B108" s="63" t="s">
        <v>15471</v>
      </c>
      <c r="C108" s="63" t="s">
        <v>15472</v>
      </c>
      <c r="D108" s="64" t="s">
        <v>12579</v>
      </c>
      <c r="E108" s="63" t="s">
        <v>13506</v>
      </c>
      <c r="F108" s="63" t="s">
        <v>15103</v>
      </c>
      <c r="G108" s="63" t="s">
        <v>15104</v>
      </c>
      <c r="H108" s="63" t="s">
        <v>15232</v>
      </c>
      <c r="I108" s="63" t="s">
        <v>15232</v>
      </c>
    </row>
    <row r="109" spans="1:9" ht="15" customHeight="1" x14ac:dyDescent="0.3">
      <c r="A109" s="63" t="s">
        <v>15473</v>
      </c>
      <c r="B109" s="63" t="s">
        <v>15474</v>
      </c>
      <c r="C109" s="63" t="s">
        <v>15474</v>
      </c>
      <c r="D109" s="64" t="s">
        <v>12586</v>
      </c>
      <c r="E109" s="63" t="s">
        <v>12729</v>
      </c>
      <c r="F109" s="63" t="s">
        <v>12735</v>
      </c>
      <c r="G109" s="63" t="s">
        <v>12589</v>
      </c>
      <c r="H109" s="63" t="s">
        <v>15475</v>
      </c>
      <c r="I109" s="63" t="s">
        <v>15475</v>
      </c>
    </row>
    <row r="110" spans="1:9" ht="15" customHeight="1" x14ac:dyDescent="0.3">
      <c r="A110" s="63" t="s">
        <v>15476</v>
      </c>
      <c r="B110" s="63" t="s">
        <v>15477</v>
      </c>
      <c r="C110" s="63" t="s">
        <v>15478</v>
      </c>
      <c r="D110" s="64" t="s">
        <v>12579</v>
      </c>
      <c r="E110" s="63" t="s">
        <v>13506</v>
      </c>
      <c r="F110" s="63" t="s">
        <v>15479</v>
      </c>
      <c r="G110" s="63" t="s">
        <v>15480</v>
      </c>
      <c r="H110" s="63" t="s">
        <v>15159</v>
      </c>
      <c r="I110" s="63" t="s">
        <v>15160</v>
      </c>
    </row>
    <row r="111" spans="1:9" ht="15" customHeight="1" x14ac:dyDescent="0.3">
      <c r="A111" s="63" t="s">
        <v>15481</v>
      </c>
      <c r="B111" s="63" t="s">
        <v>15482</v>
      </c>
      <c r="C111" s="63" t="s">
        <v>15483</v>
      </c>
      <c r="D111" s="64" t="s">
        <v>12579</v>
      </c>
      <c r="E111" s="63" t="s">
        <v>13506</v>
      </c>
      <c r="F111" s="63" t="s">
        <v>15157</v>
      </c>
      <c r="G111" s="63" t="s">
        <v>15158</v>
      </c>
      <c r="H111" s="63" t="s">
        <v>15232</v>
      </c>
      <c r="I111" s="63" t="s">
        <v>15232</v>
      </c>
    </row>
    <row r="112" spans="1:9" ht="15" customHeight="1" x14ac:dyDescent="0.3">
      <c r="A112" s="63" t="s">
        <v>15484</v>
      </c>
      <c r="B112" s="63" t="s">
        <v>15485</v>
      </c>
      <c r="C112" s="63" t="s">
        <v>15486</v>
      </c>
      <c r="D112" s="64" t="s">
        <v>12579</v>
      </c>
      <c r="E112" s="63" t="s">
        <v>13506</v>
      </c>
      <c r="F112" s="63" t="s">
        <v>15479</v>
      </c>
      <c r="G112" s="63" t="s">
        <v>15480</v>
      </c>
      <c r="H112" s="63" t="s">
        <v>15232</v>
      </c>
      <c r="I112" s="63" t="s">
        <v>15232</v>
      </c>
    </row>
    <row r="113" spans="1:9" ht="15" customHeight="1" x14ac:dyDescent="0.3">
      <c r="A113" s="63" t="s">
        <v>15487</v>
      </c>
      <c r="B113" s="63" t="s">
        <v>15488</v>
      </c>
      <c r="C113" s="63" t="s">
        <v>15489</v>
      </c>
      <c r="D113" s="64" t="s">
        <v>12579</v>
      </c>
      <c r="E113" s="63" t="s">
        <v>13506</v>
      </c>
      <c r="F113" s="63" t="s">
        <v>15195</v>
      </c>
      <c r="G113" s="63" t="s">
        <v>15196</v>
      </c>
      <c r="H113" s="63" t="s">
        <v>15197</v>
      </c>
      <c r="I113" s="63" t="s">
        <v>15197</v>
      </c>
    </row>
    <row r="114" spans="1:9" ht="15" customHeight="1" x14ac:dyDescent="0.3">
      <c r="A114" s="63" t="s">
        <v>15490</v>
      </c>
      <c r="B114" s="63" t="s">
        <v>15491</v>
      </c>
      <c r="C114" s="63" t="s">
        <v>15492</v>
      </c>
      <c r="D114" s="64" t="s">
        <v>12579</v>
      </c>
      <c r="E114" s="63" t="s">
        <v>13506</v>
      </c>
      <c r="F114" s="63" t="s">
        <v>15103</v>
      </c>
      <c r="G114" s="63" t="s">
        <v>15104</v>
      </c>
      <c r="H114" s="63" t="s">
        <v>15232</v>
      </c>
      <c r="I114" s="63" t="s">
        <v>15232</v>
      </c>
    </row>
    <row r="115" spans="1:9" ht="15" customHeight="1" x14ac:dyDescent="0.3">
      <c r="A115" s="63" t="s">
        <v>15493</v>
      </c>
      <c r="B115" s="63" t="s">
        <v>15494</v>
      </c>
      <c r="C115" s="63" t="s">
        <v>15495</v>
      </c>
      <c r="D115" s="64" t="s">
        <v>12579</v>
      </c>
      <c r="E115" s="63" t="s">
        <v>13506</v>
      </c>
      <c r="F115" s="63" t="s">
        <v>15103</v>
      </c>
      <c r="G115" s="63" t="s">
        <v>15104</v>
      </c>
      <c r="H115" s="63" t="s">
        <v>15232</v>
      </c>
      <c r="I115" s="63" t="s">
        <v>15232</v>
      </c>
    </row>
    <row r="116" spans="1:9" ht="15" customHeight="1" x14ac:dyDescent="0.3">
      <c r="A116" s="63" t="s">
        <v>15496</v>
      </c>
      <c r="B116" s="63" t="s">
        <v>15497</v>
      </c>
      <c r="C116" s="63" t="s">
        <v>15498</v>
      </c>
      <c r="D116" s="64" t="s">
        <v>15272</v>
      </c>
      <c r="E116" s="63" t="s">
        <v>15273</v>
      </c>
      <c r="F116" s="63" t="s">
        <v>15274</v>
      </c>
      <c r="G116" s="63" t="s">
        <v>15275</v>
      </c>
      <c r="H116" s="63" t="s">
        <v>15159</v>
      </c>
      <c r="I116" s="63" t="s">
        <v>15160</v>
      </c>
    </row>
    <row r="117" spans="1:9" ht="15" customHeight="1" x14ac:dyDescent="0.3">
      <c r="A117" s="63" t="s">
        <v>15499</v>
      </c>
      <c r="B117" s="63" t="s">
        <v>15500</v>
      </c>
      <c r="C117" s="63" t="s">
        <v>15501</v>
      </c>
      <c r="D117" s="64" t="s">
        <v>12577</v>
      </c>
      <c r="E117" s="63" t="s">
        <v>12703</v>
      </c>
      <c r="F117" s="63" t="s">
        <v>15502</v>
      </c>
      <c r="G117" s="63" t="s">
        <v>15503</v>
      </c>
      <c r="H117" s="63" t="s">
        <v>15281</v>
      </c>
      <c r="I117" s="63" t="s">
        <v>15282</v>
      </c>
    </row>
    <row r="118" spans="1:9" ht="15" customHeight="1" x14ac:dyDescent="0.3">
      <c r="A118" s="63" t="s">
        <v>15504</v>
      </c>
      <c r="B118" s="63" t="s">
        <v>15505</v>
      </c>
      <c r="C118" s="63" t="s">
        <v>15505</v>
      </c>
      <c r="D118" s="64" t="s">
        <v>12573</v>
      </c>
      <c r="E118" s="63" t="s">
        <v>15059</v>
      </c>
      <c r="F118" s="63" t="s">
        <v>15506</v>
      </c>
      <c r="G118" s="63" t="s">
        <v>15507</v>
      </c>
      <c r="H118" s="63" t="s">
        <v>12706</v>
      </c>
      <c r="I118" s="63" t="s">
        <v>12707</v>
      </c>
    </row>
    <row r="119" spans="1:9" ht="15" customHeight="1" x14ac:dyDescent="0.3">
      <c r="A119" s="63" t="s">
        <v>15508</v>
      </c>
      <c r="B119" s="63" t="s">
        <v>15509</v>
      </c>
      <c r="C119" s="63" t="s">
        <v>15510</v>
      </c>
      <c r="D119" s="64" t="s">
        <v>12579</v>
      </c>
      <c r="E119" s="63" t="s">
        <v>13506</v>
      </c>
      <c r="F119" s="63" t="s">
        <v>13544</v>
      </c>
      <c r="G119" s="63" t="s">
        <v>13545</v>
      </c>
      <c r="H119" s="63" t="s">
        <v>15511</v>
      </c>
      <c r="I119" s="63" t="s">
        <v>15512</v>
      </c>
    </row>
    <row r="120" spans="1:9" ht="15" customHeight="1" x14ac:dyDescent="0.3">
      <c r="A120" s="63" t="s">
        <v>15513</v>
      </c>
      <c r="B120" s="63" t="s">
        <v>15514</v>
      </c>
      <c r="C120" s="63" t="s">
        <v>15515</v>
      </c>
      <c r="D120" s="64" t="s">
        <v>15516</v>
      </c>
      <c r="E120" s="63" t="s">
        <v>15517</v>
      </c>
      <c r="F120" s="63" t="s">
        <v>15517</v>
      </c>
      <c r="G120" s="63" t="s">
        <v>15516</v>
      </c>
      <c r="H120" s="63" t="s">
        <v>15518</v>
      </c>
      <c r="I120" s="63" t="s">
        <v>15519</v>
      </c>
    </row>
    <row r="121" spans="1:9" ht="15" customHeight="1" x14ac:dyDescent="0.3">
      <c r="A121" s="63" t="s">
        <v>15520</v>
      </c>
      <c r="B121" s="63" t="s">
        <v>15521</v>
      </c>
      <c r="C121" s="63" t="s">
        <v>15522</v>
      </c>
      <c r="D121" s="64" t="s">
        <v>12572</v>
      </c>
      <c r="E121" s="63" t="s">
        <v>14386</v>
      </c>
      <c r="F121" s="63" t="s">
        <v>15523</v>
      </c>
      <c r="G121" s="63" t="s">
        <v>12571</v>
      </c>
      <c r="H121" s="63" t="s">
        <v>15524</v>
      </c>
      <c r="I121" s="63" t="s">
        <v>15524</v>
      </c>
    </row>
    <row r="122" spans="1:9" ht="15" customHeight="1" x14ac:dyDescent="0.3">
      <c r="A122" s="63" t="s">
        <v>15525</v>
      </c>
      <c r="B122" s="63" t="s">
        <v>15526</v>
      </c>
      <c r="C122" s="63" t="s">
        <v>15527</v>
      </c>
      <c r="D122" s="64" t="s">
        <v>12574</v>
      </c>
      <c r="E122" s="63" t="s">
        <v>12616</v>
      </c>
      <c r="F122" s="63" t="s">
        <v>12632</v>
      </c>
      <c r="G122" s="63" t="s">
        <v>12633</v>
      </c>
      <c r="H122" s="63" t="s">
        <v>15451</v>
      </c>
      <c r="I122" s="63" t="s">
        <v>15452</v>
      </c>
    </row>
    <row r="123" spans="1:9" ht="15" customHeight="1" x14ac:dyDescent="0.3">
      <c r="A123" s="63" t="s">
        <v>15528</v>
      </c>
      <c r="B123" s="63" t="s">
        <v>15529</v>
      </c>
      <c r="C123" s="63" t="s">
        <v>15530</v>
      </c>
      <c r="D123" s="64" t="s">
        <v>12579</v>
      </c>
      <c r="E123" s="63" t="s">
        <v>13506</v>
      </c>
      <c r="F123" s="63" t="s">
        <v>15326</v>
      </c>
      <c r="G123" s="63" t="s">
        <v>15327</v>
      </c>
      <c r="H123" s="63" t="s">
        <v>15232</v>
      </c>
      <c r="I123" s="63" t="s">
        <v>15232</v>
      </c>
    </row>
    <row r="124" spans="1:9" ht="15" customHeight="1" x14ac:dyDescent="0.3">
      <c r="A124" s="63" t="s">
        <v>15531</v>
      </c>
      <c r="B124" s="63" t="s">
        <v>15532</v>
      </c>
      <c r="C124" s="63" t="s">
        <v>15533</v>
      </c>
      <c r="D124" s="64" t="s">
        <v>12579</v>
      </c>
      <c r="E124" s="63" t="s">
        <v>13506</v>
      </c>
      <c r="F124" s="63" t="s">
        <v>13595</v>
      </c>
      <c r="G124" s="63" t="s">
        <v>13596</v>
      </c>
      <c r="H124" s="63" t="s">
        <v>15214</v>
      </c>
      <c r="I124" s="63" t="s">
        <v>15214</v>
      </c>
    </row>
    <row r="125" spans="1:9" ht="15" customHeight="1" x14ac:dyDescent="0.3">
      <c r="A125" s="63" t="s">
        <v>15534</v>
      </c>
      <c r="B125" s="63" t="s">
        <v>15535</v>
      </c>
      <c r="C125" s="63" t="s">
        <v>15536</v>
      </c>
      <c r="D125" s="64" t="s">
        <v>12579</v>
      </c>
      <c r="E125" s="63" t="s">
        <v>13506</v>
      </c>
      <c r="F125" s="63" t="s">
        <v>15479</v>
      </c>
      <c r="G125" s="63" t="s">
        <v>15480</v>
      </c>
      <c r="H125" s="63" t="s">
        <v>15122</v>
      </c>
      <c r="I125" s="63" t="s">
        <v>15123</v>
      </c>
    </row>
    <row r="126" spans="1:9" ht="15" customHeight="1" x14ac:dyDescent="0.3">
      <c r="A126" s="63" t="s">
        <v>15537</v>
      </c>
      <c r="B126" s="63" t="s">
        <v>15538</v>
      </c>
      <c r="C126" s="63" t="s">
        <v>15539</v>
      </c>
      <c r="D126" s="64" t="s">
        <v>12579</v>
      </c>
      <c r="E126" s="63" t="s">
        <v>13506</v>
      </c>
      <c r="F126" s="63" t="s">
        <v>15294</v>
      </c>
      <c r="G126" s="63" t="s">
        <v>15295</v>
      </c>
      <c r="H126" s="63" t="s">
        <v>15159</v>
      </c>
      <c r="I126" s="63" t="s">
        <v>15160</v>
      </c>
    </row>
    <row r="127" spans="1:9" ht="15" customHeight="1" x14ac:dyDescent="0.3">
      <c r="A127" s="63" t="s">
        <v>15540</v>
      </c>
      <c r="B127" s="63" t="s">
        <v>15541</v>
      </c>
      <c r="C127" s="63" t="s">
        <v>15542</v>
      </c>
      <c r="D127" s="64" t="s">
        <v>12579</v>
      </c>
      <c r="E127" s="63" t="s">
        <v>13506</v>
      </c>
      <c r="F127" s="63" t="s">
        <v>15103</v>
      </c>
      <c r="G127" s="63" t="s">
        <v>15104</v>
      </c>
      <c r="H127" s="63" t="s">
        <v>15130</v>
      </c>
      <c r="I127" s="63" t="s">
        <v>15130</v>
      </c>
    </row>
    <row r="128" spans="1:9" ht="15" customHeight="1" x14ac:dyDescent="0.3">
      <c r="A128" s="63" t="s">
        <v>15543</v>
      </c>
      <c r="B128" s="63" t="s">
        <v>15544</v>
      </c>
      <c r="C128" s="63" t="s">
        <v>15544</v>
      </c>
      <c r="D128" s="64" t="s">
        <v>12590</v>
      </c>
      <c r="E128" s="63" t="s">
        <v>12779</v>
      </c>
      <c r="F128" s="63" t="s">
        <v>12779</v>
      </c>
      <c r="G128" s="63" t="s">
        <v>12590</v>
      </c>
      <c r="H128" s="63" t="s">
        <v>15545</v>
      </c>
      <c r="I128" s="63" t="s">
        <v>15546</v>
      </c>
    </row>
    <row r="129" spans="1:9" ht="15" customHeight="1" x14ac:dyDescent="0.3">
      <c r="A129" s="63" t="s">
        <v>15547</v>
      </c>
      <c r="B129" s="63" t="s">
        <v>15548</v>
      </c>
      <c r="C129" s="63" t="s">
        <v>15548</v>
      </c>
      <c r="D129" s="64" t="s">
        <v>12579</v>
      </c>
      <c r="E129" s="63" t="s">
        <v>13506</v>
      </c>
      <c r="F129" s="63" t="s">
        <v>15549</v>
      </c>
      <c r="G129" s="63" t="s">
        <v>15550</v>
      </c>
      <c r="H129" s="63" t="s">
        <v>15551</v>
      </c>
      <c r="I129" s="63" t="s">
        <v>6716</v>
      </c>
    </row>
    <row r="130" spans="1:9" ht="15" customHeight="1" x14ac:dyDescent="0.3">
      <c r="A130" s="63" t="s">
        <v>15552</v>
      </c>
      <c r="B130" s="63" t="s">
        <v>15553</v>
      </c>
      <c r="C130" s="63" t="s">
        <v>15554</v>
      </c>
      <c r="D130" s="64" t="s">
        <v>12579</v>
      </c>
      <c r="E130" s="63" t="s">
        <v>13506</v>
      </c>
      <c r="F130" s="63" t="s">
        <v>13595</v>
      </c>
      <c r="G130" s="63" t="s">
        <v>13596</v>
      </c>
      <c r="H130" s="63" t="s">
        <v>15232</v>
      </c>
      <c r="I130" s="63" t="s">
        <v>15232</v>
      </c>
    </row>
    <row r="131" spans="1:9" ht="15" customHeight="1" x14ac:dyDescent="0.3">
      <c r="A131" s="63" t="s">
        <v>15555</v>
      </c>
      <c r="B131" s="63" t="s">
        <v>15556</v>
      </c>
      <c r="C131" s="63" t="s">
        <v>15556</v>
      </c>
      <c r="D131" s="64" t="s">
        <v>12579</v>
      </c>
      <c r="E131" s="63" t="s">
        <v>13506</v>
      </c>
      <c r="F131" s="63" t="s">
        <v>13595</v>
      </c>
      <c r="G131" s="63" t="s">
        <v>13596</v>
      </c>
      <c r="H131" s="63" t="s">
        <v>15557</v>
      </c>
      <c r="I131" s="63" t="s">
        <v>15557</v>
      </c>
    </row>
    <row r="132" spans="1:9" ht="15" customHeight="1" x14ac:dyDescent="0.3">
      <c r="A132" s="63" t="s">
        <v>15558</v>
      </c>
      <c r="B132" s="63" t="s">
        <v>15559</v>
      </c>
      <c r="C132" s="63" t="s">
        <v>15560</v>
      </c>
      <c r="D132" s="64" t="s">
        <v>15561</v>
      </c>
      <c r="E132" s="63" t="s">
        <v>15562</v>
      </c>
      <c r="F132" s="63" t="s">
        <v>15563</v>
      </c>
      <c r="G132" s="63" t="s">
        <v>15564</v>
      </c>
      <c r="H132" s="63" t="s">
        <v>15565</v>
      </c>
      <c r="I132" s="63" t="s">
        <v>15565</v>
      </c>
    </row>
    <row r="133" spans="1:9" ht="15" customHeight="1" x14ac:dyDescent="0.3">
      <c r="A133" s="63" t="s">
        <v>15566</v>
      </c>
      <c r="B133" s="63" t="s">
        <v>15567</v>
      </c>
      <c r="C133" s="63" t="s">
        <v>15567</v>
      </c>
      <c r="D133" s="64" t="s">
        <v>12590</v>
      </c>
      <c r="E133" s="63" t="s">
        <v>12779</v>
      </c>
      <c r="F133" s="63" t="s">
        <v>12779</v>
      </c>
      <c r="G133" s="63" t="s">
        <v>12590</v>
      </c>
      <c r="H133" s="63" t="s">
        <v>15545</v>
      </c>
      <c r="I133" s="63" t="s">
        <v>15546</v>
      </c>
    </row>
    <row r="134" spans="1:9" ht="15" customHeight="1" x14ac:dyDescent="0.3">
      <c r="A134" s="63" t="s">
        <v>15568</v>
      </c>
      <c r="B134" s="63" t="s">
        <v>15569</v>
      </c>
      <c r="C134" s="63" t="s">
        <v>15569</v>
      </c>
      <c r="D134" s="64" t="s">
        <v>12590</v>
      </c>
      <c r="E134" s="63" t="s">
        <v>12779</v>
      </c>
      <c r="F134" s="63" t="s">
        <v>12779</v>
      </c>
      <c r="G134" s="63" t="s">
        <v>12590</v>
      </c>
      <c r="H134" s="63" t="s">
        <v>15570</v>
      </c>
      <c r="I134" s="63" t="s">
        <v>15571</v>
      </c>
    </row>
    <row r="135" spans="1:9" ht="15" customHeight="1" x14ac:dyDescent="0.3">
      <c r="A135" s="63" t="s">
        <v>15572</v>
      </c>
      <c r="B135" s="63" t="s">
        <v>15573</v>
      </c>
      <c r="C135" s="63" t="s">
        <v>15573</v>
      </c>
      <c r="D135" s="64" t="s">
        <v>12572</v>
      </c>
      <c r="E135" s="63" t="s">
        <v>14386</v>
      </c>
      <c r="F135" s="63" t="s">
        <v>15523</v>
      </c>
      <c r="G135" s="63" t="s">
        <v>12571</v>
      </c>
      <c r="H135" s="63" t="s">
        <v>15574</v>
      </c>
      <c r="I135" s="63" t="s">
        <v>15575</v>
      </c>
    </row>
    <row r="136" spans="1:9" ht="15" customHeight="1" x14ac:dyDescent="0.3">
      <c r="A136" s="63" t="s">
        <v>15576</v>
      </c>
      <c r="B136" s="63" t="s">
        <v>15577</v>
      </c>
      <c r="C136" s="63" t="s">
        <v>15577</v>
      </c>
      <c r="D136" s="64" t="s">
        <v>12579</v>
      </c>
      <c r="E136" s="63" t="s">
        <v>13506</v>
      </c>
      <c r="F136" s="63" t="s">
        <v>15103</v>
      </c>
      <c r="G136" s="63" t="s">
        <v>15104</v>
      </c>
      <c r="H136" s="63" t="s">
        <v>15557</v>
      </c>
      <c r="I136" s="63" t="s">
        <v>15557</v>
      </c>
    </row>
    <row r="137" spans="1:9" ht="15" customHeight="1" x14ac:dyDescent="0.3">
      <c r="A137" s="63" t="s">
        <v>15578</v>
      </c>
      <c r="B137" s="63" t="s">
        <v>15579</v>
      </c>
      <c r="C137" s="63" t="s">
        <v>15579</v>
      </c>
      <c r="D137" s="64" t="s">
        <v>12579</v>
      </c>
      <c r="E137" s="63" t="s">
        <v>13506</v>
      </c>
      <c r="F137" s="63" t="s">
        <v>15479</v>
      </c>
      <c r="G137" s="63" t="s">
        <v>15480</v>
      </c>
      <c r="H137" s="63" t="s">
        <v>15232</v>
      </c>
      <c r="I137" s="63" t="s">
        <v>15232</v>
      </c>
    </row>
    <row r="138" spans="1:9" ht="15" customHeight="1" x14ac:dyDescent="0.3">
      <c r="A138" s="63" t="s">
        <v>15580</v>
      </c>
      <c r="B138" s="63" t="s">
        <v>15581</v>
      </c>
      <c r="C138" s="63" t="s">
        <v>15581</v>
      </c>
      <c r="D138" s="64" t="s">
        <v>12559</v>
      </c>
      <c r="E138" s="63" t="s">
        <v>12849</v>
      </c>
      <c r="F138" s="63" t="s">
        <v>12849</v>
      </c>
      <c r="G138" s="63" t="s">
        <v>12559</v>
      </c>
      <c r="H138" s="63" t="s">
        <v>15582</v>
      </c>
      <c r="I138" s="63" t="s">
        <v>15583</v>
      </c>
    </row>
    <row r="139" spans="1:9" ht="15" customHeight="1" x14ac:dyDescent="0.3">
      <c r="A139" s="63" t="s">
        <v>15584</v>
      </c>
      <c r="B139" s="63" t="s">
        <v>15585</v>
      </c>
      <c r="C139" s="63" t="s">
        <v>15586</v>
      </c>
      <c r="D139" s="64" t="s">
        <v>12579</v>
      </c>
      <c r="E139" s="63" t="s">
        <v>13506</v>
      </c>
      <c r="F139" s="63" t="s">
        <v>15294</v>
      </c>
      <c r="G139" s="63" t="s">
        <v>15295</v>
      </c>
      <c r="H139" s="63" t="s">
        <v>15232</v>
      </c>
      <c r="I139" s="63" t="s">
        <v>15232</v>
      </c>
    </row>
    <row r="140" spans="1:9" ht="15" customHeight="1" x14ac:dyDescent="0.3">
      <c r="A140" s="63" t="s">
        <v>15587</v>
      </c>
      <c r="B140" s="63" t="s">
        <v>15588</v>
      </c>
      <c r="C140" s="63" t="s">
        <v>15589</v>
      </c>
      <c r="D140" s="64" t="s">
        <v>15272</v>
      </c>
      <c r="E140" s="63" t="s">
        <v>15273</v>
      </c>
      <c r="F140" s="63" t="s">
        <v>12554</v>
      </c>
      <c r="G140" s="63" t="s">
        <v>15590</v>
      </c>
      <c r="H140" s="63" t="s">
        <v>15108</v>
      </c>
      <c r="I140" s="63" t="s">
        <v>15109</v>
      </c>
    </row>
    <row r="141" spans="1:9" ht="10.95" customHeight="1" x14ac:dyDescent="0.3">
      <c r="A141" s="61"/>
      <c r="B141" s="61"/>
      <c r="C141" s="61"/>
      <c r="D141" s="61"/>
      <c r="E141" s="61"/>
      <c r="F141" s="61"/>
      <c r="G141" s="61"/>
      <c r="H141" s="61"/>
      <c r="I141" s="61"/>
    </row>
    <row r="142" spans="1:9" ht="10.9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Birbank Ştat</vt:lpstr>
      <vt:lpstr>baza-04.10.2026</vt:lpstr>
      <vt:lpstr>İxtisar</vt:lpstr>
      <vt:lpstr>HR</vt:lpstr>
      <vt:lpstr>Pashapay ştat</vt:lpstr>
      <vt:lpstr>birmarket ştat</vt:lpstr>
      <vt:lpstr>Pashapay işçi siyahısı</vt:lpstr>
      <vt:lpstr>Birmarket-local labor</vt:lpstr>
      <vt:lpstr>Birmarket-Local service</vt:lpstr>
      <vt:lpstr>Birmarket-service expat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Aysel A. Yusifova</dc:creator>
  <cp:lastModifiedBy>Aysel A. Yusifova</cp:lastModifiedBy>
  <dcterms:created xsi:type="dcterms:W3CDTF">2026-10-04T14:34:35Z</dcterms:created>
  <dcterms:modified xsi:type="dcterms:W3CDTF">2026-10-09T14:13:05Z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503f1b2b-54ee-4db1-b446-9b9054d936a9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503f1b2b-54ee-4db1-b446-9b9054d936a9</vt:lpwstr>
  </property>
  <property fmtid="{D5CDD505-2E9C-101B-9397-08002B2CF9AE}" pid="6" name="UserId">
    <vt:lpwstr>Aysel A. Yusifova</vt:lpwstr>
  </property>
  <property fmtid="{D5CDD505-2E9C-101B-9397-08002B2CF9AE}" pid="7" name="TagDateTime">
    <vt:lpwstr>09-10-2026</vt:lpwstr>
  </property>
  <property fmtid="{D5CDD505-2E9C-101B-9397-08002B2CF9AE}" pid="8" name="GVData">
    <vt:lpwstr>eyJPUyI6IldpbmRvd3MiLCJkb2NJRCI6IjUwM2YxYjJiLTU0ZWUtNGRiMS1iNDQ2LTliOTA1NGQ5MzZhOSIsImRvY1N0YXRlIjoie30iLCJwYXJlbnRMaW5lSWRzIjoiW1wiYjk3M2NiYWQtN2YxNy00MzE1LTkwYjQtNTM2ZTgwYmQwY2Q5XCIsXCIyY2U5OGE5MS1l</vt:lpwstr>
  </property>
  <property fmtid="{D5CDD505-2E9C-101B-9397-08002B2CF9AE}" pid="9" name="GVData0">
    <vt:lpwstr>OGZmLTQ1MzEtOGIyOC1mYzM4MmMzNjIzMTZcIixcImNkYjJiZTE5LWFkNmEtNGNjMy1iNTEyLWFiN2QxMDgzNTAzZFwiLFwiNDA0MzMxOTAtOThhMS00MDZjLWE3YzgtM2YyYzcwNjA5MWQwXCIsXCI3YTAwMzEyYi1mZGIyLTQ5NTYtYjYwZS04NTY1ZWNmMzI5ZGZc</vt:lpwstr>
  </property>
  <property fmtid="{D5CDD505-2E9C-101B-9397-08002B2CF9AE}" pid="10" name="GVData1">
    <vt:lpwstr>IixcImY1YjdjMTdlLTM5MTAtNGY4Mi05NDNkLWNhYTMzNmE3NDkyOVwiLFwiODc3MzdmOWQtNGIzNi00NmFiLWJmNzEtZWY2MGQzZWFhNjkzXCIsXCIzMjU3ODAwZC1jMzYxLTQ4N2YtOWYwMS0wZmEyMDI4NDY4YWFcIl0iLCJ3cml0dGVuS2V5cyI6IltcIkNsYXNz</vt:lpwstr>
  </property>
  <property fmtid="{D5CDD505-2E9C-101B-9397-08002B2CF9AE}" pid="11" name="GVData2">
    <vt:lpwstr>aWZpY2F0aW9uVGFnU2V0SWRcIixcIkNvbXBsaWFuY2VUYWdTZXRJZFwiLFwiRmlsZUlkXCIsXCJndmRvY2lkXCIsXCJUYWdEYXRlVGltZVwiLFwiVXNlcklkXCJdIiwibm9PZkd2RGF0YUVudHJpZXMiOiI1IiwibGluZUlkIjoiYzMwM2VhMTAtOTRmMy00ZTg4LWFi</vt:lpwstr>
  </property>
  <property fmtid="{D5CDD505-2E9C-101B-9397-08002B2CF9AE}" pid="12" name="GVData3">
    <vt:lpwstr>ZDItYmY3YjcyZDczYTVhIn0=</vt:lpwstr>
  </property>
  <property fmtid="{D5CDD505-2E9C-101B-9397-08002B2CF9AE}" pid="13" name="GVData4">
    <vt:lpwstr>(end)</vt:lpwstr>
  </property>
</Properties>
</file>